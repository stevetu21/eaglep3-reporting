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Trips'!$A$2:$J$100</definedName>
    <definedName name="_xlnm._FilterDatabase" localSheetId="0" hidden="1">'Train Runs'!$A$12:$AG$258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Runs'!$A$12:$J$60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5" i="3" l="1"/>
  <c r="AC26" i="3"/>
  <c r="AC24" i="3"/>
  <c r="K160" i="1"/>
  <c r="L160" i="1"/>
  <c r="M160" i="1"/>
  <c r="P160" i="1" s="1"/>
  <c r="V160" i="1"/>
  <c r="AA160" i="1"/>
  <c r="AB160" i="1"/>
  <c r="AC160" i="1"/>
  <c r="AD160" i="1"/>
  <c r="T160" i="1" s="1"/>
  <c r="AE160" i="1"/>
  <c r="AF160" i="1"/>
  <c r="AH160" i="1"/>
  <c r="AM160" i="1"/>
  <c r="AN160" i="1"/>
  <c r="K18" i="1"/>
  <c r="L18" i="1"/>
  <c r="M18" i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P17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V17" i="1"/>
  <c r="Y17" i="1"/>
  <c r="Z17" i="1"/>
  <c r="AB17" i="1"/>
  <c r="AC17" i="1"/>
  <c r="AD17" i="1"/>
  <c r="AE17" i="1"/>
  <c r="AF17" i="1"/>
  <c r="AH17" i="1"/>
  <c r="AM17" i="1"/>
  <c r="AN17" i="1"/>
  <c r="K19" i="1"/>
  <c r="L19" i="1"/>
  <c r="M19" i="1"/>
  <c r="N19" i="1" s="1"/>
  <c r="V19" i="1"/>
  <c r="Y19" i="1"/>
  <c r="Z19" i="1"/>
  <c r="AA19" i="1" s="1"/>
  <c r="AB19" i="1"/>
  <c r="AC19" i="1"/>
  <c r="AD19" i="1"/>
  <c r="AE19" i="1"/>
  <c r="AF19" i="1"/>
  <c r="AH19" i="1"/>
  <c r="AM19" i="1"/>
  <c r="AN19" i="1"/>
  <c r="K20" i="1"/>
  <c r="L20" i="1"/>
  <c r="M20" i="1"/>
  <c r="N20" i="1"/>
  <c r="V20" i="1"/>
  <c r="Y20" i="1"/>
  <c r="AA20" i="1" s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P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R11" i="3" s="1"/>
  <c r="AF31" i="1"/>
  <c r="AH31" i="1"/>
  <c r="AM31" i="1"/>
  <c r="AN31" i="1"/>
  <c r="K32" i="1"/>
  <c r="L32" i="1"/>
  <c r="M32" i="1"/>
  <c r="N32" i="1" s="1"/>
  <c r="V32" i="1"/>
  <c r="S8" i="3" s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S23" i="3" s="1"/>
  <c r="Y40" i="1"/>
  <c r="Z40" i="1"/>
  <c r="AB40" i="1"/>
  <c r="AC40" i="1"/>
  <c r="AD40" i="1"/>
  <c r="AG40" i="1" s="1"/>
  <c r="AE40" i="1"/>
  <c r="R23" i="3" s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P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I45" i="1" s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I49" i="1" s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 s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S28" i="3" s="1"/>
  <c r="Y56" i="1"/>
  <c r="Z56" i="1"/>
  <c r="AB56" i="1"/>
  <c r="AC56" i="1"/>
  <c r="AD56" i="1"/>
  <c r="AE56" i="1"/>
  <c r="R28" i="3" s="1"/>
  <c r="AF56" i="1"/>
  <c r="AH56" i="1"/>
  <c r="AM56" i="1"/>
  <c r="AN56" i="1"/>
  <c r="K57" i="1"/>
  <c r="L57" i="1"/>
  <c r="M57" i="1"/>
  <c r="N57" i="1" s="1"/>
  <c r="V57" i="1"/>
  <c r="Y57" i="1"/>
  <c r="Z57" i="1"/>
  <c r="AA57" i="1" s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S22" i="3" s="1"/>
  <c r="Y69" i="1"/>
  <c r="Z69" i="1"/>
  <c r="AB69" i="1"/>
  <c r="AC69" i="1"/>
  <c r="AD69" i="1"/>
  <c r="AE69" i="1"/>
  <c r="R22" i="3" s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R26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I73" i="1" s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S17" i="3" s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S29" i="3" s="1"/>
  <c r="Y80" i="1"/>
  <c r="Z80" i="1"/>
  <c r="AB80" i="1"/>
  <c r="AC80" i="1"/>
  <c r="AD80" i="1"/>
  <c r="T80" i="1" s="1"/>
  <c r="AE80" i="1"/>
  <c r="R29" i="3" s="1"/>
  <c r="AF80" i="1"/>
  <c r="AH80" i="1"/>
  <c r="AM80" i="1"/>
  <c r="AN80" i="1"/>
  <c r="K81" i="1"/>
  <c r="L81" i="1"/>
  <c r="M81" i="1"/>
  <c r="N81" i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S18" i="3" s="1"/>
  <c r="Y87" i="1"/>
  <c r="Z87" i="1"/>
  <c r="AB87" i="1"/>
  <c r="AC87" i="1"/>
  <c r="AD87" i="1"/>
  <c r="AG87" i="1" s="1"/>
  <c r="AE87" i="1"/>
  <c r="R18" i="3" s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A91" i="1" s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S32" i="3" s="1"/>
  <c r="Y92" i="1"/>
  <c r="Z92" i="1"/>
  <c r="AB92" i="1"/>
  <c r="AC92" i="1"/>
  <c r="AD92" i="1"/>
  <c r="X92" i="1" s="1"/>
  <c r="AE92" i="1"/>
  <c r="R32" i="3" s="1"/>
  <c r="AF92" i="1"/>
  <c r="AH92" i="1"/>
  <c r="AM92" i="1"/>
  <c r="AN92" i="1"/>
  <c r="K93" i="1"/>
  <c r="L93" i="1"/>
  <c r="M93" i="1"/>
  <c r="P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S21" i="3" s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R9" i="3" s="1"/>
  <c r="AF96" i="1"/>
  <c r="AH96" i="1"/>
  <c r="AM96" i="1"/>
  <c r="AN96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97" i="1"/>
  <c r="AM97" i="1"/>
  <c r="AN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99" i="1"/>
  <c r="AM99" i="1"/>
  <c r="AN9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0" i="1"/>
  <c r="AM100" i="1"/>
  <c r="AN10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1" i="1"/>
  <c r="AM101" i="1"/>
  <c r="AN101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02" i="1"/>
  <c r="AM102" i="1"/>
  <c r="AN102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3" i="1"/>
  <c r="AM103" i="1"/>
  <c r="AN10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4" i="1"/>
  <c r="AM104" i="1"/>
  <c r="AN104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5" i="1"/>
  <c r="AM105" i="1"/>
  <c r="AN105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06" i="1"/>
  <c r="AM106" i="1"/>
  <c r="AN10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07" i="1"/>
  <c r="AM107" i="1"/>
  <c r="AN107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G173" i="1"/>
  <c r="AH108" i="1"/>
  <c r="AM108" i="1"/>
  <c r="AN108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9" i="1"/>
  <c r="AM109" i="1"/>
  <c r="AN109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0" i="1"/>
  <c r="AM110" i="1"/>
  <c r="AN110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11" i="1"/>
  <c r="AM111" i="1"/>
  <c r="AN11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2" i="1"/>
  <c r="AM112" i="1"/>
  <c r="AN112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3" i="1"/>
  <c r="AM113" i="1"/>
  <c r="AN113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4" i="1"/>
  <c r="AM114" i="1"/>
  <c r="AN114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15" i="1"/>
  <c r="AM115" i="1"/>
  <c r="AN115" i="1"/>
  <c r="K181" i="1"/>
  <c r="L181" i="1"/>
  <c r="M181" i="1"/>
  <c r="N181" i="1" s="1"/>
  <c r="V181" i="1"/>
  <c r="Y181" i="1"/>
  <c r="Z181" i="1"/>
  <c r="AA181" i="1"/>
  <c r="AB181" i="1"/>
  <c r="AC181" i="1"/>
  <c r="AD181" i="1"/>
  <c r="AE181" i="1"/>
  <c r="AF181" i="1"/>
  <c r="AH116" i="1"/>
  <c r="AM116" i="1"/>
  <c r="AN116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7" i="1"/>
  <c r="AM117" i="1"/>
  <c r="AN11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118" i="1"/>
  <c r="AM118" i="1"/>
  <c r="AN118" i="1"/>
  <c r="K183" i="1"/>
  <c r="L183" i="1"/>
  <c r="M183" i="1"/>
  <c r="N183" i="1" s="1"/>
  <c r="V183" i="1"/>
  <c r="S36" i="3" s="1"/>
  <c r="Y183" i="1"/>
  <c r="Z183" i="1"/>
  <c r="AB183" i="1"/>
  <c r="AC183" i="1"/>
  <c r="AD183" i="1"/>
  <c r="AE183" i="1"/>
  <c r="AF183" i="1"/>
  <c r="AH119" i="1"/>
  <c r="AM119" i="1"/>
  <c r="AN119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20" i="1"/>
  <c r="AM120" i="1"/>
  <c r="AN12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R37" i="3" s="1"/>
  <c r="AF185" i="1"/>
  <c r="AH121" i="1"/>
  <c r="AM121" i="1"/>
  <c r="AN121" i="1"/>
  <c r="K186" i="1"/>
  <c r="L186" i="1"/>
  <c r="M186" i="1"/>
  <c r="N186" i="1" s="1"/>
  <c r="V186" i="1"/>
  <c r="Y186" i="1"/>
  <c r="Z186" i="1"/>
  <c r="AB186" i="1"/>
  <c r="AC186" i="1"/>
  <c r="AD186" i="1"/>
  <c r="AG186" i="1" s="1"/>
  <c r="AI186" i="1" s="1"/>
  <c r="AE186" i="1"/>
  <c r="AF186" i="1"/>
  <c r="AH122" i="1"/>
  <c r="AM122" i="1"/>
  <c r="AN122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3" i="1"/>
  <c r="AM123" i="1"/>
  <c r="AN12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4" i="1"/>
  <c r="AM124" i="1"/>
  <c r="AN124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5" i="1"/>
  <c r="AM125" i="1"/>
  <c r="AN125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6" i="1"/>
  <c r="AM126" i="1"/>
  <c r="AN126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27" i="1"/>
  <c r="AM127" i="1"/>
  <c r="AN127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28" i="1"/>
  <c r="AM128" i="1"/>
  <c r="AN12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29" i="1"/>
  <c r="AM129" i="1"/>
  <c r="AN129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30" i="1"/>
  <c r="AM130" i="1"/>
  <c r="AN130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31" i="1"/>
  <c r="AM131" i="1"/>
  <c r="AN131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32" i="1"/>
  <c r="AM132" i="1"/>
  <c r="AN132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36" i="1"/>
  <c r="AM136" i="1"/>
  <c r="AN136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37" i="1"/>
  <c r="AM137" i="1"/>
  <c r="AN137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38" i="1"/>
  <c r="AM138" i="1"/>
  <c r="AN138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39" i="1"/>
  <c r="AM139" i="1"/>
  <c r="AN139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40" i="1"/>
  <c r="AM140" i="1"/>
  <c r="AN140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41" i="1"/>
  <c r="AM141" i="1"/>
  <c r="AN141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42" i="1"/>
  <c r="AM142" i="1"/>
  <c r="AN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AM143" i="1"/>
  <c r="AN143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7" i="1"/>
  <c r="AM147" i="1"/>
  <c r="AN147" i="1"/>
  <c r="K112" i="1"/>
  <c r="L112" i="1"/>
  <c r="M112" i="1"/>
  <c r="N112" i="1" s="1"/>
  <c r="V112" i="1"/>
  <c r="S15" i="3" s="1"/>
  <c r="Y112" i="1"/>
  <c r="Z112" i="1"/>
  <c r="AB112" i="1"/>
  <c r="AC112" i="1"/>
  <c r="AD112" i="1"/>
  <c r="AG112" i="1" s="1"/>
  <c r="AE112" i="1"/>
  <c r="AF112" i="1"/>
  <c r="AH148" i="1"/>
  <c r="AM148" i="1"/>
  <c r="AN148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49" i="1"/>
  <c r="AM149" i="1"/>
  <c r="AN149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52" i="1"/>
  <c r="AM152" i="1"/>
  <c r="AN152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57" i="1"/>
  <c r="AM157" i="1"/>
  <c r="AN157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8" i="1"/>
  <c r="AM158" i="1"/>
  <c r="AN158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9" i="1"/>
  <c r="AM159" i="1"/>
  <c r="AN159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1" i="1"/>
  <c r="AM161" i="1"/>
  <c r="AN161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62" i="1"/>
  <c r="AM162" i="1"/>
  <c r="AN162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A128" i="1" s="1"/>
  <c r="AB128" i="1"/>
  <c r="AC128" i="1"/>
  <c r="AD128" i="1"/>
  <c r="AG128" i="1" s="1"/>
  <c r="AE128" i="1"/>
  <c r="AF128" i="1"/>
  <c r="AH163" i="1"/>
  <c r="AM163" i="1"/>
  <c r="AN163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64" i="1"/>
  <c r="AM164" i="1"/>
  <c r="AN164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5" i="1"/>
  <c r="AM165" i="1"/>
  <c r="AN165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6" i="1"/>
  <c r="AM166" i="1"/>
  <c r="AN166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67" i="1"/>
  <c r="AM167" i="1"/>
  <c r="AN167" i="1"/>
  <c r="K133" i="1"/>
  <c r="L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68" i="1"/>
  <c r="AM168" i="1"/>
  <c r="AN168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69" i="1"/>
  <c r="AM169" i="1"/>
  <c r="AN169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0" i="1"/>
  <c r="AM170" i="1"/>
  <c r="AN170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2" i="1"/>
  <c r="AM172" i="1"/>
  <c r="AN172" i="1"/>
  <c r="K138" i="1"/>
  <c r="L138" i="1"/>
  <c r="M138" i="1"/>
  <c r="N138" i="1" s="1"/>
  <c r="V138" i="1"/>
  <c r="Y138" i="1"/>
  <c r="Z138" i="1"/>
  <c r="AA138" i="1" s="1"/>
  <c r="AB138" i="1"/>
  <c r="AC138" i="1"/>
  <c r="AD138" i="1"/>
  <c r="AG138" i="1" s="1"/>
  <c r="AE138" i="1"/>
  <c r="AF138" i="1"/>
  <c r="AH173" i="1"/>
  <c r="AM173" i="1"/>
  <c r="AN173" i="1"/>
  <c r="K139" i="1"/>
  <c r="L139" i="1"/>
  <c r="M139" i="1"/>
  <c r="N139" i="1" s="1"/>
  <c r="V139" i="1"/>
  <c r="Y139" i="1"/>
  <c r="Z139" i="1"/>
  <c r="AA139" i="1" s="1"/>
  <c r="AB139" i="1"/>
  <c r="AC139" i="1"/>
  <c r="AD139" i="1"/>
  <c r="AE139" i="1"/>
  <c r="AF139" i="1"/>
  <c r="AH174" i="1"/>
  <c r="AM174" i="1"/>
  <c r="AN174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5" i="1"/>
  <c r="AM175" i="1"/>
  <c r="AN175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6" i="1"/>
  <c r="AM176" i="1"/>
  <c r="AN176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7" i="1"/>
  <c r="AM177" i="1"/>
  <c r="AN177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78" i="1"/>
  <c r="AM178" i="1"/>
  <c r="AN178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9" i="1"/>
  <c r="AM179" i="1"/>
  <c r="AN179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0" i="1"/>
  <c r="AM180" i="1"/>
  <c r="AN180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5" i="1"/>
  <c r="AM185" i="1"/>
  <c r="AN185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86" i="1"/>
  <c r="AM186" i="1"/>
  <c r="AN186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7" i="1"/>
  <c r="AM187" i="1"/>
  <c r="AN187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8" i="1"/>
  <c r="AM188" i="1"/>
  <c r="AN188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89" i="1"/>
  <c r="AM189" i="1"/>
  <c r="AN189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2" i="1"/>
  <c r="AM192" i="1"/>
  <c r="AN192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93" i="1"/>
  <c r="AM193" i="1"/>
  <c r="AN193" i="1"/>
  <c r="K159" i="1"/>
  <c r="L159" i="1"/>
  <c r="M159" i="1"/>
  <c r="N159" i="1" s="1"/>
  <c r="V159" i="1"/>
  <c r="Y159" i="1"/>
  <c r="Z159" i="1"/>
  <c r="AA159" i="1" s="1"/>
  <c r="AB159" i="1"/>
  <c r="AC159" i="1"/>
  <c r="AD159" i="1"/>
  <c r="AG159" i="1" s="1"/>
  <c r="AE159" i="1"/>
  <c r="AF159" i="1"/>
  <c r="AH194" i="1"/>
  <c r="AM194" i="1"/>
  <c r="AN194" i="1"/>
  <c r="K161" i="1"/>
  <c r="L161" i="1"/>
  <c r="M161" i="1"/>
  <c r="N161" i="1" s="1"/>
  <c r="V161" i="1"/>
  <c r="Y161" i="1"/>
  <c r="Z161" i="1"/>
  <c r="AA161" i="1" s="1"/>
  <c r="AB161" i="1"/>
  <c r="AC161" i="1"/>
  <c r="AD161" i="1"/>
  <c r="T161" i="1" s="1"/>
  <c r="AE161" i="1"/>
  <c r="AF161" i="1"/>
  <c r="AH195" i="1"/>
  <c r="AM195" i="1"/>
  <c r="AN19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6" i="1"/>
  <c r="AM196" i="1"/>
  <c r="AN196" i="1"/>
  <c r="AH197" i="1"/>
  <c r="AM197" i="1"/>
  <c r="AN197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 s="1"/>
  <c r="V217" i="1"/>
  <c r="S41" i="3" s="1"/>
  <c r="Y217" i="1"/>
  <c r="Z217" i="1"/>
  <c r="AB217" i="1"/>
  <c r="AC217" i="1"/>
  <c r="AD217" i="1"/>
  <c r="T217" i="1" s="1"/>
  <c r="AE217" i="1"/>
  <c r="R41" i="3" s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K221" i="1"/>
  <c r="L221" i="1"/>
  <c r="M221" i="1"/>
  <c r="N221" i="1" s="1"/>
  <c r="V221" i="1"/>
  <c r="S38" i="3" s="1"/>
  <c r="Y221" i="1"/>
  <c r="Z221" i="1"/>
  <c r="AB221" i="1"/>
  <c r="AC221" i="1"/>
  <c r="AD221" i="1"/>
  <c r="T221" i="1" s="1"/>
  <c r="AE221" i="1"/>
  <c r="R38" i="3" s="1"/>
  <c r="AF221" i="1"/>
  <c r="AH221" i="1"/>
  <c r="AM221" i="1"/>
  <c r="AN221" i="1"/>
  <c r="M11" i="3"/>
  <c r="S11" i="3"/>
  <c r="U11" i="3"/>
  <c r="T11" i="3" s="1"/>
  <c r="V11" i="3"/>
  <c r="W11" i="3"/>
  <c r="X11" i="3"/>
  <c r="AC11" i="3"/>
  <c r="M24" i="3"/>
  <c r="R24" i="3"/>
  <c r="S24" i="3"/>
  <c r="U24" i="3"/>
  <c r="V24" i="3"/>
  <c r="W24" i="3"/>
  <c r="Y24" i="3" s="1"/>
  <c r="X24" i="3"/>
  <c r="M8" i="3"/>
  <c r="R8" i="3"/>
  <c r="U8" i="3"/>
  <c r="AC8" i="3" s="1"/>
  <c r="V8" i="3"/>
  <c r="W8" i="3"/>
  <c r="X8" i="3"/>
  <c r="M23" i="3"/>
  <c r="U23" i="3"/>
  <c r="AE11" i="3" s="1"/>
  <c r="V23" i="3"/>
  <c r="W23" i="3"/>
  <c r="X23" i="3"/>
  <c r="AC23" i="3"/>
  <c r="AD11" i="3"/>
  <c r="M28" i="3"/>
  <c r="U28" i="3"/>
  <c r="T28" i="3" s="1"/>
  <c r="V28" i="3"/>
  <c r="W28" i="3"/>
  <c r="Y28" i="3" s="1"/>
  <c r="X28" i="3"/>
  <c r="AC28" i="3"/>
  <c r="M22" i="3"/>
  <c r="U22" i="3"/>
  <c r="V22" i="3"/>
  <c r="W22" i="3"/>
  <c r="Y22" i="3" s="1"/>
  <c r="X22" i="3"/>
  <c r="M26" i="3"/>
  <c r="S26" i="3"/>
  <c r="U26" i="3"/>
  <c r="V26" i="3"/>
  <c r="W26" i="3"/>
  <c r="Y26" i="3" s="1"/>
  <c r="X26" i="3"/>
  <c r="M17" i="3"/>
  <c r="R17" i="3"/>
  <c r="U17" i="3"/>
  <c r="V17" i="3"/>
  <c r="W17" i="3"/>
  <c r="X17" i="3"/>
  <c r="AC17" i="3"/>
  <c r="M13" i="3"/>
  <c r="R13" i="3"/>
  <c r="U13" i="3"/>
  <c r="T13" i="3" s="1"/>
  <c r="V13" i="3"/>
  <c r="W13" i="3"/>
  <c r="X13" i="3"/>
  <c r="AC13" i="3"/>
  <c r="M25" i="3"/>
  <c r="R25" i="3"/>
  <c r="S25" i="3"/>
  <c r="U25" i="3"/>
  <c r="AD17" i="3" s="1"/>
  <c r="V25" i="3"/>
  <c r="W25" i="3"/>
  <c r="X25" i="3"/>
  <c r="M29" i="3"/>
  <c r="U29" i="3"/>
  <c r="AC29" i="3" s="1"/>
  <c r="V29" i="3"/>
  <c r="W29" i="3"/>
  <c r="X29" i="3"/>
  <c r="M12" i="3"/>
  <c r="R12" i="3"/>
  <c r="U12" i="3"/>
  <c r="T12" i="3" s="1"/>
  <c r="V12" i="3"/>
  <c r="W12" i="3"/>
  <c r="X12" i="3"/>
  <c r="AC12" i="3"/>
  <c r="M32" i="3"/>
  <c r="U32" i="3"/>
  <c r="T32" i="3" s="1"/>
  <c r="V32" i="3"/>
  <c r="W32" i="3"/>
  <c r="X32" i="3"/>
  <c r="AC32" i="3"/>
  <c r="M18" i="3"/>
  <c r="U18" i="3"/>
  <c r="V18" i="3"/>
  <c r="W18" i="3"/>
  <c r="X18" i="3"/>
  <c r="AC18" i="3"/>
  <c r="M21" i="3"/>
  <c r="R21" i="3"/>
  <c r="U21" i="3"/>
  <c r="AC21" i="3" s="1"/>
  <c r="V21" i="3"/>
  <c r="W21" i="3"/>
  <c r="X21" i="3"/>
  <c r="Y21" i="3"/>
  <c r="M7" i="3"/>
  <c r="R7" i="3"/>
  <c r="S7" i="3"/>
  <c r="U7" i="3"/>
  <c r="T7" i="3" s="1"/>
  <c r="V7" i="3"/>
  <c r="W7" i="3"/>
  <c r="X7" i="3"/>
  <c r="AC7" i="3"/>
  <c r="AD23" i="3"/>
  <c r="M9" i="3"/>
  <c r="S9" i="3"/>
  <c r="U9" i="3"/>
  <c r="T9" i="3" s="1"/>
  <c r="V9" i="3"/>
  <c r="W9" i="3"/>
  <c r="X9" i="3"/>
  <c r="AC9" i="3"/>
  <c r="AD24" i="3"/>
  <c r="M33" i="3"/>
  <c r="R33" i="3"/>
  <c r="S33" i="3"/>
  <c r="U33" i="3"/>
  <c r="V33" i="3"/>
  <c r="W33" i="3"/>
  <c r="Y33" i="3" s="1"/>
  <c r="X33" i="3"/>
  <c r="AC33" i="3"/>
  <c r="M34" i="3"/>
  <c r="R34" i="3"/>
  <c r="S34" i="3"/>
  <c r="U34" i="3"/>
  <c r="AC34" i="3" s="1"/>
  <c r="V34" i="3"/>
  <c r="W34" i="3"/>
  <c r="X34" i="3"/>
  <c r="M36" i="3"/>
  <c r="R36" i="3"/>
  <c r="U36" i="3"/>
  <c r="V36" i="3"/>
  <c r="W36" i="3"/>
  <c r="X36" i="3"/>
  <c r="AC36" i="3"/>
  <c r="M10" i="3"/>
  <c r="R10" i="3"/>
  <c r="S10" i="3"/>
  <c r="U10" i="3"/>
  <c r="T10" i="3" s="1"/>
  <c r="V10" i="3"/>
  <c r="W10" i="3"/>
  <c r="Y10" i="3" s="1"/>
  <c r="X10" i="3"/>
  <c r="AC10" i="3"/>
  <c r="AD28" i="3"/>
  <c r="M19" i="3"/>
  <c r="R19" i="3"/>
  <c r="S19" i="3"/>
  <c r="U19" i="3"/>
  <c r="V19" i="3"/>
  <c r="W19" i="3"/>
  <c r="Y19" i="3" s="1"/>
  <c r="X19" i="3"/>
  <c r="M30" i="3"/>
  <c r="R30" i="3"/>
  <c r="S30" i="3"/>
  <c r="U30" i="3"/>
  <c r="AC30" i="3" s="1"/>
  <c r="V30" i="3"/>
  <c r="W30" i="3"/>
  <c r="Y30" i="3" s="1"/>
  <c r="X30" i="3"/>
  <c r="M15" i="3"/>
  <c r="R15" i="3"/>
  <c r="U15" i="3"/>
  <c r="V15" i="3"/>
  <c r="W15" i="3"/>
  <c r="X15" i="3"/>
  <c r="AC15" i="3"/>
  <c r="M37" i="3"/>
  <c r="S37" i="3"/>
  <c r="U37" i="3"/>
  <c r="T37" i="3" s="1"/>
  <c r="V37" i="3"/>
  <c r="W37" i="3"/>
  <c r="X37" i="3"/>
  <c r="AC37" i="3"/>
  <c r="M31" i="3"/>
  <c r="R31" i="3"/>
  <c r="S31" i="3"/>
  <c r="U31" i="3"/>
  <c r="V31" i="3"/>
  <c r="W31" i="3"/>
  <c r="X31" i="3"/>
  <c r="AC31" i="3"/>
  <c r="M14" i="3"/>
  <c r="R14" i="3"/>
  <c r="S14" i="3"/>
  <c r="U14" i="3"/>
  <c r="AC14" i="3" s="1"/>
  <c r="V14" i="3"/>
  <c r="W14" i="3"/>
  <c r="Y14" i="3" s="1"/>
  <c r="X14" i="3"/>
  <c r="M20" i="3"/>
  <c r="R20" i="3"/>
  <c r="S20" i="3"/>
  <c r="U20" i="3"/>
  <c r="T20" i="3" s="1"/>
  <c r="V20" i="3"/>
  <c r="W20" i="3"/>
  <c r="X20" i="3"/>
  <c r="AC20" i="3"/>
  <c r="M41" i="3"/>
  <c r="U41" i="3"/>
  <c r="T41" i="3" s="1"/>
  <c r="V41" i="3"/>
  <c r="W41" i="3"/>
  <c r="X41" i="3"/>
  <c r="AC41" i="3"/>
  <c r="M16" i="3"/>
  <c r="R16" i="3"/>
  <c r="S16" i="3"/>
  <c r="U16" i="3"/>
  <c r="AD37" i="3" s="1"/>
  <c r="V16" i="3"/>
  <c r="W16" i="3"/>
  <c r="X16" i="3"/>
  <c r="AC16" i="3"/>
  <c r="M38" i="3"/>
  <c r="U38" i="3"/>
  <c r="AC38" i="3" s="1"/>
  <c r="V38" i="3"/>
  <c r="W38" i="3"/>
  <c r="Y38" i="3" s="1"/>
  <c r="X38" i="3"/>
  <c r="M39" i="3"/>
  <c r="U39" i="3"/>
  <c r="T39" i="3" s="1"/>
  <c r="V39" i="3"/>
  <c r="W39" i="3"/>
  <c r="X39" i="3"/>
  <c r="AC39" i="3"/>
  <c r="M40" i="3"/>
  <c r="U40" i="3"/>
  <c r="T40" i="3" s="1"/>
  <c r="V40" i="3"/>
  <c r="W40" i="3"/>
  <c r="X40" i="3"/>
  <c r="AC40" i="3"/>
  <c r="M35" i="3"/>
  <c r="R35" i="3"/>
  <c r="S35" i="3"/>
  <c r="U35" i="3"/>
  <c r="V35" i="3"/>
  <c r="AE35" i="3" s="1"/>
  <c r="W35" i="3"/>
  <c r="Y35" i="3" s="1"/>
  <c r="X35" i="3"/>
  <c r="AC35" i="3"/>
  <c r="M27" i="3"/>
  <c r="R27" i="3"/>
  <c r="S27" i="3"/>
  <c r="U27" i="3"/>
  <c r="AD27" i="3" s="1"/>
  <c r="V27" i="3"/>
  <c r="W27" i="3"/>
  <c r="X27" i="3"/>
  <c r="AC27" i="3"/>
  <c r="M28" i="5"/>
  <c r="AA64" i="1" l="1"/>
  <c r="AA29" i="1"/>
  <c r="S13" i="3"/>
  <c r="AA140" i="1"/>
  <c r="AI116" i="1"/>
  <c r="AG84" i="1"/>
  <c r="U84" i="1" s="1"/>
  <c r="X84" i="1"/>
  <c r="AA82" i="1"/>
  <c r="AI112" i="1"/>
  <c r="AA112" i="1"/>
  <c r="AA188" i="1"/>
  <c r="AG96" i="1"/>
  <c r="AG148" i="1"/>
  <c r="X125" i="1"/>
  <c r="AA191" i="1"/>
  <c r="X164" i="1"/>
  <c r="AA94" i="1"/>
  <c r="AA90" i="1"/>
  <c r="X67" i="1"/>
  <c r="AA156" i="1"/>
  <c r="AA143" i="1"/>
  <c r="W143" i="1" s="1"/>
  <c r="X140" i="1"/>
  <c r="AA122" i="1"/>
  <c r="W122" i="1" s="1"/>
  <c r="AA187" i="1"/>
  <c r="W187" i="1" s="1"/>
  <c r="AA92" i="1"/>
  <c r="AA83" i="1"/>
  <c r="W83" i="1" s="1"/>
  <c r="AA75" i="1"/>
  <c r="W75" i="1" s="1"/>
  <c r="AA70" i="1"/>
  <c r="AA68" i="1"/>
  <c r="AA66" i="1"/>
  <c r="W66" i="1" s="1"/>
  <c r="AG62" i="1"/>
  <c r="AI62" i="1" s="1"/>
  <c r="AA61" i="1"/>
  <c r="AA50" i="1"/>
  <c r="AA33" i="1"/>
  <c r="AA24" i="1"/>
  <c r="X19" i="1"/>
  <c r="X162" i="1"/>
  <c r="S12" i="3"/>
  <c r="X143" i="1"/>
  <c r="T184" i="1"/>
  <c r="U96" i="1"/>
  <c r="P82" i="1"/>
  <c r="X165" i="1"/>
  <c r="X141" i="1"/>
  <c r="AA117" i="1"/>
  <c r="X110" i="1"/>
  <c r="AA108" i="1"/>
  <c r="AA195" i="1"/>
  <c r="AA193" i="1"/>
  <c r="AA170" i="1"/>
  <c r="AA87" i="1"/>
  <c r="W87" i="1" s="1"/>
  <c r="AG80" i="1"/>
  <c r="U80" i="1" s="1"/>
  <c r="S80" i="1" s="1"/>
  <c r="X80" i="1"/>
  <c r="AA76" i="1"/>
  <c r="X75" i="1"/>
  <c r="AA36" i="1"/>
  <c r="AA23" i="1"/>
  <c r="X17" i="1"/>
  <c r="AA18" i="1"/>
  <c r="X161" i="1"/>
  <c r="AG160" i="1"/>
  <c r="X160" i="1"/>
  <c r="AD29" i="3"/>
  <c r="Y29" i="3"/>
  <c r="AG219" i="1"/>
  <c r="AI219" i="1" s="1"/>
  <c r="X219" i="1"/>
  <c r="AG152" i="1"/>
  <c r="U152" i="1" s="1"/>
  <c r="S152" i="1" s="1"/>
  <c r="X147" i="1"/>
  <c r="X145" i="1"/>
  <c r="AG144" i="1"/>
  <c r="U144" i="1" s="1"/>
  <c r="S144" i="1" s="1"/>
  <c r="AG137" i="1"/>
  <c r="U137" i="1" s="1"/>
  <c r="S137" i="1" s="1"/>
  <c r="X137" i="1"/>
  <c r="T113" i="1"/>
  <c r="AA98" i="1"/>
  <c r="W98" i="1" s="1"/>
  <c r="AA74" i="1"/>
  <c r="AA45" i="1"/>
  <c r="W45" i="1" s="1"/>
  <c r="AI33" i="1"/>
  <c r="AA31" i="1"/>
  <c r="AA28" i="1"/>
  <c r="AA21" i="1"/>
  <c r="AD41" i="3"/>
  <c r="Y39" i="3"/>
  <c r="AD35" i="3"/>
  <c r="AD33" i="3"/>
  <c r="AD32" i="3"/>
  <c r="AE23" i="3"/>
  <c r="Y7" i="3"/>
  <c r="AD13" i="3"/>
  <c r="AA215" i="1"/>
  <c r="AA211" i="1"/>
  <c r="AA205" i="1"/>
  <c r="X201" i="1"/>
  <c r="AA158" i="1"/>
  <c r="AA151" i="1"/>
  <c r="W151" i="1" s="1"/>
  <c r="AA148" i="1"/>
  <c r="W148" i="1" s="1"/>
  <c r="AA129" i="1"/>
  <c r="X122" i="1"/>
  <c r="AA110" i="1"/>
  <c r="AA103" i="1"/>
  <c r="AA97" i="1"/>
  <c r="X79" i="1"/>
  <c r="AI65" i="1"/>
  <c r="AA62" i="1"/>
  <c r="W62" i="1" s="1"/>
  <c r="X59" i="1"/>
  <c r="AA46" i="1"/>
  <c r="AG42" i="1"/>
  <c r="AI42" i="1" s="1"/>
  <c r="X38" i="1"/>
  <c r="X26" i="1"/>
  <c r="AD21" i="3"/>
  <c r="AE39" i="3"/>
  <c r="AA214" i="1"/>
  <c r="W214" i="1" s="1"/>
  <c r="AA210" i="1"/>
  <c r="W210" i="1" s="1"/>
  <c r="AA204" i="1"/>
  <c r="W204" i="1" s="1"/>
  <c r="X197" i="1"/>
  <c r="AA144" i="1"/>
  <c r="AA136" i="1"/>
  <c r="AA126" i="1"/>
  <c r="AA196" i="1"/>
  <c r="W196" i="1" s="1"/>
  <c r="AA176" i="1"/>
  <c r="W176" i="1" s="1"/>
  <c r="AA168" i="1"/>
  <c r="AA95" i="1"/>
  <c r="W95" i="1" s="1"/>
  <c r="AA78" i="1"/>
  <c r="AA58" i="1"/>
  <c r="AI37" i="1"/>
  <c r="AA35" i="1"/>
  <c r="AA32" i="1"/>
  <c r="AA27" i="1"/>
  <c r="AA25" i="1"/>
  <c r="AG18" i="1"/>
  <c r="X18" i="1"/>
  <c r="AA220" i="1"/>
  <c r="AA219" i="1"/>
  <c r="AG215" i="1"/>
  <c r="AI215" i="1" s="1"/>
  <c r="X215" i="1"/>
  <c r="AG205" i="1"/>
  <c r="X205" i="1"/>
  <c r="T201" i="1"/>
  <c r="U201" i="1" s="1"/>
  <c r="S201" i="1" s="1"/>
  <c r="AA200" i="1"/>
  <c r="W200" i="1" s="1"/>
  <c r="T197" i="1"/>
  <c r="X157" i="1"/>
  <c r="AG156" i="1"/>
  <c r="U156" i="1" s="1"/>
  <c r="S156" i="1" s="1"/>
  <c r="AA155" i="1"/>
  <c r="W155" i="1" s="1"/>
  <c r="AG127" i="1"/>
  <c r="AI127" i="1" s="1"/>
  <c r="X127" i="1"/>
  <c r="X114" i="1"/>
  <c r="AA111" i="1"/>
  <c r="AG207" i="1"/>
  <c r="U207" i="1" s="1"/>
  <c r="S207" i="1" s="1"/>
  <c r="X207" i="1"/>
  <c r="AA104" i="1"/>
  <c r="W104" i="1" s="1"/>
  <c r="AA192" i="1"/>
  <c r="X191" i="1"/>
  <c r="AA183" i="1"/>
  <c r="AA177" i="1"/>
  <c r="AA89" i="1"/>
  <c r="AA86" i="1"/>
  <c r="W29" i="1"/>
  <c r="W21" i="1"/>
  <c r="W97" i="1"/>
  <c r="AA164" i="1"/>
  <c r="X58" i="1"/>
  <c r="AG50" i="1"/>
  <c r="AI50" i="1" s="1"/>
  <c r="AG46" i="1"/>
  <c r="AI46" i="1" s="1"/>
  <c r="AA39" i="1"/>
  <c r="T38" i="1"/>
  <c r="AG30" i="1"/>
  <c r="U30" i="1" s="1"/>
  <c r="S30" i="1" s="1"/>
  <c r="X30" i="1"/>
  <c r="T26" i="1"/>
  <c r="AG22" i="1"/>
  <c r="AI22" i="1" s="1"/>
  <c r="X22" i="1"/>
  <c r="T17" i="1"/>
  <c r="AA221" i="1"/>
  <c r="AA218" i="1"/>
  <c r="W218" i="1" s="1"/>
  <c r="AG211" i="1"/>
  <c r="AI211" i="1" s="1"/>
  <c r="X211" i="1"/>
  <c r="AG201" i="1"/>
  <c r="AG197" i="1"/>
  <c r="U197" i="1" s="1"/>
  <c r="S197" i="1" s="1"/>
  <c r="AI158" i="1"/>
  <c r="AA150" i="1"/>
  <c r="W150" i="1" s="1"/>
  <c r="X148" i="1"/>
  <c r="AA146" i="1"/>
  <c r="AI142" i="1"/>
  <c r="X135" i="1"/>
  <c r="AG130" i="1"/>
  <c r="AI130" i="1" s="1"/>
  <c r="AA121" i="1"/>
  <c r="W121" i="1" s="1"/>
  <c r="AG118" i="1"/>
  <c r="AI118" i="1" s="1"/>
  <c r="AA116" i="1"/>
  <c r="T114" i="1"/>
  <c r="AA207" i="1"/>
  <c r="AA206" i="1"/>
  <c r="W206" i="1" s="1"/>
  <c r="AA100" i="1"/>
  <c r="X194" i="1"/>
  <c r="AA190" i="1"/>
  <c r="AG188" i="1"/>
  <c r="U188" i="1" s="1"/>
  <c r="U184" i="1"/>
  <c r="X181" i="1"/>
  <c r="X180" i="1"/>
  <c r="X178" i="1"/>
  <c r="AG177" i="1"/>
  <c r="X177" i="1"/>
  <c r="X176" i="1"/>
  <c r="AG171" i="1"/>
  <c r="AI171" i="1" s="1"/>
  <c r="X171" i="1"/>
  <c r="AG167" i="1"/>
  <c r="X167" i="1"/>
  <c r="AI95" i="1"/>
  <c r="AG70" i="1"/>
  <c r="AI64" i="1"/>
  <c r="W144" i="1"/>
  <c r="T134" i="1"/>
  <c r="W128" i="1"/>
  <c r="W191" i="1"/>
  <c r="AA179" i="1"/>
  <c r="AA166" i="1"/>
  <c r="X88" i="1"/>
  <c r="AA84" i="1"/>
  <c r="W84" i="1" s="1"/>
  <c r="AA81" i="1"/>
  <c r="AA79" i="1"/>
  <c r="W79" i="1" s="1"/>
  <c r="AA73" i="1"/>
  <c r="W73" i="1" s="1"/>
  <c r="AA72" i="1"/>
  <c r="W72" i="1" s="1"/>
  <c r="X66" i="1"/>
  <c r="AA63" i="1"/>
  <c r="AG58" i="1"/>
  <c r="AI58" i="1" s="1"/>
  <c r="AG55" i="1"/>
  <c r="U55" i="1" s="1"/>
  <c r="S55" i="1" s="1"/>
  <c r="AA54" i="1"/>
  <c r="X45" i="1"/>
  <c r="AA40" i="1"/>
  <c r="AG39" i="1"/>
  <c r="U39" i="1" s="1"/>
  <c r="S39" i="1" s="1"/>
  <c r="X39" i="1"/>
  <c r="AG38" i="1"/>
  <c r="X35" i="1"/>
  <c r="AG34" i="1"/>
  <c r="AI34" i="1" s="1"/>
  <c r="X34" i="1"/>
  <c r="AG26" i="1"/>
  <c r="AG17" i="1"/>
  <c r="AG220" i="1"/>
  <c r="W220" i="1" s="1"/>
  <c r="AG216" i="1"/>
  <c r="AG212" i="1"/>
  <c r="AG208" i="1"/>
  <c r="AG202" i="1"/>
  <c r="AI202" i="1" s="1"/>
  <c r="AG198" i="1"/>
  <c r="U198" i="1" s="1"/>
  <c r="S198" i="1" s="1"/>
  <c r="AG162" i="1"/>
  <c r="AI162" i="1" s="1"/>
  <c r="AG161" i="1"/>
  <c r="U161" i="1" s="1"/>
  <c r="S161" i="1" s="1"/>
  <c r="AG153" i="1"/>
  <c r="U153" i="1" s="1"/>
  <c r="S153" i="1" s="1"/>
  <c r="X153" i="1"/>
  <c r="AA152" i="1"/>
  <c r="AG149" i="1"/>
  <c r="AI149" i="1" s="1"/>
  <c r="X149" i="1"/>
  <c r="X144" i="1"/>
  <c r="T143" i="1"/>
  <c r="T140" i="1"/>
  <c r="U140" i="1" s="1"/>
  <c r="S140" i="1" s="1"/>
  <c r="W138" i="1"/>
  <c r="AG136" i="1"/>
  <c r="W136" i="1" s="1"/>
  <c r="AA134" i="1"/>
  <c r="W134" i="1" s="1"/>
  <c r="AG126" i="1"/>
  <c r="U126" i="1" s="1"/>
  <c r="S126" i="1" s="1"/>
  <c r="AA125" i="1"/>
  <c r="W125" i="1" s="1"/>
  <c r="T125" i="1"/>
  <c r="T122" i="1"/>
  <c r="U122" i="1" s="1"/>
  <c r="S122" i="1" s="1"/>
  <c r="X121" i="1"/>
  <c r="AA114" i="1"/>
  <c r="AA113" i="1"/>
  <c r="W113" i="1" s="1"/>
  <c r="AG111" i="1"/>
  <c r="AI111" i="1" s="1"/>
  <c r="X111" i="1"/>
  <c r="T110" i="1"/>
  <c r="U110" i="1" s="1"/>
  <c r="S110" i="1" s="1"/>
  <c r="X206" i="1"/>
  <c r="T104" i="1"/>
  <c r="T101" i="1"/>
  <c r="X101" i="1"/>
  <c r="AG101" i="1"/>
  <c r="AI101" i="1" s="1"/>
  <c r="T193" i="1"/>
  <c r="AG193" i="1"/>
  <c r="T218" i="1"/>
  <c r="U218" i="1" s="1"/>
  <c r="S218" i="1" s="1"/>
  <c r="T214" i="1"/>
  <c r="T210" i="1"/>
  <c r="U210" i="1" s="1"/>
  <c r="S210" i="1" s="1"/>
  <c r="T204" i="1"/>
  <c r="T200" i="1"/>
  <c r="U200" i="1" s="1"/>
  <c r="S200" i="1" s="1"/>
  <c r="U148" i="1"/>
  <c r="S148" i="1" s="1"/>
  <c r="AA147" i="1"/>
  <c r="W147" i="1" s="1"/>
  <c r="T147" i="1"/>
  <c r="AA145" i="1"/>
  <c r="AA142" i="1"/>
  <c r="W142" i="1" s="1"/>
  <c r="X136" i="1"/>
  <c r="T135" i="1"/>
  <c r="AG131" i="1"/>
  <c r="X131" i="1"/>
  <c r="AA130" i="1"/>
  <c r="W130" i="1" s="1"/>
  <c r="X130" i="1"/>
  <c r="AA127" i="1"/>
  <c r="W127" i="1" s="1"/>
  <c r="X126" i="1"/>
  <c r="AA124" i="1"/>
  <c r="AG119" i="1"/>
  <c r="X119" i="1"/>
  <c r="AA118" i="1"/>
  <c r="AG115" i="1"/>
  <c r="X115" i="1"/>
  <c r="AG114" i="1"/>
  <c r="U114" i="1" s="1"/>
  <c r="S114" i="1" s="1"/>
  <c r="AA109" i="1"/>
  <c r="W109" i="1" s="1"/>
  <c r="T109" i="1"/>
  <c r="U109" i="1" s="1"/>
  <c r="S109" i="1" s="1"/>
  <c r="AI102" i="1"/>
  <c r="W219" i="1"/>
  <c r="AA217" i="1"/>
  <c r="AA216" i="1"/>
  <c r="AA213" i="1"/>
  <c r="AA212" i="1"/>
  <c r="AA209" i="1"/>
  <c r="AA208" i="1"/>
  <c r="W208" i="1" s="1"/>
  <c r="W205" i="1"/>
  <c r="AA203" i="1"/>
  <c r="AA202" i="1"/>
  <c r="AA201" i="1"/>
  <c r="W201" i="1" s="1"/>
  <c r="AA199" i="1"/>
  <c r="AA198" i="1"/>
  <c r="AA197" i="1"/>
  <c r="AA162" i="1"/>
  <c r="W162" i="1" s="1"/>
  <c r="W156" i="1"/>
  <c r="AA154" i="1"/>
  <c r="W154" i="1" s="1"/>
  <c r="AA149" i="1"/>
  <c r="T121" i="1"/>
  <c r="U121" i="1" s="1"/>
  <c r="S121" i="1" s="1"/>
  <c r="AI148" i="1"/>
  <c r="W112" i="1"/>
  <c r="T100" i="1"/>
  <c r="X100" i="1"/>
  <c r="AG100" i="1"/>
  <c r="U70" i="1"/>
  <c r="S70" i="1" s="1"/>
  <c r="AI66" i="1"/>
  <c r="R40" i="3"/>
  <c r="W140" i="1"/>
  <c r="AG135" i="1"/>
  <c r="U130" i="1"/>
  <c r="S130" i="1" s="1"/>
  <c r="W116" i="1"/>
  <c r="W110" i="1"/>
  <c r="X109" i="1"/>
  <c r="AG105" i="1"/>
  <c r="X105" i="1"/>
  <c r="W168" i="1"/>
  <c r="W40" i="1"/>
  <c r="AG185" i="1"/>
  <c r="AI185" i="1" s="1"/>
  <c r="X185" i="1"/>
  <c r="AA184" i="1"/>
  <c r="W184" i="1" s="1"/>
  <c r="AG182" i="1"/>
  <c r="AI182" i="1" s="1"/>
  <c r="X182" i="1"/>
  <c r="T181" i="1"/>
  <c r="AG170" i="1"/>
  <c r="U170" i="1" s="1"/>
  <c r="S170" i="1" s="1"/>
  <c r="AG166" i="1"/>
  <c r="U166" i="1" s="1"/>
  <c r="S166" i="1" s="1"/>
  <c r="AA165" i="1"/>
  <c r="W165" i="1" s="1"/>
  <c r="T165" i="1"/>
  <c r="AA93" i="1"/>
  <c r="X91" i="1"/>
  <c r="AA88" i="1"/>
  <c r="T87" i="1"/>
  <c r="AG76" i="1"/>
  <c r="U76" i="1" s="1"/>
  <c r="S76" i="1" s="1"/>
  <c r="X76" i="1"/>
  <c r="T75" i="1"/>
  <c r="AG74" i="1"/>
  <c r="AI74" i="1" s="1"/>
  <c r="AA71" i="1"/>
  <c r="AA67" i="1"/>
  <c r="X65" i="1"/>
  <c r="AA60" i="1"/>
  <c r="AA59" i="1"/>
  <c r="AG54" i="1"/>
  <c r="AG51" i="1"/>
  <c r="U51" i="1" s="1"/>
  <c r="S51" i="1" s="1"/>
  <c r="X51" i="1"/>
  <c r="X46" i="1"/>
  <c r="T45" i="1"/>
  <c r="AG44" i="1"/>
  <c r="AG43" i="1"/>
  <c r="U43" i="1" s="1"/>
  <c r="X43" i="1"/>
  <c r="AA38" i="1"/>
  <c r="AA37" i="1"/>
  <c r="W37" i="1" s="1"/>
  <c r="AA34" i="1"/>
  <c r="X33" i="1"/>
  <c r="T29" i="1"/>
  <c r="X25" i="1"/>
  <c r="T21" i="1"/>
  <c r="U21" i="1" s="1"/>
  <c r="S21" i="1" s="1"/>
  <c r="X16" i="1"/>
  <c r="AG181" i="1"/>
  <c r="AA180" i="1"/>
  <c r="W180" i="1" s="1"/>
  <c r="T180" i="1"/>
  <c r="AA178" i="1"/>
  <c r="T176" i="1"/>
  <c r="AA173" i="1"/>
  <c r="W173" i="1" s="1"/>
  <c r="AA167" i="1"/>
  <c r="W167" i="1" s="1"/>
  <c r="X166" i="1"/>
  <c r="AA96" i="1"/>
  <c r="W96" i="1" s="1"/>
  <c r="X95" i="1"/>
  <c r="T92" i="1"/>
  <c r="AG88" i="1"/>
  <c r="U88" i="1" s="1"/>
  <c r="S88" i="1" s="1"/>
  <c r="AA85" i="1"/>
  <c r="X83" i="1"/>
  <c r="AA80" i="1"/>
  <c r="W80" i="1" s="1"/>
  <c r="T79" i="1"/>
  <c r="U79" i="1" s="1"/>
  <c r="S79" i="1" s="1"/>
  <c r="T74" i="1"/>
  <c r="AA69" i="1"/>
  <c r="T66" i="1"/>
  <c r="U66" i="1" s="1"/>
  <c r="S66" i="1" s="1"/>
  <c r="T59" i="1"/>
  <c r="U58" i="1"/>
  <c r="S58" i="1" s="1"/>
  <c r="X55" i="1"/>
  <c r="T49" i="1"/>
  <c r="U49" i="1" s="1"/>
  <c r="S49" i="1" s="1"/>
  <c r="AA14" i="1"/>
  <c r="AA102" i="1"/>
  <c r="W102" i="1" s="1"/>
  <c r="AA101" i="1"/>
  <c r="W101" i="1" s="1"/>
  <c r="T196" i="1"/>
  <c r="U196" i="1" s="1"/>
  <c r="S196" i="1" s="1"/>
  <c r="AA194" i="1"/>
  <c r="AA99" i="1"/>
  <c r="T191" i="1"/>
  <c r="W188" i="1"/>
  <c r="AA182" i="1"/>
  <c r="W182" i="1" s="1"/>
  <c r="AA175" i="1"/>
  <c r="U173" i="1"/>
  <c r="S173" i="1" s="1"/>
  <c r="AA169" i="1"/>
  <c r="U167" i="1"/>
  <c r="S167" i="1" s="1"/>
  <c r="X96" i="1"/>
  <c r="AG92" i="1"/>
  <c r="AI92" i="1" s="1"/>
  <c r="T91" i="1"/>
  <c r="X87" i="1"/>
  <c r="AA77" i="1"/>
  <c r="AG71" i="1"/>
  <c r="X71" i="1"/>
  <c r="AA65" i="1"/>
  <c r="W65" i="1" s="1"/>
  <c r="T65" i="1"/>
  <c r="AG59" i="1"/>
  <c r="AI59" i="1" s="1"/>
  <c r="AA53" i="1"/>
  <c r="AA52" i="1"/>
  <c r="AA51" i="1"/>
  <c r="X50" i="1"/>
  <c r="AA49" i="1"/>
  <c r="W49" i="1" s="1"/>
  <c r="AA48" i="1"/>
  <c r="AA41" i="1"/>
  <c r="T33" i="1"/>
  <c r="U33" i="1" s="1"/>
  <c r="S33" i="1" s="1"/>
  <c r="X29" i="1"/>
  <c r="AA26" i="1"/>
  <c r="T25" i="1"/>
  <c r="U25" i="1" s="1"/>
  <c r="S25" i="1" s="1"/>
  <c r="X21" i="1"/>
  <c r="AA17" i="1"/>
  <c r="T16" i="1"/>
  <c r="U177" i="1"/>
  <c r="S177" i="1" s="1"/>
  <c r="T95" i="1"/>
  <c r="U95" i="1" s="1"/>
  <c r="S95" i="1" s="1"/>
  <c r="T83" i="1"/>
  <c r="U46" i="1"/>
  <c r="S46" i="1" s="1"/>
  <c r="T37" i="1"/>
  <c r="U37" i="1" s="1"/>
  <c r="S37" i="1" s="1"/>
  <c r="U26" i="1"/>
  <c r="S26" i="1" s="1"/>
  <c r="W159" i="1"/>
  <c r="W158" i="1"/>
  <c r="AI193" i="1"/>
  <c r="AI218" i="1"/>
  <c r="U214" i="1"/>
  <c r="S214" i="1" s="1"/>
  <c r="AI214" i="1"/>
  <c r="AI210" i="1"/>
  <c r="U204" i="1"/>
  <c r="S204" i="1" s="1"/>
  <c r="AI206" i="1"/>
  <c r="AI177" i="1"/>
  <c r="S40" i="3"/>
  <c r="U219" i="1"/>
  <c r="S219" i="1" s="1"/>
  <c r="X218" i="1"/>
  <c r="U215" i="1"/>
  <c r="S215" i="1" s="1"/>
  <c r="X214" i="1"/>
  <c r="X210" i="1"/>
  <c r="U205" i="1"/>
  <c r="S205" i="1" s="1"/>
  <c r="X204" i="1"/>
  <c r="X200" i="1"/>
  <c r="X159" i="1"/>
  <c r="T159" i="1"/>
  <c r="U159" i="1" s="1"/>
  <c r="S159" i="1" s="1"/>
  <c r="AA157" i="1"/>
  <c r="AI191" i="1"/>
  <c r="X155" i="1"/>
  <c r="T154" i="1"/>
  <c r="U154" i="1" s="1"/>
  <c r="S154" i="1" s="1"/>
  <c r="X154" i="1"/>
  <c r="AI184" i="1"/>
  <c r="U147" i="1"/>
  <c r="S147" i="1" s="1"/>
  <c r="AA141" i="1"/>
  <c r="T139" i="1"/>
  <c r="X139" i="1"/>
  <c r="AG139" i="1"/>
  <c r="W139" i="1" s="1"/>
  <c r="AI173" i="1"/>
  <c r="AI165" i="1"/>
  <c r="AA120" i="1"/>
  <c r="W120" i="1" s="1"/>
  <c r="U118" i="1"/>
  <c r="S118" i="1" s="1"/>
  <c r="U104" i="1"/>
  <c r="AI106" i="1"/>
  <c r="AI52" i="1"/>
  <c r="U208" i="1"/>
  <c r="S208" i="1" s="1"/>
  <c r="T157" i="1"/>
  <c r="T141" i="1"/>
  <c r="AI172" i="1"/>
  <c r="AI167" i="1"/>
  <c r="AG129" i="1"/>
  <c r="X129" i="1"/>
  <c r="AI140" i="1"/>
  <c r="AG217" i="1"/>
  <c r="AG157" i="1"/>
  <c r="AI157" i="1" s="1"/>
  <c r="X152" i="1"/>
  <c r="T151" i="1"/>
  <c r="U151" i="1" s="1"/>
  <c r="S151" i="1" s="1"/>
  <c r="T146" i="1"/>
  <c r="X146" i="1"/>
  <c r="T145" i="1"/>
  <c r="AG141" i="1"/>
  <c r="AI141" i="1" s="1"/>
  <c r="AG133" i="1"/>
  <c r="AI133" i="1" s="1"/>
  <c r="X133" i="1"/>
  <c r="T133" i="1"/>
  <c r="X134" i="1"/>
  <c r="U127" i="1"/>
  <c r="S127" i="1" s="1"/>
  <c r="X123" i="1"/>
  <c r="AG123" i="1"/>
  <c r="AI123" i="1" s="1"/>
  <c r="AI155" i="1"/>
  <c r="U119" i="1"/>
  <c r="S119" i="1" s="1"/>
  <c r="U111" i="1"/>
  <c r="X107" i="1"/>
  <c r="AG107" i="1"/>
  <c r="AI107" i="1" s="1"/>
  <c r="U105" i="1"/>
  <c r="S105" i="1" s="1"/>
  <c r="X174" i="1"/>
  <c r="AG174" i="1"/>
  <c r="T174" i="1"/>
  <c r="S39" i="3"/>
  <c r="U216" i="1"/>
  <c r="S216" i="1" s="1"/>
  <c r="U212" i="1"/>
  <c r="S212" i="1" s="1"/>
  <c r="U162" i="1"/>
  <c r="S162" i="1" s="1"/>
  <c r="T158" i="1"/>
  <c r="U158" i="1" s="1"/>
  <c r="S158" i="1" s="1"/>
  <c r="X158" i="1"/>
  <c r="T142" i="1"/>
  <c r="U142" i="1" s="1"/>
  <c r="S142" i="1" s="1"/>
  <c r="X142" i="1"/>
  <c r="AI122" i="1"/>
  <c r="R39" i="3"/>
  <c r="AG221" i="1"/>
  <c r="W221" i="1" s="1"/>
  <c r="X220" i="1"/>
  <c r="X216" i="1"/>
  <c r="AG213" i="1"/>
  <c r="X212" i="1"/>
  <c r="AG209" i="1"/>
  <c r="W209" i="1" s="1"/>
  <c r="X208" i="1"/>
  <c r="AG203" i="1"/>
  <c r="AI203" i="1" s="1"/>
  <c r="X202" i="1"/>
  <c r="AG199" i="1"/>
  <c r="AI199" i="1" s="1"/>
  <c r="X198" i="1"/>
  <c r="X221" i="1"/>
  <c r="X217" i="1"/>
  <c r="AI216" i="1"/>
  <c r="X213" i="1"/>
  <c r="AI212" i="1"/>
  <c r="X209" i="1"/>
  <c r="AI208" i="1"/>
  <c r="X203" i="1"/>
  <c r="AI204" i="1"/>
  <c r="X199" i="1"/>
  <c r="AI200" i="1"/>
  <c r="AI196" i="1"/>
  <c r="X156" i="1"/>
  <c r="T155" i="1"/>
  <c r="U155" i="1" s="1"/>
  <c r="S155" i="1" s="1"/>
  <c r="AA153" i="1"/>
  <c r="AI187" i="1"/>
  <c r="X151" i="1"/>
  <c r="T150" i="1"/>
  <c r="U150" i="1" s="1"/>
  <c r="S150" i="1" s="1"/>
  <c r="X150" i="1"/>
  <c r="AG146" i="1"/>
  <c r="AI146" i="1" s="1"/>
  <c r="AG145" i="1"/>
  <c r="U143" i="1"/>
  <c r="S143" i="1" s="1"/>
  <c r="T138" i="1"/>
  <c r="U138" i="1" s="1"/>
  <c r="S138" i="1" s="1"/>
  <c r="X138" i="1"/>
  <c r="AA137" i="1"/>
  <c r="U134" i="1"/>
  <c r="S134" i="1" s="1"/>
  <c r="AA132" i="1"/>
  <c r="W132" i="1" s="1"/>
  <c r="AI166" i="1"/>
  <c r="U131" i="1"/>
  <c r="S131" i="1" s="1"/>
  <c r="T129" i="1"/>
  <c r="T124" i="1"/>
  <c r="X124" i="1"/>
  <c r="AG124" i="1"/>
  <c r="AI154" i="1"/>
  <c r="AG117" i="1"/>
  <c r="W117" i="1" s="1"/>
  <c r="X117" i="1"/>
  <c r="T117" i="1"/>
  <c r="X118" i="1"/>
  <c r="T108" i="1"/>
  <c r="X108" i="1"/>
  <c r="AG108" i="1"/>
  <c r="AA106" i="1"/>
  <c r="W106" i="1" s="1"/>
  <c r="S104" i="1"/>
  <c r="AI138" i="1"/>
  <c r="AG103" i="1"/>
  <c r="X103" i="1"/>
  <c r="T103" i="1"/>
  <c r="X104" i="1"/>
  <c r="AG99" i="1"/>
  <c r="AI99" i="1" s="1"/>
  <c r="T99" i="1"/>
  <c r="X99" i="1"/>
  <c r="X193" i="1"/>
  <c r="X189" i="1"/>
  <c r="AG189" i="1"/>
  <c r="AI189" i="1" s="1"/>
  <c r="T189" i="1"/>
  <c r="AA131" i="1"/>
  <c r="T128" i="1"/>
  <c r="U128" i="1" s="1"/>
  <c r="S128" i="1" s="1"/>
  <c r="X128" i="1"/>
  <c r="AA115" i="1"/>
  <c r="AI150" i="1"/>
  <c r="X113" i="1"/>
  <c r="T112" i="1"/>
  <c r="U112" i="1" s="1"/>
  <c r="S112" i="1" s="1"/>
  <c r="X112" i="1"/>
  <c r="AI136" i="1"/>
  <c r="AI134" i="1"/>
  <c r="X196" i="1"/>
  <c r="T195" i="1"/>
  <c r="X195" i="1"/>
  <c r="T194" i="1"/>
  <c r="T190" i="1"/>
  <c r="X190" i="1"/>
  <c r="AG190" i="1"/>
  <c r="AI190" i="1" s="1"/>
  <c r="AI121" i="1"/>
  <c r="U185" i="1"/>
  <c r="S185" i="1" s="1"/>
  <c r="T175" i="1"/>
  <c r="X175" i="1"/>
  <c r="AG175" i="1"/>
  <c r="AI175" i="1" s="1"/>
  <c r="AI105" i="1"/>
  <c r="U171" i="1"/>
  <c r="S171" i="1" s="1"/>
  <c r="AA135" i="1"/>
  <c r="T132" i="1"/>
  <c r="U132" i="1" s="1"/>
  <c r="S132" i="1" s="1"/>
  <c r="X132" i="1"/>
  <c r="U125" i="1"/>
  <c r="S125" i="1" s="1"/>
  <c r="AA119" i="1"/>
  <c r="W119" i="1" s="1"/>
  <c r="T116" i="1"/>
  <c r="U116" i="1" s="1"/>
  <c r="S116" i="1" s="1"/>
  <c r="X116" i="1"/>
  <c r="S111" i="1"/>
  <c r="AI147" i="1"/>
  <c r="T206" i="1"/>
  <c r="U206" i="1" s="1"/>
  <c r="S206" i="1" s="1"/>
  <c r="AA105" i="1"/>
  <c r="W105" i="1" s="1"/>
  <c r="T102" i="1"/>
  <c r="U102" i="1" s="1"/>
  <c r="S102" i="1" s="1"/>
  <c r="X102" i="1"/>
  <c r="AG195" i="1"/>
  <c r="AI195" i="1" s="1"/>
  <c r="AG194" i="1"/>
  <c r="AI194" i="1" s="1"/>
  <c r="T192" i="1"/>
  <c r="X192" i="1"/>
  <c r="AG192" i="1"/>
  <c r="AA186" i="1"/>
  <c r="W186" i="1" s="1"/>
  <c r="S184" i="1"/>
  <c r="AI120" i="1"/>
  <c r="AG183" i="1"/>
  <c r="AI183" i="1" s="1"/>
  <c r="X183" i="1"/>
  <c r="T183" i="1"/>
  <c r="X184" i="1"/>
  <c r="AA172" i="1"/>
  <c r="W172" i="1" s="1"/>
  <c r="AI104" i="1"/>
  <c r="AG169" i="1"/>
  <c r="AI169" i="1" s="1"/>
  <c r="X169" i="1"/>
  <c r="T169" i="1"/>
  <c r="X170" i="1"/>
  <c r="T163" i="1"/>
  <c r="AG163" i="1"/>
  <c r="AI163" i="1" s="1"/>
  <c r="AA123" i="1"/>
  <c r="T120" i="1"/>
  <c r="U120" i="1" s="1"/>
  <c r="S120" i="1" s="1"/>
  <c r="X120" i="1"/>
  <c r="AI151" i="1"/>
  <c r="U113" i="1"/>
  <c r="S113" i="1" s="1"/>
  <c r="AA107" i="1"/>
  <c r="T106" i="1"/>
  <c r="U106" i="1" s="1"/>
  <c r="S106" i="1" s="1"/>
  <c r="X106" i="1"/>
  <c r="AG89" i="1"/>
  <c r="T89" i="1"/>
  <c r="X89" i="1"/>
  <c r="AG81" i="1"/>
  <c r="T81" i="1"/>
  <c r="X81" i="1"/>
  <c r="AA189" i="1"/>
  <c r="AI124" i="1"/>
  <c r="S188" i="1"/>
  <c r="X187" i="1"/>
  <c r="T186" i="1"/>
  <c r="U186" i="1" s="1"/>
  <c r="S186" i="1" s="1"/>
  <c r="X186" i="1"/>
  <c r="U180" i="1"/>
  <c r="S180" i="1" s="1"/>
  <c r="AA174" i="1"/>
  <c r="W174" i="1" s="1"/>
  <c r="X97" i="1"/>
  <c r="T172" i="1"/>
  <c r="U172" i="1" s="1"/>
  <c r="S172" i="1" s="1"/>
  <c r="X172" i="1"/>
  <c r="U165" i="1"/>
  <c r="S165" i="1" s="1"/>
  <c r="AA163" i="1"/>
  <c r="AI91" i="1"/>
  <c r="U91" i="1"/>
  <c r="S91" i="1" s="1"/>
  <c r="S84" i="1"/>
  <c r="AI84" i="1"/>
  <c r="AI83" i="1"/>
  <c r="U83" i="1"/>
  <c r="AI75" i="1"/>
  <c r="U75" i="1"/>
  <c r="S75" i="1" s="1"/>
  <c r="AI70" i="1"/>
  <c r="AG69" i="1"/>
  <c r="W69" i="1" s="1"/>
  <c r="T69" i="1"/>
  <c r="X70" i="1"/>
  <c r="X69" i="1"/>
  <c r="AI60" i="1"/>
  <c r="T56" i="1"/>
  <c r="X56" i="1"/>
  <c r="AG56" i="1"/>
  <c r="T48" i="1"/>
  <c r="X48" i="1"/>
  <c r="AG48" i="1"/>
  <c r="W48" i="1" s="1"/>
  <c r="X49" i="1"/>
  <c r="T23" i="1"/>
  <c r="X23" i="1"/>
  <c r="AG23" i="1"/>
  <c r="AA22" i="1"/>
  <c r="T179" i="1"/>
  <c r="X179" i="1"/>
  <c r="T178" i="1"/>
  <c r="T164" i="1"/>
  <c r="AI87" i="1"/>
  <c r="U87" i="1"/>
  <c r="S87" i="1" s="1"/>
  <c r="AI80" i="1"/>
  <c r="AI79" i="1"/>
  <c r="AI72" i="1"/>
  <c r="AI43" i="1"/>
  <c r="AA42" i="1"/>
  <c r="U42" i="1"/>
  <c r="S42" i="1" s="1"/>
  <c r="U191" i="1"/>
  <c r="S191" i="1" s="1"/>
  <c r="X188" i="1"/>
  <c r="T187" i="1"/>
  <c r="U187" i="1" s="1"/>
  <c r="S187" i="1" s="1"/>
  <c r="AA185" i="1"/>
  <c r="W185" i="1" s="1"/>
  <c r="T98" i="1"/>
  <c r="U98" i="1" s="1"/>
  <c r="S98" i="1" s="1"/>
  <c r="X98" i="1"/>
  <c r="AG179" i="1"/>
  <c r="AI179" i="1" s="1"/>
  <c r="AG178" i="1"/>
  <c r="AI178" i="1" s="1"/>
  <c r="U176" i="1"/>
  <c r="S176" i="1" s="1"/>
  <c r="X173" i="1"/>
  <c r="T97" i="1"/>
  <c r="U97" i="1" s="1"/>
  <c r="S97" i="1" s="1"/>
  <c r="AA171" i="1"/>
  <c r="T168" i="1"/>
  <c r="U168" i="1" s="1"/>
  <c r="S168" i="1" s="1"/>
  <c r="X168" i="1"/>
  <c r="AG164" i="1"/>
  <c r="W164" i="1" s="1"/>
  <c r="S96" i="1"/>
  <c r="AI96" i="1"/>
  <c r="AG93" i="1"/>
  <c r="T93" i="1"/>
  <c r="X93" i="1"/>
  <c r="W92" i="1"/>
  <c r="W91" i="1"/>
  <c r="AG85" i="1"/>
  <c r="W85" i="1" s="1"/>
  <c r="T85" i="1"/>
  <c r="X85" i="1"/>
  <c r="AG77" i="1"/>
  <c r="T77" i="1"/>
  <c r="X77" i="1"/>
  <c r="AI71" i="1"/>
  <c r="U71" i="1"/>
  <c r="S71" i="1" s="1"/>
  <c r="W70" i="1"/>
  <c r="W64" i="1"/>
  <c r="W60" i="1"/>
  <c r="T53" i="1"/>
  <c r="X53" i="1"/>
  <c r="AG53" i="1"/>
  <c r="W53" i="1" s="1"/>
  <c r="X54" i="1"/>
  <c r="AG94" i="1"/>
  <c r="AG90" i="1"/>
  <c r="AG86" i="1"/>
  <c r="W86" i="1" s="1"/>
  <c r="AG82" i="1"/>
  <c r="AG78" i="1"/>
  <c r="X74" i="1"/>
  <c r="T73" i="1"/>
  <c r="U73" i="1" s="1"/>
  <c r="S73" i="1" s="1"/>
  <c r="T68" i="1"/>
  <c r="X68" i="1"/>
  <c r="T67" i="1"/>
  <c r="AG63" i="1"/>
  <c r="X63" i="1"/>
  <c r="T61" i="1"/>
  <c r="X61" i="1"/>
  <c r="AG61" i="1"/>
  <c r="AI55" i="1"/>
  <c r="W52" i="1"/>
  <c r="X94" i="1"/>
  <c r="X90" i="1"/>
  <c r="X86" i="1"/>
  <c r="X82" i="1"/>
  <c r="X78" i="1"/>
  <c r="X73" i="1"/>
  <c r="T72" i="1"/>
  <c r="U72" i="1" s="1"/>
  <c r="S72" i="1" s="1"/>
  <c r="X72" i="1"/>
  <c r="AG68" i="1"/>
  <c r="AG67" i="1"/>
  <c r="U65" i="1"/>
  <c r="S65" i="1" s="1"/>
  <c r="X62" i="1"/>
  <c r="AA56" i="1"/>
  <c r="T52" i="1"/>
  <c r="U52" i="1" s="1"/>
  <c r="S52" i="1" s="1"/>
  <c r="X52" i="1"/>
  <c r="X47" i="1"/>
  <c r="AG47" i="1"/>
  <c r="AI44" i="1"/>
  <c r="T64" i="1"/>
  <c r="U64" i="1" s="1"/>
  <c r="S64" i="1" s="1"/>
  <c r="X64" i="1"/>
  <c r="T60" i="1"/>
  <c r="U60" i="1" s="1"/>
  <c r="S60" i="1" s="1"/>
  <c r="X60" i="1"/>
  <c r="T57" i="1"/>
  <c r="X57" i="1"/>
  <c r="AG57" i="1"/>
  <c r="AA44" i="1"/>
  <c r="W44" i="1" s="1"/>
  <c r="AG41" i="1"/>
  <c r="X41" i="1"/>
  <c r="T41" i="1"/>
  <c r="X42" i="1"/>
  <c r="T31" i="1"/>
  <c r="X31" i="1"/>
  <c r="AG31" i="1"/>
  <c r="AA30" i="1"/>
  <c r="U45" i="1"/>
  <c r="S45" i="1" s="1"/>
  <c r="AI40" i="1"/>
  <c r="AI38" i="1"/>
  <c r="X37" i="1"/>
  <c r="T36" i="1"/>
  <c r="X36" i="1"/>
  <c r="T35" i="1"/>
  <c r="U29" i="1"/>
  <c r="S29" i="1" s="1"/>
  <c r="AI29" i="1"/>
  <c r="AI21" i="1"/>
  <c r="AI51" i="1"/>
  <c r="AA43" i="1"/>
  <c r="T40" i="1"/>
  <c r="U40" i="1" s="1"/>
  <c r="S40" i="1" s="1"/>
  <c r="X40" i="1"/>
  <c r="AG36" i="1"/>
  <c r="AG35" i="1"/>
  <c r="W35" i="1" s="1"/>
  <c r="W33" i="1"/>
  <c r="T27" i="1"/>
  <c r="X27" i="1"/>
  <c r="AG27" i="1"/>
  <c r="W26" i="1"/>
  <c r="W25" i="1"/>
  <c r="T19" i="1"/>
  <c r="AG19" i="1"/>
  <c r="W17" i="1"/>
  <c r="W16" i="1"/>
  <c r="T14" i="1"/>
  <c r="AG14" i="1"/>
  <c r="W14" i="1" s="1"/>
  <c r="AA47" i="1"/>
  <c r="W47" i="1" s="1"/>
  <c r="T44" i="1"/>
  <c r="U44" i="1" s="1"/>
  <c r="X44" i="1"/>
  <c r="W31" i="1"/>
  <c r="AI26" i="1"/>
  <c r="AI25" i="1"/>
  <c r="AI17" i="1"/>
  <c r="U16" i="1"/>
  <c r="S16" i="1" s="1"/>
  <c r="AI16" i="1"/>
  <c r="AG32" i="1"/>
  <c r="AG28" i="1"/>
  <c r="AG24" i="1"/>
  <c r="AG20" i="1"/>
  <c r="W20" i="1" s="1"/>
  <c r="AG15" i="1"/>
  <c r="W15" i="1" s="1"/>
  <c r="X32" i="1"/>
  <c r="X28" i="1"/>
  <c r="X24" i="1"/>
  <c r="X20" i="1"/>
  <c r="X15" i="1"/>
  <c r="AD16" i="3"/>
  <c r="AD12" i="3"/>
  <c r="Y40" i="3"/>
  <c r="AD39" i="3"/>
  <c r="Y31" i="3"/>
  <c r="Y34" i="3"/>
  <c r="AD25" i="3"/>
  <c r="Y9" i="3"/>
  <c r="Y25" i="3"/>
  <c r="Y8" i="3"/>
  <c r="AD9" i="3"/>
  <c r="Y11" i="3"/>
  <c r="AD40" i="3"/>
  <c r="Y16" i="3"/>
  <c r="Y20" i="3"/>
  <c r="AD31" i="3"/>
  <c r="Y18" i="3"/>
  <c r="AE19" i="3"/>
  <c r="Y12" i="3"/>
  <c r="AD15" i="3"/>
  <c r="AD8" i="3"/>
  <c r="AE8" i="3"/>
  <c r="AE27" i="3"/>
  <c r="AD19" i="3"/>
  <c r="T15" i="3"/>
  <c r="T17" i="3"/>
  <c r="AE31" i="3"/>
  <c r="T36" i="3"/>
  <c r="Y32" i="3"/>
  <c r="AE15" i="3"/>
  <c r="Y17" i="3"/>
  <c r="T23" i="3"/>
  <c r="Y41" i="3"/>
  <c r="Y15" i="3"/>
  <c r="AD36" i="3"/>
  <c r="Y37" i="3"/>
  <c r="AC19" i="3"/>
  <c r="Y36" i="3"/>
  <c r="AD20" i="3"/>
  <c r="Y13" i="3"/>
  <c r="AC22" i="3"/>
  <c r="Y23" i="3"/>
  <c r="AE26" i="3"/>
  <c r="T34" i="3"/>
  <c r="AE22" i="3"/>
  <c r="AE14" i="3"/>
  <c r="T26" i="3"/>
  <c r="AE10" i="3"/>
  <c r="T8" i="3"/>
  <c r="AE30" i="3"/>
  <c r="T30" i="3"/>
  <c r="AE37" i="3"/>
  <c r="T16" i="3"/>
  <c r="T31" i="3"/>
  <c r="AD22" i="3"/>
  <c r="AE21" i="3"/>
  <c r="T18" i="3"/>
  <c r="AD18" i="3"/>
  <c r="AE17" i="3"/>
  <c r="T25" i="3"/>
  <c r="AD14" i="3"/>
  <c r="AE13" i="3"/>
  <c r="T22" i="3"/>
  <c r="AD10" i="3"/>
  <c r="AE9" i="3"/>
  <c r="T24" i="3"/>
  <c r="AE38" i="3"/>
  <c r="T38" i="3"/>
  <c r="AE34" i="3"/>
  <c r="T14" i="3"/>
  <c r="T21" i="3"/>
  <c r="AE18" i="3"/>
  <c r="T29" i="3"/>
  <c r="AE41" i="3"/>
  <c r="T35" i="3"/>
  <c r="AD38" i="3"/>
  <c r="AD34" i="3"/>
  <c r="AE33" i="3"/>
  <c r="AD30" i="3"/>
  <c r="AE29" i="3"/>
  <c r="T19" i="3"/>
  <c r="AD26" i="3"/>
  <c r="AE25" i="3"/>
  <c r="T33" i="3"/>
  <c r="AE40" i="3"/>
  <c r="AE36" i="3"/>
  <c r="AE32" i="3"/>
  <c r="AE28" i="3"/>
  <c r="AE24" i="3"/>
  <c r="AE20" i="3"/>
  <c r="AE16" i="3"/>
  <c r="AE12" i="3"/>
  <c r="T27" i="3"/>
  <c r="Y27" i="3"/>
  <c r="W38" i="1" l="1"/>
  <c r="U135" i="1"/>
  <c r="S135" i="1" s="1"/>
  <c r="W118" i="1"/>
  <c r="W212" i="1"/>
  <c r="W74" i="1"/>
  <c r="U17" i="1"/>
  <c r="S17" i="1" s="1"/>
  <c r="W89" i="1"/>
  <c r="W211" i="1"/>
  <c r="W76" i="1"/>
  <c r="W108" i="1"/>
  <c r="AI39" i="1"/>
  <c r="W43" i="1"/>
  <c r="W42" i="1"/>
  <c r="AI108" i="1"/>
  <c r="W189" i="1"/>
  <c r="AI135" i="1"/>
  <c r="W123" i="1"/>
  <c r="AI152" i="1"/>
  <c r="W131" i="1"/>
  <c r="W137" i="1"/>
  <c r="W213" i="1"/>
  <c r="AI139" i="1"/>
  <c r="AI198" i="1"/>
  <c r="W215" i="1"/>
  <c r="AI30" i="1"/>
  <c r="W171" i="1"/>
  <c r="W81" i="1"/>
  <c r="AI188" i="1"/>
  <c r="U62" i="1"/>
  <c r="S62" i="1" s="1"/>
  <c r="U50" i="1"/>
  <c r="S50" i="1" s="1"/>
  <c r="W39" i="1"/>
  <c r="W30" i="1"/>
  <c r="U22" i="1"/>
  <c r="S22" i="1" s="1"/>
  <c r="W135" i="1"/>
  <c r="U211" i="1"/>
  <c r="S211" i="1" s="1"/>
  <c r="W198" i="1"/>
  <c r="W216" i="1"/>
  <c r="W152" i="1"/>
  <c r="AI160" i="1"/>
  <c r="U160" i="1"/>
  <c r="S160" i="1" s="1"/>
  <c r="W160" i="1"/>
  <c r="W170" i="1"/>
  <c r="U59" i="1"/>
  <c r="S59" i="1" s="1"/>
  <c r="U181" i="1"/>
  <c r="S181" i="1" s="1"/>
  <c r="U149" i="1"/>
  <c r="S149" i="1" s="1"/>
  <c r="W149" i="1"/>
  <c r="W207" i="1"/>
  <c r="U38" i="1"/>
  <c r="S38" i="1" s="1"/>
  <c r="W71" i="1"/>
  <c r="W107" i="1"/>
  <c r="W153" i="1"/>
  <c r="AI170" i="1"/>
  <c r="U34" i="1"/>
  <c r="S34" i="1" s="1"/>
  <c r="W197" i="1"/>
  <c r="AI88" i="1"/>
  <c r="W22" i="1"/>
  <c r="AI76" i="1"/>
  <c r="W203" i="1"/>
  <c r="U220" i="1"/>
  <c r="S220" i="1" s="1"/>
  <c r="AI156" i="1"/>
  <c r="W34" i="1"/>
  <c r="AI117" i="1"/>
  <c r="W115" i="1"/>
  <c r="W124" i="1"/>
  <c r="AI220" i="1"/>
  <c r="U202" i="1"/>
  <c r="S202" i="1" s="1"/>
  <c r="W88" i="1"/>
  <c r="AI18" i="1"/>
  <c r="U18" i="1"/>
  <c r="S18" i="1" s="1"/>
  <c r="W18" i="1"/>
  <c r="U193" i="1"/>
  <c r="S193" i="1" s="1"/>
  <c r="W55" i="1"/>
  <c r="W202" i="1"/>
  <c r="AI207" i="1"/>
  <c r="W181" i="1"/>
  <c r="W177" i="1"/>
  <c r="W58" i="1"/>
  <c r="W46" i="1"/>
  <c r="W50" i="1"/>
  <c r="W145" i="1"/>
  <c r="AI145" i="1"/>
  <c r="W178" i="1"/>
  <c r="W141" i="1"/>
  <c r="U54" i="1"/>
  <c r="S54" i="1" s="1"/>
  <c r="AI54" i="1"/>
  <c r="U100" i="1"/>
  <c r="S100" i="1" s="1"/>
  <c r="AI100" i="1"/>
  <c r="U101" i="1"/>
  <c r="S101" i="1" s="1"/>
  <c r="U136" i="1"/>
  <c r="S136" i="1" s="1"/>
  <c r="W163" i="1"/>
  <c r="W99" i="1"/>
  <c r="W157" i="1"/>
  <c r="U182" i="1"/>
  <c r="S182" i="1" s="1"/>
  <c r="W51" i="1"/>
  <c r="U92" i="1"/>
  <c r="S92" i="1" s="1"/>
  <c r="W59" i="1"/>
  <c r="W193" i="1"/>
  <c r="W111" i="1"/>
  <c r="U115" i="1"/>
  <c r="S115" i="1" s="1"/>
  <c r="AI115" i="1"/>
  <c r="W114" i="1"/>
  <c r="W126" i="1"/>
  <c r="W146" i="1"/>
  <c r="U74" i="1"/>
  <c r="S74" i="1" s="1"/>
  <c r="W54" i="1"/>
  <c r="W166" i="1"/>
  <c r="W100" i="1"/>
  <c r="W161" i="1"/>
  <c r="AI27" i="1"/>
  <c r="U27" i="1"/>
  <c r="S27" i="1" s="1"/>
  <c r="U41" i="1"/>
  <c r="S41" i="1" s="1"/>
  <c r="AI41" i="1"/>
  <c r="U57" i="1"/>
  <c r="S57" i="1" s="1"/>
  <c r="AI57" i="1"/>
  <c r="AI67" i="1"/>
  <c r="U67" i="1"/>
  <c r="S67" i="1" s="1"/>
  <c r="U90" i="1"/>
  <c r="S90" i="1" s="1"/>
  <c r="AI90" i="1"/>
  <c r="W90" i="1"/>
  <c r="U77" i="1"/>
  <c r="S77" i="1" s="1"/>
  <c r="AI77" i="1"/>
  <c r="AI113" i="1"/>
  <c r="U178" i="1"/>
  <c r="S178" i="1" s="1"/>
  <c r="AI23" i="1"/>
  <c r="U23" i="1"/>
  <c r="S23" i="1" s="1"/>
  <c r="AI56" i="1"/>
  <c r="U56" i="1"/>
  <c r="S56" i="1" s="1"/>
  <c r="U183" i="1"/>
  <c r="S183" i="1" s="1"/>
  <c r="AI119" i="1"/>
  <c r="U192" i="1"/>
  <c r="S192" i="1" s="1"/>
  <c r="AI128" i="1"/>
  <c r="U195" i="1"/>
  <c r="S195" i="1" s="1"/>
  <c r="AI132" i="1"/>
  <c r="AI110" i="1"/>
  <c r="U175" i="1"/>
  <c r="S175" i="1" s="1"/>
  <c r="W183" i="1"/>
  <c r="W192" i="1"/>
  <c r="U199" i="1"/>
  <c r="S199" i="1" s="1"/>
  <c r="AI201" i="1"/>
  <c r="W195" i="1"/>
  <c r="AI143" i="1"/>
  <c r="U107" i="1"/>
  <c r="S107" i="1" s="1"/>
  <c r="AI176" i="1"/>
  <c r="U141" i="1"/>
  <c r="S141" i="1" s="1"/>
  <c r="AI197" i="1"/>
  <c r="U217" i="1"/>
  <c r="S217" i="1" s="1"/>
  <c r="AI217" i="1"/>
  <c r="W199" i="1"/>
  <c r="W217" i="1"/>
  <c r="U94" i="1"/>
  <c r="AI94" i="1"/>
  <c r="U85" i="1"/>
  <c r="S85" i="1" s="1"/>
  <c r="AI85" i="1"/>
  <c r="AI48" i="1"/>
  <c r="U48" i="1"/>
  <c r="S48" i="1" s="1"/>
  <c r="W94" i="1"/>
  <c r="AI126" i="1"/>
  <c r="U190" i="1"/>
  <c r="S190" i="1" s="1"/>
  <c r="U117" i="1"/>
  <c r="S117" i="1" s="1"/>
  <c r="AI153" i="1"/>
  <c r="U20" i="1"/>
  <c r="S20" i="1" s="1"/>
  <c r="AI20" i="1"/>
  <c r="U36" i="1"/>
  <c r="S36" i="1" s="1"/>
  <c r="AI36" i="1"/>
  <c r="AI125" i="1"/>
  <c r="U189" i="1"/>
  <c r="S189" i="1" s="1"/>
  <c r="AI181" i="1"/>
  <c r="U146" i="1"/>
  <c r="S146" i="1" s="1"/>
  <c r="AI159" i="1"/>
  <c r="U123" i="1"/>
  <c r="S123" i="1" s="1"/>
  <c r="U129" i="1"/>
  <c r="S129" i="1" s="1"/>
  <c r="AI164" i="1"/>
  <c r="W190" i="1"/>
  <c r="U28" i="1"/>
  <c r="S28" i="1" s="1"/>
  <c r="AI28" i="1"/>
  <c r="U15" i="1"/>
  <c r="S15" i="1" s="1"/>
  <c r="AI15" i="1"/>
  <c r="U32" i="1"/>
  <c r="S32" i="1" s="1"/>
  <c r="AI32" i="1"/>
  <c r="W32" i="1"/>
  <c r="AI35" i="1"/>
  <c r="U35" i="1"/>
  <c r="S35" i="1" s="1"/>
  <c r="W27" i="1"/>
  <c r="W28" i="1"/>
  <c r="AI68" i="1"/>
  <c r="U68" i="1"/>
  <c r="S68" i="1" s="1"/>
  <c r="W68" i="1"/>
  <c r="U78" i="1"/>
  <c r="S78" i="1" s="1"/>
  <c r="AI78" i="1"/>
  <c r="U164" i="1"/>
  <c r="S164" i="1" s="1"/>
  <c r="AI98" i="1"/>
  <c r="U179" i="1"/>
  <c r="S179" i="1" s="1"/>
  <c r="AI114" i="1"/>
  <c r="U169" i="1"/>
  <c r="S169" i="1" s="1"/>
  <c r="AI103" i="1"/>
  <c r="AI161" i="1"/>
  <c r="U124" i="1"/>
  <c r="S124" i="1" s="1"/>
  <c r="AI180" i="1"/>
  <c r="U145" i="1"/>
  <c r="S145" i="1" s="1"/>
  <c r="U209" i="1"/>
  <c r="S209" i="1" s="1"/>
  <c r="AI209" i="1"/>
  <c r="U133" i="1"/>
  <c r="S133" i="1" s="1"/>
  <c r="AI168" i="1"/>
  <c r="W133" i="1"/>
  <c r="AI14" i="1"/>
  <c r="U14" i="1"/>
  <c r="S14" i="1" s="1"/>
  <c r="AI31" i="1"/>
  <c r="U31" i="1"/>
  <c r="S31" i="1" s="1"/>
  <c r="W36" i="1"/>
  <c r="AI47" i="1"/>
  <c r="U47" i="1"/>
  <c r="S47" i="1" s="1"/>
  <c r="U61" i="1"/>
  <c r="S61" i="1" s="1"/>
  <c r="AI61" i="1"/>
  <c r="W61" i="1"/>
  <c r="AI63" i="1"/>
  <c r="U63" i="1"/>
  <c r="S63" i="1" s="1"/>
  <c r="U82" i="1"/>
  <c r="S82" i="1" s="1"/>
  <c r="AI82" i="1"/>
  <c r="W82" i="1"/>
  <c r="W57" i="1"/>
  <c r="U93" i="1"/>
  <c r="S93" i="1" s="1"/>
  <c r="AI93" i="1"/>
  <c r="W77" i="1"/>
  <c r="W93" i="1"/>
  <c r="U89" i="1"/>
  <c r="S89" i="1" s="1"/>
  <c r="AI89" i="1"/>
  <c r="U24" i="1"/>
  <c r="S24" i="1" s="1"/>
  <c r="AI24" i="1"/>
  <c r="W24" i="1"/>
  <c r="W23" i="1"/>
  <c r="AI19" i="1"/>
  <c r="U19" i="1"/>
  <c r="S19" i="1" s="1"/>
  <c r="W19" i="1"/>
  <c r="W67" i="1"/>
  <c r="W56" i="1"/>
  <c r="U86" i="1"/>
  <c r="S86" i="1" s="1"/>
  <c r="AI86" i="1"/>
  <c r="U53" i="1"/>
  <c r="S53" i="1" s="1"/>
  <c r="AI53" i="1"/>
  <c r="W63" i="1"/>
  <c r="W41" i="1"/>
  <c r="U69" i="1"/>
  <c r="S69" i="1" s="1"/>
  <c r="AI69" i="1"/>
  <c r="U81" i="1"/>
  <c r="S81" i="1" s="1"/>
  <c r="AI81" i="1"/>
  <c r="AI97" i="1"/>
  <c r="U163" i="1"/>
  <c r="S163" i="1" s="1"/>
  <c r="AI131" i="1"/>
  <c r="U194" i="1"/>
  <c r="S194" i="1" s="1"/>
  <c r="W78" i="1"/>
  <c r="W169" i="1"/>
  <c r="W179" i="1"/>
  <c r="W175" i="1"/>
  <c r="U99" i="1"/>
  <c r="S99" i="1" s="1"/>
  <c r="AI129" i="1"/>
  <c r="U103" i="1"/>
  <c r="S103" i="1" s="1"/>
  <c r="AI137" i="1"/>
  <c r="AI144" i="1"/>
  <c r="U108" i="1"/>
  <c r="S108" i="1" s="1"/>
  <c r="U203" i="1"/>
  <c r="S203" i="1" s="1"/>
  <c r="AI205" i="1"/>
  <c r="U213" i="1"/>
  <c r="S213" i="1"/>
  <c r="AI213" i="1"/>
  <c r="U221" i="1"/>
  <c r="S221" i="1" s="1"/>
  <c r="AI221" i="1"/>
  <c r="AI109" i="1"/>
  <c r="U174" i="1"/>
  <c r="S174" i="1" s="1"/>
  <c r="W103" i="1"/>
  <c r="AI192" i="1"/>
  <c r="U157" i="1"/>
  <c r="S157" i="1" s="1"/>
  <c r="W194" i="1"/>
  <c r="W129" i="1"/>
  <c r="U139" i="1"/>
  <c r="S139" i="1" s="1"/>
  <c r="AI174" i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5" i="3" l="1"/>
  <c r="N41" i="3"/>
  <c r="N9" i="3"/>
  <c r="N17" i="3"/>
  <c r="N26" i="3"/>
  <c r="N28" i="3"/>
  <c r="N11" i="3"/>
  <c r="N38" i="3"/>
  <c r="N39" i="3"/>
  <c r="N40" i="3"/>
  <c r="N20" i="3"/>
  <c r="N31" i="3"/>
  <c r="N30" i="3"/>
  <c r="N10" i="3"/>
  <c r="N33" i="3"/>
  <c r="N27" i="3"/>
  <c r="N7" i="3"/>
  <c r="N21" i="3"/>
  <c r="N12" i="3"/>
  <c r="N24" i="3"/>
  <c r="N16" i="3"/>
  <c r="N15" i="3"/>
  <c r="N19" i="3"/>
  <c r="N36" i="3"/>
  <c r="N34" i="3"/>
  <c r="N32" i="3"/>
  <c r="N13" i="3"/>
  <c r="N29" i="3"/>
  <c r="N22" i="3"/>
  <c r="N23" i="3"/>
  <c r="N8" i="3"/>
  <c r="N14" i="3"/>
  <c r="N37" i="3"/>
  <c r="N18" i="3"/>
  <c r="N25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B4" i="6"/>
  <c r="H3" i="6"/>
  <c r="J3" i="6"/>
  <c r="G3" i="6"/>
  <c r="I4" i="6" l="1"/>
  <c r="F4" i="6"/>
  <c r="H4" i="6"/>
  <c r="J4" i="6"/>
  <c r="G4" i="6"/>
  <c r="B5" i="6"/>
  <c r="I5" i="6" l="1"/>
  <c r="F5" i="6"/>
  <c r="J5" i="6"/>
  <c r="H5" i="6"/>
  <c r="G5" i="6"/>
  <c r="B6" i="6"/>
  <c r="I6" i="6" l="1"/>
  <c r="F6" i="6"/>
  <c r="B7" i="6"/>
  <c r="G6" i="6"/>
  <c r="H6" i="6"/>
  <c r="J6" i="6"/>
  <c r="I7" i="6" l="1"/>
  <c r="F7" i="6"/>
  <c r="B8" i="6"/>
  <c r="H7" i="6"/>
  <c r="J7" i="6"/>
  <c r="G7" i="6"/>
  <c r="I8" i="6" l="1"/>
  <c r="F8" i="6"/>
  <c r="B9" i="6"/>
  <c r="H8" i="6"/>
  <c r="J8" i="6"/>
  <c r="G8" i="6"/>
  <c r="I9" i="6" l="1"/>
  <c r="F9" i="6"/>
  <c r="G9" i="6"/>
  <c r="J9" i="6"/>
  <c r="H9" i="6"/>
  <c r="B10" i="6"/>
  <c r="I10" i="6" l="1"/>
  <c r="F10" i="6"/>
  <c r="J10" i="6"/>
  <c r="H10" i="6"/>
  <c r="G10" i="6"/>
  <c r="B11" i="6"/>
  <c r="I11" i="6" l="1"/>
  <c r="F11" i="6"/>
  <c r="H11" i="6"/>
  <c r="G11" i="6"/>
  <c r="J11" i="6"/>
  <c r="B12" i="6"/>
  <c r="I12" i="6" l="1"/>
  <c r="F12" i="6"/>
  <c r="B13" i="6"/>
  <c r="G12" i="6"/>
  <c r="H12" i="6"/>
  <c r="J12" i="6"/>
  <c r="I13" i="6" l="1"/>
  <c r="F13" i="6"/>
  <c r="J13" i="6"/>
  <c r="H13" i="6"/>
  <c r="G13" i="6"/>
  <c r="B14" i="6"/>
  <c r="I14" i="6" l="1"/>
  <c r="F14" i="6"/>
  <c r="H14" i="6"/>
  <c r="J14" i="6"/>
  <c r="G14" i="6"/>
  <c r="B15" i="6"/>
  <c r="I15" i="6" l="1"/>
  <c r="F15" i="6"/>
  <c r="H15" i="6"/>
  <c r="J15" i="6"/>
  <c r="G15" i="6"/>
  <c r="B16" i="6"/>
  <c r="I16" i="6" l="1"/>
  <c r="F16" i="6"/>
  <c r="H16" i="6"/>
  <c r="J16" i="6"/>
  <c r="G16" i="6"/>
  <c r="B17" i="6"/>
  <c r="I17" i="6" l="1"/>
  <c r="F17" i="6"/>
  <c r="G17" i="6"/>
  <c r="H17" i="6"/>
  <c r="J17" i="6"/>
  <c r="B18" i="6"/>
  <c r="I18" i="6" l="1"/>
  <c r="F18" i="6"/>
  <c r="B19" i="6"/>
  <c r="J18" i="6"/>
  <c r="G18" i="6"/>
  <c r="H18" i="6"/>
  <c r="I19" i="6" l="1"/>
  <c r="F19" i="6"/>
  <c r="B20" i="6"/>
  <c r="J19" i="6"/>
  <c r="G19" i="6"/>
  <c r="H19" i="6"/>
  <c r="I20" i="6" l="1"/>
  <c r="F20" i="6"/>
  <c r="H20" i="6"/>
  <c r="J20" i="6"/>
  <c r="G20" i="6"/>
  <c r="B21" i="6"/>
  <c r="I21" i="6" l="1"/>
  <c r="F21" i="6"/>
  <c r="B22" i="6"/>
  <c r="G21" i="6"/>
  <c r="J21" i="6"/>
  <c r="H21" i="6"/>
  <c r="I22" i="6" l="1"/>
  <c r="F22" i="6"/>
  <c r="G22" i="6"/>
  <c r="H22" i="6"/>
  <c r="J22" i="6"/>
  <c r="B23" i="6"/>
  <c r="I23" i="6" l="1"/>
  <c r="F23" i="6"/>
  <c r="J23" i="6"/>
  <c r="G23" i="6"/>
  <c r="H23" i="6"/>
  <c r="B24" i="6"/>
  <c r="I24" i="6" l="1"/>
  <c r="F24" i="6"/>
  <c r="G24" i="6"/>
  <c r="H24" i="6"/>
  <c r="J24" i="6"/>
  <c r="B25" i="6"/>
  <c r="I25" i="6" l="1"/>
  <c r="F25" i="6"/>
  <c r="B26" i="6"/>
  <c r="J25" i="6"/>
  <c r="H25" i="6"/>
  <c r="G25" i="6"/>
  <c r="I26" i="6" l="1"/>
  <c r="F26" i="6"/>
  <c r="J26" i="6"/>
  <c r="G26" i="6"/>
  <c r="H26" i="6"/>
  <c r="B27" i="6"/>
  <c r="I27" i="6" l="1"/>
  <c r="F27" i="6"/>
  <c r="B28" i="6"/>
  <c r="G27" i="6"/>
  <c r="J27" i="6"/>
  <c r="H27" i="6"/>
  <c r="I28" i="6" l="1"/>
  <c r="F28" i="6"/>
  <c r="G28" i="6"/>
  <c r="J28" i="6"/>
  <c r="H28" i="6"/>
  <c r="B29" i="6"/>
  <c r="I29" i="6" l="1"/>
  <c r="F29" i="6"/>
  <c r="B30" i="6"/>
  <c r="G29" i="6"/>
  <c r="J29" i="6"/>
  <c r="H29" i="6"/>
  <c r="I30" i="6" l="1"/>
  <c r="F30" i="6"/>
  <c r="G30" i="6"/>
  <c r="H30" i="6"/>
  <c r="J30" i="6"/>
  <c r="B31" i="6"/>
  <c r="I31" i="6" l="1"/>
  <c r="F31" i="6"/>
  <c r="B32" i="6"/>
  <c r="G31" i="6"/>
  <c r="H31" i="6"/>
  <c r="J31" i="6"/>
  <c r="I32" i="6" l="1"/>
  <c r="F32" i="6"/>
  <c r="G32" i="6"/>
  <c r="H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G34" i="6"/>
  <c r="H34" i="6"/>
  <c r="I35" i="6" l="1"/>
  <c r="F35" i="6"/>
  <c r="B36" i="6"/>
  <c r="J35" i="6"/>
  <c r="G35" i="6"/>
  <c r="H35" i="6"/>
  <c r="I36" i="6" l="1"/>
  <c r="F36" i="6"/>
  <c r="H36" i="6"/>
  <c r="G36" i="6"/>
  <c r="J36" i="6"/>
  <c r="B37" i="6"/>
  <c r="I37" i="6" l="1"/>
  <c r="F37" i="6"/>
  <c r="B38" i="6"/>
  <c r="G37" i="6"/>
  <c r="J37" i="6"/>
  <c r="H37" i="6"/>
  <c r="I38" i="6" l="1"/>
  <c r="F38" i="6"/>
  <c r="B39" i="6"/>
  <c r="J38" i="6"/>
  <c r="G38" i="6"/>
  <c r="H38" i="6"/>
  <c r="I39" i="6" l="1"/>
  <c r="F39" i="6"/>
  <c r="J39" i="6"/>
  <c r="G39" i="6"/>
  <c r="H39" i="6"/>
  <c r="B40" i="6"/>
  <c r="I40" i="6" l="1"/>
  <c r="F40" i="6"/>
  <c r="H40" i="6"/>
  <c r="J40" i="6"/>
  <c r="G40" i="6"/>
  <c r="B41" i="6"/>
  <c r="I41" i="6" l="1"/>
  <c r="F41" i="6"/>
  <c r="B42" i="6"/>
  <c r="J41" i="6"/>
  <c r="H41" i="6"/>
  <c r="G41" i="6"/>
  <c r="I42" i="6" l="1"/>
  <c r="F42" i="6"/>
  <c r="J42" i="6"/>
  <c r="G42" i="6"/>
  <c r="H42" i="6"/>
  <c r="B43" i="6"/>
  <c r="I43" i="6" l="1"/>
  <c r="F43" i="6"/>
  <c r="G43" i="6"/>
  <c r="H43" i="6"/>
  <c r="J43" i="6"/>
  <c r="B44" i="6"/>
  <c r="I44" i="6" l="1"/>
  <c r="F44" i="6"/>
  <c r="G44" i="6"/>
  <c r="H44" i="6"/>
  <c r="J44" i="6"/>
  <c r="B45" i="6"/>
  <c r="I45" i="6" l="1"/>
  <c r="F45" i="6"/>
  <c r="B46" i="6"/>
  <c r="J45" i="6"/>
  <c r="H45" i="6"/>
  <c r="G45" i="6"/>
  <c r="I46" i="6" l="1"/>
  <c r="F46" i="6"/>
  <c r="B47" i="6"/>
  <c r="J46" i="6"/>
  <c r="G46" i="6"/>
  <c r="H46" i="6"/>
  <c r="I47" i="6" l="1"/>
  <c r="F47" i="6"/>
  <c r="H47" i="6"/>
  <c r="G47" i="6"/>
  <c r="J47" i="6"/>
  <c r="B48" i="6"/>
  <c r="I48" i="6" l="1"/>
  <c r="F48" i="6"/>
  <c r="G48" i="6"/>
  <c r="H48" i="6"/>
  <c r="J48" i="6"/>
  <c r="B49" i="6"/>
  <c r="I49" i="6" l="1"/>
  <c r="F49" i="6"/>
  <c r="B50" i="6"/>
  <c r="J49" i="6"/>
  <c r="H49" i="6"/>
  <c r="G49" i="6"/>
  <c r="I50" i="6" l="1"/>
  <c r="F50" i="6"/>
  <c r="B51" i="6"/>
  <c r="J50" i="6"/>
  <c r="G50" i="6"/>
  <c r="H50" i="6"/>
  <c r="I51" i="6" l="1"/>
  <c r="F51" i="6"/>
  <c r="B52" i="6"/>
  <c r="J51" i="6"/>
  <c r="G51" i="6"/>
  <c r="H51" i="6"/>
  <c r="I52" i="6" l="1"/>
  <c r="F52" i="6"/>
  <c r="J52" i="6"/>
  <c r="H52" i="6"/>
  <c r="G52" i="6"/>
  <c r="B53" i="6"/>
  <c r="I53" i="6" l="1"/>
  <c r="F53" i="6"/>
  <c r="J53" i="6"/>
  <c r="H53" i="6"/>
  <c r="G53" i="6"/>
  <c r="B54" i="6"/>
  <c r="I54" i="6" l="1"/>
  <c r="F54" i="6"/>
  <c r="J54" i="6"/>
  <c r="G54" i="6"/>
  <c r="H54" i="6"/>
  <c r="B55" i="6"/>
  <c r="I55" i="6" l="1"/>
  <c r="F55" i="6"/>
  <c r="B56" i="6"/>
  <c r="G55" i="6"/>
  <c r="H55" i="6"/>
  <c r="J55" i="6"/>
  <c r="I56" i="6" l="1"/>
  <c r="F56" i="6"/>
  <c r="G56" i="6"/>
  <c r="H56" i="6"/>
  <c r="J56" i="6"/>
  <c r="B57" i="6"/>
  <c r="I57" i="6" l="1"/>
  <c r="F57" i="6"/>
  <c r="B58" i="6"/>
  <c r="J57" i="6"/>
  <c r="G57" i="6"/>
  <c r="H57" i="6"/>
  <c r="I58" i="6" l="1"/>
  <c r="F58" i="6"/>
  <c r="H58" i="6"/>
  <c r="G58" i="6"/>
  <c r="J58" i="6"/>
  <c r="B59" i="6"/>
  <c r="I59" i="6" l="1"/>
  <c r="F59" i="6"/>
  <c r="B60" i="6"/>
  <c r="H59" i="6"/>
  <c r="G59" i="6"/>
  <c r="J59" i="6"/>
  <c r="I60" i="6" l="1"/>
  <c r="F60" i="6"/>
  <c r="B61" i="6"/>
  <c r="J60" i="6"/>
  <c r="H60" i="6"/>
  <c r="G60" i="6"/>
  <c r="I61" i="6" l="1"/>
  <c r="F61" i="6"/>
  <c r="J61" i="6"/>
  <c r="H61" i="6"/>
  <c r="G61" i="6"/>
  <c r="B62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G64" i="6"/>
  <c r="H64" i="6"/>
  <c r="J64" i="6"/>
  <c r="I65" i="6" l="1"/>
  <c r="F65" i="6"/>
  <c r="B66" i="6"/>
  <c r="J65" i="6"/>
  <c r="H65" i="6"/>
  <c r="G65" i="6"/>
  <c r="I66" i="6" l="1"/>
  <c r="F66" i="6"/>
  <c r="B67" i="6"/>
  <c r="H66" i="6"/>
  <c r="J66" i="6"/>
  <c r="G66" i="6"/>
  <c r="I67" i="6" l="1"/>
  <c r="F67" i="6"/>
  <c r="G67" i="6"/>
  <c r="H67" i="6"/>
  <c r="J67" i="6"/>
  <c r="B68" i="6"/>
  <c r="I68" i="6" l="1"/>
  <c r="F68" i="6"/>
  <c r="B69" i="6"/>
  <c r="G68" i="6"/>
  <c r="J68" i="6"/>
  <c r="H68" i="6"/>
  <c r="I69" i="6" l="1"/>
  <c r="F69" i="6"/>
  <c r="H69" i="6"/>
  <c r="J69" i="6"/>
  <c r="G69" i="6"/>
  <c r="B70" i="6"/>
  <c r="I70" i="6" l="1"/>
  <c r="F70" i="6"/>
  <c r="H70" i="6"/>
  <c r="G70" i="6"/>
  <c r="J70" i="6"/>
  <c r="B71" i="6"/>
  <c r="I71" i="6" l="1"/>
  <c r="F71" i="6"/>
  <c r="H71" i="6"/>
  <c r="G71" i="6"/>
  <c r="J71" i="6"/>
  <c r="B72" i="6"/>
  <c r="I72" i="6" l="1"/>
  <c r="F72" i="6"/>
  <c r="H72" i="6"/>
  <c r="J72" i="6"/>
  <c r="G72" i="6"/>
  <c r="B73" i="6"/>
  <c r="I73" i="6" l="1"/>
  <c r="F73" i="6"/>
  <c r="J73" i="6"/>
  <c r="G73" i="6"/>
  <c r="H73" i="6"/>
  <c r="B74" i="6"/>
  <c r="I74" i="6" l="1"/>
  <c r="F74" i="6"/>
  <c r="J74" i="6"/>
  <c r="H74" i="6"/>
  <c r="G74" i="6"/>
  <c r="B75" i="6"/>
  <c r="I75" i="6" l="1"/>
  <c r="F75" i="6"/>
  <c r="G75" i="6"/>
  <c r="H75" i="6"/>
  <c r="J75" i="6"/>
  <c r="B76" i="6"/>
  <c r="I76" i="6" l="1"/>
  <c r="F76" i="6"/>
  <c r="B77" i="6"/>
  <c r="J76" i="6"/>
  <c r="G76" i="6"/>
  <c r="H76" i="6"/>
  <c r="I77" i="6" l="1"/>
  <c r="F77" i="6"/>
  <c r="J77" i="6"/>
  <c r="H77" i="6"/>
  <c r="G77" i="6"/>
  <c r="B78" i="6"/>
  <c r="I78" i="6" l="1"/>
  <c r="F78" i="6"/>
  <c r="B79" i="6"/>
  <c r="J78" i="6"/>
  <c r="G78" i="6"/>
  <c r="H78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B82" i="6"/>
  <c r="J81" i="6"/>
  <c r="H81" i="6"/>
  <c r="G81" i="6"/>
  <c r="I82" i="6" l="1"/>
  <c r="F82" i="6"/>
  <c r="G82" i="6"/>
  <c r="H82" i="6"/>
  <c r="J82" i="6"/>
  <c r="B83" i="6"/>
  <c r="I83" i="6" l="1"/>
  <c r="F83" i="6"/>
  <c r="B84" i="6"/>
  <c r="J83" i="6"/>
  <c r="G83" i="6"/>
  <c r="H83" i="6"/>
  <c r="I84" i="6" l="1"/>
  <c r="F84" i="6"/>
  <c r="G84" i="6"/>
  <c r="H84" i="6"/>
  <c r="J84" i="6"/>
  <c r="B85" i="6"/>
  <c r="I85" i="6" l="1"/>
  <c r="F85" i="6"/>
  <c r="H85" i="6"/>
  <c r="G85" i="6"/>
  <c r="J85" i="6"/>
  <c r="B86" i="6"/>
  <c r="I86" i="6" l="1"/>
  <c r="F86" i="6"/>
  <c r="J86" i="6"/>
  <c r="H86" i="6"/>
  <c r="G86" i="6"/>
  <c r="B87" i="6"/>
  <c r="I87" i="6" l="1"/>
  <c r="F87" i="6"/>
  <c r="H87" i="6"/>
  <c r="G87" i="6"/>
  <c r="J87" i="6"/>
  <c r="B88" i="6"/>
  <c r="I88" i="6" l="1"/>
  <c r="F88" i="6"/>
  <c r="H88" i="6"/>
  <c r="G88" i="6"/>
  <c r="J88" i="6"/>
  <c r="B89" i="6"/>
  <c r="I89" i="6" l="1"/>
  <c r="F89" i="6"/>
  <c r="J89" i="6"/>
  <c r="G89" i="6"/>
  <c r="H89" i="6"/>
  <c r="B90" i="6"/>
  <c r="I90" i="6" l="1"/>
  <c r="F90" i="6"/>
  <c r="G90" i="6"/>
  <c r="H90" i="6"/>
  <c r="J90" i="6"/>
  <c r="B91" i="6"/>
  <c r="I91" i="6" l="1"/>
  <c r="F91" i="6"/>
  <c r="B92" i="6"/>
  <c r="H91" i="6"/>
  <c r="G91" i="6"/>
  <c r="J91" i="6"/>
  <c r="I92" i="6" l="1"/>
  <c r="F92" i="6"/>
  <c r="B93" i="6"/>
  <c r="J92" i="6"/>
  <c r="G92" i="6"/>
  <c r="H92" i="6"/>
  <c r="I93" i="6" l="1"/>
  <c r="F93" i="6"/>
  <c r="H93" i="6"/>
  <c r="G93" i="6"/>
  <c r="J93" i="6"/>
  <c r="B94" i="6"/>
  <c r="I94" i="6" l="1"/>
  <c r="F94" i="6"/>
  <c r="H94" i="6"/>
  <c r="J94" i="6"/>
  <c r="G94" i="6"/>
  <c r="B95" i="6"/>
  <c r="I95" i="6" l="1"/>
  <c r="F95" i="6"/>
  <c r="G95" i="6"/>
  <c r="J95" i="6"/>
  <c r="H95" i="6"/>
  <c r="B96" i="6"/>
  <c r="I96" i="6" l="1"/>
  <c r="F96" i="6"/>
  <c r="B97" i="6"/>
  <c r="H96" i="6"/>
  <c r="J96" i="6"/>
  <c r="G96" i="6"/>
  <c r="I97" i="6" l="1"/>
  <c r="F97" i="6"/>
  <c r="B98" i="6"/>
  <c r="J97" i="6"/>
  <c r="H97" i="6"/>
  <c r="G97" i="6"/>
  <c r="I98" i="6" l="1"/>
  <c r="F98" i="6"/>
  <c r="B100" i="6"/>
  <c r="B99" i="6"/>
  <c r="G98" i="6"/>
  <c r="H98" i="6"/>
  <c r="J98" i="6"/>
  <c r="I99" i="6" l="1"/>
  <c r="F99" i="6"/>
  <c r="I100" i="6"/>
  <c r="F100" i="6"/>
  <c r="G99" i="6"/>
  <c r="H99" i="6"/>
  <c r="J99" i="6"/>
  <c r="J100" i="6"/>
  <c r="G100" i="6"/>
  <c r="H10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<sst xmlns="http://schemas.openxmlformats.org/spreadsheetml/2006/main" count="2766" uniqueCount="1010">
  <si>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</si>
  <si>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</si>
  <si>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</si>
  <si>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</si>
  <si>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</si>
  <si>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</si>
  <si>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</si>
  <si>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</si>
  <si>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</si>
  <si>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</si>
  <si>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</si>
  <si>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</si>
  <si>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</si>
  <si>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</si>
  <si>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</si>
  <si>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</si>
  <si>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</si>
  <si>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</si>
  <si>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</si>
  <si>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</si>
  <si>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</si>
  <si>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</si>
  <si>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</si>
  <si>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</si>
  <si>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</si>
  <si>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</si>
  <si>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</si>
  <si>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</si>
  <si>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</si>
  <si>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</si>
  <si>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</si>
  <si>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</si>
  <si>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</si>
  <si>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</si>
  <si>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</si>
  <si>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</si>
  <si>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</si>
  <si>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</si>
  <si>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</si>
  <si>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</si>
  <si>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</si>
  <si>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</si>
  <si>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</si>
  <si>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</si>
  <si>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</si>
  <si>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</si>
  <si>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</si>
  <si>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</si>
  <si>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</si>
  <si>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</si>
  <si>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</si>
  <si>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</si>
  <si>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</si>
  <si>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</si>
  <si>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</si>
  <si>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</si>
  <si>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</si>
  <si>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</si>
  <si>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</si>
  <si>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</si>
  <si>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</si>
  <si>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</si>
  <si>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</si>
  <si>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</si>
  <si>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</si>
  <si>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</si>
  <si>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</si>
  <si>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</si>
  <si>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</si>
  <si>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</si>
  <si>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</si>
  <si>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</si>
  <si>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</si>
  <si>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</si>
  <si>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</si>
  <si>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</si>
  <si>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</si>
  <si>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</si>
  <si>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</si>
  <si>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</si>
  <si>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</si>
  <si>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</si>
  <si>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</si>
  <si>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</si>
  <si>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</si>
  <si>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</si>
  <si>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</si>
  <si>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</si>
  <si>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</si>
  <si>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</si>
  <si>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</si>
  <si>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</si>
  <si>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</si>
  <si>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</si>
  <si>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</si>
  <si>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</si>
  <si>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</si>
  <si>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</si>
  <si>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</si>
  <si>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</si>
  <si>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</si>
  <si>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</si>
  <si>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</si>
  <si>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</si>
  <si>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</si>
  <si>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</si>
  <si>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</si>
  <si>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</si>
  <si>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</si>
  <si>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</si>
  <si>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</si>
  <si>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</si>
  <si>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</si>
  <si>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</si>
  <si>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</si>
  <si>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</si>
  <si>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</si>
  <si>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</si>
  <si>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</si>
  <si>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</si>
  <si>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</si>
  <si>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</si>
  <si>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</si>
  <si>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</si>
  <si>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</si>
  <si>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</si>
  <si>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</si>
  <si>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</si>
  <si>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</si>
  <si>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</si>
  <si>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</si>
  <si>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</si>
  <si>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</si>
  <si>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</si>
  <si>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</si>
  <si>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</si>
  <si>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</si>
  <si>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</si>
  <si>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</si>
  <si>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</si>
  <si>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</si>
  <si>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</si>
  <si>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</si>
  <si>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</si>
  <si>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</si>
  <si>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</si>
  <si>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</si>
  <si>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</si>
  <si>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</si>
  <si>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</si>
  <si>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</si>
  <si>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</si>
  <si>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</si>
  <si>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</si>
  <si>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</si>
  <si>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</si>
  <si>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</si>
  <si>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</si>
  <si>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</si>
  <si>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</si>
  <si>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</si>
  <si>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</si>
  <si>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</si>
  <si>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</si>
  <si>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</si>
  <si>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</si>
  <si>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</si>
  <si>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</si>
  <si>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</si>
  <si>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</si>
  <si>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</si>
  <si>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</si>
  <si>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</si>
  <si>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</si>
  <si>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</si>
  <si>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</si>
  <si>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</si>
  <si>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</si>
  <si>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</si>
  <si>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</si>
  <si>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</si>
  <si>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</si>
  <si>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</si>
  <si>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</si>
  <si>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</si>
  <si>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</si>
  <si>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</si>
  <si>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</si>
  <si>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</si>
  <si>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</si>
  <si>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</si>
  <si>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</si>
  <si>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</si>
  <si>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</si>
  <si>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</si>
  <si>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</si>
  <si>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</si>
  <si>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</si>
  <si>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</si>
  <si>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</si>
  <si>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</si>
  <si>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</si>
  <si>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</si>
  <si>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</si>
  <si>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</si>
  <si>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</si>
  <si>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</si>
  <si>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</si>
  <si>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</si>
  <si>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HILLS</t>
  </si>
  <si>
    <t>DUSTIN</t>
  </si>
  <si>
    <t>rtdc.l.rtdc.4046:itc</t>
  </si>
  <si>
    <t>rtdc.l.rtdc.4045:itc</t>
  </si>
  <si>
    <t>Uncaught Wi-MAX GREP</t>
  </si>
  <si>
    <t>MCREYNOLDS</t>
  </si>
  <si>
    <t>KYLE</t>
  </si>
  <si>
    <t>204:451</t>
  </si>
  <si>
    <t>204:457</t>
  </si>
  <si>
    <t>204:460</t>
  </si>
  <si>
    <t>BROWN</t>
  </si>
  <si>
    <t>JACOB</t>
  </si>
  <si>
    <t>COMELLA</t>
  </si>
  <si>
    <t>JUSTIN</t>
  </si>
  <si>
    <t>204:453</t>
  </si>
  <si>
    <t>CHANDLER</t>
  </si>
  <si>
    <t>KELVIN</t>
  </si>
  <si>
    <t>204:446</t>
  </si>
  <si>
    <t>204:455</t>
  </si>
  <si>
    <t>204:141</t>
  </si>
  <si>
    <t>204:440</t>
  </si>
  <si>
    <t>rtdc.l.rtdc.4012:itc</t>
  </si>
  <si>
    <t>204:156</t>
  </si>
  <si>
    <t>204:233310</t>
  </si>
  <si>
    <t>204:444</t>
  </si>
  <si>
    <t>204:147</t>
  </si>
  <si>
    <t>204:447</t>
  </si>
  <si>
    <t>PERMANENT SPEED RESTRICTION</t>
  </si>
  <si>
    <t>Speed (6)</t>
  </si>
  <si>
    <t>YANG</t>
  </si>
  <si>
    <t>JAN</t>
  </si>
  <si>
    <t>DE.1.0.9.0</t>
  </si>
  <si>
    <t>204:458</t>
  </si>
  <si>
    <t>204:232994</t>
  </si>
  <si>
    <t>rtdc.l.rtdc.4050:itc</t>
  </si>
  <si>
    <t>rtdc.l.rtdc.4049:itc</t>
  </si>
  <si>
    <t>204:233314</t>
  </si>
  <si>
    <t>204:233297</t>
  </si>
  <si>
    <t>204:233289</t>
  </si>
  <si>
    <t>204:233304</t>
  </si>
  <si>
    <t>204:233299</t>
  </si>
  <si>
    <t>rtdc.l.rtdc.4013:itc</t>
  </si>
  <si>
    <t>242-23</t>
  </si>
  <si>
    <t>rtdc.l.rtdc.4014:itc</t>
  </si>
  <si>
    <t>60-23</t>
  </si>
  <si>
    <t>81-23</t>
  </si>
  <si>
    <t>309-23</t>
  </si>
  <si>
    <t>244-23</t>
  </si>
  <si>
    <t>311-23</t>
  </si>
  <si>
    <t>313-23</t>
  </si>
  <si>
    <t>204:233312</t>
  </si>
  <si>
    <t>204:467</t>
  </si>
  <si>
    <t>204:473</t>
  </si>
  <si>
    <t>204:233000</t>
  </si>
  <si>
    <t>204:134</t>
  </si>
  <si>
    <t>204:442</t>
  </si>
  <si>
    <t>204:161</t>
  </si>
  <si>
    <t>rtdc.l.rtdc.4016:itc</t>
  </si>
  <si>
    <t>204:233295</t>
  </si>
  <si>
    <t>204:232991</t>
  </si>
  <si>
    <t>204:449</t>
  </si>
  <si>
    <t>204:232971</t>
  </si>
  <si>
    <t>204:477</t>
  </si>
  <si>
    <t>rtdc.l.rtdc.4020:itc</t>
  </si>
  <si>
    <t>204:232988</t>
  </si>
  <si>
    <t>204:469</t>
  </si>
  <si>
    <t>204:233303</t>
  </si>
  <si>
    <t>204:233291</t>
  </si>
  <si>
    <t>204:233006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</si>
  <si>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</si>
  <si>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</si>
  <si>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</si>
  <si>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</si>
  <si>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</si>
  <si>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</si>
  <si>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</si>
  <si>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</si>
  <si>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</si>
  <si>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</si>
  <si>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</si>
  <si>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</si>
  <si>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</si>
  <si>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</si>
  <si>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</si>
  <si>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</si>
  <si>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</si>
  <si>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</si>
  <si>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</si>
  <si>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</si>
  <si>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</si>
  <si>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</si>
  <si>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</si>
  <si>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</si>
  <si>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</si>
  <si>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</si>
  <si>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</si>
  <si>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</si>
  <si>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</si>
  <si>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</si>
  <si>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</si>
  <si>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</si>
  <si>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</si>
  <si>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</si>
  <si>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</si>
  <si>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</si>
  <si>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</si>
  <si>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</si>
  <si>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</si>
  <si>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</si>
  <si>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</si>
  <si>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</si>
  <si>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</si>
  <si>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</si>
  <si>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</si>
  <si>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</si>
  <si>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</si>
  <si>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</si>
  <si>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</si>
  <si>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</si>
  <si>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</si>
  <si>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</si>
  <si>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</si>
  <si>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</si>
  <si>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</si>
  <si>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</si>
  <si>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</si>
  <si>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</si>
  <si>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</si>
  <si>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</si>
  <si>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</si>
  <si>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</si>
  <si>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</si>
  <si>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</si>
  <si>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</si>
  <si>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</si>
  <si>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</si>
  <si>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</si>
  <si>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</si>
  <si>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</si>
  <si>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</si>
  <si>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</si>
  <si>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</si>
  <si>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</si>
  <si>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</si>
  <si>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</si>
  <si>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</si>
  <si>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</si>
  <si>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</si>
  <si>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</si>
  <si>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</si>
  <si>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</si>
  <si>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</si>
  <si>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</si>
  <si>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</si>
  <si>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</si>
  <si>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</si>
  <si>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</si>
  <si>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</si>
  <si>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</si>
  <si>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</si>
  <si>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</si>
  <si>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</si>
  <si>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</si>
  <si>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</si>
  <si>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</si>
  <si>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</si>
  <si>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</si>
  <si>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</si>
  <si>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</si>
  <si>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</si>
  <si>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</si>
  <si>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</si>
  <si>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</si>
  <si>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</si>
  <si>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</si>
  <si>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</si>
  <si>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</si>
  <si>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</si>
  <si>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</si>
  <si>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</si>
  <si>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</si>
  <si>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</si>
  <si>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</si>
  <si>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</si>
  <si>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</si>
  <si>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</si>
  <si>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</si>
  <si>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</si>
  <si>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</si>
  <si>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</si>
  <si>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</si>
  <si>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</si>
  <si>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</si>
  <si>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</si>
  <si>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</si>
  <si>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</si>
  <si>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</si>
  <si>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</si>
  <si>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</si>
  <si>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rtdc.l.rtdc.4019:itc</t>
  </si>
  <si>
    <t>rtdc.l.rtdc.4004:itc</t>
  </si>
  <si>
    <t>rtdc.l.rtdc.4003:itc</t>
  </si>
  <si>
    <t>JOHN</t>
  </si>
  <si>
    <t>204:232982</t>
  </si>
  <si>
    <t>204:143</t>
  </si>
  <si>
    <t>204:484</t>
  </si>
  <si>
    <t>rtdc.l.rtdc.4029:itc</t>
  </si>
  <si>
    <t>rtdc.l.rtdc.4010:itc</t>
  </si>
  <si>
    <t>rtdc.l.rtdc.4009:itc</t>
  </si>
  <si>
    <t>partly-cloudy-night</t>
  </si>
  <si>
    <t>Partly Cloudy</t>
  </si>
  <si>
    <t>partly-cloudy-day</t>
  </si>
  <si>
    <t>204:741</t>
  </si>
  <si>
    <t>204:160</t>
  </si>
  <si>
    <t>204:232993</t>
  </si>
  <si>
    <t>204:232980</t>
  </si>
  <si>
    <t>204:232989</t>
  </si>
  <si>
    <t>204:232976</t>
  </si>
  <si>
    <t>204:471</t>
  </si>
  <si>
    <t>SIGNAL</t>
  </si>
  <si>
    <t>Signal based authority (5)</t>
  </si>
  <si>
    <t>rtdc.l.rtdc.4051:itc</t>
  </si>
  <si>
    <t>Y</t>
  </si>
  <si>
    <t>STORY</t>
  </si>
  <si>
    <t>SAMANTHA</t>
  </si>
  <si>
    <t>204:233307</t>
  </si>
  <si>
    <t>204:475</t>
  </si>
  <si>
    <t>204:233308</t>
  </si>
  <si>
    <t>204:233019</t>
  </si>
  <si>
    <t>204:233030</t>
  </si>
  <si>
    <t>300:23302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</si>
  <si>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</si>
  <si>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</si>
  <si>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</si>
  <si>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</si>
  <si>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</si>
  <si>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</si>
  <si>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</si>
  <si>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</si>
  <si>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</si>
  <si>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</si>
  <si>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</si>
  <si>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</si>
  <si>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</si>
  <si>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</si>
  <si>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</si>
  <si>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</si>
  <si>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</si>
  <si>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</si>
  <si>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</si>
  <si>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</si>
  <si>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</si>
  <si>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</si>
  <si>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</si>
  <si>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</si>
  <si>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rtdc.l.rtdc.4064:itc</t>
  </si>
  <si>
    <t>rtdc.l.rtdc.4041:itc</t>
  </si>
  <si>
    <t>rtdc.l.rtdc.4042:itc</t>
  </si>
  <si>
    <t>rtdc.l.rtdc.4039:itc</t>
  </si>
  <si>
    <t>rtdc.l.rtdc.4023:itc</t>
  </si>
  <si>
    <t>rtdc.l.rtdc.4063:itc</t>
  </si>
  <si>
    <t>GEBRETEKLE</t>
  </si>
  <si>
    <t>DAGNEW</t>
  </si>
  <si>
    <t>COOLAHAN</t>
  </si>
  <si>
    <t>rtdc.l.rtdc.4040:itc</t>
  </si>
  <si>
    <t>LOZA</t>
  </si>
  <si>
    <t>FIDEL</t>
  </si>
  <si>
    <t>BEAM</t>
  </si>
  <si>
    <t>ROSS</t>
  </si>
  <si>
    <t>rtdc.l.rtdc.4024:itc</t>
  </si>
  <si>
    <t>BRUDER</t>
  </si>
  <si>
    <t>RICHARD</t>
  </si>
  <si>
    <t>SWANSON</t>
  </si>
  <si>
    <t>BRYCE</t>
  </si>
  <si>
    <t>NELSON</t>
  </si>
  <si>
    <t>ARIANE</t>
  </si>
  <si>
    <t>80-08</t>
  </si>
  <si>
    <t>81-08</t>
  </si>
  <si>
    <t>315-08</t>
  </si>
  <si>
    <t>242-08</t>
  </si>
  <si>
    <t>244-08</t>
  </si>
  <si>
    <t>309-08</t>
  </si>
  <si>
    <t>311-08</t>
  </si>
  <si>
    <t>313-08</t>
  </si>
  <si>
    <t>204:464</t>
  </si>
  <si>
    <t>204:233306</t>
  </si>
  <si>
    <t>204:233002</t>
  </si>
  <si>
    <t>204:232996</t>
  </si>
  <si>
    <t>204:232984</t>
  </si>
  <si>
    <t>204:165</t>
  </si>
  <si>
    <t>204:438</t>
  </si>
  <si>
    <t>204:170</t>
  </si>
  <si>
    <t>204:233281</t>
  </si>
  <si>
    <t>204:233284</t>
  </si>
  <si>
    <t>300:23304</t>
  </si>
  <si>
    <t>204:1027</t>
  </si>
  <si>
    <t>204:685</t>
  </si>
  <si>
    <t>204:675</t>
  </si>
  <si>
    <t>204:971</t>
  </si>
  <si>
    <t>rtdc.l.rtdc.4018:itc</t>
  </si>
  <si>
    <t>rtdc.l.rtdc.4008:itc</t>
  </si>
  <si>
    <t>rtdc.l.rtdc.4044:itc</t>
  </si>
  <si>
    <t>rtdc.l.rtdc.4007:itc</t>
  </si>
  <si>
    <t>rtdc.l.rtdc.4043:itc</t>
  </si>
  <si>
    <t>238-09</t>
  </si>
  <si>
    <t>rtdc.l.rtdc.4017:itc</t>
  </si>
  <si>
    <t>ROBINSON</t>
  </si>
  <si>
    <t>KADDIBA</t>
  </si>
  <si>
    <t>SHOOK</t>
  </si>
  <si>
    <t>SMITH</t>
  </si>
  <si>
    <t>BRANDNER</t>
  </si>
  <si>
    <t>MELINDA</t>
  </si>
  <si>
    <t>PERKINS</t>
  </si>
  <si>
    <t>DARREN</t>
  </si>
  <si>
    <t>LOPES</t>
  </si>
  <si>
    <t>KIMBERLY</t>
  </si>
  <si>
    <t>58-09</t>
  </si>
  <si>
    <t>57-09</t>
  </si>
  <si>
    <t>236-09</t>
  </si>
  <si>
    <t>239-09</t>
  </si>
  <si>
    <t>241-09</t>
  </si>
  <si>
    <t>240-09</t>
  </si>
  <si>
    <t>243-09</t>
  </si>
  <si>
    <t>242-09</t>
  </si>
  <si>
    <t>309-09</t>
  </si>
  <si>
    <t>244-09</t>
  </si>
  <si>
    <t>311-09</t>
  </si>
  <si>
    <t>313-09</t>
  </si>
  <si>
    <t>Mostly Cloudy</t>
  </si>
  <si>
    <t>204:233287</t>
  </si>
  <si>
    <t>204:232972</t>
  </si>
  <si>
    <t>204:130</t>
  </si>
  <si>
    <t>204:426</t>
  </si>
  <si>
    <t>204:233276</t>
  </si>
  <si>
    <t>204:232986</t>
  </si>
  <si>
    <t>204:233010</t>
  </si>
  <si>
    <t>204:232992</t>
  </si>
  <si>
    <t>204:429</t>
  </si>
  <si>
    <t>204:480</t>
  </si>
  <si>
    <t>204:233317</t>
  </si>
  <si>
    <t>204:233305</t>
  </si>
  <si>
    <t>204:232983</t>
  </si>
  <si>
    <t>204:233264</t>
  </si>
  <si>
    <t>204:129</t>
  </si>
  <si>
    <t>204:233331</t>
  </si>
  <si>
    <t>204:462</t>
  </si>
  <si>
    <t>204:233319</t>
  </si>
  <si>
    <t>204:142</t>
  </si>
  <si>
    <t>300:23295</t>
  </si>
  <si>
    <t>300:23346</t>
  </si>
  <si>
    <t>204:1181</t>
  </si>
  <si>
    <t>204:1021</t>
  </si>
  <si>
    <t>204:138</t>
  </si>
  <si>
    <t>204:1165</t>
  </si>
  <si>
    <t>300:58679</t>
  </si>
  <si>
    <t>300:58995</t>
  </si>
  <si>
    <t>204:673</t>
  </si>
  <si>
    <t>204:983</t>
  </si>
  <si>
    <t>300:58997</t>
  </si>
  <si>
    <t>300:58675</t>
  </si>
  <si>
    <t>300:58943</t>
  </si>
  <si>
    <t>204:985</t>
  </si>
  <si>
    <t>300:58956</t>
  </si>
  <si>
    <t>300:58634</t>
  </si>
  <si>
    <t>204:997</t>
  </si>
  <si>
    <t>300:58984</t>
  </si>
  <si>
    <t>204:698</t>
  </si>
  <si>
    <t>300:59005</t>
  </si>
  <si>
    <t>204:450</t>
  </si>
  <si>
    <t>Onboard in-route failure</t>
  </si>
  <si>
    <t>Early arrival</t>
  </si>
  <si>
    <t>Form C</t>
  </si>
  <si>
    <t>rtdc.l.rtdc.4052:itc</t>
  </si>
  <si>
    <t>246-10</t>
  </si>
  <si>
    <t>119-11</t>
  </si>
  <si>
    <t>118-11</t>
  </si>
  <si>
    <t>120-11</t>
  </si>
  <si>
    <t>128-11</t>
  </si>
  <si>
    <t>142-11</t>
  </si>
  <si>
    <t>155-11</t>
  </si>
  <si>
    <t>156-11</t>
  </si>
  <si>
    <t>164-11</t>
  </si>
  <si>
    <t>rtdc.l.rtdc.4005:itc</t>
  </si>
  <si>
    <t>166-11</t>
  </si>
  <si>
    <t>168-11</t>
  </si>
  <si>
    <t>rtdc.l.rtdc.4006:itc</t>
  </si>
  <si>
    <t>179-11</t>
  </si>
  <si>
    <t>177-11</t>
  </si>
  <si>
    <t>172-11</t>
  </si>
  <si>
    <t>185-11</t>
  </si>
  <si>
    <t>180-11</t>
  </si>
  <si>
    <t>187-11</t>
  </si>
  <si>
    <t>193-11</t>
  </si>
  <si>
    <t>1820-11</t>
  </si>
  <si>
    <t>194-11</t>
  </si>
  <si>
    <t>196-11</t>
  </si>
  <si>
    <t>1822-11</t>
  </si>
  <si>
    <t>200-11</t>
  </si>
  <si>
    <t>210-11</t>
  </si>
  <si>
    <t>225-11</t>
  </si>
  <si>
    <t>80-11</t>
  </si>
  <si>
    <t>222-11</t>
  </si>
  <si>
    <t>81-11</t>
  </si>
  <si>
    <t>241-11</t>
  </si>
  <si>
    <t>238-10</t>
  </si>
  <si>
    <t>80-10</t>
  </si>
  <si>
    <t>DUNCAN</t>
  </si>
  <si>
    <t>SHEILA</t>
  </si>
  <si>
    <t>rtdc.l.rtdc.4028:itc</t>
  </si>
  <si>
    <t>240-10</t>
  </si>
  <si>
    <t>243-10</t>
  </si>
  <si>
    <t>242-10</t>
  </si>
  <si>
    <t>STAMBAUGH</t>
  </si>
  <si>
    <t>81-10</t>
  </si>
  <si>
    <t>245-10</t>
  </si>
  <si>
    <t>rtdc.l.rtdc.4027:itc</t>
  </si>
  <si>
    <t>309-10</t>
  </si>
  <si>
    <t>244-10</t>
  </si>
  <si>
    <t>311-10</t>
  </si>
  <si>
    <t>313-10</t>
  </si>
  <si>
    <t>315-10</t>
  </si>
  <si>
    <t>302-11</t>
  </si>
  <si>
    <t>BADERTSCHER</t>
  </si>
  <si>
    <t>DIANE</t>
  </si>
  <si>
    <t>101-11</t>
  </si>
  <si>
    <t>304-11</t>
  </si>
  <si>
    <t>103-11</t>
  </si>
  <si>
    <t>rtdc.l.rtdc.4032:itc</t>
  </si>
  <si>
    <t>306-11</t>
  </si>
  <si>
    <t>MAELZER</t>
  </si>
  <si>
    <t>KURT</t>
  </si>
  <si>
    <t>308-11</t>
  </si>
  <si>
    <t>DAVIS</t>
  </si>
  <si>
    <t>WENDY</t>
  </si>
  <si>
    <t>105-11</t>
  </si>
  <si>
    <t>102-11</t>
  </si>
  <si>
    <t>310-11</t>
  </si>
  <si>
    <t>SANTIZO</t>
  </si>
  <si>
    <t>D. EDY</t>
  </si>
  <si>
    <t>107-11</t>
  </si>
  <si>
    <t>104-11</t>
  </si>
  <si>
    <t>109-11</t>
  </si>
  <si>
    <t>111-11</t>
  </si>
  <si>
    <t>113-11</t>
  </si>
  <si>
    <t>106-11</t>
  </si>
  <si>
    <t>1901-11</t>
  </si>
  <si>
    <t>108-11</t>
  </si>
  <si>
    <t>110-11</t>
  </si>
  <si>
    <t>115-11</t>
  </si>
  <si>
    <t>117-11</t>
  </si>
  <si>
    <t>1800-11</t>
  </si>
  <si>
    <t>112-11</t>
  </si>
  <si>
    <t>1801-11</t>
  </si>
  <si>
    <t>114-11</t>
  </si>
  <si>
    <t>121-11</t>
  </si>
  <si>
    <t>116-11</t>
  </si>
  <si>
    <t>123-11</t>
  </si>
  <si>
    <t>1802-11</t>
  </si>
  <si>
    <t>125-11</t>
  </si>
  <si>
    <t>1803-11</t>
  </si>
  <si>
    <t>127-11</t>
  </si>
  <si>
    <t>129-11</t>
  </si>
  <si>
    <t>122-11</t>
  </si>
  <si>
    <t>124-11</t>
  </si>
  <si>
    <t>126-11</t>
  </si>
  <si>
    <t>131-11</t>
  </si>
  <si>
    <t>1804-11</t>
  </si>
  <si>
    <t>133-11</t>
  </si>
  <si>
    <t>1805-11</t>
  </si>
  <si>
    <t>130-11</t>
  </si>
  <si>
    <t>135-11</t>
  </si>
  <si>
    <t>137-11</t>
  </si>
  <si>
    <t>132-11</t>
  </si>
  <si>
    <t>139-11</t>
  </si>
  <si>
    <t>134-11</t>
  </si>
  <si>
    <t>1806-11</t>
  </si>
  <si>
    <t>141-11</t>
  </si>
  <si>
    <t>136-11</t>
  </si>
  <si>
    <t>138-11</t>
  </si>
  <si>
    <t>143-11</t>
  </si>
  <si>
    <t>1807-11</t>
  </si>
  <si>
    <t>145-11</t>
  </si>
  <si>
    <t>140-11</t>
  </si>
  <si>
    <t>147-11</t>
  </si>
  <si>
    <t>1808-11</t>
  </si>
  <si>
    <t>149-11</t>
  </si>
  <si>
    <t>144-11</t>
  </si>
  <si>
    <t>151-11</t>
  </si>
  <si>
    <t>1809-11</t>
  </si>
  <si>
    <t>146-11</t>
  </si>
  <si>
    <t>153-11</t>
  </si>
  <si>
    <t>148-11</t>
  </si>
  <si>
    <t>50-11</t>
  </si>
  <si>
    <t>STEWART</t>
  </si>
  <si>
    <t>ROMERO</t>
  </si>
  <si>
    <t>CHAD</t>
  </si>
  <si>
    <t>150-11</t>
  </si>
  <si>
    <t>1810-11</t>
  </si>
  <si>
    <t>157-11</t>
  </si>
  <si>
    <t>152-11</t>
  </si>
  <si>
    <t>52-11</t>
  </si>
  <si>
    <t>DELGADO</t>
  </si>
  <si>
    <t>DIANAH</t>
  </si>
  <si>
    <t>159-11</t>
  </si>
  <si>
    <t>1811-11</t>
  </si>
  <si>
    <t>154-11</t>
  </si>
  <si>
    <t>51-11</t>
  </si>
  <si>
    <t>161-11</t>
  </si>
  <si>
    <t>163-11</t>
  </si>
  <si>
    <t>158-11</t>
  </si>
  <si>
    <t>1812-11</t>
  </si>
  <si>
    <t>165-11</t>
  </si>
  <si>
    <t>HOLCOMB</t>
  </si>
  <si>
    <t>KAMDEN</t>
  </si>
  <si>
    <t>160-11</t>
  </si>
  <si>
    <t>167-11</t>
  </si>
  <si>
    <t>LEVIN</t>
  </si>
  <si>
    <t>SCOTT</t>
  </si>
  <si>
    <t>1813-11</t>
  </si>
  <si>
    <t>53-11</t>
  </si>
  <si>
    <t>162-11</t>
  </si>
  <si>
    <t>169-11</t>
  </si>
  <si>
    <t>171-11</t>
  </si>
  <si>
    <t>LALONDE</t>
  </si>
  <si>
    <t>GREGORY</t>
  </si>
  <si>
    <t>1814-11</t>
  </si>
  <si>
    <t>173-11</t>
  </si>
  <si>
    <t>170-11</t>
  </si>
  <si>
    <t>175-11</t>
  </si>
  <si>
    <t>1815-11</t>
  </si>
  <si>
    <t>174-11</t>
  </si>
  <si>
    <t>1816-11</t>
  </si>
  <si>
    <t>181-11</t>
  </si>
  <si>
    <t>183-11</t>
  </si>
  <si>
    <t>176-11</t>
  </si>
  <si>
    <t>178-11</t>
  </si>
  <si>
    <t>1817-11</t>
  </si>
  <si>
    <t>182-11</t>
  </si>
  <si>
    <t>1818-11</t>
  </si>
  <si>
    <t>189-11</t>
  </si>
  <si>
    <t>184-11</t>
  </si>
  <si>
    <t>186-11</t>
  </si>
  <si>
    <t>191-11</t>
  </si>
  <si>
    <t>1819-11</t>
  </si>
  <si>
    <t>188-11</t>
  </si>
  <si>
    <t>195-11</t>
  </si>
  <si>
    <t>190-11</t>
  </si>
  <si>
    <t>197-11</t>
  </si>
  <si>
    <t>192-11</t>
  </si>
  <si>
    <t>199-11</t>
  </si>
  <si>
    <t>1821-11</t>
  </si>
  <si>
    <t>201-11</t>
  </si>
  <si>
    <t>198-11</t>
  </si>
  <si>
    <t>203-11</t>
  </si>
  <si>
    <t>205-11</t>
  </si>
  <si>
    <t>207-11</t>
  </si>
  <si>
    <t>209-11</t>
  </si>
  <si>
    <t>1823-11</t>
  </si>
  <si>
    <t>55-11</t>
  </si>
  <si>
    <t>204-11</t>
  </si>
  <si>
    <t>211-11</t>
  </si>
  <si>
    <t>206-11</t>
  </si>
  <si>
    <t>1824-11</t>
  </si>
  <si>
    <t>213-11</t>
  </si>
  <si>
    <t>208-11</t>
  </si>
  <si>
    <t>66-11</t>
  </si>
  <si>
    <t>SAFIEF</t>
  </si>
  <si>
    <t>AEIMEN</t>
  </si>
  <si>
    <t>215-11</t>
  </si>
  <si>
    <t>1825-11</t>
  </si>
  <si>
    <t>217-11</t>
  </si>
  <si>
    <t>212-11</t>
  </si>
  <si>
    <t>219-11</t>
  </si>
  <si>
    <t>214-11</t>
  </si>
  <si>
    <t>1826-11</t>
  </si>
  <si>
    <t>303-11</t>
  </si>
  <si>
    <t>216-11</t>
  </si>
  <si>
    <t>221-11</t>
  </si>
  <si>
    <t>218-11</t>
  </si>
  <si>
    <t>305-11</t>
  </si>
  <si>
    <t>220-11</t>
  </si>
  <si>
    <t>1827-11</t>
  </si>
  <si>
    <t>MACDONALD</t>
  </si>
  <si>
    <t>THOMAS</t>
  </si>
  <si>
    <t>223-11</t>
  </si>
  <si>
    <t>1828-11</t>
  </si>
  <si>
    <t>307-11</t>
  </si>
  <si>
    <t>MAGEE</t>
  </si>
  <si>
    <t>KENYA</t>
  </si>
  <si>
    <t>1829-11</t>
  </si>
  <si>
    <t>224-11</t>
  </si>
  <si>
    <t>227-11</t>
  </si>
  <si>
    <t>1830-11</t>
  </si>
  <si>
    <t>226-11</t>
  </si>
  <si>
    <t>229-11</t>
  </si>
  <si>
    <t>228-11</t>
  </si>
  <si>
    <t>1831-11</t>
  </si>
  <si>
    <t>231-11</t>
  </si>
  <si>
    <t>1832-11</t>
  </si>
  <si>
    <t>233-11</t>
  </si>
  <si>
    <t>230-11</t>
  </si>
  <si>
    <t>1833-11</t>
  </si>
  <si>
    <t>232-11</t>
  </si>
  <si>
    <t>235-11</t>
  </si>
  <si>
    <t>1902-11</t>
  </si>
  <si>
    <t>237-11</t>
  </si>
  <si>
    <t>234-11</t>
  </si>
  <si>
    <t>239-11</t>
  </si>
  <si>
    <t>236-11</t>
  </si>
  <si>
    <t>238-11</t>
  </si>
  <si>
    <t>243-11</t>
  </si>
  <si>
    <t>240-11</t>
  </si>
  <si>
    <t>242-11</t>
  </si>
  <si>
    <t>245-11</t>
  </si>
  <si>
    <t>309-11</t>
  </si>
  <si>
    <t>244-11</t>
  </si>
  <si>
    <t>311-11</t>
  </si>
  <si>
    <t>precipType</t>
  </si>
  <si>
    <t>rain</t>
  </si>
  <si>
    <t>Light Rain</t>
  </si>
  <si>
    <t>Drizzle</t>
  </si>
  <si>
    <t>204:757</t>
  </si>
  <si>
    <t>204:233263</t>
  </si>
  <si>
    <t>204:232630</t>
  </si>
  <si>
    <t>204:121</t>
  </si>
  <si>
    <t>204:688</t>
  </si>
  <si>
    <t>204:233364</t>
  </si>
  <si>
    <t>204:232753</t>
  </si>
  <si>
    <t>204:737</t>
  </si>
  <si>
    <t>204:37266</t>
  </si>
  <si>
    <t>204:482</t>
  </si>
  <si>
    <t>204:232987</t>
  </si>
  <si>
    <t>204:743</t>
  </si>
  <si>
    <t>204:233393</t>
  </si>
  <si>
    <t>204:233048</t>
  </si>
  <si>
    <t>204:233255</t>
  </si>
  <si>
    <t>204:232953</t>
  </si>
  <si>
    <t>204:123</t>
  </si>
  <si>
    <t>204:723</t>
  </si>
  <si>
    <t>204:233374</t>
  </si>
  <si>
    <t>204:233003</t>
  </si>
  <si>
    <t>204:233334</t>
  </si>
  <si>
    <t>204:233011</t>
  </si>
  <si>
    <t>204:42991</t>
  </si>
  <si>
    <t>204:232977</t>
  </si>
  <si>
    <t>204:233327</t>
  </si>
  <si>
    <t>204:233015</t>
  </si>
  <si>
    <t>204:233397</t>
  </si>
  <si>
    <t>204:233094</t>
  </si>
  <si>
    <t>204:233241</t>
  </si>
  <si>
    <t>204:232925</t>
  </si>
  <si>
    <t>204:127851</t>
  </si>
  <si>
    <t>204:232969</t>
  </si>
  <si>
    <t>204:232998</t>
  </si>
  <si>
    <t>204:232990</t>
  </si>
  <si>
    <t>204:420</t>
  </si>
  <si>
    <t>204:233318</t>
  </si>
  <si>
    <t>204:232973</t>
  </si>
  <si>
    <t>204:233017</t>
  </si>
  <si>
    <t>204:233328</t>
  </si>
  <si>
    <t>204:233329</t>
  </si>
  <si>
    <t>204:233023</t>
  </si>
  <si>
    <t>204:125</t>
  </si>
  <si>
    <t>204:233378</t>
  </si>
  <si>
    <t>204:233051</t>
  </si>
  <si>
    <t>204:64034</t>
  </si>
  <si>
    <t>204:36771</t>
  </si>
  <si>
    <t>204:395</t>
  </si>
  <si>
    <t>204:233368</t>
  </si>
  <si>
    <t>204:233036</t>
  </si>
  <si>
    <t>204:99</t>
  </si>
  <si>
    <t>204:233345</t>
  </si>
  <si>
    <t>204:233025</t>
  </si>
  <si>
    <t>204:127</t>
  </si>
  <si>
    <t>204:233270</t>
  </si>
  <si>
    <t>204:233274</t>
  </si>
  <si>
    <t>204:154001</t>
  </si>
  <si>
    <t>300:58677</t>
  </si>
  <si>
    <t>204:736</t>
  </si>
  <si>
    <t>204:1020</t>
  </si>
  <si>
    <t>300:58963</t>
  </si>
  <si>
    <t>204:752</t>
  </si>
  <si>
    <t>204:1037</t>
  </si>
  <si>
    <t>204:1023</t>
  </si>
  <si>
    <t>300:58999</t>
  </si>
  <si>
    <t>204:1030</t>
  </si>
  <si>
    <t>204:435</t>
  </si>
  <si>
    <t>204:233419</t>
  </si>
  <si>
    <t>300:58681</t>
  </si>
  <si>
    <t>300:58993</t>
  </si>
  <si>
    <t>204:747</t>
  </si>
  <si>
    <t>204:1034</t>
  </si>
  <si>
    <t>300:58673</t>
  </si>
  <si>
    <t>204:734</t>
  </si>
  <si>
    <t>204:1028</t>
  </si>
  <si>
    <t>300:58941</t>
  </si>
  <si>
    <t>300:58617</t>
  </si>
  <si>
    <t>204:233076</t>
  </si>
  <si>
    <t>204:118</t>
  </si>
  <si>
    <t>300:58624</t>
  </si>
  <si>
    <t>300:58937</t>
  </si>
  <si>
    <t>300:58619</t>
  </si>
  <si>
    <t>204:925</t>
  </si>
  <si>
    <t>204:1219</t>
  </si>
  <si>
    <t>300:58948</t>
  </si>
  <si>
    <t>204:689</t>
  </si>
  <si>
    <t>300:58931</t>
  </si>
  <si>
    <t>300:57345</t>
  </si>
  <si>
    <t>204:710</t>
  </si>
  <si>
    <t>204:999</t>
  </si>
  <si>
    <t>204:951</t>
  </si>
  <si>
    <t>204:424</t>
  </si>
  <si>
    <t>300:58615</t>
  </si>
  <si>
    <t>204:706</t>
  </si>
  <si>
    <t>300:58920</t>
  </si>
  <si>
    <t>204:677</t>
  </si>
  <si>
    <t>204:965</t>
  </si>
  <si>
    <t>204:233072</t>
  </si>
  <si>
    <t>204:233302</t>
  </si>
  <si>
    <t>204:163</t>
  </si>
  <si>
    <t>300:30129</t>
  </si>
  <si>
    <t>300:21842</t>
  </si>
  <si>
    <t>204:433</t>
  </si>
  <si>
    <t>204:233360</t>
  </si>
  <si>
    <t>204:233324</t>
  </si>
  <si>
    <t>204:233032</t>
  </si>
  <si>
    <t>204:172</t>
  </si>
  <si>
    <t>202-11</t>
  </si>
  <si>
    <t>204:498</t>
  </si>
  <si>
    <t>204:233311</t>
  </si>
  <si>
    <t>204:427</t>
  </si>
  <si>
    <t>204:233385</t>
  </si>
  <si>
    <t>204:233062</t>
  </si>
  <si>
    <t>204:233418</t>
  </si>
  <si>
    <t>204:233099</t>
  </si>
  <si>
    <t>204:132</t>
  </si>
  <si>
    <t>204:233253</t>
  </si>
  <si>
    <t>204:119</t>
  </si>
  <si>
    <t>204:233347</t>
  </si>
  <si>
    <t>204:233026</t>
  </si>
  <si>
    <t>204:233251</t>
  </si>
  <si>
    <t>204:232936</t>
  </si>
  <si>
    <t>204:233340</t>
  </si>
  <si>
    <t>204:233338</t>
  </si>
  <si>
    <t>204:233164</t>
  </si>
  <si>
    <t>204:232830</t>
  </si>
  <si>
    <t>300:23205</t>
  </si>
  <si>
    <t>300:23784</t>
  </si>
  <si>
    <t>204:1156</t>
  </si>
  <si>
    <t>300:23379</t>
  </si>
  <si>
    <t>300:23571</t>
  </si>
  <si>
    <t>300:23312</t>
  </si>
  <si>
    <t>300:22166</t>
  </si>
  <si>
    <t>300:24277</t>
  </si>
  <si>
    <t>300:22087</t>
  </si>
  <si>
    <t>204:861</t>
  </si>
  <si>
    <t>204:1190</t>
  </si>
  <si>
    <t>300:24233</t>
  </si>
  <si>
    <t>204:1513</t>
  </si>
  <si>
    <t>300:23519</t>
  </si>
  <si>
    <t>204:1009</t>
  </si>
  <si>
    <t>204:973</t>
  </si>
  <si>
    <t>204:233086</t>
  </si>
  <si>
    <t>204:180</t>
  </si>
  <si>
    <t>204:233130</t>
  </si>
  <si>
    <t>300:23485</t>
  </si>
  <si>
    <t>204:887</t>
  </si>
  <si>
    <t>204:1292</t>
  </si>
  <si>
    <t>300:23299</t>
  </si>
  <si>
    <t>204:233455</t>
  </si>
  <si>
    <t>204:1481</t>
  </si>
  <si>
    <t>204:226302</t>
  </si>
  <si>
    <t>start /low /b %USERPROFILE%\Documents\GitHub\eaglep3\Utilities\DownloadLogsFromS3.py --loco 4016 --day 2017-03-11</t>
  </si>
  <si>
    <t>start /low /b %USERPROFILE%\Documents\GitHub\eaglep3\Utilities\DownloadLogsFromS3.py --loco 4010 --day 2017-03-11</t>
  </si>
  <si>
    <t>start /low /b %USERPROFILE%\Documents\GitHub\eaglep3\Utilities\DownloadLogsFromS3.py --loco 4013 --day 2017-03-11</t>
  </si>
  <si>
    <t>start /low /b %USERPROFILE%\Documents\GitHub\eaglep3\Utilities\DownloadLogsFromS3.py --loco 4030 --day 2017-03-11</t>
  </si>
  <si>
    <t>start /low /b %USERPROFILE%\Documents\GitHub\eaglep3\Utilities\DownloadLogsFromS3.py --loco 4039 --day 2017-03-11</t>
  </si>
  <si>
    <t>start /low /b %USERPROFILE%\Documents\GitHub\eaglep3\Utilities\DownloadLogsFromS3.py --loco 4014 --day 2017-03-11</t>
  </si>
  <si>
    <t>start /low /b %USERPROFILE%\Documents\GitHub\eaglep3\Utilities\DownloadLogsFromS3.py --loco 4045 --day 2017-03-11</t>
  </si>
  <si>
    <t>start /low /b %USERPROFILE%\Documents\GitHub\eaglep3\Utilities\DownloadLogsFromS3.py --loco 4005 --day 2017-03-11</t>
  </si>
  <si>
    <t>start /low /b %USERPROFILE%\Documents\GitHub\eaglep3\Utilities\DownloadLogsFromS3.py --loco 4046 --day 2017-03-11</t>
  </si>
  <si>
    <t>start /low /b %USERPROFILE%\Documents\GitHub\eaglep3\Utilities\DownloadLogsFromS3.py --loco 4006 --day 2017-03-11</t>
  </si>
  <si>
    <t>start /low /b %USERPROFILE%\Documents\GitHub\eaglep3\Utilities\DownloadLogsFromS3.py --loco 4030 --day 2017-03-12</t>
  </si>
  <si>
    <t>start /low /b %USERPROFILE%\Documents\GitHub\eaglep3\Utilities\DownloadLogsFromS3.py --loco 4046 --day 2017-03-12</t>
  </si>
  <si>
    <t>start /low /b %USERPROFILE%\Documents\GitHub\eaglep3\Utilities\DownloadLogsFromS3.py --loco 4044 --day 2017-03-11</t>
  </si>
  <si>
    <t>start /low /b %USERPROFILE%\Documents\GitHub\eaglep3\Utilities\DownloadLogsFromS3.py --loco 4043 --day 2017-03-11</t>
  </si>
  <si>
    <t>start /low /b %USERPROFILE%\Documents\GitHub\eaglep3\Utilities\DownloadLogsFromS3.py --loco 4052 --day 2017-03-11</t>
  </si>
  <si>
    <t>start /low /b %USERPROFILE%\Documents\GitHub\eaglep3\Utilities\DownloadLogsFromS3.py --loco 4013 --day 2017-03-12</t>
  </si>
  <si>
    <t>start /low /b %USERPROFILE%\Documents\GitHub\eaglep3\Utilities\DownloadLogsFromS3.py --loco 4040 --day 2017-03-11</t>
  </si>
  <si>
    <t>start /low /b %USERPROFILE%\Documents\GitHub\eaglep3\Utilities\DownloadLogsFromS3.py --loco 4009 --day 2017-03-11</t>
  </si>
  <si>
    <t>start /low /b %USERPROFILE%\Documents\GitHub\eaglep3\Utilities\DownloadLogsFromS3.py --loco 4023 --day 2017-03-11</t>
  </si>
  <si>
    <t>246-11</t>
  </si>
  <si>
    <t>Holly Form C</t>
  </si>
  <si>
    <t>Delayed by Onboard in-route failure</t>
  </si>
  <si>
    <t>Wi-MAX data drop</t>
  </si>
  <si>
    <t>EC0437RH 52-2T 2S premature downgrade</t>
  </si>
  <si>
    <t>At 14:22:38, EC0437RH 52-2T 2S dropped from 270 to 0, seems unexpected. Do logs tell anything odd?</t>
  </si>
  <si>
    <t>40th 4S STOP</t>
  </si>
  <si>
    <t>Wi-MAX data drop, did not cause enforcement</t>
  </si>
  <si>
    <t>Unhealthy @ Chambers due to train stop</t>
  </si>
  <si>
    <t>Onboard in-route failure delayed departure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</si>
</sst>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6"/>
  <sheetViews>
    <sheetView tabSelected="1" workbookViewId="0">
      <selection activeCell="R17" sqref="R17:R93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4.8554687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710937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42805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42805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146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COUNTIFS($N$13:$N$9335,"&gt;0",$AG$13:$AG$9335,I1)</f>
        <v>139</v>
      </c>
      <c r="K5" s="40"/>
      <c r="L5" s="40"/>
      <c r="M5" s="41">
        <f>AVERAGEIFS($N$13:$N$9335,$AG$13:$AG$9335,I1)</f>
        <v>45.688129496331854</v>
      </c>
      <c r="N5" s="39">
        <f t="array" ref="N5">MIN(IF($AG$13:$AG$9335=I1,IF(ISNUMBER($N$13:$N$9335),IF($N$13:$N$9335&gt;0,$N$13:$N$9335))))</f>
        <v>35.966666671447456</v>
      </c>
      <c r="O5" s="3">
        <f t="array" ref="O5">MAX(IF($AG$13:$AG$9335=I1,IF(ISNUMBER($N$13:$N$9335),IF($N$13:$N$9335&gt;0,$N$13:$N$9335))))</f>
        <v>64.733333336189389</v>
      </c>
      <c r="P5" s="2"/>
      <c r="R5" s="74" t="s">
        <v>17</v>
      </c>
      <c r="S5" s="50">
        <f>COUNTIFS($N$13:$N$9335,"&gt;0",$AG$13:$AG$9335,R1)</f>
        <v>34</v>
      </c>
      <c r="T5" s="40"/>
      <c r="U5" s="177"/>
      <c r="V5" s="174">
        <f>AVERAGEIFS($N$13:$N$9335,$AG$13:$AG$9335,R1)</f>
        <v>22.285784313879798</v>
      </c>
      <c r="W5" s="175">
        <f t="array" ref="W5">MIN(IF($AG$13:$AG$9335=R1,IF(ISNUMBER($N$13:$N$9335),IF($N$13:$N$9335&gt;0,$N$13:$N$9335))))</f>
        <v>15.749999993713573</v>
      </c>
      <c r="X5" s="176">
        <f t="array" ref="X5">MAX(IF($AG$13:$AG$9335=R1,IF(ISNUMBER($N$13:$N$9335),IF($N$13:$N$9335&gt;0,$N$13:$N$9335))))</f>
        <v>36.199999996460974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COUNT($O$13:$O$114)</f>
        <v>0</v>
      </c>
      <c r="K6" s="40"/>
      <c r="L6" s="40"/>
      <c r="M6" s="41">
        <f>IFERROR(AVERAGE($O$13:$O$114),0)</f>
        <v>0</v>
      </c>
      <c r="N6" s="39">
        <f>MIN($O$13:$O$114)</f>
        <v>0</v>
      </c>
      <c r="O6" s="3">
        <f>MAX($O$13:$O$114)</f>
        <v>0</v>
      </c>
      <c r="P6" s="2"/>
      <c r="R6" s="75" t="s">
        <v>43</v>
      </c>
      <c r="S6" s="50">
        <f>COUNT($O$13:$O$114)</f>
        <v>0</v>
      </c>
      <c r="T6" s="40"/>
      <c r="U6" s="177"/>
      <c r="V6" s="174">
        <f>IFERROR(AVERAGE($O$13:$O$114),0)</f>
        <v>0</v>
      </c>
      <c r="W6" s="175">
        <f>MIN($O$13:$O$114)</f>
        <v>0</v>
      </c>
      <c r="X6" s="176">
        <f>MAX($O$13:$O$114)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COUNTIFS($P$13:$P$9335,"&gt;0",$AG$13:$AG$9335,I1)</f>
        <v>7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COUNTIFS($P$13:$P$9335,"&gt;0",$AG$13:$AG$9335,R1)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139</v>
      </c>
      <c r="K8" s="40"/>
      <c r="L8" s="40"/>
      <c r="M8" s="41">
        <f>M5</f>
        <v>45.688129496331854</v>
      </c>
      <c r="N8" s="39">
        <f>N5</f>
        <v>35.966666671447456</v>
      </c>
      <c r="O8" s="3">
        <f>O5</f>
        <v>64.733333336189389</v>
      </c>
      <c r="P8" s="2"/>
      <c r="R8" s="74" t="s">
        <v>16</v>
      </c>
      <c r="S8" s="50">
        <f>S5</f>
        <v>34</v>
      </c>
      <c r="T8" s="40"/>
      <c r="U8" s="177"/>
      <c r="V8" s="174">
        <f>V5</f>
        <v>22.285784313879798</v>
      </c>
      <c r="W8" s="175">
        <f>W5</f>
        <v>15.749999993713573</v>
      </c>
      <c r="X8" s="176">
        <f>X5</f>
        <v>36.199999996460974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0.95205479452054798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0" t="str">
        <f>"Eagle P3 System Performance - "&amp;TEXT(Variables!A2,"yyyy-mm-dd")</f>
        <v>Eagle P3 System Performance - 2017-03-11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S11" s="64">
        <f>AVERAGE(S13:S83)</f>
        <v>0.96200980392156854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205</v>
      </c>
      <c r="AN12" s="47" t="s">
        <v>213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633</v>
      </c>
      <c r="B13" s="7">
        <v>4029</v>
      </c>
      <c r="C13" s="21" t="s">
        <v>240</v>
      </c>
      <c r="D13" s="21" t="s">
        <v>830</v>
      </c>
      <c r="E13" s="13">
        <v>42805.132222222222</v>
      </c>
      <c r="F13" s="13">
        <v>42805.133888888886</v>
      </c>
      <c r="G13" s="7">
        <v>2</v>
      </c>
      <c r="H13" s="21" t="s">
        <v>831</v>
      </c>
      <c r="I13" s="13">
        <v>42805.164629629631</v>
      </c>
      <c r="J13" s="7">
        <v>0</v>
      </c>
      <c r="K13" s="98" t="str">
        <f t="shared" ref="K13:K76" si="0">IF(ISEVEN(B13),(B13-1)&amp;"/"&amp;B13,B13&amp;"/"&amp;(B13+1))</f>
        <v>4029/4030</v>
      </c>
      <c r="L13" s="21" t="str">
        <f>VLOOKUP(A13,'Trips&amp;Operators'!$C$1:$G$99999,5,FALSE)</f>
        <v>BADERTSCHER DIANE</v>
      </c>
      <c r="M13" s="6">
        <f t="shared" ref="M13:M76" si="1">I13-F13</f>
        <v>3.0740740745386574E-2</v>
      </c>
      <c r="N13" s="7">
        <f>24*60*SUM($M13:$M13)</f>
        <v>44.266666673356667</v>
      </c>
      <c r="O13" s="7"/>
      <c r="P13" s="7"/>
      <c r="Q13" s="22"/>
      <c r="R13" s="22"/>
      <c r="S13" s="31">
        <f t="shared" ref="S13:S42" si="2">SUM(U13:U13)/IF(AG13="EC",12,1)</f>
        <v>1</v>
      </c>
      <c r="T13" s="46" t="str">
        <f t="shared" ref="T13:T76" si="3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-11T02:10:24-0700',mode:absolute,to:'2017-03-11T04:57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" s="187" t="str">
        <f t="shared" ref="W13:W76" si="5">IF(AA13&lt;IF(AG13="EC",23,5.65),"Y","N")</f>
        <v>N</v>
      </c>
      <c r="X13" s="187" t="e">
        <f t="shared" ref="X13:X44" si="6">VALUE(LEFT(AD13,4))-VALUE(LEFT(AD12,4))</f>
        <v>#VALUE!</v>
      </c>
      <c r="Y13" s="62">
        <f t="shared" ref="Y13:Y44" si="7">RIGHT(D13,LEN(D13)-4)/10000</f>
        <v>7.5700000000000003E-2</v>
      </c>
      <c r="Z13" s="62">
        <f t="shared" ref="Z13:Z44" si="8">RIGHT(H13,LEN(H13)-4)/10000</f>
        <v>23.3263</v>
      </c>
      <c r="AA13" s="62">
        <f t="shared" ref="AA13:AA76" si="9">ABS(Z13-Y13)</f>
        <v>23.250599999999999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0">IF(LEN(A13)=6,"0"&amp;A13,A13)</f>
        <v>0101-11</v>
      </c>
      <c r="AE13" s="85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 &amp; aws s3 cp s3://rtdc.mdm.uploadarchive.raw/RTDC4029/ "%USERPROFILE%\AppData\Local\Temp\OnboardLogs"\RTDC4029\2017-03-12 --exclude "*" --recursive --include "*20170312*" &amp; "%USERPROFILE%\Documents\GitHub\mrs-test-scripts\Headless Mode &amp; Sideloading\WalkAndUnGZ.bat" "%USERPROFILE%\AppData\Local\Temp\OnboardLogs"\RTDC4029\2017-03-12</v>
      </c>
      <c r="AF13" s="82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/stypes="app*4029*20170311*" /stext=" 10:.+((SYSTEM_STATE.+slice.+state.+changed )|(ment ac)|(multiple cpu faults)|(system.+state.+changed )|(\[timeout)|(PRM\|1\|D)|(kpr)|(kdp)|(\|lc)|(penalty))"</v>
      </c>
      <c r="AG13" s="1" t="str">
        <f t="shared" ref="AG13:AG76" si="13">IFERROR(IF(VALUE(LEFT(AD13,2))&lt;=2,"EC",IF(OR(VALUE(LEFT(AD13,2))=8,VALUE(LEFT(AD13,2))=18),"NW","Other")),"Other")</f>
        <v>EC</v>
      </c>
      <c r="AH13" s="86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101-11 --locoid 4029 --swversion DE.1.0.9.0 --startMP 204:757 --initTime 2017-03-11T03:10:24 --startdatetime 2017-03-11T03:12:48 --delay 2 --endMP 204:233263 --enddatetime 2017-03-11T03:57:04 --enforcementcount 0 &gt;&gt;C:\Users\stu\Documents\GitHub\eaglep3-reporting\EC\2017-03-11-refined-times.txt</v>
      </c>
      <c r="AI13" s="108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{"issue":{"subject":"","project_id":79,"tracker_id":40,"status_id":1,"priority_id":2,"assigned_to_id":23,"start_date":"2017-03-11","description":"","custom_fields":[{"id":1,"name":"Subdivision","value":"EC"},{"id":4,"name":"Milepost","value":"23.3263"},{"id":17,"name":"Train ID","value":"101-11"},{"id":16,"name":"Locomotive ID","value":"4029"},{"id":130,"name":"Impact","value":""},{"id":150,"name":"Time of Event (Mountain Time)","value":"03:57:04"},{"id":151,"name":"Denver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6">"start /low /b "&amp;dls3logs&amp;" --loco "&amp;B13&amp;" --day "&amp;TEXT(F13,"YYYY-MM-DD")</f>
        <v>start /low /b %USERPROFILE%\Documents\GitHub\eaglep3\Utilities\DownloadLogsFromS3.py --loco 4029 --day 2017-03-11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"%USERPROFILE%\AppData\Local\Temp\OnboardLogs"\RTDC4029\*4029*20170311* | grep -SE "(Enforcement Action)|(\[TIMEOUT)|(CHR.+\|PRM\|1\|D.+(SWITCH|SIGNAL).+UNKNOWN)" - &gt;&gt; 2017-03-11-UncaughtWiMAX.txt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644</v>
      </c>
      <c r="B14" s="7">
        <v>4043</v>
      </c>
      <c r="C14" s="21" t="s">
        <v>240</v>
      </c>
      <c r="D14" s="21" t="s">
        <v>832</v>
      </c>
      <c r="E14" s="13">
        <v>42805.172800925924</v>
      </c>
      <c r="F14" s="13">
        <v>42805.173773148148</v>
      </c>
      <c r="G14" s="7">
        <v>1</v>
      </c>
      <c r="H14" s="21" t="s">
        <v>833</v>
      </c>
      <c r="I14" s="13">
        <v>42805.206469907411</v>
      </c>
      <c r="J14" s="7">
        <v>0</v>
      </c>
      <c r="K14" s="98" t="str">
        <f t="shared" si="0"/>
        <v>4043/4044</v>
      </c>
      <c r="L14" s="21" t="str">
        <f>VLOOKUP(A14,'Trips&amp;Operators'!$C$1:$G$99999,5,FALSE)</f>
        <v>BADERTSCHER DIANE</v>
      </c>
      <c r="M14" s="6">
        <f t="shared" si="1"/>
        <v>3.2696759262762498E-2</v>
      </c>
      <c r="N14" s="7">
        <f>24*60*SUM($M14:$M14)</f>
        <v>47.083333338377997</v>
      </c>
      <c r="O14" s="7"/>
      <c r="P14" s="7"/>
      <c r="Q14" s="22"/>
      <c r="R14" s="22"/>
      <c r="S14" s="31">
        <f t="shared" si="2"/>
        <v>1</v>
      </c>
      <c r="T14" s="46" t="str">
        <f t="shared" si="3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4"/>
        <v>https://d0f6bd738d7f1b3e5a7ca70fe4ff75f0.us-east-1.aws.found.io/app/kibana#/discover/Steve-Slow-Train-Analysis-(2080s-and-2083s)?_g=(refreshInterval:(display:Off,pause:!f,section:0,value:0),time:(from:'2017-03-11T03:08:50-0700',mode:absolute,to:'2017-03-11T05:57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" s="187" t="str">
        <f t="shared" si="5"/>
        <v>N</v>
      </c>
      <c r="X14" s="187">
        <f t="shared" si="6"/>
        <v>1</v>
      </c>
      <c r="Y14" s="62">
        <f t="shared" si="7"/>
        <v>23.263000000000002</v>
      </c>
      <c r="Z14" s="62">
        <f t="shared" si="8"/>
        <v>1.21E-2</v>
      </c>
      <c r="AA14" s="62">
        <f t="shared" si="9"/>
        <v>23.250900000000001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0"/>
        <v>0102-11</v>
      </c>
      <c r="AE14" s="85" t="str">
        <f t="shared" si="11"/>
        <v>aws s3 cp s3://rtdc.mdm.uploadarchive.raw/RTDC4043/ "%USERPROFILE%\AppData\Local\Temp\OnboardLogs"\RTDC4043\2017-03-11 --exclude "*" --recursive --include "*20170311*" &amp; "%USERPROFILE%\Documents\GitHub\mrs-test-scripts\Headless Mode &amp; Sideloading\WalkAndUnGZ.bat" "%USERPROFILE%\AppData\Local\Temp\OnboardLogs"\RTDC4043\2017-03-11 &amp; aws s3 cp s3://rtdc.mdm.uploadarchive.raw/RTDC4043/ "%USERPROFILE%\AppData\Local\Temp\OnboardLogs"\RTDC4043\2017-03-12 --exclude "*" --recursive --include "*20170312*" &amp; "%USERPROFILE%\Documents\GitHub\mrs-test-scripts\Headless Mode &amp; Sideloading\WalkAndUnGZ.bat" "%USERPROFILE%\AppData\Local\Temp\OnboardLogs"\RTDC4043\2017-03-12</v>
      </c>
      <c r="AF14" s="82" t="str">
        <f t="shared" si="12"/>
        <v>"C:\Program Files (x86)\AstroGrep\AstroGrep.exe" /e /r /s /spath="%USERPROFILE%\AppData\Local\Temp\OnboardLogs" /stypes="app*4043*20170311*" /stext=" 11:.+((SYSTEM_STATE.+slice.+state.+changed )|(ment ac)|(multiple cpu faults)|(system.+state.+changed )|(\[timeout)|(PRM\|1\|D)|(kpr)|(kdp)|(\|lc)|(penalty))"</v>
      </c>
      <c r="AG14" s="1" t="str">
        <f t="shared" si="13"/>
        <v>EC</v>
      </c>
      <c r="AH14" s="86" t="str">
        <f t="shared" ref="AH14:AH78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102-11 --locoid 4043 --swversion DE.1.0.9.0 --startMP 204:232630 --initTime 2017-03-11T04:08:50 --startdatetime 2017-03-11T04:10:14 --delay 1 --endMP 204:121 --enddatetime 2017-03-11T04:57:19 --enforcementcount 0 &gt;&gt;C:\Users\stu\Documents\GitHub\eaglep3-reporting\EC\2017-03-11-refined-times.txt</v>
      </c>
      <c r="AI14" s="108" t="str">
        <f t="shared" ref="AI14:AI78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{"issue":{"subject":"","project_id":79,"tracker_id":40,"status_id":1,"priority_id":2,"assigned_to_id":23,"start_date":"2017-03-11","description":"","custom_fields":[{"id":1,"name":"Subdivision","value":"EC"},{"id":4,"name":"Milepost","value":"0.0121"},{"id":17,"name":"Train ID","value":"102-11"},{"id":16,"name":"Locomotive ID","value":"4043"},{"id":130,"name":"Impact","value":""},{"id":150,"name":"Time of Event (Mountain Time)","value":"04:57:19"},{"id":151,"name":"Denver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8" si="19">"start /low /b "&amp;dls3logs&amp;" --loco "&amp;B14&amp;" --day "&amp;TEXT(F14,"YYYY-MM-DD")</f>
        <v>start /low /b %USERPROFILE%\Documents\GitHub\eaglep3\Utilities\DownloadLogsFromS3.py --loco 4043 --day 2017-03-11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"%USERPROFILE%\AppData\Local\Temp\OnboardLogs"\RTDC4043\*4043*20170311* | grep -SE "(Enforcement Action)|(\[TIMEOUT)|(CHR.+\|PRM\|1\|D.+(SWITCH|SIGNAL).+UNKNOWN)" - &gt;&gt; 2017-03-11-UncaughtWiMAX.txt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635</v>
      </c>
      <c r="B15" s="7">
        <v>4014</v>
      </c>
      <c r="C15" s="21" t="s">
        <v>240</v>
      </c>
      <c r="D15" s="21" t="s">
        <v>834</v>
      </c>
      <c r="E15" s="13">
        <v>42805.146655092591</v>
      </c>
      <c r="F15" s="13">
        <v>42805.147743055553</v>
      </c>
      <c r="G15" s="7">
        <v>1</v>
      </c>
      <c r="H15" s="21" t="s">
        <v>835</v>
      </c>
      <c r="I15" s="13">
        <v>42805.183553240742</v>
      </c>
      <c r="J15" s="7">
        <v>0</v>
      </c>
      <c r="K15" s="98" t="str">
        <f t="shared" si="0"/>
        <v>4013/4014</v>
      </c>
      <c r="L15" s="21" t="str">
        <f>VLOOKUP(A15,'Trips&amp;Operators'!$C$1:$G$99999,5,FALSE)</f>
        <v>ROBINSON KADDIBA</v>
      </c>
      <c r="M15" s="6">
        <f t="shared" si="1"/>
        <v>3.5810185188893229E-2</v>
      </c>
      <c r="N15" s="7">
        <f>24*60*SUM($M15:$M15)</f>
        <v>51.566666672006249</v>
      </c>
      <c r="O15" s="7"/>
      <c r="P15" s="7"/>
      <c r="Q15" s="22"/>
      <c r="R15" s="22"/>
      <c r="S15" s="31">
        <f t="shared" si="2"/>
        <v>1</v>
      </c>
      <c r="T15" s="46" t="str">
        <f t="shared" si="3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4"/>
        <v>https://d0f6bd738d7f1b3e5a7ca70fe4ff75f0.us-east-1.aws.found.io/app/kibana#/discover/Steve-Slow-Train-Analysis-(2080s-and-2083s)?_g=(refreshInterval:(display:Off,pause:!f,section:0,value:0),time:(from:'2017-03-11T02:31:11-0700',mode:absolute,to:'2017-03-11T05:24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" s="187" t="str">
        <f t="shared" si="5"/>
        <v>N</v>
      </c>
      <c r="X15" s="187">
        <f t="shared" si="6"/>
        <v>1</v>
      </c>
      <c r="Y15" s="62">
        <f t="shared" si="7"/>
        <v>6.88E-2</v>
      </c>
      <c r="Z15" s="62">
        <f t="shared" si="8"/>
        <v>23.336400000000001</v>
      </c>
      <c r="AA15" s="62">
        <f t="shared" si="9"/>
        <v>23.267600000000002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0"/>
        <v>0103-11</v>
      </c>
      <c r="AE15" s="85" t="str">
        <f t="shared" si="11"/>
        <v>aws s3 cp s3://rtdc.mdm.uploadarchive.raw/RTDC4014/ "%USERPROFILE%\AppData\Local\Temp\OnboardLogs"\RTDC4014\2017-03-11 --exclude "*" --recursive --include "*20170311*" &amp; "%USERPROFILE%\Documents\GitHub\mrs-test-scripts\Headless Mode &amp; Sideloading\WalkAndUnGZ.bat" "%USERPROFILE%\AppData\Local\Temp\OnboardLogs"\RTDC4014\2017-03-11 &amp; aws s3 cp s3://rtdc.mdm.uploadarchive.raw/RTDC4014/ "%USERPROFILE%\AppData\Local\Temp\OnboardLogs"\RTDC4014\2017-03-12 --exclude "*" --recursive --include "*20170312*" &amp; "%USERPROFILE%\Documents\GitHub\mrs-test-scripts\Headless Mode &amp; Sideloading\WalkAndUnGZ.bat" "%USERPROFILE%\AppData\Local\Temp\OnboardLogs"\RTDC4014\2017-03-12</v>
      </c>
      <c r="AF15" s="82" t="str">
        <f t="shared" si="12"/>
        <v>"C:\Program Files (x86)\AstroGrep\AstroGrep.exe" /e /r /s /spath="%USERPROFILE%\AppData\Local\Temp\OnboardLogs" /stypes="app*4014*20170311*" /stext=" 11:.+((SYSTEM_STATE.+slice.+state.+changed )|(ment ac)|(multiple cpu faults)|(system.+state.+changed )|(\[timeout)|(PRM\|1\|D)|(kpr)|(kdp)|(\|lc)|(penalty))"</v>
      </c>
      <c r="AG15" s="1" t="str">
        <f t="shared" si="13"/>
        <v>EC</v>
      </c>
      <c r="AH15" s="86" t="str">
        <f t="shared" si="17"/>
        <v>"%USERPROFILE%\Documents\GitHub\eaglep3\Utilities\RefineRTDCRunTimes.py" --tripid 103-11 --locoid 4014 --swversion DE.1.0.9.0 --startMP 204:688 --initTime 2017-03-11T03:31:11 --startdatetime 2017-03-11T03:32:45 --delay 1 --endMP 204:233364 --enddatetime 2017-03-11T04:24:19 --enforcementcount 0 &gt;&gt;C:\Users\stu\Documents\GitHub\eaglep3-reporting\EC\2017-03-11-refined-times.txt</v>
      </c>
      <c r="AI15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{"issue":{"subject":"","project_id":79,"tracker_id":40,"status_id":1,"priority_id":2,"assigned_to_id":23,"start_date":"2017-03-11","description":"","custom_fields":[{"id":1,"name":"Subdivision","value":"EC"},{"id":4,"name":"Milepost","value":"23.3364"},{"id":17,"name":"Train ID","value":"103-11"},{"id":16,"name":"Locomotive ID","value":"4014"},{"id":130,"name":"Impact","value":""},{"id":150,"name":"Time of Event (Mountain Time)","value":"04:24:19"},{"id":151,"name":"Denver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19"/>
        <v>start /low /b %USERPROFILE%\Documents\GitHub\eaglep3\Utilities\DownloadLogsFromS3.py --loco 4014 --day 2017-03-11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"%USERPROFILE%\AppData\Local\Temp\OnboardLogs"\RTDC4014\*4014*20170311* | grep -SE "(Enforcement Action)|(\[TIMEOUT)|(CHR.+\|PRM\|1\|D.+(SWITCH|SIGNAL).+UNKNOWN)" - &gt;&gt; 2017-03-11-UncaughtWiMAX.txt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649</v>
      </c>
      <c r="B16" s="7">
        <v>4010</v>
      </c>
      <c r="C16" s="21" t="s">
        <v>240</v>
      </c>
      <c r="D16" s="21" t="s">
        <v>836</v>
      </c>
      <c r="E16" s="13">
        <v>42805.189814814818</v>
      </c>
      <c r="F16" s="13">
        <v>42805.190659722219</v>
      </c>
      <c r="G16" s="7">
        <v>1</v>
      </c>
      <c r="H16" s="21" t="s">
        <v>231</v>
      </c>
      <c r="I16" s="13">
        <v>42805.22619212963</v>
      </c>
      <c r="J16" s="7">
        <v>0</v>
      </c>
      <c r="K16" s="98" t="str">
        <f t="shared" si="0"/>
        <v>4009/4010</v>
      </c>
      <c r="L16" s="21" t="str">
        <f>VLOOKUP(A16,'Trips&amp;Operators'!$C$1:$G$99999,5,FALSE)</f>
        <v>ROBINSON KADDIBA</v>
      </c>
      <c r="M16" s="6">
        <f t="shared" si="1"/>
        <v>3.553240741166519E-2</v>
      </c>
      <c r="N16" s="7">
        <f>24*60*SUM($M16:$M16)</f>
        <v>51.166666672797874</v>
      </c>
      <c r="O16" s="7"/>
      <c r="P16" s="7"/>
      <c r="Q16" s="22"/>
      <c r="R16" s="22"/>
      <c r="S16" s="31">
        <f t="shared" si="2"/>
        <v>1</v>
      </c>
      <c r="T16" s="46" t="str">
        <f t="shared" si="3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4"/>
        <v>https://d0f6bd738d7f1b3e5a7ca70fe4ff75f0.us-east-1.aws.found.io/app/kibana#/discover/Steve-Slow-Train-Analysis-(2080s-and-2083s)?_g=(refreshInterval:(display:Off,pause:!f,section:0,value:0),time:(from:'2017-03-11T03:33:20-0700',mode:absolute,to:'2017-03-11T06:25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" s="187" t="str">
        <f t="shared" si="5"/>
        <v>N</v>
      </c>
      <c r="X16" s="187">
        <f t="shared" si="6"/>
        <v>1</v>
      </c>
      <c r="Y16" s="62">
        <f t="shared" si="7"/>
        <v>23.275300000000001</v>
      </c>
      <c r="Z16" s="62">
        <f t="shared" si="8"/>
        <v>1.5599999999999999E-2</v>
      </c>
      <c r="AA16" s="62">
        <f t="shared" si="9"/>
        <v>23.259700000000002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0"/>
        <v>0104-11</v>
      </c>
      <c r="AE16" s="85" t="str">
        <f t="shared" si="11"/>
        <v>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 &amp; aws s3 cp s3://rtdc.mdm.uploadarchive.raw/RTDC4010/ "%USERPROFILE%\AppData\Local\Temp\OnboardLogs"\RTDC4010\2017-03-12 --exclude "*" --recursive --include "*20170312*" &amp; "%USERPROFILE%\Documents\GitHub\mrs-test-scripts\Headless Mode &amp; Sideloading\WalkAndUnGZ.bat" "%USERPROFILE%\AppData\Local\Temp\OnboardLogs"\RTDC4010\2017-03-12</v>
      </c>
      <c r="AF16" s="82" t="str">
        <f t="shared" si="12"/>
        <v>"C:\Program Files (x86)\AstroGrep\AstroGrep.exe" /e /r /s /spath="%USERPROFILE%\AppData\Local\Temp\OnboardLogs" /stypes="app*4010*20170311*" /stext=" 12:.+((SYSTEM_STATE.+slice.+state.+changed )|(ment ac)|(multiple cpu faults)|(system.+state.+changed )|(\[timeout)|(PRM\|1\|D)|(kpr)|(kdp)|(\|lc)|(penalty))"</v>
      </c>
      <c r="AG16" s="1" t="str">
        <f t="shared" si="13"/>
        <v>EC</v>
      </c>
      <c r="AH16" s="86" t="str">
        <f t="shared" si="17"/>
        <v>"%USERPROFILE%\Documents\GitHub\eaglep3\Utilities\RefineRTDCRunTimes.py" --tripid 104-11 --locoid 4010 --swversion DE.1.0.9.0 --startMP 204:232753 --initTime 2017-03-11T04:33:20 --startdatetime 2017-03-11T04:34:33 --delay 1 --endMP 204:156 --enddatetime 2017-03-11T05:25:43 --enforcementcount 0 &gt;&gt;C:\Users\stu\Documents\GitHub\eaglep3-reporting\EC\2017-03-11-refined-times.txt</v>
      </c>
      <c r="AI16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{"issue":{"subject":"","project_id":79,"tracker_id":40,"status_id":1,"priority_id":2,"assigned_to_id":23,"start_date":"2017-03-11","description":"","custom_fields":[{"id":1,"name":"Subdivision","value":"EC"},{"id":4,"name":"Milepost","value":"0.0156"},{"id":17,"name":"Train ID","value":"104-11"},{"id":16,"name":"Locomotive ID","value":"4010"},{"id":130,"name":"Impact","value":""},{"id":150,"name":"Time of Event (Mountain Time)","value":"05:25:43"},{"id":151,"name":"Denver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19"/>
        <v>start /low /b %USERPROFILE%\Documents\GitHub\eaglep3\Utilities\DownloadLogsFromS3.py --loco 4010 --day 2017-03-11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"%USERPROFILE%\AppData\Local\Temp\OnboardLogs"\RTDC4010\*4010*20170311* | grep -SE "(Enforcement Action)|(\[TIMEOUT)|(CHR.+\|PRM\|1\|D.+(SWITCH|SIGNAL).+UNKNOWN)" - &gt;&gt; 2017-03-11-UncaughtWiMAX.txt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643</v>
      </c>
      <c r="B17" s="7">
        <v>4016</v>
      </c>
      <c r="C17" s="21" t="s">
        <v>240</v>
      </c>
      <c r="D17" s="21" t="s">
        <v>837</v>
      </c>
      <c r="E17" s="13">
        <v>42805.171863425923</v>
      </c>
      <c r="F17" s="13">
        <v>42805.172777777778</v>
      </c>
      <c r="G17" s="7">
        <v>1</v>
      </c>
      <c r="H17" s="21" t="s">
        <v>838</v>
      </c>
      <c r="I17" s="13">
        <v>42805.184340277781</v>
      </c>
      <c r="J17" s="7">
        <v>0</v>
      </c>
      <c r="K17" s="98" t="str">
        <f t="shared" si="0"/>
        <v>4015/4016</v>
      </c>
      <c r="L17" s="21" t="str">
        <f>VLOOKUP(A17,'Trips&amp;Operators'!$C$1:$G$99999,5,FALSE)</f>
        <v>MAELZER KURT</v>
      </c>
      <c r="M17" s="6">
        <f t="shared" si="1"/>
        <v>1.156250000349246E-2</v>
      </c>
      <c r="N17" s="7"/>
      <c r="O17" s="7"/>
      <c r="P17" s="7">
        <f>24*60*SUM($M17:$M17)</f>
        <v>16.650000005029142</v>
      </c>
      <c r="Q17" s="22"/>
      <c r="R17" s="22" t="s">
        <v>578</v>
      </c>
      <c r="S17" s="31">
        <f t="shared" si="2"/>
        <v>0.25</v>
      </c>
      <c r="T17" s="46" t="str">
        <f t="shared" si="3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3</v>
      </c>
      <c r="V17" s="186" t="str">
        <f t="shared" si="4"/>
        <v>https://d0f6bd738d7f1b3e5a7ca70fe4ff75f0.us-east-1.aws.found.io/app/kibana#/discover/Steve-Slow-Train-Analysis-(2080s-and-2083s)?_g=(refreshInterval:(display:Off,pause:!f,section:0,value:0),time:(from:'2017-03-11T03:07:29-0700',mode:absolute,to:'2017-03-11T05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" s="187" t="str">
        <f t="shared" si="5"/>
        <v>Y</v>
      </c>
      <c r="X17" s="187">
        <f t="shared" si="6"/>
        <v>1</v>
      </c>
      <c r="Y17" s="62">
        <f t="shared" si="7"/>
        <v>7.3700000000000002E-2</v>
      </c>
      <c r="Z17" s="62">
        <f t="shared" si="8"/>
        <v>3.7265999999999999</v>
      </c>
      <c r="AA17" s="62">
        <f t="shared" si="9"/>
        <v>3.6528999999999998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0"/>
        <v>0105-11</v>
      </c>
      <c r="AE17" s="85" t="str">
        <f t="shared" si="11"/>
        <v>aws s3 cp s3://rtdc.mdm.uploadarchive.raw/RTDC4016/ "%USERPROFILE%\AppData\Local\Temp\OnboardLogs"\RTDC4016\2017-03-11 --exclude "*" --recursive --include "*20170311*" &amp; "%USERPROFILE%\Documents\GitHub\mrs-test-scripts\Headless Mode &amp; Sideloading\WalkAndUnGZ.bat" "%USERPROFILE%\AppData\Local\Temp\OnboardLogs"\RTDC4016\2017-03-11 &amp; aws s3 cp s3://rtdc.mdm.uploadarchive.raw/RTDC4016/ "%USERPROFILE%\AppData\Local\Temp\OnboardLogs"\RTDC4016\2017-03-12 --exclude "*" --recursive --include "*20170312*" &amp; "%USERPROFILE%\Documents\GitHub\mrs-test-scripts\Headless Mode &amp; Sideloading\WalkAndUnGZ.bat" "%USERPROFILE%\AppData\Local\Temp\OnboardLogs"\RTDC4016\2017-03-12</v>
      </c>
      <c r="AF17" s="82" t="str">
        <f t="shared" si="12"/>
        <v>"C:\Program Files (x86)\AstroGrep\AstroGrep.exe" /e /r /s /spath="%USERPROFILE%\AppData\Local\Temp\OnboardLogs" /stypes="app*4016*20170311*" /stext=" 11:.+((SYSTEM_STATE.+slice.+state.+changed )|(ment ac)|(multiple cpu faults)|(system.+state.+changed )|(\[timeout)|(PRM\|1\|D)|(kpr)|(kdp)|(\|lc)|(penalty))"</v>
      </c>
      <c r="AG17" s="1" t="str">
        <f t="shared" si="13"/>
        <v>EC</v>
      </c>
      <c r="AH17" s="86" t="str">
        <f t="shared" si="17"/>
        <v>"%USERPROFILE%\Documents\GitHub\eaglep3\Utilities\RefineRTDCRunTimes.py" --tripid 105-11 --locoid 4016 --swversion DE.1.0.9.0 --startMP 204:737 --initTime 2017-03-11T04:07:29 --startdatetime 2017-03-11T04:08:48 --delay 1 --endMP 204:37266 --enddatetime 2017-03-11T04:25:27 --enforcementcount 0 &gt;&gt;C:\Users\stu\Documents\GitHub\eaglep3-reporting\EC\2017-03-11-refined-times.txt</v>
      </c>
      <c r="AI17" s="108" t="str">
        <f t="shared" si="18"/>
        <v>echo {"issue":{"subject":"Onboard in-route failure","project_id":79,"tracker_id":40,"status_id":1,"priority_id":2,"assigned_to_id":23,"start_date":"2017-03-11","description":"","custom_fields":[{"id":1,"name":"Subdivision","value":"EC"},{"id":4,"name":"Milepost","value":"3.7266"},{"id":17,"name":"Train ID","value":"105-11"},{"id":16,"name":"Locomotive ID","value":"4016"},{"id":130,"name":"Impact","value":""},{"id":150,"name":"Time of Event (Mountain Time)","value":"04:25:27"},{"id":151,"name":"Denver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19"/>
        <v>start /low /b %USERPROFILE%\Documents\GitHub\eaglep3\Utilities\DownloadLogsFromS3.py --loco 4016 --day 2017-03-11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"%USERPROFILE%\AppData\Local\Temp\OnboardLogs"\RTDC4016\*4016*20170311* | grep -SE "(Enforcement Action)|(\[TIMEOUT)|(CHR.+\|PRM\|1\|D.+(SWITCH|SIGNAL).+UNKNOWN)" - &gt;&gt; 2017-03-11-UncaughtWiMAX.txt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653</v>
      </c>
      <c r="B18" s="7">
        <v>4032</v>
      </c>
      <c r="C18" s="21" t="s">
        <v>240</v>
      </c>
      <c r="D18" s="21" t="s">
        <v>837</v>
      </c>
      <c r="E18" s="13">
        <v>42805.171863425923</v>
      </c>
      <c r="F18" s="13"/>
      <c r="G18" s="7">
        <v>1</v>
      </c>
      <c r="H18" s="21" t="s">
        <v>838</v>
      </c>
      <c r="I18" s="13"/>
      <c r="J18" s="7">
        <v>0</v>
      </c>
      <c r="K18" s="98" t="str">
        <f t="shared" si="0"/>
        <v>4031/4032</v>
      </c>
      <c r="L18" s="21" t="str">
        <f>VLOOKUP(A18,'Trips&amp;Operators'!$C$1:$G$99999,5,FALSE)</f>
        <v>MAELZER KURT</v>
      </c>
      <c r="M18" s="6">
        <f t="shared" si="1"/>
        <v>0</v>
      </c>
      <c r="N18" s="7"/>
      <c r="O18" s="7"/>
      <c r="P18" s="7">
        <v>1</v>
      </c>
      <c r="Q18" s="22"/>
      <c r="R18" s="22" t="s">
        <v>578</v>
      </c>
      <c r="S18" s="31">
        <f t="shared" si="2"/>
        <v>0</v>
      </c>
      <c r="T18" s="46" t="str">
        <f t="shared" si="3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186" t="str">
        <f t="shared" si="4"/>
        <v>https://d0f6bd738d7f1b3e5a7ca70fe4ff75f0.us-east-1.aws.found.io/app/kibana#/discover/Steve-Slow-Train-Analysis-(2080s-and-2083s)?_g=(refreshInterval:(display:Off,pause:!f,section:0,value:0),time:(from:'2017-03-11T03:07:29-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" s="187" t="str">
        <f t="shared" si="5"/>
        <v>Y</v>
      </c>
      <c r="X18" s="187">
        <f t="shared" si="6"/>
        <v>1</v>
      </c>
      <c r="Y18" s="62">
        <f t="shared" si="7"/>
        <v>7.3700000000000002E-2</v>
      </c>
      <c r="Z18" s="62">
        <f t="shared" si="8"/>
        <v>3.7265999999999999</v>
      </c>
      <c r="AA18" s="62">
        <f t="shared" si="9"/>
        <v>3.6528999999999998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0"/>
        <v>0106-11</v>
      </c>
      <c r="AE18" s="85" t="str">
        <f t="shared" si="11"/>
        <v>aws s3 cp s3://rtdc.mdm.uploadarchive.raw/RTDC4032/ "%USERPROFILE%\AppData\Local\Temp\OnboardLogs"\RTDC4032\1900-01-00 --exclude "*" --recursive --include "*19000100*" &amp; "%USERPROFILE%\Documents\GitHub\mrs-test-scripts\Headless Mode &amp; Sideloading\WalkAndUnGZ.bat" "%USERPROFILE%\AppData\Local\Temp\OnboardLogs"\RTDC4032\1900-01-00 &amp; aws s3 cp s3://rtdc.mdm.uploadarchive.raw/RTDC4032/ "%USERPROFILE%\AppData\Local\Temp\OnboardLogs"\RTDC4032\1900-01-01 --exclude "*" --recursive --include "*19000101*" &amp; "%USERPROFILE%\Documents\GitHub\mrs-test-scripts\Headless Mode &amp; Sideloading\WalkAndUnGZ.bat" "%USERPROFILE%\AppData\Local\Temp\OnboardLogs"\RTDC4032\1900-01-01</v>
      </c>
      <c r="AF18" s="82" t="str">
        <f t="shared" si="12"/>
        <v>"C:\Program Files (x86)\AstroGrep\AstroGrep.exe" /e /r /s /spath="%USERPROFILE%\AppData\Local\Temp\OnboardLogs" /stypes="app*4032*19000100*" /stext=" 07:.+((SYSTEM_STATE.+slice.+state.+changed )|(ment ac)|(multiple cpu faults)|(system.+state.+changed )|(\[timeout)|(PRM\|1\|D)|(kpr)|(kdp)|(\|lc)|(penalty))"</v>
      </c>
      <c r="AG18" s="1" t="str">
        <f t="shared" si="13"/>
        <v>EC</v>
      </c>
      <c r="AH18" s="86" t="str">
        <f t="shared" ref="AH18" si="20"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106-11 --locoid 4032 --swversion DE.1.0.9.0 --startMP 204:737 --initTime 2017-03-11T04:07:29 --startdatetime 1900-01-00T00:00:00 --delay 1 --endMP 204:37266 --enddatetime 1900-01-00T00:00:00 --enforcementcount 0 &gt;&gt;C:\Users\stu\Documents\GitHub\eaglep3-reporting\EC\2017-03-11-refined-times.txt</v>
      </c>
      <c r="AI18" s="108" t="str">
        <f t="shared" ref="AI18" si="21"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Z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failure","project_id":79,"tracker_id":40,"status_id":1,"priority_id":2,"assigned_to_id":23,"start_date":"1900-01-00","description":"","custom_fields":[{"id":1,"name":"Subdivision","value":"EC"},{"id":4,"name":"Milepost","value":"3.7266"},{"id":17,"name":"Train ID","value":"106-11"},{"id":16,"name":"Locomotive ID","value":"4032"},{"id":130,"name":"Impact","value":""},{"id":150,"name":"Time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ref="AM18" si="22">"start /low /b "&amp;dls3logs&amp;" --loco "&amp;B18&amp;" --day "&amp;TEXT(F18,"YYYY-MM-DD")</f>
        <v>start /low /b %USERPROFILE%\Documents\GitHub\eaglep3\Utilities\DownloadLogsFromS3.py --loco 4032 --day 1900-01-00</v>
      </c>
      <c r="AN18" s="163" t="e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#DIV/0!</v>
      </c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</row>
    <row r="19" spans="1:91" s="1" customFormat="1" x14ac:dyDescent="0.25">
      <c r="A19" s="33" t="s">
        <v>648</v>
      </c>
      <c r="B19" s="7">
        <v>4040</v>
      </c>
      <c r="C19" s="21" t="s">
        <v>240</v>
      </c>
      <c r="D19" s="21" t="s">
        <v>839</v>
      </c>
      <c r="E19" s="13">
        <v>42805.182268518518</v>
      </c>
      <c r="F19" s="13">
        <v>42805.183229166665</v>
      </c>
      <c r="G19" s="7">
        <v>1</v>
      </c>
      <c r="H19" s="21" t="s">
        <v>247</v>
      </c>
      <c r="I19" s="13">
        <v>42805.217164351852</v>
      </c>
      <c r="J19" s="7">
        <v>0</v>
      </c>
      <c r="K19" s="98" t="str">
        <f t="shared" si="0"/>
        <v>4039/4040</v>
      </c>
      <c r="L19" s="21" t="str">
        <f>VLOOKUP(A19,'Trips&amp;Operators'!$C$1:$G$99999,5,FALSE)</f>
        <v>DAVIS WENDY</v>
      </c>
      <c r="M19" s="6">
        <f t="shared" si="1"/>
        <v>3.3935185187146999E-2</v>
      </c>
      <c r="N19" s="7">
        <f t="shared" ref="N19:N29" si="23">24*60*SUM($M19:$M19)</f>
        <v>48.866666669491678</v>
      </c>
      <c r="O19" s="7"/>
      <c r="P19" s="7"/>
      <c r="Q19" s="22"/>
      <c r="R19" s="22"/>
      <c r="S19" s="31">
        <f t="shared" si="2"/>
        <v>1</v>
      </c>
      <c r="T19" s="46" t="str">
        <f t="shared" si="3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4"/>
        <v>https://d0f6bd738d7f1b3e5a7ca70fe4ff75f0.us-east-1.aws.found.io/app/kibana#/discover/Steve-Slow-Train-Analysis-(2080s-and-2083s)?_g=(refreshInterval:(display:Off,pause:!f,section:0,value:0),time:(from:'2017-03-11T03:22:28-0700',mode:absolute,to:'2017-03-11T06:12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" s="187" t="str">
        <f t="shared" si="5"/>
        <v>N</v>
      </c>
      <c r="X19" s="187">
        <f t="shared" si="6"/>
        <v>1</v>
      </c>
      <c r="Y19" s="62">
        <f t="shared" si="7"/>
        <v>4.82E-2</v>
      </c>
      <c r="Z19" s="62">
        <f t="shared" si="8"/>
        <v>23.328900000000001</v>
      </c>
      <c r="AA19" s="62">
        <f t="shared" si="9"/>
        <v>23.2807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0"/>
        <v>0107-11</v>
      </c>
      <c r="AE19" s="85" t="str">
        <f t="shared" si="11"/>
        <v>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 &amp; aws s3 cp s3://rtdc.mdm.uploadarchive.raw/RTDC4040/ "%USERPROFILE%\AppData\Local\Temp\OnboardLogs"\RTDC4040\2017-03-12 --exclude "*" --recursive --include "*20170312*" &amp; "%USERPROFILE%\Documents\GitHub\mrs-test-scripts\Headless Mode &amp; Sideloading\WalkAndUnGZ.bat" "%USERPROFILE%\AppData\Local\Temp\OnboardLogs"\RTDC4040\2017-03-12</v>
      </c>
      <c r="AF19" s="82" t="str">
        <f t="shared" si="12"/>
        <v>"C:\Program Files (x86)\AstroGrep\AstroGrep.exe" /e /r /s /spath="%USERPROFILE%\AppData\Local\Temp\OnboardLogs" /stypes="app*4040*20170311*" /stext=" 12:.+((SYSTEM_STATE.+slice.+state.+changed )|(ment ac)|(multiple cpu faults)|(system.+state.+changed )|(\[timeout)|(PRM\|1\|D)|(kpr)|(kdp)|(\|lc)|(penalty))"</v>
      </c>
      <c r="AG19" s="1" t="str">
        <f t="shared" si="13"/>
        <v>EC</v>
      </c>
      <c r="AH19" s="86" t="str">
        <f t="shared" si="17"/>
        <v>"%USERPROFILE%\Documents\GitHub\eaglep3\Utilities\RefineRTDCRunTimes.py" --tripid 107-11 --locoid 4040 --swversion DE.1.0.9.0 --startMP 204:482 --initTime 2017-03-11T04:22:28 --startdatetime 2017-03-11T04:23:51 --delay 1 --endMP 204:233289 --enddatetime 2017-03-11T05:12:43 --enforcementcount 0 &gt;&gt;C:\Users\stu\Documents\GitHub\eaglep3-reporting\EC\2017-03-11-refined-times.txt</v>
      </c>
      <c r="AI19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{"issue":{"subject":"","project_id":79,"tracker_id":40,"status_id":1,"priority_id":2,"assigned_to_id":23,"start_date":"2017-03-11","description":"","custom_fields":[{"id":1,"name":"Subdivision","value":"EC"},{"id":4,"name":"Milepost","value":"23.3289"},{"id":17,"name":"Train ID","value":"107-11"},{"id":16,"name":"Locomotive ID","value":"4040"},{"id":130,"name":"Impact","value":""},{"id":150,"name":"Time of Event (Mountain Time)","value":"05:12:43"},{"id":151,"name":"Denver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19"/>
        <v>start /low /b %USERPROFILE%\Documents\GitHub\eaglep3\Utilities\DownloadLogsFromS3.py --loco 4040 --day 2017-03-11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"%USERPROFILE%\AppData\Local\Temp\OnboardLogs"\RTDC4040\*4040*20170311* | grep -SE "(Enforcement Action)|(\[TIMEOUT)|(CHR.+\|PRM\|1\|D.+(SWITCH|SIGNAL).+UNKNOWN)" - &gt;&gt; 2017-03-11-UncaughtWiMAX.txt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655</v>
      </c>
      <c r="B20" s="7">
        <v>4039</v>
      </c>
      <c r="C20" s="21" t="s">
        <v>240</v>
      </c>
      <c r="D20" s="21" t="s">
        <v>412</v>
      </c>
      <c r="E20" s="13">
        <v>42805.224965277775</v>
      </c>
      <c r="F20" s="13">
        <v>42805.225960648146</v>
      </c>
      <c r="G20" s="7">
        <v>1</v>
      </c>
      <c r="H20" s="21" t="s">
        <v>500</v>
      </c>
      <c r="I20" s="13">
        <v>42805.259305555555</v>
      </c>
      <c r="J20" s="7">
        <v>0</v>
      </c>
      <c r="K20" s="98" t="str">
        <f t="shared" si="0"/>
        <v>4039/4040</v>
      </c>
      <c r="L20" s="21" t="str">
        <f>VLOOKUP(A20,'Trips&amp;Operators'!$C$1:$G$99999,5,FALSE)</f>
        <v>DAVIS WENDY</v>
      </c>
      <c r="M20" s="6">
        <f t="shared" si="1"/>
        <v>3.3344907409627922E-2</v>
      </c>
      <c r="N20" s="7">
        <f t="shared" si="23"/>
        <v>48.016666669864208</v>
      </c>
      <c r="O20" s="7"/>
      <c r="P20" s="7"/>
      <c r="Q20" s="22"/>
      <c r="R20" s="22"/>
      <c r="S20" s="31">
        <f t="shared" si="2"/>
        <v>1</v>
      </c>
      <c r="T20" s="46" t="str">
        <f t="shared" si="3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4"/>
        <v>https://d0f6bd738d7f1b3e5a7ca70fe4ff75f0.us-east-1.aws.found.io/app/kibana#/discover/Steve-Slow-Train-Analysis-(2080s-and-2083s)?_g=(refreshInterval:(display:Off,pause:!f,section:0,value:0),time:(from:'2017-03-11T04:23:57-0700',mode:absolute,to:'2017-03-11T07:13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" s="187" t="str">
        <f t="shared" si="5"/>
        <v>N</v>
      </c>
      <c r="X20" s="187">
        <f t="shared" si="6"/>
        <v>1</v>
      </c>
      <c r="Y20" s="62">
        <f t="shared" si="7"/>
        <v>23.298200000000001</v>
      </c>
      <c r="Z20" s="62">
        <f t="shared" si="8"/>
        <v>1.7000000000000001E-2</v>
      </c>
      <c r="AA20" s="62">
        <f t="shared" si="9"/>
        <v>23.281200000000002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0"/>
        <v>0108-11</v>
      </c>
      <c r="AE20" s="85" t="str">
        <f t="shared" si="11"/>
        <v>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 &amp; aws s3 cp s3://rtdc.mdm.uploadarchive.raw/RTDC4039/ "%USERPROFILE%\AppData\Local\Temp\OnboardLogs"\RTDC4039\2017-03-12 --exclude "*" --recursive --include "*20170312*" &amp; "%USERPROFILE%\Documents\GitHub\mrs-test-scripts\Headless Mode &amp; Sideloading\WalkAndUnGZ.bat" "%USERPROFILE%\AppData\Local\Temp\OnboardLogs"\RTDC4039\2017-03-12</v>
      </c>
      <c r="AF20" s="82" t="str">
        <f t="shared" si="12"/>
        <v>"C:\Program Files (x86)\AstroGrep\AstroGrep.exe" /e /r /s /spath="%USERPROFILE%\AppData\Local\Temp\OnboardLogs" /stypes="app*4039*20170311*" /stext=" 13:.+((SYSTEM_STATE.+slice.+state.+changed )|(ment ac)|(multiple cpu faults)|(system.+state.+changed )|(\[timeout)|(PRM\|1\|D)|(kpr)|(kdp)|(\|lc)|(penalty))"</v>
      </c>
      <c r="AG20" s="1" t="str">
        <f t="shared" si="13"/>
        <v>EC</v>
      </c>
      <c r="AH20" s="86" t="str">
        <f t="shared" si="17"/>
        <v>"%USERPROFILE%\Documents\GitHub\eaglep3\Utilities\RefineRTDCRunTimes.py" --tripid 108-11 --locoid 4039 --swversion DE.1.0.9.0 --startMP 204:232982 --initTime 2017-03-11T05:23:57 --startdatetime 2017-03-11T05:25:23 --delay 1 --endMP 204:170 --enddatetime 2017-03-11T06:13:24 --enforcementcount 0 &gt;&gt;C:\Users\stu\Documents\GitHub\eaglep3-reporting\EC\2017-03-11-refined-times.txt</v>
      </c>
      <c r="AI20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{"issue":{"subject":"","project_id":79,"tracker_id":40,"status_id":1,"priority_id":2,"assigned_to_id":23,"start_date":"2017-03-11","description":"","custom_fields":[{"id":1,"name":"Subdivision","value":"EC"},{"id":4,"name":"Milepost","value":"0.017"},{"id":17,"name":"Train ID","value":"108-11"},{"id":16,"name":"Locomotive ID","value":"4039"},{"id":130,"name":"Impact","value":""},{"id":150,"name":"Time of Event (Mountain Time)","value":"06:13:24"},{"id":151,"name":"Denver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19"/>
        <v>start /low /b %USERPROFILE%\Documents\GitHub\eaglep3\Utilities\DownloadLogsFromS3.py --loco 4039 --day 2017-03-11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"%USERPROFILE%\AppData\Local\Temp\OnboardLogs"\RTDC4039\*4039*20170311* | grep -SE "(Enforcement Action)|(\[TIMEOUT)|(CHR.+\|PRM\|1\|D.+(SWITCH|SIGNAL).+UNKNOWN)" - &gt;&gt; 2017-03-11-UncaughtWiMAX.txt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650</v>
      </c>
      <c r="B21" s="7">
        <v>4006</v>
      </c>
      <c r="C21" s="21" t="s">
        <v>240</v>
      </c>
      <c r="D21" s="21" t="s">
        <v>260</v>
      </c>
      <c r="E21" s="13">
        <v>42805.196655092594</v>
      </c>
      <c r="F21" s="13">
        <v>42805.197395833333</v>
      </c>
      <c r="G21" s="7">
        <v>1</v>
      </c>
      <c r="H21" s="21" t="s">
        <v>494</v>
      </c>
      <c r="I21" s="13">
        <v>42805.225462962961</v>
      </c>
      <c r="J21" s="7">
        <v>0</v>
      </c>
      <c r="K21" s="98" t="str">
        <f t="shared" si="0"/>
        <v>4005/4006</v>
      </c>
      <c r="L21" s="21" t="str">
        <f>VLOOKUP(A21,'Trips&amp;Operators'!$C$1:$G$99999,5,FALSE)</f>
        <v>SANTIZO D. EDY</v>
      </c>
      <c r="M21" s="6">
        <f t="shared" si="1"/>
        <v>2.806712962774327E-2</v>
      </c>
      <c r="N21" s="7">
        <f t="shared" si="23"/>
        <v>40.416666663950309</v>
      </c>
      <c r="O21" s="7"/>
      <c r="P21" s="7"/>
      <c r="Q21" s="22"/>
      <c r="R21" s="22"/>
      <c r="S21" s="31">
        <f t="shared" si="2"/>
        <v>1</v>
      </c>
      <c r="T21" s="46" t="str">
        <f t="shared" si="3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4"/>
        <v>https://d0f6bd738d7f1b3e5a7ca70fe4ff75f0.us-east-1.aws.found.io/app/kibana#/discover/Steve-Slow-Train-Analysis-(2080s-and-2083s)?_g=(refreshInterval:(display:Off,pause:!f,section:0,value:0),time:(from:'2017-03-11T03:43:11-0700',mode:absolute,to:'2017-03-11T06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" s="187" t="str">
        <f t="shared" si="5"/>
        <v>N</v>
      </c>
      <c r="X21" s="187">
        <f t="shared" si="6"/>
        <v>1</v>
      </c>
      <c r="Y21" s="62">
        <f t="shared" si="7"/>
        <v>4.6699999999999998E-2</v>
      </c>
      <c r="Z21" s="62">
        <f t="shared" si="8"/>
        <v>23.3306</v>
      </c>
      <c r="AA21" s="62">
        <f t="shared" si="9"/>
        <v>23.283899999999999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0"/>
        <v>0109-11</v>
      </c>
      <c r="AE21" s="85" t="str">
        <f t="shared" si="11"/>
        <v>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 &amp; 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</v>
      </c>
      <c r="AF21" s="82" t="str">
        <f t="shared" si="12"/>
        <v>"C:\Program Files (x86)\AstroGrep\AstroGrep.exe" /e /r /s /spath="%USERPROFILE%\AppData\Local\Temp\OnboardLogs" /stypes="app*4006*20170311*" /stext=" 12:.+((SYSTEM_STATE.+slice.+state.+changed )|(ment ac)|(multiple cpu faults)|(system.+state.+changed )|(\[timeout)|(PRM\|1\|D)|(kpr)|(kdp)|(\|lc)|(penalty))"</v>
      </c>
      <c r="AG21" s="1" t="str">
        <f t="shared" si="13"/>
        <v>EC</v>
      </c>
      <c r="AH21" s="86" t="str">
        <f t="shared" si="17"/>
        <v>"%USERPROFILE%\Documents\GitHub\eaglep3\Utilities\RefineRTDCRunTimes.py" --tripid 109-11 --locoid 4006 --swversion DE.1.0.9.0 --startMP 204:467 --initTime 2017-03-11T04:43:11 --startdatetime 2017-03-11T04:44:15 --delay 1 --endMP 204:233306 --enddatetime 2017-03-11T05:24:40 --enforcementcount 0 &gt;&gt;C:\Users\stu\Documents\GitHub\eaglep3-reporting\EC\2017-03-11-refined-times.txt</v>
      </c>
      <c r="AI21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{"issue":{"subject":"","project_id":79,"tracker_id":40,"status_id":1,"priority_id":2,"assigned_to_id":23,"start_date":"2017-03-11","description":"","custom_fields":[{"id":1,"name":"Subdivision","value":"EC"},{"id":4,"name":"Milepost","value":"23.3306"},{"id":17,"name":"Train ID","value":"109-11"},{"id":16,"name":"Locomotive ID","value":"4006"},{"id":130,"name":"Impact","value":""},{"id":150,"name":"Time of Event (Mountain Time)","value":"05:24:40"},{"id":151,"name":"Denver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19"/>
        <v>start /low /b %USERPROFILE%\Documents\GitHub\eaglep3\Utilities\DownloadLogsFromS3.py --loco 4006 --day 2017-03-11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"%USERPROFILE%\AppData\Local\Temp\OnboardLogs"\RTDC4006\*4006*20170311* | grep -SE "(Enforcement Action)|(\[TIMEOUT)|(CHR.+\|PRM\|1\|D.+(SWITCH|SIGNAL).+UNKNOWN)" - &gt;&gt; 2017-03-11-UncaughtWiMAX.txt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656</v>
      </c>
      <c r="B22" s="7">
        <v>4005</v>
      </c>
      <c r="C22" s="21" t="s">
        <v>240</v>
      </c>
      <c r="D22" s="21" t="s">
        <v>840</v>
      </c>
      <c r="E22" s="13">
        <v>42805.229444444441</v>
      </c>
      <c r="F22" s="13">
        <v>42805.230173611111</v>
      </c>
      <c r="G22" s="7">
        <v>1</v>
      </c>
      <c r="H22" s="21" t="s">
        <v>202</v>
      </c>
      <c r="I22" s="13">
        <v>42805.268553240741</v>
      </c>
      <c r="J22" s="7">
        <v>0</v>
      </c>
      <c r="K22" s="98" t="str">
        <f t="shared" si="0"/>
        <v>4005/4006</v>
      </c>
      <c r="L22" s="21" t="str">
        <f>VLOOKUP(A22,'Trips&amp;Operators'!$C$1:$G$99999,5,FALSE)</f>
        <v>SANTIZO D. EDY</v>
      </c>
      <c r="M22" s="6">
        <f t="shared" si="1"/>
        <v>3.8379629630071577E-2</v>
      </c>
      <c r="N22" s="7">
        <f t="shared" si="23"/>
        <v>55.26666666730307</v>
      </c>
      <c r="O22" s="7"/>
      <c r="P22" s="7"/>
      <c r="Q22" s="22"/>
      <c r="R22" s="22"/>
      <c r="S22" s="31">
        <f t="shared" si="2"/>
        <v>1</v>
      </c>
      <c r="T22" s="46" t="str">
        <f t="shared" si="3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4"/>
        <v>https://d0f6bd738d7f1b3e5a7ca70fe4ff75f0.us-east-1.aws.found.io/app/kibana#/discover/Steve-Slow-Train-Analysis-(2080s-and-2083s)?_g=(refreshInterval:(display:Off,pause:!f,section:0,value:0),time:(from:'2017-03-11T04:30:24-0700',mode:absolute,to:'2017-03-11T07:26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" s="187" t="str">
        <f t="shared" si="5"/>
        <v>N</v>
      </c>
      <c r="X22" s="187">
        <f t="shared" si="6"/>
        <v>1</v>
      </c>
      <c r="Y22" s="62">
        <f t="shared" si="7"/>
        <v>23.2987</v>
      </c>
      <c r="Z22" s="62">
        <f t="shared" si="8"/>
        <v>1.52E-2</v>
      </c>
      <c r="AA22" s="62">
        <f t="shared" si="9"/>
        <v>23.2835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0"/>
        <v>0110-11</v>
      </c>
      <c r="AE22" s="85" t="str">
        <f t="shared" si="11"/>
        <v>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 &amp; 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</v>
      </c>
      <c r="AF22" s="82" t="str">
        <f t="shared" si="12"/>
        <v>"C:\Program Files (x86)\AstroGrep\AstroGrep.exe" /e /r /s /spath="%USERPROFILE%\AppData\Local\Temp\OnboardLogs" /stypes="app*4005*20170311*" /stext=" 13:.+((SYSTEM_STATE.+slice.+state.+changed )|(ment ac)|(multiple cpu faults)|(system.+state.+changed )|(\[timeout)|(PRM\|1\|D)|(kpr)|(kdp)|(\|lc)|(penalty))"</v>
      </c>
      <c r="AG22" s="1" t="str">
        <f t="shared" si="13"/>
        <v>EC</v>
      </c>
      <c r="AH22" s="86" t="str">
        <f t="shared" si="17"/>
        <v>"%USERPROFILE%\Documents\GitHub\eaglep3\Utilities\RefineRTDCRunTimes.py" --tripid 110-11 --locoid 4005 --swversion DE.1.0.9.0 --startMP 204:232987 --initTime 2017-03-11T05:30:24 --startdatetime 2017-03-11T05:31:27 --delay 1 --endMP 204:152 --enddatetime 2017-03-11T06:26:43 --enforcementcount 0 &gt;&gt;C:\Users\stu\Documents\GitHub\eaglep3-reporting\EC\2017-03-11-refined-times.txt</v>
      </c>
      <c r="AI22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{"issue":{"subject":"","project_id":79,"tracker_id":40,"status_id":1,"priority_id":2,"assigned_to_id":23,"start_date":"2017-03-11","description":"","custom_fields":[{"id":1,"name":"Subdivision","value":"EC"},{"id":4,"name":"Milepost","value":"0.0152"},{"id":17,"name":"Train ID","value":"110-11"},{"id":16,"name":"Locomotive ID","value":"4005"},{"id":130,"name":"Impact","value":""},{"id":150,"name":"Time of Event (Mountain Time)","value":"06:26:43"},{"id":151,"name":"Denver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19"/>
        <v>start /low /b %USERPROFILE%\Documents\GitHub\eaglep3\Utilities\DownloadLogsFromS3.py --loco 4005 --day 2017-03-11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"%USERPROFILE%\AppData\Local\Temp\OnboardLogs"\RTDC4005\*4005*20170311* | grep -SE "(Enforcement Action)|(\[TIMEOUT)|(CHR.+\|PRM\|1\|D.+(SWITCH|SIGNAL).+UNKNOWN)" - &gt;&gt; 2017-03-11-UncaughtWiMAX.txt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651</v>
      </c>
      <c r="B23" s="7">
        <v>4029</v>
      </c>
      <c r="C23" s="21" t="s">
        <v>240</v>
      </c>
      <c r="D23" s="21" t="s">
        <v>841</v>
      </c>
      <c r="E23" s="13">
        <v>42805.20988425926</v>
      </c>
      <c r="F23" s="13">
        <v>42805.21056712963</v>
      </c>
      <c r="G23" s="7">
        <v>0</v>
      </c>
      <c r="H23" s="21" t="s">
        <v>842</v>
      </c>
      <c r="I23" s="13">
        <v>42805.236793981479</v>
      </c>
      <c r="J23" s="7">
        <v>0</v>
      </c>
      <c r="K23" s="98" t="str">
        <f t="shared" si="0"/>
        <v>4029/4030</v>
      </c>
      <c r="L23" s="21" t="str">
        <f>VLOOKUP(A23,'Trips&amp;Operators'!$C$1:$G$99999,5,FALSE)</f>
        <v>LOZA FIDEL</v>
      </c>
      <c r="M23" s="6">
        <f t="shared" si="1"/>
        <v>2.622685184906004E-2</v>
      </c>
      <c r="N23" s="7">
        <f t="shared" si="23"/>
        <v>37.766666662646458</v>
      </c>
      <c r="O23" s="7"/>
      <c r="P23" s="7"/>
      <c r="Q23" s="22"/>
      <c r="R23" s="22"/>
      <c r="S23" s="31">
        <f t="shared" si="2"/>
        <v>1</v>
      </c>
      <c r="T23" s="46" t="str">
        <f t="shared" si="3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4"/>
        <v>https://d0f6bd738d7f1b3e5a7ca70fe4ff75f0.us-east-1.aws.found.io/app/kibana#/discover/Steve-Slow-Train-Analysis-(2080s-and-2083s)?_g=(refreshInterval:(display:Off,pause:!f,section:0,value:0),time:(from:'2017-03-11T04:02:14-0700',mode:absolute,to:'2017-03-11T06:40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" s="187" t="str">
        <f t="shared" si="5"/>
        <v>N</v>
      </c>
      <c r="X23" s="187">
        <f t="shared" si="6"/>
        <v>1</v>
      </c>
      <c r="Y23" s="62">
        <f t="shared" si="7"/>
        <v>7.4300000000000005E-2</v>
      </c>
      <c r="Z23" s="62">
        <f t="shared" si="8"/>
        <v>23.339300000000001</v>
      </c>
      <c r="AA23" s="62">
        <f t="shared" si="9"/>
        <v>23.265000000000001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0"/>
        <v>0111-11</v>
      </c>
      <c r="AE23" s="85" t="str">
        <f t="shared" si="11"/>
        <v>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 &amp; aws s3 cp s3://rtdc.mdm.uploadarchive.raw/RTDC4029/ "%USERPROFILE%\AppData\Local\Temp\OnboardLogs"\RTDC4029\2017-03-12 --exclude "*" --recursive --include "*20170312*" &amp; "%USERPROFILE%\Documents\GitHub\mrs-test-scripts\Headless Mode &amp; Sideloading\WalkAndUnGZ.bat" "%USERPROFILE%\AppData\Local\Temp\OnboardLogs"\RTDC4029\2017-03-12</v>
      </c>
      <c r="AF23" s="82" t="str">
        <f t="shared" si="12"/>
        <v>"C:\Program Files (x86)\AstroGrep\AstroGrep.exe" /e /r /s /spath="%USERPROFILE%\AppData\Local\Temp\OnboardLogs" /stypes="app*4029*20170311*" /stext=" 12:.+((SYSTEM_STATE.+slice.+state.+changed )|(ment ac)|(multiple cpu faults)|(system.+state.+changed )|(\[timeout)|(PRM\|1\|D)|(kpr)|(kdp)|(\|lc)|(penalty))"</v>
      </c>
      <c r="AG23" s="1" t="str">
        <f t="shared" si="13"/>
        <v>EC</v>
      </c>
      <c r="AH23" s="86" t="str">
        <f t="shared" si="17"/>
        <v>"%USERPROFILE%\Documents\GitHub\eaglep3\Utilities\RefineRTDCRunTimes.py" --tripid 111-11 --locoid 4029 --swversion DE.1.0.9.0 --startMP 204:743 --initTime 2017-03-11T05:02:14 --startdatetime 2017-03-11T05:03:13 --delay 0 --endMP 204:233393 --enddatetime 2017-03-11T05:40:59 --enforcementcount 0 &gt;&gt;C:\Users\stu\Documents\GitHub\eaglep3-reporting\EC\2017-03-11-refined-times.txt</v>
      </c>
      <c r="AI23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{"issue":{"subject":"","project_id":79,"tracker_id":40,"status_id":1,"priority_id":2,"assigned_to_id":23,"start_date":"2017-03-11","description":"","custom_fields":[{"id":1,"name":"Subdivision","value":"EC"},{"id":4,"name":"Milepost","value":"23.3393"},{"id":17,"name":"Train ID","value":"111-11"},{"id":16,"name":"Locomotive ID","value":"4029"},{"id":130,"name":"Impact","value":""},{"id":150,"name":"Time of Event (Mountain Time)","value":"05:40:59"},{"id":151,"name":"Denver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19"/>
        <v>start /low /b %USERPROFILE%\Documents\GitHub\eaglep3\Utilities\DownloadLogsFromS3.py --loco 4029 --day 2017-03-11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"%USERPROFILE%\AppData\Local\Temp\OnboardLogs"\RTDC4029\*4029*20170311* | grep -SE "(Enforcement Action)|(\[TIMEOUT)|(CHR.+\|PRM\|1\|D.+(SWITCH|SIGNAL).+UNKNOWN)" - &gt;&gt; 2017-03-11-UncaughtWiMAX.txt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660</v>
      </c>
      <c r="B24" s="7">
        <v>4030</v>
      </c>
      <c r="C24" s="21" t="s">
        <v>240</v>
      </c>
      <c r="D24" s="21" t="s">
        <v>843</v>
      </c>
      <c r="E24" s="13">
        <v>42805.245312500003</v>
      </c>
      <c r="F24" s="13">
        <v>42805.246296296296</v>
      </c>
      <c r="G24" s="7">
        <v>1</v>
      </c>
      <c r="H24" s="21" t="s">
        <v>231</v>
      </c>
      <c r="I24" s="13">
        <v>42805.277071759258</v>
      </c>
      <c r="J24" s="7">
        <v>0</v>
      </c>
      <c r="K24" s="98" t="str">
        <f t="shared" si="0"/>
        <v>4029/4030</v>
      </c>
      <c r="L24" s="21" t="str">
        <f>VLOOKUP(A24,'Trips&amp;Operators'!$C$1:$G$99999,5,FALSE)</f>
        <v>LOZA FIDEL</v>
      </c>
      <c r="M24" s="6">
        <f t="shared" si="1"/>
        <v>3.0775462961173616E-2</v>
      </c>
      <c r="N24" s="7">
        <f t="shared" si="23"/>
        <v>44.316666664090008</v>
      </c>
      <c r="O24" s="7"/>
      <c r="P24" s="7"/>
      <c r="Q24" s="22"/>
      <c r="R24" s="22"/>
      <c r="S24" s="31">
        <f t="shared" si="2"/>
        <v>1</v>
      </c>
      <c r="T24" s="46" t="str">
        <f t="shared" si="3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4"/>
        <v>https://d0f6bd738d7f1b3e5a7ca70fe4ff75f0.us-east-1.aws.found.io/app/kibana#/discover/Steve-Slow-Train-Analysis-(2080s-and-2083s)?_g=(refreshInterval:(display:Off,pause:!f,section:0,value:0),time:(from:'2017-03-11T04:53:15-0700',mode:absolute,to:'2017-03-11T07:38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4" s="187" t="str">
        <f t="shared" si="5"/>
        <v>N</v>
      </c>
      <c r="X24" s="187">
        <f t="shared" si="6"/>
        <v>1</v>
      </c>
      <c r="Y24" s="62">
        <f t="shared" si="7"/>
        <v>23.3048</v>
      </c>
      <c r="Z24" s="62">
        <f t="shared" si="8"/>
        <v>1.5599999999999999E-2</v>
      </c>
      <c r="AA24" s="62">
        <f t="shared" si="9"/>
        <v>23.289200000000001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0"/>
        <v>0112-11</v>
      </c>
      <c r="AE24" s="85" t="str">
        <f t="shared" si="11"/>
        <v>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 &amp; aws s3 cp s3://rtdc.mdm.uploadarchive.raw/RTDC4030/ "%USERPROFILE%\AppData\Local\Temp\OnboardLogs"\RTDC4030\2017-03-12 --exclude "*" --recursive --include "*20170312*" &amp; "%USERPROFILE%\Documents\GitHub\mrs-test-scripts\Headless Mode &amp; Sideloading\WalkAndUnGZ.bat" "%USERPROFILE%\AppData\Local\Temp\OnboardLogs"\RTDC4030\2017-03-12</v>
      </c>
      <c r="AF24" s="82" t="str">
        <f t="shared" si="12"/>
        <v>"C:\Program Files (x86)\AstroGrep\AstroGrep.exe" /e /r /s /spath="%USERPROFILE%\AppData\Local\Temp\OnboardLogs" /stypes="app*4030*20170311*" /stext=" 13:.+((SYSTEM_STATE.+slice.+state.+changed )|(ment ac)|(multiple cpu faults)|(system.+state.+changed )|(\[timeout)|(PRM\|1\|D)|(kpr)|(kdp)|(\|lc)|(penalty))"</v>
      </c>
      <c r="AG24" s="1" t="str">
        <f t="shared" si="13"/>
        <v>EC</v>
      </c>
      <c r="AH24" s="86" t="str">
        <f t="shared" si="17"/>
        <v>"%USERPROFILE%\Documents\GitHub\eaglep3\Utilities\RefineRTDCRunTimes.py" --tripid 112-11 --locoid 4030 --swversion DE.1.0.9.0 --startMP 204:233048 --initTime 2017-03-11T05:53:15 --startdatetime 2017-03-11T05:54:40 --delay 1 --endMP 204:156 --enddatetime 2017-03-11T06:38:59 --enforcementcount 0 &gt;&gt;C:\Users\stu\Documents\GitHub\eaglep3-reporting\EC\2017-03-11-refined-times.txt</v>
      </c>
      <c r="AI24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{"issue":{"subject":"","project_id":79,"tracker_id":40,"status_id":1,"priority_id":2,"assigned_to_id":23,"start_date":"2017-03-11","description":"","custom_fields":[{"id":1,"name":"Subdivision","value":"EC"},{"id":4,"name":"Milepost","value":"0.0156"},{"id":17,"name":"Train ID","value":"112-11"},{"id":16,"name":"Locomotive ID","value":"4030"},{"id":130,"name":"Impact","value":""},{"id":150,"name":"Time of Event (Mountain Time)","value":"06:38:59"},{"id":151,"name":"Denver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19"/>
        <v>start /low /b %USERPROFILE%\Documents\GitHub\eaglep3\Utilities\DownloadLogsFromS3.py --loco 4030 --day 2017-03-11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"%USERPROFILE%\AppData\Local\Temp\OnboardLogs"\RTDC4030\*4030*20170311* | grep -SE "(Enforcement Action)|(\[TIMEOUT)|(CHR.+\|PRM\|1\|D.+(SWITCH|SIGNAL).+UNKNOWN)" - &gt;&gt; 2017-03-11-UncaughtWiMAX.txt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652</v>
      </c>
      <c r="B25" s="7">
        <v>4044</v>
      </c>
      <c r="C25" s="21" t="s">
        <v>240</v>
      </c>
      <c r="D25" s="21" t="s">
        <v>541</v>
      </c>
      <c r="E25" s="13">
        <v>42805.213495370372</v>
      </c>
      <c r="F25" s="13">
        <v>42805.214571759258</v>
      </c>
      <c r="G25" s="7">
        <v>1</v>
      </c>
      <c r="H25" s="21" t="s">
        <v>844</v>
      </c>
      <c r="I25" s="13">
        <v>42805.249722222223</v>
      </c>
      <c r="J25" s="7">
        <v>0</v>
      </c>
      <c r="K25" s="98" t="str">
        <f t="shared" si="0"/>
        <v>4043/4044</v>
      </c>
      <c r="L25" s="21" t="str">
        <f>VLOOKUP(A25,'Trips&amp;Operators'!$C$1:$G$99999,5,FALSE)</f>
        <v>BADERTSCHER DIANE</v>
      </c>
      <c r="M25" s="6">
        <f t="shared" si="1"/>
        <v>3.5150462965248153E-2</v>
      </c>
      <c r="N25" s="7">
        <f t="shared" si="23"/>
        <v>50.61666666995734</v>
      </c>
      <c r="O25" s="7"/>
      <c r="P25" s="7"/>
      <c r="Q25" s="22"/>
      <c r="R25" s="22"/>
      <c r="S25" s="31">
        <f t="shared" si="2"/>
        <v>1</v>
      </c>
      <c r="T25" s="46" t="str">
        <f t="shared" si="3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4"/>
        <v>https://d0f6bd738d7f1b3e5a7ca70fe4ff75f0.us-east-1.aws.found.io/app/kibana#/discover/Steve-Slow-Train-Analysis-(2080s-and-2083s)?_g=(refreshInterval:(display:Off,pause:!f,section:0,value:0),time:(from:'2017-03-11T04:07:26-0700',mode:absolute,to:'2017-03-11T06:59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" s="187" t="str">
        <f t="shared" si="5"/>
        <v>N</v>
      </c>
      <c r="X25" s="187">
        <f t="shared" si="6"/>
        <v>1</v>
      </c>
      <c r="Y25" s="62">
        <f t="shared" si="7"/>
        <v>4.2599999999999999E-2</v>
      </c>
      <c r="Z25" s="62">
        <f t="shared" si="8"/>
        <v>23.325500000000002</v>
      </c>
      <c r="AA25" s="62">
        <f t="shared" si="9"/>
        <v>23.282900000000001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0"/>
        <v>0113-11</v>
      </c>
      <c r="AE25" s="85" t="str">
        <f t="shared" si="11"/>
        <v>aws s3 cp s3://rtdc.mdm.uploadarchive.raw/RTDC4044/ "%USERPROFILE%\AppData\Local\Temp\OnboardLogs"\RTDC4044\2017-03-11 --exclude "*" --recursive --include "*20170311*" &amp; "%USERPROFILE%\Documents\GitHub\mrs-test-scripts\Headless Mode &amp; Sideloading\WalkAndUnGZ.bat" "%USERPROFILE%\AppData\Local\Temp\OnboardLogs"\RTDC4044\2017-03-11 &amp; aws s3 cp s3://rtdc.mdm.uploadarchive.raw/RTDC4044/ "%USERPROFILE%\AppData\Local\Temp\OnboardLogs"\RTDC4044\2017-03-12 --exclude "*" --recursive --include "*20170312*" &amp; "%USERPROFILE%\Documents\GitHub\mrs-test-scripts\Headless Mode &amp; Sideloading\WalkAndUnGZ.bat" "%USERPROFILE%\AppData\Local\Temp\OnboardLogs"\RTDC4044\2017-03-12</v>
      </c>
      <c r="AF25" s="82" t="str">
        <f t="shared" si="12"/>
        <v>"C:\Program Files (x86)\AstroGrep\AstroGrep.exe" /e /r /s /spath="%USERPROFILE%\AppData\Local\Temp\OnboardLogs" /stypes="app*4044*20170311*" /stext=" 12:.+((SYSTEM_STATE.+slice.+state.+changed )|(ment ac)|(multiple cpu faults)|(system.+state.+changed )|(\[timeout)|(PRM\|1\|D)|(kpr)|(kdp)|(\|lc)|(penalty))"</v>
      </c>
      <c r="AG25" s="1" t="str">
        <f t="shared" si="13"/>
        <v>EC</v>
      </c>
      <c r="AH25" s="86" t="str">
        <f t="shared" si="17"/>
        <v>"%USERPROFILE%\Documents\GitHub\eaglep3\Utilities\RefineRTDCRunTimes.py" --tripid 113-11 --locoid 4044 --swversion DE.1.0.9.0 --startMP 204:426 --initTime 2017-03-11T05:07:26 --startdatetime 2017-03-11T05:08:59 --delay 1 --endMP 204:233255 --enddatetime 2017-03-11T05:59:36 --enforcementcount 0 &gt;&gt;C:\Users\stu\Documents\GitHub\eaglep3-reporting\EC\2017-03-11-refined-times.txt</v>
      </c>
      <c r="AI25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{"issue":{"subject":"","project_id":79,"tracker_id":40,"status_id":1,"priority_id":2,"assigned_to_id":23,"start_date":"2017-03-11","description":"","custom_fields":[{"id":1,"name":"Subdivision","value":"EC"},{"id":4,"name":"Milepost","value":"23.3255"},{"id":17,"name":"Train ID","value":"113-11"},{"id":16,"name":"Locomotive ID","value":"4044"},{"id":130,"name":"Impact","value":""},{"id":150,"name":"Time of Event (Mountain Time)","value":"05:59:36"},{"id":151,"name":"Denver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19"/>
        <v>start /low /b %USERPROFILE%\Documents\GitHub\eaglep3\Utilities\DownloadLogsFromS3.py --loco 4044 --day 2017-03-11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"%USERPROFILE%\AppData\Local\Temp\OnboardLogs"\RTDC4044\*4044*20170311* | grep -SE "(Enforcement Action)|(\[TIMEOUT)|(CHR.+\|PRM\|1\|D.+(SWITCH|SIGNAL).+UNKNOWN)" - &gt;&gt; 2017-03-11-UncaughtWiMAX.txt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662</v>
      </c>
      <c r="B26" s="7">
        <v>4043</v>
      </c>
      <c r="C26" s="21" t="s">
        <v>240</v>
      </c>
      <c r="D26" s="21" t="s">
        <v>845</v>
      </c>
      <c r="E26" s="13">
        <v>42805.25372685185</v>
      </c>
      <c r="F26" s="13">
        <v>42805.25472222222</v>
      </c>
      <c r="G26" s="7">
        <v>1</v>
      </c>
      <c r="H26" s="21" t="s">
        <v>846</v>
      </c>
      <c r="I26" s="13">
        <v>42805.296006944445</v>
      </c>
      <c r="J26" s="7">
        <v>0</v>
      </c>
      <c r="K26" s="98" t="str">
        <f t="shared" si="0"/>
        <v>4043/4044</v>
      </c>
      <c r="L26" s="21" t="str">
        <f>VLOOKUP(A26,'Trips&amp;Operators'!$C$1:$G$99999,5,FALSE)</f>
        <v>BADERTSCHER DIANE</v>
      </c>
      <c r="M26" s="6">
        <f t="shared" si="1"/>
        <v>4.1284722225100268E-2</v>
      </c>
      <c r="N26" s="7">
        <f t="shared" si="23"/>
        <v>59.450000004144385</v>
      </c>
      <c r="O26" s="7"/>
      <c r="P26" s="7"/>
      <c r="Q26" s="22"/>
      <c r="R26" s="22"/>
      <c r="S26" s="31">
        <f t="shared" si="2"/>
        <v>1</v>
      </c>
      <c r="T26" s="46" t="str">
        <f t="shared" si="3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4"/>
        <v>https://d0f6bd738d7f1b3e5a7ca70fe4ff75f0.us-east-1.aws.found.io/app/kibana#/discover/Steve-Slow-Train-Analysis-(2080s-and-2083s)?_g=(refreshInterval:(display:Off,pause:!f,section:0,value:0),time:(from:'2017-03-11T05:05:22-0700',mode:absolute,to:'2017-03-11T08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6" s="187" t="str">
        <f t="shared" si="5"/>
        <v>N</v>
      </c>
      <c r="X26" s="187">
        <f t="shared" si="6"/>
        <v>1</v>
      </c>
      <c r="Y26" s="62">
        <f t="shared" si="7"/>
        <v>23.295300000000001</v>
      </c>
      <c r="Z26" s="62">
        <f t="shared" si="8"/>
        <v>1.23E-2</v>
      </c>
      <c r="AA26" s="62">
        <f t="shared" si="9"/>
        <v>23.283000000000001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0"/>
        <v>0114-11</v>
      </c>
      <c r="AE26" s="85" t="str">
        <f t="shared" si="11"/>
        <v>aws s3 cp s3://rtdc.mdm.uploadarchive.raw/RTDC4043/ "%USERPROFILE%\AppData\Local\Temp\OnboardLogs"\RTDC4043\2017-03-11 --exclude "*" --recursive --include "*20170311*" &amp; "%USERPROFILE%\Documents\GitHub\mrs-test-scripts\Headless Mode &amp; Sideloading\WalkAndUnGZ.bat" "%USERPROFILE%\AppData\Local\Temp\OnboardLogs"\RTDC4043\2017-03-11 &amp; aws s3 cp s3://rtdc.mdm.uploadarchive.raw/RTDC4043/ "%USERPROFILE%\AppData\Local\Temp\OnboardLogs"\RTDC4043\2017-03-12 --exclude "*" --recursive --include "*20170312*" &amp; "%USERPROFILE%\Documents\GitHub\mrs-test-scripts\Headless Mode &amp; Sideloading\WalkAndUnGZ.bat" "%USERPROFILE%\AppData\Local\Temp\OnboardLogs"\RTDC4043\2017-03-12</v>
      </c>
      <c r="AF26" s="82" t="str">
        <f t="shared" si="12"/>
        <v>"C:\Program Files (x86)\AstroGrep\AstroGrep.exe" /e /r /s /spath="%USERPROFILE%\AppData\Local\Temp\OnboardLogs" /stypes="app*4043*20170311*" /stext=" 14:.+((SYSTEM_STATE.+slice.+state.+changed )|(ment ac)|(multiple cpu faults)|(system.+state.+changed )|(\[timeout)|(PRM\|1\|D)|(kpr)|(kdp)|(\|lc)|(penalty))"</v>
      </c>
      <c r="AG26" s="1" t="str">
        <f t="shared" si="13"/>
        <v>EC</v>
      </c>
      <c r="AH26" s="86" t="str">
        <f t="shared" si="17"/>
        <v>"%USERPROFILE%\Documents\GitHub\eaglep3\Utilities\RefineRTDCRunTimes.py" --tripid 114-11 --locoid 4043 --swversion DE.1.0.9.0 --startMP 204:232953 --initTime 2017-03-11T06:05:22 --startdatetime 2017-03-11T06:06:48 --delay 1 --endMP 204:123 --enddatetime 2017-03-11T07:06:15 --enforcementcount 0 &gt;&gt;C:\Users\stu\Documents\GitHub\eaglep3-reporting\EC\2017-03-11-refined-times.txt</v>
      </c>
      <c r="AI26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{"issue":{"subject":"","project_id":79,"tracker_id":40,"status_id":1,"priority_id":2,"assigned_to_id":23,"start_date":"2017-03-11","description":"","custom_fields":[{"id":1,"name":"Subdivision","value":"EC"},{"id":4,"name":"Milepost","value":"0.0123"},{"id":17,"name":"Train ID","value":"114-11"},{"id":16,"name":"Locomotive ID","value":"4043"},{"id":130,"name":"Impact","value":""},{"id":150,"name":"Time of Event (Mountain Time)","value":"07:06:15"},{"id":151,"name":"Denver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19"/>
        <v>start /low /b %USERPROFILE%\Documents\GitHub\eaglep3\Utilities\DownloadLogsFromS3.py --loco 4043 --day 2017-03-11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"%USERPROFILE%\AppData\Local\Temp\OnboardLogs"\RTDC4043\*4043*20170311* | grep -SE "(Enforcement Action)|(\[TIMEOUT)|(CHR.+\|PRM\|1\|D.+(SWITCH|SIGNAL).+UNKNOWN)" - &gt;&gt; 2017-03-11-UncaughtWiMAX.txt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657</v>
      </c>
      <c r="B27" s="7">
        <v>4014</v>
      </c>
      <c r="C27" s="21" t="s">
        <v>240</v>
      </c>
      <c r="D27" s="21" t="s">
        <v>847</v>
      </c>
      <c r="E27" s="13">
        <v>42805.227569444447</v>
      </c>
      <c r="F27" s="13">
        <v>42805.229062500002</v>
      </c>
      <c r="G27" s="7">
        <v>2</v>
      </c>
      <c r="H27" s="21" t="s">
        <v>848</v>
      </c>
      <c r="I27" s="13">
        <v>42805.255266203705</v>
      </c>
      <c r="J27" s="7">
        <v>0</v>
      </c>
      <c r="K27" s="98" t="str">
        <f t="shared" si="0"/>
        <v>4013/4014</v>
      </c>
      <c r="L27" s="21" t="str">
        <f>VLOOKUP(A27,'Trips&amp;Operators'!$C$1:$G$99999,5,FALSE)</f>
        <v>GEBRETEKLE DAGNEW</v>
      </c>
      <c r="M27" s="6">
        <f t="shared" si="1"/>
        <v>2.6203703702776693E-2</v>
      </c>
      <c r="N27" s="7">
        <f t="shared" si="23"/>
        <v>37.733333331998438</v>
      </c>
      <c r="O27" s="7"/>
      <c r="P27" s="7"/>
      <c r="Q27" s="22"/>
      <c r="R27" s="22"/>
      <c r="S27" s="31">
        <f t="shared" si="2"/>
        <v>1</v>
      </c>
      <c r="T27" s="46" t="str">
        <f t="shared" si="3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4"/>
        <v>https://d0f6bd738d7f1b3e5a7ca70fe4ff75f0.us-east-1.aws.found.io/app/kibana#/discover/Steve-Slow-Train-Analysis-(2080s-and-2083s)?_g=(refreshInterval:(display:Off,pause:!f,section:0,value:0),time:(from:'2017-03-11T04:27:42-0700',mode:absolute,to:'2017-03-11T07:07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187" t="str">
        <f t="shared" si="5"/>
        <v>N</v>
      </c>
      <c r="X27" s="187">
        <f t="shared" si="6"/>
        <v>1</v>
      </c>
      <c r="Y27" s="62">
        <f t="shared" si="7"/>
        <v>7.2300000000000003E-2</v>
      </c>
      <c r="Z27" s="62">
        <f t="shared" si="8"/>
        <v>23.337399999999999</v>
      </c>
      <c r="AA27" s="62">
        <f t="shared" si="9"/>
        <v>23.2651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0"/>
        <v>0115-11</v>
      </c>
      <c r="AE27" s="85" t="str">
        <f t="shared" si="11"/>
        <v>aws s3 cp s3://rtdc.mdm.uploadarchive.raw/RTDC4014/ "%USERPROFILE%\AppData\Local\Temp\OnboardLogs"\RTDC4014\2017-03-11 --exclude "*" --recursive --include "*20170311*" &amp; "%USERPROFILE%\Documents\GitHub\mrs-test-scripts\Headless Mode &amp; Sideloading\WalkAndUnGZ.bat" "%USERPROFILE%\AppData\Local\Temp\OnboardLogs"\RTDC4014\2017-03-11 &amp; aws s3 cp s3://rtdc.mdm.uploadarchive.raw/RTDC4014/ "%USERPROFILE%\AppData\Local\Temp\OnboardLogs"\RTDC4014\2017-03-12 --exclude "*" --recursive --include "*20170312*" &amp; "%USERPROFILE%\Documents\GitHub\mrs-test-scripts\Headless Mode &amp; Sideloading\WalkAndUnGZ.bat" "%USERPROFILE%\AppData\Local\Temp\OnboardLogs"\RTDC4014\2017-03-12</v>
      </c>
      <c r="AF27" s="82" t="str">
        <f t="shared" si="12"/>
        <v>"C:\Program Files (x86)\AstroGrep\AstroGrep.exe" /e /r /s /spath="%USERPROFILE%\AppData\Local\Temp\OnboardLogs" /stypes="app*4014*20170311*" /stext=" 13:.+((SYSTEM_STATE.+slice.+state.+changed )|(ment ac)|(multiple cpu faults)|(system.+state.+changed )|(\[timeout)|(PRM\|1\|D)|(kpr)|(kdp)|(\|lc)|(penalty))"</v>
      </c>
      <c r="AG27" s="1" t="str">
        <f t="shared" si="13"/>
        <v>EC</v>
      </c>
      <c r="AH27" s="86" t="str">
        <f t="shared" si="17"/>
        <v>"%USERPROFILE%\Documents\GitHub\eaglep3\Utilities\RefineRTDCRunTimes.py" --tripid 115-11 --locoid 4014 --swversion DE.1.0.9.0 --startMP 204:723 --initTime 2017-03-11T05:27:42 --startdatetime 2017-03-11T05:29:51 --delay 2 --endMP 204:233374 --enddatetime 2017-03-11T06:07:35 --enforcementcount 0 &gt;&gt;C:\Users\stu\Documents\GitHub\eaglep3-reporting\EC\2017-03-11-refined-times.txt</v>
      </c>
      <c r="AI27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{"issue":{"subject":"","project_id":79,"tracker_id":40,"status_id":1,"priority_id":2,"assigned_to_id":23,"start_date":"2017-03-11","description":"","custom_fields":[{"id":1,"name":"Subdivision","value":"EC"},{"id":4,"name":"Milepost","value":"23.3374"},{"id":17,"name":"Train ID","value":"115-11"},{"id":16,"name":"Locomotive ID","value":"4014"},{"id":130,"name":"Impact","value":""},{"id":150,"name":"Time of Event (Mountain Time)","value":"06:07:35"},{"id":151,"name":"Denver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19"/>
        <v>start /low /b %USERPROFILE%\Documents\GitHub\eaglep3\Utilities\DownloadLogsFromS3.py --loco 4014 --day 2017-03-11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"%USERPROFILE%\AppData\Local\Temp\OnboardLogs"\RTDC4014\*4014*20170311* | grep -SE "(Enforcement Action)|(\[TIMEOUT)|(CHR.+\|PRM\|1\|D.+(SWITCH|SIGNAL).+UNKNOWN)" - &gt;&gt; 2017-03-11-UncaughtWiMAX.txt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664</v>
      </c>
      <c r="B28" s="7">
        <v>4013</v>
      </c>
      <c r="C28" s="21" t="s">
        <v>240</v>
      </c>
      <c r="D28" s="21" t="s">
        <v>849</v>
      </c>
      <c r="E28" s="13">
        <v>42805.260578703703</v>
      </c>
      <c r="F28" s="13">
        <v>42805.262453703705</v>
      </c>
      <c r="G28" s="7">
        <v>2</v>
      </c>
      <c r="H28" s="21" t="s">
        <v>540</v>
      </c>
      <c r="I28" s="13">
        <v>42805.299259259256</v>
      </c>
      <c r="J28" s="7">
        <v>0</v>
      </c>
      <c r="K28" s="98" t="str">
        <f t="shared" si="0"/>
        <v>4013/4014</v>
      </c>
      <c r="L28" s="21" t="str">
        <f>VLOOKUP(A28,'Trips&amp;Operators'!$C$1:$G$99999,5,FALSE)</f>
        <v>GEBRETEKLE DAGNEW</v>
      </c>
      <c r="M28" s="6">
        <f t="shared" si="1"/>
        <v>3.6805555551836733E-2</v>
      </c>
      <c r="N28" s="7">
        <f t="shared" si="23"/>
        <v>52.999999994644895</v>
      </c>
      <c r="O28" s="7"/>
      <c r="P28" s="7"/>
      <c r="Q28" s="22"/>
      <c r="R28" s="22"/>
      <c r="S28" s="31">
        <f t="shared" si="2"/>
        <v>1</v>
      </c>
      <c r="T28" s="46" t="str">
        <f t="shared" si="3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4"/>
        <v>https://d0f6bd738d7f1b3e5a7ca70fe4ff75f0.us-east-1.aws.found.io/app/kibana#/discover/Steve-Slow-Train-Analysis-(2080s-and-2083s)?_g=(refreshInterval:(display:Off,pause:!f,section:0,value:0),time:(from:'2017-03-11T05:15:14-0700',mode:absolute,to:'2017-03-11T08:10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187" t="str">
        <f t="shared" si="5"/>
        <v>N</v>
      </c>
      <c r="X28" s="187">
        <f t="shared" si="6"/>
        <v>1</v>
      </c>
      <c r="Y28" s="62">
        <f t="shared" si="7"/>
        <v>23.3003</v>
      </c>
      <c r="Z28" s="62">
        <f t="shared" si="8"/>
        <v>1.2999999999999999E-2</v>
      </c>
      <c r="AA28" s="62">
        <f t="shared" si="9"/>
        <v>23.287299999999998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0"/>
        <v>0116-11</v>
      </c>
      <c r="AE28" s="85" t="str">
        <f t="shared" si="11"/>
        <v>aws s3 cp s3://rtdc.mdm.uploadarchive.raw/RTDC4013/ "%USERPROFILE%\AppData\Local\Temp\OnboardLogs"\RTDC4013\2017-03-11 --exclude "*" --recursive --include "*20170311*" &amp; "%USERPROFILE%\Documents\GitHub\mrs-test-scripts\Headless Mode &amp; Sideloading\WalkAndUnGZ.bat" "%USERPROFILE%\AppData\Local\Temp\OnboardLogs"\RTDC4013\2017-03-11 &amp; aws s3 cp s3://rtdc.mdm.uploadarchive.raw/RTDC4013/ "%USERPROFILE%\AppData\Local\Temp\OnboardLogs"\RTDC4013\2017-03-12 --exclude "*" --recursive --include "*20170312*" &amp; "%USERPROFILE%\Documents\GitHub\mrs-test-scripts\Headless Mode &amp; Sideloading\WalkAndUnGZ.bat" "%USERPROFILE%\AppData\Local\Temp\OnboardLogs"\RTDC4013\2017-03-12</v>
      </c>
      <c r="AF28" s="82" t="str">
        <f t="shared" si="12"/>
        <v>"C:\Program Files (x86)\AstroGrep\AstroGrep.exe" /e /r /s /spath="%USERPROFILE%\AppData\Local\Temp\OnboardLogs" /stypes="app*4013*20170311*" /stext=" 14:.+((SYSTEM_STATE.+slice.+state.+changed )|(ment ac)|(multiple cpu faults)|(system.+state.+changed )|(\[timeout)|(PRM\|1\|D)|(kpr)|(kdp)|(\|lc)|(penalty))"</v>
      </c>
      <c r="AG28" s="1" t="str">
        <f t="shared" si="13"/>
        <v>EC</v>
      </c>
      <c r="AH28" s="86" t="str">
        <f t="shared" si="17"/>
        <v>"%USERPROFILE%\Documents\GitHub\eaglep3\Utilities\RefineRTDCRunTimes.py" --tripid 116-11 --locoid 4013 --swversion DE.1.0.9.0 --startMP 204:233003 --initTime 2017-03-11T06:15:14 --startdatetime 2017-03-11T06:17:56 --delay 2 --endMP 204:130 --enddatetime 2017-03-11T07:10:56 --enforcementcount 0 &gt;&gt;C:\Users\stu\Documents\GitHub\eaglep3-reporting\EC\2017-03-11-refined-times.txt</v>
      </c>
      <c r="AI28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{"issue":{"subject":"","project_id":79,"tracker_id":40,"status_id":1,"priority_id":2,"assigned_to_id":23,"start_date":"2017-03-11","description":"","custom_fields":[{"id":1,"name":"Subdivision","value":"EC"},{"id":4,"name":"Milepost","value":"0.013"},{"id":17,"name":"Train ID","value":"116-11"},{"id":16,"name":"Locomotive ID","value":"4013"},{"id":130,"name":"Impact","value":""},{"id":150,"name":"Time of Event (Mountain Time)","value":"07:10:56"},{"id":151,"name":"Denver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19"/>
        <v>start /low /b %USERPROFILE%\Documents\GitHub\eaglep3\Utilities\DownloadLogsFromS3.py --loco 4013 --day 2017-03-11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"%USERPROFILE%\AppData\Local\Temp\OnboardLogs"\RTDC4013\*4013*20170311* | grep -SE "(Enforcement Action)|(\[TIMEOUT)|(CHR.+\|PRM\|1\|D.+(SWITCH|SIGNAL).+UNKNOWN)" - &gt;&gt; 2017-03-11-UncaughtWiMAX.txt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658</v>
      </c>
      <c r="B29" s="7">
        <v>4009</v>
      </c>
      <c r="C29" s="21" t="s">
        <v>240</v>
      </c>
      <c r="D29" s="21" t="s">
        <v>233</v>
      </c>
      <c r="E29" s="13">
        <v>42805.22855324074</v>
      </c>
      <c r="F29" s="13">
        <v>42805.229722222219</v>
      </c>
      <c r="G29" s="7">
        <v>1</v>
      </c>
      <c r="H29" s="21" t="s">
        <v>850</v>
      </c>
      <c r="I29" s="13">
        <v>42805.266504629632</v>
      </c>
      <c r="J29" s="7">
        <v>0</v>
      </c>
      <c r="K29" s="98" t="str">
        <f t="shared" si="0"/>
        <v>4009/4010</v>
      </c>
      <c r="L29" s="21" t="str">
        <f>VLOOKUP(A29,'Trips&amp;Operators'!$C$1:$G$99999,5,FALSE)</f>
        <v>ROBINSON KADDIBA</v>
      </c>
      <c r="M29" s="6">
        <f t="shared" si="1"/>
        <v>3.6782407412829343E-2</v>
      </c>
      <c r="N29" s="7">
        <f t="shared" si="23"/>
        <v>52.966666674474254</v>
      </c>
      <c r="O29" s="7"/>
      <c r="P29" s="7"/>
      <c r="Q29" s="22"/>
      <c r="R29" s="22"/>
      <c r="S29" s="31">
        <f t="shared" si="2"/>
        <v>1</v>
      </c>
      <c r="T29" s="46" t="str">
        <f t="shared" si="3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4"/>
        <v>https://d0f6bd738d7f1b3e5a7ca70fe4ff75f0.us-east-1.aws.found.io/app/kibana#/discover/Steve-Slow-Train-Analysis-(2080s-and-2083s)?_g=(refreshInterval:(display:Off,pause:!f,section:0,value:0),time:(from:'2017-03-11T04:29:07-0700',mode:absolute,to:'2017-03-11T07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9" s="187" t="str">
        <f t="shared" si="5"/>
        <v>N</v>
      </c>
      <c r="X29" s="187">
        <f t="shared" si="6"/>
        <v>1</v>
      </c>
      <c r="Y29" s="62">
        <f t="shared" si="7"/>
        <v>4.4400000000000002E-2</v>
      </c>
      <c r="Z29" s="62">
        <f t="shared" si="8"/>
        <v>23.333400000000001</v>
      </c>
      <c r="AA29" s="62">
        <f t="shared" si="9"/>
        <v>23.289000000000001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0"/>
        <v>0117-11</v>
      </c>
      <c r="AE29" s="85" t="str">
        <f t="shared" si="11"/>
        <v>aws s3 cp s3://rtdc.mdm.uploadarchive.raw/RTDC4009/ "%USERPROFILE%\AppData\Local\Temp\OnboardLogs"\RTDC4009\2017-03-11 --exclude "*" --recursive --include "*20170311*" &amp; "%USERPROFILE%\Documents\GitHub\mrs-test-scripts\Headless Mode &amp; Sideloading\WalkAndUnGZ.bat" "%USERPROFILE%\AppData\Local\Temp\OnboardLogs"\RTDC4009\2017-03-11 &amp; aws s3 cp s3://rtdc.mdm.uploadarchive.raw/RTDC4009/ "%USERPROFILE%\AppData\Local\Temp\OnboardLogs"\RTDC4009\2017-03-12 --exclude "*" --recursive --include "*20170312*" &amp; "%USERPROFILE%\Documents\GitHub\mrs-test-scripts\Headless Mode &amp; Sideloading\WalkAndUnGZ.bat" "%USERPROFILE%\AppData\Local\Temp\OnboardLogs"\RTDC4009\2017-03-12</v>
      </c>
      <c r="AF29" s="82" t="str">
        <f t="shared" si="12"/>
        <v>"C:\Program Files (x86)\AstroGrep\AstroGrep.exe" /e /r /s /spath="%USERPROFILE%\AppData\Local\Temp\OnboardLogs" /stypes="app*4009*20170311*" /stext=" 13:.+((SYSTEM_STATE.+slice.+state.+changed )|(ment ac)|(multiple cpu faults)|(system.+state.+changed )|(\[timeout)|(PRM\|1\|D)|(kpr)|(kdp)|(\|lc)|(penalty))"</v>
      </c>
      <c r="AG29" s="1" t="str">
        <f t="shared" si="13"/>
        <v>EC</v>
      </c>
      <c r="AH29" s="86" t="str">
        <f t="shared" si="17"/>
        <v>"%USERPROFILE%\Documents\GitHub\eaglep3\Utilities\RefineRTDCRunTimes.py" --tripid 117-11 --locoid 4009 --swversion DE.1.0.9.0 --startMP 204:444 --initTime 2017-03-11T05:29:07 --startdatetime 2017-03-11T05:30:48 --delay 1 --endMP 204:233334 --enddatetime 2017-03-11T06:23:46 --enforcementcount 0 &gt;&gt;C:\Users\stu\Documents\GitHub\eaglep3-reporting\EC\2017-03-11-refined-times.txt</v>
      </c>
      <c r="AI29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{"issue":{"subject":"","project_id":79,"tracker_id":40,"status_id":1,"priority_id":2,"assigned_to_id":23,"start_date":"2017-03-11","description":"","custom_fields":[{"id":1,"name":"Subdivision","value":"EC"},{"id":4,"name":"Milepost","value":"23.3334"},{"id":17,"name":"Train ID","value":"117-11"},{"id":16,"name":"Locomotive ID","value":"4009"},{"id":130,"name":"Impact","value":""},{"id":150,"name":"Time of Event (Mountain Time)","value":"06:23:46"},{"id":151,"name":"Denver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19"/>
        <v>start /low /b %USERPROFILE%\Documents\GitHub\eaglep3\Utilities\DownloadLogsFromS3.py --loco 4009 --day 2017-03-11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"%USERPROFILE%\AppData\Local\Temp\OnboardLogs"\RTDC4009\*4009*20170311* | grep -SE "(Enforcement Action)|(\[TIMEOUT)|(CHR.+\|PRM\|1\|D.+(SWITCH|SIGNAL).+UNKNOWN)" - &gt;&gt; 2017-03-11-UncaughtWiMAX.txt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584</v>
      </c>
      <c r="B30" s="7">
        <v>4010</v>
      </c>
      <c r="C30" s="21" t="s">
        <v>240</v>
      </c>
      <c r="D30" s="21" t="s">
        <v>851</v>
      </c>
      <c r="E30" s="13">
        <v>42805.274837962963</v>
      </c>
      <c r="F30" s="13">
        <v>42805.275682870371</v>
      </c>
      <c r="G30" s="7">
        <v>1</v>
      </c>
      <c r="H30" s="21" t="s">
        <v>852</v>
      </c>
      <c r="I30" s="13">
        <v>42805.308437500003</v>
      </c>
      <c r="J30" s="7">
        <v>0</v>
      </c>
      <c r="K30" s="98" t="str">
        <f t="shared" si="0"/>
        <v>4009/4010</v>
      </c>
      <c r="L30" s="21" t="str">
        <f>VLOOKUP(A30,'Trips&amp;Operators'!$C$1:$G$99999,5,FALSE)</f>
        <v>ROBINSON KADDIBA</v>
      </c>
      <c r="M30" s="6">
        <f t="shared" si="1"/>
        <v>3.2754629632108845E-2</v>
      </c>
      <c r="N30" s="7"/>
      <c r="O30" s="7"/>
      <c r="P30" s="7">
        <f>24*60*SUM($M30:$M30)</f>
        <v>47.166666670236737</v>
      </c>
      <c r="Q30" s="22"/>
      <c r="R30" s="22" t="s">
        <v>1001</v>
      </c>
      <c r="S30" s="31">
        <f t="shared" si="2"/>
        <v>0.66666666666666663</v>
      </c>
      <c r="T30" s="46" t="str">
        <f t="shared" si="3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8</v>
      </c>
      <c r="V30" s="186" t="str">
        <f t="shared" si="4"/>
        <v>https://d0f6bd738d7f1b3e5a7ca70fe4ff75f0.us-east-1.aws.found.io/app/kibana#/discover/Steve-Slow-Train-Analysis-(2080s-and-2083s)?_g=(refreshInterval:(display:Off,pause:!f,section:0,value:0),time:(from:'2017-03-11T05:35:46-0700',mode:absolute,to:'2017-03-11T08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0" s="187" t="str">
        <f t="shared" si="5"/>
        <v>Y</v>
      </c>
      <c r="X30" s="187">
        <f t="shared" si="6"/>
        <v>1</v>
      </c>
      <c r="Y30" s="62">
        <f t="shared" si="7"/>
        <v>23.301100000000002</v>
      </c>
      <c r="Z30" s="62">
        <f t="shared" si="8"/>
        <v>4.2991000000000001</v>
      </c>
      <c r="AA30" s="62">
        <f t="shared" si="9"/>
        <v>19.002000000000002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0"/>
        <v>0118-11</v>
      </c>
      <c r="AE30" s="85" t="str">
        <f t="shared" si="11"/>
        <v>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 &amp; aws s3 cp s3://rtdc.mdm.uploadarchive.raw/RTDC4010/ "%USERPROFILE%\AppData\Local\Temp\OnboardLogs"\RTDC4010\2017-03-12 --exclude "*" --recursive --include "*20170312*" &amp; "%USERPROFILE%\Documents\GitHub\mrs-test-scripts\Headless Mode &amp; Sideloading\WalkAndUnGZ.bat" "%USERPROFILE%\AppData\Local\Temp\OnboardLogs"\RTDC4010\2017-03-12</v>
      </c>
      <c r="AF30" s="82" t="str">
        <f t="shared" si="12"/>
        <v>"C:\Program Files (x86)\AstroGrep\AstroGrep.exe" /e /r /s /spath="%USERPROFILE%\AppData\Local\Temp\OnboardLogs" /stypes="app*4010*20170311*" /stext=" 14:.+((SYSTEM_STATE.+slice.+state.+changed )|(ment ac)|(multiple cpu faults)|(system.+state.+changed )|(\[timeout)|(PRM\|1\|D)|(kpr)|(kdp)|(\|lc)|(penalty))"</v>
      </c>
      <c r="AG30" s="1" t="str">
        <f t="shared" si="13"/>
        <v>EC</v>
      </c>
      <c r="AH30" s="86" t="str">
        <f t="shared" si="17"/>
        <v>"%USERPROFILE%\Documents\GitHub\eaglep3\Utilities\RefineRTDCRunTimes.py" --tripid 118-11 --locoid 4010 --swversion DE.1.0.9.0 --startMP 204:233011 --initTime 2017-03-11T06:35:46 --startdatetime 2017-03-11T06:36:59 --delay 1 --endMP 204:42991 --enddatetime 2017-03-11T07:24:09 --enforcementcount 0 &gt;&gt;C:\Users\stu\Documents\GitHub\eaglep3-reporting\EC\2017-03-11-refined-times.txt</v>
      </c>
      <c r="AI30" s="108" t="str">
        <f t="shared" si="18"/>
        <v>echo {"issue":{"subject":"Holly Form C","project_id":79,"tracker_id":40,"status_id":1,"priority_id":2,"assigned_to_id":23,"start_date":"2017-03-11","description":"","custom_fields":[{"id":1,"name":"Subdivision","value":"EC"},{"id":4,"name":"Milepost","value":"4.2991"},{"id":17,"name":"Train ID","value":"118-11"},{"id":16,"name":"Locomotive ID","value":"4010"},{"id":130,"name":"Impact","value":""},{"id":150,"name":"Time of Event (Mountain Time)","value":"07:24:09"},{"id":151,"name":"Denver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19"/>
        <v>start /low /b %USERPROFILE%\Documents\GitHub\eaglep3\Utilities\DownloadLogsFromS3.py --loco 4010 --day 2017-03-11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"%USERPROFILE%\AppData\Local\Temp\OnboardLogs"\RTDC4010\*4010*20170311* | grep -SE "(Enforcement Action)|(\[TIMEOUT)|(CHR.+\|PRM\|1\|D.+(SWITCH|SIGNAL).+UNKNOWN)" - &gt;&gt; 2017-03-11-UncaughtWiMAX.txt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583</v>
      </c>
      <c r="B31" s="7">
        <v>4046</v>
      </c>
      <c r="C31" s="21" t="s">
        <v>240</v>
      </c>
      <c r="D31" s="21" t="s">
        <v>235</v>
      </c>
      <c r="E31" s="13">
        <v>42805.241006944445</v>
      </c>
      <c r="F31" s="13">
        <v>42805.243321759262</v>
      </c>
      <c r="G31" s="7">
        <v>3</v>
      </c>
      <c r="H31" s="21" t="s">
        <v>502</v>
      </c>
      <c r="I31" s="13">
        <v>42805.278634259259</v>
      </c>
      <c r="J31" s="7">
        <v>0</v>
      </c>
      <c r="K31" s="98" t="str">
        <f t="shared" si="0"/>
        <v>4045/4046</v>
      </c>
      <c r="L31" s="21" t="str">
        <f>VLOOKUP(A31,'Trips&amp;Operators'!$C$1:$G$99999,5,FALSE)</f>
        <v>COOLAHAN JOHN</v>
      </c>
      <c r="M31" s="6">
        <f t="shared" si="1"/>
        <v>3.531249999650754E-2</v>
      </c>
      <c r="N31" s="7">
        <f t="shared" ref="N31:N41" si="24">24*60*SUM($M31:$M31)</f>
        <v>50.849999994970858</v>
      </c>
      <c r="O31" s="7"/>
      <c r="P31" s="7"/>
      <c r="Q31" s="22"/>
      <c r="R31" s="22"/>
      <c r="S31" s="31">
        <f t="shared" si="2"/>
        <v>1</v>
      </c>
      <c r="T31" s="46" t="str">
        <f t="shared" si="3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4"/>
        <v>https://d0f6bd738d7f1b3e5a7ca70fe4ff75f0.us-east-1.aws.found.io/app/kibana#/discover/Steve-Slow-Train-Analysis-(2080s-and-2083s)?_g=(refreshInterval:(display:Off,pause:!f,section:0,value:0),time:(from:'2017-03-11T04:47:03-0700',mode:absolute,to:'2017-03-11T07:41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1" s="187" t="str">
        <f t="shared" si="5"/>
        <v>N</v>
      </c>
      <c r="X31" s="187">
        <f t="shared" si="6"/>
        <v>1</v>
      </c>
      <c r="Y31" s="62">
        <f t="shared" si="7"/>
        <v>4.4699999999999997E-2</v>
      </c>
      <c r="Z31" s="62">
        <f t="shared" si="8"/>
        <v>23.328399999999998</v>
      </c>
      <c r="AA31" s="62">
        <f t="shared" si="9"/>
        <v>23.2837</v>
      </c>
      <c r="AB31" s="59" t="str">
        <f>VLOOKUP(A31,Enforcements!$C$7:$K$13,8,0)</f>
        <v>Bulletin (2)</v>
      </c>
      <c r="AC31" s="55" t="str">
        <f>VLOOKUP(A31,Enforcements!$C$7:$E$13,3,0)</f>
        <v>GRADE CROSSING</v>
      </c>
      <c r="AD31" s="56" t="str">
        <f t="shared" si="10"/>
        <v>0119-11</v>
      </c>
      <c r="AE31" s="85" t="str">
        <f t="shared" si="11"/>
        <v>aws s3 cp s3://rtdc.mdm.uploadarchive.raw/RTDC4046/ "%USERPROFILE%\AppData\Local\Temp\OnboardLogs"\RTDC4046\2017-03-11 --exclude "*" --recursive --include "*20170311*" &amp; "%USERPROFILE%\Documents\GitHub\mrs-test-scripts\Headless Mode &amp; Sideloading\WalkAndUnGZ.bat" "%USERPROFILE%\AppData\Local\Temp\OnboardLogs"\RTDC4046\2017-03-11 &amp; aws s3 cp s3://rtdc.mdm.uploadarchive.raw/RTDC4046/ "%USERPROFILE%\AppData\Local\Temp\OnboardLogs"\RTDC4046\2017-03-12 --exclude "*" --recursive --include "*20170312*" &amp; "%USERPROFILE%\Documents\GitHub\mrs-test-scripts\Headless Mode &amp; Sideloading\WalkAndUnGZ.bat" "%USERPROFILE%\AppData\Local\Temp\OnboardLogs"\RTDC4046\2017-03-12</v>
      </c>
      <c r="AF31" s="82" t="str">
        <f t="shared" si="12"/>
        <v>"C:\Program Files (x86)\AstroGrep\AstroGrep.exe" /e /r /s /spath="%USERPROFILE%\AppData\Local\Temp\OnboardLogs" /stypes="app*4046*20170311*" /stext=" 13:.+((SYSTEM_STATE.+slice.+state.+changed )|(ment ac)|(multiple cpu faults)|(system.+state.+changed )|(\[timeout)|(PRM\|1\|D)|(kpr)|(kdp)|(\|lc)|(penalty))"</v>
      </c>
      <c r="AG31" s="1" t="str">
        <f t="shared" si="13"/>
        <v>EC</v>
      </c>
      <c r="AH31" s="86" t="str">
        <f t="shared" si="17"/>
        <v>"%USERPROFILE%\Documents\GitHub\eaglep3\Utilities\RefineRTDCRunTimes.py" --tripid 119-11 --locoid 4046 --swversion DE.1.0.9.0 --startMP 204:447 --initTime 2017-03-11T05:47:03 --startdatetime 2017-03-11T05:50:23 --delay 3 --endMP 204:233284 --enddatetime 2017-03-11T06:41:14 --enforcementcount 0 &gt;&gt;C:\Users\stu\Documents\GitHub\eaglep3-reporting\EC\2017-03-11-refined-times.txt</v>
      </c>
      <c r="AI31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{"issue":{"subject":"","project_id":79,"tracker_id":40,"status_id":1,"priority_id":2,"assigned_to_id":23,"start_date":"2017-03-11","description":"","custom_fields":[{"id":1,"name":"Subdivision","value":"EC"},{"id":4,"name":"Milepost","value":"23.3284"},{"id":17,"name":"Train ID","value":"119-11"},{"id":16,"name":"Locomotive ID","value":"4046"},{"id":130,"name":"Impact","value":""},{"id":150,"name":"Time of Event (Mountain Time)","value":"06:41:14"},{"id":151,"name":"Denver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19"/>
        <v>start /low /b %USERPROFILE%\Documents\GitHub\eaglep3\Utilities\DownloadLogsFromS3.py --loco 4046 --day 2017-03-11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"%USERPROFILE%\AppData\Local\Temp\OnboardLogs"\RTDC4046\*4046*20170311* | grep -SE "(Enforcement Action)|(\[TIMEOUT)|(CHR.+\|PRM\|1\|D.+(SWITCH|SIGNAL).+UNKNOWN)" - &gt;&gt; 2017-03-11-UncaughtWiMAX.txt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585</v>
      </c>
      <c r="B32" s="7">
        <v>4045</v>
      </c>
      <c r="C32" s="21" t="s">
        <v>240</v>
      </c>
      <c r="D32" s="21" t="s">
        <v>853</v>
      </c>
      <c r="E32" s="13">
        <v>42805.28502314815</v>
      </c>
      <c r="F32" s="13">
        <v>42805.286157407405</v>
      </c>
      <c r="G32" s="7">
        <v>1</v>
      </c>
      <c r="H32" s="21" t="s">
        <v>202</v>
      </c>
      <c r="I32" s="13">
        <v>42805.320381944446</v>
      </c>
      <c r="J32" s="7">
        <v>0</v>
      </c>
      <c r="K32" s="98" t="str">
        <f t="shared" si="0"/>
        <v>4045/4046</v>
      </c>
      <c r="L32" s="21" t="str">
        <f>VLOOKUP(A32,'Trips&amp;Operators'!$C$1:$G$99999,5,FALSE)</f>
        <v>COOLAHAN JOHN</v>
      </c>
      <c r="M32" s="6">
        <f t="shared" si="1"/>
        <v>3.422453704115469E-2</v>
      </c>
      <c r="N32" s="7">
        <f t="shared" si="24"/>
        <v>49.283333339262754</v>
      </c>
      <c r="O32" s="7"/>
      <c r="P32" s="7"/>
      <c r="Q32" s="22"/>
      <c r="R32" s="22"/>
      <c r="S32" s="31">
        <f t="shared" si="2"/>
        <v>1</v>
      </c>
      <c r="T32" s="46" t="str">
        <f t="shared" si="3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4"/>
        <v>https://d0f6bd738d7f1b3e5a7ca70fe4ff75f0.us-east-1.aws.found.io/app/kibana#/discover/Steve-Slow-Train-Analysis-(2080s-and-2083s)?_g=(refreshInterval:(display:Off,pause:!f,section:0,value:0),time:(from:'2017-03-11T05:50:26-0700',mode:absolute,to:'2017-03-11T08:41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2" s="187" t="str">
        <f t="shared" si="5"/>
        <v>N</v>
      </c>
      <c r="X32" s="187">
        <f t="shared" si="6"/>
        <v>1</v>
      </c>
      <c r="Y32" s="62">
        <f t="shared" si="7"/>
        <v>23.297699999999999</v>
      </c>
      <c r="Z32" s="62">
        <f t="shared" si="8"/>
        <v>1.52E-2</v>
      </c>
      <c r="AA32" s="62">
        <f t="shared" si="9"/>
        <v>23.282499999999999</v>
      </c>
      <c r="AB32" s="59" t="str">
        <f>VLOOKUP(A32,Enforcements!$C$7:$K$13,8,0)</f>
        <v>Bulletin (2)</v>
      </c>
      <c r="AC32" s="55" t="str">
        <f>VLOOKUP(A32,Enforcements!$C$7:$E$13,3,0)</f>
        <v>GRADE CROSSING</v>
      </c>
      <c r="AD32" s="56" t="str">
        <f t="shared" si="10"/>
        <v>0120-11</v>
      </c>
      <c r="AE32" s="85" t="str">
        <f t="shared" si="11"/>
        <v>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 &amp; aws s3 cp s3://rtdc.mdm.uploadarchive.raw/RTDC4045/ "%USERPROFILE%\AppData\Local\Temp\OnboardLogs"\RTDC4045\2017-03-12 --exclude "*" --recursive --include "*20170312*" &amp; "%USERPROFILE%\Documents\GitHub\mrs-test-scripts\Headless Mode &amp; Sideloading\WalkAndUnGZ.bat" "%USERPROFILE%\AppData\Local\Temp\OnboardLogs"\RTDC4045\2017-03-12</v>
      </c>
      <c r="AF32" s="82" t="str">
        <f t="shared" si="12"/>
        <v>"C:\Program Files (x86)\AstroGrep\AstroGrep.exe" /e /r /s /spath="%USERPROFILE%\AppData\Local\Temp\OnboardLogs" /stypes="app*4045*20170311*" /stext=" 14:.+((SYSTEM_STATE.+slice.+state.+changed )|(ment ac)|(multiple cpu faults)|(system.+state.+changed )|(\[timeout)|(PRM\|1\|D)|(kpr)|(kdp)|(\|lc)|(penalty))"</v>
      </c>
      <c r="AG32" s="1" t="str">
        <f t="shared" si="13"/>
        <v>EC</v>
      </c>
      <c r="AH32" s="86" t="str">
        <f t="shared" si="17"/>
        <v>"%USERPROFILE%\Documents\GitHub\eaglep3\Utilities\RefineRTDCRunTimes.py" --tripid 120-11 --locoid 4045 --swversion DE.1.0.9.0 --startMP 204:232977 --initTime 2017-03-11T06:50:26 --startdatetime 2017-03-11T06:52:04 --delay 1 --endMP 204:152 --enddatetime 2017-03-11T07:41:21 --enforcementcount 0 &gt;&gt;C:\Users\stu\Documents\GitHub\eaglep3-reporting\EC\2017-03-11-refined-times.txt</v>
      </c>
      <c r="AI32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{"issue":{"subject":"","project_id":79,"tracker_id":40,"status_id":1,"priority_id":2,"assigned_to_id":23,"start_date":"2017-03-11","description":"","custom_fields":[{"id":1,"name":"Subdivision","value":"EC"},{"id":4,"name":"Milepost","value":"0.0152"},{"id":17,"name":"Train ID","value":"120-11"},{"id":16,"name":"Locomotive ID","value":"4045"},{"id":130,"name":"Impact","value":""},{"id":150,"name":"Time of Event (Mountain Time)","value":"07:41:21"},{"id":151,"name":"Denver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19"/>
        <v>start /low /b %USERPROFILE%\Documents\GitHub\eaglep3\Utilities\DownloadLogsFromS3.py --loco 4045 --day 2017-03-11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"%USERPROFILE%\AppData\Local\Temp\OnboardLogs"\RTDC4045\*4045*20170311* | grep -SE "(Enforcement Action)|(\[TIMEOUT)|(CHR.+\|PRM\|1\|D.+(SWITCH|SIGNAL).+UNKNOWN)" - &gt;&gt; 2017-03-11-UncaughtWiMAX.txt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663</v>
      </c>
      <c r="B33" s="7">
        <v>4040</v>
      </c>
      <c r="C33" s="21" t="s">
        <v>240</v>
      </c>
      <c r="D33" s="21" t="s">
        <v>271</v>
      </c>
      <c r="E33" s="13">
        <v>42805.260092592594</v>
      </c>
      <c r="F33" s="13">
        <v>42805.260995370372</v>
      </c>
      <c r="G33" s="7">
        <v>1</v>
      </c>
      <c r="H33" s="21" t="s">
        <v>854</v>
      </c>
      <c r="I33" s="13">
        <v>42805.297418981485</v>
      </c>
      <c r="J33" s="7">
        <v>0</v>
      </c>
      <c r="K33" s="98" t="str">
        <f t="shared" si="0"/>
        <v>4039/4040</v>
      </c>
      <c r="L33" s="21" t="str">
        <f>VLOOKUP(A33,'Trips&amp;Operators'!$C$1:$G$99999,5,FALSE)</f>
        <v>DAVIS WENDY</v>
      </c>
      <c r="M33" s="6">
        <f t="shared" si="1"/>
        <v>3.6423611112695653E-2</v>
      </c>
      <c r="N33" s="7">
        <f t="shared" si="24"/>
        <v>52.45000000228174</v>
      </c>
      <c r="O33" s="7"/>
      <c r="P33" s="7"/>
      <c r="Q33" s="22"/>
      <c r="R33" s="22"/>
      <c r="S33" s="31">
        <f t="shared" si="2"/>
        <v>1</v>
      </c>
      <c r="T33" s="46" t="str">
        <f t="shared" si="3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4"/>
        <v>https://d0f6bd738d7f1b3e5a7ca70fe4ff75f0.us-east-1.aws.found.io/app/kibana#/discover/Steve-Slow-Train-Analysis-(2080s-and-2083s)?_g=(refreshInterval:(display:Off,pause:!f,section:0,value:0),time:(from:'2017-03-11T05:14:32-0700',mode:absolute,to:'2017-03-11T08:08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3" s="187" t="str">
        <f t="shared" si="5"/>
        <v>N</v>
      </c>
      <c r="X33" s="187">
        <f t="shared" si="6"/>
        <v>1</v>
      </c>
      <c r="Y33" s="62">
        <f t="shared" si="7"/>
        <v>4.7699999999999999E-2</v>
      </c>
      <c r="Z33" s="62">
        <f t="shared" si="8"/>
        <v>23.332699999999999</v>
      </c>
      <c r="AA33" s="62">
        <f t="shared" si="9"/>
        <v>23.285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0"/>
        <v>0121-11</v>
      </c>
      <c r="AE33" s="85" t="str">
        <f t="shared" si="11"/>
        <v>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 &amp; aws s3 cp s3://rtdc.mdm.uploadarchive.raw/RTDC4040/ "%USERPROFILE%\AppData\Local\Temp\OnboardLogs"\RTDC4040\2017-03-12 --exclude "*" --recursive --include "*20170312*" &amp; "%USERPROFILE%\Documents\GitHub\mrs-test-scripts\Headless Mode &amp; Sideloading\WalkAndUnGZ.bat" "%USERPROFILE%\AppData\Local\Temp\OnboardLogs"\RTDC4040\2017-03-12</v>
      </c>
      <c r="AF33" s="82" t="str">
        <f t="shared" si="12"/>
        <v>"C:\Program Files (x86)\AstroGrep\AstroGrep.exe" /e /r /s /spath="%USERPROFILE%\AppData\Local\Temp\OnboardLogs" /stypes="app*4040*20170311*" /stext=" 14:.+((SYSTEM_STATE.+slice.+state.+changed )|(ment ac)|(multiple cpu faults)|(system.+state.+changed )|(\[timeout)|(PRM\|1\|D)|(kpr)|(kdp)|(\|lc)|(penalty))"</v>
      </c>
      <c r="AG33" s="1" t="str">
        <f t="shared" si="13"/>
        <v>EC</v>
      </c>
      <c r="AH33" s="86" t="str">
        <f t="shared" si="17"/>
        <v>"%USERPROFILE%\Documents\GitHub\eaglep3\Utilities\RefineRTDCRunTimes.py" --tripid 121-11 --locoid 4040 --swversion DE.1.0.9.0 --startMP 204:477 --initTime 2017-03-11T06:14:32 --startdatetime 2017-03-11T06:15:50 --delay 1 --endMP 204:233327 --enddatetime 2017-03-11T07:08:17 --enforcementcount 0 &gt;&gt;C:\Users\stu\Documents\GitHub\eaglep3-reporting\EC\2017-03-11-refined-times.txt</v>
      </c>
      <c r="AI33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{"issue":{"subject":"","project_id":79,"tracker_id":40,"status_id":1,"priority_id":2,"assigned_to_id":23,"start_date":"2017-03-11","description":"","custom_fields":[{"id":1,"name":"Subdivision","value":"EC"},{"id":4,"name":"Milepost","value":"23.3327"},{"id":17,"name":"Train ID","value":"121-11"},{"id":16,"name":"Locomotive ID","value":"4040"},{"id":130,"name":"Impact","value":""},{"id":150,"name":"Time of Event (Mountain Time)","value":"07:08:17"},{"id":151,"name":"Denver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19"/>
        <v>start /low /b %USERPROFILE%\Documents\GitHub\eaglep3\Utilities\DownloadLogsFromS3.py --loco 4040 --day 2017-03-11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"%USERPROFILE%\AppData\Local\Temp\OnboardLogs"\RTDC4040\*4040*20170311* | grep -SE "(Enforcement Action)|(\[TIMEOUT)|(CHR.+\|PRM\|1\|D.+(SWITCH|SIGNAL).+UNKNOWN)" - &gt;&gt; 2017-03-11-UncaughtWiMAX.txt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671</v>
      </c>
      <c r="B34" s="7">
        <v>4039</v>
      </c>
      <c r="C34" s="21" t="s">
        <v>240</v>
      </c>
      <c r="D34" s="21" t="s">
        <v>855</v>
      </c>
      <c r="E34" s="13">
        <v>42805.301712962966</v>
      </c>
      <c r="F34" s="13">
        <v>42805.302581018521</v>
      </c>
      <c r="G34" s="7">
        <v>1</v>
      </c>
      <c r="H34" s="21" t="s">
        <v>202</v>
      </c>
      <c r="I34" s="13">
        <v>42805.336030092592</v>
      </c>
      <c r="J34" s="7">
        <v>0</v>
      </c>
      <c r="K34" s="98" t="str">
        <f t="shared" si="0"/>
        <v>4039/4040</v>
      </c>
      <c r="L34" s="21" t="str">
        <f>VLOOKUP(A34,'Trips&amp;Operators'!$C$1:$G$99999,5,FALSE)</f>
        <v>DAVIS WENDY</v>
      </c>
      <c r="M34" s="6">
        <f t="shared" si="1"/>
        <v>3.3449074071540963E-2</v>
      </c>
      <c r="N34" s="7">
        <f t="shared" si="24"/>
        <v>48.166666663018987</v>
      </c>
      <c r="O34" s="7"/>
      <c r="P34" s="7"/>
      <c r="Q34" s="22"/>
      <c r="R34" s="22"/>
      <c r="S34" s="31">
        <f t="shared" si="2"/>
        <v>1</v>
      </c>
      <c r="T34" s="46" t="str">
        <f t="shared" si="3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4"/>
        <v>https://d0f6bd738d7f1b3e5a7ca70fe4ff75f0.us-east-1.aws.found.io/app/kibana#/discover/Steve-Slow-Train-Analysis-(2080s-and-2083s)?_g=(refreshInterval:(display:Off,pause:!f,section:0,value:0),time:(from:'2017-03-11T06:14:28-0700',mode:absolute,to:'2017-03-11T09:03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4" s="187" t="str">
        <f t="shared" si="5"/>
        <v>N</v>
      </c>
      <c r="X34" s="187">
        <f t="shared" si="6"/>
        <v>1</v>
      </c>
      <c r="Y34" s="62">
        <f t="shared" si="7"/>
        <v>23.301500000000001</v>
      </c>
      <c r="Z34" s="62">
        <f t="shared" si="8"/>
        <v>1.52E-2</v>
      </c>
      <c r="AA34" s="62">
        <f t="shared" si="9"/>
        <v>23.286300000000001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0"/>
        <v>0122-11</v>
      </c>
      <c r="AE34" s="85" t="str">
        <f t="shared" si="11"/>
        <v>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 &amp; aws s3 cp s3://rtdc.mdm.uploadarchive.raw/RTDC4039/ "%USERPROFILE%\AppData\Local\Temp\OnboardLogs"\RTDC4039\2017-03-12 --exclude "*" --recursive --include "*20170312*" &amp; "%USERPROFILE%\Documents\GitHub\mrs-test-scripts\Headless Mode &amp; Sideloading\WalkAndUnGZ.bat" "%USERPROFILE%\AppData\Local\Temp\OnboardLogs"\RTDC4039\2017-03-12</v>
      </c>
      <c r="AF34" s="82" t="str">
        <f t="shared" si="12"/>
        <v>"C:\Program Files (x86)\AstroGrep\AstroGrep.exe" /e /r /s /spath="%USERPROFILE%\AppData\Local\Temp\OnboardLogs" /stypes="app*4039*20170311*" /stext=" 15:.+((SYSTEM_STATE.+slice.+state.+changed )|(ment ac)|(multiple cpu faults)|(system.+state.+changed )|(\[timeout)|(PRM\|1\|D)|(kpr)|(kdp)|(\|lc)|(penalty))"</v>
      </c>
      <c r="AG34" s="1" t="str">
        <f t="shared" si="13"/>
        <v>EC</v>
      </c>
      <c r="AH34" s="86" t="str">
        <f t="shared" si="17"/>
        <v>"%USERPROFILE%\Documents\GitHub\eaglep3\Utilities\RefineRTDCRunTimes.py" --tripid 122-11 --locoid 4039 --swversion DE.1.0.9.0 --startMP 204:233015 --initTime 2017-03-11T07:14:28 --startdatetime 2017-03-11T07:15:43 --delay 1 --endMP 204:152 --enddatetime 2017-03-11T08:03:53 --enforcementcount 0 &gt;&gt;C:\Users\stu\Documents\GitHub\eaglep3-reporting\EC\2017-03-11-refined-times.txt</v>
      </c>
      <c r="AI34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{"issue":{"subject":"","project_id":79,"tracker_id":40,"status_id":1,"priority_id":2,"assigned_to_id":23,"start_date":"2017-03-11","description":"","custom_fields":[{"id":1,"name":"Subdivision","value":"EC"},{"id":4,"name":"Milepost","value":"0.0152"},{"id":17,"name":"Train ID","value":"122-11"},{"id":16,"name":"Locomotive ID","value":"4039"},{"id":130,"name":"Impact","value":""},{"id":150,"name":"Time of Event (Mountain Time)","value":"08:03:53"},{"id":151,"name":"Denver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19"/>
        <v>start /low /b %USERPROFILE%\Documents\GitHub\eaglep3\Utilities\DownloadLogsFromS3.py --loco 4039 --day 2017-03-11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"%USERPROFILE%\AppData\Local\Temp\OnboardLogs"\RTDC4039\*4039*20170311* | grep -SE "(Enforcement Action)|(\[TIMEOUT)|(CHR.+\|PRM\|1\|D.+(SWITCH|SIGNAL).+UNKNOWN)" - &gt;&gt; 2017-03-11-UncaughtWiMAX.txt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665</v>
      </c>
      <c r="B35" s="7">
        <v>4006</v>
      </c>
      <c r="C35" s="21" t="s">
        <v>240</v>
      </c>
      <c r="D35" s="21" t="s">
        <v>554</v>
      </c>
      <c r="E35" s="13">
        <v>42805.269537037035</v>
      </c>
      <c r="F35" s="13">
        <v>42805.270462962966</v>
      </c>
      <c r="G35" s="7">
        <v>1</v>
      </c>
      <c r="H35" s="21" t="s">
        <v>276</v>
      </c>
      <c r="I35" s="13">
        <v>42805.304351851853</v>
      </c>
      <c r="J35" s="7">
        <v>0</v>
      </c>
      <c r="K35" s="98" t="str">
        <f t="shared" si="0"/>
        <v>4005/4006</v>
      </c>
      <c r="L35" s="21" t="str">
        <f>VLOOKUP(A35,'Trips&amp;Operators'!$C$1:$G$99999,5,FALSE)</f>
        <v>SANTIZO D. EDY</v>
      </c>
      <c r="M35" s="6">
        <f t="shared" si="1"/>
        <v>3.3888888887304347E-2</v>
      </c>
      <c r="N35" s="7">
        <f t="shared" si="24"/>
        <v>48.79999999771826</v>
      </c>
      <c r="O35" s="7"/>
      <c r="P35" s="7"/>
      <c r="Q35" s="22"/>
      <c r="R35" s="22"/>
      <c r="S35" s="31">
        <f t="shared" si="2"/>
        <v>1</v>
      </c>
      <c r="T35" s="46" t="str">
        <f t="shared" si="3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4"/>
        <v>https://d0f6bd738d7f1b3e5a7ca70fe4ff75f0.us-east-1.aws.found.io/app/kibana#/discover/Steve-Slow-Train-Analysis-(2080s-and-2083s)?_g=(refreshInterval:(display:Off,pause:!f,section:0,value:0),time:(from:'2017-03-11T05:28:08-0700',mode:absolute,to:'2017-03-11T08:18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5" s="187" t="str">
        <f t="shared" si="5"/>
        <v>N</v>
      </c>
      <c r="X35" s="187">
        <f t="shared" si="6"/>
        <v>1</v>
      </c>
      <c r="Y35" s="62">
        <f t="shared" si="7"/>
        <v>4.6199999999999998E-2</v>
      </c>
      <c r="Z35" s="62">
        <f t="shared" si="8"/>
        <v>23.3291</v>
      </c>
      <c r="AA35" s="62">
        <f t="shared" si="9"/>
        <v>23.282900000000001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0"/>
        <v>0123-11</v>
      </c>
      <c r="AE35" s="85" t="str">
        <f t="shared" si="11"/>
        <v>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 &amp; 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</v>
      </c>
      <c r="AF35" s="82" t="str">
        <f t="shared" si="12"/>
        <v>"C:\Program Files (x86)\AstroGrep\AstroGrep.exe" /e /r /s /spath="%USERPROFILE%\AppData\Local\Temp\OnboardLogs" /stypes="app*4006*20170311*" /stext=" 14:.+((SYSTEM_STATE.+slice.+state.+changed )|(ment ac)|(multiple cpu faults)|(system.+state.+changed )|(\[timeout)|(PRM\|1\|D)|(kpr)|(kdp)|(\|lc)|(penalty))"</v>
      </c>
      <c r="AG35" s="1" t="str">
        <f t="shared" si="13"/>
        <v>EC</v>
      </c>
      <c r="AH35" s="86" t="str">
        <f t="shared" si="17"/>
        <v>"%USERPROFILE%\Documents\GitHub\eaglep3\Utilities\RefineRTDCRunTimes.py" --tripid 123-11 --locoid 4006 --swversion DE.1.0.9.0 --startMP 204:462 --initTime 2017-03-11T06:28:08 --startdatetime 2017-03-11T06:29:28 --delay 1 --endMP 204:233291 --enddatetime 2017-03-11T07:18:16 --enforcementcount 0 &gt;&gt;C:\Users\stu\Documents\GitHub\eaglep3-reporting\EC\2017-03-11-refined-times.txt</v>
      </c>
      <c r="AI35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{"issue":{"subject":"","project_id":79,"tracker_id":40,"status_id":1,"priority_id":2,"assigned_to_id":23,"start_date":"2017-03-11","description":"","custom_fields":[{"id":1,"name":"Subdivision","value":"EC"},{"id":4,"name":"Milepost","value":"23.3291"},{"id":17,"name":"Train ID","value":"123-11"},{"id":16,"name":"Locomotive ID","value":"4006"},{"id":130,"name":"Impact","value":""},{"id":150,"name":"Time of Event (Mountain Time)","value":"07:18:16"},{"id":151,"name":"Denver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19"/>
        <v>start /low /b %USERPROFILE%\Documents\GitHub\eaglep3\Utilities\DownloadLogsFromS3.py --loco 4006 --day 2017-03-11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"%USERPROFILE%\AppData\Local\Temp\OnboardLogs"\RTDC4006\*4006*20170311* | grep -SE "(Enforcement Action)|(\[TIMEOUT)|(CHR.+\|PRM\|1\|D.+(SWITCH|SIGNAL).+UNKNOWN)" - &gt;&gt; 2017-03-11-UncaughtWiMAX.txt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672</v>
      </c>
      <c r="B36" s="7">
        <v>4005</v>
      </c>
      <c r="C36" s="21" t="s">
        <v>240</v>
      </c>
      <c r="D36" s="21" t="s">
        <v>545</v>
      </c>
      <c r="E36" s="13">
        <v>42805.307442129626</v>
      </c>
      <c r="F36" s="13">
        <v>42805.30840277778</v>
      </c>
      <c r="G36" s="7">
        <v>1</v>
      </c>
      <c r="H36" s="21" t="s">
        <v>203</v>
      </c>
      <c r="I36" s="13">
        <v>42805.339502314811</v>
      </c>
      <c r="J36" s="7">
        <v>0</v>
      </c>
      <c r="K36" s="98" t="str">
        <f t="shared" si="0"/>
        <v>4005/4006</v>
      </c>
      <c r="L36" s="21" t="str">
        <f>VLOOKUP(A36,'Trips&amp;Operators'!$C$1:$G$99999,5,FALSE)</f>
        <v>SANTIZO D. EDY</v>
      </c>
      <c r="M36" s="6">
        <f t="shared" si="1"/>
        <v>3.1099537030968349E-2</v>
      </c>
      <c r="N36" s="7">
        <f t="shared" si="24"/>
        <v>44.783333324594423</v>
      </c>
      <c r="O36" s="7"/>
      <c r="P36" s="7"/>
      <c r="Q36" s="22"/>
      <c r="R36" s="22"/>
      <c r="S36" s="31">
        <f t="shared" si="2"/>
        <v>1</v>
      </c>
      <c r="T36" s="46" t="str">
        <f t="shared" si="3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4"/>
        <v>https://d0f6bd738d7f1b3e5a7ca70fe4ff75f0.us-east-1.aws.found.io/app/kibana#/discover/Steve-Slow-Train-Analysis-(2080s-and-2083s)?_g=(refreshInterval:(display:Off,pause:!f,section:0,value:0),time:(from:'2017-03-11T06:22:43-0700',mode:absolute,to:'2017-03-11T09:08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6" s="187" t="str">
        <f t="shared" si="5"/>
        <v>N</v>
      </c>
      <c r="X36" s="187">
        <f t="shared" si="6"/>
        <v>1</v>
      </c>
      <c r="Y36" s="62">
        <f t="shared" si="7"/>
        <v>23.299199999999999</v>
      </c>
      <c r="Z36" s="62">
        <f t="shared" si="8"/>
        <v>1.5800000000000002E-2</v>
      </c>
      <c r="AA36" s="62">
        <f t="shared" si="9"/>
        <v>23.2834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0"/>
        <v>0124-11</v>
      </c>
      <c r="AE36" s="85" t="str">
        <f t="shared" si="11"/>
        <v>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 &amp; 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</v>
      </c>
      <c r="AF36" s="82" t="str">
        <f t="shared" si="12"/>
        <v>"C:\Program Files (x86)\AstroGrep\AstroGrep.exe" /e /r /s /spath="%USERPROFILE%\AppData\Local\Temp\OnboardLogs" /stypes="app*4005*20170311*" /stext=" 15:.+((SYSTEM_STATE.+slice.+state.+changed )|(ment ac)|(multiple cpu faults)|(system.+state.+changed )|(\[timeout)|(PRM\|1\|D)|(kpr)|(kdp)|(\|lc)|(penalty))"</v>
      </c>
      <c r="AG36" s="1" t="str">
        <f t="shared" si="13"/>
        <v>EC</v>
      </c>
      <c r="AH36" s="86" t="str">
        <f t="shared" si="17"/>
        <v>"%USERPROFILE%\Documents\GitHub\eaglep3\Utilities\RefineRTDCRunTimes.py" --tripid 124-11 --locoid 4005 --swversion DE.1.0.9.0 --startMP 204:232992 --initTime 2017-03-11T07:22:43 --startdatetime 2017-03-11T07:24:06 --delay 1 --endMP 204:158 --enddatetime 2017-03-11T08:08:53 --enforcementcount 0 &gt;&gt;C:\Users\stu\Documents\GitHub\eaglep3-reporting\EC\2017-03-11-refined-times.txt</v>
      </c>
      <c r="AI36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{"issue":{"subject":"","project_id":79,"tracker_id":40,"status_id":1,"priority_id":2,"assigned_to_id":23,"start_date":"2017-03-11","description":"","custom_fields":[{"id":1,"name":"Subdivision","value":"EC"},{"id":4,"name":"Milepost","value":"0.0158"},{"id":17,"name":"Train ID","value":"124-11"},{"id":16,"name":"Locomotive ID","value":"4005"},{"id":130,"name":"Impact","value":""},{"id":150,"name":"Time of Event (Mountain Time)","value":"08:08:53"},{"id":151,"name":"Denver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19"/>
        <v>start /low /b %USERPROFILE%\Documents\GitHub\eaglep3\Utilities\DownloadLogsFromS3.py --loco 4005 --day 2017-03-11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"%USERPROFILE%\AppData\Local\Temp\OnboardLogs"\RTDC4005\*4005*20170311* | grep -SE "(Enforcement Action)|(\[TIMEOUT)|(CHR.+\|PRM\|1\|D.+(SWITCH|SIGNAL).+UNKNOWN)" - &gt;&gt; 2017-03-11-UncaughtWiMAX.txt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667</v>
      </c>
      <c r="B37" s="7">
        <v>4029</v>
      </c>
      <c r="C37" s="21" t="s">
        <v>240</v>
      </c>
      <c r="D37" s="21" t="s">
        <v>493</v>
      </c>
      <c r="E37" s="13">
        <v>42805.278587962966</v>
      </c>
      <c r="F37" s="13">
        <v>42805.27983796296</v>
      </c>
      <c r="G37" s="7">
        <v>1</v>
      </c>
      <c r="H37" s="21" t="s">
        <v>856</v>
      </c>
      <c r="I37" s="13">
        <v>42805.310381944444</v>
      </c>
      <c r="J37" s="7">
        <v>0</v>
      </c>
      <c r="K37" s="98" t="str">
        <f t="shared" si="0"/>
        <v>4029/4030</v>
      </c>
      <c r="L37" s="21" t="str">
        <f>VLOOKUP(A37,'Trips&amp;Operators'!$C$1:$G$99999,5,FALSE)</f>
        <v>LOZA FIDEL</v>
      </c>
      <c r="M37" s="6">
        <f t="shared" si="1"/>
        <v>3.054398148378823E-2</v>
      </c>
      <c r="N37" s="7">
        <f t="shared" si="24"/>
        <v>43.983333336655051</v>
      </c>
      <c r="O37" s="7"/>
      <c r="P37" s="7"/>
      <c r="Q37" s="22"/>
      <c r="R37" s="22" t="s">
        <v>1009</v>
      </c>
      <c r="S37" s="31">
        <f t="shared" si="2"/>
        <v>1</v>
      </c>
      <c r="T37" s="46" t="str">
        <f t="shared" si="3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4"/>
        <v>https://d0f6bd738d7f1b3e5a7ca70fe4ff75f0.us-east-1.aws.found.io/app/kibana#/discover/Steve-Slow-Train-Analysis-(2080s-and-2083s)?_g=(refreshInterval:(display:Off,pause:!f,section:0,value:0),time:(from:'2017-03-11T05:41:10-0700',mode:absolute,to:'2017-03-11T08:26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7" s="187" t="str">
        <f t="shared" si="5"/>
        <v>N</v>
      </c>
      <c r="X37" s="187">
        <f t="shared" si="6"/>
        <v>1</v>
      </c>
      <c r="Y37" s="62">
        <f t="shared" si="7"/>
        <v>4.6399999999999997E-2</v>
      </c>
      <c r="Z37" s="62">
        <f t="shared" si="8"/>
        <v>23.339700000000001</v>
      </c>
      <c r="AA37" s="62">
        <f t="shared" si="9"/>
        <v>23.293300000000002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0"/>
        <v>0125-11</v>
      </c>
      <c r="AE37" s="85" t="str">
        <f t="shared" si="11"/>
        <v>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 &amp; aws s3 cp s3://rtdc.mdm.uploadarchive.raw/RTDC4029/ "%USERPROFILE%\AppData\Local\Temp\OnboardLogs"\RTDC4029\2017-03-12 --exclude "*" --recursive --include "*20170312*" &amp; "%USERPROFILE%\Documents\GitHub\mrs-test-scripts\Headless Mode &amp; Sideloading\WalkAndUnGZ.bat" "%USERPROFILE%\AppData\Local\Temp\OnboardLogs"\RTDC4029\2017-03-12</v>
      </c>
      <c r="AF37" s="82" t="str">
        <f t="shared" si="12"/>
        <v>"C:\Program Files (x86)\AstroGrep\AstroGrep.exe" /e /r /s /spath="%USERPROFILE%\AppData\Local\Temp\OnboardLogs" /stypes="app*4029*20170311*" /stext=" 14:.+((SYSTEM_STATE.+slice.+state.+changed )|(ment ac)|(multiple cpu faults)|(system.+state.+changed )|(\[timeout)|(PRM\|1\|D)|(kpr)|(kdp)|(\|lc)|(penalty))"</v>
      </c>
      <c r="AG37" s="1" t="str">
        <f t="shared" si="13"/>
        <v>EC</v>
      </c>
      <c r="AH37" s="86" t="str">
        <f t="shared" si="17"/>
        <v>"%USERPROFILE%\Documents\GitHub\eaglep3\Utilities\RefineRTDCRunTimes.py" --tripid 125-11 --locoid 4029 --swversion DE.1.0.9.0 --startMP 204:464 --initTime 2017-03-11T06:41:10 --startdatetime 2017-03-11T06:42:58 --delay 1 --endMP 204:233397 --enddatetime 2017-03-11T07:26:57 --enforcementcount 0 &gt;&gt;C:\Users\stu\Documents\GitHub\eaglep3-reporting\EC\2017-03-11-refined-times.txt</v>
      </c>
      <c r="AI37" s="108" t="str">
        <f t="shared" si="18"/>
        <v>echo {"issue":{"subject":"Onboard in-route failure delayed departure","project_id":79,"tracker_id":40,"status_id":1,"priority_id":2,"assigned_to_id":23,"start_date":"2017-03-11","description":"","custom_fields":[{"id":1,"name":"Subdivision","value":"EC"},{"id":4,"name":"Milepost","value":"23.3397"},{"id":17,"name":"Train ID","value":"125-11"},{"id":16,"name":"Locomotive ID","value":"4029"},{"id":130,"name":"Impact","value":""},{"id":150,"name":"Time of Event (Mountain Time)","value":"07:26:57"},{"id":151,"name":"Denver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19"/>
        <v>start /low /b %USERPROFILE%\Documents\GitHub\eaglep3\Utilities\DownloadLogsFromS3.py --loco 4029 --day 2017-03-11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"%USERPROFILE%\AppData\Local\Temp\OnboardLogs"\RTDC4029\*4029*20170311* | grep -SE "(Enforcement Action)|(\[TIMEOUT)|(CHR.+\|PRM\|1\|D.+(SWITCH|SIGNAL).+UNKNOWN)" - &gt;&gt; 2017-03-11-UncaughtWiMAX.txt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673</v>
      </c>
      <c r="B38" s="7">
        <v>4030</v>
      </c>
      <c r="C38" s="21" t="s">
        <v>240</v>
      </c>
      <c r="D38" s="21" t="s">
        <v>857</v>
      </c>
      <c r="E38" s="13">
        <v>42805.316886574074</v>
      </c>
      <c r="F38" s="13">
        <v>42805.318252314813</v>
      </c>
      <c r="G38" s="7">
        <v>1</v>
      </c>
      <c r="H38" s="21" t="s">
        <v>192</v>
      </c>
      <c r="I38" s="13">
        <v>42805.347500000003</v>
      </c>
      <c r="J38" s="7">
        <v>0</v>
      </c>
      <c r="K38" s="98" t="str">
        <f t="shared" si="0"/>
        <v>4029/4030</v>
      </c>
      <c r="L38" s="21" t="str">
        <f>VLOOKUP(A38,'Trips&amp;Operators'!$C$1:$G$99999,5,FALSE)</f>
        <v>LOZA FIDEL</v>
      </c>
      <c r="M38" s="6">
        <f t="shared" si="1"/>
        <v>2.9247685190057382E-2</v>
      </c>
      <c r="N38" s="7">
        <f t="shared" si="24"/>
        <v>42.11666667368263</v>
      </c>
      <c r="O38" s="7"/>
      <c r="P38" s="7"/>
      <c r="Q38" s="22"/>
      <c r="R38" s="22"/>
      <c r="S38" s="31">
        <f t="shared" si="2"/>
        <v>1</v>
      </c>
      <c r="T38" s="46" t="str">
        <f t="shared" si="3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4"/>
        <v>https://d0f6bd738d7f1b3e5a7ca70fe4ff75f0.us-east-1.aws.found.io/app/kibana#/discover/Steve-Slow-Train-Analysis-(2080s-and-2083s)?_g=(refreshInterval:(display:Off,pause:!f,section:0,value:0),time:(from:'2017-03-11T06:36:19-0700',mode:absolute,to:'2017-03-11T09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8" s="187" t="str">
        <f t="shared" si="5"/>
        <v>N</v>
      </c>
      <c r="X38" s="187">
        <f t="shared" si="6"/>
        <v>1</v>
      </c>
      <c r="Y38" s="62">
        <f t="shared" si="7"/>
        <v>23.3094</v>
      </c>
      <c r="Z38" s="62">
        <f t="shared" si="8"/>
        <v>1.4999999999999999E-2</v>
      </c>
      <c r="AA38" s="62">
        <f t="shared" si="9"/>
        <v>23.2944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0"/>
        <v>0126-11</v>
      </c>
      <c r="AE38" s="85" t="str">
        <f t="shared" si="11"/>
        <v>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 &amp; aws s3 cp s3://rtdc.mdm.uploadarchive.raw/RTDC4030/ "%USERPROFILE%\AppData\Local\Temp\OnboardLogs"\RTDC4030\2017-03-12 --exclude "*" --recursive --include "*20170312*" &amp; "%USERPROFILE%\Documents\GitHub\mrs-test-scripts\Headless Mode &amp; Sideloading\WalkAndUnGZ.bat" "%USERPROFILE%\AppData\Local\Temp\OnboardLogs"\RTDC4030\2017-03-12</v>
      </c>
      <c r="AF38" s="82" t="str">
        <f t="shared" si="12"/>
        <v>"C:\Program Files (x86)\AstroGrep\AstroGrep.exe" /e /r /s /spath="%USERPROFILE%\AppData\Local\Temp\OnboardLogs" /stypes="app*4030*20170311*" /stext=" 15:.+((SYSTEM_STATE.+slice.+state.+changed )|(ment ac)|(multiple cpu faults)|(system.+state.+changed )|(\[timeout)|(PRM\|1\|D)|(kpr)|(kdp)|(\|lc)|(penalty))"</v>
      </c>
      <c r="AG38" s="1" t="str">
        <f t="shared" si="13"/>
        <v>EC</v>
      </c>
      <c r="AH38" s="86" t="str">
        <f t="shared" si="17"/>
        <v>"%USERPROFILE%\Documents\GitHub\eaglep3\Utilities\RefineRTDCRunTimes.py" --tripid 126-11 --locoid 4030 --swversion DE.1.0.9.0 --startMP 204:233094 --initTime 2017-03-11T07:36:19 --startdatetime 2017-03-11T07:38:17 --delay 1 --endMP 204:150 --enddatetime 2017-03-11T08:20:24 --enforcementcount 0 &gt;&gt;C:\Users\stu\Documents\GitHub\eaglep3-reporting\EC\2017-03-11-refined-times.txt</v>
      </c>
      <c r="AI38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{"issue":{"subject":"","project_id":79,"tracker_id":40,"status_id":1,"priority_id":2,"assigned_to_id":23,"start_date":"2017-03-11","description":"","custom_fields":[{"id":1,"name":"Subdivision","value":"EC"},{"id":4,"name":"Milepost","value":"0.015"},{"id":17,"name":"Train ID","value":"126-11"},{"id":16,"name":"Locomotive ID","value":"4030"},{"id":130,"name":"Impact","value":""},{"id":150,"name":"Time of Event (Mountain Time)","value":"08:20:24"},{"id":151,"name":"Denver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19"/>
        <v>start /low /b %USERPROFILE%\Documents\GitHub\eaglep3\Utilities\DownloadLogsFromS3.py --loco 4030 --day 2017-03-11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"%USERPROFILE%\AppData\Local\Temp\OnboardLogs"\RTDC4030\*4030*20170311* | grep -SE "(Enforcement Action)|(\[TIMEOUT)|(CHR.+\|PRM\|1\|D.+(SWITCH|SIGNAL).+UNKNOWN)" - &gt;&gt; 2017-03-11-UncaughtWiMAX.txt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669</v>
      </c>
      <c r="B39" s="7">
        <v>4044</v>
      </c>
      <c r="C39" s="21" t="s">
        <v>240</v>
      </c>
      <c r="D39" s="21" t="s">
        <v>235</v>
      </c>
      <c r="E39" s="13">
        <v>42805.297395833331</v>
      </c>
      <c r="F39" s="13">
        <v>42805.298275462963</v>
      </c>
      <c r="G39" s="7">
        <v>1</v>
      </c>
      <c r="H39" s="21" t="s">
        <v>858</v>
      </c>
      <c r="I39" s="13">
        <v>42805.325798611113</v>
      </c>
      <c r="J39" s="7">
        <v>0</v>
      </c>
      <c r="K39" s="98" t="str">
        <f t="shared" si="0"/>
        <v>4043/4044</v>
      </c>
      <c r="L39" s="21" t="str">
        <f>VLOOKUP(A39,'Trips&amp;Operators'!$C$1:$G$99999,5,FALSE)</f>
        <v>BADERTSCHER DIANE</v>
      </c>
      <c r="M39" s="6">
        <f t="shared" si="1"/>
        <v>2.7523148150066845E-2</v>
      </c>
      <c r="N39" s="7">
        <f t="shared" si="24"/>
        <v>39.633333336096257</v>
      </c>
      <c r="O39" s="7"/>
      <c r="P39" s="7"/>
      <c r="Q39" s="22"/>
      <c r="R39" s="22"/>
      <c r="S39" s="31">
        <f t="shared" si="2"/>
        <v>1</v>
      </c>
      <c r="T39" s="46" t="str">
        <f t="shared" si="3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4"/>
        <v>https://d0f6bd738d7f1b3e5a7ca70fe4ff75f0.us-east-1.aws.found.io/app/kibana#/discover/Steve-Slow-Train-Analysis-(2080s-and-2083s)?_g=(refreshInterval:(display:Off,pause:!f,section:0,value:0),time:(from:'2017-03-11T06:08:15-0700',mode:absolute,to:'2017-03-11T08:49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9" s="187" t="str">
        <f t="shared" si="5"/>
        <v>N</v>
      </c>
      <c r="X39" s="187">
        <f t="shared" si="6"/>
        <v>1</v>
      </c>
      <c r="Y39" s="62">
        <f t="shared" si="7"/>
        <v>4.4699999999999997E-2</v>
      </c>
      <c r="Z39" s="62">
        <f t="shared" si="8"/>
        <v>23.324100000000001</v>
      </c>
      <c r="AA39" s="62">
        <f t="shared" si="9"/>
        <v>23.279400000000003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0"/>
        <v>0127-11</v>
      </c>
      <c r="AE39" s="85" t="str">
        <f t="shared" si="11"/>
        <v>aws s3 cp s3://rtdc.mdm.uploadarchive.raw/RTDC4044/ "%USERPROFILE%\AppData\Local\Temp\OnboardLogs"\RTDC4044\2017-03-11 --exclude "*" --recursive --include "*20170311*" &amp; "%USERPROFILE%\Documents\GitHub\mrs-test-scripts\Headless Mode &amp; Sideloading\WalkAndUnGZ.bat" "%USERPROFILE%\AppData\Local\Temp\OnboardLogs"\RTDC4044\2017-03-11 &amp; aws s3 cp s3://rtdc.mdm.uploadarchive.raw/RTDC4044/ "%USERPROFILE%\AppData\Local\Temp\OnboardLogs"\RTDC4044\2017-03-12 --exclude "*" --recursive --include "*20170312*" &amp; "%USERPROFILE%\Documents\GitHub\mrs-test-scripts\Headless Mode &amp; Sideloading\WalkAndUnGZ.bat" "%USERPROFILE%\AppData\Local\Temp\OnboardLogs"\RTDC4044\2017-03-12</v>
      </c>
      <c r="AF39" s="82" t="str">
        <f t="shared" si="12"/>
        <v>"C:\Program Files (x86)\AstroGrep\AstroGrep.exe" /e /r /s /spath="%USERPROFILE%\AppData\Local\Temp\OnboardLogs" /stypes="app*4044*20170311*" /stext=" 14:.+((SYSTEM_STATE.+slice.+state.+changed )|(ment ac)|(multiple cpu faults)|(system.+state.+changed )|(\[timeout)|(PRM\|1\|D)|(kpr)|(kdp)|(\|lc)|(penalty))"</v>
      </c>
      <c r="AG39" s="1" t="str">
        <f t="shared" si="13"/>
        <v>EC</v>
      </c>
      <c r="AH39" s="86" t="str">
        <f t="shared" si="17"/>
        <v>"%USERPROFILE%\Documents\GitHub\eaglep3\Utilities\RefineRTDCRunTimes.py" --tripid 127-11 --locoid 4044 --swversion DE.1.0.9.0 --startMP 204:447 --initTime 2017-03-11T07:08:15 --startdatetime 2017-03-11T07:09:31 --delay 1 --endMP 204:233241 --enddatetime 2017-03-11T07:49:09 --enforcementcount 0 &gt;&gt;C:\Users\stu\Documents\GitHub\eaglep3-reporting\EC\2017-03-11-refined-times.txt</v>
      </c>
      <c r="AI39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{"issue":{"subject":"","project_id":79,"tracker_id":40,"status_id":1,"priority_id":2,"assigned_to_id":23,"start_date":"2017-03-11","description":"","custom_fields":[{"id":1,"name":"Subdivision","value":"EC"},{"id":4,"name":"Milepost","value":"23.3241"},{"id":17,"name":"Train ID","value":"127-11"},{"id":16,"name":"Locomotive ID","value":"4044"},{"id":130,"name":"Impact","value":""},{"id":150,"name":"Time of Event (Mountain Time)","value":"07:49:09"},{"id":151,"name":"Denver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19"/>
        <v>start /low /b %USERPROFILE%\Documents\GitHub\eaglep3\Utilities\DownloadLogsFromS3.py --loco 4044 --day 2017-03-11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"%USERPROFILE%\AppData\Local\Temp\OnboardLogs"\RTDC4044\*4044*20170311* | grep -SE "(Enforcement Action)|(\[TIMEOUT)|(CHR.+\|PRM\|1\|D.+(SWITCH|SIGNAL).+UNKNOWN)" - &gt;&gt; 2017-03-11-UncaughtWiMAX.txt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586</v>
      </c>
      <c r="B40" s="7">
        <v>4043</v>
      </c>
      <c r="C40" s="21" t="s">
        <v>240</v>
      </c>
      <c r="D40" s="21" t="s">
        <v>859</v>
      </c>
      <c r="E40" s="13">
        <v>42805.327951388892</v>
      </c>
      <c r="F40" s="13">
        <v>42805.328993055555</v>
      </c>
      <c r="G40" s="7">
        <v>1</v>
      </c>
      <c r="H40" s="21" t="s">
        <v>192</v>
      </c>
      <c r="I40" s="13">
        <v>42805.361932870372</v>
      </c>
      <c r="J40" s="7">
        <v>0</v>
      </c>
      <c r="K40" s="98" t="str">
        <f t="shared" si="0"/>
        <v>4043/4044</v>
      </c>
      <c r="L40" s="21" t="str">
        <f>VLOOKUP(A40,'Trips&amp;Operators'!$C$1:$G$99999,5,FALSE)</f>
        <v>BADERTSCHER DIANE</v>
      </c>
      <c r="M40" s="6">
        <f t="shared" si="1"/>
        <v>3.2939814816927537E-2</v>
      </c>
      <c r="N40" s="7">
        <f t="shared" si="24"/>
        <v>47.433333336375654</v>
      </c>
      <c r="O40" s="7"/>
      <c r="P40" s="7"/>
      <c r="Q40" s="22"/>
      <c r="R40" s="22"/>
      <c r="S40" s="31">
        <f t="shared" si="2"/>
        <v>1</v>
      </c>
      <c r="T40" s="46" t="str">
        <f t="shared" si="3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4"/>
        <v>https://d0f6bd738d7f1b3e5a7ca70fe4ff75f0.us-east-1.aws.found.io/app/kibana#/discover/Steve-Slow-Train-Analysis-(2080s-and-2083s)?_g=(refreshInterval:(display:Off,pause:!f,section:0,value:0),time:(from:'2017-03-11T06:52:15-0700',mode:absolute,to:'2017-03-11T09:41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0" s="187" t="str">
        <f t="shared" si="5"/>
        <v>N</v>
      </c>
      <c r="X40" s="187">
        <f t="shared" si="6"/>
        <v>1</v>
      </c>
      <c r="Y40" s="62">
        <f t="shared" si="7"/>
        <v>23.2925</v>
      </c>
      <c r="Z40" s="62">
        <f t="shared" si="8"/>
        <v>1.4999999999999999E-2</v>
      </c>
      <c r="AA40" s="62">
        <f t="shared" si="9"/>
        <v>23.2775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0"/>
        <v>0128-11</v>
      </c>
      <c r="AE40" s="85" t="str">
        <f t="shared" si="11"/>
        <v>aws s3 cp s3://rtdc.mdm.uploadarchive.raw/RTDC4043/ "%USERPROFILE%\AppData\Local\Temp\OnboardLogs"\RTDC4043\2017-03-11 --exclude "*" --recursive --include "*20170311*" &amp; "%USERPROFILE%\Documents\GitHub\mrs-test-scripts\Headless Mode &amp; Sideloading\WalkAndUnGZ.bat" "%USERPROFILE%\AppData\Local\Temp\OnboardLogs"\RTDC4043\2017-03-11 &amp; aws s3 cp s3://rtdc.mdm.uploadarchive.raw/RTDC4043/ "%USERPROFILE%\AppData\Local\Temp\OnboardLogs"\RTDC4043\2017-03-12 --exclude "*" --recursive --include "*20170312*" &amp; "%USERPROFILE%\Documents\GitHub\mrs-test-scripts\Headless Mode &amp; Sideloading\WalkAndUnGZ.bat" "%USERPROFILE%\AppData\Local\Temp\OnboardLogs"\RTDC4043\2017-03-12</v>
      </c>
      <c r="AF40" s="82" t="str">
        <f t="shared" si="12"/>
        <v>"C:\Program Files (x86)\AstroGrep\AstroGrep.exe" /e /r /s /spath="%USERPROFILE%\AppData\Local\Temp\OnboardLogs" /stypes="app*4043*20170311*" /stext=" 15:.+((SYSTEM_STATE.+slice.+state.+changed )|(ment ac)|(multiple cpu faults)|(system.+state.+changed )|(\[timeout)|(PRM\|1\|D)|(kpr)|(kdp)|(\|lc)|(penalty))"</v>
      </c>
      <c r="AG40" s="1" t="str">
        <f t="shared" si="13"/>
        <v>EC</v>
      </c>
      <c r="AH40" s="86" t="str">
        <f t="shared" si="17"/>
        <v>"%USERPROFILE%\Documents\GitHub\eaglep3\Utilities\RefineRTDCRunTimes.py" --tripid 128-11 --locoid 4043 --swversion DE.1.0.9.0 --startMP 204:232925 --initTime 2017-03-11T07:52:15 --startdatetime 2017-03-11T07:53:45 --delay 1 --endMP 204:150 --enddatetime 2017-03-11T08:41:11 --enforcementcount 0 &gt;&gt;C:\Users\stu\Documents\GitHub\eaglep3-reporting\EC\2017-03-11-refined-times.txt</v>
      </c>
      <c r="AI40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{"issue":{"subject":"","project_id":79,"tracker_id":40,"status_id":1,"priority_id":2,"assigned_to_id":23,"start_date":"2017-03-11","description":"","custom_fields":[{"id":1,"name":"Subdivision","value":"EC"},{"id":4,"name":"Milepost","value":"0.015"},{"id":17,"name":"Train ID","value":"128-11"},{"id":16,"name":"Locomotive ID","value":"4043"},{"id":130,"name":"Impact","value":""},{"id":150,"name":"Time of Event (Mountain Time)","value":"08:41:11"},{"id":151,"name":"Denver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19"/>
        <v>start /low /b %USERPROFILE%\Documents\GitHub\eaglep3\Utilities\DownloadLogsFromS3.py --loco 4043 --day 2017-03-11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"%USERPROFILE%\AppData\Local\Temp\OnboardLogs"\RTDC4043\*4043*20170311* | grep -SE "(Enforcement Action)|(\[TIMEOUT)|(CHR.+\|PRM\|1\|D.+(SWITCH|SIGNAL).+UNKNOWN)" - &gt;&gt; 2017-03-11-UncaughtWiMAX.txt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670</v>
      </c>
      <c r="B41" s="7">
        <v>4014</v>
      </c>
      <c r="C41" s="21" t="s">
        <v>240</v>
      </c>
      <c r="D41" s="21" t="s">
        <v>241</v>
      </c>
      <c r="E41" s="13">
        <v>42805.300312500003</v>
      </c>
      <c r="F41" s="13">
        <v>42805.301180555558</v>
      </c>
      <c r="G41" s="7">
        <v>1</v>
      </c>
      <c r="H41" s="21" t="s">
        <v>850</v>
      </c>
      <c r="I41" s="13">
        <v>42805.334699074076</v>
      </c>
      <c r="J41" s="7">
        <v>0</v>
      </c>
      <c r="K41" s="98" t="str">
        <f t="shared" si="0"/>
        <v>4013/4014</v>
      </c>
      <c r="L41" s="21" t="str">
        <f>VLOOKUP(A41,'Trips&amp;Operators'!$C$1:$G$99999,5,FALSE)</f>
        <v>GEBRETEKLE DAGNEW</v>
      </c>
      <c r="M41" s="6">
        <f t="shared" si="1"/>
        <v>3.3518518517666962E-2</v>
      </c>
      <c r="N41" s="7">
        <f t="shared" si="24"/>
        <v>48.266666665440425</v>
      </c>
      <c r="O41" s="7"/>
      <c r="P41" s="7"/>
      <c r="Q41" s="22"/>
      <c r="R41" s="22"/>
      <c r="S41" s="31">
        <f t="shared" si="2"/>
        <v>1</v>
      </c>
      <c r="T41" s="46" t="str">
        <f t="shared" si="3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4"/>
        <v>https://d0f6bd738d7f1b3e5a7ca70fe4ff75f0.us-east-1.aws.found.io/app/kibana#/discover/Steve-Slow-Train-Analysis-(2080s-and-2083s)?_g=(refreshInterval:(display:Off,pause:!f,section:0,value:0),time:(from:'2017-03-11T06:12:27-0700',mode:absolute,to:'2017-03-11T09:01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1" s="187" t="str">
        <f t="shared" si="5"/>
        <v>N</v>
      </c>
      <c r="X41" s="187">
        <f t="shared" si="6"/>
        <v>1</v>
      </c>
      <c r="Y41" s="62">
        <f t="shared" si="7"/>
        <v>4.58E-2</v>
      </c>
      <c r="Z41" s="62">
        <f t="shared" si="8"/>
        <v>23.333400000000001</v>
      </c>
      <c r="AA41" s="62">
        <f t="shared" si="9"/>
        <v>23.287600000000001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0"/>
        <v>0129-11</v>
      </c>
      <c r="AE41" s="85" t="str">
        <f t="shared" si="11"/>
        <v>aws s3 cp s3://rtdc.mdm.uploadarchive.raw/RTDC4014/ "%USERPROFILE%\AppData\Local\Temp\OnboardLogs"\RTDC4014\2017-03-11 --exclude "*" --recursive --include "*20170311*" &amp; "%USERPROFILE%\Documents\GitHub\mrs-test-scripts\Headless Mode &amp; Sideloading\WalkAndUnGZ.bat" "%USERPROFILE%\AppData\Local\Temp\OnboardLogs"\RTDC4014\2017-03-11 &amp; aws s3 cp s3://rtdc.mdm.uploadarchive.raw/RTDC4014/ "%USERPROFILE%\AppData\Local\Temp\OnboardLogs"\RTDC4014\2017-03-12 --exclude "*" --recursive --include "*20170312*" &amp; "%USERPROFILE%\Documents\GitHub\mrs-test-scripts\Headless Mode &amp; Sideloading\WalkAndUnGZ.bat" "%USERPROFILE%\AppData\Local\Temp\OnboardLogs"\RTDC4014\2017-03-12</v>
      </c>
      <c r="AF41" s="82" t="str">
        <f t="shared" si="12"/>
        <v>"C:\Program Files (x86)\AstroGrep\AstroGrep.exe" /e /r /s /spath="%USERPROFILE%\AppData\Local\Temp\OnboardLogs" /stypes="app*4014*20170311*" /stext=" 15:.+((SYSTEM_STATE.+slice.+state.+changed )|(ment ac)|(multiple cpu faults)|(system.+state.+changed )|(\[timeout)|(PRM\|1\|D)|(kpr)|(kdp)|(\|lc)|(penalty))"</v>
      </c>
      <c r="AG41" s="1" t="str">
        <f t="shared" si="13"/>
        <v>EC</v>
      </c>
      <c r="AH41" s="86" t="str">
        <f t="shared" si="17"/>
        <v>"%USERPROFILE%\Documents\GitHub\eaglep3\Utilities\RefineRTDCRunTimes.py" --tripid 129-11 --locoid 4014 --swversion DE.1.0.9.0 --startMP 204:458 --initTime 2017-03-11T07:12:27 --startdatetime 2017-03-11T07:13:42 --delay 1 --endMP 204:233334 --enddatetime 2017-03-11T08:01:58 --enforcementcount 0 &gt;&gt;C:\Users\stu\Documents\GitHub\eaglep3-reporting\EC\2017-03-11-refined-times.txt</v>
      </c>
      <c r="AI41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{"issue":{"subject":"","project_id":79,"tracker_id":40,"status_id":1,"priority_id":2,"assigned_to_id":23,"start_date":"2017-03-11","description":"","custom_fields":[{"id":1,"name":"Subdivision","value":"EC"},{"id":4,"name":"Milepost","value":"23.3334"},{"id":17,"name":"Train ID","value":"129-11"},{"id":16,"name":"Locomotive ID","value":"4014"},{"id":130,"name":"Impact","value":""},{"id":150,"name":"Time of Event (Mountain Time)","value":"08:01:58"},{"id":151,"name":"Denver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19"/>
        <v>start /low /b %USERPROFILE%\Documents\GitHub\eaglep3\Utilities\DownloadLogsFromS3.py --loco 4014 --day 2017-03-11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"%USERPROFILE%\AppData\Local\Temp\OnboardLogs"\RTDC4014\*4014*20170311* | grep -SE "(Enforcement Action)|(\[TIMEOUT)|(CHR.+\|PRM\|1\|D.+(SWITCH|SIGNAL).+UNKNOWN)" - &gt;&gt; 2017-03-11-UncaughtWiMAX.txt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678</v>
      </c>
      <c r="B42" s="7">
        <v>4013</v>
      </c>
      <c r="C42" s="21" t="s">
        <v>240</v>
      </c>
      <c r="D42" s="21" t="s">
        <v>860</v>
      </c>
      <c r="E42" s="13">
        <v>42805.354641203703</v>
      </c>
      <c r="F42" s="13">
        <v>42805.355462962965</v>
      </c>
      <c r="G42" s="7">
        <v>1</v>
      </c>
      <c r="H42" s="21" t="s">
        <v>203</v>
      </c>
      <c r="I42" s="13">
        <v>42805.373287037037</v>
      </c>
      <c r="J42" s="7">
        <v>0</v>
      </c>
      <c r="K42" s="98" t="str">
        <f t="shared" si="0"/>
        <v>4013/4014</v>
      </c>
      <c r="L42" s="21" t="str">
        <f>VLOOKUP(A42,'Trips&amp;Operators'!$C$1:$G$99999,5,FALSE)</f>
        <v>GEBRETEKLE DAGNEW</v>
      </c>
      <c r="M42" s="6">
        <f t="shared" si="1"/>
        <v>1.7824074071540963E-2</v>
      </c>
      <c r="N42" s="7"/>
      <c r="O42" s="7"/>
      <c r="P42" s="7">
        <f>24*60*SUM($M42:$M42)</f>
        <v>25.666666663018987</v>
      </c>
      <c r="Q42" s="22"/>
      <c r="R42" s="22" t="s">
        <v>578</v>
      </c>
      <c r="S42" s="31">
        <f t="shared" si="2"/>
        <v>1</v>
      </c>
      <c r="T42" s="46" t="str">
        <f t="shared" si="3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4"/>
        <v>https://d0f6bd738d7f1b3e5a7ca70fe4ff75f0.us-east-1.aws.found.io/app/kibana#/discover/Steve-Slow-Train-Analysis-(2080s-and-2083s)?_g=(refreshInterval:(display:Off,pause:!f,section:0,value:0),time:(from:'2017-03-11T07:30:41-0700',mode:absolute,to:'2017-03-11T09:57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2" s="187" t="str">
        <f t="shared" si="5"/>
        <v>Y</v>
      </c>
      <c r="X42" s="187">
        <f t="shared" si="6"/>
        <v>1</v>
      </c>
      <c r="Y42" s="62">
        <f t="shared" si="7"/>
        <v>12.7851</v>
      </c>
      <c r="Z42" s="62">
        <f t="shared" si="8"/>
        <v>1.5800000000000002E-2</v>
      </c>
      <c r="AA42" s="62">
        <f t="shared" si="9"/>
        <v>12.769299999999999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0"/>
        <v>0130-11</v>
      </c>
      <c r="AE42" s="85" t="str">
        <f t="shared" si="11"/>
        <v>aws s3 cp s3://rtdc.mdm.uploadarchive.raw/RTDC4013/ "%USERPROFILE%\AppData\Local\Temp\OnboardLogs"\RTDC4013\2017-03-11 --exclude "*" --recursive --include "*20170311*" &amp; "%USERPROFILE%\Documents\GitHub\mrs-test-scripts\Headless Mode &amp; Sideloading\WalkAndUnGZ.bat" "%USERPROFILE%\AppData\Local\Temp\OnboardLogs"\RTDC4013\2017-03-11 &amp; aws s3 cp s3://rtdc.mdm.uploadarchive.raw/RTDC4013/ "%USERPROFILE%\AppData\Local\Temp\OnboardLogs"\RTDC4013\2017-03-12 --exclude "*" --recursive --include "*20170312*" &amp; "%USERPROFILE%\Documents\GitHub\mrs-test-scripts\Headless Mode &amp; Sideloading\WalkAndUnGZ.bat" "%USERPROFILE%\AppData\Local\Temp\OnboardLogs"\RTDC4013\2017-03-12</v>
      </c>
      <c r="AF42" s="82" t="str">
        <f t="shared" si="12"/>
        <v>"C:\Program Files (x86)\AstroGrep\AstroGrep.exe" /e /r /s /spath="%USERPROFILE%\AppData\Local\Temp\OnboardLogs" /stypes="app*4013*20170311*" /stext=" 15:.+((SYSTEM_STATE.+slice.+state.+changed )|(ment ac)|(multiple cpu faults)|(system.+state.+changed )|(\[timeout)|(PRM\|1\|D)|(kpr)|(kdp)|(\|lc)|(penalty))"</v>
      </c>
      <c r="AG42" s="1" t="str">
        <f t="shared" si="13"/>
        <v>EC</v>
      </c>
      <c r="AH42" s="86" t="str">
        <f t="shared" si="17"/>
        <v>"%USERPROFILE%\Documents\GitHub\eaglep3\Utilities\RefineRTDCRunTimes.py" --tripid 130-11 --locoid 4013 --swversion DE.1.0.9.0 --startMP 204:127851 --initTime 2017-03-11T08:30:41 --startdatetime 2017-03-11T08:31:52 --delay 1 --endMP 204:158 --enddatetime 2017-03-11T08:57:32 --enforcementcount 0 &gt;&gt;C:\Users\stu\Documents\GitHub\eaglep3-reporting\EC\2017-03-11-refined-times.txt</v>
      </c>
      <c r="AI42" s="108" t="str">
        <f t="shared" si="18"/>
        <v>echo {"issue":{"subject":"Onboard in-route failure","project_id":79,"tracker_id":40,"status_id":1,"priority_id":2,"assigned_to_id":23,"start_date":"2017-03-11","description":"","custom_fields":[{"id":1,"name":"Subdivision","value":"EC"},{"id":4,"name":"Milepost","value":"0.0158"},{"id":17,"name":"Train ID","value":"130-11"},{"id":16,"name":"Locomotive ID","value":"4013"},{"id":130,"name":"Impact","value":""},{"id":150,"name":"Time of Event (Mountain Time)","value":"08:57:32"},{"id":151,"name":"Denver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19"/>
        <v>start /low /b %USERPROFILE%\Documents\GitHub\eaglep3\Utilities\DownloadLogsFromS3.py --loco 4013 --day 2017-03-11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"%USERPROFILE%\AppData\Local\Temp\OnboardLogs"\RTDC4013\*4013*20170311* | grep -SE "(Enforcement Action)|(\[TIMEOUT)|(CHR.+\|PRM\|1\|D.+(SWITCH|SIGNAL).+UNKNOWN)" - &gt;&gt; 2017-03-11-UncaughtWiMAX.txt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678</v>
      </c>
      <c r="B43" s="7">
        <v>4013</v>
      </c>
      <c r="C43" s="21" t="s">
        <v>240</v>
      </c>
      <c r="D43" s="21" t="s">
        <v>495</v>
      </c>
      <c r="E43" s="13">
        <v>42805.336493055554</v>
      </c>
      <c r="F43" s="13">
        <v>42805.33761574074</v>
      </c>
      <c r="G43" s="7">
        <v>1</v>
      </c>
      <c r="H43" s="21" t="s">
        <v>203</v>
      </c>
      <c r="I43" s="13">
        <v>42805.373287037037</v>
      </c>
      <c r="J43" s="7">
        <v>0</v>
      </c>
      <c r="K43" s="98" t="str">
        <f t="shared" si="0"/>
        <v>4013/4014</v>
      </c>
      <c r="L43" s="21" t="str">
        <f>VLOOKUP(A43,'Trips&amp;Operators'!$C$1:$G$99999,5,FALSE)</f>
        <v>GEBRETEKLE DAGNEW</v>
      </c>
      <c r="M43" s="6">
        <f t="shared" si="1"/>
        <v>3.5671296296641231E-2</v>
      </c>
      <c r="N43" s="7"/>
      <c r="O43" s="7"/>
      <c r="P43" s="7"/>
      <c r="Q43" s="22"/>
      <c r="R43" s="22"/>
      <c r="S43" s="31"/>
      <c r="T43" s="46" t="str">
        <f t="shared" si="3"/>
        <v>Southbound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4"/>
        <v>https://d0f6bd738d7f1b3e5a7ca70fe4ff75f0.us-east-1.aws.found.io/app/kibana#/discover/Steve-Slow-Train-Analysis-(2080s-and-2083s)?_g=(refreshInterval:(display:Off,pause:!f,section:0,value:0),time:(from:'2017-03-11T07:04:33-0700',mode:absolute,to:'2017-03-11T09:57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3" s="187" t="str">
        <f t="shared" si="5"/>
        <v>N</v>
      </c>
      <c r="X43" s="187">
        <f t="shared" si="6"/>
        <v>0</v>
      </c>
      <c r="Y43" s="62">
        <f t="shared" si="7"/>
        <v>23.3002</v>
      </c>
      <c r="Z43" s="62">
        <f t="shared" si="8"/>
        <v>1.5800000000000002E-2</v>
      </c>
      <c r="AA43" s="62">
        <f t="shared" si="9"/>
        <v>23.284400000000002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0"/>
        <v>0130-11</v>
      </c>
      <c r="AE43" s="85" t="str">
        <f t="shared" si="11"/>
        <v>aws s3 cp s3://rtdc.mdm.uploadarchive.raw/RTDC4013/ "%USERPROFILE%\AppData\Local\Temp\OnboardLogs"\RTDC4013\2017-03-11 --exclude "*" --recursive --include "*20170311*" &amp; "%USERPROFILE%\Documents\GitHub\mrs-test-scripts\Headless Mode &amp; Sideloading\WalkAndUnGZ.bat" "%USERPROFILE%\AppData\Local\Temp\OnboardLogs"\RTDC4013\2017-03-11 &amp; aws s3 cp s3://rtdc.mdm.uploadarchive.raw/RTDC4013/ "%USERPROFILE%\AppData\Local\Temp\OnboardLogs"\RTDC4013\2017-03-12 --exclude "*" --recursive --include "*20170312*" &amp; "%USERPROFILE%\Documents\GitHub\mrs-test-scripts\Headless Mode &amp; Sideloading\WalkAndUnGZ.bat" "%USERPROFILE%\AppData\Local\Temp\OnboardLogs"\RTDC4013\2017-03-12</v>
      </c>
      <c r="AF43" s="82" t="str">
        <f t="shared" si="12"/>
        <v>"C:\Program Files (x86)\AstroGrep\AstroGrep.exe" /e /r /s /spath="%USERPROFILE%\AppData\Local\Temp\OnboardLogs" /stypes="app*4013*20170311*" /stext=" 15:.+((SYSTEM_STATE.+slice.+state.+changed )|(ment ac)|(multiple cpu faults)|(system.+state.+changed )|(\[timeout)|(PRM\|1\|D)|(kpr)|(kdp)|(\|lc)|(penalty))"</v>
      </c>
      <c r="AG43" s="1" t="str">
        <f t="shared" si="13"/>
        <v>EC</v>
      </c>
      <c r="AH43" s="86" t="str">
        <f t="shared" si="17"/>
        <v>"%USERPROFILE%\Documents\GitHub\eaglep3\Utilities\RefineRTDCRunTimes.py" --tripid 130-11 --locoid 4013 --swversion DE.1.0.9.0 --startMP 204:233002 --initTime 2017-03-11T08:04:33 --startdatetime 2017-03-11T08:06:10 --delay 1 --endMP 204:158 --enddatetime 2017-03-11T08:57:32 --enforcementcount 0 &gt;&gt;C:\Users\stu\Documents\GitHub\eaglep3-reporting\EC\2017-03-11-refined-times.txt</v>
      </c>
      <c r="AI43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{"issue":{"subject":"","project_id":79,"tracker_id":40,"status_id":1,"priority_id":2,"assigned_to_id":23,"start_date":"2017-03-11","description":"","custom_fields":[{"id":1,"name":"Subdivision","value":"EC"},{"id":4,"name":"Milepost","value":"0.0158"},{"id":17,"name":"Train ID","value":"130-11"},{"id":16,"name":"Locomotive ID","value":"4013"},{"id":130,"name":"Impact","value":""},{"id":150,"name":"Time of Event (Mountain Time)","value":"08:57:32"},{"id":151,"name":"Denver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19"/>
        <v>start /low /b %USERPROFILE%\Documents\GitHub\eaglep3\Utilities\DownloadLogsFromS3.py --loco 4013 --day 2017-03-11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"%USERPROFILE%\AppData\Local\Temp\OnboardLogs"\RTDC4013\*4013*20170311* | grep -SE "(Enforcement Action)|(\[TIMEOUT)|(CHR.+\|PRM\|1\|D.+(SWITCH|SIGNAL).+UNKNOWN)" - &gt;&gt; 2017-03-11-UncaughtWiMAX.txt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678</v>
      </c>
      <c r="B44" s="7">
        <v>4013</v>
      </c>
      <c r="C44" s="21" t="s">
        <v>240</v>
      </c>
      <c r="D44" s="21" t="s">
        <v>495</v>
      </c>
      <c r="E44" s="13">
        <v>42805.336493055554</v>
      </c>
      <c r="F44" s="13">
        <v>42805.339108796295</v>
      </c>
      <c r="G44" s="7">
        <v>3</v>
      </c>
      <c r="H44" s="21" t="s">
        <v>203</v>
      </c>
      <c r="I44" s="13">
        <v>42805.373287037037</v>
      </c>
      <c r="J44" s="7">
        <v>0</v>
      </c>
      <c r="K44" s="98" t="str">
        <f t="shared" si="0"/>
        <v>4013/4014</v>
      </c>
      <c r="L44" s="21" t="str">
        <f>VLOOKUP(A44,'Trips&amp;Operators'!$C$1:$G$99999,5,FALSE)</f>
        <v>GEBRETEKLE DAGNEW</v>
      </c>
      <c r="M44" s="6">
        <f t="shared" si="1"/>
        <v>3.4178240741312038E-2</v>
      </c>
      <c r="N44" s="7"/>
      <c r="O44" s="7"/>
      <c r="P44" s="7"/>
      <c r="Q44" s="22"/>
      <c r="R44" s="22"/>
      <c r="S44" s="31"/>
      <c r="T44" s="46" t="str">
        <f t="shared" si="3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4"/>
        <v>https://d0f6bd738d7f1b3e5a7ca70fe4ff75f0.us-east-1.aws.found.io/app/kibana#/discover/Steve-Slow-Train-Analysis-(2080s-and-2083s)?_g=(refreshInterval:(display:Off,pause:!f,section:0,value:0),time:(from:'2017-03-11T07:04:33-0700',mode:absolute,to:'2017-03-11T09:57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4" s="187" t="str">
        <f t="shared" si="5"/>
        <v>N</v>
      </c>
      <c r="X44" s="187">
        <f t="shared" si="6"/>
        <v>0</v>
      </c>
      <c r="Y44" s="62">
        <f t="shared" si="7"/>
        <v>23.3002</v>
      </c>
      <c r="Z44" s="62">
        <f t="shared" si="8"/>
        <v>1.5800000000000002E-2</v>
      </c>
      <c r="AA44" s="62">
        <f t="shared" si="9"/>
        <v>23.284400000000002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0"/>
        <v>0130-11</v>
      </c>
      <c r="AE44" s="85" t="str">
        <f t="shared" si="11"/>
        <v>aws s3 cp s3://rtdc.mdm.uploadarchive.raw/RTDC4013/ "%USERPROFILE%\AppData\Local\Temp\OnboardLogs"\RTDC4013\2017-03-11 --exclude "*" --recursive --include "*20170311*" &amp; "%USERPROFILE%\Documents\GitHub\mrs-test-scripts\Headless Mode &amp; Sideloading\WalkAndUnGZ.bat" "%USERPROFILE%\AppData\Local\Temp\OnboardLogs"\RTDC4013\2017-03-11 &amp; aws s3 cp s3://rtdc.mdm.uploadarchive.raw/RTDC4013/ "%USERPROFILE%\AppData\Local\Temp\OnboardLogs"\RTDC4013\2017-03-12 --exclude "*" --recursive --include "*20170312*" &amp; "%USERPROFILE%\Documents\GitHub\mrs-test-scripts\Headless Mode &amp; Sideloading\WalkAndUnGZ.bat" "%USERPROFILE%\AppData\Local\Temp\OnboardLogs"\RTDC4013\2017-03-12</v>
      </c>
      <c r="AF44" s="82" t="str">
        <f t="shared" si="12"/>
        <v>"C:\Program Files (x86)\AstroGrep\AstroGrep.exe" /e /r /s /spath="%USERPROFILE%\AppData\Local\Temp\OnboardLogs" /stypes="app*4013*20170311*" /stext=" 15:.+((SYSTEM_STATE.+slice.+state.+changed )|(ment ac)|(multiple cpu faults)|(system.+state.+changed )|(\[timeout)|(PRM\|1\|D)|(kpr)|(kdp)|(\|lc)|(penalty))"</v>
      </c>
      <c r="AG44" s="1" t="str">
        <f t="shared" si="13"/>
        <v>EC</v>
      </c>
      <c r="AH44" s="86" t="str">
        <f t="shared" si="17"/>
        <v>"%USERPROFILE%\Documents\GitHub\eaglep3\Utilities\RefineRTDCRunTimes.py" --tripid 130-11 --locoid 4013 --swversion DE.1.0.9.0 --startMP 204:233002 --initTime 2017-03-11T08:04:33 --startdatetime 2017-03-11T08:08:19 --delay 3 --endMP 204:158 --enddatetime 2017-03-11T08:57:32 --enforcementcount 0 &gt;&gt;C:\Users\stu\Documents\GitHub\eaglep3-reporting\EC\2017-03-11-refined-times.txt</v>
      </c>
      <c r="AI44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{"issue":{"subject":"","project_id":79,"tracker_id":40,"status_id":1,"priority_id":2,"assigned_to_id":23,"start_date":"2017-03-11","description":"","custom_fields":[{"id":1,"name":"Subdivision","value":"EC"},{"id":4,"name":"Milepost","value":"0.0158"},{"id":17,"name":"Train ID","value":"130-11"},{"id":16,"name":"Locomotive ID","value":"4013"},{"id":130,"name":"Impact","value":""},{"id":150,"name":"Time of Event (Mountain Time)","value":"08:57:32"},{"id":151,"name":"Denver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19"/>
        <v>start /low /b %USERPROFILE%\Documents\GitHub\eaglep3\Utilities\DownloadLogsFromS3.py --loco 4013 --day 2017-03-11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"%USERPROFILE%\AppData\Local\Temp\OnboardLogs"\RTDC4013\*4013*20170311* | grep -SE "(Enforcement Action)|(\[TIMEOUT)|(CHR.+\|PRM\|1\|D.+(SWITCH|SIGNAL).+UNKNOWN)" - &gt;&gt; 2017-03-11-UncaughtWiMAX.txt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674</v>
      </c>
      <c r="B45" s="7">
        <v>4009</v>
      </c>
      <c r="C45" s="21" t="s">
        <v>240</v>
      </c>
      <c r="D45" s="21" t="s">
        <v>216</v>
      </c>
      <c r="E45" s="13">
        <v>42805.31763888889</v>
      </c>
      <c r="F45" s="13">
        <v>42805.31858796296</v>
      </c>
      <c r="G45" s="7">
        <v>1</v>
      </c>
      <c r="H45" s="21" t="s">
        <v>267</v>
      </c>
      <c r="I45" s="13">
        <v>42805.345810185187</v>
      </c>
      <c r="J45" s="7">
        <v>0</v>
      </c>
      <c r="K45" s="98" t="str">
        <f t="shared" si="0"/>
        <v>4009/4010</v>
      </c>
      <c r="L45" s="21" t="str">
        <f>VLOOKUP(A45,'Trips&amp;Operators'!$C$1:$G$99999,5,FALSE)</f>
        <v>ROBINSON KADDIBA</v>
      </c>
      <c r="M45" s="6">
        <f t="shared" si="1"/>
        <v>2.7222222226555459E-2</v>
      </c>
      <c r="N45" s="7">
        <f t="shared" ref="N45:N81" si="25">24*60*SUM($M45:$M45)</f>
        <v>39.200000006239861</v>
      </c>
      <c r="O45" s="7"/>
      <c r="P45" s="7"/>
      <c r="Q45" s="22"/>
      <c r="R45" s="22"/>
      <c r="S45" s="31">
        <f t="shared" ref="S45:S81" si="26">SUM(U45:U45)/IF(AG45="EC",12,1)</f>
        <v>1</v>
      </c>
      <c r="T45" s="46" t="str">
        <f t="shared" si="3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4"/>
        <v>https://d0f6bd738d7f1b3e5a7ca70fe4ff75f0.us-east-1.aws.found.io/app/kibana#/discover/Steve-Slow-Train-Analysis-(2080s-and-2083s)?_g=(refreshInterval:(display:Off,pause:!f,section:0,value:0),time:(from:'2017-03-11T06:37:24-0700',mode:absolute,to:'2017-03-11T09:17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5" s="187" t="str">
        <f t="shared" si="5"/>
        <v>N</v>
      </c>
      <c r="X45" s="187">
        <f t="shared" ref="X45:X76" si="27">VALUE(LEFT(AD45,4))-VALUE(LEFT(AD44,4))</f>
        <v>1</v>
      </c>
      <c r="Y45" s="62">
        <f t="shared" ref="Y45:Y76" si="28">RIGHT(D45,LEN(D45)-4)/10000</f>
        <v>4.5100000000000001E-2</v>
      </c>
      <c r="Z45" s="62">
        <f t="shared" ref="Z45:Z76" si="29">RIGHT(H45,LEN(H45)-4)/10000</f>
        <v>23.329499999999999</v>
      </c>
      <c r="AA45" s="62">
        <f t="shared" si="9"/>
        <v>23.284399999999998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0"/>
        <v>0131-11</v>
      </c>
      <c r="AE45" s="85" t="str">
        <f t="shared" si="11"/>
        <v>aws s3 cp s3://rtdc.mdm.uploadarchive.raw/RTDC4009/ "%USERPROFILE%\AppData\Local\Temp\OnboardLogs"\RTDC4009\2017-03-11 --exclude "*" --recursive --include "*20170311*" &amp; "%USERPROFILE%\Documents\GitHub\mrs-test-scripts\Headless Mode &amp; Sideloading\WalkAndUnGZ.bat" "%USERPROFILE%\AppData\Local\Temp\OnboardLogs"\RTDC4009\2017-03-11 &amp; aws s3 cp s3://rtdc.mdm.uploadarchive.raw/RTDC4009/ "%USERPROFILE%\AppData\Local\Temp\OnboardLogs"\RTDC4009\2017-03-12 --exclude "*" --recursive --include "*20170312*" &amp; "%USERPROFILE%\Documents\GitHub\mrs-test-scripts\Headless Mode &amp; Sideloading\WalkAndUnGZ.bat" "%USERPROFILE%\AppData\Local\Temp\OnboardLogs"\RTDC4009\2017-03-12</v>
      </c>
      <c r="AF45" s="82" t="str">
        <f t="shared" si="12"/>
        <v>"C:\Program Files (x86)\AstroGrep\AstroGrep.exe" /e /r /s /spath="%USERPROFILE%\AppData\Local\Temp\OnboardLogs" /stypes="app*4009*20170311*" /stext=" 15:.+((SYSTEM_STATE.+slice.+state.+changed )|(ment ac)|(multiple cpu faults)|(system.+state.+changed )|(\[timeout)|(PRM\|1\|D)|(kpr)|(kdp)|(\|lc)|(penalty))"</v>
      </c>
      <c r="AG45" s="1" t="str">
        <f t="shared" si="13"/>
        <v>EC</v>
      </c>
      <c r="AH45" s="86" t="str">
        <f t="shared" si="17"/>
        <v>"%USERPROFILE%\Documents\GitHub\eaglep3\Utilities\RefineRTDCRunTimes.py" --tripid 131-11 --locoid 4009 --swversion DE.1.0.9.0 --startMP 204:451 --initTime 2017-03-11T07:37:24 --startdatetime 2017-03-11T07:38:46 --delay 1 --endMP 204:233295 --enddatetime 2017-03-11T08:17:58 --enforcementcount 0 &gt;&gt;C:\Users\stu\Documents\GitHub\eaglep3-reporting\EC\2017-03-11-refined-times.txt</v>
      </c>
      <c r="AI45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{"issue":{"subject":"","project_id":79,"tracker_id":40,"status_id":1,"priority_id":2,"assigned_to_id":23,"start_date":"2017-03-11","description":"","custom_fields":[{"id":1,"name":"Subdivision","value":"EC"},{"id":4,"name":"Milepost","value":"23.3295"},{"id":17,"name":"Train ID","value":"131-11"},{"id":16,"name":"Locomotive ID","value":"4009"},{"id":130,"name":"Impact","value":""},{"id":150,"name":"Time of Event (Mountain Time)","value":"08:17:58"},{"id":151,"name":"Denver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19"/>
        <v>start /low /b %USERPROFILE%\Documents\GitHub\eaglep3\Utilities\DownloadLogsFromS3.py --loco 4009 --day 2017-03-11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"%USERPROFILE%\AppData\Local\Temp\OnboardLogs"\RTDC4009\*4009*20170311* | grep -SE "(Enforcement Action)|(\[TIMEOUT)|(CHR.+\|PRM\|1\|D.+(SWITCH|SIGNAL).+UNKNOWN)" - &gt;&gt; 2017-03-11-UncaughtWiMAX.txt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681</v>
      </c>
      <c r="B46" s="7">
        <v>4010</v>
      </c>
      <c r="C46" s="21" t="s">
        <v>240</v>
      </c>
      <c r="D46" s="21" t="s">
        <v>861</v>
      </c>
      <c r="E46" s="13">
        <v>42805.348634259259</v>
      </c>
      <c r="F46" s="13">
        <v>42805.349328703705</v>
      </c>
      <c r="G46" s="7">
        <v>0</v>
      </c>
      <c r="H46" s="21" t="s">
        <v>192</v>
      </c>
      <c r="I46" s="13">
        <v>42805.380254629628</v>
      </c>
      <c r="J46" s="7">
        <v>0</v>
      </c>
      <c r="K46" s="98" t="str">
        <f t="shared" si="0"/>
        <v>4009/4010</v>
      </c>
      <c r="L46" s="21" t="str">
        <f>VLOOKUP(A46,'Trips&amp;Operators'!$C$1:$G$99999,5,FALSE)</f>
        <v>ROBINSON KADDIBA</v>
      </c>
      <c r="M46" s="6">
        <f t="shared" si="1"/>
        <v>3.0925925922929309E-2</v>
      </c>
      <c r="N46" s="7">
        <f t="shared" si="25"/>
        <v>44.533333329018205</v>
      </c>
      <c r="O46" s="7"/>
      <c r="P46" s="7"/>
      <c r="Q46" s="22"/>
      <c r="R46" s="22"/>
      <c r="S46" s="31">
        <f t="shared" si="26"/>
        <v>1</v>
      </c>
      <c r="T46" s="46" t="str">
        <f t="shared" si="3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4"/>
        <v>https://d0f6bd738d7f1b3e5a7ca70fe4ff75f0.us-east-1.aws.found.io/app/kibana#/discover/Steve-Slow-Train-Analysis-(2080s-and-2083s)?_g=(refreshInterval:(display:Off,pause:!f,section:0,value:0),time:(from:'2017-03-11T07:22:02-0700',mode:absolute,to:'2017-03-11T10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6" s="187" t="str">
        <f t="shared" si="5"/>
        <v>N</v>
      </c>
      <c r="X46" s="187">
        <f t="shared" si="27"/>
        <v>1</v>
      </c>
      <c r="Y46" s="62">
        <f t="shared" si="28"/>
        <v>23.296900000000001</v>
      </c>
      <c r="Z46" s="62">
        <f t="shared" si="29"/>
        <v>1.4999999999999999E-2</v>
      </c>
      <c r="AA46" s="62">
        <f t="shared" si="9"/>
        <v>23.2819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0"/>
        <v>0132-11</v>
      </c>
      <c r="AE46" s="85" t="str">
        <f t="shared" si="11"/>
        <v>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 &amp; aws s3 cp s3://rtdc.mdm.uploadarchive.raw/RTDC4010/ "%USERPROFILE%\AppData\Local\Temp\OnboardLogs"\RTDC4010\2017-03-12 --exclude "*" --recursive --include "*20170312*" &amp; "%USERPROFILE%\Documents\GitHub\mrs-test-scripts\Headless Mode &amp; Sideloading\WalkAndUnGZ.bat" "%USERPROFILE%\AppData\Local\Temp\OnboardLogs"\RTDC4010\2017-03-12</v>
      </c>
      <c r="AF46" s="82" t="str">
        <f t="shared" si="12"/>
        <v>"C:\Program Files (x86)\AstroGrep\AstroGrep.exe" /e /r /s /spath="%USERPROFILE%\AppData\Local\Temp\OnboardLogs" /stypes="app*4010*20170311*" /stext=" 16:.+((SYSTEM_STATE.+slice.+state.+changed )|(ment ac)|(multiple cpu faults)|(system.+state.+changed )|(\[timeout)|(PRM\|1\|D)|(kpr)|(kdp)|(\|lc)|(penalty))"</v>
      </c>
      <c r="AG46" s="1" t="str">
        <f t="shared" si="13"/>
        <v>EC</v>
      </c>
      <c r="AH46" s="86" t="str">
        <f t="shared" si="17"/>
        <v>"%USERPROFILE%\Documents\GitHub\eaglep3\Utilities\RefineRTDCRunTimes.py" --tripid 132-11 --locoid 4010 --swversion DE.1.0.9.0 --startMP 204:232969 --initTime 2017-03-11T08:22:02 --startdatetime 2017-03-11T08:23:02 --delay 0 --endMP 204:150 --enddatetime 2017-03-11T09:07:34 --enforcementcount 0 &gt;&gt;C:\Users\stu\Documents\GitHub\eaglep3-reporting\EC\2017-03-11-refined-times.txt</v>
      </c>
      <c r="AI46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{"issue":{"subject":"","project_id":79,"tracker_id":40,"status_id":1,"priority_id":2,"assigned_to_id":23,"start_date":"2017-03-11","description":"","custom_fields":[{"id":1,"name":"Subdivision","value":"EC"},{"id":4,"name":"Milepost","value":"0.015"},{"id":17,"name":"Train ID","value":"132-11"},{"id":16,"name":"Locomotive ID","value":"4010"},{"id":130,"name":"Impact","value":""},{"id":150,"name":"Time of Event (Mountain Time)","value":"09:07:34"},{"id":151,"name":"Denver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19"/>
        <v>start /low /b %USERPROFILE%\Documents\GitHub\eaglep3\Utilities\DownloadLogsFromS3.py --loco 4010 --day 2017-03-11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"%USERPROFILE%\AppData\Local\Temp\OnboardLogs"\RTDC4010\*4010*20170311* | grep -SE "(Enforcement Action)|(\[TIMEOUT)|(CHR.+\|PRM\|1\|D.+(SWITCH|SIGNAL).+UNKNOWN)" - &gt;&gt; 2017-03-11-UncaughtWiMAX.txt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676</v>
      </c>
      <c r="B47" s="7">
        <v>4046</v>
      </c>
      <c r="C47" s="21" t="s">
        <v>240</v>
      </c>
      <c r="D47" s="21" t="s">
        <v>493</v>
      </c>
      <c r="E47" s="13">
        <v>42805.322650462964</v>
      </c>
      <c r="F47" s="13">
        <v>42805.323703703703</v>
      </c>
      <c r="G47" s="7">
        <v>1</v>
      </c>
      <c r="H47" s="21" t="s">
        <v>555</v>
      </c>
      <c r="I47" s="13">
        <v>42805.350914351853</v>
      </c>
      <c r="J47" s="7">
        <v>0</v>
      </c>
      <c r="K47" s="98" t="str">
        <f t="shared" si="0"/>
        <v>4045/4046</v>
      </c>
      <c r="L47" s="21" t="str">
        <f>VLOOKUP(A47,'Trips&amp;Operators'!$C$1:$G$99999,5,FALSE)</f>
        <v>MAELZER KURT</v>
      </c>
      <c r="M47" s="6">
        <f t="shared" si="1"/>
        <v>2.7210648149775807E-2</v>
      </c>
      <c r="N47" s="7">
        <f t="shared" si="25"/>
        <v>39.183333335677162</v>
      </c>
      <c r="O47" s="7"/>
      <c r="P47" s="7"/>
      <c r="Q47" s="22"/>
      <c r="R47" s="22"/>
      <c r="S47" s="31">
        <f t="shared" si="26"/>
        <v>1</v>
      </c>
      <c r="T47" s="46" t="str">
        <f t="shared" si="3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4"/>
        <v>https://d0f6bd738d7f1b3e5a7ca70fe4ff75f0.us-east-1.aws.found.io/app/kibana#/discover/Steve-Slow-Train-Analysis-(2080s-and-2083s)?_g=(refreshInterval:(display:Off,pause:!f,section:0,value:0),time:(from:'2017-03-11T06:44:37-0700',mode:absolute,to:'2017-03-11T09:25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7" s="187" t="str">
        <f t="shared" si="5"/>
        <v>N</v>
      </c>
      <c r="X47" s="187">
        <f t="shared" si="27"/>
        <v>1</v>
      </c>
      <c r="Y47" s="62">
        <f t="shared" si="28"/>
        <v>4.6399999999999997E-2</v>
      </c>
      <c r="Z47" s="62">
        <f t="shared" si="29"/>
        <v>23.331900000000001</v>
      </c>
      <c r="AA47" s="62">
        <f t="shared" si="9"/>
        <v>23.285500000000003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0"/>
        <v>0133-11</v>
      </c>
      <c r="AE47" s="85" t="str">
        <f t="shared" si="11"/>
        <v>aws s3 cp s3://rtdc.mdm.uploadarchive.raw/RTDC4046/ "%USERPROFILE%\AppData\Local\Temp\OnboardLogs"\RTDC4046\2017-03-11 --exclude "*" --recursive --include "*20170311*" &amp; "%USERPROFILE%\Documents\GitHub\mrs-test-scripts\Headless Mode &amp; Sideloading\WalkAndUnGZ.bat" "%USERPROFILE%\AppData\Local\Temp\OnboardLogs"\RTDC4046\2017-03-11 &amp; aws s3 cp s3://rtdc.mdm.uploadarchive.raw/RTDC4046/ "%USERPROFILE%\AppData\Local\Temp\OnboardLogs"\RTDC4046\2017-03-12 --exclude "*" --recursive --include "*20170312*" &amp; "%USERPROFILE%\Documents\GitHub\mrs-test-scripts\Headless Mode &amp; Sideloading\WalkAndUnGZ.bat" "%USERPROFILE%\AppData\Local\Temp\OnboardLogs"\RTDC4046\2017-03-12</v>
      </c>
      <c r="AF47" s="82" t="str">
        <f t="shared" si="12"/>
        <v>"C:\Program Files (x86)\AstroGrep\AstroGrep.exe" /e /r /s /spath="%USERPROFILE%\AppData\Local\Temp\OnboardLogs" /stypes="app*4046*20170311*" /stext=" 15:.+((SYSTEM_STATE.+slice.+state.+changed )|(ment ac)|(multiple cpu faults)|(system.+state.+changed )|(\[timeout)|(PRM\|1\|D)|(kpr)|(kdp)|(\|lc)|(penalty))"</v>
      </c>
      <c r="AG47" s="1" t="str">
        <f t="shared" si="13"/>
        <v>EC</v>
      </c>
      <c r="AH47" s="86" t="str">
        <f t="shared" si="17"/>
        <v>"%USERPROFILE%\Documents\GitHub\eaglep3\Utilities\RefineRTDCRunTimes.py" --tripid 133-11 --locoid 4046 --swversion DE.1.0.9.0 --startMP 204:464 --initTime 2017-03-11T07:44:37 --startdatetime 2017-03-11T07:46:08 --delay 1 --endMP 204:233319 --enddatetime 2017-03-11T08:25:19 --enforcementcount 0 &gt;&gt;C:\Users\stu\Documents\GitHub\eaglep3-reporting\EC\2017-03-11-refined-times.txt</v>
      </c>
      <c r="AI47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{"issue":{"subject":"","project_id":79,"tracker_id":40,"status_id":1,"priority_id":2,"assigned_to_id":23,"start_date":"2017-03-11","description":"","custom_fields":[{"id":1,"name":"Subdivision","value":"EC"},{"id":4,"name":"Milepost","value":"23.3319"},{"id":17,"name":"Train ID","value":"133-11"},{"id":16,"name":"Locomotive ID","value":"4046"},{"id":130,"name":"Impact","value":""},{"id":150,"name":"Time of Event (Mountain Time)","value":"08:25:19"},{"id":151,"name":"Denver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19"/>
        <v>start /low /b %USERPROFILE%\Documents\GitHub\eaglep3\Utilities\DownloadLogsFromS3.py --loco 4046 --day 2017-03-11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"%USERPROFILE%\AppData\Local\Temp\OnboardLogs"\RTDC4046\*4046*20170311* | grep -SE "(Enforcement Action)|(\[TIMEOUT)|(CHR.+\|PRM\|1\|D.+(SWITCH|SIGNAL).+UNKNOWN)" - &gt;&gt; 2017-03-11-UncaughtWiMAX.txt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683</v>
      </c>
      <c r="B48" s="7">
        <v>4045</v>
      </c>
      <c r="C48" s="21" t="s">
        <v>240</v>
      </c>
      <c r="D48" s="21" t="s">
        <v>862</v>
      </c>
      <c r="E48" s="13">
        <v>42805.356249999997</v>
      </c>
      <c r="F48" s="13">
        <v>42805.357233796298</v>
      </c>
      <c r="G48" s="7">
        <v>1</v>
      </c>
      <c r="H48" s="21" t="s">
        <v>208</v>
      </c>
      <c r="I48" s="13">
        <v>42805.390636574077</v>
      </c>
      <c r="J48" s="7">
        <v>0</v>
      </c>
      <c r="K48" s="98" t="str">
        <f t="shared" si="0"/>
        <v>4045/4046</v>
      </c>
      <c r="L48" s="21" t="str">
        <f>VLOOKUP(A48,'Trips&amp;Operators'!$C$1:$G$99999,5,FALSE)</f>
        <v>MAELZER KURT</v>
      </c>
      <c r="M48" s="6">
        <f t="shared" si="1"/>
        <v>3.3402777778974269E-2</v>
      </c>
      <c r="N48" s="7">
        <f t="shared" si="25"/>
        <v>48.100000001722947</v>
      </c>
      <c r="O48" s="7"/>
      <c r="P48" s="7"/>
      <c r="Q48" s="22"/>
      <c r="R48" s="22"/>
      <c r="S48" s="31">
        <f t="shared" si="26"/>
        <v>1</v>
      </c>
      <c r="T48" s="46" t="str">
        <f t="shared" si="3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4"/>
        <v>https://d0f6bd738d7f1b3e5a7ca70fe4ff75f0.us-east-1.aws.found.io/app/kibana#/discover/Steve-Slow-Train-Analysis-(2080s-and-2083s)?_g=(refreshInterval:(display:Off,pause:!f,section:0,value:0),time:(from:'2017-03-11T07:33:00-0700',mode:absolute,to:'2017-03-11T10:22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8" s="187" t="str">
        <f t="shared" si="5"/>
        <v>N</v>
      </c>
      <c r="X48" s="187">
        <f t="shared" si="27"/>
        <v>1</v>
      </c>
      <c r="Y48" s="62">
        <f t="shared" si="28"/>
        <v>23.299800000000001</v>
      </c>
      <c r="Z48" s="62">
        <f t="shared" si="29"/>
        <v>1.54E-2</v>
      </c>
      <c r="AA48" s="62">
        <f t="shared" si="9"/>
        <v>23.284400000000002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0"/>
        <v>0134-11</v>
      </c>
      <c r="AE48" s="85" t="str">
        <f t="shared" si="11"/>
        <v>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 &amp; aws s3 cp s3://rtdc.mdm.uploadarchive.raw/RTDC4045/ "%USERPROFILE%\AppData\Local\Temp\OnboardLogs"\RTDC4045\2017-03-12 --exclude "*" --recursive --include "*20170312*" &amp; "%USERPROFILE%\Documents\GitHub\mrs-test-scripts\Headless Mode &amp; Sideloading\WalkAndUnGZ.bat" "%USERPROFILE%\AppData\Local\Temp\OnboardLogs"\RTDC4045\2017-03-12</v>
      </c>
      <c r="AF48" s="82" t="str">
        <f t="shared" si="12"/>
        <v>"C:\Program Files (x86)\AstroGrep\AstroGrep.exe" /e /r /s /spath="%USERPROFILE%\AppData\Local\Temp\OnboardLogs" /stypes="app*4045*20170311*" /stext=" 16:.+((SYSTEM_STATE.+slice.+state.+changed )|(ment ac)|(multiple cpu faults)|(system.+state.+changed )|(\[timeout)|(PRM\|1\|D)|(kpr)|(kdp)|(\|lc)|(penalty))"</v>
      </c>
      <c r="AG48" s="1" t="str">
        <f t="shared" si="13"/>
        <v>EC</v>
      </c>
      <c r="AH48" s="86" t="str">
        <f t="shared" si="17"/>
        <v>"%USERPROFILE%\Documents\GitHub\eaglep3\Utilities\RefineRTDCRunTimes.py" --tripid 134-11 --locoid 4045 --swversion DE.1.0.9.0 --startMP 204:232998 --initTime 2017-03-11T08:33:00 --startdatetime 2017-03-11T08:34:25 --delay 1 --endMP 204:154 --enddatetime 2017-03-11T09:22:31 --enforcementcount 0 &gt;&gt;C:\Users\stu\Documents\GitHub\eaglep3-reporting\EC\2017-03-11-refined-times.txt</v>
      </c>
      <c r="AI48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{"issue":{"subject":"","project_id":79,"tracker_id":40,"status_id":1,"priority_id":2,"assigned_to_id":23,"start_date":"2017-03-11","description":"","custom_fields":[{"id":1,"name":"Subdivision","value":"EC"},{"id":4,"name":"Milepost","value":"0.0154"},{"id":17,"name":"Train ID","value":"134-11"},{"id":16,"name":"Locomotive ID","value":"4045"},{"id":130,"name":"Impact","value":""},{"id":150,"name":"Time of Event (Mountain Time)","value":"09:22:31"},{"id":151,"name":"Denver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19"/>
        <v>start /low /b %USERPROFILE%\Documents\GitHub\eaglep3\Utilities\DownloadLogsFromS3.py --loco 4045 --day 2017-03-11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"%USERPROFILE%\AppData\Local\Temp\OnboardLogs"\RTDC4045\*4045*20170311* | grep -SE "(Enforcement Action)|(\[TIMEOUT)|(CHR.+\|PRM\|1\|D.+(SWITCH|SIGNAL).+UNKNOWN)" - &gt;&gt; 2017-03-11-UncaughtWiMAX.txt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679</v>
      </c>
      <c r="B49" s="7">
        <v>4040</v>
      </c>
      <c r="C49" s="21" t="s">
        <v>240</v>
      </c>
      <c r="D49" s="21" t="s">
        <v>499</v>
      </c>
      <c r="E49" s="13">
        <v>42805.337002314816</v>
      </c>
      <c r="F49" s="13">
        <v>42805.337881944448</v>
      </c>
      <c r="G49" s="7">
        <v>1</v>
      </c>
      <c r="H49" s="21" t="s">
        <v>249</v>
      </c>
      <c r="I49" s="13">
        <v>42805.365856481483</v>
      </c>
      <c r="J49" s="7">
        <v>0</v>
      </c>
      <c r="K49" s="98" t="str">
        <f t="shared" si="0"/>
        <v>4039/4040</v>
      </c>
      <c r="L49" s="21" t="str">
        <f>VLOOKUP(A49,'Trips&amp;Operators'!$C$1:$G$99999,5,FALSE)</f>
        <v>DAVIS WENDY</v>
      </c>
      <c r="M49" s="6">
        <f t="shared" si="1"/>
        <v>2.7974537035333924E-2</v>
      </c>
      <c r="N49" s="7">
        <f t="shared" si="25"/>
        <v>40.283333330880851</v>
      </c>
      <c r="O49" s="7"/>
      <c r="P49" s="7"/>
      <c r="Q49" s="22"/>
      <c r="R49" s="22"/>
      <c r="S49" s="31">
        <f t="shared" si="26"/>
        <v>1</v>
      </c>
      <c r="T49" s="46" t="str">
        <f t="shared" si="3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4"/>
        <v>https://d0f6bd738d7f1b3e5a7ca70fe4ff75f0.us-east-1.aws.found.io/app/kibana#/discover/Steve-Slow-Train-Analysis-(2080s-and-2083s)?_g=(refreshInterval:(display:Off,pause:!f,section:0,value:0),time:(from:'2017-03-11T07:05:17-0700',mode:absolute,to:'2017-03-11T09:46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9" s="187" t="str">
        <f t="shared" si="5"/>
        <v>N</v>
      </c>
      <c r="X49" s="187">
        <f t="shared" si="27"/>
        <v>1</v>
      </c>
      <c r="Y49" s="62">
        <f t="shared" si="28"/>
        <v>4.3799999999999999E-2</v>
      </c>
      <c r="Z49" s="62">
        <f t="shared" si="29"/>
        <v>23.329899999999999</v>
      </c>
      <c r="AA49" s="62">
        <f t="shared" si="9"/>
        <v>23.286099999999998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0"/>
        <v>0135-11</v>
      </c>
      <c r="AE49" s="85" t="str">
        <f t="shared" si="11"/>
        <v>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 &amp; aws s3 cp s3://rtdc.mdm.uploadarchive.raw/RTDC4040/ "%USERPROFILE%\AppData\Local\Temp\OnboardLogs"\RTDC4040\2017-03-12 --exclude "*" --recursive --include "*20170312*" &amp; "%USERPROFILE%\Documents\GitHub\mrs-test-scripts\Headless Mode &amp; Sideloading\WalkAndUnGZ.bat" "%USERPROFILE%\AppData\Local\Temp\OnboardLogs"\RTDC4040\2017-03-12</v>
      </c>
      <c r="AF49" s="82" t="str">
        <f t="shared" si="12"/>
        <v>"C:\Program Files (x86)\AstroGrep\AstroGrep.exe" /e /r /s /spath="%USERPROFILE%\AppData\Local\Temp\OnboardLogs" /stypes="app*4040*20170311*" /stext=" 15:.+((SYSTEM_STATE.+slice.+state.+changed )|(ment ac)|(multiple cpu faults)|(system.+state.+changed )|(\[timeout)|(PRM\|1\|D)|(kpr)|(kdp)|(\|lc)|(penalty))"</v>
      </c>
      <c r="AG49" s="1" t="str">
        <f t="shared" si="13"/>
        <v>EC</v>
      </c>
      <c r="AH49" s="86" t="str">
        <f t="shared" si="17"/>
        <v>"%USERPROFILE%\Documents\GitHub\eaglep3\Utilities\RefineRTDCRunTimes.py" --tripid 135-11 --locoid 4040 --swversion DE.1.0.9.0 --startMP 204:438 --initTime 2017-03-11T08:05:17 --startdatetime 2017-03-11T08:06:33 --delay 1 --endMP 204:233299 --enddatetime 2017-03-11T08:46:50 --enforcementcount 0 &gt;&gt;C:\Users\stu\Documents\GitHub\eaglep3-reporting\EC\2017-03-11-refined-times.txt</v>
      </c>
      <c r="AI49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{"issue":{"subject":"","project_id":79,"tracker_id":40,"status_id":1,"priority_id":2,"assigned_to_id":23,"start_date":"2017-03-11","description":"","custom_fields":[{"id":1,"name":"Subdivision","value":"EC"},{"id":4,"name":"Milepost","value":"23.3299"},{"id":17,"name":"Train ID","value":"135-11"},{"id":16,"name":"Locomotive ID","value":"4040"},{"id":130,"name":"Impact","value":""},{"id":150,"name":"Time of Event (Mountain Time)","value":"08:46:50"},{"id":151,"name":"Denver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19"/>
        <v>start /low /b %USERPROFILE%\Documents\GitHub\eaglep3\Utilities\DownloadLogsFromS3.py --loco 4040 --day 2017-03-11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"%USERPROFILE%\AppData\Local\Temp\OnboardLogs"\RTDC4040\*4040*20170311* | grep -SE "(Enforcement Action)|(\[TIMEOUT)|(CHR.+\|PRM\|1\|D.+(SWITCH|SIGNAL).+UNKNOWN)" - &gt;&gt; 2017-03-11-UncaughtWiMAX.txt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686</v>
      </c>
      <c r="B50" s="7">
        <v>4039</v>
      </c>
      <c r="C50" s="21" t="s">
        <v>240</v>
      </c>
      <c r="D50" s="21" t="s">
        <v>863</v>
      </c>
      <c r="E50" s="13">
        <v>42805.367569444446</v>
      </c>
      <c r="F50" s="13">
        <v>42805.368587962963</v>
      </c>
      <c r="G50" s="7">
        <v>1</v>
      </c>
      <c r="H50" s="21" t="s">
        <v>184</v>
      </c>
      <c r="I50" s="13">
        <v>42805.402673611112</v>
      </c>
      <c r="J50" s="7">
        <v>0</v>
      </c>
      <c r="K50" s="98" t="str">
        <f t="shared" si="0"/>
        <v>4039/4040</v>
      </c>
      <c r="L50" s="21" t="str">
        <f>VLOOKUP(A50,'Trips&amp;Operators'!$C$1:$G$99999,5,FALSE)</f>
        <v>DAVIS WENDY</v>
      </c>
      <c r="M50" s="6">
        <f t="shared" si="1"/>
        <v>3.4085648148902692E-2</v>
      </c>
      <c r="N50" s="7">
        <f t="shared" si="25"/>
        <v>49.083333334419876</v>
      </c>
      <c r="O50" s="7"/>
      <c r="P50" s="7"/>
      <c r="Q50" s="22"/>
      <c r="R50" s="22"/>
      <c r="S50" s="31">
        <f t="shared" si="26"/>
        <v>1</v>
      </c>
      <c r="T50" s="46" t="str">
        <f t="shared" si="3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4"/>
        <v>https://d0f6bd738d7f1b3e5a7ca70fe4ff75f0.us-east-1.aws.found.io/app/kibana#/discover/Steve-Slow-Train-Analysis-(2080s-and-2083s)?_g=(refreshInterval:(display:Off,pause:!f,section:0,value:0),time:(from:'2017-03-11T07:49:18-0700',mode:absolute,to:'2017-03-11T10:39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0" s="187" t="str">
        <f t="shared" si="5"/>
        <v>N</v>
      </c>
      <c r="X50" s="187">
        <f t="shared" si="27"/>
        <v>1</v>
      </c>
      <c r="Y50" s="62">
        <f t="shared" si="28"/>
        <v>23.298999999999999</v>
      </c>
      <c r="Z50" s="62">
        <f t="shared" si="29"/>
        <v>1.49E-2</v>
      </c>
      <c r="AA50" s="62">
        <f t="shared" si="9"/>
        <v>23.284099999999999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0"/>
        <v>0136-11</v>
      </c>
      <c r="AE50" s="85" t="str">
        <f t="shared" si="11"/>
        <v>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 &amp; aws s3 cp s3://rtdc.mdm.uploadarchive.raw/RTDC4039/ "%USERPROFILE%\AppData\Local\Temp\OnboardLogs"\RTDC4039\2017-03-12 --exclude "*" --recursive --include "*20170312*" &amp; "%USERPROFILE%\Documents\GitHub\mrs-test-scripts\Headless Mode &amp; Sideloading\WalkAndUnGZ.bat" "%USERPROFILE%\AppData\Local\Temp\OnboardLogs"\RTDC4039\2017-03-12</v>
      </c>
      <c r="AF50" s="82" t="str">
        <f t="shared" si="12"/>
        <v>"C:\Program Files (x86)\AstroGrep\AstroGrep.exe" /e /r /s /spath="%USERPROFILE%\AppData\Local\Temp\OnboardLogs" /stypes="app*4039*20170311*" /stext=" 16:.+((SYSTEM_STATE.+slice.+state.+changed )|(ment ac)|(multiple cpu faults)|(system.+state.+changed )|(\[timeout)|(PRM\|1\|D)|(kpr)|(kdp)|(\|lc)|(penalty))"</v>
      </c>
      <c r="AG50" s="1" t="str">
        <f t="shared" si="13"/>
        <v>EC</v>
      </c>
      <c r="AH50" s="86" t="str">
        <f t="shared" si="17"/>
        <v>"%USERPROFILE%\Documents\GitHub\eaglep3\Utilities\RefineRTDCRunTimes.py" --tripid 136-11 --locoid 4039 --swversion DE.1.0.9.0 --startMP 204:232990 --initTime 2017-03-11T08:49:18 --startdatetime 2017-03-11T08:50:46 --delay 1 --endMP 204:149 --enddatetime 2017-03-11T09:39:51 --enforcementcount 0 &gt;&gt;C:\Users\stu\Documents\GitHub\eaglep3-reporting\EC\2017-03-11-refined-times.txt</v>
      </c>
      <c r="AI50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{"issue":{"subject":"","project_id":79,"tracker_id":40,"status_id":1,"priority_id":2,"assigned_to_id":23,"start_date":"2017-03-11","description":"","custom_fields":[{"id":1,"name":"Subdivision","value":"EC"},{"id":4,"name":"Milepost","value":"0.0149"},{"id":17,"name":"Train ID","value":"136-11"},{"id":16,"name":"Locomotive ID","value":"4039"},{"id":130,"name":"Impact","value":""},{"id":150,"name":"Time of Event (Mountain Time)","value":"09:39:51"},{"id":151,"name":"Denver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19"/>
        <v>start /low /b %USERPROFILE%\Documents\GitHub\eaglep3\Utilities\DownloadLogsFromS3.py --loco 4039 --day 2017-03-11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"%USERPROFILE%\AppData\Local\Temp\OnboardLogs"\RTDC4039\*4039*20170311* | grep -SE "(Enforcement Action)|(\[TIMEOUT)|(CHR.+\|PRM\|1\|D.+(SWITCH|SIGNAL).+UNKNOWN)" - &gt;&gt; 2017-03-11-UncaughtWiMAX.txt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680</v>
      </c>
      <c r="B51" s="7">
        <v>4006</v>
      </c>
      <c r="C51" s="21" t="s">
        <v>240</v>
      </c>
      <c r="D51" s="21" t="s">
        <v>235</v>
      </c>
      <c r="E51" s="13">
        <v>42805.340682870374</v>
      </c>
      <c r="F51" s="13">
        <v>42805.341608796298</v>
      </c>
      <c r="G51" s="7">
        <v>1</v>
      </c>
      <c r="H51" s="21" t="s">
        <v>555</v>
      </c>
      <c r="I51" s="13">
        <v>42805.371134259258</v>
      </c>
      <c r="J51" s="7">
        <v>0</v>
      </c>
      <c r="K51" s="98" t="str">
        <f t="shared" si="0"/>
        <v>4005/4006</v>
      </c>
      <c r="L51" s="21" t="str">
        <f>VLOOKUP(A51,'Trips&amp;Operators'!$C$1:$G$99999,5,FALSE)</f>
        <v>SANTIZO D. EDY</v>
      </c>
      <c r="M51" s="6">
        <f t="shared" si="1"/>
        <v>2.9525462960009463E-2</v>
      </c>
      <c r="N51" s="7">
        <f t="shared" si="25"/>
        <v>42.516666662413627</v>
      </c>
      <c r="O51" s="7"/>
      <c r="P51" s="7"/>
      <c r="Q51" s="22"/>
      <c r="R51" s="22"/>
      <c r="S51" s="31">
        <f t="shared" si="26"/>
        <v>1</v>
      </c>
      <c r="T51" s="46" t="str">
        <f t="shared" si="3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4"/>
        <v>https://d0f6bd738d7f1b3e5a7ca70fe4ff75f0.us-east-1.aws.found.io/app/kibana#/discover/Steve-Slow-Train-Analysis-(2080s-and-2083s)?_g=(refreshInterval:(display:Off,pause:!f,section:0,value:0),time:(from:'2017-03-11T07:10:35-0700',mode:absolute,to:'2017-03-11T09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1" s="187" t="str">
        <f t="shared" si="5"/>
        <v>N</v>
      </c>
      <c r="X51" s="187">
        <f t="shared" si="27"/>
        <v>1</v>
      </c>
      <c r="Y51" s="62">
        <f t="shared" si="28"/>
        <v>4.4699999999999997E-2</v>
      </c>
      <c r="Z51" s="62">
        <f t="shared" si="29"/>
        <v>23.331900000000001</v>
      </c>
      <c r="AA51" s="62">
        <f t="shared" si="9"/>
        <v>23.287200000000002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0"/>
        <v>0137-11</v>
      </c>
      <c r="AE51" s="85" t="str">
        <f t="shared" si="11"/>
        <v>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 &amp; 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</v>
      </c>
      <c r="AF51" s="82" t="str">
        <f t="shared" si="12"/>
        <v>"C:\Program Files (x86)\AstroGrep\AstroGrep.exe" /e /r /s /spath="%USERPROFILE%\AppData\Local\Temp\OnboardLogs" /stypes="app*4006*20170311*" /stext=" 15:.+((SYSTEM_STATE.+slice.+state.+changed )|(ment ac)|(multiple cpu faults)|(system.+state.+changed )|(\[timeout)|(PRM\|1\|D)|(kpr)|(kdp)|(\|lc)|(penalty))"</v>
      </c>
      <c r="AG51" s="1" t="str">
        <f t="shared" si="13"/>
        <v>EC</v>
      </c>
      <c r="AH51" s="86" t="str">
        <f t="shared" si="17"/>
        <v>"%USERPROFILE%\Documents\GitHub\eaglep3\Utilities\RefineRTDCRunTimes.py" --tripid 137-11 --locoid 4006 --swversion DE.1.0.9.0 --startMP 204:447 --initTime 2017-03-11T08:10:35 --startdatetime 2017-03-11T08:11:55 --delay 1 --endMP 204:233319 --enddatetime 2017-03-11T08:54:26 --enforcementcount 0 &gt;&gt;C:\Users\stu\Documents\GitHub\eaglep3-reporting\EC\2017-03-11-refined-times.txt</v>
      </c>
      <c r="AI51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{"issue":{"subject":"","project_id":79,"tracker_id":40,"status_id":1,"priority_id":2,"assigned_to_id":23,"start_date":"2017-03-11","description":"","custom_fields":[{"id":1,"name":"Subdivision","value":"EC"},{"id":4,"name":"Milepost","value":"23.3319"},{"id":17,"name":"Train ID","value":"137-11"},{"id":16,"name":"Locomotive ID","value":"4006"},{"id":130,"name":"Impact","value":""},{"id":150,"name":"Time of Event (Mountain Time)","value":"08:54:26"},{"id":151,"name":"Denver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19"/>
        <v>start /low /b %USERPROFILE%\Documents\GitHub\eaglep3\Utilities\DownloadLogsFromS3.py --loco 4006 --day 2017-03-11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"%USERPROFILE%\AppData\Local\Temp\OnboardLogs"\RTDC4006\*4006*20170311* | grep -SE "(Enforcement Action)|(\[TIMEOUT)|(CHR.+\|PRM\|1\|D.+(SWITCH|SIGNAL).+UNKNOWN)" - &gt;&gt; 2017-03-11-UncaughtWiMAX.txt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687</v>
      </c>
      <c r="B52" s="7">
        <v>4005</v>
      </c>
      <c r="C52" s="21" t="s">
        <v>240</v>
      </c>
      <c r="D52" s="21" t="s">
        <v>437</v>
      </c>
      <c r="E52" s="13">
        <v>42805.37232638889</v>
      </c>
      <c r="F52" s="13">
        <v>42805.373101851852</v>
      </c>
      <c r="G52" s="7">
        <v>1</v>
      </c>
      <c r="H52" s="21" t="s">
        <v>263</v>
      </c>
      <c r="I52" s="13">
        <v>42805.411574074074</v>
      </c>
      <c r="J52" s="7">
        <v>0</v>
      </c>
      <c r="K52" s="98" t="str">
        <f t="shared" si="0"/>
        <v>4005/4006</v>
      </c>
      <c r="L52" s="21" t="str">
        <f>VLOOKUP(A52,'Trips&amp;Operators'!$C$1:$G$99999,5,FALSE)</f>
        <v>SANTIZO D. EDY</v>
      </c>
      <c r="M52" s="6">
        <f t="shared" si="1"/>
        <v>3.8472222222480923E-2</v>
      </c>
      <c r="N52" s="7">
        <f t="shared" si="25"/>
        <v>55.400000000372529</v>
      </c>
      <c r="O52" s="7"/>
      <c r="P52" s="7"/>
      <c r="Q52" s="22"/>
      <c r="R52" s="22"/>
      <c r="S52" s="31">
        <f t="shared" si="26"/>
        <v>1</v>
      </c>
      <c r="T52" s="46" t="str">
        <f t="shared" si="3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4"/>
        <v>https://d0f6bd738d7f1b3e5a7ca70fe4ff75f0.us-east-1.aws.found.io/app/kibana#/discover/Steve-Slow-Train-Analysis-(2080s-and-2083s)?_g=(refreshInterval:(display:Off,pause:!f,section:0,value:0),time:(from:'2017-03-11T07:56:09-0700',mode:absolute,to:'2017-03-11T10:52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2" s="187" t="str">
        <f t="shared" si="5"/>
        <v>N</v>
      </c>
      <c r="X52" s="187">
        <f t="shared" si="27"/>
        <v>1</v>
      </c>
      <c r="Y52" s="62">
        <f t="shared" si="28"/>
        <v>23.3019</v>
      </c>
      <c r="Z52" s="62">
        <f t="shared" si="29"/>
        <v>1.34E-2</v>
      </c>
      <c r="AA52" s="62">
        <f t="shared" si="9"/>
        <v>23.288499999999999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0"/>
        <v>0138-11</v>
      </c>
      <c r="AE52" s="85" t="str">
        <f t="shared" si="11"/>
        <v>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 &amp; 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</v>
      </c>
      <c r="AF52" s="82" t="str">
        <f t="shared" si="12"/>
        <v>"C:\Program Files (x86)\AstroGrep\AstroGrep.exe" /e /r /s /spath="%USERPROFILE%\AppData\Local\Temp\OnboardLogs" /stypes="app*4005*20170311*" /stext=" 16:.+((SYSTEM_STATE.+slice.+state.+changed )|(ment ac)|(multiple cpu faults)|(system.+state.+changed )|(\[timeout)|(PRM\|1\|D)|(kpr)|(kdp)|(\|lc)|(penalty))"</v>
      </c>
      <c r="AG52" s="1" t="str">
        <f t="shared" si="13"/>
        <v>EC</v>
      </c>
      <c r="AH52" s="86" t="str">
        <f t="shared" si="17"/>
        <v>"%USERPROFILE%\Documents\GitHub\eaglep3\Utilities\RefineRTDCRunTimes.py" --tripid 138-11 --locoid 4005 --swversion DE.1.0.9.0 --startMP 204:233019 --initTime 2017-03-11T08:56:09 --startdatetime 2017-03-11T08:57:16 --delay 1 --endMP 204:134 --enddatetime 2017-03-11T09:52:40 --enforcementcount 0 &gt;&gt;C:\Users\stu\Documents\GitHub\eaglep3-reporting\EC\2017-03-11-refined-times.txt</v>
      </c>
      <c r="AI52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{"issue":{"subject":"","project_id":79,"tracker_id":40,"status_id":1,"priority_id":2,"assigned_to_id":23,"start_date":"2017-03-11","description":"","custom_fields":[{"id":1,"name":"Subdivision","value":"EC"},{"id":4,"name":"Milepost","value":"0.0134"},{"id":17,"name":"Train ID","value":"138-11"},{"id":16,"name":"Locomotive ID","value":"4005"},{"id":130,"name":"Impact","value":""},{"id":150,"name":"Time of Event (Mountain Time)","value":"09:52:40"},{"id":151,"name":"Denver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19"/>
        <v>start /low /b %USERPROFILE%\Documents\GitHub\eaglep3\Utilities\DownloadLogsFromS3.py --loco 4005 --day 2017-03-11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"%USERPROFILE%\AppData\Local\Temp\OnboardLogs"\RTDC4005\*4005*20170311* | grep -SE "(Enforcement Action)|(\[TIMEOUT)|(CHR.+\|PRM\|1\|D.+(SWITCH|SIGNAL).+UNKNOWN)" - &gt;&gt; 2017-03-11-UncaughtWiMAX.txt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682</v>
      </c>
      <c r="B53" s="7">
        <v>4029</v>
      </c>
      <c r="C53" s="21" t="s">
        <v>240</v>
      </c>
      <c r="D53" s="21" t="s">
        <v>427</v>
      </c>
      <c r="E53" s="13">
        <v>42805.35052083333</v>
      </c>
      <c r="F53" s="13">
        <v>42805.352025462962</v>
      </c>
      <c r="G53" s="7">
        <v>2</v>
      </c>
      <c r="H53" s="21" t="s">
        <v>434</v>
      </c>
      <c r="I53" s="13">
        <v>42805.380219907405</v>
      </c>
      <c r="J53" s="7">
        <v>0</v>
      </c>
      <c r="K53" s="98" t="str">
        <f t="shared" si="0"/>
        <v>4029/4030</v>
      </c>
      <c r="L53" s="21" t="str">
        <f>VLOOKUP(A53,'Trips&amp;Operators'!$C$1:$G$99999,5,FALSE)</f>
        <v>LOZA FIDEL</v>
      </c>
      <c r="M53" s="6">
        <f t="shared" si="1"/>
        <v>2.8194444443215616E-2</v>
      </c>
      <c r="N53" s="7">
        <f t="shared" si="25"/>
        <v>40.599999998230487</v>
      </c>
      <c r="O53" s="7"/>
      <c r="P53" s="7"/>
      <c r="Q53" s="22"/>
      <c r="R53" s="22"/>
      <c r="S53" s="31">
        <f t="shared" si="26"/>
        <v>1</v>
      </c>
      <c r="T53" s="46" t="str">
        <f t="shared" si="3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4"/>
        <v>https://d0f6bd738d7f1b3e5a7ca70fe4ff75f0.us-east-1.aws.found.io/app/kibana#/discover/Steve-Slow-Train-Analysis-(2080s-and-2083s)?_g=(refreshInterval:(display:Off,pause:!f,section:0,value:0),time:(from:'2017-03-11T07:24:45-0700',mode:absolute,to:'2017-03-11T10:07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3" s="187" t="str">
        <f t="shared" si="5"/>
        <v>N</v>
      </c>
      <c r="X53" s="187">
        <f t="shared" si="27"/>
        <v>1</v>
      </c>
      <c r="Y53" s="62">
        <f t="shared" si="28"/>
        <v>4.7100000000000003E-2</v>
      </c>
      <c r="Z53" s="62">
        <f t="shared" si="29"/>
        <v>23.3307</v>
      </c>
      <c r="AA53" s="62">
        <f t="shared" si="9"/>
        <v>23.2836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0"/>
        <v>0139-11</v>
      </c>
      <c r="AE53" s="85" t="str">
        <f t="shared" si="11"/>
        <v>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 &amp; aws s3 cp s3://rtdc.mdm.uploadarchive.raw/RTDC4029/ "%USERPROFILE%\AppData\Local\Temp\OnboardLogs"\RTDC4029\2017-03-12 --exclude "*" --recursive --include "*20170312*" &amp; "%USERPROFILE%\Documents\GitHub\mrs-test-scripts\Headless Mode &amp; Sideloading\WalkAndUnGZ.bat" "%USERPROFILE%\AppData\Local\Temp\OnboardLogs"\RTDC4029\2017-03-12</v>
      </c>
      <c r="AF53" s="82" t="str">
        <f t="shared" si="12"/>
        <v>"C:\Program Files (x86)\AstroGrep\AstroGrep.exe" /e /r /s /spath="%USERPROFILE%\AppData\Local\Temp\OnboardLogs" /stypes="app*4029*20170311*" /stext=" 16:.+((SYSTEM_STATE.+slice.+state.+changed )|(ment ac)|(multiple cpu faults)|(system.+state.+changed )|(\[timeout)|(PRM\|1\|D)|(kpr)|(kdp)|(\|lc)|(penalty))"</v>
      </c>
      <c r="AG53" s="1" t="str">
        <f t="shared" si="13"/>
        <v>EC</v>
      </c>
      <c r="AH53" s="86" t="str">
        <f t="shared" si="17"/>
        <v>"%USERPROFILE%\Documents\GitHub\eaglep3\Utilities\RefineRTDCRunTimes.py" --tripid 139-11 --locoid 4029 --swversion DE.1.0.9.0 --startMP 204:471 --initTime 2017-03-11T08:24:45 --startdatetime 2017-03-11T08:26:55 --delay 2 --endMP 204:233307 --enddatetime 2017-03-11T09:07:31 --enforcementcount 0 &gt;&gt;C:\Users\stu\Documents\GitHub\eaglep3-reporting\EC\2017-03-11-refined-times.txt</v>
      </c>
      <c r="AI53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{"issue":{"subject":"","project_id":79,"tracker_id":40,"status_id":1,"priority_id":2,"assigned_to_id":23,"start_date":"2017-03-11","description":"","custom_fields":[{"id":1,"name":"Subdivision","value":"EC"},{"id":4,"name":"Milepost","value":"23.3307"},{"id":17,"name":"Train ID","value":"139-11"},{"id":16,"name":"Locomotive ID","value":"4029"},{"id":130,"name":"Impact","value":""},{"id":150,"name":"Time of Event (Mountain Time)","value":"09:07:31"},{"id":151,"name":"Denver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19"/>
        <v>start /low /b %USERPROFILE%\Documents\GitHub\eaglep3\Utilities\DownloadLogsFromS3.py --loco 4029 --day 2017-03-11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"%USERPROFILE%\AppData\Local\Temp\OnboardLogs"\RTDC4029\*4029*20170311* | grep -SE "(Enforcement Action)|(\[TIMEOUT)|(CHR.+\|PRM\|1\|D.+(SWITCH|SIGNAL).+UNKNOWN)" - &gt;&gt; 2017-03-11-UncaughtWiMAX.txt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691</v>
      </c>
      <c r="B54" s="7">
        <v>4030</v>
      </c>
      <c r="C54" s="21" t="s">
        <v>240</v>
      </c>
      <c r="D54" s="21" t="s">
        <v>863</v>
      </c>
      <c r="E54" s="13">
        <v>42805.390081018515</v>
      </c>
      <c r="F54" s="13">
        <v>42805.390775462962</v>
      </c>
      <c r="G54" s="7">
        <v>1</v>
      </c>
      <c r="H54" s="21" t="s">
        <v>234</v>
      </c>
      <c r="I54" s="13">
        <v>42805.421331018515</v>
      </c>
      <c r="J54" s="7">
        <v>0</v>
      </c>
      <c r="K54" s="98" t="str">
        <f t="shared" si="0"/>
        <v>4029/4030</v>
      </c>
      <c r="L54" s="21" t="str">
        <f>VLOOKUP(A54,'Trips&amp;Operators'!$C$1:$G$99999,5,FALSE)</f>
        <v>LOZA FIDEL</v>
      </c>
      <c r="M54" s="6">
        <f t="shared" si="1"/>
        <v>3.0555555553291924E-2</v>
      </c>
      <c r="N54" s="7">
        <f t="shared" si="25"/>
        <v>43.999999996740371</v>
      </c>
      <c r="O54" s="7"/>
      <c r="P54" s="7"/>
      <c r="Q54" s="22"/>
      <c r="R54" s="22"/>
      <c r="S54" s="31">
        <f t="shared" si="26"/>
        <v>1</v>
      </c>
      <c r="T54" s="46" t="str">
        <f t="shared" si="3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4"/>
        <v>https://d0f6bd738d7f1b3e5a7ca70fe4ff75f0.us-east-1.aws.found.io/app/kibana#/discover/Steve-Slow-Train-Analysis-(2080s-and-2083s)?_g=(refreshInterval:(display:Off,pause:!f,section:0,value:0),time:(from:'2017-03-11T08:21:43-0700',mode:absolute,to:'2017-03-11T11:06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4" s="187" t="str">
        <f t="shared" si="5"/>
        <v>N</v>
      </c>
      <c r="X54" s="187">
        <f t="shared" si="27"/>
        <v>1</v>
      </c>
      <c r="Y54" s="62">
        <f t="shared" si="28"/>
        <v>23.298999999999999</v>
      </c>
      <c r="Z54" s="62">
        <f t="shared" si="29"/>
        <v>1.47E-2</v>
      </c>
      <c r="AA54" s="62">
        <f t="shared" si="9"/>
        <v>23.284299999999998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0"/>
        <v>0140-11</v>
      </c>
      <c r="AE54" s="85" t="str">
        <f t="shared" si="11"/>
        <v>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 &amp; aws s3 cp s3://rtdc.mdm.uploadarchive.raw/RTDC4030/ "%USERPROFILE%\AppData\Local\Temp\OnboardLogs"\RTDC4030\2017-03-12 --exclude "*" --recursive --include "*20170312*" &amp; "%USERPROFILE%\Documents\GitHub\mrs-test-scripts\Headless Mode &amp; Sideloading\WalkAndUnGZ.bat" "%USERPROFILE%\AppData\Local\Temp\OnboardLogs"\RTDC4030\2017-03-12</v>
      </c>
      <c r="AF54" s="82" t="str">
        <f t="shared" si="12"/>
        <v>"C:\Program Files (x86)\AstroGrep\AstroGrep.exe" /e /r /s /spath="%USERPROFILE%\AppData\Local\Temp\OnboardLogs" /stypes="app*4030*20170311*" /stext=" 17:.+((SYSTEM_STATE.+slice.+state.+changed )|(ment ac)|(multiple cpu faults)|(system.+state.+changed )|(\[timeout)|(PRM\|1\|D)|(kpr)|(kdp)|(\|lc)|(penalty))"</v>
      </c>
      <c r="AG54" s="1" t="str">
        <f t="shared" si="13"/>
        <v>EC</v>
      </c>
      <c r="AH54" s="86" t="str">
        <f t="shared" si="17"/>
        <v>"%USERPROFILE%\Documents\GitHub\eaglep3\Utilities\RefineRTDCRunTimes.py" --tripid 140-11 --locoid 4030 --swversion DE.1.0.9.0 --startMP 204:232990 --initTime 2017-03-11T09:21:43 --startdatetime 2017-03-11T09:22:43 --delay 1 --endMP 204:147 --enddatetime 2017-03-11T10:06:43 --enforcementcount 0 &gt;&gt;C:\Users\stu\Documents\GitHub\eaglep3-reporting\EC\2017-03-11-refined-times.txt</v>
      </c>
      <c r="AI54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{"issue":{"subject":"","project_id":79,"tracker_id":40,"status_id":1,"priority_id":2,"assigned_to_id":23,"start_date":"2017-03-11","description":"","custom_fields":[{"id":1,"name":"Subdivision","value":"EC"},{"id":4,"name":"Milepost","value":"0.0147"},{"id":17,"name":"Train ID","value":"140-11"},{"id":16,"name":"Locomotive ID","value":"4030"},{"id":130,"name":"Impact","value":""},{"id":150,"name":"Time of Event (Mountain Time)","value":"10:06:43"},{"id":151,"name":"Denver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19"/>
        <v>start /low /b %USERPROFILE%\Documents\GitHub\eaglep3\Utilities\DownloadLogsFromS3.py --loco 4030 --day 2017-03-11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"%USERPROFILE%\AppData\Local\Temp\OnboardLogs"\RTDC4030\*4030*20170311* | grep -SE "(Enforcement Action)|(\[TIMEOUT)|(CHR.+\|PRM\|1\|D.+(SWITCH|SIGNAL).+UNKNOWN)" - &gt;&gt; 2017-03-11-UncaughtWiMAX.txt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685</v>
      </c>
      <c r="B55" s="7">
        <v>4044</v>
      </c>
      <c r="C55" s="21" t="s">
        <v>240</v>
      </c>
      <c r="D55" s="21" t="s">
        <v>546</v>
      </c>
      <c r="E55" s="13">
        <v>42805.363553240742</v>
      </c>
      <c r="F55" s="13">
        <v>42805.364861111113</v>
      </c>
      <c r="G55" s="7">
        <v>1</v>
      </c>
      <c r="H55" s="21" t="s">
        <v>246</v>
      </c>
      <c r="I55" s="13">
        <v>42805.392094907409</v>
      </c>
      <c r="J55" s="7">
        <v>0</v>
      </c>
      <c r="K55" s="98" t="str">
        <f t="shared" si="0"/>
        <v>4043/4044</v>
      </c>
      <c r="L55" s="21" t="str">
        <f>VLOOKUP(A55,'Trips&amp;Operators'!$C$1:$G$99999,5,FALSE)</f>
        <v>BADERTSCHER DIANE</v>
      </c>
      <c r="M55" s="6">
        <f t="shared" si="1"/>
        <v>2.7233796296059154E-2</v>
      </c>
      <c r="N55" s="7">
        <f t="shared" si="25"/>
        <v>39.216666666325182</v>
      </c>
      <c r="O55" s="7"/>
      <c r="P55" s="7"/>
      <c r="Q55" s="22"/>
      <c r="R55" s="22"/>
      <c r="S55" s="31">
        <f t="shared" si="26"/>
        <v>1</v>
      </c>
      <c r="T55" s="46" t="str">
        <f t="shared" si="3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4"/>
        <v>https://d0f6bd738d7f1b3e5a7ca70fe4ff75f0.us-east-1.aws.found.io/app/kibana#/discover/Steve-Slow-Train-Analysis-(2080s-and-2083s)?_g=(refreshInterval:(display:Off,pause:!f,section:0,value:0),time:(from:'2017-03-11T07:43:31-0700',mode:absolute,to:'2017-03-11T10:24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5" s="187" t="str">
        <f t="shared" si="5"/>
        <v>N</v>
      </c>
      <c r="X55" s="187">
        <f t="shared" si="27"/>
        <v>1</v>
      </c>
      <c r="Y55" s="62">
        <f t="shared" si="28"/>
        <v>4.2900000000000001E-2</v>
      </c>
      <c r="Z55" s="62">
        <f t="shared" si="29"/>
        <v>23.329699999999999</v>
      </c>
      <c r="AA55" s="62">
        <f t="shared" si="9"/>
        <v>23.286799999999999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0"/>
        <v>0141-11</v>
      </c>
      <c r="AE55" s="85" t="str">
        <f t="shared" si="11"/>
        <v>aws s3 cp s3://rtdc.mdm.uploadarchive.raw/RTDC4044/ "%USERPROFILE%\AppData\Local\Temp\OnboardLogs"\RTDC4044\2017-03-11 --exclude "*" --recursive --include "*20170311*" &amp; "%USERPROFILE%\Documents\GitHub\mrs-test-scripts\Headless Mode &amp; Sideloading\WalkAndUnGZ.bat" "%USERPROFILE%\AppData\Local\Temp\OnboardLogs"\RTDC4044\2017-03-11 &amp; aws s3 cp s3://rtdc.mdm.uploadarchive.raw/RTDC4044/ "%USERPROFILE%\AppData\Local\Temp\OnboardLogs"\RTDC4044\2017-03-12 --exclude "*" --recursive --include "*20170312*" &amp; "%USERPROFILE%\Documents\GitHub\mrs-test-scripts\Headless Mode &amp; Sideloading\WalkAndUnGZ.bat" "%USERPROFILE%\AppData\Local\Temp\OnboardLogs"\RTDC4044\2017-03-12</v>
      </c>
      <c r="AF55" s="82" t="str">
        <f t="shared" si="12"/>
        <v>"C:\Program Files (x86)\AstroGrep\AstroGrep.exe" /e /r /s /spath="%USERPROFILE%\AppData\Local\Temp\OnboardLogs" /stypes="app*4044*20170311*" /stext=" 16:.+((SYSTEM_STATE.+slice.+state.+changed )|(ment ac)|(multiple cpu faults)|(system.+state.+changed )|(\[timeout)|(PRM\|1\|D)|(kpr)|(kdp)|(\|lc)|(penalty))"</v>
      </c>
      <c r="AG55" s="1" t="str">
        <f t="shared" si="13"/>
        <v>EC</v>
      </c>
      <c r="AH55" s="86" t="str">
        <f t="shared" si="17"/>
        <v>"%USERPROFILE%\Documents\GitHub\eaglep3\Utilities\RefineRTDCRunTimes.py" --tripid 141-11 --locoid 4044 --swversion DE.1.0.9.0 --startMP 204:429 --initTime 2017-03-11T08:43:31 --startdatetime 2017-03-11T08:45:24 --delay 1 --endMP 204:233297 --enddatetime 2017-03-11T09:24:37 --enforcementcount 0 &gt;&gt;C:\Users\stu\Documents\GitHub\eaglep3-reporting\EC\2017-03-11-refined-times.txt</v>
      </c>
      <c r="AI55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{"issue":{"subject":"","project_id":79,"tracker_id":40,"status_id":1,"priority_id":2,"assigned_to_id":23,"start_date":"2017-03-11","description":"","custom_fields":[{"id":1,"name":"Subdivision","value":"EC"},{"id":4,"name":"Milepost","value":"23.3297"},{"id":17,"name":"Train ID","value":"141-11"},{"id":16,"name":"Locomotive ID","value":"4044"},{"id":130,"name":"Impact","value":""},{"id":150,"name":"Time of Event (Mountain Time)","value":"09:24:37"},{"id":151,"name":"Denver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19"/>
        <v>start /low /b %USERPROFILE%\Documents\GitHub\eaglep3\Utilities\DownloadLogsFromS3.py --loco 4044 --day 2017-03-11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"%USERPROFILE%\AppData\Local\Temp\OnboardLogs"\RTDC4044\*4044*20170311* | grep -SE "(Enforcement Action)|(\[TIMEOUT)|(CHR.+\|PRM\|1\|D.+(SWITCH|SIGNAL).+UNKNOWN)" - &gt;&gt; 2017-03-11-UncaughtWiMAX.txt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587</v>
      </c>
      <c r="B56" s="7">
        <v>4043</v>
      </c>
      <c r="C56" s="21" t="s">
        <v>240</v>
      </c>
      <c r="D56" s="21" t="s">
        <v>268</v>
      </c>
      <c r="E56" s="13">
        <v>42805.398125</v>
      </c>
      <c r="F56" s="13">
        <v>42805.39947916667</v>
      </c>
      <c r="G56" s="7">
        <v>1</v>
      </c>
      <c r="H56" s="21" t="s">
        <v>498</v>
      </c>
      <c r="I56" s="13">
        <v>42805.434131944443</v>
      </c>
      <c r="J56" s="7">
        <v>0</v>
      </c>
      <c r="K56" s="98" t="str">
        <f t="shared" si="0"/>
        <v>4043/4044</v>
      </c>
      <c r="L56" s="21" t="str">
        <f>VLOOKUP(A56,'Trips&amp;Operators'!$C$1:$G$99999,5,FALSE)</f>
        <v>BADERTSCHER DIANE</v>
      </c>
      <c r="M56" s="6">
        <f t="shared" si="1"/>
        <v>3.4652777772862464E-2</v>
      </c>
      <c r="N56" s="7">
        <f t="shared" si="25"/>
        <v>49.899999992921948</v>
      </c>
      <c r="O56" s="7"/>
      <c r="P56" s="7"/>
      <c r="Q56" s="22"/>
      <c r="R56" s="22"/>
      <c r="S56" s="31">
        <f t="shared" si="26"/>
        <v>1</v>
      </c>
      <c r="T56" s="46" t="str">
        <f t="shared" si="3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4"/>
        <v>https://d0f6bd738d7f1b3e5a7ca70fe4ff75f0.us-east-1.aws.found.io/app/kibana#/discover/Steve-Slow-Train-Analysis-(2080s-and-2083s)?_g=(refreshInterval:(display:Off,pause:!f,section:0,value:0),time:(from:'2017-03-11T08:33:18-0700',mode:absolute,to:'2017-03-11T11:25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6" s="187" t="str">
        <f t="shared" si="5"/>
        <v>N</v>
      </c>
      <c r="X56" s="187">
        <f t="shared" si="27"/>
        <v>1</v>
      </c>
      <c r="Y56" s="62">
        <f t="shared" si="28"/>
        <v>23.299099999999999</v>
      </c>
      <c r="Z56" s="62">
        <f t="shared" si="29"/>
        <v>1.6500000000000001E-2</v>
      </c>
      <c r="AA56" s="62">
        <f t="shared" si="9"/>
        <v>23.282599999999999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0"/>
        <v>0142-11</v>
      </c>
      <c r="AE56" s="85" t="str">
        <f t="shared" si="11"/>
        <v>aws s3 cp s3://rtdc.mdm.uploadarchive.raw/RTDC4043/ "%USERPROFILE%\AppData\Local\Temp\OnboardLogs"\RTDC4043\2017-03-11 --exclude "*" --recursive --include "*20170311*" &amp; "%USERPROFILE%\Documents\GitHub\mrs-test-scripts\Headless Mode &amp; Sideloading\WalkAndUnGZ.bat" "%USERPROFILE%\AppData\Local\Temp\OnboardLogs"\RTDC4043\2017-03-11 &amp; aws s3 cp s3://rtdc.mdm.uploadarchive.raw/RTDC4043/ "%USERPROFILE%\AppData\Local\Temp\OnboardLogs"\RTDC4043\2017-03-12 --exclude "*" --recursive --include "*20170312*" &amp; "%USERPROFILE%\Documents\GitHub\mrs-test-scripts\Headless Mode &amp; Sideloading\WalkAndUnGZ.bat" "%USERPROFILE%\AppData\Local\Temp\OnboardLogs"\RTDC4043\2017-03-12</v>
      </c>
      <c r="AF56" s="82" t="str">
        <f t="shared" si="12"/>
        <v>"C:\Program Files (x86)\AstroGrep\AstroGrep.exe" /e /r /s /spath="%USERPROFILE%\AppData\Local\Temp\OnboardLogs" /stypes="app*4043*20170311*" /stext=" 17:.+((SYSTEM_STATE.+slice.+state.+changed )|(ment ac)|(multiple cpu faults)|(system.+state.+changed )|(\[timeout)|(PRM\|1\|D)|(kpr)|(kdp)|(\|lc)|(penalty))"</v>
      </c>
      <c r="AG56" s="1" t="str">
        <f t="shared" si="13"/>
        <v>EC</v>
      </c>
      <c r="AH56" s="86" t="str">
        <f t="shared" si="17"/>
        <v>"%USERPROFILE%\Documents\GitHub\eaglep3\Utilities\RefineRTDCRunTimes.py" --tripid 142-11 --locoid 4043 --swversion DE.1.0.9.0 --startMP 204:232991 --initTime 2017-03-11T09:33:18 --startdatetime 2017-03-11T09:35:15 --delay 1 --endMP 204:165 --enddatetime 2017-03-11T10:25:09 --enforcementcount 0 &gt;&gt;C:\Users\stu\Documents\GitHub\eaglep3-reporting\EC\2017-03-11-refined-times.txt</v>
      </c>
      <c r="AI56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{"issue":{"subject":"","project_id":79,"tracker_id":40,"status_id":1,"priority_id":2,"assigned_to_id":23,"start_date":"2017-03-11","description":"","custom_fields":[{"id":1,"name":"Subdivision","value":"EC"},{"id":4,"name":"Milepost","value":"0.0165"},{"id":17,"name":"Train ID","value":"142-11"},{"id":16,"name":"Locomotive ID","value":"4043"},{"id":130,"name":"Impact","value":""},{"id":150,"name":"Time of Event (Mountain Time)","value":"10:25:09"},{"id":151,"name":"Denver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19"/>
        <v>start /low /b %USERPROFILE%\Documents\GitHub\eaglep3\Utilities\DownloadLogsFromS3.py --loco 4043 --day 2017-03-11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"%USERPROFILE%\AppData\Local\Temp\OnboardLogs"\RTDC4043\*4043*20170311* | grep -SE "(Enforcement Action)|(\[TIMEOUT)|(CHR.+\|PRM\|1\|D.+(SWITCH|SIGNAL).+UNKNOWN)" - &gt;&gt; 2017-03-11-UncaughtWiMAX.txt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688</v>
      </c>
      <c r="B57" s="7">
        <v>4014</v>
      </c>
      <c r="C57" s="21" t="s">
        <v>240</v>
      </c>
      <c r="D57" s="21" t="s">
        <v>216</v>
      </c>
      <c r="E57" s="13">
        <v>42805.374479166669</v>
      </c>
      <c r="F57" s="13">
        <v>42805.375833333332</v>
      </c>
      <c r="G57" s="7">
        <v>1</v>
      </c>
      <c r="H57" s="21" t="s">
        <v>259</v>
      </c>
      <c r="I57" s="13">
        <v>42805.401203703703</v>
      </c>
      <c r="J57" s="7">
        <v>0</v>
      </c>
      <c r="K57" s="98" t="str">
        <f t="shared" si="0"/>
        <v>4013/4014</v>
      </c>
      <c r="L57" s="21" t="str">
        <f>VLOOKUP(A57,'Trips&amp;Operators'!$C$1:$G$99999,5,FALSE)</f>
        <v>GEBRETEKLE DAGNEW</v>
      </c>
      <c r="M57" s="6">
        <f t="shared" si="1"/>
        <v>2.5370370371092577E-2</v>
      </c>
      <c r="N57" s="7">
        <f t="shared" si="25"/>
        <v>36.53333333437331</v>
      </c>
      <c r="O57" s="7"/>
      <c r="P57" s="7"/>
      <c r="Q57" s="22"/>
      <c r="R57" s="22"/>
      <c r="S57" s="31">
        <f t="shared" si="26"/>
        <v>1</v>
      </c>
      <c r="T57" s="46" t="str">
        <f t="shared" si="3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4"/>
        <v>https://d0f6bd738d7f1b3e5a7ca70fe4ff75f0.us-east-1.aws.found.io/app/kibana#/discover/Steve-Slow-Train-Analysis-(2080s-and-2083s)?_g=(refreshInterval:(display:Off,pause:!f,section:0,value:0),time:(from:'2017-03-11T07:59:15-0700',mode:absolute,to:'2017-03-11T10:37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7" s="187" t="str">
        <f t="shared" si="5"/>
        <v>N</v>
      </c>
      <c r="X57" s="187">
        <f t="shared" si="27"/>
        <v>1</v>
      </c>
      <c r="Y57" s="62">
        <f t="shared" si="28"/>
        <v>4.5100000000000001E-2</v>
      </c>
      <c r="Z57" s="62">
        <f t="shared" si="29"/>
        <v>23.331199999999999</v>
      </c>
      <c r="AA57" s="62">
        <f t="shared" si="9"/>
        <v>23.286099999999998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0"/>
        <v>0143-11</v>
      </c>
      <c r="AE57" s="85" t="str">
        <f t="shared" si="11"/>
        <v>aws s3 cp s3://rtdc.mdm.uploadarchive.raw/RTDC4014/ "%USERPROFILE%\AppData\Local\Temp\OnboardLogs"\RTDC4014\2017-03-11 --exclude "*" --recursive --include "*20170311*" &amp; "%USERPROFILE%\Documents\GitHub\mrs-test-scripts\Headless Mode &amp; Sideloading\WalkAndUnGZ.bat" "%USERPROFILE%\AppData\Local\Temp\OnboardLogs"\RTDC4014\2017-03-11 &amp; aws s3 cp s3://rtdc.mdm.uploadarchive.raw/RTDC4014/ "%USERPROFILE%\AppData\Local\Temp\OnboardLogs"\RTDC4014\2017-03-12 --exclude "*" --recursive --include "*20170312*" &amp; "%USERPROFILE%\Documents\GitHub\mrs-test-scripts\Headless Mode &amp; Sideloading\WalkAndUnGZ.bat" "%USERPROFILE%\AppData\Local\Temp\OnboardLogs"\RTDC4014\2017-03-12</v>
      </c>
      <c r="AF57" s="82" t="str">
        <f t="shared" si="12"/>
        <v>"C:\Program Files (x86)\AstroGrep\AstroGrep.exe" /e /r /s /spath="%USERPROFILE%\AppData\Local\Temp\OnboardLogs" /stypes="app*4014*20170311*" /stext=" 16:.+((SYSTEM_STATE.+slice.+state.+changed )|(ment ac)|(multiple cpu faults)|(system.+state.+changed )|(\[timeout)|(PRM\|1\|D)|(kpr)|(kdp)|(\|lc)|(penalty))"</v>
      </c>
      <c r="AG57" s="1" t="str">
        <f t="shared" si="13"/>
        <v>EC</v>
      </c>
      <c r="AH57" s="86" t="str">
        <f t="shared" si="17"/>
        <v>"%USERPROFILE%\Documents\GitHub\eaglep3\Utilities\RefineRTDCRunTimes.py" --tripid 143-11 --locoid 4014 --swversion DE.1.0.9.0 --startMP 204:451 --initTime 2017-03-11T08:59:15 --startdatetime 2017-03-11T09:01:12 --delay 1 --endMP 204:233312 --enddatetime 2017-03-11T09:37:44 --enforcementcount 0 &gt;&gt;C:\Users\stu\Documents\GitHub\eaglep3-reporting\EC\2017-03-11-refined-times.txt</v>
      </c>
      <c r="AI57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{"issue":{"subject":"","project_id":79,"tracker_id":40,"status_id":1,"priority_id":2,"assigned_to_id":23,"start_date":"2017-03-11","description":"","custom_fields":[{"id":1,"name":"Subdivision","value":"EC"},{"id":4,"name":"Milepost","value":"23.3312"},{"id":17,"name":"Train ID","value":"143-11"},{"id":16,"name":"Locomotive ID","value":"4014"},{"id":130,"name":"Impact","value":""},{"id":150,"name":"Time of Event (Mountain Time)","value":"09:37:44"},{"id":151,"name":"Denver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19"/>
        <v>start /low /b %USERPROFILE%\Documents\GitHub\eaglep3\Utilities\DownloadLogsFromS3.py --loco 4014 --day 2017-03-11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"%USERPROFILE%\AppData\Local\Temp\OnboardLogs"\RTDC4014\*4014*20170311* | grep -SE "(Enforcement Action)|(\[TIMEOUT)|(CHR.+\|PRM\|1\|D.+(SWITCH|SIGNAL).+UNKNOWN)" - &gt;&gt; 2017-03-11-UncaughtWiMAX.txt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695</v>
      </c>
      <c r="B58" s="7">
        <v>4013</v>
      </c>
      <c r="C58" s="21" t="s">
        <v>240</v>
      </c>
      <c r="D58" s="21" t="s">
        <v>270</v>
      </c>
      <c r="E58" s="13">
        <v>42805.410381944443</v>
      </c>
      <c r="F58" s="13">
        <v>42805.411458333336</v>
      </c>
      <c r="G58" s="7">
        <v>1</v>
      </c>
      <c r="H58" s="21" t="s">
        <v>231</v>
      </c>
      <c r="I58" s="13">
        <v>42805.441550925927</v>
      </c>
      <c r="J58" s="7">
        <v>0</v>
      </c>
      <c r="K58" s="98" t="str">
        <f t="shared" si="0"/>
        <v>4013/4014</v>
      </c>
      <c r="L58" s="21" t="str">
        <f>VLOOKUP(A58,'Trips&amp;Operators'!$C$1:$G$99999,5,FALSE)</f>
        <v>GEBRETEKLE DAGNEW</v>
      </c>
      <c r="M58" s="6">
        <f t="shared" si="1"/>
        <v>3.0092592591245193E-2</v>
      </c>
      <c r="N58" s="7">
        <f t="shared" si="25"/>
        <v>43.333333331393078</v>
      </c>
      <c r="O58" s="7"/>
      <c r="P58" s="7"/>
      <c r="Q58" s="22"/>
      <c r="R58" s="22"/>
      <c r="S58" s="31">
        <f t="shared" si="26"/>
        <v>1</v>
      </c>
      <c r="T58" s="46" t="str">
        <f t="shared" si="3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4"/>
        <v>https://d0f6bd738d7f1b3e5a7ca70fe4ff75f0.us-east-1.aws.found.io/app/kibana#/discover/Steve-Slow-Train-Analysis-(2080s-and-2083s)?_g=(refreshInterval:(display:Off,pause:!f,section:0,value:0),time:(from:'2017-03-11T08:50:57-0700',mode:absolute,to:'2017-03-11T11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8" s="187" t="str">
        <f t="shared" si="5"/>
        <v>N</v>
      </c>
      <c r="X58" s="187">
        <f t="shared" si="27"/>
        <v>1</v>
      </c>
      <c r="Y58" s="62">
        <f t="shared" si="28"/>
        <v>23.2971</v>
      </c>
      <c r="Z58" s="62">
        <f t="shared" si="29"/>
        <v>1.5599999999999999E-2</v>
      </c>
      <c r="AA58" s="62">
        <f t="shared" si="9"/>
        <v>23.281500000000001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0"/>
        <v>0144-11</v>
      </c>
      <c r="AE58" s="85" t="str">
        <f t="shared" si="11"/>
        <v>aws s3 cp s3://rtdc.mdm.uploadarchive.raw/RTDC4013/ "%USERPROFILE%\AppData\Local\Temp\OnboardLogs"\RTDC4013\2017-03-11 --exclude "*" --recursive --include "*20170311*" &amp; "%USERPROFILE%\Documents\GitHub\mrs-test-scripts\Headless Mode &amp; Sideloading\WalkAndUnGZ.bat" "%USERPROFILE%\AppData\Local\Temp\OnboardLogs"\RTDC4013\2017-03-11 &amp; aws s3 cp s3://rtdc.mdm.uploadarchive.raw/RTDC4013/ "%USERPROFILE%\AppData\Local\Temp\OnboardLogs"\RTDC4013\2017-03-12 --exclude "*" --recursive --include "*20170312*" &amp; "%USERPROFILE%\Documents\GitHub\mrs-test-scripts\Headless Mode &amp; Sideloading\WalkAndUnGZ.bat" "%USERPROFILE%\AppData\Local\Temp\OnboardLogs"\RTDC4013\2017-03-12</v>
      </c>
      <c r="AF58" s="82" t="str">
        <f t="shared" si="12"/>
        <v>"C:\Program Files (x86)\AstroGrep\AstroGrep.exe" /e /r /s /spath="%USERPROFILE%\AppData\Local\Temp\OnboardLogs" /stypes="app*4013*20170311*" /stext=" 17:.+((SYSTEM_STATE.+slice.+state.+changed )|(ment ac)|(multiple cpu faults)|(system.+state.+changed )|(\[timeout)|(PRM\|1\|D)|(kpr)|(kdp)|(\|lc)|(penalty))"</v>
      </c>
      <c r="AG58" s="1" t="str">
        <f t="shared" si="13"/>
        <v>EC</v>
      </c>
      <c r="AH58" s="86" t="str">
        <f t="shared" si="17"/>
        <v>"%USERPROFILE%\Documents\GitHub\eaglep3\Utilities\RefineRTDCRunTimes.py" --tripid 144-11 --locoid 4013 --swversion DE.1.0.9.0 --startMP 204:232971 --initTime 2017-03-11T09:50:57 --startdatetime 2017-03-11T09:52:30 --delay 1 --endMP 204:156 --enddatetime 2017-03-11T10:35:50 --enforcementcount 0 &gt;&gt;C:\Users\stu\Documents\GitHub\eaglep3-reporting\EC\2017-03-11-refined-times.txt</v>
      </c>
      <c r="AI58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{"issue":{"subject":"","project_id":79,"tracker_id":40,"status_id":1,"priority_id":2,"assigned_to_id":23,"start_date":"2017-03-11","description":"","custom_fields":[{"id":1,"name":"Subdivision","value":"EC"},{"id":4,"name":"Milepost","value":"0.0156"},{"id":17,"name":"Train ID","value":"144-11"},{"id":16,"name":"Locomotive ID","value":"4013"},{"id":130,"name":"Impact","value":""},{"id":150,"name":"Time of Event (Mountain Time)","value":"10:35:50"},{"id":151,"name":"Denver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19"/>
        <v>start /low /b %USERPROFILE%\Documents\GitHub\eaglep3\Utilities\DownloadLogsFromS3.py --loco 4013 --day 2017-03-11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"%USERPROFILE%\AppData\Local\Temp\OnboardLogs"\RTDC4013\*4013*20170311* | grep -SE "(Enforcement Action)|(\[TIMEOUT)|(CHR.+\|PRM\|1\|D.+(SWITCH|SIGNAL).+UNKNOWN)" - &gt;&gt; 2017-03-11-UncaughtWiMAX.txt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690</v>
      </c>
      <c r="B59" s="7">
        <v>4009</v>
      </c>
      <c r="C59" s="21" t="s">
        <v>240</v>
      </c>
      <c r="D59" s="21" t="s">
        <v>864</v>
      </c>
      <c r="E59" s="13">
        <v>42805.381840277776</v>
      </c>
      <c r="F59" s="13">
        <v>42805.382754629631</v>
      </c>
      <c r="G59" s="7">
        <v>1</v>
      </c>
      <c r="H59" s="21" t="s">
        <v>259</v>
      </c>
      <c r="I59" s="13">
        <v>42805.411030092589</v>
      </c>
      <c r="J59" s="7">
        <v>0</v>
      </c>
      <c r="K59" s="98" t="str">
        <f t="shared" si="0"/>
        <v>4009/4010</v>
      </c>
      <c r="L59" s="21" t="str">
        <f>VLOOKUP(A59,'Trips&amp;Operators'!$C$1:$G$99999,5,FALSE)</f>
        <v>ROBINSON KADDIBA</v>
      </c>
      <c r="M59" s="6">
        <f t="shared" si="1"/>
        <v>2.827546295884531E-2</v>
      </c>
      <c r="N59" s="7">
        <f t="shared" si="25"/>
        <v>40.716666660737246</v>
      </c>
      <c r="O59" s="7"/>
      <c r="P59" s="7"/>
      <c r="Q59" s="22"/>
      <c r="R59" s="22"/>
      <c r="S59" s="31">
        <f t="shared" si="26"/>
        <v>1</v>
      </c>
      <c r="T59" s="46" t="str">
        <f t="shared" si="3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4"/>
        <v>https://d0f6bd738d7f1b3e5a7ca70fe4ff75f0.us-east-1.aws.found.io/app/kibana#/discover/Steve-Slow-Train-Analysis-(2080s-and-2083s)?_g=(refreshInterval:(display:Off,pause:!f,section:0,value:0),time:(from:'2017-03-11T08:09:51-0700',mode:absolute,to:'2017-03-11T10:51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9" s="187" t="str">
        <f t="shared" si="5"/>
        <v>N</v>
      </c>
      <c r="X59" s="187">
        <f t="shared" si="27"/>
        <v>1</v>
      </c>
      <c r="Y59" s="62">
        <f t="shared" si="28"/>
        <v>4.2000000000000003E-2</v>
      </c>
      <c r="Z59" s="62">
        <f t="shared" si="29"/>
        <v>23.331199999999999</v>
      </c>
      <c r="AA59" s="62">
        <f t="shared" si="9"/>
        <v>23.289199999999997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0"/>
        <v>0145-11</v>
      </c>
      <c r="AE59" s="85" t="str">
        <f t="shared" si="11"/>
        <v>aws s3 cp s3://rtdc.mdm.uploadarchive.raw/RTDC4009/ "%USERPROFILE%\AppData\Local\Temp\OnboardLogs"\RTDC4009\2017-03-11 --exclude "*" --recursive --include "*20170311*" &amp; "%USERPROFILE%\Documents\GitHub\mrs-test-scripts\Headless Mode &amp; Sideloading\WalkAndUnGZ.bat" "%USERPROFILE%\AppData\Local\Temp\OnboardLogs"\RTDC4009\2017-03-11 &amp; aws s3 cp s3://rtdc.mdm.uploadarchive.raw/RTDC4009/ "%USERPROFILE%\AppData\Local\Temp\OnboardLogs"\RTDC4009\2017-03-12 --exclude "*" --recursive --include "*20170312*" &amp; "%USERPROFILE%\Documents\GitHub\mrs-test-scripts\Headless Mode &amp; Sideloading\WalkAndUnGZ.bat" "%USERPROFILE%\AppData\Local\Temp\OnboardLogs"\RTDC4009\2017-03-12</v>
      </c>
      <c r="AF59" s="82" t="str">
        <f t="shared" si="12"/>
        <v>"C:\Program Files (x86)\AstroGrep\AstroGrep.exe" /e /r /s /spath="%USERPROFILE%\AppData\Local\Temp\OnboardLogs" /stypes="app*4009*20170311*" /stext=" 16:.+((SYSTEM_STATE.+slice.+state.+changed )|(ment ac)|(multiple cpu faults)|(system.+state.+changed )|(\[timeout)|(PRM\|1\|D)|(kpr)|(kdp)|(\|lc)|(penalty))"</v>
      </c>
      <c r="AG59" s="1" t="str">
        <f t="shared" si="13"/>
        <v>EC</v>
      </c>
      <c r="AH59" s="86" t="str">
        <f t="shared" si="17"/>
        <v>"%USERPROFILE%\Documents\GitHub\eaglep3\Utilities\RefineRTDCRunTimes.py" --tripid 145-11 --locoid 4009 --swversion DE.1.0.9.0 --startMP 204:420 --initTime 2017-03-11T09:09:51 --startdatetime 2017-03-11T09:11:10 --delay 1 --endMP 204:233312 --enddatetime 2017-03-11T09:51:53 --enforcementcount 0 &gt;&gt;C:\Users\stu\Documents\GitHub\eaglep3-reporting\EC\2017-03-11-refined-times.txt</v>
      </c>
      <c r="AI59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{"issue":{"subject":"","project_id":79,"tracker_id":40,"status_id":1,"priority_id":2,"assigned_to_id":23,"start_date":"2017-03-11","description":"","custom_fields":[{"id":1,"name":"Subdivision","value":"EC"},{"id":4,"name":"Milepost","value":"23.3312"},{"id":17,"name":"Train ID","value":"145-11"},{"id":16,"name":"Locomotive ID","value":"4009"},{"id":130,"name":"Impact","value":""},{"id":150,"name":"Time of Event (Mountain Time)","value":"09:51:53"},{"id":151,"name":"Denver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19"/>
        <v>start /low /b %USERPROFILE%\Documents\GitHub\eaglep3\Utilities\DownloadLogsFromS3.py --loco 4009 --day 2017-03-11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"%USERPROFILE%\AppData\Local\Temp\OnboardLogs"\RTDC4009\*4009*20170311* | grep -SE "(Enforcement Action)|(\[TIMEOUT)|(CHR.+\|PRM\|1\|D.+(SWITCH|SIGNAL).+UNKNOWN)" - &gt;&gt; 2017-03-11-UncaughtWiMAX.txt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698</v>
      </c>
      <c r="B60" s="7">
        <v>4010</v>
      </c>
      <c r="C60" s="21" t="s">
        <v>240</v>
      </c>
      <c r="D60" s="21" t="s">
        <v>262</v>
      </c>
      <c r="E60" s="13">
        <v>42805.418993055559</v>
      </c>
      <c r="F60" s="13">
        <v>42805.419849537036</v>
      </c>
      <c r="G60" s="7">
        <v>1</v>
      </c>
      <c r="H60" s="21" t="s">
        <v>192</v>
      </c>
      <c r="I60" s="13">
        <v>42805.451898148145</v>
      </c>
      <c r="J60" s="7">
        <v>0</v>
      </c>
      <c r="K60" s="98" t="str">
        <f t="shared" si="0"/>
        <v>4009/4010</v>
      </c>
      <c r="L60" s="21" t="str">
        <f>VLOOKUP(A60,'Trips&amp;Operators'!$C$1:$G$99999,5,FALSE)</f>
        <v>ROBINSON KADDIBA</v>
      </c>
      <c r="M60" s="6">
        <f t="shared" si="1"/>
        <v>3.2048611108621117E-2</v>
      </c>
      <c r="N60" s="7">
        <f t="shared" si="25"/>
        <v>46.149999996414408</v>
      </c>
      <c r="O60" s="7"/>
      <c r="P60" s="7"/>
      <c r="Q60" s="22"/>
      <c r="R60" s="22"/>
      <c r="S60" s="31">
        <f t="shared" si="26"/>
        <v>1</v>
      </c>
      <c r="T60" s="46" t="str">
        <f t="shared" si="3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4"/>
        <v>https://d0f6bd738d7f1b3e5a7ca70fe4ff75f0.us-east-1.aws.found.io/app/kibana#/discover/Steve-Slow-Train-Analysis-(2080s-and-2083s)?_g=(refreshInterval:(display:Off,pause:!f,section:0,value:0),time:(from:'2017-03-11T09:03:21-0700',mode:absolute,to:'2017-03-11T11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0" s="187" t="str">
        <f t="shared" si="5"/>
        <v>N</v>
      </c>
      <c r="X60" s="187">
        <f t="shared" si="27"/>
        <v>1</v>
      </c>
      <c r="Y60" s="62">
        <f t="shared" si="28"/>
        <v>23.3</v>
      </c>
      <c r="Z60" s="62">
        <f t="shared" si="29"/>
        <v>1.4999999999999999E-2</v>
      </c>
      <c r="AA60" s="62">
        <f t="shared" si="9"/>
        <v>23.285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0"/>
        <v>0146-11</v>
      </c>
      <c r="AE60" s="85" t="str">
        <f t="shared" si="11"/>
        <v>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 &amp; aws s3 cp s3://rtdc.mdm.uploadarchive.raw/RTDC4010/ "%USERPROFILE%\AppData\Local\Temp\OnboardLogs"\RTDC4010\2017-03-12 --exclude "*" --recursive --include "*20170312*" &amp; "%USERPROFILE%\Documents\GitHub\mrs-test-scripts\Headless Mode &amp; Sideloading\WalkAndUnGZ.bat" "%USERPROFILE%\AppData\Local\Temp\OnboardLogs"\RTDC4010\2017-03-12</v>
      </c>
      <c r="AF60" s="82" t="str">
        <f t="shared" si="12"/>
        <v>"C:\Program Files (x86)\AstroGrep\AstroGrep.exe" /e /r /s /spath="%USERPROFILE%\AppData\Local\Temp\OnboardLogs" /stypes="app*4010*20170311*" /stext=" 17:.+((SYSTEM_STATE.+slice.+state.+changed )|(ment ac)|(multiple cpu faults)|(system.+state.+changed )|(\[timeout)|(PRM\|1\|D)|(kpr)|(kdp)|(\|lc)|(penalty))"</v>
      </c>
      <c r="AG60" s="1" t="str">
        <f t="shared" si="13"/>
        <v>EC</v>
      </c>
      <c r="AH60" s="86" t="str">
        <f t="shared" si="17"/>
        <v>"%USERPROFILE%\Documents\GitHub\eaglep3\Utilities\RefineRTDCRunTimes.py" --tripid 146-11 --locoid 4010 --swversion DE.1.0.9.0 --startMP 204:233000 --initTime 2017-03-11T10:03:21 --startdatetime 2017-03-11T10:04:35 --delay 1 --endMP 204:150 --enddatetime 2017-03-11T10:50:44 --enforcementcount 0 &gt;&gt;C:\Users\stu\Documents\GitHub\eaglep3-reporting\EC\2017-03-11-refined-times.txt</v>
      </c>
      <c r="AI60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{"issue":{"subject":"","project_id":79,"tracker_id":40,"status_id":1,"priority_id":2,"assigned_to_id":23,"start_date":"2017-03-11","description":"","custom_fields":[{"id":1,"name":"Subdivision","value":"EC"},{"id":4,"name":"Milepost","value":"0.015"},{"id":17,"name":"Train ID","value":"146-11"},{"id":16,"name":"Locomotive ID","value":"4010"},{"id":130,"name":"Impact","value":""},{"id":150,"name":"Time of Event (Mountain Time)","value":"10:50:44"},{"id":151,"name":"Denver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19"/>
        <v>start /low /b %USERPROFILE%\Documents\GitHub\eaglep3\Utilities\DownloadLogsFromS3.py --loco 4010 --day 2017-03-11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"%USERPROFILE%\AppData\Local\Temp\OnboardLogs"\RTDC4010\*4010*20170311* | grep -SE "(Enforcement Action)|(\[TIMEOUT)|(CHR.+\|PRM\|1\|D.+(SWITCH|SIGNAL).+UNKNOWN)" - &gt;&gt; 2017-03-11-UncaughtWiMAX.txt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692</v>
      </c>
      <c r="B61" s="7">
        <v>4046</v>
      </c>
      <c r="C61" s="21" t="s">
        <v>240</v>
      </c>
      <c r="D61" s="21" t="s">
        <v>261</v>
      </c>
      <c r="E61" s="13">
        <v>42805.393148148149</v>
      </c>
      <c r="F61" s="13">
        <v>42805.394444444442</v>
      </c>
      <c r="G61" s="7">
        <v>1</v>
      </c>
      <c r="H61" s="21" t="s">
        <v>865</v>
      </c>
      <c r="I61" s="13">
        <v>42805.421030092592</v>
      </c>
      <c r="J61" s="7">
        <v>0</v>
      </c>
      <c r="K61" s="98" t="str">
        <f t="shared" si="0"/>
        <v>4045/4046</v>
      </c>
      <c r="L61" s="21" t="str">
        <f>VLOOKUP(A61,'Trips&amp;Operators'!$C$1:$G$99999,5,FALSE)</f>
        <v>MAELZER KURT</v>
      </c>
      <c r="M61" s="6">
        <f t="shared" si="1"/>
        <v>2.658564814919373E-2</v>
      </c>
      <c r="N61" s="7">
        <f t="shared" si="25"/>
        <v>38.283333334838971</v>
      </c>
      <c r="O61" s="7"/>
      <c r="P61" s="7"/>
      <c r="Q61" s="22"/>
      <c r="R61" s="22"/>
      <c r="S61" s="31">
        <f t="shared" si="26"/>
        <v>1</v>
      </c>
      <c r="T61" s="46" t="str">
        <f t="shared" si="3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4"/>
        <v>https://d0f6bd738d7f1b3e5a7ca70fe4ff75f0.us-east-1.aws.found.io/app/kibana#/discover/Steve-Slow-Train-Analysis-(2080s-and-2083s)?_g=(refreshInterval:(display:Off,pause:!f,section:0,value:0),time:(from:'2017-03-11T08:26:08-0700',mode:absolute,to:'2017-03-11T11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1" s="187" t="str">
        <f t="shared" si="5"/>
        <v>N</v>
      </c>
      <c r="X61" s="187">
        <f t="shared" si="27"/>
        <v>1</v>
      </c>
      <c r="Y61" s="62">
        <f t="shared" si="28"/>
        <v>4.7300000000000002E-2</v>
      </c>
      <c r="Z61" s="62">
        <f t="shared" si="29"/>
        <v>23.331800000000001</v>
      </c>
      <c r="AA61" s="62">
        <f t="shared" si="9"/>
        <v>23.284500000000001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0"/>
        <v>0147-11</v>
      </c>
      <c r="AE61" s="85" t="str">
        <f t="shared" si="11"/>
        <v>aws s3 cp s3://rtdc.mdm.uploadarchive.raw/RTDC4046/ "%USERPROFILE%\AppData\Local\Temp\OnboardLogs"\RTDC4046\2017-03-11 --exclude "*" --recursive --include "*20170311*" &amp; "%USERPROFILE%\Documents\GitHub\mrs-test-scripts\Headless Mode &amp; Sideloading\WalkAndUnGZ.bat" "%USERPROFILE%\AppData\Local\Temp\OnboardLogs"\RTDC4046\2017-03-11 &amp; aws s3 cp s3://rtdc.mdm.uploadarchive.raw/RTDC4046/ "%USERPROFILE%\AppData\Local\Temp\OnboardLogs"\RTDC4046\2017-03-12 --exclude "*" --recursive --include "*20170312*" &amp; "%USERPROFILE%\Documents\GitHub\mrs-test-scripts\Headless Mode &amp; Sideloading\WalkAndUnGZ.bat" "%USERPROFILE%\AppData\Local\Temp\OnboardLogs"\RTDC4046\2017-03-12</v>
      </c>
      <c r="AF61" s="82" t="str">
        <f t="shared" si="12"/>
        <v>"C:\Program Files (x86)\AstroGrep\AstroGrep.exe" /e /r /s /spath="%USERPROFILE%\AppData\Local\Temp\OnboardLogs" /stypes="app*4046*20170311*" /stext=" 17:.+((SYSTEM_STATE.+slice.+state.+changed )|(ment ac)|(multiple cpu faults)|(system.+state.+changed )|(\[timeout)|(PRM\|1\|D)|(kpr)|(kdp)|(\|lc)|(penalty))"</v>
      </c>
      <c r="AG61" s="1" t="str">
        <f t="shared" si="13"/>
        <v>EC</v>
      </c>
      <c r="AH61" s="86" t="str">
        <f t="shared" si="17"/>
        <v>"%USERPROFILE%\Documents\GitHub\eaglep3\Utilities\RefineRTDCRunTimes.py" --tripid 147-11 --locoid 4046 --swversion DE.1.0.9.0 --startMP 204:473 --initTime 2017-03-11T09:26:08 --startdatetime 2017-03-11T09:28:00 --delay 1 --endMP 204:233318 --enddatetime 2017-03-11T10:06:17 --enforcementcount 0 &gt;&gt;C:\Users\stu\Documents\GitHub\eaglep3-reporting\EC\2017-03-11-refined-times.txt</v>
      </c>
      <c r="AI61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{"issue":{"subject":"","project_id":79,"tracker_id":40,"status_id":1,"priority_id":2,"assigned_to_id":23,"start_date":"2017-03-11","description":"","custom_fields":[{"id":1,"name":"Subdivision","value":"EC"},{"id":4,"name":"Milepost","value":"23.3318"},{"id":17,"name":"Train ID","value":"147-11"},{"id":16,"name":"Locomotive ID","value":"4046"},{"id":130,"name":"Impact","value":""},{"id":150,"name":"Time of Event (Mountain Time)","value":"10:06:17"},{"id":151,"name":"Denver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19"/>
        <v>start /low /b %USERPROFILE%\Documents\GitHub\eaglep3\Utilities\DownloadLogsFromS3.py --loco 4046 --day 2017-03-11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"%USERPROFILE%\AppData\Local\Temp\OnboardLogs"\RTDC4046\*4046*20170311* | grep -SE "(Enforcement Action)|(\[TIMEOUT)|(CHR.+\|PRM\|1\|D.+(SWITCH|SIGNAL).+UNKNOWN)" - &gt;&gt; 2017-03-11-UncaughtWiMAX.txt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700</v>
      </c>
      <c r="B62" s="7">
        <v>4045</v>
      </c>
      <c r="C62" s="21" t="s">
        <v>240</v>
      </c>
      <c r="D62" s="21" t="s">
        <v>862</v>
      </c>
      <c r="E62" s="13">
        <v>42805.426400462966</v>
      </c>
      <c r="F62" s="13">
        <v>42805.427118055559</v>
      </c>
      <c r="G62" s="7">
        <v>1</v>
      </c>
      <c r="H62" s="21" t="s">
        <v>192</v>
      </c>
      <c r="I62" s="13">
        <v>42805.462569444448</v>
      </c>
      <c r="J62" s="7">
        <v>0</v>
      </c>
      <c r="K62" s="98" t="str">
        <f t="shared" si="0"/>
        <v>4045/4046</v>
      </c>
      <c r="L62" s="21" t="str">
        <f>VLOOKUP(A62,'Trips&amp;Operators'!$C$1:$G$99999,5,FALSE)</f>
        <v>MAELZER KURT</v>
      </c>
      <c r="M62" s="6">
        <f t="shared" si="1"/>
        <v>3.5451388888759539E-2</v>
      </c>
      <c r="N62" s="7">
        <f t="shared" si="25"/>
        <v>51.049999999813735</v>
      </c>
      <c r="O62" s="7"/>
      <c r="P62" s="7"/>
      <c r="Q62" s="22"/>
      <c r="R62" s="22"/>
      <c r="S62" s="31">
        <f t="shared" si="26"/>
        <v>1</v>
      </c>
      <c r="T62" s="46" t="str">
        <f t="shared" si="3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4"/>
        <v>https://d0f6bd738d7f1b3e5a7ca70fe4ff75f0.us-east-1.aws.found.io/app/kibana#/discover/Steve-Slow-Train-Analysis-(2080s-and-2083s)?_g=(refreshInterval:(display:Off,pause:!f,section:0,value:0),time:(from:'2017-03-11T09:14:01-0700',mode:absolute,to:'2017-03-11T12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2" s="187" t="str">
        <f t="shared" si="5"/>
        <v>N</v>
      </c>
      <c r="X62" s="187">
        <f t="shared" si="27"/>
        <v>1</v>
      </c>
      <c r="Y62" s="62">
        <f t="shared" si="28"/>
        <v>23.299800000000001</v>
      </c>
      <c r="Z62" s="62">
        <f t="shared" si="29"/>
        <v>1.4999999999999999E-2</v>
      </c>
      <c r="AA62" s="62">
        <f t="shared" si="9"/>
        <v>23.284800000000001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0"/>
        <v>0148-11</v>
      </c>
      <c r="AE62" s="85" t="str">
        <f t="shared" si="11"/>
        <v>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 &amp; aws s3 cp s3://rtdc.mdm.uploadarchive.raw/RTDC4045/ "%USERPROFILE%\AppData\Local\Temp\OnboardLogs"\RTDC4045\2017-03-12 --exclude "*" --recursive --include "*20170312*" &amp; "%USERPROFILE%\Documents\GitHub\mrs-test-scripts\Headless Mode &amp; Sideloading\WalkAndUnGZ.bat" "%USERPROFILE%\AppData\Local\Temp\OnboardLogs"\RTDC4045\2017-03-12</v>
      </c>
      <c r="AF62" s="82" t="str">
        <f t="shared" si="12"/>
        <v>"C:\Program Files (x86)\AstroGrep\AstroGrep.exe" /e /r /s /spath="%USERPROFILE%\AppData\Local\Temp\OnboardLogs" /stypes="app*4045*20170311*" /stext=" 18:.+((SYSTEM_STATE.+slice.+state.+changed )|(ment ac)|(multiple cpu faults)|(system.+state.+changed )|(\[timeout)|(PRM\|1\|D)|(kpr)|(kdp)|(\|lc)|(penalty))"</v>
      </c>
      <c r="AG62" s="1" t="str">
        <f t="shared" si="13"/>
        <v>EC</v>
      </c>
      <c r="AH62" s="86" t="str">
        <f t="shared" si="17"/>
        <v>"%USERPROFILE%\Documents\GitHub\eaglep3\Utilities\RefineRTDCRunTimes.py" --tripid 148-11 --locoid 4045 --swversion DE.1.0.9.0 --startMP 204:232998 --initTime 2017-03-11T10:14:01 --startdatetime 2017-03-11T10:15:03 --delay 1 --endMP 204:150 --enddatetime 2017-03-11T11:06:06 --enforcementcount 0 &gt;&gt;C:\Users\stu\Documents\GitHub\eaglep3-reporting\EC\2017-03-11-refined-times.txt</v>
      </c>
      <c r="AI62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{"issue":{"subject":"","project_id":79,"tracker_id":40,"status_id":1,"priority_id":2,"assigned_to_id":23,"start_date":"2017-03-11","description":"","custom_fields":[{"id":1,"name":"Subdivision","value":"EC"},{"id":4,"name":"Milepost","value":"0.015"},{"id":17,"name":"Train ID","value":"148-11"},{"id":16,"name":"Locomotive ID","value":"4045"},{"id":130,"name":"Impact","value":""},{"id":150,"name":"Time of Event (Mountain Time)","value":"11:06:06"},{"id":151,"name":"Denver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19"/>
        <v>start /low /b %USERPROFILE%\Documents\GitHub\eaglep3\Utilities\DownloadLogsFromS3.py --loco 4045 --day 2017-03-11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"%USERPROFILE%\AppData\Local\Temp\OnboardLogs"\RTDC4045\*4045*20170311* | grep -SE "(Enforcement Action)|(\[TIMEOUT)|(CHR.+\|PRM\|1\|D.+(SWITCH|SIGNAL).+UNKNOWN)" - &gt;&gt; 2017-03-11-UncaughtWiMAX.txt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694</v>
      </c>
      <c r="B63" s="7">
        <v>4040</v>
      </c>
      <c r="C63" s="21" t="s">
        <v>240</v>
      </c>
      <c r="D63" s="21" t="s">
        <v>414</v>
      </c>
      <c r="E63" s="13">
        <v>42805.404560185183</v>
      </c>
      <c r="F63" s="13">
        <v>42805.405300925922</v>
      </c>
      <c r="G63" s="7">
        <v>1</v>
      </c>
      <c r="H63" s="21" t="s">
        <v>232</v>
      </c>
      <c r="I63" s="13">
        <v>42805.43241898148</v>
      </c>
      <c r="J63" s="7">
        <v>0</v>
      </c>
      <c r="K63" s="98" t="str">
        <f t="shared" si="0"/>
        <v>4039/4040</v>
      </c>
      <c r="L63" s="21" t="str">
        <f>VLOOKUP(A63,'Trips&amp;Operators'!$C$1:$G$99999,5,FALSE)</f>
        <v>DAVIS WENDY</v>
      </c>
      <c r="M63" s="6">
        <f t="shared" si="1"/>
        <v>2.7118055557366461E-2</v>
      </c>
      <c r="N63" s="7">
        <f t="shared" si="25"/>
        <v>39.050000002607703</v>
      </c>
      <c r="O63" s="7"/>
      <c r="P63" s="7"/>
      <c r="Q63" s="22"/>
      <c r="R63" s="22"/>
      <c r="S63" s="31">
        <f t="shared" si="26"/>
        <v>1</v>
      </c>
      <c r="T63" s="46" t="str">
        <f t="shared" si="3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4"/>
        <v>https://d0f6bd738d7f1b3e5a7ca70fe4ff75f0.us-east-1.aws.found.io/app/kibana#/discover/Steve-Slow-Train-Analysis-(2080s-and-2083s)?_g=(refreshInterval:(display:Off,pause:!f,section:0,value:0),time:(from:'2017-03-11T08:42:34-0700',mode:absolute,to:'2017-03-11T11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3" s="187" t="str">
        <f t="shared" si="5"/>
        <v>N</v>
      </c>
      <c r="X63" s="187">
        <f t="shared" si="27"/>
        <v>1</v>
      </c>
      <c r="Y63" s="62">
        <f t="shared" si="28"/>
        <v>4.8399999999999999E-2</v>
      </c>
      <c r="Z63" s="62">
        <f t="shared" si="29"/>
        <v>23.331</v>
      </c>
      <c r="AA63" s="62">
        <f t="shared" si="9"/>
        <v>23.282599999999999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0"/>
        <v>0149-11</v>
      </c>
      <c r="AE63" s="85" t="str">
        <f t="shared" si="11"/>
        <v>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 &amp; aws s3 cp s3://rtdc.mdm.uploadarchive.raw/RTDC4040/ "%USERPROFILE%\AppData\Local\Temp\OnboardLogs"\RTDC4040\2017-03-12 --exclude "*" --recursive --include "*20170312*" &amp; "%USERPROFILE%\Documents\GitHub\mrs-test-scripts\Headless Mode &amp; Sideloading\WalkAndUnGZ.bat" "%USERPROFILE%\AppData\Local\Temp\OnboardLogs"\RTDC4040\2017-03-12</v>
      </c>
      <c r="AF63" s="82" t="str">
        <f t="shared" si="12"/>
        <v>"C:\Program Files (x86)\AstroGrep\AstroGrep.exe" /e /r /s /spath="%USERPROFILE%\AppData\Local\Temp\OnboardLogs" /stypes="app*4040*20170311*" /stext=" 17:.+((SYSTEM_STATE.+slice.+state.+changed )|(ment ac)|(multiple cpu faults)|(system.+state.+changed )|(\[timeout)|(PRM\|1\|D)|(kpr)|(kdp)|(\|lc)|(penalty))"</v>
      </c>
      <c r="AG63" s="1" t="str">
        <f t="shared" si="13"/>
        <v>EC</v>
      </c>
      <c r="AH63" s="86" t="str">
        <f t="shared" si="17"/>
        <v>"%USERPROFILE%\Documents\GitHub\eaglep3\Utilities\RefineRTDCRunTimes.py" --tripid 149-11 --locoid 4040 --swversion DE.1.0.9.0 --startMP 204:484 --initTime 2017-03-11T09:42:34 --startdatetime 2017-03-11T09:43:38 --delay 1 --endMP 204:233310 --enddatetime 2017-03-11T10:22:41 --enforcementcount 0 &gt;&gt;C:\Users\stu\Documents\GitHub\eaglep3-reporting\EC\2017-03-11-refined-times.txt</v>
      </c>
      <c r="AI63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{"issue":{"subject":"","project_id":79,"tracker_id":40,"status_id":1,"priority_id":2,"assigned_to_id":23,"start_date":"2017-03-11","description":"","custom_fields":[{"id":1,"name":"Subdivision","value":"EC"},{"id":4,"name":"Milepost","value":"23.331"},{"id":17,"name":"Train ID","value":"149-11"},{"id":16,"name":"Locomotive ID","value":"4040"},{"id":130,"name":"Impact","value":""},{"id":150,"name":"Time of Event (Mountain Time)","value":"10:22:41"},{"id":151,"name":"Denver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19"/>
        <v>start /low /b %USERPROFILE%\Documents\GitHub\eaglep3\Utilities\DownloadLogsFromS3.py --loco 4040 --day 2017-03-11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"%USERPROFILE%\AppData\Local\Temp\OnboardLogs"\RTDC4040\*4040*20170311* | grep -SE "(Enforcement Action)|(\[TIMEOUT)|(CHR.+\|PRM\|1\|D.+(SWITCH|SIGNAL).+UNKNOWN)" - &gt;&gt; 2017-03-11-UncaughtWiMAX.txt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705</v>
      </c>
      <c r="B64" s="7">
        <v>4039</v>
      </c>
      <c r="C64" s="21" t="s">
        <v>240</v>
      </c>
      <c r="D64" s="21" t="s">
        <v>242</v>
      </c>
      <c r="E64" s="13">
        <v>42805.44226851852</v>
      </c>
      <c r="F64" s="13">
        <v>42805.443148148152</v>
      </c>
      <c r="G64" s="7">
        <v>1</v>
      </c>
      <c r="H64" s="21" t="s">
        <v>192</v>
      </c>
      <c r="I64" s="13">
        <v>42805.474236111113</v>
      </c>
      <c r="J64" s="7">
        <v>0</v>
      </c>
      <c r="K64" s="98" t="str">
        <f t="shared" si="0"/>
        <v>4039/4040</v>
      </c>
      <c r="L64" s="21" t="str">
        <f>VLOOKUP(A64,'Trips&amp;Operators'!$C$1:$G$99999,5,FALSE)</f>
        <v>DAVIS WENDY</v>
      </c>
      <c r="M64" s="6">
        <f t="shared" si="1"/>
        <v>3.1087962961464655E-2</v>
      </c>
      <c r="N64" s="7">
        <f t="shared" si="25"/>
        <v>44.766666664509103</v>
      </c>
      <c r="O64" s="7"/>
      <c r="P64" s="7"/>
      <c r="Q64" s="22"/>
      <c r="R64" s="22"/>
      <c r="S64" s="31">
        <f t="shared" si="26"/>
        <v>1</v>
      </c>
      <c r="T64" s="46" t="str">
        <f t="shared" si="3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4"/>
        <v>https://d0f6bd738d7f1b3e5a7ca70fe4ff75f0.us-east-1.aws.found.io/app/kibana#/discover/Steve-Slow-Train-Analysis-(2080s-and-2083s)?_g=(refreshInterval:(display:Off,pause:!f,section:0,value:0),time:(from:'2017-03-11T09:36:52-0700',mode:absolute,to:'2017-03-11T12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4" s="187" t="str">
        <f t="shared" si="5"/>
        <v>N</v>
      </c>
      <c r="X64" s="187">
        <f t="shared" si="27"/>
        <v>1</v>
      </c>
      <c r="Y64" s="62">
        <f t="shared" si="28"/>
        <v>23.299399999999999</v>
      </c>
      <c r="Z64" s="62">
        <f t="shared" si="29"/>
        <v>1.4999999999999999E-2</v>
      </c>
      <c r="AA64" s="62">
        <f t="shared" si="9"/>
        <v>23.284399999999998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0"/>
        <v>0150-11</v>
      </c>
      <c r="AE64" s="85" t="str">
        <f t="shared" si="11"/>
        <v>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 &amp; aws s3 cp s3://rtdc.mdm.uploadarchive.raw/RTDC4039/ "%USERPROFILE%\AppData\Local\Temp\OnboardLogs"\RTDC4039\2017-03-12 --exclude "*" --recursive --include "*20170312*" &amp; "%USERPROFILE%\Documents\GitHub\mrs-test-scripts\Headless Mode &amp; Sideloading\WalkAndUnGZ.bat" "%USERPROFILE%\AppData\Local\Temp\OnboardLogs"\RTDC4039\2017-03-12</v>
      </c>
      <c r="AF64" s="82" t="str">
        <f t="shared" si="12"/>
        <v>"C:\Program Files (x86)\AstroGrep\AstroGrep.exe" /e /r /s /spath="%USERPROFILE%\AppData\Local\Temp\OnboardLogs" /stypes="app*4039*20170311*" /stext=" 18:.+((SYSTEM_STATE.+slice.+state.+changed )|(ment ac)|(multiple cpu faults)|(system.+state.+changed )|(\[timeout)|(PRM\|1\|D)|(kpr)|(kdp)|(\|lc)|(penalty))"</v>
      </c>
      <c r="AG64" s="1" t="str">
        <f t="shared" si="13"/>
        <v>EC</v>
      </c>
      <c r="AH64" s="86" t="str">
        <f t="shared" si="17"/>
        <v>"%USERPROFILE%\Documents\GitHub\eaglep3\Utilities\RefineRTDCRunTimes.py" --tripid 150-11 --locoid 4039 --swversion DE.1.0.9.0 --startMP 204:232994 --initTime 2017-03-11T10:36:52 --startdatetime 2017-03-11T10:38:08 --delay 1 --endMP 204:150 --enddatetime 2017-03-11T11:22:54 --enforcementcount 0 &gt;&gt;C:\Users\stu\Documents\GitHub\eaglep3-reporting\EC\2017-03-11-refined-times.txt</v>
      </c>
      <c r="AI64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{"issue":{"subject":"","project_id":79,"tracker_id":40,"status_id":1,"priority_id":2,"assigned_to_id":23,"start_date":"2017-03-11","description":"","custom_fields":[{"id":1,"name":"Subdivision","value":"EC"},{"id":4,"name":"Milepost","value":"0.015"},{"id":17,"name":"Train ID","value":"150-11"},{"id":16,"name":"Locomotive ID","value":"4039"},{"id":130,"name":"Impact","value":""},{"id":150,"name":"Time of Event (Mountain Time)","value":"11:22:54"},{"id":151,"name":"Denver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19"/>
        <v>start /low /b %USERPROFILE%\Documents\GitHub\eaglep3\Utilities\DownloadLogsFromS3.py --loco 4039 --day 2017-03-11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"%USERPROFILE%\AppData\Local\Temp\OnboardLogs"\RTDC4039\*4039*20170311* | grep -SE "(Enforcement Action)|(\[TIMEOUT)|(CHR.+\|PRM\|1\|D.+(SWITCH|SIGNAL).+UNKNOWN)" - &gt;&gt; 2017-03-11-UncaughtWiMAX.txt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696</v>
      </c>
      <c r="B65" s="7">
        <v>4006</v>
      </c>
      <c r="C65" s="21" t="s">
        <v>240</v>
      </c>
      <c r="D65" s="21" t="s">
        <v>226</v>
      </c>
      <c r="E65" s="13">
        <v>42805.412974537037</v>
      </c>
      <c r="F65" s="13">
        <v>42805.413842592592</v>
      </c>
      <c r="G65" s="7">
        <v>1</v>
      </c>
      <c r="H65" s="21" t="s">
        <v>247</v>
      </c>
      <c r="I65" s="13">
        <v>42805.442245370374</v>
      </c>
      <c r="J65" s="7">
        <v>0</v>
      </c>
      <c r="K65" s="98" t="str">
        <f t="shared" si="0"/>
        <v>4005/4006</v>
      </c>
      <c r="L65" s="21" t="str">
        <f>VLOOKUP(A65,'Trips&amp;Operators'!$C$1:$G$99999,5,FALSE)</f>
        <v>SANTIZO D. EDY</v>
      </c>
      <c r="M65" s="6">
        <f t="shared" si="1"/>
        <v>2.8402777781593613E-2</v>
      </c>
      <c r="N65" s="7">
        <f t="shared" si="25"/>
        <v>40.900000005494803</v>
      </c>
      <c r="O65" s="7"/>
      <c r="P65" s="7"/>
      <c r="Q65" s="22"/>
      <c r="R65" s="22"/>
      <c r="S65" s="31">
        <f t="shared" si="26"/>
        <v>1</v>
      </c>
      <c r="T65" s="46" t="str">
        <f t="shared" si="3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4"/>
        <v>https://d0f6bd738d7f1b3e5a7ca70fe4ff75f0.us-east-1.aws.found.io/app/kibana#/discover/Steve-Slow-Train-Analysis-(2080s-and-2083s)?_g=(refreshInterval:(display:Off,pause:!f,section:0,value:0),time:(from:'2017-03-11T08:54:41-0700',mode:absolute,to:'2017-03-11T11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5" s="187" t="str">
        <f t="shared" si="5"/>
        <v>N</v>
      </c>
      <c r="X65" s="187">
        <f t="shared" si="27"/>
        <v>1</v>
      </c>
      <c r="Y65" s="62">
        <f t="shared" si="28"/>
        <v>4.4600000000000001E-2</v>
      </c>
      <c r="Z65" s="62">
        <f t="shared" si="29"/>
        <v>23.328900000000001</v>
      </c>
      <c r="AA65" s="62">
        <f t="shared" si="9"/>
        <v>23.284300000000002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0"/>
        <v>0151-11</v>
      </c>
      <c r="AE65" s="85" t="str">
        <f t="shared" si="11"/>
        <v>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 &amp; 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</v>
      </c>
      <c r="AF65" s="82" t="str">
        <f t="shared" si="12"/>
        <v>"C:\Program Files (x86)\AstroGrep\AstroGrep.exe" /e /r /s /spath="%USERPROFILE%\AppData\Local\Temp\OnboardLogs" /stypes="app*4006*20170311*" /stext=" 17:.+((SYSTEM_STATE.+slice.+state.+changed )|(ment ac)|(multiple cpu faults)|(system.+state.+changed )|(\[timeout)|(PRM\|1\|D)|(kpr)|(kdp)|(\|lc)|(penalty))"</v>
      </c>
      <c r="AG65" s="1" t="str">
        <f t="shared" si="13"/>
        <v>EC</v>
      </c>
      <c r="AH65" s="86" t="str">
        <f t="shared" si="17"/>
        <v>"%USERPROFILE%\Documents\GitHub\eaglep3\Utilities\RefineRTDCRunTimes.py" --tripid 151-11 --locoid 4006 --swversion DE.1.0.9.0 --startMP 204:446 --initTime 2017-03-11T09:54:41 --startdatetime 2017-03-11T09:55:56 --delay 1 --endMP 204:233289 --enddatetime 2017-03-11T10:36:50 --enforcementcount 0 &gt;&gt;C:\Users\stu\Documents\GitHub\eaglep3-reporting\EC\2017-03-11-refined-times.txt</v>
      </c>
      <c r="AI65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{"issue":{"subject":"","project_id":79,"tracker_id":40,"status_id":1,"priority_id":2,"assigned_to_id":23,"start_date":"2017-03-11","description":"","custom_fields":[{"id":1,"name":"Subdivision","value":"EC"},{"id":4,"name":"Milepost","value":"23.3289"},{"id":17,"name":"Train ID","value":"151-11"},{"id":16,"name":"Locomotive ID","value":"4006"},{"id":130,"name":"Impact","value":""},{"id":150,"name":"Time of Event (Mountain Time)","value":"10:36:50"},{"id":151,"name":"Denver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19"/>
        <v>start /low /b %USERPROFILE%\Documents\GitHub\eaglep3\Utilities\DownloadLogsFromS3.py --loco 4006 --day 2017-03-11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"%USERPROFILE%\AppData\Local\Temp\OnboardLogs"\RTDC4006\*4006*20170311* | grep -SE "(Enforcement Action)|(\[TIMEOUT)|(CHR.+\|PRM\|1\|D.+(SWITCH|SIGNAL).+UNKNOWN)" - &gt;&gt; 2017-03-11-UncaughtWiMAX.txt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708</v>
      </c>
      <c r="B66" s="7">
        <v>4005</v>
      </c>
      <c r="C66" s="21" t="s">
        <v>240</v>
      </c>
      <c r="D66" s="21" t="s">
        <v>866</v>
      </c>
      <c r="E66" s="13">
        <v>42805.443449074075</v>
      </c>
      <c r="F66" s="13">
        <v>42805.444351851853</v>
      </c>
      <c r="G66" s="7">
        <v>1</v>
      </c>
      <c r="H66" s="21" t="s">
        <v>265</v>
      </c>
      <c r="I66" s="13">
        <v>42805.483402777776</v>
      </c>
      <c r="J66" s="7">
        <v>0</v>
      </c>
      <c r="K66" s="98" t="str">
        <f t="shared" si="0"/>
        <v>4005/4006</v>
      </c>
      <c r="L66" s="21" t="str">
        <f>VLOOKUP(A66,'Trips&amp;Operators'!$C$1:$G$99999,5,FALSE)</f>
        <v>SANTIZO D. EDY</v>
      </c>
      <c r="M66" s="6">
        <f t="shared" si="1"/>
        <v>3.9050925923220348E-2</v>
      </c>
      <c r="N66" s="7">
        <f t="shared" si="25"/>
        <v>56.233333329437301</v>
      </c>
      <c r="O66" s="7"/>
      <c r="P66" s="7"/>
      <c r="Q66" s="22"/>
      <c r="R66" s="22"/>
      <c r="S66" s="31">
        <f t="shared" si="26"/>
        <v>1</v>
      </c>
      <c r="T66" s="46" t="str">
        <f t="shared" si="3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4"/>
        <v>https://d0f6bd738d7f1b3e5a7ca70fe4ff75f0.us-east-1.aws.found.io/app/kibana#/discover/Steve-Slow-Train-Analysis-(2080s-and-2083s)?_g=(refreshInterval:(display:Off,pause:!f,section:0,value:0),time:(from:'2017-03-11T09:38:34-0700',mode:absolute,to:'2017-03-11T12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6" s="187" t="str">
        <f t="shared" si="5"/>
        <v>N</v>
      </c>
      <c r="X66" s="187">
        <f t="shared" si="27"/>
        <v>1</v>
      </c>
      <c r="Y66" s="62">
        <f t="shared" si="28"/>
        <v>23.2973</v>
      </c>
      <c r="Z66" s="62">
        <f t="shared" si="29"/>
        <v>1.61E-2</v>
      </c>
      <c r="AA66" s="62">
        <f t="shared" si="9"/>
        <v>23.281199999999998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0"/>
        <v>0152-11</v>
      </c>
      <c r="AE66" s="85" t="str">
        <f t="shared" si="11"/>
        <v>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 &amp; 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</v>
      </c>
      <c r="AF66" s="82" t="str">
        <f t="shared" si="12"/>
        <v>"C:\Program Files (x86)\AstroGrep\AstroGrep.exe" /e /r /s /spath="%USERPROFILE%\AppData\Local\Temp\OnboardLogs" /stypes="app*4005*20170311*" /stext=" 18:.+((SYSTEM_STATE.+slice.+state.+changed )|(ment ac)|(multiple cpu faults)|(system.+state.+changed )|(\[timeout)|(PRM\|1\|D)|(kpr)|(kdp)|(\|lc)|(penalty))"</v>
      </c>
      <c r="AG66" s="1" t="str">
        <f t="shared" si="13"/>
        <v>EC</v>
      </c>
      <c r="AH66" s="86" t="str">
        <f t="shared" si="17"/>
        <v>"%USERPROFILE%\Documents\GitHub\eaglep3\Utilities\RefineRTDCRunTimes.py" --tripid 152-11 --locoid 4005 --swversion DE.1.0.9.0 --startMP 204:232973 --initTime 2017-03-11T10:38:34 --startdatetime 2017-03-11T10:39:52 --delay 1 --endMP 204:161 --enddatetime 2017-03-11T11:36:06 --enforcementcount 0 &gt;&gt;C:\Users\stu\Documents\GitHub\eaglep3-reporting\EC\2017-03-11-refined-times.txt</v>
      </c>
      <c r="AI66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{"issue":{"subject":"","project_id":79,"tracker_id":40,"status_id":1,"priority_id":2,"assigned_to_id":23,"start_date":"2017-03-11","description":"","custom_fields":[{"id":1,"name":"Subdivision","value":"EC"},{"id":4,"name":"Milepost","value":"0.0161"},{"id":17,"name":"Train ID","value":"152-11"},{"id":16,"name":"Locomotive ID","value":"4005"},{"id":130,"name":"Impact","value":""},{"id":150,"name":"Time of Event (Mountain Time)","value":"11:36:06"},{"id":151,"name":"Denver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19"/>
        <v>start /low /b %USERPROFILE%\Documents\GitHub\eaglep3\Utilities\DownloadLogsFromS3.py --loco 4005 --day 2017-03-11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"%USERPROFILE%\AppData\Local\Temp\OnboardLogs"\RTDC4005\*4005*20170311* | grep -SE "(Enforcement Action)|(\[TIMEOUT)|(CHR.+\|PRM\|1\|D.+(SWITCH|SIGNAL).+UNKNOWN)" - &gt;&gt; 2017-03-11-UncaughtWiMAX.txt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699</v>
      </c>
      <c r="B67" s="7">
        <v>4029</v>
      </c>
      <c r="C67" s="21" t="s">
        <v>240</v>
      </c>
      <c r="D67" s="21" t="s">
        <v>493</v>
      </c>
      <c r="E67" s="13">
        <v>42805.425011574072</v>
      </c>
      <c r="F67" s="13">
        <v>42805.425902777781</v>
      </c>
      <c r="G67" s="7">
        <v>1</v>
      </c>
      <c r="H67" s="21" t="s">
        <v>553</v>
      </c>
      <c r="I67" s="13">
        <v>42805.452638888892</v>
      </c>
      <c r="J67" s="7">
        <v>0</v>
      </c>
      <c r="K67" s="98" t="str">
        <f t="shared" si="0"/>
        <v>4029/4030</v>
      </c>
      <c r="L67" s="21" t="str">
        <f>VLOOKUP(A67,'Trips&amp;Operators'!$C$1:$G$99999,5,FALSE)</f>
        <v>LOZA FIDEL</v>
      </c>
      <c r="M67" s="6">
        <f t="shared" si="1"/>
        <v>2.6736111110949423E-2</v>
      </c>
      <c r="N67" s="7">
        <f t="shared" si="25"/>
        <v>38.499999999767169</v>
      </c>
      <c r="O67" s="7"/>
      <c r="P67" s="7"/>
      <c r="Q67" s="22"/>
      <c r="R67" s="22"/>
      <c r="S67" s="31">
        <f t="shared" si="26"/>
        <v>1</v>
      </c>
      <c r="T67" s="46" t="str">
        <f t="shared" si="3"/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4"/>
        <v>https://d0f6bd738d7f1b3e5a7ca70fe4ff75f0.us-east-1.aws.found.io/app/kibana#/discover/Steve-Slow-Train-Analysis-(2080s-and-2083s)?_g=(refreshInterval:(display:Off,pause:!f,section:0,value:0),time:(from:'2017-03-11T09:12:01-0700',mode:absolute,to:'2017-03-11T11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7" s="187" t="str">
        <f t="shared" si="5"/>
        <v>N</v>
      </c>
      <c r="X67" s="187">
        <f t="shared" si="27"/>
        <v>1</v>
      </c>
      <c r="Y67" s="62">
        <f t="shared" si="28"/>
        <v>4.6399999999999997E-2</v>
      </c>
      <c r="Z67" s="62">
        <f t="shared" si="29"/>
        <v>23.333100000000002</v>
      </c>
      <c r="AA67" s="62">
        <f t="shared" si="9"/>
        <v>23.286700000000003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0"/>
        <v>0153-11</v>
      </c>
      <c r="AE67" s="85" t="str">
        <f t="shared" si="11"/>
        <v>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 &amp; aws s3 cp s3://rtdc.mdm.uploadarchive.raw/RTDC4029/ "%USERPROFILE%\AppData\Local\Temp\OnboardLogs"\RTDC4029\2017-03-12 --exclude "*" --recursive --include "*20170312*" &amp; "%USERPROFILE%\Documents\GitHub\mrs-test-scripts\Headless Mode &amp; Sideloading\WalkAndUnGZ.bat" "%USERPROFILE%\AppData\Local\Temp\OnboardLogs"\RTDC4029\2017-03-12</v>
      </c>
      <c r="AF67" s="82" t="str">
        <f t="shared" si="12"/>
        <v>"C:\Program Files (x86)\AstroGrep\AstroGrep.exe" /e /r /s /spath="%USERPROFILE%\AppData\Local\Temp\OnboardLogs" /stypes="app*4029*20170311*" /stext=" 17:.+((SYSTEM_STATE.+slice.+state.+changed )|(ment ac)|(multiple cpu faults)|(system.+state.+changed )|(\[timeout)|(PRM\|1\|D)|(kpr)|(kdp)|(\|lc)|(penalty))"</v>
      </c>
      <c r="AG67" s="1" t="str">
        <f t="shared" si="13"/>
        <v>EC</v>
      </c>
      <c r="AH67" s="86" t="str">
        <f t="shared" si="17"/>
        <v>"%USERPROFILE%\Documents\GitHub\eaglep3\Utilities\RefineRTDCRunTimes.py" --tripid 153-11 --locoid 4029 --swversion DE.1.0.9.0 --startMP 204:464 --initTime 2017-03-11T10:12:01 --startdatetime 2017-03-11T10:13:18 --delay 1 --endMP 204:233331 --enddatetime 2017-03-11T10:51:48 --enforcementcount 0 &gt;&gt;C:\Users\stu\Documents\GitHub\eaglep3-reporting\EC\2017-03-11-refined-times.txt</v>
      </c>
      <c r="AI67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{"issue":{"subject":"","project_id":79,"tracker_id":40,"status_id":1,"priority_id":2,"assigned_to_id":23,"start_date":"2017-03-11","description":"","custom_fields":[{"id":1,"name":"Subdivision","value":"EC"},{"id":4,"name":"Milepost","value":"23.3331"},{"id":17,"name":"Train ID","value":"153-11"},{"id":16,"name":"Locomotive ID","value":"4029"},{"id":130,"name":"Impact","value":""},{"id":150,"name":"Time of Event (Mountain Time)","value":"10:51:48"},{"id":151,"name":"Denver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19"/>
        <v>start /low /b %USERPROFILE%\Documents\GitHub\eaglep3\Utilities\DownloadLogsFromS3.py --loco 4029 --day 2017-03-11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"%USERPROFILE%\AppData\Local\Temp\OnboardLogs"\RTDC4029\*4029*20170311* | grep -SE "(Enforcement Action)|(\[TIMEOUT)|(CHR.+\|PRM\|1\|D.+(SWITCH|SIGNAL).+UNKNOWN)" - &gt;&gt; 2017-03-11-UncaughtWiMAX.txt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714</v>
      </c>
      <c r="B68" s="7">
        <v>4030</v>
      </c>
      <c r="C68" s="21" t="s">
        <v>240</v>
      </c>
      <c r="D68" s="21" t="s">
        <v>867</v>
      </c>
      <c r="E68" s="13">
        <v>42805.459502314814</v>
      </c>
      <c r="F68" s="13">
        <v>42805.460578703707</v>
      </c>
      <c r="G68" s="7">
        <v>1</v>
      </c>
      <c r="H68" s="21" t="s">
        <v>561</v>
      </c>
      <c r="I68" s="13">
        <v>42805.492893518516</v>
      </c>
      <c r="J68" s="7">
        <v>0</v>
      </c>
      <c r="K68" s="98" t="str">
        <f t="shared" si="0"/>
        <v>4029/4030</v>
      </c>
      <c r="L68" s="21" t="str">
        <f>VLOOKUP(A68,'Trips&amp;Operators'!$C$1:$G$99999,5,FALSE)</f>
        <v>LOZA FIDEL</v>
      </c>
      <c r="M68" s="6">
        <f t="shared" si="1"/>
        <v>3.2314814809069503E-2</v>
      </c>
      <c r="N68" s="7">
        <f t="shared" si="25"/>
        <v>46.533333325060084</v>
      </c>
      <c r="O68" s="7"/>
      <c r="P68" s="7"/>
      <c r="Q68" s="22"/>
      <c r="R68" s="22"/>
      <c r="S68" s="31">
        <f t="shared" si="26"/>
        <v>1</v>
      </c>
      <c r="T68" s="46" t="str">
        <f t="shared" si="3"/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4"/>
        <v>https://d0f6bd738d7f1b3e5a7ca70fe4ff75f0.us-east-1.aws.found.io/app/kibana#/discover/Steve-Slow-Train-Analysis-(2080s-and-2083s)?_g=(refreshInterval:(display:Off,pause:!f,section:0,value:0),time:(from:'2017-03-11T10:01:41-0700',mode:absolute,to:'2017-03-11T12:49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8" s="187" t="str">
        <f t="shared" si="5"/>
        <v>N</v>
      </c>
      <c r="X68" s="187">
        <f t="shared" si="27"/>
        <v>1</v>
      </c>
      <c r="Y68" s="62">
        <f t="shared" si="28"/>
        <v>23.3017</v>
      </c>
      <c r="Z68" s="62">
        <f t="shared" si="29"/>
        <v>1.38E-2</v>
      </c>
      <c r="AA68" s="62">
        <f t="shared" si="9"/>
        <v>23.2879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0"/>
        <v>0154-11</v>
      </c>
      <c r="AE68" s="85" t="str">
        <f t="shared" si="11"/>
        <v>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 &amp; aws s3 cp s3://rtdc.mdm.uploadarchive.raw/RTDC4030/ "%USERPROFILE%\AppData\Local\Temp\OnboardLogs"\RTDC4030\2017-03-12 --exclude "*" --recursive --include "*20170312*" &amp; "%USERPROFILE%\Documents\GitHub\mrs-test-scripts\Headless Mode &amp; Sideloading\WalkAndUnGZ.bat" "%USERPROFILE%\AppData\Local\Temp\OnboardLogs"\RTDC4030\2017-03-12</v>
      </c>
      <c r="AF68" s="82" t="str">
        <f t="shared" si="12"/>
        <v>"C:\Program Files (x86)\AstroGrep\AstroGrep.exe" /e /r /s /spath="%USERPROFILE%\AppData\Local\Temp\OnboardLogs" /stypes="app*4030*20170311*" /stext=" 18:.+((SYSTEM_STATE.+slice.+state.+changed )|(ment ac)|(multiple cpu faults)|(system.+state.+changed )|(\[timeout)|(PRM\|1\|D)|(kpr)|(kdp)|(\|lc)|(penalty))"</v>
      </c>
      <c r="AG68" s="1" t="str">
        <f t="shared" si="13"/>
        <v>EC</v>
      </c>
      <c r="AH68" s="86" t="str">
        <f t="shared" si="17"/>
        <v>"%USERPROFILE%\Documents\GitHub\eaglep3\Utilities\RefineRTDCRunTimes.py" --tripid 154-11 --locoid 4030 --swversion DE.1.0.9.0 --startMP 204:233017 --initTime 2017-03-11T11:01:41 --startdatetime 2017-03-11T11:03:14 --delay 1 --endMP 204:138 --enddatetime 2017-03-11T11:49:46 --enforcementcount 0 &gt;&gt;C:\Users\stu\Documents\GitHub\eaglep3-reporting\EC\2017-03-11-refined-times.txt</v>
      </c>
      <c r="AI68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{"issue":{"subject":"","project_id":79,"tracker_id":40,"status_id":1,"priority_id":2,"assigned_to_id":23,"start_date":"2017-03-11","description":"","custom_fields":[{"id":1,"name":"Subdivision","value":"EC"},{"id":4,"name":"Milepost","value":"0.0138"},{"id":17,"name":"Train ID","value":"154-11"},{"id":16,"name":"Locomotive ID","value":"4030"},{"id":130,"name":"Impact","value":""},{"id":150,"name":"Time of Event (Mountain Time)","value":"11:49:46"},{"id":151,"name":"Denver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19"/>
        <v>start /low /b %USERPROFILE%\Documents\GitHub\eaglep3\Utilities\DownloadLogsFromS3.py --loco 4030 --day 2017-03-11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"%USERPROFILE%\AppData\Local\Temp\OnboardLogs"\RTDC4030\*4030*20170311* | grep -SE "(Enforcement Action)|(\[TIMEOUT)|(CHR.+\|PRM\|1\|D.+(SWITCH|SIGNAL).+UNKNOWN)" - &gt;&gt; 2017-03-11-UncaughtWiMAX.txt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588</v>
      </c>
      <c r="B69" s="7">
        <v>4044</v>
      </c>
      <c r="C69" s="21" t="s">
        <v>240</v>
      </c>
      <c r="D69" s="21" t="s">
        <v>274</v>
      </c>
      <c r="E69" s="13">
        <v>42805.435277777775</v>
      </c>
      <c r="F69" s="13">
        <v>42805.436550925922</v>
      </c>
      <c r="G69" s="7">
        <v>1</v>
      </c>
      <c r="H69" s="21" t="s">
        <v>868</v>
      </c>
      <c r="I69" s="13">
        <v>42805.463402777779</v>
      </c>
      <c r="J69" s="7">
        <v>0</v>
      </c>
      <c r="K69" s="98" t="str">
        <f t="shared" si="0"/>
        <v>4043/4044</v>
      </c>
      <c r="L69" s="21" t="str">
        <f>VLOOKUP(A69,'Trips&amp;Operators'!$C$1:$G$99999,5,FALSE)</f>
        <v>ROMERO CHAD</v>
      </c>
      <c r="M69" s="6">
        <f t="shared" si="1"/>
        <v>2.6851851856918074E-2</v>
      </c>
      <c r="N69" s="7">
        <f t="shared" si="25"/>
        <v>38.666666673962027</v>
      </c>
      <c r="O69" s="7"/>
      <c r="P69" s="7"/>
      <c r="Q69" s="22"/>
      <c r="R69" s="22"/>
      <c r="S69" s="31">
        <f t="shared" si="26"/>
        <v>1</v>
      </c>
      <c r="T69" s="46" t="str">
        <f t="shared" si="3"/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4"/>
        <v>https://d0f6bd738d7f1b3e5a7ca70fe4ff75f0.us-east-1.aws.found.io/app/kibana#/discover/Steve-Slow-Train-Analysis-(2080s-and-2083s)?_g=(refreshInterval:(display:Off,pause:!f,section:0,value:0),time:(from:'2017-03-11T09:26:48-0700',mode:absolute,to:'2017-03-11T12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9" s="187" t="str">
        <f t="shared" si="5"/>
        <v>N</v>
      </c>
      <c r="X69" s="187">
        <f t="shared" si="27"/>
        <v>1</v>
      </c>
      <c r="Y69" s="62">
        <f t="shared" si="28"/>
        <v>4.6899999999999997E-2</v>
      </c>
      <c r="Z69" s="62">
        <f t="shared" si="29"/>
        <v>23.332799999999999</v>
      </c>
      <c r="AA69" s="62">
        <f t="shared" si="9"/>
        <v>23.285899999999998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0"/>
        <v>0155-11</v>
      </c>
      <c r="AE69" s="85" t="str">
        <f t="shared" si="11"/>
        <v>aws s3 cp s3://rtdc.mdm.uploadarchive.raw/RTDC4044/ "%USERPROFILE%\AppData\Local\Temp\OnboardLogs"\RTDC4044\2017-03-11 --exclude "*" --recursive --include "*20170311*" &amp; "%USERPROFILE%\Documents\GitHub\mrs-test-scripts\Headless Mode &amp; Sideloading\WalkAndUnGZ.bat" "%USERPROFILE%\AppData\Local\Temp\OnboardLogs"\RTDC4044\2017-03-11 &amp; aws s3 cp s3://rtdc.mdm.uploadarchive.raw/RTDC4044/ "%USERPROFILE%\AppData\Local\Temp\OnboardLogs"\RTDC4044\2017-03-12 --exclude "*" --recursive --include "*20170312*" &amp; "%USERPROFILE%\Documents\GitHub\mrs-test-scripts\Headless Mode &amp; Sideloading\WalkAndUnGZ.bat" "%USERPROFILE%\AppData\Local\Temp\OnboardLogs"\RTDC4044\2017-03-12</v>
      </c>
      <c r="AF69" s="82" t="str">
        <f t="shared" si="12"/>
        <v>"C:\Program Files (x86)\AstroGrep\AstroGrep.exe" /e /r /s /spath="%USERPROFILE%\AppData\Local\Temp\OnboardLogs" /stypes="app*4044*20170311*" /stext=" 18:.+((SYSTEM_STATE.+slice.+state.+changed )|(ment ac)|(multiple cpu faults)|(system.+state.+changed )|(\[timeout)|(PRM\|1\|D)|(kpr)|(kdp)|(\|lc)|(penalty))"</v>
      </c>
      <c r="AG69" s="1" t="str">
        <f t="shared" si="13"/>
        <v>EC</v>
      </c>
      <c r="AH69" s="86" t="str">
        <f t="shared" si="17"/>
        <v>"%USERPROFILE%\Documents\GitHub\eaglep3\Utilities\RefineRTDCRunTimes.py" --tripid 155-11 --locoid 4044 --swversion DE.1.0.9.0 --startMP 204:469 --initTime 2017-03-11T10:26:48 --startdatetime 2017-03-11T10:28:38 --delay 1 --endMP 204:233328 --enddatetime 2017-03-11T11:07:18 --enforcementcount 0 &gt;&gt;C:\Users\stu\Documents\GitHub\eaglep3-reporting\EC\2017-03-11-refined-times.txt</v>
      </c>
      <c r="AI69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{"issue":{"subject":"","project_id":79,"tracker_id":40,"status_id":1,"priority_id":2,"assigned_to_id":23,"start_date":"2017-03-11","description":"","custom_fields":[{"id":1,"name":"Subdivision","value":"EC"},{"id":4,"name":"Milepost","value":"23.3328"},{"id":17,"name":"Train ID","value":"155-11"},{"id":16,"name":"Locomotive ID","value":"4044"},{"id":130,"name":"Impact","value":""},{"id":150,"name":"Time of Event (Mountain Time)","value":"11:07:18"},{"id":151,"name":"Denver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19"/>
        <v>start /low /b %USERPROFILE%\Documents\GitHub\eaglep3\Utilities\DownloadLogsFromS3.py --loco 4044 --day 2017-03-11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"%USERPROFILE%\AppData\Local\Temp\OnboardLogs"\RTDC4044\*4044*20170311* | grep -SE "(Enforcement Action)|(\[TIMEOUT)|(CHR.+\|PRM\|1\|D.+(SWITCH|SIGNAL).+UNKNOWN)" - &gt;&gt; 2017-03-11-UncaughtWiMAX.txt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589</v>
      </c>
      <c r="B70" s="7">
        <v>4043</v>
      </c>
      <c r="C70" s="21" t="s">
        <v>240</v>
      </c>
      <c r="D70" s="21" t="s">
        <v>867</v>
      </c>
      <c r="E70" s="13">
        <v>42805.465729166666</v>
      </c>
      <c r="F70" s="13">
        <v>42805.467199074075</v>
      </c>
      <c r="G70" s="7">
        <v>2</v>
      </c>
      <c r="H70" s="21" t="s">
        <v>561</v>
      </c>
      <c r="I70" s="13">
        <v>42805.503611111111</v>
      </c>
      <c r="J70" s="7">
        <v>0</v>
      </c>
      <c r="K70" s="98" t="str">
        <f t="shared" si="0"/>
        <v>4043/4044</v>
      </c>
      <c r="L70" s="21" t="str">
        <f>VLOOKUP(A70,'Trips&amp;Operators'!$C$1:$G$99999,5,FALSE)</f>
        <v>ROMERO CHAD</v>
      </c>
      <c r="M70" s="6">
        <f t="shared" si="1"/>
        <v>3.6412037035916001E-2</v>
      </c>
      <c r="N70" s="7">
        <f t="shared" si="25"/>
        <v>52.433333331719041</v>
      </c>
      <c r="O70" s="7"/>
      <c r="P70" s="7"/>
      <c r="Q70" s="22"/>
      <c r="R70" s="22"/>
      <c r="S70" s="31">
        <f t="shared" si="26"/>
        <v>1</v>
      </c>
      <c r="T70" s="46" t="str">
        <f t="shared" si="3"/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4"/>
        <v>https://d0f6bd738d7f1b3e5a7ca70fe4ff75f0.us-east-1.aws.found.io/app/kibana#/discover/Steve-Slow-Train-Analysis-(2080s-and-2083s)?_g=(refreshInterval:(display:Off,pause:!f,section:0,value:0),time:(from:'2017-03-11T10:10:39-0700',mode:absolute,to:'2017-03-11T13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0" s="187" t="str">
        <f t="shared" si="5"/>
        <v>N</v>
      </c>
      <c r="X70" s="187">
        <f t="shared" si="27"/>
        <v>1</v>
      </c>
      <c r="Y70" s="62">
        <f t="shared" si="28"/>
        <v>23.3017</v>
      </c>
      <c r="Z70" s="62">
        <f t="shared" si="29"/>
        <v>1.38E-2</v>
      </c>
      <c r="AA70" s="62">
        <f t="shared" si="9"/>
        <v>23.2879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0"/>
        <v>0156-11</v>
      </c>
      <c r="AE70" s="85" t="str">
        <f t="shared" si="11"/>
        <v>aws s3 cp s3://rtdc.mdm.uploadarchive.raw/RTDC4043/ "%USERPROFILE%\AppData\Local\Temp\OnboardLogs"\RTDC4043\2017-03-11 --exclude "*" --recursive --include "*20170311*" &amp; "%USERPROFILE%\Documents\GitHub\mrs-test-scripts\Headless Mode &amp; Sideloading\WalkAndUnGZ.bat" "%USERPROFILE%\AppData\Local\Temp\OnboardLogs"\RTDC4043\2017-03-11 &amp; aws s3 cp s3://rtdc.mdm.uploadarchive.raw/RTDC4043/ "%USERPROFILE%\AppData\Local\Temp\OnboardLogs"\RTDC4043\2017-03-12 --exclude "*" --recursive --include "*20170312*" &amp; "%USERPROFILE%\Documents\GitHub\mrs-test-scripts\Headless Mode &amp; Sideloading\WalkAndUnGZ.bat" "%USERPROFILE%\AppData\Local\Temp\OnboardLogs"\RTDC4043\2017-03-12</v>
      </c>
      <c r="AF70" s="82" t="str">
        <f t="shared" si="12"/>
        <v>"C:\Program Files (x86)\AstroGrep\AstroGrep.exe" /e /r /s /spath="%USERPROFILE%\AppData\Local\Temp\OnboardLogs" /stypes="app*4043*20170311*" /stext=" 19:.+((SYSTEM_STATE.+slice.+state.+changed )|(ment ac)|(multiple cpu faults)|(system.+state.+changed )|(\[timeout)|(PRM\|1\|D)|(kpr)|(kdp)|(\|lc)|(penalty))"</v>
      </c>
      <c r="AG70" s="1" t="str">
        <f t="shared" si="13"/>
        <v>EC</v>
      </c>
      <c r="AH70" s="86" t="str">
        <f t="shared" si="17"/>
        <v>"%USERPROFILE%\Documents\GitHub\eaglep3\Utilities\RefineRTDCRunTimes.py" --tripid 156-11 --locoid 4043 --swversion DE.1.0.9.0 --startMP 204:233017 --initTime 2017-03-11T11:10:39 --startdatetime 2017-03-11T11:12:46 --delay 2 --endMP 204:138 --enddatetime 2017-03-11T12:05:12 --enforcementcount 0 &gt;&gt;C:\Users\stu\Documents\GitHub\eaglep3-reporting\EC\2017-03-11-refined-times.txt</v>
      </c>
      <c r="AI70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{"issue":{"subject":"","project_id":79,"tracker_id":40,"status_id":1,"priority_id":2,"assigned_to_id":23,"start_date":"2017-03-11","description":"","custom_fields":[{"id":1,"name":"Subdivision","value":"EC"},{"id":4,"name":"Milepost","value":"0.0138"},{"id":17,"name":"Train ID","value":"156-11"},{"id":16,"name":"Locomotive ID","value":"4043"},{"id":130,"name":"Impact","value":""},{"id":150,"name":"Time of Event (Mountain Time)","value":"12:05:12"},{"id":151,"name":"Denver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19"/>
        <v>start /low /b %USERPROFILE%\Documents\GitHub\eaglep3\Utilities\DownloadLogsFromS3.py --loco 4043 --day 2017-03-11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"%USERPROFILE%\AppData\Local\Temp\OnboardLogs"\RTDC4043\*4043*20170311* | grep -SE "(Enforcement Action)|(\[TIMEOUT)|(CHR.+\|PRM\|1\|D.+(SWITCH|SIGNAL).+UNKNOWN)" - &gt;&gt; 2017-03-11-UncaughtWiMAX.txt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707</v>
      </c>
      <c r="B71" s="7">
        <v>4014</v>
      </c>
      <c r="C71" s="21" t="s">
        <v>240</v>
      </c>
      <c r="D71" s="21" t="s">
        <v>499</v>
      </c>
      <c r="E71" s="13">
        <v>42805.442928240744</v>
      </c>
      <c r="F71" s="13">
        <v>42805.444236111114</v>
      </c>
      <c r="G71" s="7">
        <v>1</v>
      </c>
      <c r="H71" s="21" t="s">
        <v>869</v>
      </c>
      <c r="I71" s="13">
        <v>42805.473287037035</v>
      </c>
      <c r="J71" s="7">
        <v>0</v>
      </c>
      <c r="K71" s="98" t="str">
        <f t="shared" si="0"/>
        <v>4013/4014</v>
      </c>
      <c r="L71" s="21" t="str">
        <f>VLOOKUP(A71,'Trips&amp;Operators'!$C$1:$G$99999,5,FALSE)</f>
        <v>GEBRETEKLE DAGNEW</v>
      </c>
      <c r="M71" s="6">
        <f t="shared" si="1"/>
        <v>2.9050925921183079E-2</v>
      </c>
      <c r="N71" s="7">
        <f t="shared" si="25"/>
        <v>41.833333326503634</v>
      </c>
      <c r="O71" s="7"/>
      <c r="P71" s="7"/>
      <c r="Q71" s="22"/>
      <c r="R71" s="22"/>
      <c r="S71" s="31">
        <f t="shared" si="26"/>
        <v>1</v>
      </c>
      <c r="T71" s="46" t="str">
        <f t="shared" si="3"/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4"/>
        <v>https://d0f6bd738d7f1b3e5a7ca70fe4ff75f0.us-east-1.aws.found.io/app/kibana#/discover/Steve-Slow-Train-Analysis-(2080s-and-2083s)?_g=(refreshInterval:(display:Off,pause:!f,section:0,value:0),time:(from:'2017-03-11T09:37:49-0700',mode:absolute,to:'2017-03-11T12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1" s="187" t="str">
        <f t="shared" si="5"/>
        <v>N</v>
      </c>
      <c r="X71" s="187">
        <f t="shared" si="27"/>
        <v>1</v>
      </c>
      <c r="Y71" s="62">
        <f t="shared" si="28"/>
        <v>4.3799999999999999E-2</v>
      </c>
      <c r="Z71" s="62">
        <f t="shared" si="29"/>
        <v>23.332899999999999</v>
      </c>
      <c r="AA71" s="62">
        <f t="shared" si="9"/>
        <v>23.289099999999998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0"/>
        <v>0157-11</v>
      </c>
      <c r="AE71" s="85" t="str">
        <f t="shared" si="11"/>
        <v>aws s3 cp s3://rtdc.mdm.uploadarchive.raw/RTDC4014/ "%USERPROFILE%\AppData\Local\Temp\OnboardLogs"\RTDC4014\2017-03-11 --exclude "*" --recursive --include "*20170311*" &amp; "%USERPROFILE%\Documents\GitHub\mrs-test-scripts\Headless Mode &amp; Sideloading\WalkAndUnGZ.bat" "%USERPROFILE%\AppData\Local\Temp\OnboardLogs"\RTDC4014\2017-03-11 &amp; aws s3 cp s3://rtdc.mdm.uploadarchive.raw/RTDC4014/ "%USERPROFILE%\AppData\Local\Temp\OnboardLogs"\RTDC4014\2017-03-12 --exclude "*" --recursive --include "*20170312*" &amp; "%USERPROFILE%\Documents\GitHub\mrs-test-scripts\Headless Mode &amp; Sideloading\WalkAndUnGZ.bat" "%USERPROFILE%\AppData\Local\Temp\OnboardLogs"\RTDC4014\2017-03-12</v>
      </c>
      <c r="AF71" s="82" t="str">
        <f t="shared" si="12"/>
        <v>"C:\Program Files (x86)\AstroGrep\AstroGrep.exe" /e /r /s /spath="%USERPROFILE%\AppData\Local\Temp\OnboardLogs" /stypes="app*4014*20170311*" /stext=" 18:.+((SYSTEM_STATE.+slice.+state.+changed )|(ment ac)|(multiple cpu faults)|(system.+state.+changed )|(\[timeout)|(PRM\|1\|D)|(kpr)|(kdp)|(\|lc)|(penalty))"</v>
      </c>
      <c r="AG71" s="1" t="str">
        <f t="shared" si="13"/>
        <v>EC</v>
      </c>
      <c r="AH71" s="86" t="str">
        <f t="shared" si="17"/>
        <v>"%USERPROFILE%\Documents\GitHub\eaglep3\Utilities\RefineRTDCRunTimes.py" --tripid 157-11 --locoid 4014 --swversion DE.1.0.9.0 --startMP 204:438 --initTime 2017-03-11T10:37:49 --startdatetime 2017-03-11T10:39:42 --delay 1 --endMP 204:233329 --enddatetime 2017-03-11T11:21:32 --enforcementcount 0 &gt;&gt;C:\Users\stu\Documents\GitHub\eaglep3-reporting\EC\2017-03-11-refined-times.txt</v>
      </c>
      <c r="AI71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{"issue":{"subject":"","project_id":79,"tracker_id":40,"status_id":1,"priority_id":2,"assigned_to_id":23,"start_date":"2017-03-11","description":"","custom_fields":[{"id":1,"name":"Subdivision","value":"EC"},{"id":4,"name":"Milepost","value":"23.3329"},{"id":17,"name":"Train ID","value":"157-11"},{"id":16,"name":"Locomotive ID","value":"4014"},{"id":130,"name":"Impact","value":""},{"id":150,"name":"Time of Event (Mountain Time)","value":"11:21:32"},{"id":151,"name":"Denver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19"/>
        <v>start /low /b %USERPROFILE%\Documents\GitHub\eaglep3\Utilities\DownloadLogsFromS3.py --loco 4014 --day 2017-03-11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"%USERPROFILE%\AppData\Local\Temp\OnboardLogs"\RTDC4014\*4014*20170311* | grep -SE "(Enforcement Action)|(\[TIMEOUT)|(CHR.+\|PRM\|1\|D.+(SWITCH|SIGNAL).+UNKNOWN)" - &gt;&gt; 2017-03-11-UncaughtWiMAX.txt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718</v>
      </c>
      <c r="B72" s="7">
        <v>4013</v>
      </c>
      <c r="C72" s="21" t="s">
        <v>240</v>
      </c>
      <c r="D72" s="21" t="s">
        <v>870</v>
      </c>
      <c r="E72" s="13">
        <v>42805.484722222223</v>
      </c>
      <c r="F72" s="13">
        <v>42805.485995370371</v>
      </c>
      <c r="G72" s="7">
        <v>1</v>
      </c>
      <c r="H72" s="21" t="s">
        <v>208</v>
      </c>
      <c r="I72" s="13">
        <v>42805.516608796293</v>
      </c>
      <c r="J72" s="7">
        <v>0</v>
      </c>
      <c r="K72" s="98" t="str">
        <f t="shared" si="0"/>
        <v>4013/4014</v>
      </c>
      <c r="L72" s="21" t="str">
        <f>VLOOKUP(A72,'Trips&amp;Operators'!$C$1:$G$99999,5,FALSE)</f>
        <v>GEBRETEKLE DAGNEW</v>
      </c>
      <c r="M72" s="6">
        <f t="shared" si="1"/>
        <v>3.0613425922638271E-2</v>
      </c>
      <c r="N72" s="7">
        <f t="shared" si="25"/>
        <v>44.08333332859911</v>
      </c>
      <c r="O72" s="7"/>
      <c r="P72" s="7"/>
      <c r="Q72" s="22"/>
      <c r="R72" s="22"/>
      <c r="S72" s="31">
        <f t="shared" si="26"/>
        <v>1</v>
      </c>
      <c r="T72" s="46" t="str">
        <f t="shared" si="3"/>
        <v>Southbound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4"/>
        <v>https://d0f6bd738d7f1b3e5a7ca70fe4ff75f0.us-east-1.aws.found.io/app/kibana#/discover/Steve-Slow-Train-Analysis-(2080s-and-2083s)?_g=(refreshInterval:(display:Off,pause:!f,section:0,value:0),time:(from:'2017-03-11T10:38:00-0700',mode:absolute,to:'2017-03-11T13:23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2" s="187" t="str">
        <f t="shared" si="5"/>
        <v>N</v>
      </c>
      <c r="X72" s="187">
        <f t="shared" si="27"/>
        <v>1</v>
      </c>
      <c r="Y72" s="62">
        <f t="shared" si="28"/>
        <v>23.302299999999999</v>
      </c>
      <c r="Z72" s="62">
        <f t="shared" si="29"/>
        <v>1.54E-2</v>
      </c>
      <c r="AA72" s="62">
        <f t="shared" si="9"/>
        <v>23.286899999999999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0"/>
        <v>0158-11</v>
      </c>
      <c r="AE72" s="85" t="str">
        <f t="shared" si="11"/>
        <v>aws s3 cp s3://rtdc.mdm.uploadarchive.raw/RTDC4013/ "%USERPROFILE%\AppData\Local\Temp\OnboardLogs"\RTDC4013\2017-03-11 --exclude "*" --recursive --include "*20170311*" &amp; "%USERPROFILE%\Documents\GitHub\mrs-test-scripts\Headless Mode &amp; Sideloading\WalkAndUnGZ.bat" "%USERPROFILE%\AppData\Local\Temp\OnboardLogs"\RTDC4013\2017-03-11 &amp; aws s3 cp s3://rtdc.mdm.uploadarchive.raw/RTDC4013/ "%USERPROFILE%\AppData\Local\Temp\OnboardLogs"\RTDC4013\2017-03-12 --exclude "*" --recursive --include "*20170312*" &amp; "%USERPROFILE%\Documents\GitHub\mrs-test-scripts\Headless Mode &amp; Sideloading\WalkAndUnGZ.bat" "%USERPROFILE%\AppData\Local\Temp\OnboardLogs"\RTDC4013\2017-03-12</v>
      </c>
      <c r="AF72" s="82" t="str">
        <f t="shared" si="12"/>
        <v>"C:\Program Files (x86)\AstroGrep\AstroGrep.exe" /e /r /s /spath="%USERPROFILE%\AppData\Local\Temp\OnboardLogs" /stypes="app*4013*20170311*" /stext=" 19:.+((SYSTEM_STATE.+slice.+state.+changed )|(ment ac)|(multiple cpu faults)|(system.+state.+changed )|(\[timeout)|(PRM\|1\|D)|(kpr)|(kdp)|(\|lc)|(penalty))"</v>
      </c>
      <c r="AG72" s="1" t="str">
        <f t="shared" si="13"/>
        <v>EC</v>
      </c>
      <c r="AH72" s="86" t="str">
        <f t="shared" si="17"/>
        <v>"%USERPROFILE%\Documents\GitHub\eaglep3\Utilities\RefineRTDCRunTimes.py" --tripid 158-11 --locoid 4013 --swversion DE.1.0.9.0 --startMP 204:233023 --initTime 2017-03-11T11:38:00 --startdatetime 2017-03-11T11:39:50 --delay 1 --endMP 204:154 --enddatetime 2017-03-11T12:23:55 --enforcementcount 0 &gt;&gt;C:\Users\stu\Documents\GitHub\eaglep3-reporting\EC\2017-03-11-refined-times.txt</v>
      </c>
      <c r="AI72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{"issue":{"subject":"","project_id":79,"tracker_id":40,"status_id":1,"priority_id":2,"assigned_to_id":23,"start_date":"2017-03-11","description":"","custom_fields":[{"id":1,"name":"Subdivision","value":"EC"},{"id":4,"name":"Milepost","value":"0.0154"},{"id":17,"name":"Train ID","value":"158-11"},{"id":16,"name":"Locomotive ID","value":"4013"},{"id":130,"name":"Impact","value":""},{"id":150,"name":"Time of Event (Mountain Time)","value":"12:23:55"},{"id":151,"name":"Denver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19"/>
        <v>start /low /b %USERPROFILE%\Documents\GitHub\eaglep3\Utilities\DownloadLogsFromS3.py --loco 4013 --day 2017-03-11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"%USERPROFILE%\AppData\Local\Temp\OnboardLogs"\RTDC4013\*4013*20170311* | grep -SE "(Enforcement Action)|(\[TIMEOUT)|(CHR.+\|PRM\|1\|D.+(SWITCH|SIGNAL).+UNKNOWN)" - &gt;&gt; 2017-03-11-UncaughtWiMAX.txt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712</v>
      </c>
      <c r="B73" s="7">
        <v>4009</v>
      </c>
      <c r="C73" s="21" t="s">
        <v>240</v>
      </c>
      <c r="D73" s="21" t="s">
        <v>223</v>
      </c>
      <c r="E73" s="13">
        <v>42805.453530092593</v>
      </c>
      <c r="F73" s="13">
        <v>42805.45511574074</v>
      </c>
      <c r="G73" s="7">
        <v>2</v>
      </c>
      <c r="H73" s="21" t="s">
        <v>249</v>
      </c>
      <c r="I73" s="13">
        <v>42805.484178240738</v>
      </c>
      <c r="J73" s="7">
        <v>0</v>
      </c>
      <c r="K73" s="98" t="str">
        <f t="shared" si="0"/>
        <v>4009/4010</v>
      </c>
      <c r="L73" s="21" t="str">
        <f>VLOOKUP(A73,'Trips&amp;Operators'!$C$1:$G$99999,5,FALSE)</f>
        <v>STEWART MICHAEL</v>
      </c>
      <c r="M73" s="6">
        <f t="shared" si="1"/>
        <v>2.9062499997962732E-2</v>
      </c>
      <c r="N73" s="7">
        <f t="shared" si="25"/>
        <v>41.849999997066334</v>
      </c>
      <c r="O73" s="7"/>
      <c r="P73" s="7"/>
      <c r="Q73" s="22"/>
      <c r="R73" s="22"/>
      <c r="S73" s="31">
        <f t="shared" si="26"/>
        <v>1</v>
      </c>
      <c r="T73" s="46" t="str">
        <f t="shared" si="3"/>
        <v>NorthBound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4"/>
        <v>https://d0f6bd738d7f1b3e5a7ca70fe4ff75f0.us-east-1.aws.found.io/app/kibana#/discover/Steve-Slow-Train-Analysis-(2080s-and-2083s)?_g=(refreshInterval:(display:Off,pause:!f,section:0,value:0),time:(from:'2017-03-11T09:53:05-0700',mode:absolute,to:'2017-03-11T12:37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3" s="187" t="str">
        <f t="shared" si="5"/>
        <v>N</v>
      </c>
      <c r="X73" s="187">
        <f t="shared" si="27"/>
        <v>1</v>
      </c>
      <c r="Y73" s="62">
        <f t="shared" si="28"/>
        <v>4.53E-2</v>
      </c>
      <c r="Z73" s="62">
        <f t="shared" si="29"/>
        <v>23.329899999999999</v>
      </c>
      <c r="AA73" s="62">
        <f t="shared" si="9"/>
        <v>23.284599999999998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0"/>
        <v>0159-11</v>
      </c>
      <c r="AE73" s="85" t="str">
        <f t="shared" si="11"/>
        <v>aws s3 cp s3://rtdc.mdm.uploadarchive.raw/RTDC4009/ "%USERPROFILE%\AppData\Local\Temp\OnboardLogs"\RTDC4009\2017-03-11 --exclude "*" --recursive --include "*20170311*" &amp; "%USERPROFILE%\Documents\GitHub\mrs-test-scripts\Headless Mode &amp; Sideloading\WalkAndUnGZ.bat" "%USERPROFILE%\AppData\Local\Temp\OnboardLogs"\RTDC4009\2017-03-11 &amp; aws s3 cp s3://rtdc.mdm.uploadarchive.raw/RTDC4009/ "%USERPROFILE%\AppData\Local\Temp\OnboardLogs"\RTDC4009\2017-03-12 --exclude "*" --recursive --include "*20170312*" &amp; "%USERPROFILE%\Documents\GitHub\mrs-test-scripts\Headless Mode &amp; Sideloading\WalkAndUnGZ.bat" "%USERPROFILE%\AppData\Local\Temp\OnboardLogs"\RTDC4009\2017-03-12</v>
      </c>
      <c r="AF73" s="82" t="str">
        <f t="shared" si="12"/>
        <v>"C:\Program Files (x86)\AstroGrep\AstroGrep.exe" /e /r /s /spath="%USERPROFILE%\AppData\Local\Temp\OnboardLogs" /stypes="app*4009*20170311*" /stext=" 18:.+((SYSTEM_STATE.+slice.+state.+changed )|(ment ac)|(multiple cpu faults)|(system.+state.+changed )|(\[timeout)|(PRM\|1\|D)|(kpr)|(kdp)|(\|lc)|(penalty))"</v>
      </c>
      <c r="AG73" s="1" t="str">
        <f t="shared" si="13"/>
        <v>EC</v>
      </c>
      <c r="AH73" s="86" t="str">
        <f t="shared" si="17"/>
        <v>"%USERPROFILE%\Documents\GitHub\eaglep3\Utilities\RefineRTDCRunTimes.py" --tripid 159-11 --locoid 4009 --swversion DE.1.0.9.0 --startMP 204:453 --initTime 2017-03-11T10:53:05 --startdatetime 2017-03-11T10:55:22 --delay 2 --endMP 204:233299 --enddatetime 2017-03-11T11:37:13 --enforcementcount 0 &gt;&gt;C:\Users\stu\Documents\GitHub\eaglep3-reporting\EC\2017-03-11-refined-times.txt</v>
      </c>
      <c r="AI73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{"issue":{"subject":"","project_id":79,"tracker_id":40,"status_id":1,"priority_id":2,"assigned_to_id":23,"start_date":"2017-03-11","description":"","custom_fields":[{"id":1,"name":"Subdivision","value":"EC"},{"id":4,"name":"Milepost","value":"23.3299"},{"id":17,"name":"Train ID","value":"159-11"},{"id":16,"name":"Locomotive ID","value":"4009"},{"id":130,"name":"Impact","value":""},{"id":150,"name":"Time of Event (Mountain Time)","value":"11:37:13"},{"id":151,"name":"Denver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19"/>
        <v>start /low /b %USERPROFILE%\Documents\GitHub\eaglep3\Utilities\DownloadLogsFromS3.py --loco 4009 --day 2017-03-11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"%USERPROFILE%\AppData\Local\Temp\OnboardLogs"\RTDC4009\*4009*20170311* | grep -SE "(Enforcement Action)|(\[TIMEOUT)|(CHR.+\|PRM\|1\|D.+(SWITCH|SIGNAL).+UNKNOWN)" - &gt;&gt; 2017-03-11-UncaughtWiMAX.txt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723</v>
      </c>
      <c r="B74" s="7">
        <v>4010</v>
      </c>
      <c r="C74" s="21" t="s">
        <v>240</v>
      </c>
      <c r="D74" s="21" t="s">
        <v>866</v>
      </c>
      <c r="E74" s="13">
        <v>42805.494791666664</v>
      </c>
      <c r="F74" s="13">
        <v>42805.495949074073</v>
      </c>
      <c r="G74" s="7">
        <v>1</v>
      </c>
      <c r="H74" s="21" t="s">
        <v>208</v>
      </c>
      <c r="I74" s="13">
        <v>42805.525092592594</v>
      </c>
      <c r="J74" s="7">
        <v>0</v>
      </c>
      <c r="K74" s="98" t="str">
        <f t="shared" si="0"/>
        <v>4009/4010</v>
      </c>
      <c r="L74" s="21" t="str">
        <f>VLOOKUP(A74,'Trips&amp;Operators'!$C$1:$G$99999,5,FALSE)</f>
        <v>STEWART MICHAEL</v>
      </c>
      <c r="M74" s="6">
        <f t="shared" si="1"/>
        <v>2.9143518520868383E-2</v>
      </c>
      <c r="N74" s="7">
        <f t="shared" si="25"/>
        <v>41.966666670050472</v>
      </c>
      <c r="O74" s="7"/>
      <c r="P74" s="7"/>
      <c r="Q74" s="22"/>
      <c r="R74" s="22"/>
      <c r="S74" s="31">
        <f t="shared" si="26"/>
        <v>1</v>
      </c>
      <c r="T74" s="46" t="str">
        <f t="shared" si="3"/>
        <v>Southbound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4"/>
        <v>https://d0f6bd738d7f1b3e5a7ca70fe4ff75f0.us-east-1.aws.found.io/app/kibana#/discover/Steve-Slow-Train-Analysis-(2080s-and-2083s)?_g=(refreshInterval:(display:Off,pause:!f,section:0,value:0),time:(from:'2017-03-11T10:52:30-0700',mode:absolute,to:'2017-03-11T13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4" s="187" t="str">
        <f t="shared" si="5"/>
        <v>N</v>
      </c>
      <c r="X74" s="187">
        <f t="shared" si="27"/>
        <v>1</v>
      </c>
      <c r="Y74" s="62">
        <f t="shared" si="28"/>
        <v>23.2973</v>
      </c>
      <c r="Z74" s="62">
        <f t="shared" si="29"/>
        <v>1.54E-2</v>
      </c>
      <c r="AA74" s="62">
        <f t="shared" si="9"/>
        <v>23.2819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0"/>
        <v>0160-11</v>
      </c>
      <c r="AE74" s="85" t="str">
        <f t="shared" si="11"/>
        <v>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 &amp; aws s3 cp s3://rtdc.mdm.uploadarchive.raw/RTDC4010/ "%USERPROFILE%\AppData\Local\Temp\OnboardLogs"\RTDC4010\2017-03-12 --exclude "*" --recursive --include "*20170312*" &amp; "%USERPROFILE%\Documents\GitHub\mrs-test-scripts\Headless Mode &amp; Sideloading\WalkAndUnGZ.bat" "%USERPROFILE%\AppData\Local\Temp\OnboardLogs"\RTDC4010\2017-03-12</v>
      </c>
      <c r="AF74" s="82" t="str">
        <f t="shared" si="12"/>
        <v>"C:\Program Files (x86)\AstroGrep\AstroGrep.exe" /e /r /s /spath="%USERPROFILE%\AppData\Local\Temp\OnboardLogs" /stypes="app*4010*20170311*" /stext=" 19:.+((SYSTEM_STATE.+slice.+state.+changed )|(ment ac)|(multiple cpu faults)|(system.+state.+changed )|(\[timeout)|(PRM\|1\|D)|(kpr)|(kdp)|(\|lc)|(penalty))"</v>
      </c>
      <c r="AG74" s="1" t="str">
        <f t="shared" si="13"/>
        <v>EC</v>
      </c>
      <c r="AH74" s="86" t="str">
        <f t="shared" si="17"/>
        <v>"%USERPROFILE%\Documents\GitHub\eaglep3\Utilities\RefineRTDCRunTimes.py" --tripid 160-11 --locoid 4010 --swversion DE.1.0.9.0 --startMP 204:232973 --initTime 2017-03-11T11:52:30 --startdatetime 2017-03-11T11:54:10 --delay 1 --endMP 204:154 --enddatetime 2017-03-11T12:36:08 --enforcementcount 0 &gt;&gt;C:\Users\stu\Documents\GitHub\eaglep3-reporting\EC\2017-03-11-refined-times.txt</v>
      </c>
      <c r="AI74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{"issue":{"subject":"","project_id":79,"tracker_id":40,"status_id":1,"priority_id":2,"assigned_to_id":23,"start_date":"2017-03-11","description":"","custom_fields":[{"id":1,"name":"Subdivision","value":"EC"},{"id":4,"name":"Milepost","value":"0.0154"},{"id":17,"name":"Train ID","value":"160-11"},{"id":16,"name":"Locomotive ID","value":"4010"},{"id":130,"name":"Impact","value":""},{"id":150,"name":"Time of Event (Mountain Time)","value":"12:36:08"},{"id":151,"name":"Denver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19"/>
        <v>start /low /b %USERPROFILE%\Documents\GitHub\eaglep3\Utilities\DownloadLogsFromS3.py --loco 4010 --day 2017-03-11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"%USERPROFILE%\AppData\Local\Temp\OnboardLogs"\RTDC4010\*4010*20170311* | grep -SE "(Enforcement Action)|(\[TIMEOUT)|(CHR.+\|PRM\|1\|D.+(SWITCH|SIGNAL).+UNKNOWN)" - &gt;&gt; 2017-03-11-UncaughtWiMAX.txt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716</v>
      </c>
      <c r="B75" s="7">
        <v>4046</v>
      </c>
      <c r="C75" s="21" t="s">
        <v>240</v>
      </c>
      <c r="D75" s="21" t="s">
        <v>269</v>
      </c>
      <c r="E75" s="13">
        <v>42805.465497685182</v>
      </c>
      <c r="F75" s="13">
        <v>42805.466944444444</v>
      </c>
      <c r="G75" s="7">
        <v>2</v>
      </c>
      <c r="H75" s="21" t="s">
        <v>245</v>
      </c>
      <c r="I75" s="13">
        <v>42805.497488425928</v>
      </c>
      <c r="J75" s="7">
        <v>0</v>
      </c>
      <c r="K75" s="98" t="str">
        <f t="shared" si="0"/>
        <v>4045/4046</v>
      </c>
      <c r="L75" s="21" t="str">
        <f>VLOOKUP(A75,'Trips&amp;Operators'!$C$1:$G$99999,5,FALSE)</f>
        <v>DAVIS MICHAEL</v>
      </c>
      <c r="M75" s="6">
        <f t="shared" si="1"/>
        <v>3.054398148378823E-2</v>
      </c>
      <c r="N75" s="7">
        <f t="shared" si="25"/>
        <v>43.983333336655051</v>
      </c>
      <c r="O75" s="7"/>
      <c r="P75" s="7"/>
      <c r="Q75" s="22"/>
      <c r="R75" s="22"/>
      <c r="S75" s="31">
        <f t="shared" si="26"/>
        <v>1</v>
      </c>
      <c r="T75" s="46" t="str">
        <f t="shared" si="3"/>
        <v>NorthBound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4"/>
        <v>https://d0f6bd738d7f1b3e5a7ca70fe4ff75f0.us-east-1.aws.found.io/app/kibana#/discover/Steve-Slow-Train-Analysis-(2080s-and-2083s)?_g=(refreshInterval:(display:Off,pause:!f,section:0,value:0),time:(from:'2017-03-11T10:10:19-0700',mode:absolute,to:'2017-03-11T12:56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5" s="187" t="str">
        <f t="shared" si="5"/>
        <v>N</v>
      </c>
      <c r="X75" s="187">
        <f t="shared" si="27"/>
        <v>1</v>
      </c>
      <c r="Y75" s="62">
        <f t="shared" si="28"/>
        <v>4.4900000000000002E-2</v>
      </c>
      <c r="Z75" s="62">
        <f t="shared" si="29"/>
        <v>23.331399999999999</v>
      </c>
      <c r="AA75" s="62">
        <f t="shared" si="9"/>
        <v>23.2865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0"/>
        <v>0161-11</v>
      </c>
      <c r="AE75" s="85" t="str">
        <f t="shared" si="11"/>
        <v>aws s3 cp s3://rtdc.mdm.uploadarchive.raw/RTDC4046/ "%USERPROFILE%\AppData\Local\Temp\OnboardLogs"\RTDC4046\2017-03-11 --exclude "*" --recursive --include "*20170311*" &amp; "%USERPROFILE%\Documents\GitHub\mrs-test-scripts\Headless Mode &amp; Sideloading\WalkAndUnGZ.bat" "%USERPROFILE%\AppData\Local\Temp\OnboardLogs"\RTDC4046\2017-03-11 &amp; aws s3 cp s3://rtdc.mdm.uploadarchive.raw/RTDC4046/ "%USERPROFILE%\AppData\Local\Temp\OnboardLogs"\RTDC4046\2017-03-12 --exclude "*" --recursive --include "*20170312*" &amp; "%USERPROFILE%\Documents\GitHub\mrs-test-scripts\Headless Mode &amp; Sideloading\WalkAndUnGZ.bat" "%USERPROFILE%\AppData\Local\Temp\OnboardLogs"\RTDC4046\2017-03-12</v>
      </c>
      <c r="AF75" s="82" t="str">
        <f t="shared" si="12"/>
        <v>"C:\Program Files (x86)\AstroGrep\AstroGrep.exe" /e /r /s /spath="%USERPROFILE%\AppData\Local\Temp\OnboardLogs" /stypes="app*4046*20170311*" /stext=" 18:.+((SYSTEM_STATE.+slice.+state.+changed )|(ment ac)|(multiple cpu faults)|(system.+state.+changed )|(\[timeout)|(PRM\|1\|D)|(kpr)|(kdp)|(\|lc)|(penalty))"</v>
      </c>
      <c r="AG75" s="1" t="str">
        <f t="shared" si="13"/>
        <v>EC</v>
      </c>
      <c r="AH75" s="86" t="str">
        <f t="shared" si="17"/>
        <v>"%USERPROFILE%\Documents\GitHub\eaglep3\Utilities\RefineRTDCRunTimes.py" --tripid 161-11 --locoid 4046 --swversion DE.1.0.9.0 --startMP 204:449 --initTime 2017-03-11T11:10:19 --startdatetime 2017-03-11T11:12:24 --delay 2 --endMP 204:233314 --enddatetime 2017-03-11T11:56:23 --enforcementcount 0 &gt;&gt;C:\Users\stu\Documents\GitHub\eaglep3-reporting\EC\2017-03-11-refined-times.txt</v>
      </c>
      <c r="AI75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{"issue":{"subject":"","project_id":79,"tracker_id":40,"status_id":1,"priority_id":2,"assigned_to_id":23,"start_date":"2017-03-11","description":"","custom_fields":[{"id":1,"name":"Subdivision","value":"EC"},{"id":4,"name":"Milepost","value":"23.3314"},{"id":17,"name":"Train ID","value":"161-11"},{"id":16,"name":"Locomotive ID","value":"4046"},{"id":130,"name":"Impact","value":""},{"id":150,"name":"Time of Event (Mountain Time)","value":"11:56:23"},{"id":151,"name":"Denver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19"/>
        <v>start /low /b %USERPROFILE%\Documents\GitHub\eaglep3\Utilities\DownloadLogsFromS3.py --loco 4046 --day 2017-03-11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"%USERPROFILE%\AppData\Local\Temp\OnboardLogs"\RTDC4046\*4046*20170311* | grep -SE "(Enforcement Action)|(\[TIMEOUT)|(CHR.+\|PRM\|1\|D.+(SWITCH|SIGNAL).+UNKNOWN)" - &gt;&gt; 2017-03-11-UncaughtWiMAX.txt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729</v>
      </c>
      <c r="B76" s="7">
        <v>4045</v>
      </c>
      <c r="C76" s="21" t="s">
        <v>240</v>
      </c>
      <c r="D76" s="21" t="s">
        <v>840</v>
      </c>
      <c r="E76" s="13">
        <v>42805.505555555559</v>
      </c>
      <c r="F76" s="13">
        <v>42805.506712962961</v>
      </c>
      <c r="G76" s="7">
        <v>1</v>
      </c>
      <c r="H76" s="21" t="s">
        <v>192</v>
      </c>
      <c r="I76" s="13">
        <v>42805.536643518521</v>
      </c>
      <c r="J76" s="7">
        <v>0</v>
      </c>
      <c r="K76" s="98" t="str">
        <f t="shared" si="0"/>
        <v>4045/4046</v>
      </c>
      <c r="L76" s="21" t="str">
        <f>VLOOKUP(A76,'Trips&amp;Operators'!$C$1:$G$99999,5,FALSE)</f>
        <v>DAVIS MICHAEL</v>
      </c>
      <c r="M76" s="6">
        <f t="shared" si="1"/>
        <v>2.9930555559985805E-2</v>
      </c>
      <c r="N76" s="7">
        <f t="shared" si="25"/>
        <v>43.10000000637956</v>
      </c>
      <c r="O76" s="7"/>
      <c r="P76" s="7"/>
      <c r="Q76" s="22"/>
      <c r="R76" s="22"/>
      <c r="S76" s="31">
        <f t="shared" si="26"/>
        <v>1</v>
      </c>
      <c r="T76" s="46" t="str">
        <f t="shared" si="3"/>
        <v>Southbound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4"/>
        <v>https://d0f6bd738d7f1b3e5a7ca70fe4ff75f0.us-east-1.aws.found.io/app/kibana#/discover/Steve-Slow-Train-Analysis-(2080s-and-2083s)?_g=(refreshInterval:(display:Off,pause:!f,section:0,value:0),time:(from:'2017-03-11T11:08:00-0700',mode:absolute,to:'2017-03-11T13:52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6" s="187" t="str">
        <f t="shared" si="5"/>
        <v>N</v>
      </c>
      <c r="X76" s="187">
        <f t="shared" si="27"/>
        <v>1</v>
      </c>
      <c r="Y76" s="62">
        <f t="shared" si="28"/>
        <v>23.2987</v>
      </c>
      <c r="Z76" s="62">
        <f t="shared" si="29"/>
        <v>1.4999999999999999E-2</v>
      </c>
      <c r="AA76" s="62">
        <f t="shared" si="9"/>
        <v>23.2837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0"/>
        <v>0162-11</v>
      </c>
      <c r="AE76" s="85" t="str">
        <f t="shared" si="11"/>
        <v>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 &amp; aws s3 cp s3://rtdc.mdm.uploadarchive.raw/RTDC4045/ "%USERPROFILE%\AppData\Local\Temp\OnboardLogs"\RTDC4045\2017-03-12 --exclude "*" --recursive --include "*20170312*" &amp; "%USERPROFILE%\Documents\GitHub\mrs-test-scripts\Headless Mode &amp; Sideloading\WalkAndUnGZ.bat" "%USERPROFILE%\AppData\Local\Temp\OnboardLogs"\RTDC4045\2017-03-12</v>
      </c>
      <c r="AF76" s="82" t="str">
        <f t="shared" si="12"/>
        <v>"C:\Program Files (x86)\AstroGrep\AstroGrep.exe" /e /r /s /spath="%USERPROFILE%\AppData\Local\Temp\OnboardLogs" /stypes="app*4045*20170311*" /stext=" 19:.+((SYSTEM_STATE.+slice.+state.+changed )|(ment ac)|(multiple cpu faults)|(system.+state.+changed )|(\[timeout)|(PRM\|1\|D)|(kpr)|(kdp)|(\|lc)|(penalty))"</v>
      </c>
      <c r="AG76" s="1" t="str">
        <f t="shared" si="13"/>
        <v>EC</v>
      </c>
      <c r="AH76" s="86" t="str">
        <f t="shared" si="17"/>
        <v>"%USERPROFILE%\Documents\GitHub\eaglep3\Utilities\RefineRTDCRunTimes.py" --tripid 162-11 --locoid 4045 --swversion DE.1.0.9.0 --startMP 204:232987 --initTime 2017-03-11T12:08:00 --startdatetime 2017-03-11T12:09:40 --delay 1 --endMP 204:150 --enddatetime 2017-03-11T12:52:46 --enforcementcount 0 &gt;&gt;C:\Users\stu\Documents\GitHub\eaglep3-reporting\EC\2017-03-11-refined-times.txt</v>
      </c>
      <c r="AI76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{"issue":{"subject":"","project_id":79,"tracker_id":40,"status_id":1,"priority_id":2,"assigned_to_id":23,"start_date":"2017-03-11","description":"","custom_fields":[{"id":1,"name":"Subdivision","value":"EC"},{"id":4,"name":"Milepost","value":"0.015"},{"id":17,"name":"Train ID","value":"162-11"},{"id":16,"name":"Locomotive ID","value":"4045"},{"id":130,"name":"Impact","value":""},{"id":150,"name":"Time of Event (Mountain Time)","value":"12:52:46"},{"id":151,"name":"Denver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19"/>
        <v>start /low /b %USERPROFILE%\Documents\GitHub\eaglep3\Utilities\DownloadLogsFromS3.py --loco 4045 --day 2017-03-11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"%USERPROFILE%\AppData\Local\Temp\OnboardLogs"\RTDC4045\*4045*20170311* | grep -SE "(Enforcement Action)|(\[TIMEOUT)|(CHR.+\|PRM\|1\|D.+(SWITCH|SIGNAL).+UNKNOWN)" - &gt;&gt; 2017-03-11-UncaughtWiMAX.txt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717</v>
      </c>
      <c r="B77" s="7">
        <v>4040</v>
      </c>
      <c r="C77" s="21" t="s">
        <v>240</v>
      </c>
      <c r="D77" s="21" t="s">
        <v>260</v>
      </c>
      <c r="E77" s="13">
        <v>42805.476620370369</v>
      </c>
      <c r="F77" s="13">
        <v>42805.478402777779</v>
      </c>
      <c r="G77" s="7">
        <v>2</v>
      </c>
      <c r="H77" s="21" t="s">
        <v>549</v>
      </c>
      <c r="I77" s="13">
        <v>42805.505069444444</v>
      </c>
      <c r="J77" s="7">
        <v>0</v>
      </c>
      <c r="K77" s="98" t="str">
        <f t="shared" ref="K77:K140" si="30">IF(ISEVEN(B77),(B77-1)&amp;"/"&amp;B77,B77&amp;"/"&amp;(B77+1))</f>
        <v>4039/4040</v>
      </c>
      <c r="L77" s="21" t="str">
        <f>VLOOKUP(A77,'Trips&amp;Operators'!$C$1:$G$99999,5,FALSE)</f>
        <v>BRUDER RICHARD</v>
      </c>
      <c r="M77" s="6">
        <f t="shared" ref="M77:M140" si="31">I77-F77</f>
        <v>2.6666666664823424E-2</v>
      </c>
      <c r="N77" s="7">
        <f t="shared" si="25"/>
        <v>38.399999997345731</v>
      </c>
      <c r="O77" s="7"/>
      <c r="P77" s="7"/>
      <c r="Q77" s="22"/>
      <c r="R77" s="22"/>
      <c r="S77" s="31">
        <f t="shared" si="26"/>
        <v>1</v>
      </c>
      <c r="T77" s="46" t="str">
        <f t="shared" ref="T77:T140" si="32">IF(ISEVEN(LEFT(AD77,4)),"Southbound","NorthBound")</f>
        <v>NorthBound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-11T10:26:20-0700',mode:absolute,to:'2017-03-11T13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7" s="187" t="str">
        <f t="shared" ref="W77:W140" si="34">IF(AA77&lt;IF(AG77="EC",23,5.65),"Y","N")</f>
        <v>N</v>
      </c>
      <c r="X77" s="187">
        <f t="shared" ref="X77:X108" si="35">VALUE(LEFT(AD77,4))-VALUE(LEFT(AD76,4))</f>
        <v>1</v>
      </c>
      <c r="Y77" s="62">
        <f t="shared" ref="Y77:Y108" si="36">RIGHT(D77,LEN(D77)-4)/10000</f>
        <v>4.6699999999999998E-2</v>
      </c>
      <c r="Z77" s="62">
        <f t="shared" ref="Z77:Z108" si="37">RIGHT(H77,LEN(H77)-4)/10000</f>
        <v>23.330500000000001</v>
      </c>
      <c r="AA77" s="62">
        <f t="shared" ref="AA77:AA140" si="38">ABS(Z77-Y77)</f>
        <v>23.283799999999999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9">IF(LEN(A77)=6,"0"&amp;A77,A77)</f>
        <v>0163-11</v>
      </c>
      <c r="AE77" s="85" t="str">
        <f t="shared" ref="AE77:AE140" si="4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 &amp; aws s3 cp s3://rtdc.mdm.uploadarchive.raw/RTDC4040/ "%USERPROFILE%\AppData\Local\Temp\OnboardLogs"\RTDC4040\2017-03-12 --exclude "*" --recursive --include "*20170312*" &amp; "%USERPROFILE%\Documents\GitHub\mrs-test-scripts\Headless Mode &amp; Sideloading\WalkAndUnGZ.bat" "%USERPROFILE%\AppData\Local\Temp\OnboardLogs"\RTDC4040\2017-03-12</v>
      </c>
      <c r="AF77" s="82" t="str">
        <f t="shared" ref="AF77:AF140" si="41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/stypes="app*4040*20170311*" /stext=" 19:.+((SYSTEM_STATE.+slice.+state.+changed )|(ment ac)|(multiple cpu faults)|(system.+state.+changed )|(\[timeout)|(PRM\|1\|D)|(kpr)|(kdp)|(\|lc)|(penalty))"</v>
      </c>
      <c r="AG77" s="1" t="str">
        <f t="shared" ref="AG77:AG140" si="42">IFERROR(IF(VALUE(LEFT(AD77,2))&lt;=2,"EC",IF(OR(VALUE(LEFT(AD77,2))=8,VALUE(LEFT(AD77,2))=18),"NW","Other")),"Other")</f>
        <v>EC</v>
      </c>
      <c r="AH77" s="86" t="str">
        <f t="shared" si="17"/>
        <v>"%USERPROFILE%\Documents\GitHub\eaglep3\Utilities\RefineRTDCRunTimes.py" --tripid 163-11 --locoid 4040 --swversion DE.1.0.9.0 --startMP 204:467 --initTime 2017-03-11T11:26:20 --startdatetime 2017-03-11T11:28:54 --delay 2 --endMP 204:233305 --enddatetime 2017-03-11T12:07:18 --enforcementcount 0 &gt;&gt;C:\Users\stu\Documents\GitHub\eaglep3-reporting\EC\2017-03-11-refined-times.txt</v>
      </c>
      <c r="AI77" s="108" t="str">
        <f t="shared" si="18"/>
        <v>echo {"issue":{"subject":"","project_id":79,"tracker_id":40,"status_id":1,"priority_id":2,"assigned_to_id":23,"start_date":"2017-03-11","description":"","custom_fields":[{"id":1,"name":"Subdivision","value":"EC"},{"id":4,"name":"Milepost","value":"23.3305"},{"id":17,"name":"Train ID","value":"163-11"},{"id":16,"name":"Locomotive ID","value":"4040"},{"id":130,"name":"Impact","value":""},{"id":150,"name":"Time of Event (Mountain Time)","value":"12:07:18"},{"id":151,"name":"Denver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19"/>
        <v>start /low /b %USERPROFILE%\Documents\GitHub\eaglep3\Utilities\DownloadLogsFromS3.py --loco 4040 --day 2017-03-11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"%USERPROFILE%\AppData\Local\Temp\OnboardLogs"\RTDC4040\*4040*20170311* | grep -SE "(Enforcement Action)|(\[TIMEOUT)|(CHR.+\|PRM\|1\|D.+(SWITCH|SIGNAL).+UNKNOWN)" - &gt;&gt; 2017-03-11-UncaughtWiMAX.txt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590</v>
      </c>
      <c r="B78" s="7">
        <v>4039</v>
      </c>
      <c r="C78" s="21" t="s">
        <v>240</v>
      </c>
      <c r="D78" s="21" t="s">
        <v>497</v>
      </c>
      <c r="E78" s="13">
        <v>42805.514085648145</v>
      </c>
      <c r="F78" s="13">
        <v>42805.515196759261</v>
      </c>
      <c r="G78" s="7">
        <v>1</v>
      </c>
      <c r="H78" s="21" t="s">
        <v>231</v>
      </c>
      <c r="I78" s="13">
        <v>42805.547025462962</v>
      </c>
      <c r="J78" s="7">
        <v>0</v>
      </c>
      <c r="K78" s="98" t="str">
        <f t="shared" si="30"/>
        <v>4039/4040</v>
      </c>
      <c r="L78" s="21" t="str">
        <f>VLOOKUP(A78,'Trips&amp;Operators'!$C$1:$G$99999,5,FALSE)</f>
        <v>BRUDER RICHARD</v>
      </c>
      <c r="M78" s="6">
        <f t="shared" si="31"/>
        <v>3.1828703700739425E-2</v>
      </c>
      <c r="N78" s="7">
        <f t="shared" si="25"/>
        <v>45.833333329064772</v>
      </c>
      <c r="O78" s="7"/>
      <c r="P78" s="7"/>
      <c r="Q78" s="22"/>
      <c r="R78" s="22" t="s">
        <v>1007</v>
      </c>
      <c r="S78" s="31">
        <f t="shared" si="26"/>
        <v>1</v>
      </c>
      <c r="T78" s="46" t="str">
        <f t="shared" si="32"/>
        <v>Southbound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33"/>
        <v>https://d0f6bd738d7f1b3e5a7ca70fe4ff75f0.us-east-1.aws.found.io/app/kibana#/discover/Steve-Slow-Train-Analysis-(2080s-and-2083s)?_g=(refreshInterval:(display:Off,pause:!f,section:0,value:0),time:(from:'2017-03-11T11:20:17-0700',mode:absolute,to:'2017-03-11T14:07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8" s="187" t="str">
        <f t="shared" si="34"/>
        <v>N</v>
      </c>
      <c r="X78" s="187">
        <f t="shared" si="35"/>
        <v>1</v>
      </c>
      <c r="Y78" s="62">
        <f t="shared" si="36"/>
        <v>23.298400000000001</v>
      </c>
      <c r="Z78" s="62">
        <f t="shared" si="37"/>
        <v>1.5599999999999999E-2</v>
      </c>
      <c r="AA78" s="62">
        <f t="shared" si="38"/>
        <v>23.282800000000002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9"/>
        <v>0164-11</v>
      </c>
      <c r="AE78" s="85" t="str">
        <f t="shared" si="40"/>
        <v>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 &amp; aws s3 cp s3://rtdc.mdm.uploadarchive.raw/RTDC4039/ "%USERPROFILE%\AppData\Local\Temp\OnboardLogs"\RTDC4039\2017-03-12 --exclude "*" --recursive --include "*20170312*" &amp; "%USERPROFILE%\Documents\GitHub\mrs-test-scripts\Headless Mode &amp; Sideloading\WalkAndUnGZ.bat" "%USERPROFILE%\AppData\Local\Temp\OnboardLogs"\RTDC4039\2017-03-12</v>
      </c>
      <c r="AF78" s="82" t="str">
        <f t="shared" si="41"/>
        <v>"C:\Program Files (x86)\AstroGrep\AstroGrep.exe" /e /r /s /spath="%USERPROFILE%\AppData\Local\Temp\OnboardLogs" /stypes="app*4039*20170311*" /stext=" 20:.+((SYSTEM_STATE.+slice.+state.+changed )|(ment ac)|(multiple cpu faults)|(system.+state.+changed )|(\[timeout)|(PRM\|1\|D)|(kpr)|(kdp)|(\|lc)|(penalty))"</v>
      </c>
      <c r="AG78" s="1" t="str">
        <f t="shared" si="42"/>
        <v>EC</v>
      </c>
      <c r="AH78" s="86" t="str">
        <f t="shared" si="17"/>
        <v>"%USERPROFILE%\Documents\GitHub\eaglep3\Utilities\RefineRTDCRunTimes.py" --tripid 164-11 --locoid 4039 --swversion DE.1.0.9.0 --startMP 204:232984 --initTime 2017-03-11T12:20:17 --startdatetime 2017-03-11T12:21:53 --delay 1 --endMP 204:156 --enddatetime 2017-03-11T13:07:43 --enforcementcount 0 &gt;&gt;C:\Users\stu\Documents\GitHub\eaglep3-reporting\EC\2017-03-11-refined-times.txt</v>
      </c>
      <c r="AI78" s="108" t="str">
        <f t="shared" si="18"/>
        <v>echo {"issue":{"subject":"Wi-MAX data drop, did not cause enforcement","project_id":79,"tracker_id":40,"status_id":1,"priority_id":2,"assigned_to_id":23,"start_date":"2017-03-11","description":"","custom_fields":[{"id":1,"name":"Subdivision","value":"EC"},{"id":4,"name":"Milepost","value":"0.0156"},{"id":17,"name":"Train ID","value":"164-11"},{"id":16,"name":"Locomotive ID","value":"4039"},{"id":130,"name":"Impact","value":""},{"id":150,"name":"Time of Event (Mountain Time)","value":"13:07:43"},{"id":151,"name":"Denver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19"/>
        <v>start /low /b %USERPROFILE%\Documents\GitHub\eaglep3\Utilities\DownloadLogsFromS3.py --loco 4039 --day 2017-03-11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"%USERPROFILE%\AppData\Local\Temp\OnboardLogs"\RTDC4039\*4039*20170311* | grep -SE "(Enforcement Action)|(\[TIMEOUT)|(CHR.+\|PRM\|1\|D.+(SWITCH|SIGNAL).+UNKNOWN)" - &gt;&gt; 2017-03-11-UncaughtWiMAX.txt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720</v>
      </c>
      <c r="B79" s="7">
        <v>4006</v>
      </c>
      <c r="C79" s="21" t="s">
        <v>240</v>
      </c>
      <c r="D79" s="21" t="s">
        <v>264</v>
      </c>
      <c r="E79" s="13">
        <v>42805.484965277778</v>
      </c>
      <c r="F79" s="13">
        <v>42805.486111111109</v>
      </c>
      <c r="G79" s="7">
        <v>1</v>
      </c>
      <c r="H79" s="21" t="s">
        <v>548</v>
      </c>
      <c r="I79" s="13">
        <v>42805.515231481484</v>
      </c>
      <c r="J79" s="7">
        <v>0</v>
      </c>
      <c r="K79" s="98" t="str">
        <f t="shared" si="30"/>
        <v>4005/4006</v>
      </c>
      <c r="L79" s="21" t="str">
        <f>VLOOKUP(A79,'Trips&amp;Operators'!$C$1:$G$99999,5,FALSE)</f>
        <v>HOLCOMB KAMDEN</v>
      </c>
      <c r="M79" s="6">
        <f t="shared" si="31"/>
        <v>2.9120370374585036E-2</v>
      </c>
      <c r="N79" s="7">
        <f t="shared" si="25"/>
        <v>41.933333339402452</v>
      </c>
      <c r="O79" s="7"/>
      <c r="P79" s="7"/>
      <c r="Q79" s="22"/>
      <c r="R79" s="22"/>
      <c r="S79" s="31">
        <f t="shared" si="26"/>
        <v>1</v>
      </c>
      <c r="T79" s="46" t="str">
        <f t="shared" si="32"/>
        <v>NorthBound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33"/>
        <v>https://d0f6bd738d7f1b3e5a7ca70fe4ff75f0.us-east-1.aws.found.io/app/kibana#/discover/Steve-Slow-Train-Analysis-(2080s-and-2083s)?_g=(refreshInterval:(display:Off,pause:!f,section:0,value:0),time:(from:'2017-03-11T10:38:21-0700',mode:absolute,to:'2017-03-11T13:21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9" s="187" t="str">
        <f t="shared" si="34"/>
        <v>N</v>
      </c>
      <c r="X79" s="187">
        <f t="shared" si="35"/>
        <v>1</v>
      </c>
      <c r="Y79" s="62">
        <f t="shared" si="36"/>
        <v>4.4200000000000003E-2</v>
      </c>
      <c r="Z79" s="62">
        <f t="shared" si="37"/>
        <v>23.331700000000001</v>
      </c>
      <c r="AA79" s="62">
        <f t="shared" si="38"/>
        <v>23.287500000000001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9"/>
        <v>0165-11</v>
      </c>
      <c r="AE79" s="85" t="str">
        <f t="shared" si="40"/>
        <v>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 &amp; 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</v>
      </c>
      <c r="AF79" s="82" t="str">
        <f t="shared" si="41"/>
        <v>"C:\Program Files (x86)\AstroGrep\AstroGrep.exe" /e /r /s /spath="%USERPROFILE%\AppData\Local\Temp\OnboardLogs" /stypes="app*4006*20170311*" /stext=" 19:.+((SYSTEM_STATE.+slice.+state.+changed )|(ment ac)|(multiple cpu faults)|(system.+state.+changed )|(\[timeout)|(PRM\|1\|D)|(kpr)|(kdp)|(\|lc)|(penalty))"</v>
      </c>
      <c r="AG79" s="1" t="str">
        <f t="shared" si="42"/>
        <v>EC</v>
      </c>
      <c r="AH79" s="86" t="str">
        <f t="shared" ref="AH79:AH142" si="43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165-11 --locoid 4006 --swversion DE.1.0.9.0 --startMP 204:442 --initTime 2017-03-11T11:38:21 --startdatetime 2017-03-11T11:40:00 --delay 1 --endMP 204:233317 --enddatetime 2017-03-11T12:21:56 --enforcementcount 0 &gt;&gt;C:\Users\stu\Documents\GitHub\eaglep3-reporting\EC\2017-03-11-refined-times.txt</v>
      </c>
      <c r="AI79" s="108" t="str">
        <f t="shared" ref="AI79:AI142" si="44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{"issue":{"subject":"","project_id":79,"tracker_id":40,"status_id":1,"priority_id":2,"assigned_to_id":23,"start_date":"2017-03-11","description":"","custom_fields":[{"id":1,"name":"Subdivision","value":"EC"},{"id":4,"name":"Milepost","value":"23.3317"},{"id":17,"name":"Train ID","value":"165-11"},{"id":16,"name":"Locomotive ID","value":"4006"},{"id":130,"name":"Impact","value":""},{"id":150,"name":"Time of Event (Mountain Time)","value":"12:21:56"},{"id":151,"name":"Denver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ref="AM79:AM142" si="45">"start /low /b "&amp;dls3logs&amp;" --loco "&amp;B79&amp;" --day "&amp;TEXT(F79,"YYYY-MM-DD")</f>
        <v>start /low /b %USERPROFILE%\Documents\GitHub\eaglep3\Utilities\DownloadLogsFromS3.py --loco 4006 --day 2017-03-11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"%USERPROFILE%\AppData\Local\Temp\OnboardLogs"\RTDC4006\*4006*20170311* | grep -SE "(Enforcement Action)|(\[TIMEOUT)|(CHR.+\|PRM\|1\|D.+(SWITCH|SIGNAL).+UNKNOWN)" - &gt;&gt; 2017-03-11-UncaughtWiMAX.txt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592</v>
      </c>
      <c r="B80" s="7">
        <v>4005</v>
      </c>
      <c r="C80" s="21" t="s">
        <v>240</v>
      </c>
      <c r="D80" s="21" t="s">
        <v>437</v>
      </c>
      <c r="E80" s="13">
        <v>42805.520381944443</v>
      </c>
      <c r="F80" s="13">
        <v>42805.521273148152</v>
      </c>
      <c r="G80" s="7">
        <v>1</v>
      </c>
      <c r="H80" s="21" t="s">
        <v>871</v>
      </c>
      <c r="I80" s="13">
        <v>42805.556666666664</v>
      </c>
      <c r="J80" s="7">
        <v>0</v>
      </c>
      <c r="K80" s="98" t="str">
        <f t="shared" si="30"/>
        <v>4005/4006</v>
      </c>
      <c r="L80" s="21" t="str">
        <f>VLOOKUP(A80,'Trips&amp;Operators'!$C$1:$G$99999,5,FALSE)</f>
        <v>HOLCOMB KAMDEN</v>
      </c>
      <c r="M80" s="6">
        <f t="shared" si="31"/>
        <v>3.5393518512137234E-2</v>
      </c>
      <c r="N80" s="7">
        <f t="shared" si="25"/>
        <v>50.966666657477617</v>
      </c>
      <c r="O80" s="7"/>
      <c r="P80" s="7"/>
      <c r="Q80" s="22"/>
      <c r="R80" s="22"/>
      <c r="S80" s="31">
        <f t="shared" si="26"/>
        <v>1</v>
      </c>
      <c r="T80" s="46" t="str">
        <f t="shared" si="32"/>
        <v>Southbound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33"/>
        <v>https://d0f6bd738d7f1b3e5a7ca70fe4ff75f0.us-east-1.aws.found.io/app/kibana#/discover/Steve-Slow-Train-Analysis-(2080s-and-2083s)?_g=(refreshInterval:(display:Off,pause:!f,section:0,value:0),time:(from:'2017-03-11T11:29:21-0700',mode:absolute,to:'2017-03-11T14:21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0" s="187" t="str">
        <f t="shared" si="34"/>
        <v>N</v>
      </c>
      <c r="X80" s="187">
        <f t="shared" si="35"/>
        <v>1</v>
      </c>
      <c r="Y80" s="62">
        <f t="shared" si="36"/>
        <v>23.3019</v>
      </c>
      <c r="Z80" s="62">
        <f t="shared" si="37"/>
        <v>1.2500000000000001E-2</v>
      </c>
      <c r="AA80" s="62">
        <f t="shared" si="38"/>
        <v>23.289400000000001</v>
      </c>
      <c r="AB80" s="59" t="str">
        <f>VLOOKUP(A80,Enforcements!$C$7:$K$13,8,0)</f>
        <v>Bulletin (2)</v>
      </c>
      <c r="AC80" s="55" t="str">
        <f>VLOOKUP(A80,Enforcements!$C$7:$E$13,3,0)</f>
        <v>GRADE CROSSING</v>
      </c>
      <c r="AD80" s="56" t="str">
        <f t="shared" si="39"/>
        <v>0166-11</v>
      </c>
      <c r="AE80" s="85" t="str">
        <f t="shared" si="40"/>
        <v>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 &amp; 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</v>
      </c>
      <c r="AF80" s="82" t="str">
        <f t="shared" si="41"/>
        <v>"C:\Program Files (x86)\AstroGrep\AstroGrep.exe" /e /r /s /spath="%USERPROFILE%\AppData\Local\Temp\OnboardLogs" /stypes="app*4005*20170311*" /stext=" 20:.+((SYSTEM_STATE.+slice.+state.+changed )|(ment ac)|(multiple cpu faults)|(system.+state.+changed )|(\[timeout)|(PRM\|1\|D)|(kpr)|(kdp)|(\|lc)|(penalty))"</v>
      </c>
      <c r="AG80" s="1" t="str">
        <f t="shared" si="42"/>
        <v>EC</v>
      </c>
      <c r="AH80" s="86" t="str">
        <f t="shared" si="43"/>
        <v>"%USERPROFILE%\Documents\GitHub\eaglep3\Utilities\RefineRTDCRunTimes.py" --tripid 166-11 --locoid 4005 --swversion DE.1.0.9.0 --startMP 204:233019 --initTime 2017-03-11T12:29:21 --startdatetime 2017-03-11T12:30:38 --delay 1 --endMP 204:125 --enddatetime 2017-03-11T13:21:36 --enforcementcount 0 &gt;&gt;C:\Users\stu\Documents\GitHub\eaglep3-reporting\EC\2017-03-11-refined-times.txt</v>
      </c>
      <c r="AI80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{"issue":{"subject":"","project_id":79,"tracker_id":40,"status_id":1,"priority_id":2,"assigned_to_id":23,"start_date":"2017-03-11","description":"","custom_fields":[{"id":1,"name":"Subdivision","value":"EC"},{"id":4,"name":"Milepost","value":"0.0125"},{"id":17,"name":"Train ID","value":"166-11"},{"id":16,"name":"Locomotive ID","value":"4005"},{"id":130,"name":"Impact","value":""},{"id":150,"name":"Time of Event (Mountain Time)","value":"13:21:36"},{"id":151,"name":"Denver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5"/>
        <v>start /low /b %USERPROFILE%\Documents\GitHub\eaglep3\Utilities\DownloadLogsFromS3.py --loco 4005 --day 2017-03-11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"%USERPROFILE%\AppData\Local\Temp\OnboardLogs"\RTDC4005\*4005*20170311* | grep -SE "(Enforcement Action)|(\[TIMEOUT)|(CHR.+\|PRM\|1\|D.+(SWITCH|SIGNAL).+UNKNOWN)" - &gt;&gt; 2017-03-11-UncaughtWiMAX.txt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x14ac:dyDescent="0.25">
      <c r="A81" s="33" t="s">
        <v>724</v>
      </c>
      <c r="B81" s="7">
        <v>4029</v>
      </c>
      <c r="C81" s="21" t="s">
        <v>240</v>
      </c>
      <c r="D81" s="21" t="s">
        <v>547</v>
      </c>
      <c r="E81" s="13">
        <v>42805.495775462965</v>
      </c>
      <c r="F81" s="13">
        <v>42805.497303240743</v>
      </c>
      <c r="G81" s="7">
        <v>2</v>
      </c>
      <c r="H81" s="21" t="s">
        <v>872</v>
      </c>
      <c r="I81" s="13">
        <v>42805.525358796294</v>
      </c>
      <c r="J81" s="7">
        <v>0</v>
      </c>
      <c r="K81" s="98" t="str">
        <f t="shared" si="30"/>
        <v>4029/4030</v>
      </c>
      <c r="L81" s="21" t="str">
        <f>VLOOKUP(A81,'Trips&amp;Operators'!$C$1:$G$99999,5,FALSE)</f>
        <v>LEVIN SCOTT</v>
      </c>
      <c r="M81" s="6">
        <f t="shared" si="31"/>
        <v>2.8055555550963618E-2</v>
      </c>
      <c r="N81" s="7">
        <f t="shared" si="25"/>
        <v>40.39999999338761</v>
      </c>
      <c r="O81" s="7"/>
      <c r="P81" s="7"/>
      <c r="Q81" s="22"/>
      <c r="R81" s="22"/>
      <c r="S81" s="31">
        <f t="shared" si="26"/>
        <v>1</v>
      </c>
      <c r="T81" s="46" t="str">
        <f t="shared" si="32"/>
        <v>NorthBound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33"/>
        <v>https://d0f6bd738d7f1b3e5a7ca70fe4ff75f0.us-east-1.aws.found.io/app/kibana#/discover/Steve-Slow-Train-Analysis-(2080s-and-2083s)?_g=(refreshInterval:(display:Off,pause:!f,section:0,value:0),time:(from:'2017-03-11T10:53:55-0700',mode:absolute,to:'2017-03-11T13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1" s="187" t="str">
        <f t="shared" si="34"/>
        <v>N</v>
      </c>
      <c r="X81" s="187">
        <f t="shared" si="35"/>
        <v>1</v>
      </c>
      <c r="Y81" s="62">
        <f t="shared" si="36"/>
        <v>4.8000000000000001E-2</v>
      </c>
      <c r="Z81" s="62">
        <f t="shared" si="37"/>
        <v>23.337800000000001</v>
      </c>
      <c r="AA81" s="62">
        <f t="shared" si="38"/>
        <v>23.289800000000003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9"/>
        <v>0167-11</v>
      </c>
      <c r="AE81" s="85" t="str">
        <f t="shared" si="40"/>
        <v>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 &amp; aws s3 cp s3://rtdc.mdm.uploadarchive.raw/RTDC4029/ "%USERPROFILE%\AppData\Local\Temp\OnboardLogs"\RTDC4029\2017-03-12 --exclude "*" --recursive --include "*20170312*" &amp; "%USERPROFILE%\Documents\GitHub\mrs-test-scripts\Headless Mode &amp; Sideloading\WalkAndUnGZ.bat" "%USERPROFILE%\AppData\Local\Temp\OnboardLogs"\RTDC4029\2017-03-12</v>
      </c>
      <c r="AF81" s="82" t="str">
        <f t="shared" si="41"/>
        <v>"C:\Program Files (x86)\AstroGrep\AstroGrep.exe" /e /r /s /spath="%USERPROFILE%\AppData\Local\Temp\OnboardLogs" /stypes="app*4029*20170311*" /stext=" 19:.+((SYSTEM_STATE.+slice.+state.+changed )|(ment ac)|(multiple cpu faults)|(system.+state.+changed )|(\[timeout)|(PRM\|1\|D)|(kpr)|(kdp)|(\|lc)|(penalty))"</v>
      </c>
      <c r="AG81" s="1" t="str">
        <f t="shared" si="42"/>
        <v>EC</v>
      </c>
      <c r="AH81" s="86" t="str">
        <f t="shared" si="43"/>
        <v>"%USERPROFILE%\Documents\GitHub\eaglep3\Utilities\RefineRTDCRunTimes.py" --tripid 167-11 --locoid 4029 --swversion DE.1.0.9.0 --startMP 204:480 --initTime 2017-03-11T11:53:55 --startdatetime 2017-03-11T11:56:07 --delay 2 --endMP 204:233378 --enddatetime 2017-03-11T12:36:31 --enforcementcount 0 &gt;&gt;C:\Users\stu\Documents\GitHub\eaglep3-reporting\EC\2017-03-11-refined-times.txt</v>
      </c>
      <c r="AI81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{"issue":{"subject":"","project_id":79,"tracker_id":40,"status_id":1,"priority_id":2,"assigned_to_id":23,"start_date":"2017-03-11","description":"","custom_fields":[{"id":1,"name":"Subdivision","value":"EC"},{"id":4,"name":"Milepost","value":"23.3378"},{"id":17,"name":"Train ID","value":"167-11"},{"id":16,"name":"Locomotive ID","value":"4029"},{"id":130,"name":"Impact","value":""},{"id":150,"name":"Time of Event (Mountain Time)","value":"12:36:31"},{"id":151,"name":"Denver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5"/>
        <v>start /low /b %USERPROFILE%\Documents\GitHub\eaglep3\Utilities\DownloadLogsFromS3.py --loco 4029 --day 2017-03-11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"%USERPROFILE%\AppData\Local\Temp\OnboardLogs"\RTDC4029\*4029*20170311* | grep -SE "(Enforcement Action)|(\[TIMEOUT)|(CHR.+\|PRM\|1\|D.+(SWITCH|SIGNAL).+UNKNOWN)" - &gt;&gt; 2017-03-11-UncaughtWiMAX.txt</v>
      </c>
    </row>
    <row r="82" spans="1:91" s="20" customFormat="1" x14ac:dyDescent="0.25">
      <c r="A82" s="33" t="s">
        <v>593</v>
      </c>
      <c r="B82" s="7">
        <v>4030</v>
      </c>
      <c r="C82" s="21" t="s">
        <v>240</v>
      </c>
      <c r="D82" s="21" t="s">
        <v>873</v>
      </c>
      <c r="E82" s="13">
        <v>42805.533761574072</v>
      </c>
      <c r="F82" s="13">
        <v>42805.534745370373</v>
      </c>
      <c r="G82" s="7">
        <v>1</v>
      </c>
      <c r="H82" s="21" t="s">
        <v>874</v>
      </c>
      <c r="I82" s="13">
        <v>42805.555914351855</v>
      </c>
      <c r="J82" s="7">
        <v>0</v>
      </c>
      <c r="K82" s="98" t="str">
        <f t="shared" si="30"/>
        <v>4029/4030</v>
      </c>
      <c r="L82" s="21" t="str">
        <f>VLOOKUP(A82,'Trips&amp;Operators'!$C$1:$G$99999,5,FALSE)</f>
        <v>LEVIN SCOTT</v>
      </c>
      <c r="M82" s="6">
        <f t="shared" si="31"/>
        <v>2.1168981482333038E-2</v>
      </c>
      <c r="N82" s="7"/>
      <c r="O82" s="7"/>
      <c r="P82" s="7">
        <f>24*60*SUM($M82:$M83)</f>
        <v>40.899999995017424</v>
      </c>
      <c r="Q82" s="22"/>
      <c r="R82" s="22" t="s">
        <v>578</v>
      </c>
      <c r="S82" s="31">
        <f>SUM(U82:U83)/IF(AG82="EC",12,1)</f>
        <v>0.5</v>
      </c>
      <c r="T82" s="46" t="str">
        <f t="shared" si="32"/>
        <v>Southbound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3</v>
      </c>
      <c r="V82" s="186" t="str">
        <f t="shared" si="33"/>
        <v>https://d0f6bd738d7f1b3e5a7ca70fe4ff75f0.us-east-1.aws.found.io/app/kibana#/discover/Steve-Slow-Train-Analysis-(2080s-and-2083s)?_g=(refreshInterval:(display:Off,pause:!f,section:0,value:0),time:(from:'2017-03-11T11:48:37-0700',mode:absolute,to:'2017-03-11T14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2" s="187" t="str">
        <f t="shared" si="34"/>
        <v>Y</v>
      </c>
      <c r="X82" s="187">
        <f t="shared" si="35"/>
        <v>1</v>
      </c>
      <c r="Y82" s="62">
        <f t="shared" si="36"/>
        <v>23.305099999999999</v>
      </c>
      <c r="Z82" s="62">
        <f t="shared" si="37"/>
        <v>6.4034000000000004</v>
      </c>
      <c r="AA82" s="62">
        <f t="shared" si="38"/>
        <v>16.901699999999998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9"/>
        <v>0168-11</v>
      </c>
      <c r="AE82" s="85" t="str">
        <f t="shared" si="40"/>
        <v>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 &amp; aws s3 cp s3://rtdc.mdm.uploadarchive.raw/RTDC4030/ "%USERPROFILE%\AppData\Local\Temp\OnboardLogs"\RTDC4030\2017-03-12 --exclude "*" --recursive --include "*20170312*" &amp; "%USERPROFILE%\Documents\GitHub\mrs-test-scripts\Headless Mode &amp; Sideloading\WalkAndUnGZ.bat" "%USERPROFILE%\AppData\Local\Temp\OnboardLogs"\RTDC4030\2017-03-12</v>
      </c>
      <c r="AF82" s="82" t="str">
        <f t="shared" si="41"/>
        <v>"C:\Program Files (x86)\AstroGrep\AstroGrep.exe" /e /r /s /spath="%USERPROFILE%\AppData\Local\Temp\OnboardLogs" /stypes="app*4030*20170311*" /stext=" 20:.+((SYSTEM_STATE.+slice.+state.+changed )|(ment ac)|(multiple cpu faults)|(system.+state.+changed )|(\[timeout)|(PRM\|1\|D)|(kpr)|(kdp)|(\|lc)|(penalty))"</v>
      </c>
      <c r="AG82" s="1" t="str">
        <f t="shared" si="42"/>
        <v>EC</v>
      </c>
      <c r="AH82" s="86" t="str">
        <f t="shared" si="43"/>
        <v>"%USERPROFILE%\Documents\GitHub\eaglep3\Utilities\RefineRTDCRunTimes.py" --tripid 168-11 --locoid 4030 --swversion DE.1.0.9.0 --startMP 204:233051 --initTime 2017-03-11T12:48:37 --startdatetime 2017-03-11T12:50:02 --delay 1 --endMP 204:64034 --enddatetime 2017-03-11T13:20:31 --enforcementcount 0 &gt;&gt;C:\Users\stu\Documents\GitHub\eaglep3-reporting\EC\2017-03-11-refined-times.txt</v>
      </c>
      <c r="AI82" s="108" t="str">
        <f t="shared" si="44"/>
        <v>echo {"issue":{"subject":"Onboard in-route failure","project_id":79,"tracker_id":40,"status_id":1,"priority_id":2,"assigned_to_id":23,"start_date":"2017-03-11","description":"","custom_fields":[{"id":1,"name":"Subdivision","value":"EC"},{"id":4,"name":"Milepost","value":"6.4034"},{"id":17,"name":"Train ID","value":"168-11"},{"id":16,"name":"Locomotive ID","value":"4030"},{"id":130,"name":"Impact","value":""},{"id":150,"name":"Time of Event (Mountain Time)","value":"13:20:31"},{"id":151,"name":"Denver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5"/>
        <v>start /low /b %USERPROFILE%\Documents\GitHub\eaglep3\Utilities\DownloadLogsFromS3.py --loco 4030 --day 2017-03-11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"%USERPROFILE%\AppData\Local\Temp\OnboardLogs"\RTDC4030\*4030*20170311* | grep -SE "(Enforcement Action)|(\[TIMEOUT)|(CHR.+\|PRM\|1\|D.+(SWITCH|SIGNAL).+UNKNOWN)" - &gt;&gt; 2017-03-11-UncaughtWiMAX.txt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593</v>
      </c>
      <c r="B83" s="7">
        <v>4030</v>
      </c>
      <c r="C83" s="21" t="s">
        <v>240</v>
      </c>
      <c r="D83" s="21" t="s">
        <v>875</v>
      </c>
      <c r="E83" s="13">
        <v>42805.560277777775</v>
      </c>
      <c r="F83" s="13">
        <v>42805.560891203706</v>
      </c>
      <c r="G83" s="7">
        <v>0</v>
      </c>
      <c r="H83" s="21" t="s">
        <v>413</v>
      </c>
      <c r="I83" s="13">
        <v>42805.568124999998</v>
      </c>
      <c r="J83" s="7">
        <v>0</v>
      </c>
      <c r="K83" s="98" t="str">
        <f t="shared" si="30"/>
        <v>4029/4030</v>
      </c>
      <c r="L83" s="21" t="str">
        <f>VLOOKUP(A83,'Trips&amp;Operators'!$C$1:$G$99999,5,FALSE)</f>
        <v>LEVIN SCOTT</v>
      </c>
      <c r="M83" s="6">
        <f t="shared" si="31"/>
        <v>7.2337962919846177E-3</v>
      </c>
      <c r="N83" s="7"/>
      <c r="O83" s="7"/>
      <c r="P83" s="7"/>
      <c r="Q83" s="22"/>
      <c r="R83" s="22"/>
      <c r="S83" s="31"/>
      <c r="T83" s="46" t="str">
        <f t="shared" si="32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3</v>
      </c>
      <c r="V83" s="186" t="str">
        <f t="shared" si="33"/>
        <v>https://d0f6bd738d7f1b3e5a7ca70fe4ff75f0.us-east-1.aws.found.io/app/kibana#/discover/Steve-Slow-Train-Analysis-(2080s-and-2083s)?_g=(refreshInterval:(display:Off,pause:!f,section:0,value:0),time:(from:'2017-03-11T12:26:48-0700',mode:absolute,to:'2017-03-11T14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3" s="187" t="str">
        <f t="shared" si="34"/>
        <v>Y</v>
      </c>
      <c r="X83" s="187">
        <f t="shared" si="35"/>
        <v>0</v>
      </c>
      <c r="Y83" s="62">
        <f t="shared" si="36"/>
        <v>3.6770999999999998</v>
      </c>
      <c r="Z83" s="62">
        <f t="shared" si="37"/>
        <v>1.43E-2</v>
      </c>
      <c r="AA83" s="62">
        <f t="shared" si="38"/>
        <v>3.6627999999999998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9"/>
        <v>0168-11</v>
      </c>
      <c r="AE83" s="85" t="str">
        <f t="shared" si="40"/>
        <v>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 &amp; aws s3 cp s3://rtdc.mdm.uploadarchive.raw/RTDC4030/ "%USERPROFILE%\AppData\Local\Temp\OnboardLogs"\RTDC4030\2017-03-12 --exclude "*" --recursive --include "*20170312*" &amp; "%USERPROFILE%\Documents\GitHub\mrs-test-scripts\Headless Mode &amp; Sideloading\WalkAndUnGZ.bat" "%USERPROFILE%\AppData\Local\Temp\OnboardLogs"\RTDC4030\2017-03-12</v>
      </c>
      <c r="AF83" s="82" t="str">
        <f t="shared" si="41"/>
        <v>"C:\Program Files (x86)\AstroGrep\AstroGrep.exe" /e /r /s /spath="%USERPROFILE%\AppData\Local\Temp\OnboardLogs" /stypes="app*4030*20170311*" /stext=" 20:.+((SYSTEM_STATE.+slice.+state.+changed )|(ment ac)|(multiple cpu faults)|(system.+state.+changed )|(\[timeout)|(PRM\|1\|D)|(kpr)|(kdp)|(\|lc)|(penalty))"</v>
      </c>
      <c r="AG83" s="1" t="str">
        <f t="shared" si="42"/>
        <v>EC</v>
      </c>
      <c r="AH83" s="86" t="str">
        <f t="shared" si="43"/>
        <v>"%USERPROFILE%\Documents\GitHub\eaglep3\Utilities\RefineRTDCRunTimes.py" --tripid 168-11 --locoid 4030 --swversion DE.1.0.9.0 --startMP 204:36771 --initTime 2017-03-11T13:26:48 --startdatetime 2017-03-11T13:27:41 --delay 0 --endMP 204:143 --enddatetime 2017-03-11T13:38:06 --enforcementcount 0 &gt;&gt;C:\Users\stu\Documents\GitHub\eaglep3-reporting\EC\2017-03-11-refined-times.txt</v>
      </c>
      <c r="AI83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{"issue":{"subject":"","project_id":79,"tracker_id":40,"status_id":1,"priority_id":2,"assigned_to_id":23,"start_date":"2017-03-11","description":"","custom_fields":[{"id":1,"name":"Subdivision","value":"EC"},{"id":4,"name":"Milepost","value":"0.0143"},{"id":17,"name":"Train ID","value":"168-11"},{"id":16,"name":"Locomotive ID","value":"4030"},{"id":130,"name":"Impact","value":""},{"id":150,"name":"Time of Event (Mountain Time)","value":"13:38:06"},{"id":151,"name":"Denver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5"/>
        <v>start /low /b %USERPROFILE%\Documents\GitHub\eaglep3\Utilities\DownloadLogsFromS3.py --loco 4030 --day 2017-03-11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"%USERPROFILE%\AppData\Local\Temp\OnboardLogs"\RTDC4030\*4030*20170311* | grep -SE "(Enforcement Action)|(\[TIMEOUT)|(CHR.+\|PRM\|1\|D.+(SWITCH|SIGNAL).+UNKNOWN)" - &gt;&gt; 2017-03-11-UncaughtWiMAX.txt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730</v>
      </c>
      <c r="B84" s="7">
        <v>4044</v>
      </c>
      <c r="C84" s="21" t="s">
        <v>240</v>
      </c>
      <c r="D84" s="21" t="s">
        <v>876</v>
      </c>
      <c r="E84" s="13">
        <v>42805.506365740737</v>
      </c>
      <c r="F84" s="13">
        <v>42805.508101851854</v>
      </c>
      <c r="G84" s="7">
        <v>2</v>
      </c>
      <c r="H84" s="21" t="s">
        <v>877</v>
      </c>
      <c r="I84" s="13">
        <v>42805.535856481481</v>
      </c>
      <c r="J84" s="7">
        <v>0</v>
      </c>
      <c r="K84" s="98" t="str">
        <f t="shared" si="30"/>
        <v>4043/4044</v>
      </c>
      <c r="L84" s="21" t="str">
        <f>VLOOKUP(A84,'Trips&amp;Operators'!$C$1:$G$99999,5,FALSE)</f>
        <v>ROMERO CHAD</v>
      </c>
      <c r="M84" s="6">
        <f t="shared" si="31"/>
        <v>2.7754629627452232E-2</v>
      </c>
      <c r="N84" s="7">
        <f t="shared" ref="N84:N92" si="46">24*60*SUM($M84:$M84)</f>
        <v>39.966666663531214</v>
      </c>
      <c r="O84" s="7"/>
      <c r="P84" s="7"/>
      <c r="Q84" s="22"/>
      <c r="R84" s="22"/>
      <c r="S84" s="31">
        <f t="shared" ref="S84:S92" si="47">SUM(U84:U84)/IF(AG84="EC",12,1)</f>
        <v>1</v>
      </c>
      <c r="T84" s="46" t="str">
        <f t="shared" si="32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33"/>
        <v>https://d0f6bd738d7f1b3e5a7ca70fe4ff75f0.us-east-1.aws.found.io/app/kibana#/discover/Steve-Slow-Train-Analysis-(2080s-and-2083s)?_g=(refreshInterval:(display:Off,pause:!f,section:0,value:0),time:(from:'2017-03-11T11:09:10-0700',mode:absolute,to:'2017-03-11T13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4" s="187" t="str">
        <f t="shared" si="34"/>
        <v>N</v>
      </c>
      <c r="X84" s="187">
        <f t="shared" si="35"/>
        <v>1</v>
      </c>
      <c r="Y84" s="62">
        <f t="shared" si="36"/>
        <v>3.95E-2</v>
      </c>
      <c r="Z84" s="62">
        <f t="shared" si="37"/>
        <v>23.3368</v>
      </c>
      <c r="AA84" s="62">
        <f t="shared" si="38"/>
        <v>23.2973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9"/>
        <v>0169-11</v>
      </c>
      <c r="AE84" s="85" t="str">
        <f t="shared" si="40"/>
        <v>aws s3 cp s3://rtdc.mdm.uploadarchive.raw/RTDC4044/ "%USERPROFILE%\AppData\Local\Temp\OnboardLogs"\RTDC4044\2017-03-11 --exclude "*" --recursive --include "*20170311*" &amp; "%USERPROFILE%\Documents\GitHub\mrs-test-scripts\Headless Mode &amp; Sideloading\WalkAndUnGZ.bat" "%USERPROFILE%\AppData\Local\Temp\OnboardLogs"\RTDC4044\2017-03-11 &amp; aws s3 cp s3://rtdc.mdm.uploadarchive.raw/RTDC4044/ "%USERPROFILE%\AppData\Local\Temp\OnboardLogs"\RTDC4044\2017-03-12 --exclude "*" --recursive --include "*20170312*" &amp; "%USERPROFILE%\Documents\GitHub\mrs-test-scripts\Headless Mode &amp; Sideloading\WalkAndUnGZ.bat" "%USERPROFILE%\AppData\Local\Temp\OnboardLogs"\RTDC4044\2017-03-12</v>
      </c>
      <c r="AF84" s="82" t="str">
        <f t="shared" si="41"/>
        <v>"C:\Program Files (x86)\AstroGrep\AstroGrep.exe" /e /r /s /spath="%USERPROFILE%\AppData\Local\Temp\OnboardLogs" /stypes="app*4044*20170311*" /stext=" 19:.+((SYSTEM_STATE.+slice.+state.+changed )|(ment ac)|(multiple cpu faults)|(system.+state.+changed )|(\[timeout)|(PRM\|1\|D)|(kpr)|(kdp)|(\|lc)|(penalty))"</v>
      </c>
      <c r="AG84" s="1" t="str">
        <f t="shared" si="42"/>
        <v>EC</v>
      </c>
      <c r="AH84" s="86" t="str">
        <f t="shared" si="43"/>
        <v>"%USERPROFILE%\Documents\GitHub\eaglep3\Utilities\RefineRTDCRunTimes.py" --tripid 169-11 --locoid 4044 --swversion DE.1.0.9.0 --startMP 204:395 --initTime 2017-03-11T12:09:10 --startdatetime 2017-03-11T12:11:40 --delay 2 --endMP 204:233368 --enddatetime 2017-03-11T12:51:38 --enforcementcount 0 &gt;&gt;C:\Users\stu\Documents\GitHub\eaglep3-reporting\EC\2017-03-11-refined-times.txt</v>
      </c>
      <c r="AI84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{"issue":{"subject":"","project_id":79,"tracker_id":40,"status_id":1,"priority_id":2,"assigned_to_id":23,"start_date":"2017-03-11","description":"","custom_fields":[{"id":1,"name":"Subdivision","value":"EC"},{"id":4,"name":"Milepost","value":"23.3368"},{"id":17,"name":"Train ID","value":"169-11"},{"id":16,"name":"Locomotive ID","value":"4044"},{"id":130,"name":"Impact","value":""},{"id":150,"name":"Time of Event (Mountain Time)","value":"12:51:38"},{"id":151,"name":"Denver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5"/>
        <v>start /low /b %USERPROFILE%\Documents\GitHub\eaglep3\Utilities\DownloadLogsFromS3.py --loco 4044 --day 2017-03-11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"%USERPROFILE%\AppData\Local\Temp\OnboardLogs"\RTDC4044\*4044*20170311* | grep -SE "(Enforcement Action)|(\[TIMEOUT)|(CHR.+\|PRM\|1\|D.+(SWITCH|SIGNAL).+UNKNOWN)" - &gt;&gt; 2017-03-11-UncaughtWiMAX.txt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736</v>
      </c>
      <c r="B85" s="7">
        <v>4043</v>
      </c>
      <c r="C85" s="21" t="s">
        <v>240</v>
      </c>
      <c r="D85" s="21" t="s">
        <v>878</v>
      </c>
      <c r="E85" s="13">
        <v>42805.538113425922</v>
      </c>
      <c r="F85" s="13">
        <v>42805.539085648146</v>
      </c>
      <c r="G85" s="7">
        <v>1</v>
      </c>
      <c r="H85" s="21" t="s">
        <v>879</v>
      </c>
      <c r="I85" s="13">
        <v>42805.577743055554</v>
      </c>
      <c r="J85" s="7">
        <v>0</v>
      </c>
      <c r="K85" s="98" t="str">
        <f t="shared" si="30"/>
        <v>4043/4044</v>
      </c>
      <c r="L85" s="21" t="str">
        <f>VLOOKUP(A85,'Trips&amp;Operators'!$C$1:$G$99999,5,FALSE)</f>
        <v>ROMERO CHAD</v>
      </c>
      <c r="M85" s="6">
        <f t="shared" si="31"/>
        <v>3.8657407407299615E-2</v>
      </c>
      <c r="N85" s="7">
        <f t="shared" si="46"/>
        <v>55.666666666511446</v>
      </c>
      <c r="O85" s="7"/>
      <c r="P85" s="7"/>
      <c r="Q85" s="22"/>
      <c r="R85" s="22"/>
      <c r="S85" s="31">
        <f t="shared" si="47"/>
        <v>1</v>
      </c>
      <c r="T85" s="46" t="str">
        <f t="shared" si="32"/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33"/>
        <v>https://d0f6bd738d7f1b3e5a7ca70fe4ff75f0.us-east-1.aws.found.io/app/kibana#/discover/Steve-Slow-Train-Analysis-(2080s-and-2083s)?_g=(refreshInterval:(display:Off,pause:!f,section:0,value:0),time:(from:'2017-03-11T11:54:53-0700',mode:absolute,to:'2017-03-11T14:51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5" s="187" t="str">
        <f t="shared" si="34"/>
        <v>N</v>
      </c>
      <c r="X85" s="187">
        <f t="shared" si="35"/>
        <v>1</v>
      </c>
      <c r="Y85" s="62">
        <f t="shared" si="36"/>
        <v>23.303599999999999</v>
      </c>
      <c r="Z85" s="62">
        <f t="shared" si="37"/>
        <v>9.9000000000000008E-3</v>
      </c>
      <c r="AA85" s="62">
        <f t="shared" si="38"/>
        <v>23.293700000000001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9"/>
        <v>0170-11</v>
      </c>
      <c r="AE85" s="85" t="str">
        <f t="shared" si="40"/>
        <v>aws s3 cp s3://rtdc.mdm.uploadarchive.raw/RTDC4043/ "%USERPROFILE%\AppData\Local\Temp\OnboardLogs"\RTDC4043\2017-03-11 --exclude "*" --recursive --include "*20170311*" &amp; "%USERPROFILE%\Documents\GitHub\mrs-test-scripts\Headless Mode &amp; Sideloading\WalkAndUnGZ.bat" "%USERPROFILE%\AppData\Local\Temp\OnboardLogs"\RTDC4043\2017-03-11 &amp; aws s3 cp s3://rtdc.mdm.uploadarchive.raw/RTDC4043/ "%USERPROFILE%\AppData\Local\Temp\OnboardLogs"\RTDC4043\2017-03-12 --exclude "*" --recursive --include "*20170312*" &amp; "%USERPROFILE%\Documents\GitHub\mrs-test-scripts\Headless Mode &amp; Sideloading\WalkAndUnGZ.bat" "%USERPROFILE%\AppData\Local\Temp\OnboardLogs"\RTDC4043\2017-03-12</v>
      </c>
      <c r="AF85" s="82" t="str">
        <f t="shared" si="41"/>
        <v>"C:\Program Files (x86)\AstroGrep\AstroGrep.exe" /e /r /s /spath="%USERPROFILE%\AppData\Local\Temp\OnboardLogs" /stypes="app*4043*20170311*" /stext=" 20:.+((SYSTEM_STATE.+slice.+state.+changed )|(ment ac)|(multiple cpu faults)|(system.+state.+changed )|(\[timeout)|(PRM\|1\|D)|(kpr)|(kdp)|(\|lc)|(penalty))"</v>
      </c>
      <c r="AG85" s="1" t="str">
        <f t="shared" si="42"/>
        <v>EC</v>
      </c>
      <c r="AH85" s="86" t="str">
        <f t="shared" si="43"/>
        <v>"%USERPROFILE%\Documents\GitHub\eaglep3\Utilities\RefineRTDCRunTimes.py" --tripid 170-11 --locoid 4043 --swversion DE.1.0.9.0 --startMP 204:233036 --initTime 2017-03-11T12:54:53 --startdatetime 2017-03-11T12:56:17 --delay 1 --endMP 204:99 --enddatetime 2017-03-11T13:51:57 --enforcementcount 0 &gt;&gt;C:\Users\stu\Documents\GitHub\eaglep3-reporting\EC\2017-03-11-refined-times.txt</v>
      </c>
      <c r="AI85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{"issue":{"subject":"","project_id":79,"tracker_id":40,"status_id":1,"priority_id":2,"assigned_to_id":23,"start_date":"2017-03-11","description":"","custom_fields":[{"id":1,"name":"Subdivision","value":"EC"},{"id":4,"name":"Milepost","value":"0.0099"},{"id":17,"name":"Train ID","value":"170-11"},{"id":16,"name":"Locomotive ID","value":"4043"},{"id":130,"name":"Impact","value":""},{"id":150,"name":"Time of Event (Mountain Time)","value":"13:51:57"},{"id":151,"name":"Denver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5"/>
        <v>start /low /b %USERPROFILE%\Documents\GitHub\eaglep3\Utilities\DownloadLogsFromS3.py --loco 4043 --day 2017-03-11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"%USERPROFILE%\AppData\Local\Temp\OnboardLogs"\RTDC4043\*4043*20170311* | grep -SE "(Enforcement Action)|(\[TIMEOUT)|(CHR.+\|PRM\|1\|D.+(SWITCH|SIGNAL).+UNKNOWN)" - &gt;&gt; 2017-03-11-UncaughtWiMAX.txt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731</v>
      </c>
      <c r="B86" s="7">
        <v>4014</v>
      </c>
      <c r="C86" s="21" t="s">
        <v>240</v>
      </c>
      <c r="D86" s="21" t="s">
        <v>218</v>
      </c>
      <c r="E86" s="13">
        <v>42805.518530092595</v>
      </c>
      <c r="F86" s="13">
        <v>42805.519618055558</v>
      </c>
      <c r="G86" s="7">
        <v>1</v>
      </c>
      <c r="H86" s="21" t="s">
        <v>880</v>
      </c>
      <c r="I86" s="13">
        <v>42805.545798611114</v>
      </c>
      <c r="J86" s="7">
        <v>0</v>
      </c>
      <c r="K86" s="98" t="str">
        <f t="shared" si="30"/>
        <v>4013/4014</v>
      </c>
      <c r="L86" s="21" t="str">
        <f>VLOOKUP(A86,'Trips&amp;Operators'!$C$1:$G$99999,5,FALSE)</f>
        <v>LALONDE GREGORY</v>
      </c>
      <c r="M86" s="6">
        <f t="shared" si="31"/>
        <v>2.6180555556493346E-2</v>
      </c>
      <c r="N86" s="7">
        <f t="shared" si="46"/>
        <v>37.700000001350418</v>
      </c>
      <c r="O86" s="7"/>
      <c r="P86" s="7"/>
      <c r="Q86" s="22"/>
      <c r="R86" s="22"/>
      <c r="S86" s="31">
        <f t="shared" si="47"/>
        <v>1</v>
      </c>
      <c r="T86" s="46" t="str">
        <f t="shared" si="32"/>
        <v>NorthBound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33"/>
        <v>https://d0f6bd738d7f1b3e5a7ca70fe4ff75f0.us-east-1.aws.found.io/app/kibana#/discover/Steve-Slow-Train-Analysis-(2080s-and-2083s)?_g=(refreshInterval:(display:Off,pause:!f,section:0,value:0),time:(from:'2017-03-11T11:26:41-0700',mode:absolute,to:'2017-03-11T14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6" s="187" t="str">
        <f t="shared" si="34"/>
        <v>N</v>
      </c>
      <c r="X86" s="187">
        <f t="shared" si="35"/>
        <v>1</v>
      </c>
      <c r="Y86" s="62">
        <f t="shared" si="36"/>
        <v>4.5999999999999999E-2</v>
      </c>
      <c r="Z86" s="62">
        <f t="shared" si="37"/>
        <v>23.334499999999998</v>
      </c>
      <c r="AA86" s="62">
        <f t="shared" si="38"/>
        <v>23.288499999999999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9"/>
        <v>0171-11</v>
      </c>
      <c r="AE86" s="85" t="str">
        <f t="shared" si="40"/>
        <v>aws s3 cp s3://rtdc.mdm.uploadarchive.raw/RTDC4014/ "%USERPROFILE%\AppData\Local\Temp\OnboardLogs"\RTDC4014\2017-03-11 --exclude "*" --recursive --include "*20170311*" &amp; "%USERPROFILE%\Documents\GitHub\mrs-test-scripts\Headless Mode &amp; Sideloading\WalkAndUnGZ.bat" "%USERPROFILE%\AppData\Local\Temp\OnboardLogs"\RTDC4014\2017-03-11 &amp; aws s3 cp s3://rtdc.mdm.uploadarchive.raw/RTDC4014/ "%USERPROFILE%\AppData\Local\Temp\OnboardLogs"\RTDC4014\2017-03-12 --exclude "*" --recursive --include "*20170312*" &amp; "%USERPROFILE%\Documents\GitHub\mrs-test-scripts\Headless Mode &amp; Sideloading\WalkAndUnGZ.bat" "%USERPROFILE%\AppData\Local\Temp\OnboardLogs"\RTDC4014\2017-03-12</v>
      </c>
      <c r="AF86" s="82" t="str">
        <f t="shared" si="41"/>
        <v>"C:\Program Files (x86)\AstroGrep\AstroGrep.exe" /e /r /s /spath="%USERPROFILE%\AppData\Local\Temp\OnboardLogs" /stypes="app*4014*20170311*" /stext=" 20:.+((SYSTEM_STATE.+slice.+state.+changed )|(ment ac)|(multiple cpu faults)|(system.+state.+changed )|(\[timeout)|(PRM\|1\|D)|(kpr)|(kdp)|(\|lc)|(penalty))"</v>
      </c>
      <c r="AG86" s="1" t="str">
        <f t="shared" si="42"/>
        <v>EC</v>
      </c>
      <c r="AH86" s="86" t="str">
        <f t="shared" si="43"/>
        <v>"%USERPROFILE%\Documents\GitHub\eaglep3\Utilities\RefineRTDCRunTimes.py" --tripid 171-11 --locoid 4014 --swversion DE.1.0.9.0 --startMP 204:460 --initTime 2017-03-11T12:26:41 --startdatetime 2017-03-11T12:28:15 --delay 1 --endMP 204:233345 --enddatetime 2017-03-11T13:05:57 --enforcementcount 0 &gt;&gt;C:\Users\stu\Documents\GitHub\eaglep3-reporting\EC\2017-03-11-refined-times.txt</v>
      </c>
      <c r="AI86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{"issue":{"subject":"","project_id":79,"tracker_id":40,"status_id":1,"priority_id":2,"assigned_to_id":23,"start_date":"2017-03-11","description":"","custom_fields":[{"id":1,"name":"Subdivision","value":"EC"},{"id":4,"name":"Milepost","value":"23.3345"},{"id":17,"name":"Train ID","value":"171-11"},{"id":16,"name":"Locomotive ID","value":"4014"},{"id":130,"name":"Impact","value":""},{"id":150,"name":"Time of Event (Mountain Time)","value":"13:05:57"},{"id":151,"name":"Denver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5"/>
        <v>start /low /b %USERPROFILE%\Documents\GitHub\eaglep3\Utilities\DownloadLogsFromS3.py --loco 4014 --day 2017-03-11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"%USERPROFILE%\AppData\Local\Temp\OnboardLogs"\RTDC4014\*4014*20170311* | grep -SE "(Enforcement Action)|(\[TIMEOUT)|(CHR.+\|PRM\|1\|D.+(SWITCH|SIGNAL).+UNKNOWN)" - &gt;&gt; 2017-03-11-UncaughtWiMAX.txt</v>
      </c>
    </row>
    <row r="87" spans="1:91" s="20" customFormat="1" x14ac:dyDescent="0.25">
      <c r="A87" s="33" t="s">
        <v>597</v>
      </c>
      <c r="B87" s="7">
        <v>4013</v>
      </c>
      <c r="C87" s="21" t="s">
        <v>240</v>
      </c>
      <c r="D87" s="21" t="s">
        <v>881</v>
      </c>
      <c r="E87" s="13">
        <v>42805.548020833332</v>
      </c>
      <c r="F87" s="13">
        <v>42805.548854166664</v>
      </c>
      <c r="G87" s="7">
        <v>1</v>
      </c>
      <c r="H87" s="21" t="s">
        <v>882</v>
      </c>
      <c r="I87" s="13">
        <v>42805.590601851851</v>
      </c>
      <c r="J87" s="7">
        <v>0</v>
      </c>
      <c r="K87" s="98" t="str">
        <f t="shared" si="30"/>
        <v>4013/4014</v>
      </c>
      <c r="L87" s="21" t="str">
        <f>VLOOKUP(A87,'Trips&amp;Operators'!$C$1:$G$99999,5,FALSE)</f>
        <v>LALONDE GREGORY</v>
      </c>
      <c r="M87" s="6">
        <f t="shared" si="31"/>
        <v>4.1747685187146999E-2</v>
      </c>
      <c r="N87" s="7">
        <f t="shared" si="46"/>
        <v>60.116666669491678</v>
      </c>
      <c r="O87" s="7"/>
      <c r="P87" s="7"/>
      <c r="Q87" s="22"/>
      <c r="R87" s="22"/>
      <c r="S87" s="31">
        <f t="shared" si="47"/>
        <v>1</v>
      </c>
      <c r="T87" s="46" t="str">
        <f t="shared" si="32"/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33"/>
        <v>https://d0f6bd738d7f1b3e5a7ca70fe4ff75f0.us-east-1.aws.found.io/app/kibana#/discover/Steve-Slow-Train-Analysis-(2080s-and-2083s)?_g=(refreshInterval:(display:Off,pause:!f,section:0,value:0),time:(from:'2017-03-11T12:09:09-0700',mode:absolute,to:'2017-03-11T15:10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7" s="187" t="str">
        <f t="shared" si="34"/>
        <v>N</v>
      </c>
      <c r="X87" s="187">
        <f t="shared" si="35"/>
        <v>1</v>
      </c>
      <c r="Y87" s="62">
        <f t="shared" si="36"/>
        <v>23.302499999999998</v>
      </c>
      <c r="Z87" s="62">
        <f t="shared" si="37"/>
        <v>1.2699999999999999E-2</v>
      </c>
      <c r="AA87" s="62">
        <f t="shared" si="38"/>
        <v>23.2898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9"/>
        <v>0172-11</v>
      </c>
      <c r="AE87" s="85" t="str">
        <f t="shared" si="40"/>
        <v>aws s3 cp s3://rtdc.mdm.uploadarchive.raw/RTDC4013/ "%USERPROFILE%\AppData\Local\Temp\OnboardLogs"\RTDC4013\2017-03-11 --exclude "*" --recursive --include "*20170311*" &amp; "%USERPROFILE%\Documents\GitHub\mrs-test-scripts\Headless Mode &amp; Sideloading\WalkAndUnGZ.bat" "%USERPROFILE%\AppData\Local\Temp\OnboardLogs"\RTDC4013\2017-03-11 &amp; aws s3 cp s3://rtdc.mdm.uploadarchive.raw/RTDC4013/ "%USERPROFILE%\AppData\Local\Temp\OnboardLogs"\RTDC4013\2017-03-12 --exclude "*" --recursive --include "*20170312*" &amp; "%USERPROFILE%\Documents\GitHub\mrs-test-scripts\Headless Mode &amp; Sideloading\WalkAndUnGZ.bat" "%USERPROFILE%\AppData\Local\Temp\OnboardLogs"\RTDC4013\2017-03-12</v>
      </c>
      <c r="AF87" s="82" t="str">
        <f t="shared" si="41"/>
        <v>"C:\Program Files (x86)\AstroGrep\AstroGrep.exe" /e /r /s /spath="%USERPROFILE%\AppData\Local\Temp\OnboardLogs" /stypes="app*4013*20170311*" /stext=" 21:.+((SYSTEM_STATE.+slice.+state.+changed )|(ment ac)|(multiple cpu faults)|(system.+state.+changed )|(\[timeout)|(PRM\|1\|D)|(kpr)|(kdp)|(\|lc)|(penalty))"</v>
      </c>
      <c r="AG87" s="1" t="str">
        <f t="shared" si="42"/>
        <v>EC</v>
      </c>
      <c r="AH87" s="86" t="str">
        <f t="shared" si="43"/>
        <v>"%USERPROFILE%\Documents\GitHub\eaglep3\Utilities\RefineRTDCRunTimes.py" --tripid 172-11 --locoid 4013 --swversion DE.1.0.9.0 --startMP 204:233025 --initTime 2017-03-11T13:09:09 --startdatetime 2017-03-11T13:10:21 --delay 1 --endMP 204:127 --enddatetime 2017-03-11T14:10:28 --enforcementcount 0 &gt;&gt;C:\Users\stu\Documents\GitHub\eaglep3-reporting\EC\2017-03-11-refined-times.txt</v>
      </c>
      <c r="AI87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{"issue":{"subject":"","project_id":79,"tracker_id":40,"status_id":1,"priority_id":2,"assigned_to_id":23,"start_date":"2017-03-11","description":"","custom_fields":[{"id":1,"name":"Subdivision","value":"EC"},{"id":4,"name":"Milepost","value":"0.0127"},{"id":17,"name":"Train ID","value":"172-11"},{"id":16,"name":"Locomotive ID","value":"4013"},{"id":130,"name":"Impact","value":""},{"id":150,"name":"Time of Event (Mountain Time)","value":"14:10:28"},{"id":151,"name":"Denver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5"/>
        <v>start /low /b %USERPROFILE%\Documents\GitHub\eaglep3\Utilities\DownloadLogsFromS3.py --loco 4013 --day 2017-03-11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"%USERPROFILE%\AppData\Local\Temp\OnboardLogs"\RTDC4013\*4013*20170311* | grep -SE "(Enforcement Action)|(\[TIMEOUT)|(CHR.+\|PRM\|1\|D.+(SWITCH|SIGNAL).+UNKNOWN)" - &gt;&gt; 2017-03-11-UncaughtWiMAX.txt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735</v>
      </c>
      <c r="B88" s="7">
        <v>4009</v>
      </c>
      <c r="C88" s="21" t="s">
        <v>240</v>
      </c>
      <c r="D88" s="21" t="s">
        <v>493</v>
      </c>
      <c r="E88" s="13">
        <v>42805.528379629628</v>
      </c>
      <c r="F88" s="13">
        <v>42805.529548611114</v>
      </c>
      <c r="G88" s="7">
        <v>1</v>
      </c>
      <c r="H88" s="21" t="s">
        <v>436</v>
      </c>
      <c r="I88" s="13">
        <v>42805.557071759256</v>
      </c>
      <c r="J88" s="7">
        <v>0</v>
      </c>
      <c r="K88" s="98" t="str">
        <f t="shared" si="30"/>
        <v>4009/4010</v>
      </c>
      <c r="L88" s="21" t="str">
        <f>VLOOKUP(A88,'Trips&amp;Operators'!$C$1:$G$99999,5,FALSE)</f>
        <v>STEWART MICHAEL</v>
      </c>
      <c r="M88" s="6">
        <f t="shared" si="31"/>
        <v>2.7523148142790888E-2</v>
      </c>
      <c r="N88" s="7">
        <f t="shared" si="46"/>
        <v>39.633333325618878</v>
      </c>
      <c r="O88" s="7"/>
      <c r="P88" s="7"/>
      <c r="Q88" s="22"/>
      <c r="R88" s="22"/>
      <c r="S88" s="31">
        <f t="shared" si="47"/>
        <v>1</v>
      </c>
      <c r="T88" s="46" t="str">
        <f t="shared" si="32"/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33"/>
        <v>https://d0f6bd738d7f1b3e5a7ca70fe4ff75f0.us-east-1.aws.found.io/app/kibana#/discover/Steve-Slow-Train-Analysis-(2080s-and-2083s)?_g=(refreshInterval:(display:Off,pause:!f,section:0,value:0),time:(from:'2017-03-11T11:40:52-0700',mode:absolute,to:'2017-03-11T14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8" s="187" t="str">
        <f t="shared" si="34"/>
        <v>N</v>
      </c>
      <c r="X88" s="187">
        <f t="shared" si="35"/>
        <v>1</v>
      </c>
      <c r="Y88" s="62">
        <f t="shared" si="36"/>
        <v>4.6399999999999997E-2</v>
      </c>
      <c r="Z88" s="62">
        <f t="shared" si="37"/>
        <v>23.3308</v>
      </c>
      <c r="AA88" s="62">
        <f t="shared" si="38"/>
        <v>23.284400000000002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9"/>
        <v>0173-11</v>
      </c>
      <c r="AE88" s="85" t="str">
        <f t="shared" si="40"/>
        <v>aws s3 cp s3://rtdc.mdm.uploadarchive.raw/RTDC4009/ "%USERPROFILE%\AppData\Local\Temp\OnboardLogs"\RTDC4009\2017-03-11 --exclude "*" --recursive --include "*20170311*" &amp; "%USERPROFILE%\Documents\GitHub\mrs-test-scripts\Headless Mode &amp; Sideloading\WalkAndUnGZ.bat" "%USERPROFILE%\AppData\Local\Temp\OnboardLogs"\RTDC4009\2017-03-11 &amp; aws s3 cp s3://rtdc.mdm.uploadarchive.raw/RTDC4009/ "%USERPROFILE%\AppData\Local\Temp\OnboardLogs"\RTDC4009\2017-03-12 --exclude "*" --recursive --include "*20170312*" &amp; "%USERPROFILE%\Documents\GitHub\mrs-test-scripts\Headless Mode &amp; Sideloading\WalkAndUnGZ.bat" "%USERPROFILE%\AppData\Local\Temp\OnboardLogs"\RTDC4009\2017-03-12</v>
      </c>
      <c r="AF88" s="82" t="str">
        <f t="shared" si="41"/>
        <v>"C:\Program Files (x86)\AstroGrep\AstroGrep.exe" /e /r /s /spath="%USERPROFILE%\AppData\Local\Temp\OnboardLogs" /stypes="app*4009*20170311*" /stext=" 20:.+((SYSTEM_STATE.+slice.+state.+changed )|(ment ac)|(multiple cpu faults)|(system.+state.+changed )|(\[timeout)|(PRM\|1\|D)|(kpr)|(kdp)|(\|lc)|(penalty))"</v>
      </c>
      <c r="AG88" s="1" t="str">
        <f t="shared" si="42"/>
        <v>EC</v>
      </c>
      <c r="AH88" s="86" t="str">
        <f t="shared" si="43"/>
        <v>"%USERPROFILE%\Documents\GitHub\eaglep3\Utilities\RefineRTDCRunTimes.py" --tripid 173-11 --locoid 4009 --swversion DE.1.0.9.0 --startMP 204:464 --initTime 2017-03-11T12:40:52 --startdatetime 2017-03-11T12:42:33 --delay 1 --endMP 204:233308 --enddatetime 2017-03-11T13:22:11 --enforcementcount 0 &gt;&gt;C:\Users\stu\Documents\GitHub\eaglep3-reporting\EC\2017-03-11-refined-times.txt</v>
      </c>
      <c r="AI88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{"issue":{"subject":"","project_id":79,"tracker_id":40,"status_id":1,"priority_id":2,"assigned_to_id":23,"start_date":"2017-03-11","description":"","custom_fields":[{"id":1,"name":"Subdivision","value":"EC"},{"id":4,"name":"Milepost","value":"23.3308"},{"id":17,"name":"Train ID","value":"173-11"},{"id":16,"name":"Locomotive ID","value":"4009"},{"id":130,"name":"Impact","value":""},{"id":150,"name":"Time of Event (Mountain Time)","value":"13:22:11"},{"id":151,"name":"Denver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5"/>
        <v>start /low /b %USERPROFILE%\Documents\GitHub\eaglep3\Utilities\DownloadLogsFromS3.py --loco 4009 --day 2017-03-11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"%USERPROFILE%\AppData\Local\Temp\OnboardLogs"\RTDC4009\*4009*20170311* | grep -SE "(Enforcement Action)|(\[TIMEOUT)|(CHR.+\|PRM\|1\|D.+(SWITCH|SIGNAL).+UNKNOWN)" - &gt;&gt; 2017-03-11-UncaughtWiMAX.txt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739</v>
      </c>
      <c r="B89" s="7">
        <v>4010</v>
      </c>
      <c r="C89" s="21" t="s">
        <v>240</v>
      </c>
      <c r="D89" s="21" t="s">
        <v>242</v>
      </c>
      <c r="E89" s="13">
        <v>42805.566134259258</v>
      </c>
      <c r="F89" s="13">
        <v>42805.567256944443</v>
      </c>
      <c r="G89" s="7">
        <v>1</v>
      </c>
      <c r="H89" s="21" t="s">
        <v>422</v>
      </c>
      <c r="I89" s="13">
        <v>42805.59884259259</v>
      </c>
      <c r="J89" s="7">
        <v>0</v>
      </c>
      <c r="K89" s="98" t="str">
        <f t="shared" si="30"/>
        <v>4009/4010</v>
      </c>
      <c r="L89" s="21" t="str">
        <f>VLOOKUP(A89,'Trips&amp;Operators'!$C$1:$G$99999,5,FALSE)</f>
        <v>STEWART MICHAEL</v>
      </c>
      <c r="M89" s="6">
        <f t="shared" si="31"/>
        <v>3.1585648146574385E-2</v>
      </c>
      <c r="N89" s="7">
        <f t="shared" si="46"/>
        <v>45.483333331067115</v>
      </c>
      <c r="O89" s="7"/>
      <c r="P89" s="7"/>
      <c r="Q89" s="22"/>
      <c r="R89" s="22"/>
      <c r="S89" s="31">
        <f t="shared" si="47"/>
        <v>1</v>
      </c>
      <c r="T89" s="46" t="str">
        <f t="shared" si="32"/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33"/>
        <v>https://d0f6bd738d7f1b3e5a7ca70fe4ff75f0.us-east-1.aws.found.io/app/kibana#/discover/Steve-Slow-Train-Analysis-(2080s-and-2083s)?_g=(refreshInterval:(display:Off,pause:!f,section:0,value:0),time:(from:'2017-03-11T12:35:14-0700',mode:absolute,to:'2017-03-11T15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9" s="187" t="str">
        <f t="shared" si="34"/>
        <v>N</v>
      </c>
      <c r="X89" s="187">
        <f t="shared" si="35"/>
        <v>1</v>
      </c>
      <c r="Y89" s="62">
        <f t="shared" si="36"/>
        <v>23.299399999999999</v>
      </c>
      <c r="Z89" s="62">
        <f t="shared" si="37"/>
        <v>1.6E-2</v>
      </c>
      <c r="AA89" s="62">
        <f t="shared" si="38"/>
        <v>23.2834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9"/>
        <v>0174-11</v>
      </c>
      <c r="AE89" s="85" t="str">
        <f t="shared" si="40"/>
        <v>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 &amp; aws s3 cp s3://rtdc.mdm.uploadarchive.raw/RTDC4010/ "%USERPROFILE%\AppData\Local\Temp\OnboardLogs"\RTDC4010\2017-03-12 --exclude "*" --recursive --include "*20170312*" &amp; "%USERPROFILE%\Documents\GitHub\mrs-test-scripts\Headless Mode &amp; Sideloading\WalkAndUnGZ.bat" "%USERPROFILE%\AppData\Local\Temp\OnboardLogs"\RTDC4010\2017-03-12</v>
      </c>
      <c r="AF89" s="82" t="str">
        <f t="shared" si="41"/>
        <v>"C:\Program Files (x86)\AstroGrep\AstroGrep.exe" /e /r /s /spath="%USERPROFILE%\AppData\Local\Temp\OnboardLogs" /stypes="app*4010*20170311*" /stext=" 21:.+((SYSTEM_STATE.+slice.+state.+changed )|(ment ac)|(multiple cpu faults)|(system.+state.+changed )|(\[timeout)|(PRM\|1\|D)|(kpr)|(kdp)|(\|lc)|(penalty))"</v>
      </c>
      <c r="AG89" s="1" t="str">
        <f t="shared" si="42"/>
        <v>EC</v>
      </c>
      <c r="AH89" s="86" t="str">
        <f t="shared" si="43"/>
        <v>"%USERPROFILE%\Documents\GitHub\eaglep3\Utilities\RefineRTDCRunTimes.py" --tripid 174-11 --locoid 4010 --swversion DE.1.0.9.0 --startMP 204:232994 --initTime 2017-03-11T13:35:14 --startdatetime 2017-03-11T13:36:51 --delay 1 --endMP 204:160 --enddatetime 2017-03-11T14:22:20 --enforcementcount 0 &gt;&gt;C:\Users\stu\Documents\GitHub\eaglep3-reporting\EC\2017-03-11-refined-times.txt</v>
      </c>
      <c r="AI89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{"issue":{"subject":"","project_id":79,"tracker_id":40,"status_id":1,"priority_id":2,"assigned_to_id":23,"start_date":"2017-03-11","description":"","custom_fields":[{"id":1,"name":"Subdivision","value":"EC"},{"id":4,"name":"Milepost","value":"0.016"},{"id":17,"name":"Train ID","value":"174-11"},{"id":16,"name":"Locomotive ID","value":"4010"},{"id":130,"name":"Impact","value":""},{"id":150,"name":"Time of Event (Mountain Time)","value":"14:22:20"},{"id":151,"name":"Denver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5"/>
        <v>start /low /b %USERPROFILE%\Documents\GitHub\eaglep3\Utilities\DownloadLogsFromS3.py --loco 4010 --day 2017-03-11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"%USERPROFILE%\AppData\Local\Temp\OnboardLogs"\RTDC4010\*4010*20170311* | grep -SE "(Enforcement Action)|(\[TIMEOUT)|(CHR.+\|PRM\|1\|D.+(SWITCH|SIGNAL).+UNKNOWN)" - &gt;&gt; 2017-03-11-UncaughtWiMAX.txt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737</v>
      </c>
      <c r="B90" s="7">
        <v>4046</v>
      </c>
      <c r="C90" s="21" t="s">
        <v>240</v>
      </c>
      <c r="D90" s="21" t="s">
        <v>269</v>
      </c>
      <c r="E90" s="13">
        <v>42805.54005787037</v>
      </c>
      <c r="F90" s="13">
        <v>42805.541215277779</v>
      </c>
      <c r="G90" s="7">
        <v>1</v>
      </c>
      <c r="H90" s="21" t="s">
        <v>883</v>
      </c>
      <c r="I90" s="13">
        <v>42805.571909722225</v>
      </c>
      <c r="J90" s="7">
        <v>0</v>
      </c>
      <c r="K90" s="98" t="str">
        <f t="shared" si="30"/>
        <v>4045/4046</v>
      </c>
      <c r="L90" s="21" t="str">
        <f>VLOOKUP(A90,'Trips&amp;Operators'!$C$1:$G$99999,5,FALSE)</f>
        <v>DAVIS MICHAEL</v>
      </c>
      <c r="M90" s="6">
        <f t="shared" si="31"/>
        <v>3.0694444445543922E-2</v>
      </c>
      <c r="N90" s="7">
        <f t="shared" si="46"/>
        <v>44.200000001583248</v>
      </c>
      <c r="O90" s="7"/>
      <c r="P90" s="7"/>
      <c r="Q90" s="22"/>
      <c r="R90" s="22"/>
      <c r="S90" s="31">
        <f t="shared" si="47"/>
        <v>1</v>
      </c>
      <c r="T90" s="46" t="str">
        <f t="shared" si="32"/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33"/>
        <v>https://d0f6bd738d7f1b3e5a7ca70fe4ff75f0.us-east-1.aws.found.io/app/kibana#/discover/Steve-Slow-Train-Analysis-(2080s-and-2083s)?_g=(refreshInterval:(display:Off,pause:!f,section:0,value:0),time:(from:'2017-03-11T11:57:41-0700',mode:absolute,to:'2017-03-11T14:43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0" s="187" t="str">
        <f t="shared" si="34"/>
        <v>N</v>
      </c>
      <c r="X90" s="187">
        <f t="shared" si="35"/>
        <v>1</v>
      </c>
      <c r="Y90" s="62">
        <f t="shared" si="36"/>
        <v>4.4900000000000002E-2</v>
      </c>
      <c r="Z90" s="62">
        <f t="shared" si="37"/>
        <v>23.327000000000002</v>
      </c>
      <c r="AA90" s="62">
        <f t="shared" si="38"/>
        <v>23.282100000000003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9"/>
        <v>0175-11</v>
      </c>
      <c r="AE90" s="85" t="str">
        <f t="shared" si="40"/>
        <v>aws s3 cp s3://rtdc.mdm.uploadarchive.raw/RTDC4046/ "%USERPROFILE%\AppData\Local\Temp\OnboardLogs"\RTDC4046\2017-03-11 --exclude "*" --recursive --include "*20170311*" &amp; "%USERPROFILE%\Documents\GitHub\mrs-test-scripts\Headless Mode &amp; Sideloading\WalkAndUnGZ.bat" "%USERPROFILE%\AppData\Local\Temp\OnboardLogs"\RTDC4046\2017-03-11 &amp; aws s3 cp s3://rtdc.mdm.uploadarchive.raw/RTDC4046/ "%USERPROFILE%\AppData\Local\Temp\OnboardLogs"\RTDC4046\2017-03-12 --exclude "*" --recursive --include "*20170312*" &amp; "%USERPROFILE%\Documents\GitHub\mrs-test-scripts\Headless Mode &amp; Sideloading\WalkAndUnGZ.bat" "%USERPROFILE%\AppData\Local\Temp\OnboardLogs"\RTDC4046\2017-03-12</v>
      </c>
      <c r="AF90" s="82" t="str">
        <f t="shared" si="41"/>
        <v>"C:\Program Files (x86)\AstroGrep\AstroGrep.exe" /e /r /s /spath="%USERPROFILE%\AppData\Local\Temp\OnboardLogs" /stypes="app*4046*20170311*" /stext=" 20:.+((SYSTEM_STATE.+slice.+state.+changed )|(ment ac)|(multiple cpu faults)|(system.+state.+changed )|(\[timeout)|(PRM\|1\|D)|(kpr)|(kdp)|(\|lc)|(penalty))"</v>
      </c>
      <c r="AG90" s="1" t="str">
        <f t="shared" si="42"/>
        <v>EC</v>
      </c>
      <c r="AH90" s="86" t="str">
        <f t="shared" si="43"/>
        <v>"%USERPROFILE%\Documents\GitHub\eaglep3\Utilities\RefineRTDCRunTimes.py" --tripid 175-11 --locoid 4046 --swversion DE.1.0.9.0 --startMP 204:449 --initTime 2017-03-11T12:57:41 --startdatetime 2017-03-11T12:59:21 --delay 1 --endMP 204:233270 --enddatetime 2017-03-11T13:43:33 --enforcementcount 0 &gt;&gt;C:\Users\stu\Documents\GitHub\eaglep3-reporting\EC\2017-03-11-refined-times.txt</v>
      </c>
      <c r="AI90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{"issue":{"subject":"","project_id":79,"tracker_id":40,"status_id":1,"priority_id":2,"assigned_to_id":23,"start_date":"2017-03-11","description":"","custom_fields":[{"id":1,"name":"Subdivision","value":"EC"},{"id":4,"name":"Milepost","value":"23.327"},{"id":17,"name":"Train ID","value":"175-11"},{"id":16,"name":"Locomotive ID","value":"4046"},{"id":130,"name":"Impact","value":""},{"id":150,"name":"Time of Event (Mountain Time)","value":"13:43:33"},{"id":151,"name":"Denver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5"/>
        <v>start /low /b %USERPROFILE%\Documents\GitHub\eaglep3\Utilities\DownloadLogsFromS3.py --loco 4046 --day 2017-03-11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"%USERPROFILE%\AppData\Local\Temp\OnboardLogs"\RTDC4046\*4046*20170311* | grep -SE "(Enforcement Action)|(\[TIMEOUT)|(CHR.+\|PRM\|1\|D.+(SWITCH|SIGNAL).+UNKNOWN)" - &gt;&gt; 2017-03-11-UncaughtWiMAX.txt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743</v>
      </c>
      <c r="B91" s="7">
        <v>4045</v>
      </c>
      <c r="C91" s="21" t="s">
        <v>240</v>
      </c>
      <c r="D91" s="21" t="s">
        <v>412</v>
      </c>
      <c r="E91" s="13">
        <v>42805.578796296293</v>
      </c>
      <c r="F91" s="13">
        <v>42805.579699074071</v>
      </c>
      <c r="G91" s="7">
        <v>1</v>
      </c>
      <c r="H91" s="21" t="s">
        <v>203</v>
      </c>
      <c r="I91" s="13">
        <v>42805.610162037039</v>
      </c>
      <c r="J91" s="7">
        <v>0</v>
      </c>
      <c r="K91" s="98" t="str">
        <f t="shared" si="30"/>
        <v>4045/4046</v>
      </c>
      <c r="L91" s="21" t="str">
        <f>VLOOKUP(A91,'Trips&amp;Operators'!$C$1:$G$99999,5,FALSE)</f>
        <v>DAVIS MICHAEL</v>
      </c>
      <c r="M91" s="6">
        <f t="shared" si="31"/>
        <v>3.0462962968158536E-2</v>
      </c>
      <c r="N91" s="7">
        <f t="shared" si="46"/>
        <v>43.866666674148291</v>
      </c>
      <c r="O91" s="7"/>
      <c r="P91" s="7"/>
      <c r="Q91" s="22"/>
      <c r="R91" s="22"/>
      <c r="S91" s="31">
        <f t="shared" si="47"/>
        <v>1</v>
      </c>
      <c r="T91" s="46" t="str">
        <f t="shared" si="32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33"/>
        <v>https://d0f6bd738d7f1b3e5a7ca70fe4ff75f0.us-east-1.aws.found.io/app/kibana#/discover/Steve-Slow-Train-Analysis-(2080s-and-2083s)?_g=(refreshInterval:(display:Off,pause:!f,section:0,value:0),time:(from:'2017-03-11T12:53:28-0700',mode:absolute,to:'2017-03-11T15:38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1" s="187" t="str">
        <f t="shared" si="34"/>
        <v>N</v>
      </c>
      <c r="X91" s="187">
        <f t="shared" si="35"/>
        <v>1</v>
      </c>
      <c r="Y91" s="62">
        <f t="shared" si="36"/>
        <v>23.298200000000001</v>
      </c>
      <c r="Z91" s="62">
        <f t="shared" si="37"/>
        <v>1.5800000000000002E-2</v>
      </c>
      <c r="AA91" s="62">
        <f t="shared" si="38"/>
        <v>23.282400000000003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9"/>
        <v>0176-11</v>
      </c>
      <c r="AE91" s="85" t="str">
        <f t="shared" si="40"/>
        <v>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 &amp; aws s3 cp s3://rtdc.mdm.uploadarchive.raw/RTDC4045/ "%USERPROFILE%\AppData\Local\Temp\OnboardLogs"\RTDC4045\2017-03-12 --exclude "*" --recursive --include "*20170312*" &amp; "%USERPROFILE%\Documents\GitHub\mrs-test-scripts\Headless Mode &amp; Sideloading\WalkAndUnGZ.bat" "%USERPROFILE%\AppData\Local\Temp\OnboardLogs"\RTDC4045\2017-03-12</v>
      </c>
      <c r="AF91" s="82" t="str">
        <f t="shared" si="41"/>
        <v>"C:\Program Files (x86)\AstroGrep\AstroGrep.exe" /e /r /s /spath="%USERPROFILE%\AppData\Local\Temp\OnboardLogs" /stypes="app*4045*20170311*" /stext=" 21:.+((SYSTEM_STATE.+slice.+state.+changed )|(ment ac)|(multiple cpu faults)|(system.+state.+changed )|(\[timeout)|(PRM\|1\|D)|(kpr)|(kdp)|(\|lc)|(penalty))"</v>
      </c>
      <c r="AG91" s="1" t="str">
        <f t="shared" si="42"/>
        <v>EC</v>
      </c>
      <c r="AH91" s="86" t="str">
        <f t="shared" si="43"/>
        <v>"%USERPROFILE%\Documents\GitHub\eaglep3\Utilities\RefineRTDCRunTimes.py" --tripid 176-11 --locoid 4045 --swversion DE.1.0.9.0 --startMP 204:232982 --initTime 2017-03-11T13:53:28 --startdatetime 2017-03-11T13:54:46 --delay 1 --endMP 204:158 --enddatetime 2017-03-11T14:38:38 --enforcementcount 0 &gt;&gt;C:\Users\stu\Documents\GitHub\eaglep3-reporting\EC\2017-03-11-refined-times.txt</v>
      </c>
      <c r="AI91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{"issue":{"subject":"","project_id":79,"tracker_id":40,"status_id":1,"priority_id":2,"assigned_to_id":23,"start_date":"2017-03-11","description":"","custom_fields":[{"id":1,"name":"Subdivision","value":"EC"},{"id":4,"name":"Milepost","value":"0.0158"},{"id":17,"name":"Train ID","value":"176-11"},{"id":16,"name":"Locomotive ID","value":"4045"},{"id":130,"name":"Impact","value":""},{"id":150,"name":"Time of Event (Mountain Time)","value":"14:38:38"},{"id":151,"name":"Denver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5"/>
        <v>start /low /b %USERPROFILE%\Documents\GitHub\eaglep3\Utilities\DownloadLogsFromS3.py --loco 4045 --day 2017-03-11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"%USERPROFILE%\AppData\Local\Temp\OnboardLogs"\RTDC4045\*4045*20170311* | grep -SE "(Enforcement Action)|(\[TIMEOUT)|(CHR.+\|PRM\|1\|D.+(SWITCH|SIGNAL).+UNKNOWN)" - &gt;&gt; 2017-03-11-UncaughtWiMAX.txt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596</v>
      </c>
      <c r="B92" s="7">
        <v>4040</v>
      </c>
      <c r="C92" s="21" t="s">
        <v>240</v>
      </c>
      <c r="D92" s="21" t="s">
        <v>241</v>
      </c>
      <c r="E92" s="13">
        <v>42805.548495370371</v>
      </c>
      <c r="F92" s="13">
        <v>42805.549745370372</v>
      </c>
      <c r="G92" s="7">
        <v>1</v>
      </c>
      <c r="H92" s="21" t="s">
        <v>884</v>
      </c>
      <c r="I92" s="13">
        <v>42805.577986111108</v>
      </c>
      <c r="J92" s="7">
        <v>0</v>
      </c>
      <c r="K92" s="98" t="str">
        <f t="shared" si="30"/>
        <v>4039/4040</v>
      </c>
      <c r="L92" s="21" t="str">
        <f>VLOOKUP(A92,'Trips&amp;Operators'!$C$1:$G$99999,5,FALSE)</f>
        <v>BRUDER RICHARD</v>
      </c>
      <c r="M92" s="6">
        <f t="shared" si="31"/>
        <v>2.824074073578231E-2</v>
      </c>
      <c r="N92" s="7">
        <f t="shared" si="46"/>
        <v>40.666666659526527</v>
      </c>
      <c r="O92" s="7"/>
      <c r="P92" s="7"/>
      <c r="Q92" s="22"/>
      <c r="R92" s="22"/>
      <c r="S92" s="31">
        <f t="shared" si="47"/>
        <v>1</v>
      </c>
      <c r="T92" s="46" t="str">
        <f t="shared" si="32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33"/>
        <v>https://d0f6bd738d7f1b3e5a7ca70fe4ff75f0.us-east-1.aws.found.io/app/kibana#/discover/Steve-Slow-Train-Analysis-(2080s-and-2083s)?_g=(refreshInterval:(display:Off,pause:!f,section:0,value:0),time:(from:'2017-03-11T12:09:50-0700',mode:absolute,to:'2017-03-11T14:52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2" s="187" t="str">
        <f t="shared" si="34"/>
        <v>N</v>
      </c>
      <c r="X92" s="187">
        <f t="shared" si="35"/>
        <v>1</v>
      </c>
      <c r="Y92" s="62">
        <f t="shared" si="36"/>
        <v>4.58E-2</v>
      </c>
      <c r="Z92" s="62">
        <f t="shared" si="37"/>
        <v>23.327400000000001</v>
      </c>
      <c r="AA92" s="62">
        <f t="shared" si="38"/>
        <v>23.281600000000001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9"/>
        <v>0177-11</v>
      </c>
      <c r="AE92" s="85" t="str">
        <f t="shared" si="40"/>
        <v>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 &amp; aws s3 cp s3://rtdc.mdm.uploadarchive.raw/RTDC4040/ "%USERPROFILE%\AppData\Local\Temp\OnboardLogs"\RTDC4040\2017-03-12 --exclude "*" --recursive --include "*20170312*" &amp; "%USERPROFILE%\Documents\GitHub\mrs-test-scripts\Headless Mode &amp; Sideloading\WalkAndUnGZ.bat" "%USERPROFILE%\AppData\Local\Temp\OnboardLogs"\RTDC4040\2017-03-12</v>
      </c>
      <c r="AF92" s="82" t="str">
        <f t="shared" si="41"/>
        <v>"C:\Program Files (x86)\AstroGrep\AstroGrep.exe" /e /r /s /spath="%USERPROFILE%\AppData\Local\Temp\OnboardLogs" /stypes="app*4040*20170311*" /stext=" 20:.+((SYSTEM_STATE.+slice.+state.+changed )|(ment ac)|(multiple cpu faults)|(system.+state.+changed )|(\[timeout)|(PRM\|1\|D)|(kpr)|(kdp)|(\|lc)|(penalty))"</v>
      </c>
      <c r="AG92" s="1" t="str">
        <f t="shared" si="42"/>
        <v>EC</v>
      </c>
      <c r="AH92" s="86" t="str">
        <f t="shared" si="43"/>
        <v>"%USERPROFILE%\Documents\GitHub\eaglep3\Utilities\RefineRTDCRunTimes.py" --tripid 177-11 --locoid 4040 --swversion DE.1.0.9.0 --startMP 204:458 --initTime 2017-03-11T13:09:50 --startdatetime 2017-03-11T13:11:38 --delay 1 --endMP 204:233274 --enddatetime 2017-03-11T13:52:18 --enforcementcount 0 &gt;&gt;C:\Users\stu\Documents\GitHub\eaglep3-reporting\EC\2017-03-11-refined-times.txt</v>
      </c>
      <c r="AI92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{"issue":{"subject":"","project_id":79,"tracker_id":40,"status_id":1,"priority_id":2,"assigned_to_id":23,"start_date":"2017-03-11","description":"","custom_fields":[{"id":1,"name":"Subdivision","value":"EC"},{"id":4,"name":"Milepost","value":"23.3274"},{"id":17,"name":"Train ID","value":"177-11"},{"id":16,"name":"Locomotive ID","value":"4040"},{"id":130,"name":"Impact","value":""},{"id":150,"name":"Time of Event (Mountain Time)","value":"13:52:18"},{"id":151,"name":"Denver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5"/>
        <v>start /low /b %USERPROFILE%\Documents\GitHub\eaglep3\Utilities\DownloadLogsFromS3.py --loco 4040 --day 2017-03-11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"%USERPROFILE%\AppData\Local\Temp\OnboardLogs"\RTDC4040\*4040*20170311* | grep -SE "(Enforcement Action)|(\[TIMEOUT)|(CHR.+\|PRM\|1\|D.+(SWITCH|SIGNAL).+UNKNOWN)" - &gt;&gt; 2017-03-11-UncaughtWiMAX.txt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744</v>
      </c>
      <c r="B93" s="7">
        <v>4039</v>
      </c>
      <c r="C93" s="21" t="s">
        <v>240</v>
      </c>
      <c r="D93" s="21" t="s">
        <v>885</v>
      </c>
      <c r="E93" s="13">
        <v>42805.599988425929</v>
      </c>
      <c r="F93" s="13">
        <v>42805.601550925923</v>
      </c>
      <c r="G93" s="7">
        <v>2</v>
      </c>
      <c r="H93" s="21" t="s">
        <v>202</v>
      </c>
      <c r="I93" s="13">
        <v>42805.622800925928</v>
      </c>
      <c r="J93" s="7">
        <v>0</v>
      </c>
      <c r="K93" s="98" t="str">
        <f t="shared" si="30"/>
        <v>4039/4040</v>
      </c>
      <c r="L93" s="21" t="str">
        <f>VLOOKUP(A93,'Trips&amp;Operators'!$C$1:$G$99999,5,FALSE)</f>
        <v>BRUDER RICHARD</v>
      </c>
      <c r="M93" s="6">
        <f t="shared" si="31"/>
        <v>2.1250000005238689E-2</v>
      </c>
      <c r="N93" s="7"/>
      <c r="O93" s="7"/>
      <c r="P93" s="7">
        <f>24*60*SUM($M93:$M94)</f>
        <v>30.600000007543713</v>
      </c>
      <c r="Q93" s="22"/>
      <c r="R93" s="22" t="s">
        <v>578</v>
      </c>
      <c r="S93" s="31">
        <f>SUM(U93:U94)/IF(AG93="EC",12,1)</f>
        <v>1</v>
      </c>
      <c r="T93" s="46" t="str">
        <f t="shared" si="32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33"/>
        <v>https://d0f6bd738d7f1b3e5a7ca70fe4ff75f0.us-east-1.aws.found.io/app/kibana#/discover/Steve-Slow-Train-Analysis-(2080s-and-2083s)?_g=(refreshInterval:(display:Off,pause:!f,section:0,value:0),time:(from:'2017-03-11T13:23:59-0700',mode:absolute,to:'2017-03-11T15:56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3" s="187" t="str">
        <f t="shared" si="34"/>
        <v>Y</v>
      </c>
      <c r="X93" s="187">
        <f t="shared" si="35"/>
        <v>1</v>
      </c>
      <c r="Y93" s="62">
        <f t="shared" si="36"/>
        <v>15.4001</v>
      </c>
      <c r="Z93" s="62">
        <f t="shared" si="37"/>
        <v>1.52E-2</v>
      </c>
      <c r="AA93" s="62">
        <f t="shared" si="38"/>
        <v>15.3849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9"/>
        <v>0178-11</v>
      </c>
      <c r="AE93" s="85" t="str">
        <f t="shared" si="40"/>
        <v>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 &amp; aws s3 cp s3://rtdc.mdm.uploadarchive.raw/RTDC4039/ "%USERPROFILE%\AppData\Local\Temp\OnboardLogs"\RTDC4039\2017-03-12 --exclude "*" --recursive --include "*20170312*" &amp; "%USERPROFILE%\Documents\GitHub\mrs-test-scripts\Headless Mode &amp; Sideloading\WalkAndUnGZ.bat" "%USERPROFILE%\AppData\Local\Temp\OnboardLogs"\RTDC4039\2017-03-12</v>
      </c>
      <c r="AF93" s="82" t="str">
        <f t="shared" si="41"/>
        <v>"C:\Program Files (x86)\AstroGrep\AstroGrep.exe" /e /r /s /spath="%USERPROFILE%\AppData\Local\Temp\OnboardLogs" /stypes="app*4039*20170311*" /stext=" 21:.+((SYSTEM_STATE.+slice.+state.+changed )|(ment ac)|(multiple cpu faults)|(system.+state.+changed )|(\[timeout)|(PRM\|1\|D)|(kpr)|(kdp)|(\|lc)|(penalty))"</v>
      </c>
      <c r="AG93" s="1" t="str">
        <f t="shared" si="42"/>
        <v>EC</v>
      </c>
      <c r="AH93" s="86" t="str">
        <f t="shared" si="43"/>
        <v>"%USERPROFILE%\Documents\GitHub\eaglep3\Utilities\RefineRTDCRunTimes.py" --tripid 178-11 --locoid 4039 --swversion DE.1.0.9.0 --startMP 204:154001 --initTime 2017-03-11T14:23:59 --startdatetime 2017-03-11T14:26:14 --delay 2 --endMP 204:152 --enddatetime 2017-03-11T14:56:50 --enforcementcount 0 &gt;&gt;C:\Users\stu\Documents\GitHub\eaglep3-reporting\EC\2017-03-11-refined-times.txt</v>
      </c>
      <c r="AI93" s="108" t="str">
        <f t="shared" si="44"/>
        <v>echo {"issue":{"subject":"Onboard in-route failure","project_id":79,"tracker_id":40,"status_id":1,"priority_id":2,"assigned_to_id":23,"start_date":"2017-03-11","description":"","custom_fields":[{"id":1,"name":"Subdivision","value":"EC"},{"id":4,"name":"Milepost","value":"0.0152"},{"id":17,"name":"Train ID","value":"178-11"},{"id":16,"name":"Locomotive ID","value":"4039"},{"id":130,"name":"Impact","value":""},{"id":150,"name":"Time of Event (Mountain Time)","value":"14:56:50"},{"id":151,"name":"Denver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5"/>
        <v>start /low /b %USERPROFILE%\Documents\GitHub\eaglep3\Utilities\DownloadLogsFromS3.py --loco 4039 --day 2017-03-11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"%USERPROFILE%\AppData\Local\Temp\OnboardLogs"\RTDC4039\*4039*20170311* | grep -SE "(Enforcement Action)|(\[TIMEOUT)|(CHR.+\|PRM\|1\|D.+(SWITCH|SIGNAL).+UNKNOWN)" - &gt;&gt; 2017-03-11-UncaughtWiMAX.txt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3" t="s">
        <v>744</v>
      </c>
      <c r="B94" s="7">
        <v>4039</v>
      </c>
      <c r="C94" s="21" t="s">
        <v>240</v>
      </c>
      <c r="D94" s="21" t="s">
        <v>550</v>
      </c>
      <c r="E94" s="13">
        <v>42805.586354166669</v>
      </c>
      <c r="F94" s="13">
        <v>42805.588194444441</v>
      </c>
      <c r="G94" s="7">
        <v>2</v>
      </c>
      <c r="H94" s="21" t="s">
        <v>550</v>
      </c>
      <c r="I94" s="13">
        <v>42805.588194444441</v>
      </c>
      <c r="J94" s="7">
        <v>0</v>
      </c>
      <c r="K94" s="98" t="str">
        <f t="shared" si="30"/>
        <v>4039/4040</v>
      </c>
      <c r="L94" s="21" t="str">
        <f>VLOOKUP(A94,'Trips&amp;Operators'!$C$1:$G$99999,5,FALSE)</f>
        <v>BRUDER RICHARD</v>
      </c>
      <c r="M94" s="6">
        <f t="shared" si="31"/>
        <v>0</v>
      </c>
      <c r="N94" s="7"/>
      <c r="O94" s="7"/>
      <c r="P94" s="7"/>
      <c r="Q94" s="22"/>
      <c r="R94" s="22"/>
      <c r="S94" s="31"/>
      <c r="T94" s="46" t="str">
        <f t="shared" si="32"/>
        <v>Southbound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0</v>
      </c>
      <c r="V94" s="186" t="str">
        <f t="shared" si="33"/>
        <v>https://d0f6bd738d7f1b3e5a7ca70fe4ff75f0.us-east-1.aws.found.io/app/kibana#/discover/Steve-Slow-Train-Analysis-(2080s-and-2083s)?_g=(refreshInterval:(display:Off,pause:!f,section:0,value:0),time:(from:'2017-03-11T13:04:21-0700',mode:absolute,to:'2017-03-11T15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4" s="187" t="str">
        <f t="shared" si="34"/>
        <v>Y</v>
      </c>
      <c r="X94" s="187">
        <f t="shared" si="35"/>
        <v>0</v>
      </c>
      <c r="Y94" s="62">
        <f t="shared" si="36"/>
        <v>23.298300000000001</v>
      </c>
      <c r="Z94" s="62">
        <f t="shared" si="37"/>
        <v>23.298300000000001</v>
      </c>
      <c r="AA94" s="62">
        <f t="shared" si="38"/>
        <v>0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9"/>
        <v>0178-11</v>
      </c>
      <c r="AE94" s="85" t="str">
        <f t="shared" si="40"/>
        <v>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 &amp; aws s3 cp s3://rtdc.mdm.uploadarchive.raw/RTDC4039/ "%USERPROFILE%\AppData\Local\Temp\OnboardLogs"\RTDC4039\2017-03-12 --exclude "*" --recursive --include "*20170312*" &amp; "%USERPROFILE%\Documents\GitHub\mrs-test-scripts\Headless Mode &amp; Sideloading\WalkAndUnGZ.bat" "%USERPROFILE%\AppData\Local\Temp\OnboardLogs"\RTDC4039\2017-03-12</v>
      </c>
      <c r="AF94" s="82" t="str">
        <f t="shared" si="41"/>
        <v>"C:\Program Files (x86)\AstroGrep\AstroGrep.exe" /e /r /s /spath="%USERPROFILE%\AppData\Local\Temp\OnboardLogs" /stypes="app*4039*20170311*" /stext=" 21:.+((SYSTEM_STATE.+slice.+state.+changed )|(ment ac)|(multiple cpu faults)|(system.+state.+changed )|(\[timeout)|(PRM\|1\|D)|(kpr)|(kdp)|(\|lc)|(penalty))"</v>
      </c>
      <c r="AG94" s="1" t="str">
        <f t="shared" si="42"/>
        <v>EC</v>
      </c>
      <c r="AH94" s="86" t="str">
        <f t="shared" si="43"/>
        <v>"%USERPROFILE%\Documents\GitHub\eaglep3\Utilities\RefineRTDCRunTimes.py" --tripid 178-11 --locoid 4039 --swversion DE.1.0.9.0 --startMP 204:232983 --initTime 2017-03-11T14:04:21 --startdatetime 2017-03-11T14:07:00 --delay 2 --endMP 204:232983 --enddatetime 2017-03-11T14:07:00 --enforcementcount 0 &gt;&gt;C:\Users\stu\Documents\GitHub\eaglep3-reporting\EC\2017-03-11-refined-times.txt</v>
      </c>
      <c r="AI94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{"issue":{"subject":"","project_id":79,"tracker_id":40,"status_id":1,"priority_id":2,"assigned_to_id":23,"start_date":"2017-03-11","description":"","custom_fields":[{"id":1,"name":"Subdivision","value":"EC"},{"id":4,"name":"Milepost","value":"23.2983"},{"id":17,"name":"Train ID","value":"178-11"},{"id":16,"name":"Locomotive ID","value":"4039"},{"id":130,"name":"Impact","value":""},{"id":150,"name":"Time of Event (Mountain Time)","value":"14:07:00"},{"id":151,"name":"Denver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5"/>
        <v>start /low /b %USERPROFILE%\Documents\GitHub\eaglep3\Utilities\DownloadLogsFromS3.py --loco 4039 --day 2017-03-11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"%USERPROFILE%\AppData\Local\Temp\OnboardLogs"\RTDC4039\*4039*20170311* | grep -SE "(Enforcement Action)|(\[TIMEOUT)|(CHR.+\|PRM\|1\|D.+(SWITCH|SIGNAL).+UNKNOWN)" - &gt;&gt; 2017-03-11-UncaughtWiMAX.txt</v>
      </c>
    </row>
    <row r="95" spans="1:91" s="20" customFormat="1" x14ac:dyDescent="0.25">
      <c r="A95" s="33" t="s">
        <v>595</v>
      </c>
      <c r="B95" s="7">
        <v>4006</v>
      </c>
      <c r="C95" s="21" t="s">
        <v>240</v>
      </c>
      <c r="D95" s="21" t="s">
        <v>226</v>
      </c>
      <c r="E95" s="13">
        <v>42805.557997685188</v>
      </c>
      <c r="F95" s="13">
        <v>42805.558923611112</v>
      </c>
      <c r="G95" s="7">
        <v>1</v>
      </c>
      <c r="H95" s="21" t="s">
        <v>245</v>
      </c>
      <c r="I95" s="13">
        <v>42805.589571759258</v>
      </c>
      <c r="J95" s="7">
        <v>0</v>
      </c>
      <c r="K95" s="98" t="str">
        <f t="shared" si="30"/>
        <v>4005/4006</v>
      </c>
      <c r="L95" s="21" t="str">
        <f>VLOOKUP(A95,'Trips&amp;Operators'!$C$1:$G$99999,5,FALSE)</f>
        <v>HOLCOMB KAMDEN</v>
      </c>
      <c r="M95" s="6">
        <f t="shared" si="31"/>
        <v>3.0648148145701271E-2</v>
      </c>
      <c r="N95" s="7">
        <f t="shared" ref="N95:N126" si="48">24*60*SUM($M95:$M95)</f>
        <v>44.13333332980983</v>
      </c>
      <c r="O95" s="7"/>
      <c r="P95" s="7"/>
      <c r="Q95" s="22"/>
      <c r="R95" s="22"/>
      <c r="S95" s="31">
        <f t="shared" ref="S95:S126" si="49">SUM(U95:U95)/IF(AG95="EC",12,1)</f>
        <v>1</v>
      </c>
      <c r="T95" s="46" t="str">
        <f t="shared" si="32"/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33"/>
        <v>https://d0f6bd738d7f1b3e5a7ca70fe4ff75f0.us-east-1.aws.found.io/app/kibana#/discover/Steve-Slow-Train-Analysis-(2080s-and-2083s)?_g=(refreshInterval:(display:Off,pause:!f,section:0,value:0),time:(from:'2017-03-11T12:23:31-0700',mode:absolute,to:'2017-03-11T15:08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5" s="187" t="str">
        <f t="shared" si="34"/>
        <v>N</v>
      </c>
      <c r="X95" s="187">
        <f t="shared" si="35"/>
        <v>1</v>
      </c>
      <c r="Y95" s="62">
        <f t="shared" si="36"/>
        <v>4.4600000000000001E-2</v>
      </c>
      <c r="Z95" s="62">
        <f t="shared" si="37"/>
        <v>23.331399999999999</v>
      </c>
      <c r="AA95" s="62">
        <f t="shared" si="38"/>
        <v>23.286799999999999</v>
      </c>
      <c r="AB95" s="59" t="str">
        <f>VLOOKUP(A95,Enforcements!$C$7:$K$13,8,0)</f>
        <v>Bulletin (2)</v>
      </c>
      <c r="AC95" s="55" t="str">
        <f>VLOOKUP(A95,Enforcements!$C$7:$E$13,3,0)</f>
        <v>GRADE CROSSING</v>
      </c>
      <c r="AD95" s="56" t="str">
        <f t="shared" si="39"/>
        <v>0179-11</v>
      </c>
      <c r="AE95" s="85" t="str">
        <f t="shared" si="40"/>
        <v>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 &amp; 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</v>
      </c>
      <c r="AF95" s="82" t="str">
        <f t="shared" si="41"/>
        <v>"C:\Program Files (x86)\AstroGrep\AstroGrep.exe" /e /r /s /spath="%USERPROFILE%\AppData\Local\Temp\OnboardLogs" /stypes="app*4006*20170311*" /stext=" 21:.+((SYSTEM_STATE.+slice.+state.+changed )|(ment ac)|(multiple cpu faults)|(system.+state.+changed )|(\[timeout)|(PRM\|1\|D)|(kpr)|(kdp)|(\|lc)|(penalty))"</v>
      </c>
      <c r="AG95" s="1" t="str">
        <f t="shared" si="42"/>
        <v>EC</v>
      </c>
      <c r="AH95" s="86" t="str">
        <f t="shared" si="43"/>
        <v>"%USERPROFILE%\Documents\GitHub\eaglep3\Utilities\RefineRTDCRunTimes.py" --tripid 179-11 --locoid 4006 --swversion DE.1.0.9.0 --startMP 204:446 --initTime 2017-03-11T13:23:31 --startdatetime 2017-03-11T13:24:51 --delay 1 --endMP 204:233314 --enddatetime 2017-03-11T14:08:59 --enforcementcount 0 &gt;&gt;C:\Users\stu\Documents\GitHub\eaglep3-reporting\EC\2017-03-11-refined-times.txt</v>
      </c>
      <c r="AI95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{"issue":{"subject":"","project_id":79,"tracker_id":40,"status_id":1,"priority_id":2,"assigned_to_id":23,"start_date":"2017-03-11","description":"","custom_fields":[{"id":1,"name":"Subdivision","value":"EC"},{"id":4,"name":"Milepost","value":"23.3314"},{"id":17,"name":"Train ID","value":"179-11"},{"id":16,"name":"Locomotive ID","value":"4006"},{"id":130,"name":"Impact","value":""},{"id":150,"name":"Time of Event (Mountain Time)","value":"14:08:59"},{"id":151,"name":"Denver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5"/>
        <v>start /low /b %USERPROFILE%\Documents\GitHub\eaglep3\Utilities\DownloadLogsFromS3.py --loco 4006 --day 2017-03-11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"%USERPROFILE%\AppData\Local\Temp\OnboardLogs"\RTDC4006\*4006*20170311* | grep -SE "(Enforcement Action)|(\[TIMEOUT)|(CHR.+\|PRM\|1\|D.+(SWITCH|SIGNAL).+UNKNOWN)" - &gt;&gt; 2017-03-11-UncaughtWiMAX.txt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599</v>
      </c>
      <c r="B96" s="7">
        <v>4005</v>
      </c>
      <c r="C96" s="21" t="s">
        <v>240</v>
      </c>
      <c r="D96" s="21" t="s">
        <v>497</v>
      </c>
      <c r="E96" s="13">
        <v>42805.592569444445</v>
      </c>
      <c r="F96" s="13">
        <v>42805.593321759261</v>
      </c>
      <c r="G96" s="7">
        <v>1</v>
      </c>
      <c r="H96" s="21" t="s">
        <v>202</v>
      </c>
      <c r="I96" s="13">
        <v>42805.630277777775</v>
      </c>
      <c r="J96" s="7">
        <v>0</v>
      </c>
      <c r="K96" s="98" t="str">
        <f t="shared" si="30"/>
        <v>4005/4006</v>
      </c>
      <c r="L96" s="21" t="str">
        <f>VLOOKUP(A96,'Trips&amp;Operators'!$C$1:$G$99999,5,FALSE)</f>
        <v>HOLCOMB KAMDEN</v>
      </c>
      <c r="M96" s="6">
        <f t="shared" si="31"/>
        <v>3.6956018513592426E-2</v>
      </c>
      <c r="N96" s="7">
        <f t="shared" si="48"/>
        <v>53.216666659573093</v>
      </c>
      <c r="O96" s="7"/>
      <c r="P96" s="7"/>
      <c r="Q96" s="22"/>
      <c r="R96" s="22"/>
      <c r="S96" s="31">
        <f t="shared" si="49"/>
        <v>1</v>
      </c>
      <c r="T96" s="46" t="str">
        <f t="shared" si="32"/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33"/>
        <v>https://d0f6bd738d7f1b3e5a7ca70fe4ff75f0.us-east-1.aws.found.io/app/kibana#/discover/Steve-Slow-Train-Analysis-(2080s-and-2083s)?_g=(refreshInterval:(display:Off,pause:!f,section:0,value:0),time:(from:'2017-03-11T13:13:18-0700',mode:absolute,to:'2017-03-11T16:07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6" s="187" t="str">
        <f t="shared" si="34"/>
        <v>N</v>
      </c>
      <c r="X96" s="187">
        <f t="shared" si="35"/>
        <v>1</v>
      </c>
      <c r="Y96" s="62">
        <f t="shared" si="36"/>
        <v>23.298400000000001</v>
      </c>
      <c r="Z96" s="62">
        <f t="shared" si="37"/>
        <v>1.52E-2</v>
      </c>
      <c r="AA96" s="62">
        <f t="shared" si="38"/>
        <v>23.283200000000001</v>
      </c>
      <c r="AB96" s="59" t="str">
        <f>VLOOKUP(A96,Enforcements!$C$7:$K$13,8,0)</f>
        <v>Bulletin (2)</v>
      </c>
      <c r="AC96" s="55" t="str">
        <f>VLOOKUP(A96,Enforcements!$C$7:$E$13,3,0)</f>
        <v>GRADE CROSSING</v>
      </c>
      <c r="AD96" s="56" t="str">
        <f t="shared" si="39"/>
        <v>0180-11</v>
      </c>
      <c r="AE96" s="85" t="str">
        <f t="shared" si="40"/>
        <v>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 &amp; 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</v>
      </c>
      <c r="AF96" s="82" t="str">
        <f t="shared" si="41"/>
        <v>"C:\Program Files (x86)\AstroGrep\AstroGrep.exe" /e /r /s /spath="%USERPROFILE%\AppData\Local\Temp\OnboardLogs" /stypes="app*4005*20170311*" /stext=" 22:.+((SYSTEM_STATE.+slice.+state.+changed )|(ment ac)|(multiple cpu faults)|(system.+state.+changed )|(\[timeout)|(PRM\|1\|D)|(kpr)|(kdp)|(\|lc)|(penalty))"</v>
      </c>
      <c r="AG96" s="1" t="str">
        <f t="shared" si="42"/>
        <v>EC</v>
      </c>
      <c r="AH96" s="86" t="str">
        <f t="shared" si="43"/>
        <v>"%USERPROFILE%\Documents\GitHub\eaglep3\Utilities\RefineRTDCRunTimes.py" --tripid 180-11 --locoid 4005 --swversion DE.1.0.9.0 --startMP 204:232984 --initTime 2017-03-11T14:13:18 --startdatetime 2017-03-11T14:14:23 --delay 1 --endMP 204:152 --enddatetime 2017-03-11T15:07:36 --enforcementcount 0 &gt;&gt;C:\Users\stu\Documents\GitHub\eaglep3-reporting\EC\2017-03-11-refined-times.txt</v>
      </c>
      <c r="AI96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{"issue":{"subject":"","project_id":79,"tracker_id":40,"status_id":1,"priority_id":2,"assigned_to_id":23,"start_date":"2017-03-11","description":"","custom_fields":[{"id":1,"name":"Subdivision","value":"EC"},{"id":4,"name":"Milepost","value":"0.0152"},{"id":17,"name":"Train ID","value":"180-11"},{"id":16,"name":"Locomotive ID","value":"4005"},{"id":130,"name":"Impact","value":""},{"id":150,"name":"Time of Event (Mountain Time)","value":"15:07:36"},{"id":151,"name":"Denver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5"/>
        <v>start /low /b %USERPROFILE%\Documents\GitHub\eaglep3\Utilities\DownloadLogsFromS3.py --loco 4005 --day 2017-03-11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"%USERPROFILE%\AppData\Local\Temp\OnboardLogs"\RTDC4005\*4005*20170311* | grep -SE "(Enforcement Action)|(\[TIMEOUT)|(CHR.+\|PRM\|1\|D.+(SWITCH|SIGNAL).+UNKNOWN)" - &gt;&gt; 2017-03-11-UncaughtWiMAX.txt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741</v>
      </c>
      <c r="B97" s="7">
        <v>4029</v>
      </c>
      <c r="C97" s="21" t="s">
        <v>240</v>
      </c>
      <c r="D97" s="21" t="s">
        <v>895</v>
      </c>
      <c r="E97" s="13">
        <v>42805.571157407408</v>
      </c>
      <c r="F97" s="13">
        <v>42805.572025462963</v>
      </c>
      <c r="G97" s="7">
        <v>1</v>
      </c>
      <c r="H97" s="21" t="s">
        <v>896</v>
      </c>
      <c r="I97" s="13">
        <v>42805.598958333336</v>
      </c>
      <c r="J97" s="7">
        <v>0</v>
      </c>
      <c r="K97" s="98" t="str">
        <f t="shared" si="30"/>
        <v>4029/4030</v>
      </c>
      <c r="L97" s="21" t="str">
        <f>VLOOKUP(A97,'Trips&amp;Operators'!$C$1:$G$99999,5,FALSE)</f>
        <v>LEVIN SCOTT</v>
      </c>
      <c r="M97" s="6">
        <f t="shared" si="31"/>
        <v>2.6932870372547768E-2</v>
      </c>
      <c r="N97" s="7">
        <f t="shared" si="48"/>
        <v>38.783333336468786</v>
      </c>
      <c r="O97" s="7"/>
      <c r="P97" s="7"/>
      <c r="Q97" s="22"/>
      <c r="R97" s="22"/>
      <c r="S97" s="31">
        <f t="shared" si="49"/>
        <v>1</v>
      </c>
      <c r="T97" s="46" t="str">
        <f t="shared" si="32"/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33"/>
        <v>https://d0f6bd738d7f1b3e5a7ca70fe4ff75f0.us-east-1.aws.found.io/app/kibana#/discover/Steve-Slow-Train-Analysis-(2080s-and-2083s)?_g=(refreshInterval:(display:Off,pause:!f,section:0,value:0),time:(from:'2017-03-11T12:42:28-0700',mode:absolute,to:'2017-03-11T15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7" s="187" t="str">
        <f t="shared" si="34"/>
        <v>N</v>
      </c>
      <c r="X97" s="187">
        <f t="shared" si="35"/>
        <v>1</v>
      </c>
      <c r="Y97" s="62">
        <f t="shared" si="36"/>
        <v>4.3499999999999997E-2</v>
      </c>
      <c r="Z97" s="62">
        <f t="shared" si="37"/>
        <v>23.341899999999999</v>
      </c>
      <c r="AA97" s="62">
        <f t="shared" si="38"/>
        <v>23.298399999999997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9"/>
        <v>0181-11</v>
      </c>
      <c r="AE97" s="85" t="str">
        <f t="shared" si="40"/>
        <v>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 &amp; aws s3 cp s3://rtdc.mdm.uploadarchive.raw/RTDC4029/ "%USERPROFILE%\AppData\Local\Temp\OnboardLogs"\RTDC4029\2017-03-12 --exclude "*" --recursive --include "*20170312*" &amp; "%USERPROFILE%\Documents\GitHub\mrs-test-scripts\Headless Mode &amp; Sideloading\WalkAndUnGZ.bat" "%USERPROFILE%\AppData\Local\Temp\OnboardLogs"\RTDC4029\2017-03-12</v>
      </c>
      <c r="AF97" s="82" t="str">
        <f t="shared" si="41"/>
        <v>"C:\Program Files (x86)\AstroGrep\AstroGrep.exe" /e /r /s /spath="%USERPROFILE%\AppData\Local\Temp\OnboardLogs" /stypes="app*4029*20170311*" /stext=" 21:.+((SYSTEM_STATE.+slice.+state.+changed )|(ment ac)|(multiple cpu faults)|(system.+state.+changed )|(\[timeout)|(PRM\|1\|D)|(kpr)|(kdp)|(\|lc)|(penalty))"</v>
      </c>
      <c r="AG97" s="1" t="str">
        <f t="shared" si="42"/>
        <v>EC</v>
      </c>
      <c r="AH97" s="86" t="str">
        <f t="shared" si="43"/>
        <v>"%USERPROFILE%\Documents\GitHub\eaglep3\Utilities\RefineRTDCRunTimes.py" --tripid 181-11 --locoid 4029 --swversion DE.1.0.9.0 --startMP 204:435 --initTime 2017-03-11T13:42:28 --startdatetime 2017-03-11T13:43:43 --delay 1 --endMP 204:233419 --enddatetime 2017-03-11T14:22:30 --enforcementcount 0 &gt;&gt;C:\Users\stu\Documents\GitHub\eaglep3-reporting\EC\2017-03-11-refined-times.txt</v>
      </c>
      <c r="AI97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{"issue":{"subject":"","project_id":79,"tracker_id":40,"status_id":1,"priority_id":2,"assigned_to_id":23,"start_date":"2017-03-11","description":"","custom_fields":[{"id":1,"name":"Subdivision","value":"EC"},{"id":4,"name":"Milepost","value":"23.3419"},{"id":17,"name":"Train ID","value":"181-11"},{"id":16,"name":"Locomotive ID","value":"4029"},{"id":130,"name":"Impact","value":""},{"id":150,"name":"Time of Event (Mountain Time)","value":"14:22:30"},{"id":151,"name":"Denver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5"/>
        <v>start /low /b %USERPROFILE%\Documents\GitHub\eaglep3\Utilities\DownloadLogsFromS3.py --loco 4029 --day 2017-03-11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"%USERPROFILE%\AppData\Local\Temp\OnboardLogs"\RTDC4029\*4029*20170311* | grep -SE "(Enforcement Action)|(\[TIMEOUT)|(CHR.+\|PRM\|1\|D.+(SWITCH|SIGNAL).+UNKNOWN)" - &gt;&gt; 2017-03-11-UncaughtWiMAX.txt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746</v>
      </c>
      <c r="B98" s="7">
        <v>4030</v>
      </c>
      <c r="C98" s="21" t="s">
        <v>240</v>
      </c>
      <c r="D98" s="21" t="s">
        <v>906</v>
      </c>
      <c r="E98" s="13">
        <v>42805.609259259261</v>
      </c>
      <c r="F98" s="13">
        <v>42805.610081018516</v>
      </c>
      <c r="G98" s="7">
        <v>1</v>
      </c>
      <c r="H98" s="21" t="s">
        <v>907</v>
      </c>
      <c r="I98" s="13">
        <v>42805.640034722222</v>
      </c>
      <c r="J98" s="7">
        <v>0</v>
      </c>
      <c r="K98" s="98" t="str">
        <f t="shared" si="30"/>
        <v>4029/4030</v>
      </c>
      <c r="L98" s="21" t="str">
        <f>VLOOKUP(A98,'Trips&amp;Operators'!$C$1:$G$99999,5,FALSE)</f>
        <v>LEVIN SCOTT</v>
      </c>
      <c r="M98" s="6">
        <f t="shared" si="31"/>
        <v>2.9953703706269152E-2</v>
      </c>
      <c r="N98" s="7">
        <f t="shared" si="48"/>
        <v>43.13333333702758</v>
      </c>
      <c r="O98" s="7"/>
      <c r="P98" s="7"/>
      <c r="Q98" s="22"/>
      <c r="R98" s="22"/>
      <c r="S98" s="31">
        <f t="shared" si="49"/>
        <v>1</v>
      </c>
      <c r="T98" s="46" t="str">
        <f t="shared" si="32"/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33"/>
        <v>https://d0f6bd738d7f1b3e5a7ca70fe4ff75f0.us-east-1.aws.found.io/app/kibana#/discover/Steve-Slow-Train-Analysis-(2080s-and-2083s)?_g=(refreshInterval:(display:Off,pause:!f,section:0,value:0),time:(from:'2017-03-11T13:37:20-0700',mode:absolute,to:'2017-03-11T16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8" s="187" t="str">
        <f t="shared" si="34"/>
        <v>N</v>
      </c>
      <c r="X98" s="187">
        <f t="shared" si="35"/>
        <v>1</v>
      </c>
      <c r="Y98" s="62">
        <f t="shared" si="36"/>
        <v>23.307600000000001</v>
      </c>
      <c r="Z98" s="62">
        <f t="shared" si="37"/>
        <v>1.18E-2</v>
      </c>
      <c r="AA98" s="62">
        <f t="shared" si="38"/>
        <v>23.2958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9"/>
        <v>0182-11</v>
      </c>
      <c r="AE98" s="85" t="str">
        <f t="shared" si="40"/>
        <v>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 &amp; aws s3 cp s3://rtdc.mdm.uploadarchive.raw/RTDC4030/ "%USERPROFILE%\AppData\Local\Temp\OnboardLogs"\RTDC4030\2017-03-12 --exclude "*" --recursive --include "*20170312*" &amp; "%USERPROFILE%\Documents\GitHub\mrs-test-scripts\Headless Mode &amp; Sideloading\WalkAndUnGZ.bat" "%USERPROFILE%\AppData\Local\Temp\OnboardLogs"\RTDC4030\2017-03-12</v>
      </c>
      <c r="AF98" s="82" t="str">
        <f t="shared" si="41"/>
        <v>"C:\Program Files (x86)\AstroGrep\AstroGrep.exe" /e /r /s /spath="%USERPROFILE%\AppData\Local\Temp\OnboardLogs" /stypes="app*4030*20170311*" /stext=" 22:.+((SYSTEM_STATE.+slice.+state.+changed )|(ment ac)|(multiple cpu faults)|(system.+state.+changed )|(\[timeout)|(PRM\|1\|D)|(kpr)|(kdp)|(\|lc)|(penalty))"</v>
      </c>
      <c r="AG98" s="1" t="str">
        <f t="shared" si="42"/>
        <v>EC</v>
      </c>
      <c r="AH98" s="86" t="str">
        <f t="shared" si="43"/>
        <v>"%USERPROFILE%\Documents\GitHub\eaglep3\Utilities\RefineRTDCRunTimes.py" --tripid 182-11 --locoid 4030 --swversion DE.1.0.9.0 --startMP 204:233076 --initTime 2017-03-11T14:37:20 --startdatetime 2017-03-11T14:38:31 --delay 1 --endMP 204:118 --enddatetime 2017-03-11T15:21:39 --enforcementcount 0 &gt;&gt;C:\Users\stu\Documents\GitHub\eaglep3-reporting\EC\2017-03-11-refined-times.txt</v>
      </c>
      <c r="AI98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{"issue":{"subject":"","project_id":79,"tracker_id":40,"status_id":1,"priority_id":2,"assigned_to_id":23,"start_date":"2017-03-11","description":"","custom_fields":[{"id":1,"name":"Subdivision","value":"EC"},{"id":4,"name":"Milepost","value":"0.0118"},{"id":17,"name":"Train ID","value":"182-11"},{"id":16,"name":"Locomotive ID","value":"4030"},{"id":130,"name":"Impact","value":""},{"id":150,"name":"Time of Event (Mountain Time)","value":"15:21:39"},{"id":151,"name":"Denver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5"/>
        <v>start /low /b %USERPROFILE%\Documents\GitHub\eaglep3\Utilities\DownloadLogsFromS3.py --loco 4030 --day 2017-03-11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"%USERPROFILE%\AppData\Local\Temp\OnboardLogs"\RTDC4030\*4030*20170311* | grep -SE "(Enforcement Action)|(\[TIMEOUT)|(CHR.+\|PRM\|1\|D.+(SWITCH|SIGNAL).+UNKNOWN)" - &gt;&gt; 2017-03-11-UncaughtWiMAX.txt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742</v>
      </c>
      <c r="B99" s="7">
        <v>4044</v>
      </c>
      <c r="C99" s="21" t="s">
        <v>240</v>
      </c>
      <c r="D99" s="21" t="s">
        <v>920</v>
      </c>
      <c r="E99" s="13">
        <v>42805.578506944446</v>
      </c>
      <c r="F99" s="13">
        <v>42805.57949074074</v>
      </c>
      <c r="G99" s="7">
        <v>1</v>
      </c>
      <c r="H99" s="21" t="s">
        <v>848</v>
      </c>
      <c r="I99" s="13">
        <v>42805.609236111108</v>
      </c>
      <c r="J99" s="7">
        <v>0</v>
      </c>
      <c r="K99" s="98" t="str">
        <f t="shared" si="30"/>
        <v>4043/4044</v>
      </c>
      <c r="L99" s="21" t="str">
        <f>VLOOKUP(A99,'Trips&amp;Operators'!$C$1:$G$99999,5,FALSE)</f>
        <v>DELGADO DIANAH</v>
      </c>
      <c r="M99" s="6">
        <f t="shared" si="31"/>
        <v>2.9745370367891155E-2</v>
      </c>
      <c r="N99" s="7">
        <f t="shared" si="48"/>
        <v>42.833333329763263</v>
      </c>
      <c r="O99" s="7"/>
      <c r="P99" s="7"/>
      <c r="Q99" s="22"/>
      <c r="R99" s="22"/>
      <c r="S99" s="31">
        <f t="shared" si="49"/>
        <v>1</v>
      </c>
      <c r="T99" s="46" t="str">
        <f t="shared" si="32"/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33"/>
        <v>https://d0f6bd738d7f1b3e5a7ca70fe4ff75f0.us-east-1.aws.found.io/app/kibana#/discover/Steve-Slow-Train-Analysis-(2080s-and-2083s)?_g=(refreshInterval:(display:Off,pause:!f,section:0,value:0),time:(from:'2017-03-11T12:53:03-0700',mode:absolute,to:'2017-03-11T15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9" s="187" t="str">
        <f t="shared" si="34"/>
        <v>N</v>
      </c>
      <c r="X99" s="187">
        <f t="shared" si="35"/>
        <v>1</v>
      </c>
      <c r="Y99" s="62">
        <f t="shared" si="36"/>
        <v>4.24E-2</v>
      </c>
      <c r="Z99" s="62">
        <f t="shared" si="37"/>
        <v>23.337399999999999</v>
      </c>
      <c r="AA99" s="62">
        <f t="shared" si="38"/>
        <v>23.294999999999998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9"/>
        <v>0183-11</v>
      </c>
      <c r="AE99" s="85" t="str">
        <f t="shared" si="40"/>
        <v>aws s3 cp s3://rtdc.mdm.uploadarchive.raw/RTDC4044/ "%USERPROFILE%\AppData\Local\Temp\OnboardLogs"\RTDC4044\2017-03-11 --exclude "*" --recursive --include "*20170311*" &amp; "%USERPROFILE%\Documents\GitHub\mrs-test-scripts\Headless Mode &amp; Sideloading\WalkAndUnGZ.bat" "%USERPROFILE%\AppData\Local\Temp\OnboardLogs"\RTDC4044\2017-03-11 &amp; aws s3 cp s3://rtdc.mdm.uploadarchive.raw/RTDC4044/ "%USERPROFILE%\AppData\Local\Temp\OnboardLogs"\RTDC4044\2017-03-12 --exclude "*" --recursive --include "*20170312*" &amp; "%USERPROFILE%\Documents\GitHub\mrs-test-scripts\Headless Mode &amp; Sideloading\WalkAndUnGZ.bat" "%USERPROFILE%\AppData\Local\Temp\OnboardLogs"\RTDC4044\2017-03-12</v>
      </c>
      <c r="AF99" s="82" t="str">
        <f t="shared" si="41"/>
        <v>"C:\Program Files (x86)\AstroGrep\AstroGrep.exe" /e /r /s /spath="%USERPROFILE%\AppData\Local\Temp\OnboardLogs" /stypes="app*4044*20170311*" /stext=" 21:.+((SYSTEM_STATE.+slice.+state.+changed )|(ment ac)|(multiple cpu faults)|(system.+state.+changed )|(\[timeout)|(PRM\|1\|D)|(kpr)|(kdp)|(\|lc)|(penalty))"</v>
      </c>
      <c r="AG99" s="1" t="str">
        <f t="shared" si="42"/>
        <v>EC</v>
      </c>
      <c r="AH99" s="86" t="str">
        <f t="shared" si="43"/>
        <v>"%USERPROFILE%\Documents\GitHub\eaglep3\Utilities\RefineRTDCRunTimes.py" --tripid 183-11 --locoid 4044 --swversion DE.1.0.9.0 --startMP 204:424 --initTime 2017-03-11T13:53:03 --startdatetime 2017-03-11T13:54:28 --delay 1 --endMP 204:233374 --enddatetime 2017-03-11T14:37:18 --enforcementcount 0 &gt;&gt;C:\Users\stu\Documents\GitHub\eaglep3-reporting\EC\2017-03-11-refined-times.txt</v>
      </c>
      <c r="AI99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{"issue":{"subject":"","project_id":79,"tracker_id":40,"status_id":1,"priority_id":2,"assigned_to_id":23,"start_date":"2017-03-11","description":"","custom_fields":[{"id":1,"name":"Subdivision","value":"EC"},{"id":4,"name":"Milepost","value":"23.3374"},{"id":17,"name":"Train ID","value":"183-11"},{"id":16,"name":"Locomotive ID","value":"4044"},{"id":130,"name":"Impact","value":""},{"id":150,"name":"Time of Event (Mountain Time)","value":"14:37:18"},{"id":151,"name":"Denver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5"/>
        <v>start /low /b %USERPROFILE%\Documents\GitHub\eaglep3\Utilities\DownloadLogsFromS3.py --loco 4044 --day 2017-03-11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"%USERPROFILE%\AppData\Local\Temp\OnboardLogs"\RTDC4044\*4044*20170311* | grep -SE "(Enforcement Action)|(\[TIMEOUT)|(CHR.+\|PRM\|1\|D.+(SWITCH|SIGNAL).+UNKNOWN)" - &gt;&gt; 2017-03-11-UncaughtWiMAX.txt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749</v>
      </c>
      <c r="B100" s="7">
        <v>4043</v>
      </c>
      <c r="C100" s="21" t="s">
        <v>240</v>
      </c>
      <c r="D100" s="21" t="s">
        <v>926</v>
      </c>
      <c r="E100" s="13">
        <v>42805.613680555558</v>
      </c>
      <c r="F100" s="13">
        <v>42805.614710648151</v>
      </c>
      <c r="G100" s="7">
        <v>1</v>
      </c>
      <c r="H100" s="21" t="s">
        <v>413</v>
      </c>
      <c r="I100" s="13">
        <v>42805.652337962965</v>
      </c>
      <c r="J100" s="7">
        <v>0</v>
      </c>
      <c r="K100" s="98" t="str">
        <f t="shared" si="30"/>
        <v>4043/4044</v>
      </c>
      <c r="L100" s="21" t="str">
        <f>VLOOKUP(A100,'Trips&amp;Operators'!$C$1:$G$99999,5,FALSE)</f>
        <v>DELGADO DIANAH</v>
      </c>
      <c r="M100" s="6">
        <f t="shared" si="31"/>
        <v>3.7627314814017154E-2</v>
      </c>
      <c r="N100" s="7">
        <f t="shared" si="48"/>
        <v>54.183333332184702</v>
      </c>
      <c r="O100" s="7"/>
      <c r="P100" s="7"/>
      <c r="Q100" s="22"/>
      <c r="R100" s="22"/>
      <c r="S100" s="31">
        <f t="shared" si="49"/>
        <v>1</v>
      </c>
      <c r="T100" s="46" t="str">
        <f t="shared" si="32"/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33"/>
        <v>https://d0f6bd738d7f1b3e5a7ca70fe4ff75f0.us-east-1.aws.found.io/app/kibana#/discover/Steve-Slow-Train-Analysis-(2080s-and-2083s)?_g=(refreshInterval:(display:Off,pause:!f,section:0,value:0),time:(from:'2017-03-11T13:43:42-0700',mode:absolute,to:'2017-03-11T16:39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0" s="187" t="str">
        <f t="shared" si="34"/>
        <v>N</v>
      </c>
      <c r="X100" s="187">
        <f t="shared" si="35"/>
        <v>1</v>
      </c>
      <c r="Y100" s="62">
        <f t="shared" si="36"/>
        <v>23.307200000000002</v>
      </c>
      <c r="Z100" s="62">
        <f t="shared" si="37"/>
        <v>1.43E-2</v>
      </c>
      <c r="AA100" s="62">
        <f t="shared" si="38"/>
        <v>23.292900000000003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9"/>
        <v>0184-11</v>
      </c>
      <c r="AE100" s="85" t="str">
        <f t="shared" si="40"/>
        <v>aws s3 cp s3://rtdc.mdm.uploadarchive.raw/RTDC4043/ "%USERPROFILE%\AppData\Local\Temp\OnboardLogs"\RTDC4043\2017-03-11 --exclude "*" --recursive --include "*20170311*" &amp; "%USERPROFILE%\Documents\GitHub\mrs-test-scripts\Headless Mode &amp; Sideloading\WalkAndUnGZ.bat" "%USERPROFILE%\AppData\Local\Temp\OnboardLogs"\RTDC4043\2017-03-11 &amp; aws s3 cp s3://rtdc.mdm.uploadarchive.raw/RTDC4043/ "%USERPROFILE%\AppData\Local\Temp\OnboardLogs"\RTDC4043\2017-03-12 --exclude "*" --recursive --include "*20170312*" &amp; "%USERPROFILE%\Documents\GitHub\mrs-test-scripts\Headless Mode &amp; Sideloading\WalkAndUnGZ.bat" "%USERPROFILE%\AppData\Local\Temp\OnboardLogs"\RTDC4043\2017-03-12</v>
      </c>
      <c r="AF100" s="82" t="str">
        <f t="shared" si="41"/>
        <v>"C:\Program Files (x86)\AstroGrep\AstroGrep.exe" /e /r /s /spath="%USERPROFILE%\AppData\Local\Temp\OnboardLogs" /stypes="app*4043*20170311*" /stext=" 22:.+((SYSTEM_STATE.+slice.+state.+changed )|(ment ac)|(multiple cpu faults)|(system.+state.+changed )|(\[timeout)|(PRM\|1\|D)|(kpr)|(kdp)|(\|lc)|(penalty))"</v>
      </c>
      <c r="AG100" s="1" t="str">
        <f t="shared" si="42"/>
        <v>EC</v>
      </c>
      <c r="AH100" s="86" t="str">
        <f t="shared" si="43"/>
        <v>"%USERPROFILE%\Documents\GitHub\eaglep3\Utilities\RefineRTDCRunTimes.py" --tripid 184-11 --locoid 4043 --swversion DE.1.0.9.0 --startMP 204:233072 --initTime 2017-03-11T14:43:42 --startdatetime 2017-03-11T14:45:11 --delay 1 --endMP 204:143 --enddatetime 2017-03-11T15:39:22 --enforcementcount 0 &gt;&gt;C:\Users\stu\Documents\GitHub\eaglep3-reporting\EC\2017-03-11-refined-times.txt</v>
      </c>
      <c r="AI100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{"issue":{"subject":"","project_id":79,"tracker_id":40,"status_id":1,"priority_id":2,"assigned_to_id":23,"start_date":"2017-03-11","description":"","custom_fields":[{"id":1,"name":"Subdivision","value":"EC"},{"id":4,"name":"Milepost","value":"0.0143"},{"id":17,"name":"Train ID","value":"184-11"},{"id":16,"name":"Locomotive ID","value":"4043"},{"id":130,"name":"Impact","value":""},{"id":150,"name":"Time of Event (Mountain Time)","value":"15:39:22"},{"id":151,"name":"Denver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5"/>
        <v>start /low /b %USERPROFILE%\Documents\GitHub\eaglep3\Utilities\DownloadLogsFromS3.py --loco 4043 --day 2017-03-11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"%USERPROFILE%\AppData\Local\Temp\OnboardLogs"\RTDC4043\*4043*20170311* | grep -SE "(Enforcement Action)|(\[TIMEOUT)|(CHR.+\|PRM\|1\|D.+(SWITCH|SIGNAL).+UNKNOWN)" - &gt;&gt; 2017-03-11-UncaughtWiMAX.txt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598</v>
      </c>
      <c r="B101" s="7">
        <v>4014</v>
      </c>
      <c r="C101" s="21" t="s">
        <v>240</v>
      </c>
      <c r="D101" s="21" t="s">
        <v>264</v>
      </c>
      <c r="E101" s="13">
        <v>42805.591597222221</v>
      </c>
      <c r="F101" s="13">
        <v>42805.59270833333</v>
      </c>
      <c r="G101" s="7">
        <v>1</v>
      </c>
      <c r="H101" s="21" t="s">
        <v>927</v>
      </c>
      <c r="I101" s="13">
        <v>42805.620856481481</v>
      </c>
      <c r="J101" s="7">
        <v>0</v>
      </c>
      <c r="K101" s="98" t="str">
        <f t="shared" si="30"/>
        <v>4013/4014</v>
      </c>
      <c r="L101" s="21" t="str">
        <f>VLOOKUP(A101,'Trips&amp;Operators'!$C$1:$G$99999,5,FALSE)</f>
        <v>LOPES KIMBERLY</v>
      </c>
      <c r="M101" s="6">
        <f t="shared" si="31"/>
        <v>2.8148148150648922E-2</v>
      </c>
      <c r="N101" s="7">
        <f t="shared" si="48"/>
        <v>40.533333336934447</v>
      </c>
      <c r="O101" s="7"/>
      <c r="P101" s="7"/>
      <c r="Q101" s="22"/>
      <c r="R101" s="22"/>
      <c r="S101" s="31">
        <f t="shared" si="49"/>
        <v>1</v>
      </c>
      <c r="T101" s="46" t="str">
        <f t="shared" si="32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33"/>
        <v>https://d0f6bd738d7f1b3e5a7ca70fe4ff75f0.us-east-1.aws.found.io/app/kibana#/discover/Steve-Slow-Train-Analysis-(2080s-and-2083s)?_g=(refreshInterval:(display:Off,pause:!f,section:0,value:0),time:(from:'2017-03-11T13:11:54-0700',mode:absolute,to:'2017-03-11T15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1" s="187" t="str">
        <f t="shared" si="34"/>
        <v>N</v>
      </c>
      <c r="X101" s="187">
        <f t="shared" si="35"/>
        <v>1</v>
      </c>
      <c r="Y101" s="62">
        <f t="shared" si="36"/>
        <v>4.4200000000000003E-2</v>
      </c>
      <c r="Z101" s="62">
        <f t="shared" si="37"/>
        <v>23.330200000000001</v>
      </c>
      <c r="AA101" s="62">
        <f t="shared" si="38"/>
        <v>23.286000000000001</v>
      </c>
      <c r="AB101" s="59" t="str">
        <f>VLOOKUP(A101,Enforcements!$C$7:$K$13,8,0)</f>
        <v>Bulletin (2)</v>
      </c>
      <c r="AC101" s="55" t="str">
        <f>VLOOKUP(A101,Enforcements!$C$7:$E$13,3,0)</f>
        <v>GRADE CROSSING</v>
      </c>
      <c r="AD101" s="56" t="str">
        <f t="shared" si="39"/>
        <v>0185-11</v>
      </c>
      <c r="AE101" s="85" t="str">
        <f t="shared" si="40"/>
        <v>aws s3 cp s3://rtdc.mdm.uploadarchive.raw/RTDC4014/ "%USERPROFILE%\AppData\Local\Temp\OnboardLogs"\RTDC4014\2017-03-11 --exclude "*" --recursive --include "*20170311*" &amp; "%USERPROFILE%\Documents\GitHub\mrs-test-scripts\Headless Mode &amp; Sideloading\WalkAndUnGZ.bat" "%USERPROFILE%\AppData\Local\Temp\OnboardLogs"\RTDC4014\2017-03-11 &amp; aws s3 cp s3://rtdc.mdm.uploadarchive.raw/RTDC4014/ "%USERPROFILE%\AppData\Local\Temp\OnboardLogs"\RTDC4014\2017-03-12 --exclude "*" --recursive --include "*20170312*" &amp; "%USERPROFILE%\Documents\GitHub\mrs-test-scripts\Headless Mode &amp; Sideloading\WalkAndUnGZ.bat" "%USERPROFILE%\AppData\Local\Temp\OnboardLogs"\RTDC4014\2017-03-12</v>
      </c>
      <c r="AF101" s="82" t="str">
        <f t="shared" si="41"/>
        <v>"C:\Program Files (x86)\AstroGrep\AstroGrep.exe" /e /r /s /spath="%USERPROFILE%\AppData\Local\Temp\OnboardLogs" /stypes="app*4014*20170311*" /stext=" 21:.+((SYSTEM_STATE.+slice.+state.+changed )|(ment ac)|(multiple cpu faults)|(system.+state.+changed )|(\[timeout)|(PRM\|1\|D)|(kpr)|(kdp)|(\|lc)|(penalty))"</v>
      </c>
      <c r="AG101" s="1" t="str">
        <f t="shared" si="42"/>
        <v>EC</v>
      </c>
      <c r="AH101" s="86" t="str">
        <f t="shared" si="43"/>
        <v>"%USERPROFILE%\Documents\GitHub\eaglep3\Utilities\RefineRTDCRunTimes.py" --tripid 185-11 --locoid 4014 --swversion DE.1.0.9.0 --startMP 204:442 --initTime 2017-03-11T14:11:54 --startdatetime 2017-03-11T14:13:30 --delay 1 --endMP 204:233302 --enddatetime 2017-03-11T14:54:02 --enforcementcount 0 &gt;&gt;C:\Users\stu\Documents\GitHub\eaglep3-reporting\EC\2017-03-11-refined-times.txt</v>
      </c>
      <c r="AI101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{"issue":{"subject":"","project_id":79,"tracker_id":40,"status_id":1,"priority_id":2,"assigned_to_id":23,"start_date":"2017-03-11","description":"","custom_fields":[{"id":1,"name":"Subdivision","value":"EC"},{"id":4,"name":"Milepost","value":"23.3302"},{"id":17,"name":"Train ID","value":"185-11"},{"id":16,"name":"Locomotive ID","value":"4014"},{"id":130,"name":"Impact","value":""},{"id":150,"name":"Time of Event (Mountain Time)","value":"14:54:02"},{"id":151,"name":"Denver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5"/>
        <v>start /low /b %USERPROFILE%\Documents\GitHub\eaglep3\Utilities\DownloadLogsFromS3.py --loco 4014 --day 2017-03-11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"%USERPROFILE%\AppData\Local\Temp\OnboardLogs"\RTDC4014\*4014*20170311* | grep -SE "(Enforcement Action)|(\[TIMEOUT)|(CHR.+\|PRM\|1\|D.+(SWITCH|SIGNAL).+UNKNOWN)" - &gt;&gt; 2017-03-11-UncaughtWiMAX.txt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750</v>
      </c>
      <c r="B102" s="7">
        <v>4013</v>
      </c>
      <c r="C102" s="21" t="s">
        <v>240</v>
      </c>
      <c r="D102" s="21" t="s">
        <v>423</v>
      </c>
      <c r="E102" s="13">
        <v>42805.622974537036</v>
      </c>
      <c r="F102" s="13">
        <v>42805.624120370368</v>
      </c>
      <c r="G102" s="7">
        <v>1</v>
      </c>
      <c r="H102" s="21" t="s">
        <v>234</v>
      </c>
      <c r="I102" s="13">
        <v>42805.660416666666</v>
      </c>
      <c r="J102" s="7">
        <v>0</v>
      </c>
      <c r="K102" s="98" t="str">
        <f t="shared" si="30"/>
        <v>4013/4014</v>
      </c>
      <c r="L102" s="21" t="str">
        <f>VLOOKUP(A102,'Trips&amp;Operators'!$C$1:$G$99999,5,FALSE)</f>
        <v>LOPES KIMBERLY</v>
      </c>
      <c r="M102" s="6">
        <f t="shared" si="31"/>
        <v>3.6296296297223307E-2</v>
      </c>
      <c r="N102" s="7">
        <f t="shared" si="48"/>
        <v>52.266666668001562</v>
      </c>
      <c r="O102" s="7"/>
      <c r="P102" s="7"/>
      <c r="Q102" s="22"/>
      <c r="R102" s="22"/>
      <c r="S102" s="31">
        <f t="shared" si="49"/>
        <v>1</v>
      </c>
      <c r="T102" s="46" t="str">
        <f t="shared" si="32"/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33"/>
        <v>https://d0f6bd738d7f1b3e5a7ca70fe4ff75f0.us-east-1.aws.found.io/app/kibana#/discover/Steve-Slow-Train-Analysis-(2080s-and-2083s)?_g=(refreshInterval:(display:Off,pause:!f,section:0,value:0),time:(from:'2017-03-11T13:57:05-0700',mode:absolute,to:'2017-03-11T16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2" s="187" t="str">
        <f t="shared" si="34"/>
        <v>N</v>
      </c>
      <c r="X102" s="187">
        <f t="shared" si="35"/>
        <v>1</v>
      </c>
      <c r="Y102" s="62">
        <f t="shared" si="36"/>
        <v>23.299299999999999</v>
      </c>
      <c r="Z102" s="62">
        <f t="shared" si="37"/>
        <v>1.47E-2</v>
      </c>
      <c r="AA102" s="62">
        <f t="shared" si="38"/>
        <v>23.284599999999998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9"/>
        <v>0186-11</v>
      </c>
      <c r="AE102" s="85" t="str">
        <f t="shared" si="40"/>
        <v>aws s3 cp s3://rtdc.mdm.uploadarchive.raw/RTDC4013/ "%USERPROFILE%\AppData\Local\Temp\OnboardLogs"\RTDC4013\2017-03-11 --exclude "*" --recursive --include "*20170311*" &amp; "%USERPROFILE%\Documents\GitHub\mrs-test-scripts\Headless Mode &amp; Sideloading\WalkAndUnGZ.bat" "%USERPROFILE%\AppData\Local\Temp\OnboardLogs"\RTDC4013\2017-03-11 &amp; aws s3 cp s3://rtdc.mdm.uploadarchive.raw/RTDC4013/ "%USERPROFILE%\AppData\Local\Temp\OnboardLogs"\RTDC4013\2017-03-12 --exclude "*" --recursive --include "*20170312*" &amp; "%USERPROFILE%\Documents\GitHub\mrs-test-scripts\Headless Mode &amp; Sideloading\WalkAndUnGZ.bat" "%USERPROFILE%\AppData\Local\Temp\OnboardLogs"\RTDC4013\2017-03-12</v>
      </c>
      <c r="AF102" s="82" t="str">
        <f t="shared" si="41"/>
        <v>"C:\Program Files (x86)\AstroGrep\AstroGrep.exe" /e /r /s /spath="%USERPROFILE%\AppData\Local\Temp\OnboardLogs" /stypes="app*4013*20170311*" /stext=" 22:.+((SYSTEM_STATE.+slice.+state.+changed )|(ment ac)|(multiple cpu faults)|(system.+state.+changed )|(\[timeout)|(PRM\|1\|D)|(kpr)|(kdp)|(\|lc)|(penalty))"</v>
      </c>
      <c r="AG102" s="1" t="str">
        <f t="shared" si="42"/>
        <v>EC</v>
      </c>
      <c r="AH102" s="86" t="str">
        <f t="shared" si="43"/>
        <v>"%USERPROFILE%\Documents\GitHub\eaglep3\Utilities\RefineRTDCRunTimes.py" --tripid 186-11 --locoid 4013 --swversion DE.1.0.9.0 --startMP 204:232993 --initTime 2017-03-11T14:57:05 --startdatetime 2017-03-11T14:58:44 --delay 1 --endMP 204:147 --enddatetime 2017-03-11T15:51:00 --enforcementcount 0 &gt;&gt;C:\Users\stu\Documents\GitHub\eaglep3-reporting\EC\2017-03-11-refined-times.txt</v>
      </c>
      <c r="AI102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{"issue":{"subject":"","project_id":79,"tracker_id":40,"status_id":1,"priority_id":2,"assigned_to_id":23,"start_date":"2017-03-11","description":"","custom_fields":[{"id":1,"name":"Subdivision","value":"EC"},{"id":4,"name":"Milepost","value":"0.0147"},{"id":17,"name":"Train ID","value":"186-11"},{"id":16,"name":"Locomotive ID","value":"4013"},{"id":130,"name":"Impact","value":""},{"id":150,"name":"Time of Event (Mountain Time)","value":"15:51:00"},{"id":151,"name":"Denver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5"/>
        <v>start /low /b %USERPROFILE%\Documents\GitHub\eaglep3\Utilities\DownloadLogsFromS3.py --loco 4013 --day 2017-03-11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"%USERPROFILE%\AppData\Local\Temp\OnboardLogs"\RTDC4013\*4013*20170311* | grep -SE "(Enforcement Action)|(\[TIMEOUT)|(CHR.+\|PRM\|1\|D.+(SWITCH|SIGNAL).+UNKNOWN)" - &gt;&gt; 2017-03-11-UncaughtWiMAX.txt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600</v>
      </c>
      <c r="B103" s="7">
        <v>4009</v>
      </c>
      <c r="C103" s="21" t="s">
        <v>240</v>
      </c>
      <c r="D103" s="21" t="s">
        <v>218</v>
      </c>
      <c r="E103" s="13">
        <v>42805.600763888891</v>
      </c>
      <c r="F103" s="13">
        <v>42805.602187500001</v>
      </c>
      <c r="G103" s="7">
        <v>2</v>
      </c>
      <c r="H103" s="21" t="s">
        <v>275</v>
      </c>
      <c r="I103" s="13">
        <v>42805.631122685183</v>
      </c>
      <c r="J103" s="7">
        <v>0</v>
      </c>
      <c r="K103" s="98" t="str">
        <f t="shared" si="30"/>
        <v>4009/4010</v>
      </c>
      <c r="L103" s="21" t="str">
        <f>VLOOKUP(A103,'Trips&amp;Operators'!$C$1:$G$99999,5,FALSE)</f>
        <v>STEWART MICHAEL</v>
      </c>
      <c r="M103" s="6">
        <f t="shared" si="31"/>
        <v>2.8935185182490386E-2</v>
      </c>
      <c r="N103" s="7">
        <f t="shared" si="48"/>
        <v>41.666666662786156</v>
      </c>
      <c r="O103" s="7"/>
      <c r="P103" s="7"/>
      <c r="Q103" s="22"/>
      <c r="R103" s="22"/>
      <c r="S103" s="31">
        <f t="shared" si="49"/>
        <v>1</v>
      </c>
      <c r="T103" s="46" t="str">
        <f t="shared" si="32"/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33"/>
        <v>https://d0f6bd738d7f1b3e5a7ca70fe4ff75f0.us-east-1.aws.found.io/app/kibana#/discover/Steve-Slow-Train-Analysis-(2080s-and-2083s)?_g=(refreshInterval:(display:Off,pause:!f,section:0,value:0),time:(from:'2017-03-11T13:25:06-0700',mode:absolute,to:'2017-03-11T16:08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3" s="187" t="str">
        <f t="shared" si="34"/>
        <v>N</v>
      </c>
      <c r="X103" s="187">
        <f t="shared" si="35"/>
        <v>1</v>
      </c>
      <c r="Y103" s="62">
        <f t="shared" si="36"/>
        <v>4.5999999999999999E-2</v>
      </c>
      <c r="Z103" s="62">
        <f t="shared" si="37"/>
        <v>23.330300000000001</v>
      </c>
      <c r="AA103" s="62">
        <f t="shared" si="38"/>
        <v>23.284300000000002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9"/>
        <v>0187-11</v>
      </c>
      <c r="AE103" s="85" t="str">
        <f t="shared" si="40"/>
        <v>aws s3 cp s3://rtdc.mdm.uploadarchive.raw/RTDC4009/ "%USERPROFILE%\AppData\Local\Temp\OnboardLogs"\RTDC4009\2017-03-11 --exclude "*" --recursive --include "*20170311*" &amp; "%USERPROFILE%\Documents\GitHub\mrs-test-scripts\Headless Mode &amp; Sideloading\WalkAndUnGZ.bat" "%USERPROFILE%\AppData\Local\Temp\OnboardLogs"\RTDC4009\2017-03-11 &amp; aws s3 cp s3://rtdc.mdm.uploadarchive.raw/RTDC4009/ "%USERPROFILE%\AppData\Local\Temp\OnboardLogs"\RTDC4009\2017-03-12 --exclude "*" --recursive --include "*20170312*" &amp; "%USERPROFILE%\Documents\GitHub\mrs-test-scripts\Headless Mode &amp; Sideloading\WalkAndUnGZ.bat" "%USERPROFILE%\AppData\Local\Temp\OnboardLogs"\RTDC4009\2017-03-12</v>
      </c>
      <c r="AF103" s="82" t="str">
        <f t="shared" si="41"/>
        <v>"C:\Program Files (x86)\AstroGrep\AstroGrep.exe" /e /r /s /spath="%USERPROFILE%\AppData\Local\Temp\OnboardLogs" /stypes="app*4009*20170311*" /stext=" 22:.+((SYSTEM_STATE.+slice.+state.+changed )|(ment ac)|(multiple cpu faults)|(system.+state.+changed )|(\[timeout)|(PRM\|1\|D)|(kpr)|(kdp)|(\|lc)|(penalty))"</v>
      </c>
      <c r="AG103" s="1" t="str">
        <f t="shared" si="42"/>
        <v>EC</v>
      </c>
      <c r="AH103" s="86" t="str">
        <f t="shared" si="43"/>
        <v>"%USERPROFILE%\Documents\GitHub\eaglep3\Utilities\RefineRTDCRunTimes.py" --tripid 187-11 --locoid 4009 --swversion DE.1.0.9.0 --startMP 204:460 --initTime 2017-03-11T14:25:06 --startdatetime 2017-03-11T14:27:09 --delay 2 --endMP 204:233303 --enddatetime 2017-03-11T15:08:49 --enforcementcount 0 &gt;&gt;C:\Users\stu\Documents\GitHub\eaglep3-reporting\EC\2017-03-11-refined-times.txt</v>
      </c>
      <c r="AI103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{"issue":{"subject":"","project_id":79,"tracker_id":40,"status_id":1,"priority_id":2,"assigned_to_id":23,"start_date":"2017-03-11","description":"","custom_fields":[{"id":1,"name":"Subdivision","value":"EC"},{"id":4,"name":"Milepost","value":"23.3303"},{"id":17,"name":"Train ID","value":"187-11"},{"id":16,"name":"Locomotive ID","value":"4009"},{"id":130,"name":"Impact","value":""},{"id":150,"name":"Time of Event (Mountain Time)","value":"15:08:49"},{"id":151,"name":"Denver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5"/>
        <v>start /low /b %USERPROFILE%\Documents\GitHub\eaglep3\Utilities\DownloadLogsFromS3.py --loco 4009 --day 2017-03-11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"%USERPROFILE%\AppData\Local\Temp\OnboardLogs"\RTDC4009\*4009*20170311* | grep -SE "(Enforcement Action)|(\[TIMEOUT)|(CHR.+\|PRM\|1\|D.+(SWITCH|SIGNAL).+UNKNOWN)" - &gt;&gt; 2017-03-11-UncaughtWiMAX.txt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753</v>
      </c>
      <c r="B104" s="7">
        <v>4010</v>
      </c>
      <c r="C104" s="21" t="s">
        <v>240</v>
      </c>
      <c r="D104" s="21" t="s">
        <v>853</v>
      </c>
      <c r="E104" s="13">
        <v>42805.641296296293</v>
      </c>
      <c r="F104" s="13">
        <v>42805.642523148148</v>
      </c>
      <c r="G104" s="7">
        <v>1</v>
      </c>
      <c r="H104" s="21" t="s">
        <v>928</v>
      </c>
      <c r="I104" s="13">
        <v>42805.671979166669</v>
      </c>
      <c r="J104" s="7">
        <v>0</v>
      </c>
      <c r="K104" s="98" t="str">
        <f t="shared" si="30"/>
        <v>4009/4010</v>
      </c>
      <c r="L104" s="21" t="str">
        <f>VLOOKUP(A104,'Trips&amp;Operators'!$C$1:$G$99999,5,FALSE)</f>
        <v>STEWART MICHAEL</v>
      </c>
      <c r="M104" s="6">
        <f t="shared" si="31"/>
        <v>2.9456018521159422E-2</v>
      </c>
      <c r="N104" s="7">
        <f t="shared" si="48"/>
        <v>42.416666670469567</v>
      </c>
      <c r="O104" s="7"/>
      <c r="P104" s="7"/>
      <c r="Q104" s="22"/>
      <c r="R104" s="22"/>
      <c r="S104" s="31">
        <f t="shared" si="49"/>
        <v>1</v>
      </c>
      <c r="T104" s="46" t="str">
        <f t="shared" si="32"/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33"/>
        <v>https://d0f6bd738d7f1b3e5a7ca70fe4ff75f0.us-east-1.aws.found.io/app/kibana#/discover/Steve-Slow-Train-Analysis-(2080s-and-2083s)?_g=(refreshInterval:(display:Off,pause:!f,section:0,value:0),time:(from:'2017-03-11T14:23:28-0700',mode:absolute,to:'2017-03-11T17:07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4" s="187" t="str">
        <f t="shared" si="34"/>
        <v>N</v>
      </c>
      <c r="X104" s="187">
        <f t="shared" si="35"/>
        <v>1</v>
      </c>
      <c r="Y104" s="62">
        <f t="shared" si="36"/>
        <v>23.297699999999999</v>
      </c>
      <c r="Z104" s="62">
        <f t="shared" si="37"/>
        <v>1.6299999999999999E-2</v>
      </c>
      <c r="AA104" s="62">
        <f t="shared" si="38"/>
        <v>23.281399999999998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9"/>
        <v>0188-11</v>
      </c>
      <c r="AE104" s="85" t="str">
        <f t="shared" si="40"/>
        <v>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 &amp; aws s3 cp s3://rtdc.mdm.uploadarchive.raw/RTDC4010/ "%USERPROFILE%\AppData\Local\Temp\OnboardLogs"\RTDC4010\2017-03-12 --exclude "*" --recursive --include "*20170312*" &amp; "%USERPROFILE%\Documents\GitHub\mrs-test-scripts\Headless Mode &amp; Sideloading\WalkAndUnGZ.bat" "%USERPROFILE%\AppData\Local\Temp\OnboardLogs"\RTDC4010\2017-03-12</v>
      </c>
      <c r="AF104" s="82" t="str">
        <f t="shared" si="41"/>
        <v>"C:\Program Files (x86)\AstroGrep\AstroGrep.exe" /e /r /s /spath="%USERPROFILE%\AppData\Local\Temp\OnboardLogs" /stypes="app*4010*20170311*" /stext=" 23:.+((SYSTEM_STATE.+slice.+state.+changed )|(ment ac)|(multiple cpu faults)|(system.+state.+changed )|(\[timeout)|(PRM\|1\|D)|(kpr)|(kdp)|(\|lc)|(penalty))"</v>
      </c>
      <c r="AG104" s="1" t="str">
        <f t="shared" si="42"/>
        <v>EC</v>
      </c>
      <c r="AH104" s="86" t="str">
        <f t="shared" si="43"/>
        <v>"%USERPROFILE%\Documents\GitHub\eaglep3\Utilities\RefineRTDCRunTimes.py" --tripid 188-11 --locoid 4010 --swversion DE.1.0.9.0 --startMP 204:232977 --initTime 2017-03-11T15:23:28 --startdatetime 2017-03-11T15:25:14 --delay 1 --endMP 204:163 --enddatetime 2017-03-11T16:07:39 --enforcementcount 0 &gt;&gt;C:\Users\stu\Documents\GitHub\eaglep3-reporting\EC\2017-03-11-refined-times.txt</v>
      </c>
      <c r="AI104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{"issue":{"subject":"","project_id":79,"tracker_id":40,"status_id":1,"priority_id":2,"assigned_to_id":23,"start_date":"2017-03-11","description":"","custom_fields":[{"id":1,"name":"Subdivision","value":"EC"},{"id":4,"name":"Milepost","value":"0.0163"},{"id":17,"name":"Train ID","value":"188-11"},{"id":16,"name":"Locomotive ID","value":"4010"},{"id":130,"name":"Impact","value":""},{"id":150,"name":"Time of Event (Mountain Time)","value":"16:07:39"},{"id":151,"name":"Denver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5"/>
        <v>start /low /b %USERPROFILE%\Documents\GitHub\eaglep3\Utilities\DownloadLogsFromS3.py --loco 4010 --day 2017-03-11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"%USERPROFILE%\AppData\Local\Temp\OnboardLogs"\RTDC4010\*4010*20170311* | grep -SE "(Enforcement Action)|(\[TIMEOUT)|(CHR.+\|PRM\|1\|D.+(SWITCH|SIGNAL).+UNKNOWN)" - &gt;&gt; 2017-03-11-UncaughtWiMAX.txt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748</v>
      </c>
      <c r="B105" s="7">
        <v>4046</v>
      </c>
      <c r="C105" s="21" t="s">
        <v>240</v>
      </c>
      <c r="D105" s="21" t="s">
        <v>260</v>
      </c>
      <c r="E105" s="13">
        <v>42805.61341435185</v>
      </c>
      <c r="F105" s="13">
        <v>42805.614178240743</v>
      </c>
      <c r="G105" s="7">
        <v>1</v>
      </c>
      <c r="H105" s="21" t="s">
        <v>927</v>
      </c>
      <c r="I105" s="13">
        <v>42805.646828703706</v>
      </c>
      <c r="J105" s="7">
        <v>0</v>
      </c>
      <c r="K105" s="98" t="str">
        <f t="shared" si="30"/>
        <v>4045/4046</v>
      </c>
      <c r="L105" s="21" t="str">
        <f>VLOOKUP(A105,'Trips&amp;Operators'!$C$1:$G$99999,5,FALSE)</f>
        <v>DAVIS MICHAEL</v>
      </c>
      <c r="M105" s="6">
        <f t="shared" si="31"/>
        <v>3.2650462962919846E-2</v>
      </c>
      <c r="N105" s="7">
        <f t="shared" si="48"/>
        <v>47.016666666604578</v>
      </c>
      <c r="O105" s="7"/>
      <c r="P105" s="7"/>
      <c r="Q105" s="22"/>
      <c r="R105" s="22"/>
      <c r="S105" s="31">
        <f t="shared" si="49"/>
        <v>1</v>
      </c>
      <c r="T105" s="46" t="str">
        <f t="shared" si="32"/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33"/>
        <v>https://d0f6bd738d7f1b3e5a7ca70fe4ff75f0.us-east-1.aws.found.io/app/kibana#/discover/Steve-Slow-Train-Analysis-(2080s-and-2083s)?_g=(refreshInterval:(display:Off,pause:!f,section:0,value:0),time:(from:'2017-03-11T13:43:19-0700',mode:absolute,to:'2017-03-11T16:31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5" s="187" t="str">
        <f t="shared" si="34"/>
        <v>N</v>
      </c>
      <c r="X105" s="187">
        <f t="shared" si="35"/>
        <v>1</v>
      </c>
      <c r="Y105" s="62">
        <f t="shared" si="36"/>
        <v>4.6699999999999998E-2</v>
      </c>
      <c r="Z105" s="62">
        <f t="shared" si="37"/>
        <v>23.330200000000001</v>
      </c>
      <c r="AA105" s="62">
        <f t="shared" si="38"/>
        <v>23.2835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9"/>
        <v>0189-11</v>
      </c>
      <c r="AE105" s="85" t="str">
        <f t="shared" si="40"/>
        <v>aws s3 cp s3://rtdc.mdm.uploadarchive.raw/RTDC4046/ "%USERPROFILE%\AppData\Local\Temp\OnboardLogs"\RTDC4046\2017-03-11 --exclude "*" --recursive --include "*20170311*" &amp; "%USERPROFILE%\Documents\GitHub\mrs-test-scripts\Headless Mode &amp; Sideloading\WalkAndUnGZ.bat" "%USERPROFILE%\AppData\Local\Temp\OnboardLogs"\RTDC4046\2017-03-11 &amp; aws s3 cp s3://rtdc.mdm.uploadarchive.raw/RTDC4046/ "%USERPROFILE%\AppData\Local\Temp\OnboardLogs"\RTDC4046\2017-03-12 --exclude "*" --recursive --include "*20170312*" &amp; "%USERPROFILE%\Documents\GitHub\mrs-test-scripts\Headless Mode &amp; Sideloading\WalkAndUnGZ.bat" "%USERPROFILE%\AppData\Local\Temp\OnboardLogs"\RTDC4046\2017-03-12</v>
      </c>
      <c r="AF105" s="82" t="str">
        <f t="shared" si="41"/>
        <v>"C:\Program Files (x86)\AstroGrep\AstroGrep.exe" /e /r /s /spath="%USERPROFILE%\AppData\Local\Temp\OnboardLogs" /stypes="app*4046*20170311*" /stext=" 22:.+((SYSTEM_STATE.+slice.+state.+changed )|(ment ac)|(multiple cpu faults)|(system.+state.+changed )|(\[timeout)|(PRM\|1\|D)|(kpr)|(kdp)|(\|lc)|(penalty))"</v>
      </c>
      <c r="AG105" s="1" t="str">
        <f t="shared" si="42"/>
        <v>EC</v>
      </c>
      <c r="AH105" s="86" t="str">
        <f t="shared" si="43"/>
        <v>"%USERPROFILE%\Documents\GitHub\eaglep3\Utilities\RefineRTDCRunTimes.py" --tripid 189-11 --locoid 4046 --swversion DE.1.0.9.0 --startMP 204:467 --initTime 2017-03-11T14:43:19 --startdatetime 2017-03-11T14:44:25 --delay 1 --endMP 204:233302 --enddatetime 2017-03-11T15:31:26 --enforcementcount 0 &gt;&gt;C:\Users\stu\Documents\GitHub\eaglep3-reporting\EC\2017-03-11-refined-times.txt</v>
      </c>
      <c r="AI105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{"issue":{"subject":"","project_id":79,"tracker_id":40,"status_id":1,"priority_id":2,"assigned_to_id":23,"start_date":"2017-03-11","description":"","custom_fields":[{"id":1,"name":"Subdivision","value":"EC"},{"id":4,"name":"Milepost","value":"23.3302"},{"id":17,"name":"Train ID","value":"189-11"},{"id":16,"name":"Locomotive ID","value":"4046"},{"id":130,"name":"Impact","value":""},{"id":150,"name":"Time of Event (Mountain Time)","value":"15:31:26"},{"id":151,"name":"Denver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5"/>
        <v>start /low /b %USERPROFILE%\Documents\GitHub\eaglep3\Utilities\DownloadLogsFromS3.py --loco 4046 --day 2017-03-11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"%USERPROFILE%\AppData\Local\Temp\OnboardLogs"\RTDC4046\*4046*20170311* | grep -SE "(Enforcement Action)|(\[TIMEOUT)|(CHR.+\|PRM\|1\|D.+(SWITCH|SIGNAL).+UNKNOWN)" - &gt;&gt; 2017-03-11-UncaughtWiMAX.txt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755</v>
      </c>
      <c r="B106" s="7">
        <v>4045</v>
      </c>
      <c r="C106" s="21" t="s">
        <v>240</v>
      </c>
      <c r="D106" s="21" t="s">
        <v>426</v>
      </c>
      <c r="E106" s="13">
        <v>42805.651458333334</v>
      </c>
      <c r="F106" s="13">
        <v>42805.652268518519</v>
      </c>
      <c r="G106" s="7">
        <v>1</v>
      </c>
      <c r="H106" s="21" t="s">
        <v>552</v>
      </c>
      <c r="I106" s="13">
        <v>42805.684236111112</v>
      </c>
      <c r="J106" s="7">
        <v>0</v>
      </c>
      <c r="K106" s="98" t="str">
        <f t="shared" si="30"/>
        <v>4045/4046</v>
      </c>
      <c r="L106" s="21" t="str">
        <f>VLOOKUP(A106,'Trips&amp;Operators'!$C$1:$G$99999,5,FALSE)</f>
        <v>DAVIS MICHAEL</v>
      </c>
      <c r="M106" s="6">
        <f t="shared" si="31"/>
        <v>3.1967592592991423E-2</v>
      </c>
      <c r="N106" s="7">
        <f t="shared" si="48"/>
        <v>46.033333333907649</v>
      </c>
      <c r="O106" s="7"/>
      <c r="P106" s="7"/>
      <c r="Q106" s="22"/>
      <c r="R106" s="22" t="s">
        <v>1008</v>
      </c>
      <c r="S106" s="31">
        <f t="shared" si="49"/>
        <v>1</v>
      </c>
      <c r="T106" s="46" t="str">
        <f t="shared" si="32"/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33"/>
        <v>https://d0f6bd738d7f1b3e5a7ca70fe4ff75f0.us-east-1.aws.found.io/app/kibana#/discover/Steve-Slow-Train-Analysis-(2080s-and-2083s)?_g=(refreshInterval:(display:Off,pause:!f,section:0,value:0),time:(from:'2017-03-11T14:38:06-0700',mode:absolute,to:'2017-03-11T17:25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6" s="187" t="str">
        <f t="shared" si="34"/>
        <v>N</v>
      </c>
      <c r="X106" s="187">
        <f t="shared" si="35"/>
        <v>1</v>
      </c>
      <c r="Y106" s="62">
        <f t="shared" si="36"/>
        <v>23.297599999999999</v>
      </c>
      <c r="Z106" s="62">
        <f t="shared" si="37"/>
        <v>1.29E-2</v>
      </c>
      <c r="AA106" s="62">
        <f t="shared" si="38"/>
        <v>23.284700000000001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9"/>
        <v>0190-11</v>
      </c>
      <c r="AE106" s="85" t="str">
        <f t="shared" si="40"/>
        <v>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 &amp; aws s3 cp s3://rtdc.mdm.uploadarchive.raw/RTDC4045/ "%USERPROFILE%\AppData\Local\Temp\OnboardLogs"\RTDC4045\2017-03-12 --exclude "*" --recursive --include "*20170312*" &amp; "%USERPROFILE%\Documents\GitHub\mrs-test-scripts\Headless Mode &amp; Sideloading\WalkAndUnGZ.bat" "%USERPROFILE%\AppData\Local\Temp\OnboardLogs"\RTDC4045\2017-03-12</v>
      </c>
      <c r="AF106" s="82" t="str">
        <f t="shared" si="41"/>
        <v>"C:\Program Files (x86)\AstroGrep\AstroGrep.exe" /e /r /s /spath="%USERPROFILE%\AppData\Local\Temp\OnboardLogs" /stypes="app*4045*20170311*" /stext=" 23:.+((SYSTEM_STATE.+slice.+state.+changed )|(ment ac)|(multiple cpu faults)|(system.+state.+changed )|(\[timeout)|(PRM\|1\|D)|(kpr)|(kdp)|(\|lc)|(penalty))"</v>
      </c>
      <c r="AG106" s="1" t="str">
        <f t="shared" si="42"/>
        <v>EC</v>
      </c>
      <c r="AH106" s="86" t="str">
        <f t="shared" si="43"/>
        <v>"%USERPROFILE%\Documents\GitHub\eaglep3\Utilities\RefineRTDCRunTimes.py" --tripid 190-11 --locoid 4045 --swversion DE.1.0.9.0 --startMP 204:232976 --initTime 2017-03-11T15:38:06 --startdatetime 2017-03-11T15:39:16 --delay 1 --endMP 204:129 --enddatetime 2017-03-11T16:25:18 --enforcementcount 0 &gt;&gt;C:\Users\stu\Documents\GitHub\eaglep3-reporting\EC\2017-03-11-refined-times.txt</v>
      </c>
      <c r="AI106" s="108" t="str">
        <f t="shared" si="44"/>
        <v>echo {"issue":{"subject":"Unhealthy @ Chambers due to train stop","project_id":79,"tracker_id":40,"status_id":1,"priority_id":2,"assigned_to_id":23,"start_date":"2017-03-11","description":"","custom_fields":[{"id":1,"name":"Subdivision","value":"EC"},{"id":4,"name":"Milepost","value":"0.0129"},{"id":17,"name":"Train ID","value":"190-11"},{"id":16,"name":"Locomotive ID","value":"4045"},{"id":130,"name":"Impact","value":""},{"id":150,"name":"Time of Event (Mountain Time)","value":"16:25:18"},{"id":151,"name":"Denver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5"/>
        <v>start /low /b %USERPROFILE%\Documents\GitHub\eaglep3\Utilities\DownloadLogsFromS3.py --loco 4045 --day 2017-03-11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"%USERPROFILE%\AppData\Local\Temp\OnboardLogs"\RTDC4045\*4045*20170311* | grep -SE "(Enforcement Action)|(\[TIMEOUT)|(CHR.+\|PRM\|1\|D.+(SWITCH|SIGNAL).+UNKNOWN)" - &gt;&gt; 2017-03-11-UncaughtWiMAX.txt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751</v>
      </c>
      <c r="B107" s="7">
        <v>4040</v>
      </c>
      <c r="C107" s="21" t="s">
        <v>240</v>
      </c>
      <c r="D107" s="21" t="s">
        <v>271</v>
      </c>
      <c r="E107" s="13">
        <v>42805.623483796298</v>
      </c>
      <c r="F107" s="13">
        <v>42805.624212962961</v>
      </c>
      <c r="G107" s="7">
        <v>1</v>
      </c>
      <c r="H107" s="21" t="s">
        <v>249</v>
      </c>
      <c r="I107" s="13">
        <v>42805.649976851855</v>
      </c>
      <c r="J107" s="7">
        <v>0</v>
      </c>
      <c r="K107" s="98" t="str">
        <f t="shared" si="30"/>
        <v>4039/4040</v>
      </c>
      <c r="L107" s="21" t="str">
        <f>VLOOKUP(A107,'Trips&amp;Operators'!$C$1:$G$99999,5,FALSE)</f>
        <v>BRUDER RICHARD</v>
      </c>
      <c r="M107" s="6">
        <f t="shared" si="31"/>
        <v>2.5763888894289266E-2</v>
      </c>
      <c r="N107" s="7">
        <f t="shared" si="48"/>
        <v>37.100000007776543</v>
      </c>
      <c r="O107" s="7"/>
      <c r="P107" s="7"/>
      <c r="Q107" s="22"/>
      <c r="R107" s="22"/>
      <c r="S107" s="31">
        <f t="shared" si="49"/>
        <v>1</v>
      </c>
      <c r="T107" s="46" t="str">
        <f t="shared" si="32"/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33"/>
        <v>https://d0f6bd738d7f1b3e5a7ca70fe4ff75f0.us-east-1.aws.found.io/app/kibana#/discover/Steve-Slow-Train-Analysis-(2080s-and-2083s)?_g=(refreshInterval:(display:Off,pause:!f,section:0,value:0),time:(from:'2017-03-11T13:57:49-0700',mode:absolute,to:'2017-03-11T16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7" s="187" t="str">
        <f t="shared" si="34"/>
        <v>N</v>
      </c>
      <c r="X107" s="187">
        <f t="shared" si="35"/>
        <v>1</v>
      </c>
      <c r="Y107" s="62">
        <f t="shared" si="36"/>
        <v>4.7699999999999999E-2</v>
      </c>
      <c r="Z107" s="62">
        <f t="shared" si="37"/>
        <v>23.329899999999999</v>
      </c>
      <c r="AA107" s="62">
        <f t="shared" si="38"/>
        <v>23.2822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9"/>
        <v>0191-11</v>
      </c>
      <c r="AE107" s="85" t="str">
        <f t="shared" si="40"/>
        <v>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 &amp; aws s3 cp s3://rtdc.mdm.uploadarchive.raw/RTDC4040/ "%USERPROFILE%\AppData\Local\Temp\OnboardLogs"\RTDC4040\2017-03-12 --exclude "*" --recursive --include "*20170312*" &amp; "%USERPROFILE%\Documents\GitHub\mrs-test-scripts\Headless Mode &amp; Sideloading\WalkAndUnGZ.bat" "%USERPROFILE%\AppData\Local\Temp\OnboardLogs"\RTDC4040\2017-03-12</v>
      </c>
      <c r="AF107" s="82" t="str">
        <f t="shared" si="41"/>
        <v>"C:\Program Files (x86)\AstroGrep\AstroGrep.exe" /e /r /s /spath="%USERPROFILE%\AppData\Local\Temp\OnboardLogs" /stypes="app*4040*20170311*" /stext=" 22:.+((SYSTEM_STATE.+slice.+state.+changed )|(ment ac)|(multiple cpu faults)|(system.+state.+changed )|(\[timeout)|(PRM\|1\|D)|(kpr)|(kdp)|(\|lc)|(penalty))"</v>
      </c>
      <c r="AG107" s="1" t="str">
        <f t="shared" si="42"/>
        <v>EC</v>
      </c>
      <c r="AH107" s="86" t="str">
        <f t="shared" si="43"/>
        <v>"%USERPROFILE%\Documents\GitHub\eaglep3\Utilities\RefineRTDCRunTimes.py" --tripid 191-11 --locoid 4040 --swversion DE.1.0.9.0 --startMP 204:477 --initTime 2017-03-11T14:57:49 --startdatetime 2017-03-11T14:58:52 --delay 1 --endMP 204:233299 --enddatetime 2017-03-11T15:35:58 --enforcementcount 0 &gt;&gt;C:\Users\stu\Documents\GitHub\eaglep3-reporting\EC\2017-03-11-refined-times.txt</v>
      </c>
      <c r="AI107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{"issue":{"subject":"","project_id":79,"tracker_id":40,"status_id":1,"priority_id":2,"assigned_to_id":23,"start_date":"2017-03-11","description":"","custom_fields":[{"id":1,"name":"Subdivision","value":"EC"},{"id":4,"name":"Milepost","value":"23.3299"},{"id":17,"name":"Train ID","value":"191-11"},{"id":16,"name":"Locomotive ID","value":"4040"},{"id":130,"name":"Impact","value":""},{"id":150,"name":"Time of Event (Mountain Time)","value":"15:35:58"},{"id":151,"name":"Denver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5"/>
        <v>start /low /b %USERPROFILE%\Documents\GitHub\eaglep3\Utilities\DownloadLogsFromS3.py --loco 4040 --day 2017-03-11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"%USERPROFILE%\AppData\Local\Temp\OnboardLogs"\RTDC4040\*4040*20170311* | grep -SE "(Enforcement Action)|(\[TIMEOUT)|(CHR.+\|PRM\|1\|D.+(SWITCH|SIGNAL).+UNKNOWN)" - &gt;&gt; 2017-03-11-UncaughtWiMAX.txt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757</v>
      </c>
      <c r="B108" s="7">
        <v>4039</v>
      </c>
      <c r="C108" s="21" t="s">
        <v>240</v>
      </c>
      <c r="D108" s="21" t="s">
        <v>543</v>
      </c>
      <c r="E108" s="13">
        <v>42805.659317129626</v>
      </c>
      <c r="F108" s="13">
        <v>42805.66064814815</v>
      </c>
      <c r="G108" s="7">
        <v>1</v>
      </c>
      <c r="H108" s="21" t="s">
        <v>413</v>
      </c>
      <c r="I108" s="13">
        <v>42805.692407407405</v>
      </c>
      <c r="J108" s="7">
        <v>0</v>
      </c>
      <c r="K108" s="98" t="str">
        <f t="shared" si="30"/>
        <v>4039/4040</v>
      </c>
      <c r="L108" s="21" t="str">
        <f>VLOOKUP(A108,'Trips&amp;Operators'!$C$1:$G$99999,5,FALSE)</f>
        <v>BRUDER RICHARD</v>
      </c>
      <c r="M108" s="6">
        <f t="shared" si="31"/>
        <v>3.1759259254613426E-2</v>
      </c>
      <c r="N108" s="7">
        <f t="shared" si="48"/>
        <v>45.733333326643333</v>
      </c>
      <c r="O108" s="7"/>
      <c r="P108" s="7"/>
      <c r="Q108" s="22"/>
      <c r="R108" s="22"/>
      <c r="S108" s="31">
        <f t="shared" si="49"/>
        <v>1</v>
      </c>
      <c r="T108" s="46" t="str">
        <f t="shared" si="32"/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33"/>
        <v>https://d0f6bd738d7f1b3e5a7ca70fe4ff75f0.us-east-1.aws.found.io/app/kibana#/discover/Steve-Slow-Train-Analysis-(2080s-and-2083s)?_g=(refreshInterval:(display:Off,pause:!f,section:0,value:0),time:(from:'2017-03-11T14:49:25-0700',mode:absolute,to:'2017-03-11T17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8" s="187" t="str">
        <f t="shared" si="34"/>
        <v>N</v>
      </c>
      <c r="X108" s="187">
        <f t="shared" si="35"/>
        <v>1</v>
      </c>
      <c r="Y108" s="62">
        <f t="shared" si="36"/>
        <v>23.2986</v>
      </c>
      <c r="Z108" s="62">
        <f t="shared" si="37"/>
        <v>1.43E-2</v>
      </c>
      <c r="AA108" s="62">
        <f t="shared" si="38"/>
        <v>23.284300000000002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9"/>
        <v>0192-11</v>
      </c>
      <c r="AE108" s="85" t="str">
        <f t="shared" si="40"/>
        <v>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 &amp; aws s3 cp s3://rtdc.mdm.uploadarchive.raw/RTDC4039/ "%USERPROFILE%\AppData\Local\Temp\OnboardLogs"\RTDC4039\2017-03-12 --exclude "*" --recursive --include "*20170312*" &amp; "%USERPROFILE%\Documents\GitHub\mrs-test-scripts\Headless Mode &amp; Sideloading\WalkAndUnGZ.bat" "%USERPROFILE%\AppData\Local\Temp\OnboardLogs"\RTDC4039\2017-03-12</v>
      </c>
      <c r="AF108" s="82" t="str">
        <f t="shared" si="41"/>
        <v>"C:\Program Files (x86)\AstroGrep\AstroGrep.exe" /e /r /s /spath="%USERPROFILE%\AppData\Local\Temp\OnboardLogs" /stypes="app*4039*20170311*" /stext=" 23:.+((SYSTEM_STATE.+slice.+state.+changed )|(ment ac)|(multiple cpu faults)|(system.+state.+changed )|(\[timeout)|(PRM\|1\|D)|(kpr)|(kdp)|(\|lc)|(penalty))"</v>
      </c>
      <c r="AG108" s="1" t="str">
        <f t="shared" si="42"/>
        <v>EC</v>
      </c>
      <c r="AH108" s="86" t="str">
        <f t="shared" si="43"/>
        <v>"%USERPROFILE%\Documents\GitHub\eaglep3\Utilities\RefineRTDCRunTimes.py" --tripid 192-11 --locoid 4039 --swversion DE.1.0.9.0 --startMP 204:232986 --initTime 2017-03-11T15:49:25 --startdatetime 2017-03-11T15:51:20 --delay 1 --endMP 204:143 --enddatetime 2017-03-11T16:37:04 --enforcementcount 0 &gt;&gt;C:\Users\stu\Documents\GitHub\eaglep3-reporting\EC\2017-03-11-refined-times.txt</v>
      </c>
      <c r="AI108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{"issue":{"subject":"","project_id":79,"tracker_id":40,"status_id":1,"priority_id":2,"assigned_to_id":23,"start_date":"2017-03-11","description":"","custom_fields":[{"id":1,"name":"Subdivision","value":"EC"},{"id":4,"name":"Milepost","value":"0.0143"},{"id":17,"name":"Train ID","value":"192-11"},{"id":16,"name":"Locomotive ID","value":"4039"},{"id":130,"name":"Impact","value":""},{"id":150,"name":"Time of Event (Mountain Time)","value":"16:37:04"},{"id":151,"name":"Denver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5"/>
        <v>start /low /b %USERPROFILE%\Documents\GitHub\eaglep3\Utilities\DownloadLogsFromS3.py --loco 4039 --day 2017-03-11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"%USERPROFILE%\AppData\Local\Temp\OnboardLogs"\RTDC4039\*4039*20170311* | grep -SE "(Enforcement Action)|(\[TIMEOUT)|(CHR.+\|PRM\|1\|D.+(SWITCH|SIGNAL).+UNKNOWN)" - &gt;&gt; 2017-03-11-UncaughtWiMAX.txt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601</v>
      </c>
      <c r="B109" s="7">
        <v>4006</v>
      </c>
      <c r="C109" s="21" t="s">
        <v>240</v>
      </c>
      <c r="D109" s="21" t="s">
        <v>227</v>
      </c>
      <c r="E109" s="13">
        <v>42805.631828703707</v>
      </c>
      <c r="F109" s="13">
        <v>42805.632743055554</v>
      </c>
      <c r="G109" s="7">
        <v>1</v>
      </c>
      <c r="H109" s="21" t="s">
        <v>248</v>
      </c>
      <c r="I109" s="13">
        <v>42805.660763888889</v>
      </c>
      <c r="J109" s="7">
        <v>0</v>
      </c>
      <c r="K109" s="98" t="str">
        <f t="shared" si="30"/>
        <v>4005/4006</v>
      </c>
      <c r="L109" s="21" t="str">
        <f>VLOOKUP(A109,'Trips&amp;Operators'!$C$1:$G$99999,5,FALSE)</f>
        <v>HOLCOMB KAMDEN</v>
      </c>
      <c r="M109" s="6">
        <f t="shared" si="31"/>
        <v>2.8020833335176576E-2</v>
      </c>
      <c r="N109" s="7">
        <f t="shared" si="48"/>
        <v>40.350000002654269</v>
      </c>
      <c r="O109" s="7"/>
      <c r="P109" s="7"/>
      <c r="Q109" s="22"/>
      <c r="R109" s="22"/>
      <c r="S109" s="31">
        <f t="shared" si="49"/>
        <v>1</v>
      </c>
      <c r="T109" s="46" t="str">
        <f t="shared" si="32"/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33"/>
        <v>https://d0f6bd738d7f1b3e5a7ca70fe4ff75f0.us-east-1.aws.found.io/app/kibana#/discover/Steve-Slow-Train-Analysis-(2080s-and-2083s)?_g=(refreshInterval:(display:Off,pause:!f,section:0,value:0),time:(from:'2017-03-11T14:09:50-0700',mode:absolute,to:'2017-03-11T16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9" s="187" t="str">
        <f t="shared" si="34"/>
        <v>N</v>
      </c>
      <c r="X109" s="187">
        <f t="shared" ref="X109:X140" si="50">VALUE(LEFT(AD109,4))-VALUE(LEFT(AD108,4))</f>
        <v>1</v>
      </c>
      <c r="Y109" s="62">
        <f t="shared" ref="Y109:Y140" si="51">RIGHT(D109,LEN(D109)-4)/10000</f>
        <v>4.5499999999999999E-2</v>
      </c>
      <c r="Z109" s="62">
        <f t="shared" ref="Z109:Z140" si="52">RIGHT(H109,LEN(H109)-4)/10000</f>
        <v>23.330400000000001</v>
      </c>
      <c r="AA109" s="62">
        <f t="shared" si="38"/>
        <v>23.2849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9"/>
        <v>0193-11</v>
      </c>
      <c r="AE109" s="85" t="str">
        <f t="shared" si="40"/>
        <v>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 &amp; 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</v>
      </c>
      <c r="AF109" s="82" t="str">
        <f t="shared" si="41"/>
        <v>"C:\Program Files (x86)\AstroGrep\AstroGrep.exe" /e /r /s /spath="%USERPROFILE%\AppData\Local\Temp\OnboardLogs" /stypes="app*4006*20170311*" /stext=" 22:.+((SYSTEM_STATE.+slice.+state.+changed )|(ment ac)|(multiple cpu faults)|(system.+state.+changed )|(\[timeout)|(PRM\|1\|D)|(kpr)|(kdp)|(\|lc)|(penalty))"</v>
      </c>
      <c r="AG109" s="1" t="str">
        <f t="shared" si="42"/>
        <v>EC</v>
      </c>
      <c r="AH109" s="86" t="str">
        <f t="shared" si="43"/>
        <v>"%USERPROFILE%\Documents\GitHub\eaglep3\Utilities\RefineRTDCRunTimes.py" --tripid 193-11 --locoid 4006 --swversion DE.1.0.9.0 --startMP 204:455 --initTime 2017-03-11T15:09:50 --startdatetime 2017-03-11T15:11:09 --delay 1 --endMP 204:233304 --enddatetime 2017-03-11T15:51:30 --enforcementcount 0 &gt;&gt;C:\Users\stu\Documents\GitHub\eaglep3-reporting\EC\2017-03-11-refined-times.txt</v>
      </c>
      <c r="AI109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{"issue":{"subject":"","project_id":79,"tracker_id":40,"status_id":1,"priority_id":2,"assigned_to_id":23,"start_date":"2017-03-11","description":"","custom_fields":[{"id":1,"name":"Subdivision","value":"EC"},{"id":4,"name":"Milepost","value":"23.3304"},{"id":17,"name":"Train ID","value":"193-11"},{"id":16,"name":"Locomotive ID","value":"4006"},{"id":130,"name":"Impact","value":""},{"id":150,"name":"Time of Event (Mountain Time)","value":"15:51:30"},{"id":151,"name":"Denver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5"/>
        <v>start /low /b %USERPROFILE%\Documents\GitHub\eaglep3\Utilities\DownloadLogsFromS3.py --loco 4006 --day 2017-03-11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"%USERPROFILE%\AppData\Local\Temp\OnboardLogs"\RTDC4006\*4006*20170311* | grep -SE "(Enforcement Action)|(\[TIMEOUT)|(CHR.+\|PRM\|1\|D.+(SWITCH|SIGNAL).+UNKNOWN)" - &gt;&gt; 2017-03-11-UncaughtWiMAX.txt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603</v>
      </c>
      <c r="B110" s="7">
        <v>4005</v>
      </c>
      <c r="C110" s="21" t="s">
        <v>240</v>
      </c>
      <c r="D110" s="21" t="s">
        <v>423</v>
      </c>
      <c r="E110" s="13">
        <v>42805.670486111114</v>
      </c>
      <c r="F110" s="13">
        <v>42805.671296296299</v>
      </c>
      <c r="G110" s="7">
        <v>1</v>
      </c>
      <c r="H110" s="21" t="s">
        <v>194</v>
      </c>
      <c r="I110" s="13">
        <v>42805.703159722223</v>
      </c>
      <c r="J110" s="7">
        <v>0</v>
      </c>
      <c r="K110" s="98" t="str">
        <f t="shared" si="30"/>
        <v>4005/4006</v>
      </c>
      <c r="L110" s="21" t="str">
        <f>VLOOKUP(A110,'Trips&amp;Operators'!$C$1:$G$99999,5,FALSE)</f>
        <v>HOLCOMB KAMDEN</v>
      </c>
      <c r="M110" s="6">
        <f t="shared" si="31"/>
        <v>3.1863425923802424E-2</v>
      </c>
      <c r="N110" s="7">
        <f t="shared" si="48"/>
        <v>45.883333330275491</v>
      </c>
      <c r="O110" s="7"/>
      <c r="P110" s="7"/>
      <c r="Q110" s="22"/>
      <c r="R110" s="22"/>
      <c r="S110" s="31">
        <f t="shared" si="49"/>
        <v>1</v>
      </c>
      <c r="T110" s="46" t="str">
        <f t="shared" si="32"/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33"/>
        <v>https://d0f6bd738d7f1b3e5a7ca70fe4ff75f0.us-east-1.aws.found.io/app/kibana#/discover/Steve-Slow-Train-Analysis-(2080s-and-2083s)?_g=(refreshInterval:(display:Off,pause:!f,section:0,value:0),time:(from:'2017-03-11T15:05:30-0700',mode:absolute,to:'2017-03-11T17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0" s="187" t="str">
        <f t="shared" si="34"/>
        <v>N</v>
      </c>
      <c r="X110" s="187">
        <f t="shared" si="50"/>
        <v>1</v>
      </c>
      <c r="Y110" s="62">
        <f t="shared" si="51"/>
        <v>23.299299999999999</v>
      </c>
      <c r="Z110" s="62">
        <f t="shared" si="52"/>
        <v>1.4500000000000001E-2</v>
      </c>
      <c r="AA110" s="62">
        <f t="shared" si="38"/>
        <v>23.284799999999997</v>
      </c>
      <c r="AB110" s="59" t="str">
        <f>VLOOKUP(A110,Enforcements!$C$7:$K$13,8,0)</f>
        <v>Bulletin (2)</v>
      </c>
      <c r="AC110" s="55" t="str">
        <f>VLOOKUP(A110,Enforcements!$C$7:$E$13,3,0)</f>
        <v>GRADE CROSSING</v>
      </c>
      <c r="AD110" s="56" t="str">
        <f t="shared" si="39"/>
        <v>0194-11</v>
      </c>
      <c r="AE110" s="85" t="str">
        <f t="shared" si="40"/>
        <v>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 &amp; 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</v>
      </c>
      <c r="AF110" s="82" t="str">
        <f t="shared" si="41"/>
        <v>"C:\Program Files (x86)\AstroGrep\AstroGrep.exe" /e /r /s /spath="%USERPROFILE%\AppData\Local\Temp\OnboardLogs" /stypes="app*4005*20170311*" /stext=" 23:.+((SYSTEM_STATE.+slice.+state.+changed )|(ment ac)|(multiple cpu faults)|(system.+state.+changed )|(\[timeout)|(PRM\|1\|D)|(kpr)|(kdp)|(\|lc)|(penalty))"</v>
      </c>
      <c r="AG110" s="1" t="str">
        <f t="shared" si="42"/>
        <v>EC</v>
      </c>
      <c r="AH110" s="86" t="str">
        <f t="shared" si="43"/>
        <v>"%USERPROFILE%\Documents\GitHub\eaglep3\Utilities\RefineRTDCRunTimes.py" --tripid 194-11 --locoid 4005 --swversion DE.1.0.9.0 --startMP 204:232993 --initTime 2017-03-11T16:05:30 --startdatetime 2017-03-11T16:06:40 --delay 1 --endMP 204:145 --enddatetime 2017-03-11T16:52:33 --enforcementcount 0 &gt;&gt;C:\Users\stu\Documents\GitHub\eaglep3-reporting\EC\2017-03-11-refined-times.txt</v>
      </c>
      <c r="AI110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{"issue":{"subject":"","project_id":79,"tracker_id":40,"status_id":1,"priority_id":2,"assigned_to_id":23,"start_date":"2017-03-11","description":"","custom_fields":[{"id":1,"name":"Subdivision","value":"EC"},{"id":4,"name":"Milepost","value":"0.0145"},{"id":17,"name":"Train ID","value":"194-11"},{"id":16,"name":"Locomotive ID","value":"4005"},{"id":130,"name":"Impact","value":""},{"id":150,"name":"Time of Event (Mountain Time)","value":"16:52:33"},{"id":151,"name":"Denver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5"/>
        <v>start /low /b %USERPROFILE%\Documents\GitHub\eaglep3\Utilities\DownloadLogsFromS3.py --loco 4005 --day 2017-03-11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"%USERPROFILE%\AppData\Local\Temp\OnboardLogs"\RTDC4005\*4005*20170311* | grep -SE "(Enforcement Action)|(\[TIMEOUT)|(CHR.+\|PRM\|1\|D.+(SWITCH|SIGNAL).+UNKNOWN)" - &gt;&gt; 2017-03-11-UncaughtWiMAX.txt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754</v>
      </c>
      <c r="B111" s="7">
        <v>4029</v>
      </c>
      <c r="C111" s="21" t="s">
        <v>240</v>
      </c>
      <c r="D111" s="21" t="s">
        <v>931</v>
      </c>
      <c r="E111" s="13">
        <v>42805.64267361111</v>
      </c>
      <c r="F111" s="13">
        <v>42805.643888888888</v>
      </c>
      <c r="G111" s="7">
        <v>1</v>
      </c>
      <c r="H111" s="21" t="s">
        <v>932</v>
      </c>
      <c r="I111" s="13">
        <v>42805.671099537038</v>
      </c>
      <c r="J111" s="7">
        <v>0</v>
      </c>
      <c r="K111" s="98" t="str">
        <f t="shared" si="30"/>
        <v>4029/4030</v>
      </c>
      <c r="L111" s="21" t="str">
        <f>VLOOKUP(A111,'Trips&amp;Operators'!$C$1:$G$99999,5,FALSE)</f>
        <v>LEVIN SCOTT</v>
      </c>
      <c r="M111" s="6">
        <f t="shared" si="31"/>
        <v>2.7210648149775807E-2</v>
      </c>
      <c r="N111" s="7">
        <f t="shared" si="48"/>
        <v>39.183333335677162</v>
      </c>
      <c r="O111" s="7"/>
      <c r="P111" s="7"/>
      <c r="Q111" s="22"/>
      <c r="R111" s="22"/>
      <c r="S111" s="31">
        <f t="shared" si="49"/>
        <v>1</v>
      </c>
      <c r="T111" s="46" t="str">
        <f t="shared" si="32"/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33"/>
        <v>https://d0f6bd738d7f1b3e5a7ca70fe4ff75f0.us-east-1.aws.found.io/app/kibana#/discover/Steve-Slow-Train-Analysis-(2080s-and-2083s)?_g=(refreshInterval:(display:Off,pause:!f,section:0,value:0),time:(from:'2017-03-11T14:25:27-0700',mode:absolute,to:'2017-03-11T17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1" s="187" t="str">
        <f t="shared" si="34"/>
        <v>N</v>
      </c>
      <c r="X111" s="187">
        <f t="shared" si="50"/>
        <v>1</v>
      </c>
      <c r="Y111" s="62">
        <f t="shared" si="51"/>
        <v>4.3299999999999998E-2</v>
      </c>
      <c r="Z111" s="62">
        <f t="shared" si="52"/>
        <v>23.335999999999999</v>
      </c>
      <c r="AA111" s="62">
        <f t="shared" si="38"/>
        <v>23.2927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9"/>
        <v>0195-11</v>
      </c>
      <c r="AE111" s="85" t="str">
        <f t="shared" si="40"/>
        <v>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 &amp; aws s3 cp s3://rtdc.mdm.uploadarchive.raw/RTDC4029/ "%USERPROFILE%\AppData\Local\Temp\OnboardLogs"\RTDC4029\2017-03-12 --exclude "*" --recursive --include "*20170312*" &amp; "%USERPROFILE%\Documents\GitHub\mrs-test-scripts\Headless Mode &amp; Sideloading\WalkAndUnGZ.bat" "%USERPROFILE%\AppData\Local\Temp\OnboardLogs"\RTDC4029\2017-03-12</v>
      </c>
      <c r="AF111" s="82" t="str">
        <f t="shared" si="41"/>
        <v>"C:\Program Files (x86)\AstroGrep\AstroGrep.exe" /e /r /s /spath="%USERPROFILE%\AppData\Local\Temp\OnboardLogs" /stypes="app*4029*20170311*" /stext=" 23:.+((SYSTEM_STATE.+slice.+state.+changed )|(ment ac)|(multiple cpu faults)|(system.+state.+changed )|(\[timeout)|(PRM\|1\|D)|(kpr)|(kdp)|(\|lc)|(penalty))"</v>
      </c>
      <c r="AG111" s="1" t="str">
        <f t="shared" si="42"/>
        <v>EC</v>
      </c>
      <c r="AH111" s="86" t="str">
        <f t="shared" si="43"/>
        <v>"%USERPROFILE%\Documents\GitHub\eaglep3\Utilities\RefineRTDCRunTimes.py" --tripid 195-11 --locoid 4029 --swversion DE.1.0.9.0 --startMP 204:433 --initTime 2017-03-11T15:25:27 --startdatetime 2017-03-11T15:27:12 --delay 1 --endMP 204:233360 --enddatetime 2017-03-11T16:06:23 --enforcementcount 0 &gt;&gt;C:\Users\stu\Documents\GitHub\eaglep3-reporting\EC\2017-03-11-refined-times.txt</v>
      </c>
      <c r="AI111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{"issue":{"subject":"","project_id":79,"tracker_id":40,"status_id":1,"priority_id":2,"assigned_to_id":23,"start_date":"2017-03-11","description":"","custom_fields":[{"id":1,"name":"Subdivision","value":"EC"},{"id":4,"name":"Milepost","value":"23.336"},{"id":17,"name":"Train ID","value":"195-11"},{"id":16,"name":"Locomotive ID","value":"4029"},{"id":130,"name":"Impact","value":""},{"id":150,"name":"Time of Event (Mountain Time)","value":"16:06:23"},{"id":151,"name":"Denver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5"/>
        <v>start /low /b %USERPROFILE%\Documents\GitHub\eaglep3\Utilities\DownloadLogsFromS3.py --loco 4029 --day 2017-03-11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"%USERPROFILE%\AppData\Local\Temp\OnboardLogs"\RTDC4029\*4029*20170311* | grep -SE "(Enforcement Action)|(\[TIMEOUT)|(CHR.+\|PRM\|1\|D.+(SWITCH|SIGNAL).+UNKNOWN)" - &gt;&gt; 2017-03-11-UncaughtWiMAX.txt</v>
      </c>
    </row>
    <row r="112" spans="1:91" s="20" customFormat="1" x14ac:dyDescent="0.25">
      <c r="A112" s="33" t="s">
        <v>604</v>
      </c>
      <c r="B112" s="7">
        <v>4030</v>
      </c>
      <c r="C112" s="21" t="s">
        <v>240</v>
      </c>
      <c r="D112" s="21" t="s">
        <v>438</v>
      </c>
      <c r="E112" s="13">
        <v>42805.68172453704</v>
      </c>
      <c r="F112" s="13">
        <v>42805.682638888888</v>
      </c>
      <c r="G112" s="7">
        <v>1</v>
      </c>
      <c r="H112" s="21" t="s">
        <v>871</v>
      </c>
      <c r="I112" s="13">
        <v>42805.71298611111</v>
      </c>
      <c r="J112" s="7">
        <v>0</v>
      </c>
      <c r="K112" s="98" t="str">
        <f t="shared" si="30"/>
        <v>4029/4030</v>
      </c>
      <c r="L112" s="21" t="str">
        <f>VLOOKUP(A112,'Trips&amp;Operators'!$C$1:$G$99999,5,FALSE)</f>
        <v>LEVIN SCOTT</v>
      </c>
      <c r="M112" s="6">
        <f t="shared" si="31"/>
        <v>3.0347222222189885E-2</v>
      </c>
      <c r="N112" s="7">
        <f t="shared" si="48"/>
        <v>43.699999999953434</v>
      </c>
      <c r="O112" s="7"/>
      <c r="P112" s="7"/>
      <c r="Q112" s="22"/>
      <c r="R112" s="22"/>
      <c r="S112" s="31">
        <f t="shared" si="49"/>
        <v>1</v>
      </c>
      <c r="T112" s="46" t="str">
        <f t="shared" si="32"/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33"/>
        <v>https://d0f6bd738d7f1b3e5a7ca70fe4ff75f0.us-east-1.aws.found.io/app/kibana#/discover/Steve-Slow-Train-Analysis-(2080s-and-2083s)?_g=(refreshInterval:(display:Off,pause:!f,section:0,value:0),time:(from:'2017-03-11T15:21:41-0700',mode:absolute,to:'2017-03-11T18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2" s="187" t="str">
        <f t="shared" si="34"/>
        <v>N</v>
      </c>
      <c r="X112" s="187">
        <f t="shared" si="50"/>
        <v>1</v>
      </c>
      <c r="Y112" s="62">
        <f t="shared" si="51"/>
        <v>23.303000000000001</v>
      </c>
      <c r="Z112" s="62">
        <f t="shared" si="52"/>
        <v>1.2500000000000001E-2</v>
      </c>
      <c r="AA112" s="62">
        <f t="shared" si="38"/>
        <v>23.290500000000002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9"/>
        <v>0196-11</v>
      </c>
      <c r="AE112" s="85" t="str">
        <f t="shared" si="40"/>
        <v>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 &amp; aws s3 cp s3://rtdc.mdm.uploadarchive.raw/RTDC4030/ "%USERPROFILE%\AppData\Local\Temp\OnboardLogs"\RTDC4030\2017-03-12 --exclude "*" --recursive --include "*20170312*" &amp; "%USERPROFILE%\Documents\GitHub\mrs-test-scripts\Headless Mode &amp; Sideloading\WalkAndUnGZ.bat" "%USERPROFILE%\AppData\Local\Temp\OnboardLogs"\RTDC4030\2017-03-12</v>
      </c>
      <c r="AF112" s="82" t="str">
        <f t="shared" si="41"/>
        <v>"C:\Program Files (x86)\AstroGrep\AstroGrep.exe" /e /r /s /spath="%USERPROFILE%\AppData\Local\Temp\OnboardLogs" /stypes="app*4030*20170312*" /stext=" 00:.+((SYSTEM_STATE.+slice.+state.+changed )|(ment ac)|(multiple cpu faults)|(system.+state.+changed )|(\[timeout)|(PRM\|1\|D)|(kpr)|(kdp)|(\|lc)|(penalty))"</v>
      </c>
      <c r="AG112" s="1" t="str">
        <f t="shared" si="42"/>
        <v>EC</v>
      </c>
      <c r="AH112" s="86" t="str">
        <f t="shared" si="43"/>
        <v>"%USERPROFILE%\Documents\GitHub\eaglep3\Utilities\RefineRTDCRunTimes.py" --tripid 196-11 --locoid 4030 --swversion DE.1.0.9.0 --startMP 204:233030 --initTime 2017-03-11T16:21:41 --startdatetime 2017-03-11T16:23:00 --delay 1 --endMP 204:125 --enddatetime 2017-03-11T17:06:42 --enforcementcount 0 &gt;&gt;C:\Users\stu\Documents\GitHub\eaglep3-reporting\EC\2017-03-11-refined-times.txt</v>
      </c>
      <c r="AI112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{"issue":{"subject":"","project_id":79,"tracker_id":40,"status_id":1,"priority_id":2,"assigned_to_id":23,"start_date":"2017-03-11","description":"","custom_fields":[{"id":1,"name":"Subdivision","value":"EC"},{"id":4,"name":"Milepost","value":"0.0125"},{"id":17,"name":"Train ID","value":"196-11"},{"id":16,"name":"Locomotive ID","value":"4030"},{"id":130,"name":"Impact","value":""},{"id":150,"name":"Time of Event (Mountain Time)","value":"17:06:42"},{"id":151,"name":"Denver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5"/>
        <v>start /low /b %USERPROFILE%\Documents\GitHub\eaglep3\Utilities\DownloadLogsFromS3.py --loco 4030 --day 2017-03-11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"%USERPROFILE%\AppData\Local\Temp\OnboardLogs"\RTDC4030\*4030*20170311* | grep -SE "(Enforcement Action)|(\[TIMEOUT)|(CHR.+\|PRM\|1\|D.+(SWITCH|SIGNAL).+UNKNOWN)" - &gt;&gt; 2017-03-11-UncaughtWiMAX.txt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756</v>
      </c>
      <c r="B113" s="7">
        <v>4044</v>
      </c>
      <c r="C113" s="21" t="s">
        <v>240</v>
      </c>
      <c r="D113" s="21" t="s">
        <v>241</v>
      </c>
      <c r="E113" s="13">
        <v>42805.655312499999</v>
      </c>
      <c r="F113" s="13">
        <v>42805.656527777777</v>
      </c>
      <c r="G113" s="7">
        <v>1</v>
      </c>
      <c r="H113" s="21" t="s">
        <v>555</v>
      </c>
      <c r="I113" s="13">
        <v>42805.681504629632</v>
      </c>
      <c r="J113" s="7">
        <v>0</v>
      </c>
      <c r="K113" s="98" t="str">
        <f t="shared" si="30"/>
        <v>4043/4044</v>
      </c>
      <c r="L113" s="21" t="str">
        <f>VLOOKUP(A113,'Trips&amp;Operators'!$C$1:$G$99999,5,FALSE)</f>
        <v>DELGADO DIANAH</v>
      </c>
      <c r="M113" s="6">
        <f t="shared" si="31"/>
        <v>2.4976851855171844E-2</v>
      </c>
      <c r="N113" s="7">
        <f t="shared" si="48"/>
        <v>35.966666671447456</v>
      </c>
      <c r="O113" s="7"/>
      <c r="P113" s="7"/>
      <c r="Q113" s="22"/>
      <c r="R113" s="22"/>
      <c r="S113" s="31">
        <f t="shared" si="49"/>
        <v>1</v>
      </c>
      <c r="T113" s="46" t="str">
        <f t="shared" si="32"/>
        <v>NorthBound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33"/>
        <v>https://d0f6bd738d7f1b3e5a7ca70fe4ff75f0.us-east-1.aws.found.io/app/kibana#/discover/Steve-Slow-Train-Analysis-(2080s-and-2083s)?_g=(refreshInterval:(display:Off,pause:!f,section:0,value:0),time:(from:'2017-03-11T14:43:39-0700',mode:absolute,to:'2017-03-11T17:21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3" s="187" t="str">
        <f t="shared" si="34"/>
        <v>N</v>
      </c>
      <c r="X113" s="187">
        <f t="shared" si="50"/>
        <v>1</v>
      </c>
      <c r="Y113" s="62">
        <f t="shared" si="51"/>
        <v>4.58E-2</v>
      </c>
      <c r="Z113" s="62">
        <f t="shared" si="52"/>
        <v>23.331900000000001</v>
      </c>
      <c r="AA113" s="62">
        <f t="shared" si="38"/>
        <v>23.286100000000001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9"/>
        <v>0197-11</v>
      </c>
      <c r="AE113" s="85" t="str">
        <f t="shared" si="40"/>
        <v>aws s3 cp s3://rtdc.mdm.uploadarchive.raw/RTDC4044/ "%USERPROFILE%\AppData\Local\Temp\OnboardLogs"\RTDC4044\2017-03-11 --exclude "*" --recursive --include "*20170311*" &amp; "%USERPROFILE%\Documents\GitHub\mrs-test-scripts\Headless Mode &amp; Sideloading\WalkAndUnGZ.bat" "%USERPROFILE%\AppData\Local\Temp\OnboardLogs"\RTDC4044\2017-03-11 &amp; aws s3 cp s3://rtdc.mdm.uploadarchive.raw/RTDC4044/ "%USERPROFILE%\AppData\Local\Temp\OnboardLogs"\RTDC4044\2017-03-12 --exclude "*" --recursive --include "*20170312*" &amp; "%USERPROFILE%\Documents\GitHub\mrs-test-scripts\Headless Mode &amp; Sideloading\WalkAndUnGZ.bat" "%USERPROFILE%\AppData\Local\Temp\OnboardLogs"\RTDC4044\2017-03-12</v>
      </c>
      <c r="AF113" s="82" t="str">
        <f t="shared" si="41"/>
        <v>"C:\Program Files (x86)\AstroGrep\AstroGrep.exe" /e /r /s /spath="%USERPROFILE%\AppData\Local\Temp\OnboardLogs" /stypes="app*4044*20170311*" /stext=" 23:.+((SYSTEM_STATE.+slice.+state.+changed )|(ment ac)|(multiple cpu faults)|(system.+state.+changed )|(\[timeout)|(PRM\|1\|D)|(kpr)|(kdp)|(\|lc)|(penalty))"</v>
      </c>
      <c r="AG113" s="1" t="str">
        <f t="shared" si="42"/>
        <v>EC</v>
      </c>
      <c r="AH113" s="86" t="str">
        <f t="shared" si="43"/>
        <v>"%USERPROFILE%\Documents\GitHub\eaglep3\Utilities\RefineRTDCRunTimes.py" --tripid 197-11 --locoid 4044 --swversion DE.1.0.9.0 --startMP 204:458 --initTime 2017-03-11T15:43:39 --startdatetime 2017-03-11T15:45:24 --delay 1 --endMP 204:233319 --enddatetime 2017-03-11T16:21:22 --enforcementcount 0 &gt;&gt;C:\Users\stu\Documents\GitHub\eaglep3-reporting\EC\2017-03-11-refined-times.txt</v>
      </c>
      <c r="AI113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{"issue":{"subject":"","project_id":79,"tracker_id":40,"status_id":1,"priority_id":2,"assigned_to_id":23,"start_date":"2017-03-11","description":"","custom_fields":[{"id":1,"name":"Subdivision","value":"EC"},{"id":4,"name":"Milepost","value":"23.3319"},{"id":17,"name":"Train ID","value":"197-11"},{"id":16,"name":"Locomotive ID","value":"4044"},{"id":130,"name":"Impact","value":""},{"id":150,"name":"Time of Event (Mountain Time)","value":"16:21:22"},{"id":151,"name":"Denver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5"/>
        <v>start /low /b %USERPROFILE%\Documents\GitHub\eaglep3\Utilities\DownloadLogsFromS3.py --loco 4044 --day 2017-03-11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"%USERPROFILE%\AppData\Local\Temp\OnboardLogs"\RTDC4044\*4044*20170311* | grep -SE "(Enforcement Action)|(\[TIMEOUT)|(CHR.+\|PRM\|1\|D.+(SWITCH|SIGNAL).+UNKNOWN)" - &gt;&gt; 2017-03-11-UncaughtWiMAX.txt</v>
      </c>
    </row>
    <row r="114" spans="1:91" s="20" customFormat="1" x14ac:dyDescent="0.25">
      <c r="A114" s="33" t="s">
        <v>761</v>
      </c>
      <c r="B114" s="7">
        <v>4043</v>
      </c>
      <c r="C114" s="21" t="s">
        <v>240</v>
      </c>
      <c r="D114" s="21" t="s">
        <v>544</v>
      </c>
      <c r="E114" s="13">
        <v>42805.684594907405</v>
      </c>
      <c r="F114" s="13">
        <v>42805.687476851854</v>
      </c>
      <c r="G114" s="7">
        <v>4</v>
      </c>
      <c r="H114" s="21" t="s">
        <v>540</v>
      </c>
      <c r="I114" s="13">
        <v>42805.723090277781</v>
      </c>
      <c r="J114" s="7">
        <v>0</v>
      </c>
      <c r="K114" s="98" t="str">
        <f t="shared" si="30"/>
        <v>4043/4044</v>
      </c>
      <c r="L114" s="21" t="str">
        <f>VLOOKUP(A114,'Trips&amp;Operators'!$C$1:$G$99999,5,FALSE)</f>
        <v>DELGADO DIANAH</v>
      </c>
      <c r="M114" s="6">
        <f t="shared" si="31"/>
        <v>3.5613425927294884E-2</v>
      </c>
      <c r="N114" s="7">
        <f t="shared" si="48"/>
        <v>51.283333335304633</v>
      </c>
      <c r="O114" s="7"/>
      <c r="P114" s="7"/>
      <c r="Q114" s="22"/>
      <c r="R114" s="22"/>
      <c r="S114" s="31">
        <f t="shared" si="49"/>
        <v>1</v>
      </c>
      <c r="T114" s="46" t="str">
        <f t="shared" si="32"/>
        <v>Southbound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33"/>
        <v>https://d0f6bd738d7f1b3e5a7ca70fe4ff75f0.us-east-1.aws.found.io/app/kibana#/discover/Steve-Slow-Train-Analysis-(2080s-and-2083s)?_g=(refreshInterval:(display:Off,pause:!f,section:0,value:0),time:(from:'2017-03-11T15:25:49-0700',mode:absolute,to:'2017-03-11T18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4" s="187" t="str">
        <f t="shared" si="34"/>
        <v>N</v>
      </c>
      <c r="X114" s="187">
        <f t="shared" si="50"/>
        <v>1</v>
      </c>
      <c r="Y114" s="62">
        <f t="shared" si="51"/>
        <v>23.300999999999998</v>
      </c>
      <c r="Z114" s="62">
        <f t="shared" si="52"/>
        <v>1.2999999999999999E-2</v>
      </c>
      <c r="AA114" s="62">
        <f t="shared" si="38"/>
        <v>23.287999999999997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9"/>
        <v>0198-11</v>
      </c>
      <c r="AE114" s="85" t="str">
        <f t="shared" si="40"/>
        <v>aws s3 cp s3://rtdc.mdm.uploadarchive.raw/RTDC4043/ "%USERPROFILE%\AppData\Local\Temp\OnboardLogs"\RTDC4043\2017-03-11 --exclude "*" --recursive --include "*20170311*" &amp; "%USERPROFILE%\Documents\GitHub\mrs-test-scripts\Headless Mode &amp; Sideloading\WalkAndUnGZ.bat" "%USERPROFILE%\AppData\Local\Temp\OnboardLogs"\RTDC4043\2017-03-11 &amp; aws s3 cp s3://rtdc.mdm.uploadarchive.raw/RTDC4043/ "%USERPROFILE%\AppData\Local\Temp\OnboardLogs"\RTDC4043\2017-03-12 --exclude "*" --recursive --include "*20170312*" &amp; "%USERPROFILE%\Documents\GitHub\mrs-test-scripts\Headless Mode &amp; Sideloading\WalkAndUnGZ.bat" "%USERPROFILE%\AppData\Local\Temp\OnboardLogs"\RTDC4043\2017-03-12</v>
      </c>
      <c r="AF114" s="82" t="str">
        <f t="shared" si="41"/>
        <v>"C:\Program Files (x86)\AstroGrep\AstroGrep.exe" /e /r /s /spath="%USERPROFILE%\AppData\Local\Temp\OnboardLogs" /stypes="app*4043*20170312*" /stext=" 00:.+((SYSTEM_STATE.+slice.+state.+changed )|(ment ac)|(multiple cpu faults)|(system.+state.+changed )|(\[timeout)|(PRM\|1\|D)|(kpr)|(kdp)|(\|lc)|(penalty))"</v>
      </c>
      <c r="AG114" s="1" t="str">
        <f t="shared" si="42"/>
        <v>EC</v>
      </c>
      <c r="AH114" s="86" t="str">
        <f t="shared" si="43"/>
        <v>"%USERPROFILE%\Documents\GitHub\eaglep3\Utilities\RefineRTDCRunTimes.py" --tripid 198-11 --locoid 4043 --swversion DE.1.0.9.0 --startMP 204:233010 --initTime 2017-03-11T16:25:49 --startdatetime 2017-03-11T16:29:58 --delay 4 --endMP 204:130 --enddatetime 2017-03-11T17:21:15 --enforcementcount 0 &gt;&gt;C:\Users\stu\Documents\GitHub\eaglep3-reporting\EC\2017-03-11-refined-times.txt</v>
      </c>
      <c r="AI114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{"issue":{"subject":"","project_id":79,"tracker_id":40,"status_id":1,"priority_id":2,"assigned_to_id":23,"start_date":"2017-03-11","description":"","custom_fields":[{"id":1,"name":"Subdivision","value":"EC"},{"id":4,"name":"Milepost","value":"0.013"},{"id":17,"name":"Train ID","value":"198-11"},{"id":16,"name":"Locomotive ID","value":"4043"},{"id":130,"name":"Impact","value":""},{"id":150,"name":"Time of Event (Mountain Time)","value":"17:21:15"},{"id":151,"name":"Denver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5"/>
        <v>start /low /b %USERPROFILE%\Documents\GitHub\eaglep3\Utilities\DownloadLogsFromS3.py --loco 4043 --day 2017-03-11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"%USERPROFILE%\AppData\Local\Temp\OnboardLogs"\RTDC4043\*4043*20170311* | grep -SE "(Enforcement Action)|(\[TIMEOUT)|(CHR.+\|PRM\|1\|D.+(SWITCH|SIGNAL).+UNKNOWN)" - &gt;&gt; 2017-03-11-UncaughtWiMAX.txt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758</v>
      </c>
      <c r="B115" s="7">
        <v>4014</v>
      </c>
      <c r="C115" s="21" t="s">
        <v>240</v>
      </c>
      <c r="D115" s="21" t="s">
        <v>227</v>
      </c>
      <c r="E115" s="13">
        <v>42805.662245370368</v>
      </c>
      <c r="F115" s="13">
        <v>42805.663148148145</v>
      </c>
      <c r="G115" s="7">
        <v>1</v>
      </c>
      <c r="H115" s="21" t="s">
        <v>933</v>
      </c>
      <c r="I115" s="13">
        <v>42805.691342592596</v>
      </c>
      <c r="J115" s="7">
        <v>0</v>
      </c>
      <c r="K115" s="98" t="str">
        <f t="shared" si="30"/>
        <v>4013/4014</v>
      </c>
      <c r="L115" s="21" t="str">
        <f>VLOOKUP(A115,'Trips&amp;Operators'!$C$1:$G$99999,5,FALSE)</f>
        <v>LALONDE GREGORY</v>
      </c>
      <c r="M115" s="6">
        <f t="shared" si="31"/>
        <v>2.8194444450491574E-2</v>
      </c>
      <c r="N115" s="7">
        <f t="shared" si="48"/>
        <v>40.600000008707866</v>
      </c>
      <c r="O115" s="7"/>
      <c r="P115" s="7"/>
      <c r="Q115" s="22"/>
      <c r="R115" s="22"/>
      <c r="S115" s="31">
        <f t="shared" si="49"/>
        <v>1</v>
      </c>
      <c r="T115" s="46" t="str">
        <f t="shared" si="32"/>
        <v>NorthBound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33"/>
        <v>https://d0f6bd738d7f1b3e5a7ca70fe4ff75f0.us-east-1.aws.found.io/app/kibana#/discover/Steve-Slow-Train-Analysis-(2080s-and-2083s)?_g=(refreshInterval:(display:Off,pause:!f,section:0,value:0),time:(from:'2017-03-11T14:53:38-0700',mode:absolute,to:'2017-03-11T17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5" s="187" t="str">
        <f t="shared" si="34"/>
        <v>N</v>
      </c>
      <c r="X115" s="187">
        <f t="shared" si="50"/>
        <v>1</v>
      </c>
      <c r="Y115" s="62">
        <f t="shared" si="51"/>
        <v>4.5499999999999999E-2</v>
      </c>
      <c r="Z115" s="62">
        <f t="shared" si="52"/>
        <v>23.3324</v>
      </c>
      <c r="AA115" s="62">
        <f t="shared" si="38"/>
        <v>23.286899999999999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9"/>
        <v>0199-11</v>
      </c>
      <c r="AE115" s="85" t="str">
        <f t="shared" si="40"/>
        <v>aws s3 cp s3://rtdc.mdm.uploadarchive.raw/RTDC4014/ "%USERPROFILE%\AppData\Local\Temp\OnboardLogs"\RTDC4014\2017-03-11 --exclude "*" --recursive --include "*20170311*" &amp; "%USERPROFILE%\Documents\GitHub\mrs-test-scripts\Headless Mode &amp; Sideloading\WalkAndUnGZ.bat" "%USERPROFILE%\AppData\Local\Temp\OnboardLogs"\RTDC4014\2017-03-11 &amp; aws s3 cp s3://rtdc.mdm.uploadarchive.raw/RTDC4014/ "%USERPROFILE%\AppData\Local\Temp\OnboardLogs"\RTDC4014\2017-03-12 --exclude "*" --recursive --include "*20170312*" &amp; "%USERPROFILE%\Documents\GitHub\mrs-test-scripts\Headless Mode &amp; Sideloading\WalkAndUnGZ.bat" "%USERPROFILE%\AppData\Local\Temp\OnboardLogs"\RTDC4014\2017-03-12</v>
      </c>
      <c r="AF115" s="82" t="str">
        <f t="shared" si="41"/>
        <v>"C:\Program Files (x86)\AstroGrep\AstroGrep.exe" /e /r /s /spath="%USERPROFILE%\AppData\Local\Temp\OnboardLogs" /stypes="app*4014*20170311*" /stext=" 23:.+((SYSTEM_STATE.+slice.+state.+changed )|(ment ac)|(multiple cpu faults)|(system.+state.+changed )|(\[timeout)|(PRM\|1\|D)|(kpr)|(kdp)|(\|lc)|(penalty))"</v>
      </c>
      <c r="AG115" s="1" t="str">
        <f t="shared" si="42"/>
        <v>EC</v>
      </c>
      <c r="AH115" s="86" t="str">
        <f t="shared" si="43"/>
        <v>"%USERPROFILE%\Documents\GitHub\eaglep3\Utilities\RefineRTDCRunTimes.py" --tripid 199-11 --locoid 4014 --swversion DE.1.0.9.0 --startMP 204:455 --initTime 2017-03-11T15:53:38 --startdatetime 2017-03-11T15:54:56 --delay 1 --endMP 204:233324 --enddatetime 2017-03-11T16:35:32 --enforcementcount 0 &gt;&gt;C:\Users\stu\Documents\GitHub\eaglep3-reporting\EC\2017-03-11-refined-times.txt</v>
      </c>
      <c r="AI115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{"issue":{"subject":"","project_id":79,"tracker_id":40,"status_id":1,"priority_id":2,"assigned_to_id":23,"start_date":"2017-03-11","description":"","custom_fields":[{"id":1,"name":"Subdivision","value":"EC"},{"id":4,"name":"Milepost","value":"23.3324"},{"id":17,"name":"Train ID","value":"199-11"},{"id":16,"name":"Locomotive ID","value":"4014"},{"id":130,"name":"Impact","value":""},{"id":150,"name":"Time of Event (Mountain Time)","value":"16:35:32"},{"id":151,"name":"Denver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5"/>
        <v>start /low /b %USERPROFILE%\Documents\GitHub\eaglep3\Utilities\DownloadLogsFromS3.py --loco 4014 --day 2017-03-11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"%USERPROFILE%\AppData\Local\Temp\OnboardLogs"\RTDC4014\*4014*20170311* | grep -SE "(Enforcement Action)|(\[TIMEOUT)|(CHR.+\|PRM\|1\|D.+(SWITCH|SIGNAL).+UNKNOWN)" - &gt;&gt; 2017-03-11-UncaughtWiMAX.txt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606</v>
      </c>
      <c r="B116" s="7">
        <v>4013</v>
      </c>
      <c r="C116" s="21" t="s">
        <v>240</v>
      </c>
      <c r="D116" s="21" t="s">
        <v>934</v>
      </c>
      <c r="E116" s="13">
        <v>42805.695972222224</v>
      </c>
      <c r="F116" s="13">
        <v>42805.696828703702</v>
      </c>
      <c r="G116" s="7">
        <v>1</v>
      </c>
      <c r="H116" s="21" t="s">
        <v>935</v>
      </c>
      <c r="I116" s="13">
        <v>42805.735474537039</v>
      </c>
      <c r="J116" s="7">
        <v>0</v>
      </c>
      <c r="K116" s="98" t="str">
        <f t="shared" si="30"/>
        <v>4013/4014</v>
      </c>
      <c r="L116" s="21" t="str">
        <f>VLOOKUP(A116,'Trips&amp;Operators'!$C$1:$G$99999,5,FALSE)</f>
        <v>LALONDE GREGORY</v>
      </c>
      <c r="M116" s="6">
        <f t="shared" si="31"/>
        <v>3.8645833337795921E-2</v>
      </c>
      <c r="N116" s="7">
        <f t="shared" si="48"/>
        <v>55.650000006426126</v>
      </c>
      <c r="O116" s="7"/>
      <c r="P116" s="7"/>
      <c r="Q116" s="22"/>
      <c r="R116" s="22"/>
      <c r="S116" s="31">
        <f t="shared" si="49"/>
        <v>1</v>
      </c>
      <c r="T116" s="46" t="str">
        <f t="shared" si="32"/>
        <v>Southbound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33"/>
        <v>https://d0f6bd738d7f1b3e5a7ca70fe4ff75f0.us-east-1.aws.found.io/app/kibana#/discover/Steve-Slow-Train-Analysis-(2080s-and-2083s)?_g=(refreshInterval:(display:Off,pause:!f,section:0,value:0),time:(from:'2017-03-11T15:42:12-0700',mode:absolute,to:'2017-03-11T18:39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6" s="187" t="str">
        <f t="shared" si="34"/>
        <v>N</v>
      </c>
      <c r="X116" s="187">
        <f t="shared" si="50"/>
        <v>1</v>
      </c>
      <c r="Y116" s="62">
        <f t="shared" si="51"/>
        <v>23.3032</v>
      </c>
      <c r="Z116" s="62">
        <f t="shared" si="52"/>
        <v>1.72E-2</v>
      </c>
      <c r="AA116" s="62">
        <f t="shared" si="38"/>
        <v>23.286000000000001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9"/>
        <v>0200-11</v>
      </c>
      <c r="AE116" s="85" t="str">
        <f t="shared" si="40"/>
        <v>aws s3 cp s3://rtdc.mdm.uploadarchive.raw/RTDC4013/ "%USERPROFILE%\AppData\Local\Temp\OnboardLogs"\RTDC4013\2017-03-11 --exclude "*" --recursive --include "*20170311*" &amp; "%USERPROFILE%\Documents\GitHub\mrs-test-scripts\Headless Mode &amp; Sideloading\WalkAndUnGZ.bat" "%USERPROFILE%\AppData\Local\Temp\OnboardLogs"\RTDC4013\2017-03-11 &amp; aws s3 cp s3://rtdc.mdm.uploadarchive.raw/RTDC4013/ "%USERPROFILE%\AppData\Local\Temp\OnboardLogs"\RTDC4013\2017-03-12 --exclude "*" --recursive --include "*20170312*" &amp; "%USERPROFILE%\Documents\GitHub\mrs-test-scripts\Headless Mode &amp; Sideloading\WalkAndUnGZ.bat" "%USERPROFILE%\AppData\Local\Temp\OnboardLogs"\RTDC4013\2017-03-12</v>
      </c>
      <c r="AF116" s="82" t="str">
        <f t="shared" si="41"/>
        <v>"C:\Program Files (x86)\AstroGrep\AstroGrep.exe" /e /r /s /spath="%USERPROFILE%\AppData\Local\Temp\OnboardLogs" /stypes="app*4013*20170312*" /stext=" 00:.+((SYSTEM_STATE.+slice.+state.+changed )|(ment ac)|(multiple cpu faults)|(system.+state.+changed )|(\[timeout)|(PRM\|1\|D)|(kpr)|(kdp)|(\|lc)|(penalty))"</v>
      </c>
      <c r="AG116" s="1" t="str">
        <f t="shared" si="42"/>
        <v>EC</v>
      </c>
      <c r="AH116" s="86" t="str">
        <f t="shared" si="43"/>
        <v>"%USERPROFILE%\Documents\GitHub\eaglep3\Utilities\RefineRTDCRunTimes.py" --tripid 200-11 --locoid 4013 --swversion DE.1.0.9.0 --startMP 204:233032 --initTime 2017-03-11T16:42:12 --startdatetime 2017-03-11T16:43:26 --delay 1 --endMP 204:172 --enddatetime 2017-03-11T17:39:05 --enforcementcount 0 &gt;&gt;C:\Users\stu\Documents\GitHub\eaglep3-reporting\EC\2017-03-11-refined-times.txt</v>
      </c>
      <c r="AI116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{"issue":{"subject":"","project_id":79,"tracker_id":40,"status_id":1,"priority_id":2,"assigned_to_id":23,"start_date":"2017-03-11","description":"","custom_fields":[{"id":1,"name":"Subdivision","value":"EC"},{"id":4,"name":"Milepost","value":"0.0172"},{"id":17,"name":"Train ID","value":"200-11"},{"id":16,"name":"Locomotive ID","value":"4013"},{"id":130,"name":"Impact","value":""},{"id":150,"name":"Time of Event (Mountain Time)","value":"17:39:05"},{"id":151,"name":"Denver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5"/>
        <v>start /low /b %USERPROFILE%\Documents\GitHub\eaglep3\Utilities\DownloadLogsFromS3.py --loco 4013 --day 2017-03-11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"%USERPROFILE%\AppData\Local\Temp\OnboardLogs"\RTDC4013\*4013*20170312* | grep -SE "(Enforcement Action)|(\[TIMEOUT)|(CHR.+\|PRM\|1\|D.+(SWITCH|SIGNAL).+UNKNOWN)" - &gt;&gt; 2017-03-11-UncaughtWiMAX.txt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760</v>
      </c>
      <c r="B117" s="7">
        <v>4009</v>
      </c>
      <c r="C117" s="21" t="s">
        <v>240</v>
      </c>
      <c r="D117" s="21" t="s">
        <v>435</v>
      </c>
      <c r="E117" s="13">
        <v>42805.675104166665</v>
      </c>
      <c r="F117" s="13">
        <v>42805.676446759258</v>
      </c>
      <c r="G117" s="7">
        <v>1</v>
      </c>
      <c r="H117" s="21" t="s">
        <v>538</v>
      </c>
      <c r="I117" s="13">
        <v>42805.702870370369</v>
      </c>
      <c r="J117" s="7">
        <v>0</v>
      </c>
      <c r="K117" s="98" t="str">
        <f t="shared" si="30"/>
        <v>4009/4010</v>
      </c>
      <c r="L117" s="21" t="str">
        <f>VLOOKUP(A117,'Trips&amp;Operators'!$C$1:$G$99999,5,FALSE)</f>
        <v>STEWART MICHAEL</v>
      </c>
      <c r="M117" s="6">
        <f t="shared" si="31"/>
        <v>2.6423611110658385E-2</v>
      </c>
      <c r="N117" s="7">
        <f t="shared" si="48"/>
        <v>38.049999999348074</v>
      </c>
      <c r="O117" s="7"/>
      <c r="P117" s="7"/>
      <c r="Q117" s="22"/>
      <c r="R117" s="22"/>
      <c r="S117" s="31">
        <f t="shared" si="49"/>
        <v>1</v>
      </c>
      <c r="T117" s="46" t="str">
        <f t="shared" si="32"/>
        <v>NorthBound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33"/>
        <v>https://d0f6bd738d7f1b3e5a7ca70fe4ff75f0.us-east-1.aws.found.io/app/kibana#/discover/Steve-Slow-Train-Analysis-(2080s-and-2083s)?_g=(refreshInterval:(display:Off,pause:!f,section:0,value:0),time:(from:'2017-03-11T15:12:09-0700',mode:absolute,to:'2017-03-11T17:52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7" s="187" t="str">
        <f t="shared" si="34"/>
        <v>N</v>
      </c>
      <c r="X117" s="187">
        <f t="shared" si="50"/>
        <v>1</v>
      </c>
      <c r="Y117" s="62">
        <f t="shared" si="51"/>
        <v>4.7500000000000001E-2</v>
      </c>
      <c r="Z117" s="62">
        <f t="shared" si="52"/>
        <v>23.328700000000001</v>
      </c>
      <c r="AA117" s="62">
        <f t="shared" si="38"/>
        <v>23.281200000000002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9"/>
        <v>0201-11</v>
      </c>
      <c r="AE117" s="85" t="str">
        <f t="shared" si="40"/>
        <v>aws s3 cp s3://rtdc.mdm.uploadarchive.raw/RTDC4009/ "%USERPROFILE%\AppData\Local\Temp\OnboardLogs"\RTDC4009\2017-03-11 --exclude "*" --recursive --include "*20170311*" &amp; "%USERPROFILE%\Documents\GitHub\mrs-test-scripts\Headless Mode &amp; Sideloading\WalkAndUnGZ.bat" "%USERPROFILE%\AppData\Local\Temp\OnboardLogs"\RTDC4009\2017-03-11 &amp; aws s3 cp s3://rtdc.mdm.uploadarchive.raw/RTDC4009/ "%USERPROFILE%\AppData\Local\Temp\OnboardLogs"\RTDC4009\2017-03-12 --exclude "*" --recursive --include "*20170312*" &amp; "%USERPROFILE%\Documents\GitHub\mrs-test-scripts\Headless Mode &amp; Sideloading\WalkAndUnGZ.bat" "%USERPROFILE%\AppData\Local\Temp\OnboardLogs"\RTDC4009\2017-03-12</v>
      </c>
      <c r="AF117" s="82" t="str">
        <f t="shared" si="41"/>
        <v>"C:\Program Files (x86)\AstroGrep\AstroGrep.exe" /e /r /s /spath="%USERPROFILE%\AppData\Local\Temp\OnboardLogs" /stypes="app*4009*20170311*" /stext=" 23:.+((SYSTEM_STATE.+slice.+state.+changed )|(ment ac)|(multiple cpu faults)|(system.+state.+changed )|(\[timeout)|(PRM\|1\|D)|(kpr)|(kdp)|(\|lc)|(penalty))"</v>
      </c>
      <c r="AG117" s="1" t="str">
        <f t="shared" si="42"/>
        <v>EC</v>
      </c>
      <c r="AH117" s="86" t="str">
        <f t="shared" si="43"/>
        <v>"%USERPROFILE%\Documents\GitHub\eaglep3\Utilities\RefineRTDCRunTimes.py" --tripid 201-11 --locoid 4009 --swversion DE.1.0.9.0 --startMP 204:475 --initTime 2017-03-11T16:12:09 --startdatetime 2017-03-11T16:14:05 --delay 1 --endMP 204:233287 --enddatetime 2017-03-11T16:52:08 --enforcementcount 0 &gt;&gt;C:\Users\stu\Documents\GitHub\eaglep3-reporting\EC\2017-03-11-refined-times.txt</v>
      </c>
      <c r="AI117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{"issue":{"subject":"","project_id":79,"tracker_id":40,"status_id":1,"priority_id":2,"assigned_to_id":23,"start_date":"2017-03-11","description":"","custom_fields":[{"id":1,"name":"Subdivision","value":"EC"},{"id":4,"name":"Milepost","value":"23.3287"},{"id":17,"name":"Train ID","value":"201-11"},{"id":16,"name":"Locomotive ID","value":"4009"},{"id":130,"name":"Impact","value":""},{"id":150,"name":"Time of Event (Mountain Time)","value":"16:52:08"},{"id":151,"name":"Denver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5"/>
        <v>start /low /b %USERPROFILE%\Documents\GitHub\eaglep3\Utilities\DownloadLogsFromS3.py --loco 4009 --day 2017-03-11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"%USERPROFILE%\AppData\Local\Temp\OnboardLogs"\RTDC4009\*4009*20170311* | grep -SE "(Enforcement Action)|(\[TIMEOUT)|(CHR.+\|PRM\|1\|D.+(SWITCH|SIGNAL).+UNKNOWN)" - &gt;&gt; 2017-03-11-UncaughtWiMAX.txt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936</v>
      </c>
      <c r="B118" s="7">
        <v>4010</v>
      </c>
      <c r="C118" s="21" t="s">
        <v>240</v>
      </c>
      <c r="D118" s="21" t="s">
        <v>539</v>
      </c>
      <c r="E118" s="13">
        <v>42805.712685185186</v>
      </c>
      <c r="F118" s="13">
        <v>42805.713842592595</v>
      </c>
      <c r="G118" s="7">
        <v>1</v>
      </c>
      <c r="H118" s="21" t="s">
        <v>413</v>
      </c>
      <c r="I118" s="13">
        <v>42805.74428240741</v>
      </c>
      <c r="J118" s="7">
        <v>0</v>
      </c>
      <c r="K118" s="98" t="str">
        <f t="shared" si="30"/>
        <v>4009/4010</v>
      </c>
      <c r="L118" s="21" t="e">
        <f>VLOOKUP(A118,'Trips&amp;Operators'!$C$1:$G$99999,5,FALSE)</f>
        <v>#N/A</v>
      </c>
      <c r="M118" s="6">
        <f t="shared" si="31"/>
        <v>3.0439814814599231E-2</v>
      </c>
      <c r="N118" s="7">
        <f t="shared" si="48"/>
        <v>43.833333333022892</v>
      </c>
      <c r="O118" s="7"/>
      <c r="P118" s="7"/>
      <c r="Q118" s="22"/>
      <c r="R118" s="22"/>
      <c r="S118" s="31">
        <f t="shared" si="49"/>
        <v>1</v>
      </c>
      <c r="T118" s="46" t="str">
        <f t="shared" si="32"/>
        <v>Southbound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33"/>
        <v>https://d0f6bd738d7f1b3e5a7ca70fe4ff75f0.us-east-1.aws.found.io/app/kibana#/discover/Steve-Slow-Train-Analysis-(2080s-and-2083s)?_g=(refreshInterval:(display:Off,pause:!f,section:0,value:0),time:(from:'2017-03-11T16:06:16-0700',mode:absolute,to:'2017-03-11T18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8" s="187" t="str">
        <f t="shared" si="34"/>
        <v>N</v>
      </c>
      <c r="X118" s="187">
        <f t="shared" si="50"/>
        <v>1</v>
      </c>
      <c r="Y118" s="62">
        <f t="shared" si="51"/>
        <v>23.2972</v>
      </c>
      <c r="Z118" s="62">
        <f t="shared" si="52"/>
        <v>1.43E-2</v>
      </c>
      <c r="AA118" s="62">
        <f t="shared" si="38"/>
        <v>23.282900000000001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9"/>
        <v>0202-11</v>
      </c>
      <c r="AE118" s="85" t="str">
        <f t="shared" si="40"/>
        <v>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 &amp; aws s3 cp s3://rtdc.mdm.uploadarchive.raw/RTDC4010/ "%USERPROFILE%\AppData\Local\Temp\OnboardLogs"\RTDC4010\2017-03-12 --exclude "*" --recursive --include "*20170312*" &amp; "%USERPROFILE%\Documents\GitHub\mrs-test-scripts\Headless Mode &amp; Sideloading\WalkAndUnGZ.bat" "%USERPROFILE%\AppData\Local\Temp\OnboardLogs"\RTDC4010\2017-03-12</v>
      </c>
      <c r="AF118" s="82" t="str">
        <f t="shared" si="41"/>
        <v>"C:\Program Files (x86)\AstroGrep\AstroGrep.exe" /e /r /s /spath="%USERPROFILE%\AppData\Local\Temp\OnboardLogs" /stypes="app*4010*20170312*" /stext=" 00:.+((SYSTEM_STATE.+slice.+state.+changed )|(ment ac)|(multiple cpu faults)|(system.+state.+changed )|(\[timeout)|(PRM\|1\|D)|(kpr)|(kdp)|(\|lc)|(penalty))"</v>
      </c>
      <c r="AG118" s="1" t="str">
        <f t="shared" si="42"/>
        <v>EC</v>
      </c>
      <c r="AH118" s="86" t="str">
        <f t="shared" si="43"/>
        <v>"%USERPROFILE%\Documents\GitHub\eaglep3\Utilities\RefineRTDCRunTimes.py" --tripid 202-11 --locoid 4010 --swversion DE.1.0.9.0 --startMP 204:232972 --initTime 2017-03-11T17:06:16 --startdatetime 2017-03-11T17:07:56 --delay 1 --endMP 204:143 --enddatetime 2017-03-11T17:51:46 --enforcementcount 0 &gt;&gt;C:\Users\stu\Documents\GitHub\eaglep3-reporting\EC\2017-03-11-refined-times.txt</v>
      </c>
      <c r="AI118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{"issue":{"subject":"","project_id":79,"tracker_id":40,"status_id":1,"priority_id":2,"assigned_to_id":23,"start_date":"2017-03-11","description":"","custom_fields":[{"id":1,"name":"Subdivision","value":"EC"},{"id":4,"name":"Milepost","value":"0.0143"},{"id":17,"name":"Train ID","value":"202-11"},{"id":16,"name":"Locomotive ID","value":"4010"},{"id":130,"name":"Impact","value":""},{"id":150,"name":"Time of Event (Mountain Time)","value":"17:51:46"},{"id":151,"name":"Denver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5"/>
        <v>start /low /b %USERPROFILE%\Documents\GitHub\eaglep3\Utilities\DownloadLogsFromS3.py --loco 4010 --day 2017-03-11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"%USERPROFILE%\AppData\Local\Temp\OnboardLogs"\RTDC4010\*4010*20170312* | grep -SE "(Enforcement Action)|(\[TIMEOUT)|(CHR.+\|PRM\|1\|D.+(SWITCH|SIGNAL).+UNKNOWN)" - &gt;&gt; 2017-03-11-UncaughtWiMAX.txt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762</v>
      </c>
      <c r="B119" s="7">
        <v>4046</v>
      </c>
      <c r="C119" s="21" t="s">
        <v>240</v>
      </c>
      <c r="D119" s="21" t="s">
        <v>937</v>
      </c>
      <c r="E119" s="13">
        <v>42805.68677083333</v>
      </c>
      <c r="F119" s="13">
        <v>42805.687696759262</v>
      </c>
      <c r="G119" s="7">
        <v>1</v>
      </c>
      <c r="H119" s="21" t="s">
        <v>245</v>
      </c>
      <c r="I119" s="13">
        <v>42805.715624999997</v>
      </c>
      <c r="J119" s="7">
        <v>0</v>
      </c>
      <c r="K119" s="98" t="str">
        <f t="shared" si="30"/>
        <v>4045/4046</v>
      </c>
      <c r="L119" s="21" t="str">
        <f>VLOOKUP(A119,'Trips&amp;Operators'!$C$1:$G$99999,5,FALSE)</f>
        <v>DAVIS MICHAEL</v>
      </c>
      <c r="M119" s="6">
        <f t="shared" si="31"/>
        <v>2.7928240735491272E-2</v>
      </c>
      <c r="N119" s="7">
        <f t="shared" si="48"/>
        <v>40.216666659107432</v>
      </c>
      <c r="O119" s="7"/>
      <c r="P119" s="7"/>
      <c r="Q119" s="22"/>
      <c r="R119" s="22"/>
      <c r="S119" s="31">
        <f t="shared" si="49"/>
        <v>1</v>
      </c>
      <c r="T119" s="46" t="str">
        <f t="shared" si="32"/>
        <v>NorthBound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33"/>
        <v>https://d0f6bd738d7f1b3e5a7ca70fe4ff75f0.us-east-1.aws.found.io/app/kibana#/discover/Steve-Slow-Train-Analysis-(2080s-and-2083s)?_g=(refreshInterval:(display:Off,pause:!f,section:0,value:0),time:(from:'2017-03-11T15:28:57-0700',mode:absolute,to:'2017-03-11T18:10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9" s="187" t="str">
        <f t="shared" si="34"/>
        <v>N</v>
      </c>
      <c r="X119" s="187">
        <f t="shared" si="50"/>
        <v>1</v>
      </c>
      <c r="Y119" s="62">
        <f t="shared" si="51"/>
        <v>4.9799999999999997E-2</v>
      </c>
      <c r="Z119" s="62">
        <f t="shared" si="52"/>
        <v>23.331399999999999</v>
      </c>
      <c r="AA119" s="62">
        <f t="shared" si="38"/>
        <v>23.281599999999997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9"/>
        <v>0203-11</v>
      </c>
      <c r="AE119" s="85" t="str">
        <f t="shared" si="40"/>
        <v>aws s3 cp s3://rtdc.mdm.uploadarchive.raw/RTDC4046/ "%USERPROFILE%\AppData\Local\Temp\OnboardLogs"\RTDC4046\2017-03-11 --exclude "*" --recursive --include "*20170311*" &amp; "%USERPROFILE%\Documents\GitHub\mrs-test-scripts\Headless Mode &amp; Sideloading\WalkAndUnGZ.bat" "%USERPROFILE%\AppData\Local\Temp\OnboardLogs"\RTDC4046\2017-03-11 &amp; aws s3 cp s3://rtdc.mdm.uploadarchive.raw/RTDC4046/ "%USERPROFILE%\AppData\Local\Temp\OnboardLogs"\RTDC4046\2017-03-12 --exclude "*" --recursive --include "*20170312*" &amp; "%USERPROFILE%\Documents\GitHub\mrs-test-scripts\Headless Mode &amp; Sideloading\WalkAndUnGZ.bat" "%USERPROFILE%\AppData\Local\Temp\OnboardLogs"\RTDC4046\2017-03-12</v>
      </c>
      <c r="AF119" s="82" t="str">
        <f t="shared" si="41"/>
        <v>"C:\Program Files (x86)\AstroGrep\AstroGrep.exe" /e /r /s /spath="%USERPROFILE%\AppData\Local\Temp\OnboardLogs" /stypes="app*4046*20170312*" /stext=" 00:.+((SYSTEM_STATE.+slice.+state.+changed )|(ment ac)|(multiple cpu faults)|(system.+state.+changed )|(\[timeout)|(PRM\|1\|D)|(kpr)|(kdp)|(\|lc)|(penalty))"</v>
      </c>
      <c r="AG119" s="1" t="str">
        <f t="shared" si="42"/>
        <v>EC</v>
      </c>
      <c r="AH119" s="86" t="str">
        <f t="shared" si="43"/>
        <v>"%USERPROFILE%\Documents\GitHub\eaglep3\Utilities\RefineRTDCRunTimes.py" --tripid 203-11 --locoid 4046 --swversion DE.1.0.9.0 --startMP 204:498 --initTime 2017-03-11T16:28:57 --startdatetime 2017-03-11T16:30:17 --delay 1 --endMP 204:233314 --enddatetime 2017-03-11T17:10:30 --enforcementcount 0 &gt;&gt;C:\Users\stu\Documents\GitHub\eaglep3-reporting\EC\2017-03-11-refined-times.txt</v>
      </c>
      <c r="AI119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{"issue":{"subject":"","project_id":79,"tracker_id":40,"status_id":1,"priority_id":2,"assigned_to_id":23,"start_date":"2017-03-11","description":"","custom_fields":[{"id":1,"name":"Subdivision","value":"EC"},{"id":4,"name":"Milepost","value":"23.3314"},{"id":17,"name":"Train ID","value":"203-11"},{"id":16,"name":"Locomotive ID","value":"4046"},{"id":130,"name":"Impact","value":""},{"id":150,"name":"Time of Event (Mountain Time)","value":"17:10:30"},{"id":151,"name":"Denver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5"/>
        <v>start /low /b %USERPROFILE%\Documents\GitHub\eaglep3\Utilities\DownloadLogsFromS3.py --loco 4046 --day 2017-03-11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"%USERPROFILE%\AppData\Local\Temp\OnboardLogs"\RTDC4046\*4046*20170311* | grep -SE "(Enforcement Action)|(\[TIMEOUT)|(CHR.+\|PRM\|1\|D.+(SWITCH|SIGNAL).+UNKNOWN)" - &gt;&gt; 2017-03-11-UncaughtWiMAX.txt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768</v>
      </c>
      <c r="B120" s="7">
        <v>4045</v>
      </c>
      <c r="C120" s="21" t="s">
        <v>240</v>
      </c>
      <c r="D120" s="21" t="s">
        <v>853</v>
      </c>
      <c r="E120" s="13">
        <v>42805.724722222221</v>
      </c>
      <c r="F120" s="13">
        <v>42805.726168981484</v>
      </c>
      <c r="G120" s="7">
        <v>2</v>
      </c>
      <c r="H120" s="21" t="s">
        <v>203</v>
      </c>
      <c r="I120" s="13">
        <v>42805.756215277775</v>
      </c>
      <c r="J120" s="7">
        <v>0</v>
      </c>
      <c r="K120" s="98" t="str">
        <f t="shared" si="30"/>
        <v>4045/4046</v>
      </c>
      <c r="L120" s="21" t="str">
        <f>VLOOKUP(A120,'Trips&amp;Operators'!$C$1:$G$99999,5,FALSE)</f>
        <v>DAVIS MICHAEL</v>
      </c>
      <c r="M120" s="6">
        <f t="shared" si="31"/>
        <v>3.0046296291402541E-2</v>
      </c>
      <c r="N120" s="7">
        <f t="shared" si="48"/>
        <v>43.266666659619659</v>
      </c>
      <c r="O120" s="7"/>
      <c r="P120" s="7"/>
      <c r="Q120" s="22"/>
      <c r="R120" s="22"/>
      <c r="S120" s="31">
        <f t="shared" si="49"/>
        <v>1</v>
      </c>
      <c r="T120" s="46" t="str">
        <f t="shared" si="32"/>
        <v>Southbound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33"/>
        <v>https://d0f6bd738d7f1b3e5a7ca70fe4ff75f0.us-east-1.aws.found.io/app/kibana#/discover/Steve-Slow-Train-Analysis-(2080s-and-2083s)?_g=(refreshInterval:(display:Off,pause:!f,section:0,value:0),time:(from:'2017-03-11T16:23:36-0700',mode:absolute,to:'2017-03-11T19:08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0" s="187" t="str">
        <f t="shared" si="34"/>
        <v>N</v>
      </c>
      <c r="X120" s="187">
        <f t="shared" si="50"/>
        <v>1</v>
      </c>
      <c r="Y120" s="62">
        <f t="shared" si="51"/>
        <v>23.297699999999999</v>
      </c>
      <c r="Z120" s="62">
        <f t="shared" si="52"/>
        <v>1.5800000000000002E-2</v>
      </c>
      <c r="AA120" s="62">
        <f t="shared" si="38"/>
        <v>23.2819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9"/>
        <v>0204-11</v>
      </c>
      <c r="AE120" s="85" t="str">
        <f t="shared" si="40"/>
        <v>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 &amp; aws s3 cp s3://rtdc.mdm.uploadarchive.raw/RTDC4045/ "%USERPROFILE%\AppData\Local\Temp\OnboardLogs"\RTDC4045\2017-03-12 --exclude "*" --recursive --include "*20170312*" &amp; "%USERPROFILE%\Documents\GitHub\mrs-test-scripts\Headless Mode &amp; Sideloading\WalkAndUnGZ.bat" "%USERPROFILE%\AppData\Local\Temp\OnboardLogs"\RTDC4045\2017-03-12</v>
      </c>
      <c r="AF120" s="82" t="str">
        <f t="shared" si="41"/>
        <v>"C:\Program Files (x86)\AstroGrep\AstroGrep.exe" /e /r /s /spath="%USERPROFILE%\AppData\Local\Temp\OnboardLogs" /stypes="app*4045*20170312*" /stext=" 01:.+((SYSTEM_STATE.+slice.+state.+changed )|(ment ac)|(multiple cpu faults)|(system.+state.+changed )|(\[timeout)|(PRM\|1\|D)|(kpr)|(kdp)|(\|lc)|(penalty))"</v>
      </c>
      <c r="AG120" s="1" t="str">
        <f t="shared" si="42"/>
        <v>EC</v>
      </c>
      <c r="AH120" s="86" t="str">
        <f t="shared" si="43"/>
        <v>"%USERPROFILE%\Documents\GitHub\eaglep3\Utilities\RefineRTDCRunTimes.py" --tripid 204-11 --locoid 4045 --swversion DE.1.0.9.0 --startMP 204:232977 --initTime 2017-03-11T17:23:36 --startdatetime 2017-03-11T17:25:41 --delay 2 --endMP 204:158 --enddatetime 2017-03-11T18:08:57 --enforcementcount 0 &gt;&gt;C:\Users\stu\Documents\GitHub\eaglep3-reporting\EC\2017-03-11-refined-times.txt</v>
      </c>
      <c r="AI120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{"issue":{"subject":"","project_id":79,"tracker_id":40,"status_id":1,"priority_id":2,"assigned_to_id":23,"start_date":"2017-03-11","description":"","custom_fields":[{"id":1,"name":"Subdivision","value":"EC"},{"id":4,"name":"Milepost","value":"0.0158"},{"id":17,"name":"Train ID","value":"204-11"},{"id":16,"name":"Locomotive ID","value":"4045"},{"id":130,"name":"Impact","value":""},{"id":150,"name":"Time of Event (Mountain Time)","value":"18:08:57"},{"id":151,"name":"Denver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5"/>
        <v>start /low /b %USERPROFILE%\Documents\GitHub\eaglep3\Utilities\DownloadLogsFromS3.py --loco 4045 --day 2017-03-11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"%USERPROFILE%\AppData\Local\Temp\OnboardLogs"\RTDC4045\*4045*20170312* | grep -SE "(Enforcement Action)|(\[TIMEOUT)|(CHR.+\|PRM\|1\|D.+(SWITCH|SIGNAL).+UNKNOWN)" - &gt;&gt; 2017-03-11-UncaughtWiMAX.txt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763</v>
      </c>
      <c r="B121" s="7">
        <v>4040</v>
      </c>
      <c r="C121" s="21" t="s">
        <v>240</v>
      </c>
      <c r="D121" s="21" t="s">
        <v>547</v>
      </c>
      <c r="E121" s="13">
        <v>42805.694027777776</v>
      </c>
      <c r="F121" s="13">
        <v>42805.695034722223</v>
      </c>
      <c r="G121" s="7">
        <v>1</v>
      </c>
      <c r="H121" s="21" t="s">
        <v>436</v>
      </c>
      <c r="I121" s="13">
        <v>42805.723379629628</v>
      </c>
      <c r="J121" s="7">
        <v>0</v>
      </c>
      <c r="K121" s="98" t="str">
        <f t="shared" si="30"/>
        <v>4039/4040</v>
      </c>
      <c r="L121" s="21" t="str">
        <f>VLOOKUP(A121,'Trips&amp;Operators'!$C$1:$G$99999,5,FALSE)</f>
        <v>BRUDER RICHARD</v>
      </c>
      <c r="M121" s="6">
        <f t="shared" si="31"/>
        <v>2.8344907404971309E-2</v>
      </c>
      <c r="N121" s="7">
        <f t="shared" si="48"/>
        <v>40.816666663158685</v>
      </c>
      <c r="O121" s="7"/>
      <c r="P121" s="7"/>
      <c r="Q121" s="22"/>
      <c r="R121" s="22"/>
      <c r="S121" s="31">
        <f t="shared" si="49"/>
        <v>1</v>
      </c>
      <c r="T121" s="46" t="str">
        <f t="shared" si="32"/>
        <v>NorthBound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33"/>
        <v>https://d0f6bd738d7f1b3e5a7ca70fe4ff75f0.us-east-1.aws.found.io/app/kibana#/discover/Steve-Slow-Train-Analysis-(2080s-and-2083s)?_g=(refreshInterval:(display:Off,pause:!f,section:0,value:0),time:(from:'2017-03-11T15:39:24-0700',mode:absolute,to:'2017-03-11T18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1" s="187" t="str">
        <f t="shared" si="34"/>
        <v>N</v>
      </c>
      <c r="X121" s="187">
        <f t="shared" si="50"/>
        <v>1</v>
      </c>
      <c r="Y121" s="62">
        <f t="shared" si="51"/>
        <v>4.8000000000000001E-2</v>
      </c>
      <c r="Z121" s="62">
        <f t="shared" si="52"/>
        <v>23.3308</v>
      </c>
      <c r="AA121" s="62">
        <f t="shared" si="38"/>
        <v>23.282800000000002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9"/>
        <v>0205-11</v>
      </c>
      <c r="AE121" s="85" t="str">
        <f t="shared" si="40"/>
        <v>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 &amp; aws s3 cp s3://rtdc.mdm.uploadarchive.raw/RTDC4040/ "%USERPROFILE%\AppData\Local\Temp\OnboardLogs"\RTDC4040\2017-03-12 --exclude "*" --recursive --include "*20170312*" &amp; "%USERPROFILE%\Documents\GitHub\mrs-test-scripts\Headless Mode &amp; Sideloading\WalkAndUnGZ.bat" "%USERPROFILE%\AppData\Local\Temp\OnboardLogs"\RTDC4040\2017-03-12</v>
      </c>
      <c r="AF121" s="82" t="str">
        <f t="shared" si="41"/>
        <v>"C:\Program Files (x86)\AstroGrep\AstroGrep.exe" /e /r /s /spath="%USERPROFILE%\AppData\Local\Temp\OnboardLogs" /stypes="app*4040*20170312*" /stext=" 00:.+((SYSTEM_STATE.+slice.+state.+changed )|(ment ac)|(multiple cpu faults)|(system.+state.+changed )|(\[timeout)|(PRM\|1\|D)|(kpr)|(kdp)|(\|lc)|(penalty))"</v>
      </c>
      <c r="AG121" s="1" t="str">
        <f t="shared" si="42"/>
        <v>EC</v>
      </c>
      <c r="AH121" s="86" t="str">
        <f t="shared" si="43"/>
        <v>"%USERPROFILE%\Documents\GitHub\eaglep3\Utilities\RefineRTDCRunTimes.py" --tripid 205-11 --locoid 4040 --swversion DE.1.0.9.0 --startMP 204:480 --initTime 2017-03-11T16:39:24 --startdatetime 2017-03-11T16:40:51 --delay 1 --endMP 204:233308 --enddatetime 2017-03-11T17:21:40 --enforcementcount 0 &gt;&gt;C:\Users\stu\Documents\GitHub\eaglep3-reporting\EC\2017-03-11-refined-times.txt</v>
      </c>
      <c r="AI121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{"issue":{"subject":"","project_id":79,"tracker_id":40,"status_id":1,"priority_id":2,"assigned_to_id":23,"start_date":"2017-03-11","description":"","custom_fields":[{"id":1,"name":"Subdivision","value":"EC"},{"id":4,"name":"Milepost","value":"23.3308"},{"id":17,"name":"Train ID","value":"205-11"},{"id":16,"name":"Locomotive ID","value":"4040"},{"id":130,"name":"Impact","value":""},{"id":150,"name":"Time of Event (Mountain Time)","value":"17:21:40"},{"id":151,"name":"Denver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5"/>
        <v>start /low /b %USERPROFILE%\Documents\GitHub\eaglep3\Utilities\DownloadLogsFromS3.py --loco 4040 --day 2017-03-11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"%USERPROFILE%\AppData\Local\Temp\OnboardLogs"\RTDC4040\*4040*20170312* | grep -SE "(Enforcement Action)|(\[TIMEOUT)|(CHR.+\|PRM\|1\|D.+(SWITCH|SIGNAL).+UNKNOWN)" - &gt;&gt; 2017-03-11-UncaughtWiMAX.txt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770</v>
      </c>
      <c r="B122" s="7">
        <v>4039</v>
      </c>
      <c r="C122" s="21" t="s">
        <v>240</v>
      </c>
      <c r="D122" s="21" t="s">
        <v>862</v>
      </c>
      <c r="E122" s="13">
        <v>42805.732002314813</v>
      </c>
      <c r="F122" s="13">
        <v>42805.732858796298</v>
      </c>
      <c r="G122" s="7">
        <v>1</v>
      </c>
      <c r="H122" s="21" t="s">
        <v>194</v>
      </c>
      <c r="I122" s="13">
        <v>42805.764155092591</v>
      </c>
      <c r="J122" s="7">
        <v>0</v>
      </c>
      <c r="K122" s="98" t="str">
        <f t="shared" si="30"/>
        <v>4039/4040</v>
      </c>
      <c r="L122" s="21" t="str">
        <f>VLOOKUP(A122,'Trips&amp;Operators'!$C$1:$G$99999,5,FALSE)</f>
        <v>BRUDER RICHARD</v>
      </c>
      <c r="M122" s="6">
        <f t="shared" si="31"/>
        <v>3.1296296292566694E-2</v>
      </c>
      <c r="N122" s="7">
        <f t="shared" si="48"/>
        <v>45.06666666129604</v>
      </c>
      <c r="O122" s="7"/>
      <c r="P122" s="7"/>
      <c r="Q122" s="22"/>
      <c r="R122" s="22"/>
      <c r="S122" s="31">
        <f t="shared" si="49"/>
        <v>1</v>
      </c>
      <c r="T122" s="46" t="str">
        <f t="shared" si="32"/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33"/>
        <v>https://d0f6bd738d7f1b3e5a7ca70fe4ff75f0.us-east-1.aws.found.io/app/kibana#/discover/Steve-Slow-Train-Analysis-(2080s-and-2083s)?_g=(refreshInterval:(display:Off,pause:!f,section:0,value:0),time:(from:'2017-03-11T16:34:05-0700',mode:absolute,to:'2017-03-11T19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2" s="187" t="str">
        <f t="shared" si="34"/>
        <v>N</v>
      </c>
      <c r="X122" s="187">
        <f t="shared" si="50"/>
        <v>1</v>
      </c>
      <c r="Y122" s="62">
        <f t="shared" si="51"/>
        <v>23.299800000000001</v>
      </c>
      <c r="Z122" s="62">
        <f t="shared" si="52"/>
        <v>1.4500000000000001E-2</v>
      </c>
      <c r="AA122" s="62">
        <f t="shared" si="38"/>
        <v>23.285299999999999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9"/>
        <v>0206-11</v>
      </c>
      <c r="AE122" s="85" t="str">
        <f t="shared" si="40"/>
        <v>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 &amp; aws s3 cp s3://rtdc.mdm.uploadarchive.raw/RTDC4039/ "%USERPROFILE%\AppData\Local\Temp\OnboardLogs"\RTDC4039\2017-03-12 --exclude "*" --recursive --include "*20170312*" &amp; "%USERPROFILE%\Documents\GitHub\mrs-test-scripts\Headless Mode &amp; Sideloading\WalkAndUnGZ.bat" "%USERPROFILE%\AppData\Local\Temp\OnboardLogs"\RTDC4039\2017-03-12</v>
      </c>
      <c r="AF122" s="82" t="str">
        <f t="shared" si="41"/>
        <v>"C:\Program Files (x86)\AstroGrep\AstroGrep.exe" /e /r /s /spath="%USERPROFILE%\AppData\Local\Temp\OnboardLogs" /stypes="app*4039*20170312*" /stext=" 01:.+((SYSTEM_STATE.+slice.+state.+changed )|(ment ac)|(multiple cpu faults)|(system.+state.+changed )|(\[timeout)|(PRM\|1\|D)|(kpr)|(kdp)|(\|lc)|(penalty))"</v>
      </c>
      <c r="AG122" s="1" t="str">
        <f t="shared" si="42"/>
        <v>EC</v>
      </c>
      <c r="AH122" s="86" t="str">
        <f t="shared" si="43"/>
        <v>"%USERPROFILE%\Documents\GitHub\eaglep3\Utilities\RefineRTDCRunTimes.py" --tripid 206-11 --locoid 4039 --swversion DE.1.0.9.0 --startMP 204:232998 --initTime 2017-03-11T17:34:05 --startdatetime 2017-03-11T17:35:19 --delay 1 --endMP 204:145 --enddatetime 2017-03-11T18:20:23 --enforcementcount 0 &gt;&gt;C:\Users\stu\Documents\GitHub\eaglep3-reporting\EC\2017-03-11-refined-times.txt</v>
      </c>
      <c r="AI122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{"issue":{"subject":"","project_id":79,"tracker_id":40,"status_id":1,"priority_id":2,"assigned_to_id":23,"start_date":"2017-03-11","description":"","custom_fields":[{"id":1,"name":"Subdivision","value":"EC"},{"id":4,"name":"Milepost","value":"0.0145"},{"id":17,"name":"Train ID","value":"206-11"},{"id":16,"name":"Locomotive ID","value":"4039"},{"id":130,"name":"Impact","value":""},{"id":150,"name":"Time of Event (Mountain Time)","value":"18:20:23"},{"id":151,"name":"Denver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5"/>
        <v>start /low /b %USERPROFILE%\Documents\GitHub\eaglep3\Utilities\DownloadLogsFromS3.py --loco 4039 --day 2017-03-11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"%USERPROFILE%\AppData\Local\Temp\OnboardLogs"\RTDC4039\*4039*20170312* | grep -SE "(Enforcement Action)|(\[TIMEOUT)|(CHR.+\|PRM\|1\|D.+(SWITCH|SIGNAL).+UNKNOWN)" - &gt;&gt; 2017-03-11-UncaughtWiMAX.txt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764</v>
      </c>
      <c r="B123" s="7">
        <v>4006</v>
      </c>
      <c r="C123" s="21" t="s">
        <v>240</v>
      </c>
      <c r="D123" s="21" t="s">
        <v>217</v>
      </c>
      <c r="E123" s="13">
        <v>42805.70453703704</v>
      </c>
      <c r="F123" s="13">
        <v>42805.70548611111</v>
      </c>
      <c r="G123" s="7">
        <v>1</v>
      </c>
      <c r="H123" s="21" t="s">
        <v>938</v>
      </c>
      <c r="I123" s="13">
        <v>42805.733298611114</v>
      </c>
      <c r="J123" s="7">
        <v>0</v>
      </c>
      <c r="K123" s="98" t="str">
        <f t="shared" si="30"/>
        <v>4005/4006</v>
      </c>
      <c r="L123" s="21" t="str">
        <f>VLOOKUP(A123,'Trips&amp;Operators'!$C$1:$G$99999,5,FALSE)</f>
        <v>HOLCOMB KAMDEN</v>
      </c>
      <c r="M123" s="6">
        <f t="shared" si="31"/>
        <v>2.7812500004074536E-2</v>
      </c>
      <c r="N123" s="7">
        <f t="shared" si="48"/>
        <v>40.050000005867332</v>
      </c>
      <c r="O123" s="7"/>
      <c r="P123" s="7"/>
      <c r="Q123" s="22"/>
      <c r="R123" s="22"/>
      <c r="S123" s="31">
        <f t="shared" si="49"/>
        <v>1</v>
      </c>
      <c r="T123" s="46" t="str">
        <f t="shared" si="32"/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33"/>
        <v>https://d0f6bd738d7f1b3e5a7ca70fe4ff75f0.us-east-1.aws.found.io/app/kibana#/discover/Steve-Slow-Train-Analysis-(2080s-and-2083s)?_g=(refreshInterval:(display:Off,pause:!f,section:0,value:0),time:(from:'2017-03-11T15:54:32-0700',mode:absolute,to:'2017-03-11T18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3" s="187" t="str">
        <f t="shared" si="34"/>
        <v>N</v>
      </c>
      <c r="X123" s="187">
        <f t="shared" si="50"/>
        <v>1</v>
      </c>
      <c r="Y123" s="62">
        <f t="shared" si="51"/>
        <v>4.5699999999999998E-2</v>
      </c>
      <c r="Z123" s="62">
        <f t="shared" si="52"/>
        <v>23.331099999999999</v>
      </c>
      <c r="AA123" s="62">
        <f t="shared" si="38"/>
        <v>23.285399999999999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9"/>
        <v>0207-11</v>
      </c>
      <c r="AE123" s="85" t="str">
        <f t="shared" si="40"/>
        <v>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 &amp; 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</v>
      </c>
      <c r="AF123" s="82" t="str">
        <f t="shared" si="41"/>
        <v>"C:\Program Files (x86)\AstroGrep\AstroGrep.exe" /e /r /s /spath="%USERPROFILE%\AppData\Local\Temp\OnboardLogs" /stypes="app*4006*20170312*" /stext=" 00:.+((SYSTEM_STATE.+slice.+state.+changed )|(ment ac)|(multiple cpu faults)|(system.+state.+changed )|(\[timeout)|(PRM\|1\|D)|(kpr)|(kdp)|(\|lc)|(penalty))"</v>
      </c>
      <c r="AG123" s="1" t="str">
        <f t="shared" si="42"/>
        <v>EC</v>
      </c>
      <c r="AH123" s="86" t="str">
        <f t="shared" si="43"/>
        <v>"%USERPROFILE%\Documents\GitHub\eaglep3\Utilities\RefineRTDCRunTimes.py" --tripid 207-11 --locoid 4006 --swversion DE.1.0.9.0 --startMP 204:457 --initTime 2017-03-11T16:54:32 --startdatetime 2017-03-11T16:55:54 --delay 1 --endMP 204:233311 --enddatetime 2017-03-11T17:35:57 --enforcementcount 0 &gt;&gt;C:\Users\stu\Documents\GitHub\eaglep3-reporting\EC\2017-03-11-refined-times.txt</v>
      </c>
      <c r="AI123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{"issue":{"subject":"","project_id":79,"tracker_id":40,"status_id":1,"priority_id":2,"assigned_to_id":23,"start_date":"2017-03-11","description":"","custom_fields":[{"id":1,"name":"Subdivision","value":"EC"},{"id":4,"name":"Milepost","value":"23.3311"},{"id":17,"name":"Train ID","value":"207-11"},{"id":16,"name":"Locomotive ID","value":"4006"},{"id":130,"name":"Impact","value":""},{"id":150,"name":"Time of Event (Mountain Time)","value":"17:35:57"},{"id":151,"name":"Denver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5"/>
        <v>start /low /b %USERPROFILE%\Documents\GitHub\eaglep3\Utilities\DownloadLogsFromS3.py --loco 4006 --day 2017-03-11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"%USERPROFILE%\AppData\Local\Temp\OnboardLogs"\RTDC4006\*4006*20170312* | grep -SE "(Enforcement Action)|(\[TIMEOUT)|(CHR.+\|PRM\|1\|D.+(SWITCH|SIGNAL).+UNKNOWN)" - &gt;&gt; 2017-03-11-UncaughtWiMAX.txt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773</v>
      </c>
      <c r="B124" s="7">
        <v>4005</v>
      </c>
      <c r="C124" s="21" t="s">
        <v>240</v>
      </c>
      <c r="D124" s="21" t="s">
        <v>543</v>
      </c>
      <c r="E124" s="13">
        <v>42805.743472222224</v>
      </c>
      <c r="F124" s="13">
        <v>42805.744293981479</v>
      </c>
      <c r="G124" s="7">
        <v>1</v>
      </c>
      <c r="H124" s="21" t="s">
        <v>228</v>
      </c>
      <c r="I124" s="13">
        <v>42805.774467592593</v>
      </c>
      <c r="J124" s="7">
        <v>0</v>
      </c>
      <c r="K124" s="98" t="str">
        <f t="shared" si="30"/>
        <v>4005/4006</v>
      </c>
      <c r="L124" s="21" t="str">
        <f>VLOOKUP(A124,'Trips&amp;Operators'!$C$1:$G$99999,5,FALSE)</f>
        <v>HOLCOMB KAMDEN</v>
      </c>
      <c r="M124" s="6">
        <f t="shared" si="31"/>
        <v>3.0173611114150845E-2</v>
      </c>
      <c r="N124" s="7">
        <f t="shared" si="48"/>
        <v>43.450000004377216</v>
      </c>
      <c r="O124" s="7"/>
      <c r="P124" s="7"/>
      <c r="Q124" s="22"/>
      <c r="R124" s="22"/>
      <c r="S124" s="31">
        <f t="shared" si="49"/>
        <v>1</v>
      </c>
      <c r="T124" s="46" t="str">
        <f t="shared" si="32"/>
        <v>Southbound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33"/>
        <v>https://d0f6bd738d7f1b3e5a7ca70fe4ff75f0.us-east-1.aws.found.io/app/kibana#/discover/Steve-Slow-Train-Analysis-(2080s-and-2083s)?_g=(refreshInterval:(display:Off,pause:!f,section:0,value:0),time:(from:'2017-03-11T16:50:36-0700',mode:absolute,to:'2017-03-11T19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4" s="187" t="str">
        <f t="shared" si="34"/>
        <v>N</v>
      </c>
      <c r="X124" s="187">
        <f t="shared" si="50"/>
        <v>1</v>
      </c>
      <c r="Y124" s="62">
        <f t="shared" si="51"/>
        <v>23.2986</v>
      </c>
      <c r="Z124" s="62">
        <f t="shared" si="52"/>
        <v>1.41E-2</v>
      </c>
      <c r="AA124" s="62">
        <f t="shared" si="38"/>
        <v>23.284500000000001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9"/>
        <v>0208-11</v>
      </c>
      <c r="AE124" s="85" t="str">
        <f t="shared" si="40"/>
        <v>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 &amp; 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</v>
      </c>
      <c r="AF124" s="82" t="str">
        <f t="shared" si="41"/>
        <v>"C:\Program Files (x86)\AstroGrep\AstroGrep.exe" /e /r /s /spath="%USERPROFILE%\AppData\Local\Temp\OnboardLogs" /stypes="app*4005*20170312*" /stext=" 01:.+((SYSTEM_STATE.+slice.+state.+changed )|(ment ac)|(multiple cpu faults)|(system.+state.+changed )|(\[timeout)|(PRM\|1\|D)|(kpr)|(kdp)|(\|lc)|(penalty))"</v>
      </c>
      <c r="AG124" s="1" t="str">
        <f t="shared" si="42"/>
        <v>EC</v>
      </c>
      <c r="AH124" s="86" t="str">
        <f t="shared" si="43"/>
        <v>"%USERPROFILE%\Documents\GitHub\eaglep3\Utilities\RefineRTDCRunTimes.py" --tripid 208-11 --locoid 4005 --swversion DE.1.0.9.0 --startMP 204:232986 --initTime 2017-03-11T17:50:36 --startdatetime 2017-03-11T17:51:47 --delay 1 --endMP 204:141 --enddatetime 2017-03-11T18:35:14 --enforcementcount 0 &gt;&gt;C:\Users\stu\Documents\GitHub\eaglep3-reporting\EC\2017-03-11-refined-times.txt</v>
      </c>
      <c r="AI124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{"issue":{"subject":"","project_id":79,"tracker_id":40,"status_id":1,"priority_id":2,"assigned_to_id":23,"start_date":"2017-03-11","description":"","custom_fields":[{"id":1,"name":"Subdivision","value":"EC"},{"id":4,"name":"Milepost","value":"0.0141"},{"id":17,"name":"Train ID","value":"208-11"},{"id":16,"name":"Locomotive ID","value":"4005"},{"id":130,"name":"Impact","value":""},{"id":150,"name":"Time of Event (Mountain Time)","value":"18:35:14"},{"id":151,"name":"Denver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5"/>
        <v>start /low /b %USERPROFILE%\Documents\GitHub\eaglep3\Utilities\DownloadLogsFromS3.py --loco 4005 --day 2017-03-11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"%USERPROFILE%\AppData\Local\Temp\OnboardLogs"\RTDC4005\*4005*20170312* | grep -SE "(Enforcement Action)|(\[TIMEOUT)|(CHR.+\|PRM\|1\|D.+(SWITCH|SIGNAL).+UNKNOWN)" - &gt;&gt; 2017-03-11-UncaughtWiMAX.txt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765</v>
      </c>
      <c r="B125" s="7">
        <v>4029</v>
      </c>
      <c r="C125" s="21" t="s">
        <v>240</v>
      </c>
      <c r="D125" s="21" t="s">
        <v>939</v>
      </c>
      <c r="E125" s="13">
        <v>42805.714432870373</v>
      </c>
      <c r="F125" s="13">
        <v>42805.715381944443</v>
      </c>
      <c r="G125" s="7">
        <v>1</v>
      </c>
      <c r="H125" s="21" t="s">
        <v>940</v>
      </c>
      <c r="I125" s="13">
        <v>42805.743923611109</v>
      </c>
      <c r="J125" s="7">
        <v>0</v>
      </c>
      <c r="K125" s="98" t="str">
        <f t="shared" si="30"/>
        <v>4029/4030</v>
      </c>
      <c r="L125" s="21" t="str">
        <f>VLOOKUP(A125,'Trips&amp;Operators'!$C$1:$G$99999,5,FALSE)</f>
        <v>LEVIN SCOTT</v>
      </c>
      <c r="M125" s="6">
        <f t="shared" si="31"/>
        <v>2.8541666666569654E-2</v>
      </c>
      <c r="N125" s="7">
        <f t="shared" si="48"/>
        <v>41.099999999860302</v>
      </c>
      <c r="O125" s="7"/>
      <c r="P125" s="7"/>
      <c r="Q125" s="22"/>
      <c r="R125" s="22"/>
      <c r="S125" s="31">
        <f t="shared" si="49"/>
        <v>1</v>
      </c>
      <c r="T125" s="46" t="str">
        <f t="shared" si="32"/>
        <v>NorthBound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33"/>
        <v>https://d0f6bd738d7f1b3e5a7ca70fe4ff75f0.us-east-1.aws.found.io/app/kibana#/discover/Steve-Slow-Train-Analysis-(2080s-and-2083s)?_g=(refreshInterval:(display:Off,pause:!f,section:0,value:0),time:(from:'2017-03-11T16:08:47-0700',mode:absolute,to:'2017-03-11T18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5" s="187" t="str">
        <f t="shared" si="34"/>
        <v>N</v>
      </c>
      <c r="X125" s="187">
        <f t="shared" si="50"/>
        <v>1</v>
      </c>
      <c r="Y125" s="62">
        <f t="shared" si="51"/>
        <v>4.2700000000000002E-2</v>
      </c>
      <c r="Z125" s="62">
        <f t="shared" si="52"/>
        <v>23.3385</v>
      </c>
      <c r="AA125" s="62">
        <f t="shared" si="38"/>
        <v>23.2958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9"/>
        <v>0209-11</v>
      </c>
      <c r="AE125" s="85" t="str">
        <f t="shared" si="40"/>
        <v>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 &amp; aws s3 cp s3://rtdc.mdm.uploadarchive.raw/RTDC4029/ "%USERPROFILE%\AppData\Local\Temp\OnboardLogs"\RTDC4029\2017-03-12 --exclude "*" --recursive --include "*20170312*" &amp; "%USERPROFILE%\Documents\GitHub\mrs-test-scripts\Headless Mode &amp; Sideloading\WalkAndUnGZ.bat" "%USERPROFILE%\AppData\Local\Temp\OnboardLogs"\RTDC4029\2017-03-12</v>
      </c>
      <c r="AF125" s="82" t="str">
        <f t="shared" si="41"/>
        <v>"C:\Program Files (x86)\AstroGrep\AstroGrep.exe" /e /r /s /spath="%USERPROFILE%\AppData\Local\Temp\OnboardLogs" /stypes="app*4029*20170312*" /stext=" 00:.+((SYSTEM_STATE.+slice.+state.+changed )|(ment ac)|(multiple cpu faults)|(system.+state.+changed )|(\[timeout)|(PRM\|1\|D)|(kpr)|(kdp)|(\|lc)|(penalty))"</v>
      </c>
      <c r="AG125" s="1" t="str">
        <f t="shared" si="42"/>
        <v>EC</v>
      </c>
      <c r="AH125" s="86" t="str">
        <f t="shared" si="43"/>
        <v>"%USERPROFILE%\Documents\GitHub\eaglep3\Utilities\RefineRTDCRunTimes.py" --tripid 209-11 --locoid 4029 --swversion DE.1.0.9.0 --startMP 204:427 --initTime 2017-03-11T17:08:47 --startdatetime 2017-03-11T17:10:09 --delay 1 --endMP 204:233385 --enddatetime 2017-03-11T17:51:15 --enforcementcount 0 &gt;&gt;C:\Users\stu\Documents\GitHub\eaglep3-reporting\EC\2017-03-11-refined-times.txt</v>
      </c>
      <c r="AI125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{"issue":{"subject":"","project_id":79,"tracker_id":40,"status_id":1,"priority_id":2,"assigned_to_id":23,"start_date":"2017-03-11","description":"","custom_fields":[{"id":1,"name":"Subdivision","value":"EC"},{"id":4,"name":"Milepost","value":"23.3385"},{"id":17,"name":"Train ID","value":"209-11"},{"id":16,"name":"Locomotive ID","value":"4029"},{"id":130,"name":"Impact","value":""},{"id":150,"name":"Time of Event (Mountain Time)","value":"17:51:15"},{"id":151,"name":"Denver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5"/>
        <v>start /low /b %USERPROFILE%\Documents\GitHub\eaglep3\Utilities\DownloadLogsFromS3.py --loco 4029 --day 2017-03-11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"%USERPROFILE%\AppData\Local\Temp\OnboardLogs"\RTDC4029\*4029*20170312* | grep -SE "(Enforcement Action)|(\[TIMEOUT)|(CHR.+\|PRM\|1\|D.+(SWITCH|SIGNAL).+UNKNOWN)" - &gt;&gt; 2017-03-11-UncaughtWiMAX.txt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607</v>
      </c>
      <c r="B126" s="7">
        <v>4030</v>
      </c>
      <c r="C126" s="21" t="s">
        <v>240</v>
      </c>
      <c r="D126" s="21" t="s">
        <v>941</v>
      </c>
      <c r="E126" s="13">
        <v>42805.753530092596</v>
      </c>
      <c r="F126" s="13">
        <v>42805.754930555559</v>
      </c>
      <c r="G126" s="7">
        <v>2</v>
      </c>
      <c r="H126" s="21" t="s">
        <v>552</v>
      </c>
      <c r="I126" s="13">
        <v>42805.785520833335</v>
      </c>
      <c r="J126" s="7">
        <v>0</v>
      </c>
      <c r="K126" s="98" t="str">
        <f t="shared" si="30"/>
        <v>4029/4030</v>
      </c>
      <c r="L126" s="21" t="str">
        <f>VLOOKUP(A126,'Trips&amp;Operators'!$C$1:$G$99999,5,FALSE)</f>
        <v>LEVIN SCOTT</v>
      </c>
      <c r="M126" s="6">
        <f t="shared" si="31"/>
        <v>3.0590277776354924E-2</v>
      </c>
      <c r="N126" s="7">
        <f t="shared" si="48"/>
        <v>44.04999999795109</v>
      </c>
      <c r="O126" s="7"/>
      <c r="P126" s="7"/>
      <c r="Q126" s="22"/>
      <c r="R126" s="22"/>
      <c r="S126" s="31">
        <f t="shared" si="49"/>
        <v>1</v>
      </c>
      <c r="T126" s="46" t="str">
        <f t="shared" si="32"/>
        <v>Southbound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33"/>
        <v>https://d0f6bd738d7f1b3e5a7ca70fe4ff75f0.us-east-1.aws.found.io/app/kibana#/discover/Steve-Slow-Train-Analysis-(2080s-and-2083s)?_g=(refreshInterval:(display:Off,pause:!f,section:0,value:0),time:(from:'2017-03-11T17:05:05-0700',mode:absolute,to:'2017-03-11T19:51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6" s="187" t="str">
        <f t="shared" si="34"/>
        <v>N</v>
      </c>
      <c r="X126" s="187">
        <f t="shared" si="50"/>
        <v>1</v>
      </c>
      <c r="Y126" s="62">
        <f t="shared" si="51"/>
        <v>23.3062</v>
      </c>
      <c r="Z126" s="62">
        <f t="shared" si="52"/>
        <v>1.29E-2</v>
      </c>
      <c r="AA126" s="62">
        <f t="shared" si="38"/>
        <v>23.293300000000002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9"/>
        <v>0210-11</v>
      </c>
      <c r="AE126" s="85" t="str">
        <f t="shared" si="40"/>
        <v>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 &amp; aws s3 cp s3://rtdc.mdm.uploadarchive.raw/RTDC4030/ "%USERPROFILE%\AppData\Local\Temp\OnboardLogs"\RTDC4030\2017-03-12 --exclude "*" --recursive --include "*20170312*" &amp; "%USERPROFILE%\Documents\GitHub\mrs-test-scripts\Headless Mode &amp; Sideloading\WalkAndUnGZ.bat" "%USERPROFILE%\AppData\Local\Temp\OnboardLogs"\RTDC4030\2017-03-12</v>
      </c>
      <c r="AF126" s="82" t="str">
        <f t="shared" si="41"/>
        <v>"C:\Program Files (x86)\AstroGrep\AstroGrep.exe" /e /r /s /spath="%USERPROFILE%\AppData\Local\Temp\OnboardLogs" /stypes="app*4030*20170312*" /stext=" 01:.+((SYSTEM_STATE.+slice.+state.+changed )|(ment ac)|(multiple cpu faults)|(system.+state.+changed )|(\[timeout)|(PRM\|1\|D)|(kpr)|(kdp)|(\|lc)|(penalty))"</v>
      </c>
      <c r="AG126" s="1" t="str">
        <f t="shared" si="42"/>
        <v>EC</v>
      </c>
      <c r="AH126" s="86" t="str">
        <f t="shared" si="43"/>
        <v>"%USERPROFILE%\Documents\GitHub\eaglep3\Utilities\RefineRTDCRunTimes.py" --tripid 210-11 --locoid 4030 --swversion DE.1.0.9.0 --startMP 204:233062 --initTime 2017-03-11T18:05:05 --startdatetime 2017-03-11T18:07:06 --delay 2 --endMP 204:129 --enddatetime 2017-03-11T18:51:09 --enforcementcount 0 &gt;&gt;C:\Users\stu\Documents\GitHub\eaglep3-reporting\EC\2017-03-11-refined-times.txt</v>
      </c>
      <c r="AI126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{"issue":{"subject":"","project_id":79,"tracker_id":40,"status_id":1,"priority_id":2,"assigned_to_id":23,"start_date":"2017-03-11","description":"","custom_fields":[{"id":1,"name":"Subdivision","value":"EC"},{"id":4,"name":"Milepost","value":"0.0129"},{"id":17,"name":"Train ID","value":"210-11"},{"id":16,"name":"Locomotive ID","value":"4030"},{"id":130,"name":"Impact","value":""},{"id":150,"name":"Time of Event (Mountain Time)","value":"18:51:09"},{"id":151,"name":"Denver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5"/>
        <v>start /low /b %USERPROFILE%\Documents\GitHub\eaglep3\Utilities\DownloadLogsFromS3.py --loco 4030 --day 2017-03-11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"%USERPROFILE%\AppData\Local\Temp\OnboardLogs"\RTDC4030\*4030*20170312* | grep -SE "(Enforcement Action)|(\[TIMEOUT)|(CHR.+\|PRM\|1\|D.+(SWITCH|SIGNAL).+UNKNOWN)" - &gt;&gt; 2017-03-11-UncaughtWiMAX.txt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769</v>
      </c>
      <c r="B127" s="7">
        <v>4044</v>
      </c>
      <c r="C127" s="21" t="s">
        <v>240</v>
      </c>
      <c r="D127" s="21" t="s">
        <v>229</v>
      </c>
      <c r="E127" s="13">
        <v>42805.724988425929</v>
      </c>
      <c r="F127" s="13">
        <v>42805.726863425924</v>
      </c>
      <c r="G127" s="7">
        <v>2</v>
      </c>
      <c r="H127" s="21" t="s">
        <v>942</v>
      </c>
      <c r="I127" s="13">
        <v>42805.754317129627</v>
      </c>
      <c r="J127" s="7">
        <v>0</v>
      </c>
      <c r="K127" s="98" t="str">
        <f t="shared" si="30"/>
        <v>4043/4044</v>
      </c>
      <c r="L127" s="21" t="str">
        <f>VLOOKUP(A127,'Trips&amp;Operators'!$C$1:$G$99999,5,FALSE)</f>
        <v>ROMERO CHAD</v>
      </c>
      <c r="M127" s="6">
        <f t="shared" si="31"/>
        <v>2.7453703703940846E-2</v>
      </c>
      <c r="N127" s="7">
        <f t="shared" ref="N127:N159" si="53">24*60*SUM($M127:$M127)</f>
        <v>39.533333333674818</v>
      </c>
      <c r="O127" s="7"/>
      <c r="P127" s="7"/>
      <c r="Q127" s="22"/>
      <c r="R127" s="22"/>
      <c r="S127" s="31">
        <f t="shared" ref="S127:S158" si="54">SUM(U127:U127)/IF(AG127="EC",12,1)</f>
        <v>1</v>
      </c>
      <c r="T127" s="46" t="str">
        <f t="shared" si="32"/>
        <v>NorthBound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33"/>
        <v>https://d0f6bd738d7f1b3e5a7ca70fe4ff75f0.us-east-1.aws.found.io/app/kibana#/discover/Steve-Slow-Train-Analysis-(2080s-and-2083s)?_g=(refreshInterval:(display:Off,pause:!f,section:0,value:0),time:(from:'2017-03-11T16:23:59-0700',mode:absolute,to:'2017-03-11T19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7" s="187" t="str">
        <f t="shared" si="34"/>
        <v>N</v>
      </c>
      <c r="X127" s="187">
        <f t="shared" si="50"/>
        <v>1</v>
      </c>
      <c r="Y127" s="62">
        <f t="shared" si="51"/>
        <v>4.3999999999999997E-2</v>
      </c>
      <c r="Z127" s="62">
        <f t="shared" si="52"/>
        <v>23.341799999999999</v>
      </c>
      <c r="AA127" s="62">
        <f t="shared" si="38"/>
        <v>23.297799999999999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9"/>
        <v>0211-11</v>
      </c>
      <c r="AE127" s="85" t="str">
        <f t="shared" si="40"/>
        <v>aws s3 cp s3://rtdc.mdm.uploadarchive.raw/RTDC4044/ "%USERPROFILE%\AppData\Local\Temp\OnboardLogs"\RTDC4044\2017-03-11 --exclude "*" --recursive --include "*20170311*" &amp; "%USERPROFILE%\Documents\GitHub\mrs-test-scripts\Headless Mode &amp; Sideloading\WalkAndUnGZ.bat" "%USERPROFILE%\AppData\Local\Temp\OnboardLogs"\RTDC4044\2017-03-11 &amp; aws s3 cp s3://rtdc.mdm.uploadarchive.raw/RTDC4044/ "%USERPROFILE%\AppData\Local\Temp\OnboardLogs"\RTDC4044\2017-03-12 --exclude "*" --recursive --include "*20170312*" &amp; "%USERPROFILE%\Documents\GitHub\mrs-test-scripts\Headless Mode &amp; Sideloading\WalkAndUnGZ.bat" "%USERPROFILE%\AppData\Local\Temp\OnboardLogs"\RTDC4044\2017-03-12</v>
      </c>
      <c r="AF127" s="82" t="str">
        <f t="shared" si="41"/>
        <v>"C:\Program Files (x86)\AstroGrep\AstroGrep.exe" /e /r /s /spath="%USERPROFILE%\AppData\Local\Temp\OnboardLogs" /stypes="app*4044*20170312*" /stext=" 01:.+((SYSTEM_STATE.+slice.+state.+changed )|(ment ac)|(multiple cpu faults)|(system.+state.+changed )|(\[timeout)|(PRM\|1\|D)|(kpr)|(kdp)|(\|lc)|(penalty))"</v>
      </c>
      <c r="AG127" s="1" t="str">
        <f t="shared" si="42"/>
        <v>EC</v>
      </c>
      <c r="AH127" s="86" t="str">
        <f t="shared" si="43"/>
        <v>"%USERPROFILE%\Documents\GitHub\eaglep3\Utilities\RefineRTDCRunTimes.py" --tripid 211-11 --locoid 4044 --swversion DE.1.0.9.0 --startMP 204:440 --initTime 2017-03-11T17:23:59 --startdatetime 2017-03-11T17:26:41 --delay 2 --endMP 204:233418 --enddatetime 2017-03-11T18:06:13 --enforcementcount 0 &gt;&gt;C:\Users\stu\Documents\GitHub\eaglep3-reporting\EC\2017-03-11-refined-times.txt</v>
      </c>
      <c r="AI127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{"issue":{"subject":"","project_id":79,"tracker_id":40,"status_id":1,"priority_id":2,"assigned_to_id":23,"start_date":"2017-03-11","description":"","custom_fields":[{"id":1,"name":"Subdivision","value":"EC"},{"id":4,"name":"Milepost","value":"23.3418"},{"id":17,"name":"Train ID","value":"211-11"},{"id":16,"name":"Locomotive ID","value":"4044"},{"id":130,"name":"Impact","value":""},{"id":150,"name":"Time of Event (Mountain Time)","value":"18:06:13"},{"id":151,"name":"Denver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5"/>
        <v>start /low /b %USERPROFILE%\Documents\GitHub\eaglep3\Utilities\DownloadLogsFromS3.py --loco 4044 --day 2017-03-11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"%USERPROFILE%\AppData\Local\Temp\OnboardLogs"\RTDC4044\*4044*20170312* | grep -SE "(Enforcement Action)|(\[TIMEOUT)|(CHR.+\|PRM\|1\|D.+(SWITCH|SIGNAL).+UNKNOWN)" - &gt;&gt; 2017-03-11-UncaughtWiMAX.txt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780</v>
      </c>
      <c r="B128" s="7">
        <v>4043</v>
      </c>
      <c r="C128" s="21" t="s">
        <v>240</v>
      </c>
      <c r="D128" s="21" t="s">
        <v>943</v>
      </c>
      <c r="E128" s="13">
        <v>42805.75885416667</v>
      </c>
      <c r="F128" s="13">
        <v>42805.75990740741</v>
      </c>
      <c r="G128" s="7">
        <v>1</v>
      </c>
      <c r="H128" s="21" t="s">
        <v>944</v>
      </c>
      <c r="I128" s="13">
        <v>42805.794259259259</v>
      </c>
      <c r="J128" s="7">
        <v>0</v>
      </c>
      <c r="K128" s="98" t="str">
        <f t="shared" si="30"/>
        <v>4043/4044</v>
      </c>
      <c r="L128" s="21" t="str">
        <f>VLOOKUP(A128,'Trips&amp;Operators'!$C$1:$G$99999,5,FALSE)</f>
        <v>ROMERO CHAD</v>
      </c>
      <c r="M128" s="6">
        <f t="shared" si="31"/>
        <v>3.4351851849351078E-2</v>
      </c>
      <c r="N128" s="7">
        <f t="shared" si="53"/>
        <v>49.466666663065553</v>
      </c>
      <c r="O128" s="7"/>
      <c r="P128" s="7"/>
      <c r="Q128" s="22"/>
      <c r="R128" s="22"/>
      <c r="S128" s="31">
        <f t="shared" si="54"/>
        <v>1</v>
      </c>
      <c r="T128" s="46" t="str">
        <f t="shared" si="32"/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33"/>
        <v>https://d0f6bd738d7f1b3e5a7ca70fe4ff75f0.us-east-1.aws.found.io/app/kibana#/discover/Steve-Slow-Train-Analysis-(2080s-and-2083s)?_g=(refreshInterval:(display:Off,pause:!f,section:0,value:0),time:(from:'2017-03-11T17:12:45-0700',mode:absolute,to:'2017-03-11T20:03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8" s="187" t="str">
        <f t="shared" si="34"/>
        <v>N</v>
      </c>
      <c r="X128" s="187">
        <f t="shared" si="50"/>
        <v>1</v>
      </c>
      <c r="Y128" s="62">
        <f t="shared" si="51"/>
        <v>23.309899999999999</v>
      </c>
      <c r="Z128" s="62">
        <f t="shared" si="52"/>
        <v>1.32E-2</v>
      </c>
      <c r="AA128" s="62">
        <f t="shared" si="38"/>
        <v>23.296699999999998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9"/>
        <v>0212-11</v>
      </c>
      <c r="AE128" s="85" t="str">
        <f t="shared" si="40"/>
        <v>aws s3 cp s3://rtdc.mdm.uploadarchive.raw/RTDC4043/ "%USERPROFILE%\AppData\Local\Temp\OnboardLogs"\RTDC4043\2017-03-11 --exclude "*" --recursive --include "*20170311*" &amp; "%USERPROFILE%\Documents\GitHub\mrs-test-scripts\Headless Mode &amp; Sideloading\WalkAndUnGZ.bat" "%USERPROFILE%\AppData\Local\Temp\OnboardLogs"\RTDC4043\2017-03-11 &amp; aws s3 cp s3://rtdc.mdm.uploadarchive.raw/RTDC4043/ "%USERPROFILE%\AppData\Local\Temp\OnboardLogs"\RTDC4043\2017-03-12 --exclude "*" --recursive --include "*20170312*" &amp; "%USERPROFILE%\Documents\GitHub\mrs-test-scripts\Headless Mode &amp; Sideloading\WalkAndUnGZ.bat" "%USERPROFILE%\AppData\Local\Temp\OnboardLogs"\RTDC4043\2017-03-12</v>
      </c>
      <c r="AF128" s="82" t="str">
        <f t="shared" si="41"/>
        <v>"C:\Program Files (x86)\AstroGrep\AstroGrep.exe" /e /r /s /spath="%USERPROFILE%\AppData\Local\Temp\OnboardLogs" /stypes="app*4043*20170312*" /stext=" 02:.+((SYSTEM_STATE.+slice.+state.+changed )|(ment ac)|(multiple cpu faults)|(system.+state.+changed )|(\[timeout)|(PRM\|1\|D)|(kpr)|(kdp)|(\|lc)|(penalty))"</v>
      </c>
      <c r="AG128" s="1" t="str">
        <f t="shared" si="42"/>
        <v>EC</v>
      </c>
      <c r="AH128" s="86" t="str">
        <f t="shared" si="43"/>
        <v>"%USERPROFILE%\Documents\GitHub\eaglep3\Utilities\RefineRTDCRunTimes.py" --tripid 212-11 --locoid 4043 --swversion DE.1.0.9.0 --startMP 204:233099 --initTime 2017-03-11T18:12:45 --startdatetime 2017-03-11T18:14:16 --delay 1 --endMP 204:132 --enddatetime 2017-03-11T19:03:44 --enforcementcount 0 &gt;&gt;C:\Users\stu\Documents\GitHub\eaglep3-reporting\EC\2017-03-11-refined-times.txt</v>
      </c>
      <c r="AI128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{"issue":{"subject":"","project_id":79,"tracker_id":40,"status_id":1,"priority_id":2,"assigned_to_id":23,"start_date":"2017-03-11","description":"","custom_fields":[{"id":1,"name":"Subdivision","value":"EC"},{"id":4,"name":"Milepost","value":"0.0132"},{"id":17,"name":"Train ID","value":"212-11"},{"id":16,"name":"Locomotive ID","value":"4043"},{"id":130,"name":"Impact","value":""},{"id":150,"name":"Time of Event (Mountain Time)","value":"19:03:44"},{"id":151,"name":"Denver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5"/>
        <v>start /low /b %USERPROFILE%\Documents\GitHub\eaglep3\Utilities\DownloadLogsFromS3.py --loco 4043 --day 2017-03-11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"%USERPROFILE%\AppData\Local\Temp\OnboardLogs"\RTDC4043\*4043*20170312* | grep -SE "(Enforcement Action)|(\[TIMEOUT)|(CHR.+\|PRM\|1\|D.+(SWITCH|SIGNAL).+UNKNOWN)" - &gt;&gt; 2017-03-11-UncaughtWiMAX.txt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772</v>
      </c>
      <c r="B129" s="7">
        <v>4014</v>
      </c>
      <c r="C129" s="21" t="s">
        <v>240</v>
      </c>
      <c r="D129" s="21" t="s">
        <v>547</v>
      </c>
      <c r="E129" s="13">
        <v>42805.737870370373</v>
      </c>
      <c r="F129" s="13">
        <v>42805.739016203705</v>
      </c>
      <c r="G129" s="7">
        <v>1</v>
      </c>
      <c r="H129" s="21" t="s">
        <v>945</v>
      </c>
      <c r="I129" s="13">
        <v>42805.766006944446</v>
      </c>
      <c r="J129" s="7">
        <v>0</v>
      </c>
      <c r="K129" s="98" t="str">
        <f t="shared" si="30"/>
        <v>4013/4014</v>
      </c>
      <c r="L129" s="21" t="str">
        <f>VLOOKUP(A129,'Trips&amp;Operators'!$C$1:$G$99999,5,FALSE)</f>
        <v>SMITH MICHAEL</v>
      </c>
      <c r="M129" s="6">
        <f t="shared" si="31"/>
        <v>2.6990740741894115E-2</v>
      </c>
      <c r="N129" s="7">
        <f t="shared" si="53"/>
        <v>38.866666668327525</v>
      </c>
      <c r="O129" s="7"/>
      <c r="P129" s="7"/>
      <c r="Q129" s="22"/>
      <c r="R129" s="22"/>
      <c r="S129" s="31">
        <f t="shared" si="54"/>
        <v>1</v>
      </c>
      <c r="T129" s="46" t="str">
        <f t="shared" si="32"/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33"/>
        <v>https://d0f6bd738d7f1b3e5a7ca70fe4ff75f0.us-east-1.aws.found.io/app/kibana#/discover/Steve-Slow-Train-Analysis-(2080s-and-2083s)?_g=(refreshInterval:(display:Off,pause:!f,section:0,value:0),time:(from:'2017-03-11T16:42:32-0700',mode:absolute,to:'2017-03-11T19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9" s="187" t="str">
        <f t="shared" si="34"/>
        <v>N</v>
      </c>
      <c r="X129" s="187">
        <f t="shared" si="50"/>
        <v>1</v>
      </c>
      <c r="Y129" s="62">
        <f t="shared" si="51"/>
        <v>4.8000000000000001E-2</v>
      </c>
      <c r="Z129" s="62">
        <f t="shared" si="52"/>
        <v>23.325299999999999</v>
      </c>
      <c r="AA129" s="62">
        <f t="shared" si="38"/>
        <v>23.2773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9"/>
        <v>0213-11</v>
      </c>
      <c r="AE129" s="85" t="str">
        <f t="shared" si="40"/>
        <v>aws s3 cp s3://rtdc.mdm.uploadarchive.raw/RTDC4014/ "%USERPROFILE%\AppData\Local\Temp\OnboardLogs"\RTDC4014\2017-03-11 --exclude "*" --recursive --include "*20170311*" &amp; "%USERPROFILE%\Documents\GitHub\mrs-test-scripts\Headless Mode &amp; Sideloading\WalkAndUnGZ.bat" "%USERPROFILE%\AppData\Local\Temp\OnboardLogs"\RTDC4014\2017-03-11 &amp; aws s3 cp s3://rtdc.mdm.uploadarchive.raw/RTDC4014/ "%USERPROFILE%\AppData\Local\Temp\OnboardLogs"\RTDC4014\2017-03-12 --exclude "*" --recursive --include "*20170312*" &amp; "%USERPROFILE%\Documents\GitHub\mrs-test-scripts\Headless Mode &amp; Sideloading\WalkAndUnGZ.bat" "%USERPROFILE%\AppData\Local\Temp\OnboardLogs"\RTDC4014\2017-03-12</v>
      </c>
      <c r="AF129" s="82" t="str">
        <f t="shared" si="41"/>
        <v>"C:\Program Files (x86)\AstroGrep\AstroGrep.exe" /e /r /s /spath="%USERPROFILE%\AppData\Local\Temp\OnboardLogs" /stypes="app*4014*20170312*" /stext=" 01:.+((SYSTEM_STATE.+slice.+state.+changed )|(ment ac)|(multiple cpu faults)|(system.+state.+changed )|(\[timeout)|(PRM\|1\|D)|(kpr)|(kdp)|(\|lc)|(penalty))"</v>
      </c>
      <c r="AG129" s="1" t="str">
        <f t="shared" si="42"/>
        <v>EC</v>
      </c>
      <c r="AH129" s="86" t="str">
        <f t="shared" si="43"/>
        <v>"%USERPROFILE%\Documents\GitHub\eaglep3\Utilities\RefineRTDCRunTimes.py" --tripid 213-11 --locoid 4014 --swversion DE.1.0.9.0 --startMP 204:480 --initTime 2017-03-11T17:42:32 --startdatetime 2017-03-11T17:44:11 --delay 1 --endMP 204:233253 --enddatetime 2017-03-11T18:23:03 --enforcementcount 0 &gt;&gt;C:\Users\stu\Documents\GitHub\eaglep3-reporting\EC\2017-03-11-refined-times.txt</v>
      </c>
      <c r="AI129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{"issue":{"subject":"","project_id":79,"tracker_id":40,"status_id":1,"priority_id":2,"assigned_to_id":23,"start_date":"2017-03-11","description":"","custom_fields":[{"id":1,"name":"Subdivision","value":"EC"},{"id":4,"name":"Milepost","value":"23.3253"},{"id":17,"name":"Train ID","value":"213-11"},{"id":16,"name":"Locomotive ID","value":"4014"},{"id":130,"name":"Impact","value":""},{"id":150,"name":"Time of Event (Mountain Time)","value":"18:23:03"},{"id":151,"name":"Denver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5"/>
        <v>start /low /b %USERPROFILE%\Documents\GitHub\eaglep3\Utilities\DownloadLogsFromS3.py --loco 4014 --day 2017-03-11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"%USERPROFILE%\AppData\Local\Temp\OnboardLogs"\RTDC4014\*4014*20170312* | grep -SE "(Enforcement Action)|(\[TIMEOUT)|(CHR.+\|PRM\|1\|D.+(SWITCH|SIGNAL).+UNKNOWN)" - &gt;&gt; 2017-03-11-UncaughtWiMAX.txt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782</v>
      </c>
      <c r="B130" s="7">
        <v>4013</v>
      </c>
      <c r="C130" s="21" t="s">
        <v>240</v>
      </c>
      <c r="D130" s="21" t="s">
        <v>539</v>
      </c>
      <c r="E130" s="13">
        <v>42805.769594907404</v>
      </c>
      <c r="F130" s="13">
        <v>42805.770567129628</v>
      </c>
      <c r="G130" s="7">
        <v>1</v>
      </c>
      <c r="H130" s="21" t="s">
        <v>946</v>
      </c>
      <c r="I130" s="13">
        <v>42805.807256944441</v>
      </c>
      <c r="J130" s="7">
        <v>0</v>
      </c>
      <c r="K130" s="98" t="str">
        <f t="shared" si="30"/>
        <v>4013/4014</v>
      </c>
      <c r="L130" s="21" t="str">
        <f>VLOOKUP(A130,'Trips&amp;Operators'!$C$1:$G$99999,5,FALSE)</f>
        <v>SMITH MICHAEL</v>
      </c>
      <c r="M130" s="6">
        <f t="shared" si="31"/>
        <v>3.6689814813144039E-2</v>
      </c>
      <c r="N130" s="7">
        <f t="shared" si="53"/>
        <v>52.833333330927417</v>
      </c>
      <c r="O130" s="7"/>
      <c r="P130" s="7"/>
      <c r="Q130" s="22"/>
      <c r="R130" s="22"/>
      <c r="S130" s="31">
        <f t="shared" si="54"/>
        <v>1</v>
      </c>
      <c r="T130" s="46" t="str">
        <f t="shared" si="32"/>
        <v>Southbound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33"/>
        <v>https://d0f6bd738d7f1b3e5a7ca70fe4ff75f0.us-east-1.aws.found.io/app/kibana#/discover/Steve-Slow-Train-Analysis-(2080s-and-2083s)?_g=(refreshInterval:(display:Off,pause:!f,section:0,value:0),time:(from:'2017-03-11T17:28:13-0700',mode:absolute,to:'2017-03-11T20:22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0" s="187" t="str">
        <f t="shared" si="34"/>
        <v>N</v>
      </c>
      <c r="X130" s="187">
        <f t="shared" si="50"/>
        <v>1</v>
      </c>
      <c r="Y130" s="62">
        <f t="shared" si="51"/>
        <v>23.2972</v>
      </c>
      <c r="Z130" s="62">
        <f t="shared" si="52"/>
        <v>1.1900000000000001E-2</v>
      </c>
      <c r="AA130" s="62">
        <f t="shared" si="38"/>
        <v>23.285299999999999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9"/>
        <v>0214-11</v>
      </c>
      <c r="AE130" s="85" t="str">
        <f t="shared" si="40"/>
        <v>aws s3 cp s3://rtdc.mdm.uploadarchive.raw/RTDC4013/ "%USERPROFILE%\AppData\Local\Temp\OnboardLogs"\RTDC4013\2017-03-11 --exclude "*" --recursive --include "*20170311*" &amp; "%USERPROFILE%\Documents\GitHub\mrs-test-scripts\Headless Mode &amp; Sideloading\WalkAndUnGZ.bat" "%USERPROFILE%\AppData\Local\Temp\OnboardLogs"\RTDC4013\2017-03-11 &amp; aws s3 cp s3://rtdc.mdm.uploadarchive.raw/RTDC4013/ "%USERPROFILE%\AppData\Local\Temp\OnboardLogs"\RTDC4013\2017-03-12 --exclude "*" --recursive --include "*20170312*" &amp; "%USERPROFILE%\Documents\GitHub\mrs-test-scripts\Headless Mode &amp; Sideloading\WalkAndUnGZ.bat" "%USERPROFILE%\AppData\Local\Temp\OnboardLogs"\RTDC4013\2017-03-12</v>
      </c>
      <c r="AF130" s="82" t="str">
        <f t="shared" si="41"/>
        <v>"C:\Program Files (x86)\AstroGrep\AstroGrep.exe" /e /r /s /spath="%USERPROFILE%\AppData\Local\Temp\OnboardLogs" /stypes="app*4013*20170312*" /stext=" 02:.+((SYSTEM_STATE.+slice.+state.+changed )|(ment ac)|(multiple cpu faults)|(system.+state.+changed )|(\[timeout)|(PRM\|1\|D)|(kpr)|(kdp)|(\|lc)|(penalty))"</v>
      </c>
      <c r="AG130" s="1" t="str">
        <f t="shared" si="42"/>
        <v>EC</v>
      </c>
      <c r="AH130" s="86" t="str">
        <f t="shared" si="43"/>
        <v>"%USERPROFILE%\Documents\GitHub\eaglep3\Utilities\RefineRTDCRunTimes.py" --tripid 214-11 --locoid 4013 --swversion DE.1.0.9.0 --startMP 204:232972 --initTime 2017-03-11T18:28:13 --startdatetime 2017-03-11T18:29:37 --delay 1 --endMP 204:119 --enddatetime 2017-03-11T19:22:27 --enforcementcount 0 &gt;&gt;C:\Users\stu\Documents\GitHub\eaglep3-reporting\EC\2017-03-11-refined-times.txt</v>
      </c>
      <c r="AI130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{"issue":{"subject":"","project_id":79,"tracker_id":40,"status_id":1,"priority_id":2,"assigned_to_id":23,"start_date":"2017-03-11","description":"","custom_fields":[{"id":1,"name":"Subdivision","value":"EC"},{"id":4,"name":"Milepost","value":"0.0119"},{"id":17,"name":"Train ID","value":"214-11"},{"id":16,"name":"Locomotive ID","value":"4013"},{"id":130,"name":"Impact","value":""},{"id":150,"name":"Time of Event (Mountain Time)","value":"19:22:27"},{"id":151,"name":"Denver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5"/>
        <v>start /low /b %USERPROFILE%\Documents\GitHub\eaglep3\Utilities\DownloadLogsFromS3.py --loco 4013 --day 2017-03-11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"%USERPROFILE%\AppData\Local\Temp\OnboardLogs"\RTDC4013\*4013*20170312* | grep -SE "(Enforcement Action)|(\[TIMEOUT)|(CHR.+\|PRM\|1\|D.+(SWITCH|SIGNAL).+UNKNOWN)" - &gt;&gt; 2017-03-11-UncaughtWiMAX.txt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777</v>
      </c>
      <c r="B131" s="7">
        <v>4009</v>
      </c>
      <c r="C131" s="21" t="s">
        <v>240</v>
      </c>
      <c r="D131" s="21" t="s">
        <v>235</v>
      </c>
      <c r="E131" s="13">
        <v>42805.74627314815</v>
      </c>
      <c r="F131" s="13">
        <v>42805.747835648152</v>
      </c>
      <c r="G131" s="7">
        <v>2</v>
      </c>
      <c r="H131" s="21" t="s">
        <v>947</v>
      </c>
      <c r="I131" s="13">
        <v>42805.774837962963</v>
      </c>
      <c r="J131" s="7">
        <v>0</v>
      </c>
      <c r="K131" s="98" t="str">
        <f t="shared" si="30"/>
        <v>4009/4010</v>
      </c>
      <c r="L131" s="21" t="str">
        <f>VLOOKUP(A131,'Trips&amp;Operators'!$C$1:$G$99999,5,FALSE)</f>
        <v>LALONDE GREGORY</v>
      </c>
      <c r="M131" s="6">
        <f t="shared" si="31"/>
        <v>2.700231481139781E-2</v>
      </c>
      <c r="N131" s="7">
        <f t="shared" si="53"/>
        <v>38.883333328412846</v>
      </c>
      <c r="O131" s="7"/>
      <c r="P131" s="7"/>
      <c r="Q131" s="22"/>
      <c r="R131" s="22"/>
      <c r="S131" s="31">
        <f t="shared" si="54"/>
        <v>1</v>
      </c>
      <c r="T131" s="46" t="str">
        <f t="shared" si="32"/>
        <v>NorthBound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33"/>
        <v>https://d0f6bd738d7f1b3e5a7ca70fe4ff75f0.us-east-1.aws.found.io/app/kibana#/discover/Steve-Slow-Train-Analysis-(2080s-and-2083s)?_g=(refreshInterval:(display:Off,pause:!f,section:0,value:0),time:(from:'2017-03-11T16:54:38-0700',mode:absolute,to:'2017-03-11T19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1" s="187" t="str">
        <f t="shared" si="34"/>
        <v>N</v>
      </c>
      <c r="X131" s="187">
        <f t="shared" si="50"/>
        <v>1</v>
      </c>
      <c r="Y131" s="62">
        <f t="shared" si="51"/>
        <v>4.4699999999999997E-2</v>
      </c>
      <c r="Z131" s="62">
        <f t="shared" si="52"/>
        <v>23.334700000000002</v>
      </c>
      <c r="AA131" s="62">
        <f t="shared" si="38"/>
        <v>23.290000000000003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9"/>
        <v>0215-11</v>
      </c>
      <c r="AE131" s="85" t="str">
        <f t="shared" si="40"/>
        <v>aws s3 cp s3://rtdc.mdm.uploadarchive.raw/RTDC4009/ "%USERPROFILE%\AppData\Local\Temp\OnboardLogs"\RTDC4009\2017-03-11 --exclude "*" --recursive --include "*20170311*" &amp; "%USERPROFILE%\Documents\GitHub\mrs-test-scripts\Headless Mode &amp; Sideloading\WalkAndUnGZ.bat" "%USERPROFILE%\AppData\Local\Temp\OnboardLogs"\RTDC4009\2017-03-11 &amp; aws s3 cp s3://rtdc.mdm.uploadarchive.raw/RTDC4009/ "%USERPROFILE%\AppData\Local\Temp\OnboardLogs"\RTDC4009\2017-03-12 --exclude "*" --recursive --include "*20170312*" &amp; "%USERPROFILE%\Documents\GitHub\mrs-test-scripts\Headless Mode &amp; Sideloading\WalkAndUnGZ.bat" "%USERPROFILE%\AppData\Local\Temp\OnboardLogs"\RTDC4009\2017-03-12</v>
      </c>
      <c r="AF131" s="82" t="str">
        <f t="shared" si="41"/>
        <v>"C:\Program Files (x86)\AstroGrep\AstroGrep.exe" /e /r /s /spath="%USERPROFILE%\AppData\Local\Temp\OnboardLogs" /stypes="app*4009*20170312*" /stext=" 01:.+((SYSTEM_STATE.+slice.+state.+changed )|(ment ac)|(multiple cpu faults)|(system.+state.+changed )|(\[timeout)|(PRM\|1\|D)|(kpr)|(kdp)|(\|lc)|(penalty))"</v>
      </c>
      <c r="AG131" s="1" t="str">
        <f t="shared" si="42"/>
        <v>EC</v>
      </c>
      <c r="AH131" s="86" t="str">
        <f t="shared" si="43"/>
        <v>"%USERPROFILE%\Documents\GitHub\eaglep3\Utilities\RefineRTDCRunTimes.py" --tripid 215-11 --locoid 4009 --swversion DE.1.0.9.0 --startMP 204:447 --initTime 2017-03-11T17:54:38 --startdatetime 2017-03-11T17:56:53 --delay 2 --endMP 204:233347 --enddatetime 2017-03-11T18:35:46 --enforcementcount 0 &gt;&gt;C:\Users\stu\Documents\GitHub\eaglep3-reporting\EC\2017-03-11-refined-times.txt</v>
      </c>
      <c r="AI131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{"issue":{"subject":"","project_id":79,"tracker_id":40,"status_id":1,"priority_id":2,"assigned_to_id":23,"start_date":"2017-03-11","description":"","custom_fields":[{"id":1,"name":"Subdivision","value":"EC"},{"id":4,"name":"Milepost","value":"23.3347"},{"id":17,"name":"Train ID","value":"215-11"},{"id":16,"name":"Locomotive ID","value":"4009"},{"id":130,"name":"Impact","value":""},{"id":150,"name":"Time of Event (Mountain Time)","value":"18:35:46"},{"id":151,"name":"Denver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5"/>
        <v>start /low /b %USERPROFILE%\Documents\GitHub\eaglep3\Utilities\DownloadLogsFromS3.py --loco 4009 --day 2017-03-11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"%USERPROFILE%\AppData\Local\Temp\OnboardLogs"\RTDC4009\*4009*20170312* | grep -SE "(Enforcement Action)|(\[TIMEOUT)|(CHR.+\|PRM\|1\|D.+(SWITCH|SIGNAL).+UNKNOWN)" - &gt;&gt; 2017-03-11-UncaughtWiMAX.txt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785</v>
      </c>
      <c r="B132" s="7">
        <v>4010</v>
      </c>
      <c r="C132" s="21" t="s">
        <v>240</v>
      </c>
      <c r="D132" s="21" t="s">
        <v>948</v>
      </c>
      <c r="E132" s="13">
        <v>42805.776909722219</v>
      </c>
      <c r="F132" s="13">
        <v>42805.777824074074</v>
      </c>
      <c r="G132" s="7">
        <v>1</v>
      </c>
      <c r="H132" s="21" t="s">
        <v>208</v>
      </c>
      <c r="I132" s="13">
        <v>42805.817025462966</v>
      </c>
      <c r="J132" s="7">
        <v>0</v>
      </c>
      <c r="K132" s="98" t="str">
        <f t="shared" si="30"/>
        <v>4009/4010</v>
      </c>
      <c r="L132" s="21" t="str">
        <f>VLOOKUP(A132,'Trips&amp;Operators'!$C$1:$G$99999,5,FALSE)</f>
        <v>LALONDE GREGORY</v>
      </c>
      <c r="M132" s="6">
        <f t="shared" si="31"/>
        <v>3.9201388892251998E-2</v>
      </c>
      <c r="N132" s="7">
        <f t="shared" si="53"/>
        <v>56.450000004842877</v>
      </c>
      <c r="O132" s="7"/>
      <c r="P132" s="7"/>
      <c r="Q132" s="22"/>
      <c r="R132" s="22"/>
      <c r="S132" s="31">
        <f t="shared" si="54"/>
        <v>1</v>
      </c>
      <c r="T132" s="46" t="str">
        <f t="shared" si="32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33"/>
        <v>https://d0f6bd738d7f1b3e5a7ca70fe4ff75f0.us-east-1.aws.found.io/app/kibana#/discover/Steve-Slow-Train-Analysis-(2080s-and-2083s)?_g=(refreshInterval:(display:Off,pause:!f,section:0,value:0),time:(from:'2017-03-11T17:38:45-0700',mode:absolute,to:'2017-03-11T20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2" s="187" t="str">
        <f t="shared" si="34"/>
        <v>N</v>
      </c>
      <c r="X132" s="187">
        <f t="shared" si="50"/>
        <v>1</v>
      </c>
      <c r="Y132" s="62">
        <f t="shared" si="51"/>
        <v>23.302600000000002</v>
      </c>
      <c r="Z132" s="62">
        <f t="shared" si="52"/>
        <v>1.54E-2</v>
      </c>
      <c r="AA132" s="62">
        <f t="shared" si="38"/>
        <v>23.287200000000002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9"/>
        <v>0216-11</v>
      </c>
      <c r="AE132" s="85" t="str">
        <f t="shared" si="40"/>
        <v>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 &amp; aws s3 cp s3://rtdc.mdm.uploadarchive.raw/RTDC4010/ "%USERPROFILE%\AppData\Local\Temp\OnboardLogs"\RTDC4010\2017-03-12 --exclude "*" --recursive --include "*20170312*" &amp; "%USERPROFILE%\Documents\GitHub\mrs-test-scripts\Headless Mode &amp; Sideloading\WalkAndUnGZ.bat" "%USERPROFILE%\AppData\Local\Temp\OnboardLogs"\RTDC4010\2017-03-12</v>
      </c>
      <c r="AF132" s="82" t="str">
        <f t="shared" si="41"/>
        <v>"C:\Program Files (x86)\AstroGrep\AstroGrep.exe" /e /r /s /spath="%USERPROFILE%\AppData\Local\Temp\OnboardLogs" /stypes="app*4010*20170312*" /stext=" 02:.+((SYSTEM_STATE.+slice.+state.+changed )|(ment ac)|(multiple cpu faults)|(system.+state.+changed )|(\[timeout)|(PRM\|1\|D)|(kpr)|(kdp)|(\|lc)|(penalty))"</v>
      </c>
      <c r="AG132" s="1" t="str">
        <f t="shared" si="42"/>
        <v>EC</v>
      </c>
      <c r="AH132" s="86" t="str">
        <f t="shared" si="43"/>
        <v>"%USERPROFILE%\Documents\GitHub\eaglep3\Utilities\RefineRTDCRunTimes.py" --tripid 216-11 --locoid 4010 --swversion DE.1.0.9.0 --startMP 204:233026 --initTime 2017-03-11T18:38:45 --startdatetime 2017-03-11T18:40:04 --delay 1 --endMP 204:154 --enddatetime 2017-03-11T19:36:31 --enforcementcount 0 &gt;&gt;C:\Users\stu\Documents\GitHub\eaglep3-reporting\EC\2017-03-11-refined-times.txt</v>
      </c>
      <c r="AI132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{"issue":{"subject":"","project_id":79,"tracker_id":40,"status_id":1,"priority_id":2,"assigned_to_id":23,"start_date":"2017-03-11","description":"","custom_fields":[{"id":1,"name":"Subdivision","value":"EC"},{"id":4,"name":"Milepost","value":"0.0154"},{"id":17,"name":"Train ID","value":"216-11"},{"id":16,"name":"Locomotive ID","value":"4010"},{"id":130,"name":"Impact","value":""},{"id":150,"name":"Time of Event (Mountain Time)","value":"19:36:31"},{"id":151,"name":"Denver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5"/>
        <v>start /low /b %USERPROFILE%\Documents\GitHub\eaglep3\Utilities\DownloadLogsFromS3.py --loco 4010 --day 2017-03-11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"%USERPROFILE%\AppData\Local\Temp\OnboardLogs"\RTDC4010\*4010*20170312* | grep -SE "(Enforcement Action)|(\[TIMEOUT)|(CHR.+\|PRM\|1\|D.+(SWITCH|SIGNAL).+UNKNOWN)" - &gt;&gt; 2017-03-11-UncaughtWiMAX.txt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779</v>
      </c>
      <c r="B133" s="7">
        <v>4046</v>
      </c>
      <c r="C133" s="21" t="s">
        <v>240</v>
      </c>
      <c r="D133" s="21" t="s">
        <v>554</v>
      </c>
      <c r="E133" s="13">
        <v>42805.757673611108</v>
      </c>
      <c r="F133" s="13">
        <v>42805.758888888886</v>
      </c>
      <c r="G133" s="7">
        <v>1</v>
      </c>
      <c r="H133" s="21" t="s">
        <v>551</v>
      </c>
      <c r="I133" s="13">
        <v>42805.787118055552</v>
      </c>
      <c r="J133" s="7">
        <v>0</v>
      </c>
      <c r="K133" s="98" t="str">
        <f t="shared" si="30"/>
        <v>4045/4046</v>
      </c>
      <c r="L133" s="21" t="str">
        <f>VLOOKUP(A133,'Trips&amp;Operators'!$C$1:$G$99999,5,FALSE)</f>
        <v>PERKINS DARREN</v>
      </c>
      <c r="M133" s="6">
        <f t="shared" si="31"/>
        <v>2.8229166666278616E-2</v>
      </c>
      <c r="N133" s="7">
        <f t="shared" si="53"/>
        <v>40.649999999441206</v>
      </c>
      <c r="O133" s="7"/>
      <c r="P133" s="7"/>
      <c r="Q133" s="22"/>
      <c r="R133" s="22"/>
      <c r="S133" s="31">
        <f t="shared" si="54"/>
        <v>1</v>
      </c>
      <c r="T133" s="46" t="str">
        <f t="shared" si="32"/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33"/>
        <v>https://d0f6bd738d7f1b3e5a7ca70fe4ff75f0.us-east-1.aws.found.io/app/kibana#/discover/Steve-Slow-Train-Analysis-(2080s-and-2083s)?_g=(refreshInterval:(display:Off,pause:!f,section:0,value:0),time:(from:'2017-03-11T17:11:03-0700',mode:absolute,to:'2017-03-11T19:53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3" s="187" t="str">
        <f t="shared" si="34"/>
        <v>N</v>
      </c>
      <c r="X133" s="187">
        <f t="shared" si="50"/>
        <v>1</v>
      </c>
      <c r="Y133" s="62">
        <f t="shared" si="51"/>
        <v>4.6199999999999998E-2</v>
      </c>
      <c r="Z133" s="62">
        <f t="shared" si="52"/>
        <v>23.3264</v>
      </c>
      <c r="AA133" s="62">
        <f t="shared" si="38"/>
        <v>23.280200000000001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9"/>
        <v>0217-11</v>
      </c>
      <c r="AE133" s="85" t="str">
        <f t="shared" si="40"/>
        <v>aws s3 cp s3://rtdc.mdm.uploadarchive.raw/RTDC4046/ "%USERPROFILE%\AppData\Local\Temp\OnboardLogs"\RTDC4046\2017-03-11 --exclude "*" --recursive --include "*20170311*" &amp; "%USERPROFILE%\Documents\GitHub\mrs-test-scripts\Headless Mode &amp; Sideloading\WalkAndUnGZ.bat" "%USERPROFILE%\AppData\Local\Temp\OnboardLogs"\RTDC4046\2017-03-11 &amp; aws s3 cp s3://rtdc.mdm.uploadarchive.raw/RTDC4046/ "%USERPROFILE%\AppData\Local\Temp\OnboardLogs"\RTDC4046\2017-03-12 --exclude "*" --recursive --include "*20170312*" &amp; "%USERPROFILE%\Documents\GitHub\mrs-test-scripts\Headless Mode &amp; Sideloading\WalkAndUnGZ.bat" "%USERPROFILE%\AppData\Local\Temp\OnboardLogs"\RTDC4046\2017-03-12</v>
      </c>
      <c r="AF133" s="82" t="str">
        <f t="shared" si="41"/>
        <v>"C:\Program Files (x86)\AstroGrep\AstroGrep.exe" /e /r /s /spath="%USERPROFILE%\AppData\Local\Temp\OnboardLogs" /stypes="app*4046*20170312*" /stext=" 01:.+((SYSTEM_STATE.+slice.+state.+changed )|(ment ac)|(multiple cpu faults)|(system.+state.+changed )|(\[timeout)|(PRM\|1\|D)|(kpr)|(kdp)|(\|lc)|(penalty))"</v>
      </c>
      <c r="AG133" s="1" t="str">
        <f t="shared" si="42"/>
        <v>EC</v>
      </c>
      <c r="AH133" s="86" t="str">
        <f t="shared" si="43"/>
        <v>"%USERPROFILE%\Documents\GitHub\eaglep3\Utilities\RefineRTDCRunTimes.py" --tripid 217-11 --locoid 4046 --swversion DE.1.0.9.0 --startMP 204:462 --initTime 2017-03-11T18:11:03 --startdatetime 2017-03-11T18:12:48 --delay 1 --endMP 204:233264 --enddatetime 2017-03-11T18:53:27 --enforcementcount 0 &gt;&gt;C:\Users\stu\Documents\GitHub\eaglep3-reporting\EC\2017-03-11-refined-times.txt</v>
      </c>
      <c r="AI133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{"issue":{"subject":"","project_id":79,"tracker_id":40,"status_id":1,"priority_id":2,"assigned_to_id":23,"start_date":"2017-03-11","description":"","custom_fields":[{"id":1,"name":"Subdivision","value":"EC"},{"id":4,"name":"Milepost","value":"23.3264"},{"id":17,"name":"Train ID","value":"217-11"},{"id":16,"name":"Locomotive ID","value":"4046"},{"id":130,"name":"Impact","value":""},{"id":150,"name":"Time of Event (Mountain Time)","value":"18:53:27"},{"id":151,"name":"Denver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5"/>
        <v>start /low /b %USERPROFILE%\Documents\GitHub\eaglep3\Utilities\DownloadLogsFromS3.py --loco 4046 --day 2017-03-11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"%USERPROFILE%\AppData\Local\Temp\OnboardLogs"\RTDC4046\*4046*20170312* | grep -SE "(Enforcement Action)|(\[TIMEOUT)|(CHR.+\|PRM\|1\|D.+(SWITCH|SIGNAL).+UNKNOWN)" - &gt;&gt; 2017-03-11-UncaughtWiMAX.txt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787</v>
      </c>
      <c r="B134" s="7">
        <v>4045</v>
      </c>
      <c r="C134" s="21" t="s">
        <v>240</v>
      </c>
      <c r="D134" s="21" t="s">
        <v>496</v>
      </c>
      <c r="E134" s="13">
        <v>42805.789317129631</v>
      </c>
      <c r="F134" s="13">
        <v>42805.790439814817</v>
      </c>
      <c r="G134" s="7">
        <v>1</v>
      </c>
      <c r="H134" s="21" t="s">
        <v>498</v>
      </c>
      <c r="I134" s="13">
        <v>42805.829039351855</v>
      </c>
      <c r="J134" s="7">
        <v>0</v>
      </c>
      <c r="K134" s="98" t="str">
        <f t="shared" si="30"/>
        <v>4045/4046</v>
      </c>
      <c r="L134" s="21" t="str">
        <f>VLOOKUP(A134,'Trips&amp;Operators'!$C$1:$G$99999,5,FALSE)</f>
        <v>PERKINS DARREN</v>
      </c>
      <c r="M134" s="6">
        <f t="shared" si="31"/>
        <v>3.8599537037953269E-2</v>
      </c>
      <c r="N134" s="7">
        <f t="shared" si="53"/>
        <v>55.583333334652707</v>
      </c>
      <c r="O134" s="7"/>
      <c r="P134" s="7"/>
      <c r="Q134" s="22"/>
      <c r="R134" s="22"/>
      <c r="S134" s="31">
        <f t="shared" si="54"/>
        <v>1</v>
      </c>
      <c r="T134" s="46" t="str">
        <f t="shared" si="32"/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33"/>
        <v>https://d0f6bd738d7f1b3e5a7ca70fe4ff75f0.us-east-1.aws.found.io/app/kibana#/discover/Steve-Slow-Train-Analysis-(2080s-and-2083s)?_g=(refreshInterval:(display:Off,pause:!f,section:0,value:0),time:(from:'2017-03-11T17:56:37-0700',mode:absolute,to:'2017-03-11T20:53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4" s="187" t="str">
        <f t="shared" si="34"/>
        <v>N</v>
      </c>
      <c r="X134" s="187">
        <f t="shared" si="50"/>
        <v>1</v>
      </c>
      <c r="Y134" s="62">
        <f t="shared" si="51"/>
        <v>23.299600000000002</v>
      </c>
      <c r="Z134" s="62">
        <f t="shared" si="52"/>
        <v>1.6500000000000001E-2</v>
      </c>
      <c r="AA134" s="62">
        <f t="shared" si="38"/>
        <v>23.283100000000001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9"/>
        <v>0218-11</v>
      </c>
      <c r="AE134" s="85" t="str">
        <f t="shared" si="40"/>
        <v>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 &amp; aws s3 cp s3://rtdc.mdm.uploadarchive.raw/RTDC4045/ "%USERPROFILE%\AppData\Local\Temp\OnboardLogs"\RTDC4045\2017-03-12 --exclude "*" --recursive --include "*20170312*" &amp; "%USERPROFILE%\Documents\GitHub\mrs-test-scripts\Headless Mode &amp; Sideloading\WalkAndUnGZ.bat" "%USERPROFILE%\AppData\Local\Temp\OnboardLogs"\RTDC4045\2017-03-12</v>
      </c>
      <c r="AF134" s="82" t="str">
        <f t="shared" si="41"/>
        <v>"C:\Program Files (x86)\AstroGrep\AstroGrep.exe" /e /r /s /spath="%USERPROFILE%\AppData\Local\Temp\OnboardLogs" /stypes="app*4045*20170312*" /stext=" 02:.+((SYSTEM_STATE.+slice.+state.+changed )|(ment ac)|(multiple cpu faults)|(system.+state.+changed )|(\[timeout)|(PRM\|1\|D)|(kpr)|(kdp)|(\|lc)|(penalty))"</v>
      </c>
      <c r="AG134" s="1" t="str">
        <f t="shared" si="42"/>
        <v>EC</v>
      </c>
      <c r="AH134" s="86" t="str">
        <f t="shared" si="43"/>
        <v>"%USERPROFILE%\Documents\GitHub\eaglep3\Utilities\RefineRTDCRunTimes.py" --tripid 218-11 --locoid 4045 --swversion DE.1.0.9.0 --startMP 204:232996 --initTime 2017-03-11T18:56:37 --startdatetime 2017-03-11T18:58:14 --delay 1 --endMP 204:165 --enddatetime 2017-03-11T19:53:49 --enforcementcount 0 &gt;&gt;C:\Users\stu\Documents\GitHub\eaglep3-reporting\EC\2017-03-11-refined-times.txt</v>
      </c>
      <c r="AI134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{"issue":{"subject":"","project_id":79,"tracker_id":40,"status_id":1,"priority_id":2,"assigned_to_id":23,"start_date":"2017-03-11","description":"","custom_fields":[{"id":1,"name":"Subdivision","value":"EC"},{"id":4,"name":"Milepost","value":"0.0165"},{"id":17,"name":"Train ID","value":"218-11"},{"id":16,"name":"Locomotive ID","value":"4045"},{"id":130,"name":"Impact","value":""},{"id":150,"name":"Time of Event (Mountain Time)","value":"19:53:49"},{"id":151,"name":"Denver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5"/>
        <v>start /low /b %USERPROFILE%\Documents\GitHub\eaglep3\Utilities\DownloadLogsFromS3.py --loco 4045 --day 2017-03-11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"%USERPROFILE%\AppData\Local\Temp\OnboardLogs"\RTDC4045\*4045*20170312* | grep -SE "(Enforcement Action)|(\[TIMEOUT)|(CHR.+\|PRM\|1\|D.+(SWITCH|SIGNAL).+UNKNOWN)" - &gt;&gt; 2017-03-11-UncaughtWiMAX.txt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781</v>
      </c>
      <c r="B135" s="7">
        <v>4040</v>
      </c>
      <c r="C135" s="21" t="s">
        <v>240</v>
      </c>
      <c r="D135" s="21" t="s">
        <v>554</v>
      </c>
      <c r="E135" s="13">
        <v>42805.766134259262</v>
      </c>
      <c r="F135" s="13">
        <v>42805.767465277779</v>
      </c>
      <c r="G135" s="7">
        <v>1</v>
      </c>
      <c r="H135" s="21" t="s">
        <v>949</v>
      </c>
      <c r="I135" s="13">
        <v>42805.797534722224</v>
      </c>
      <c r="J135" s="7">
        <v>0</v>
      </c>
      <c r="K135" s="98" t="str">
        <f t="shared" si="30"/>
        <v>4039/4040</v>
      </c>
      <c r="L135" s="21" t="str">
        <f>VLOOKUP(A135,'Trips&amp;Operators'!$C$1:$G$99999,5,FALSE)</f>
        <v>SWANSON BRYCE</v>
      </c>
      <c r="M135" s="6">
        <f t="shared" si="31"/>
        <v>3.0069444444961846E-2</v>
      </c>
      <c r="N135" s="7">
        <f t="shared" si="53"/>
        <v>43.300000000745058</v>
      </c>
      <c r="O135" s="7"/>
      <c r="P135" s="7"/>
      <c r="Q135" s="22"/>
      <c r="R135" s="22"/>
      <c r="S135" s="31">
        <f t="shared" si="54"/>
        <v>1</v>
      </c>
      <c r="T135" s="46" t="str">
        <f t="shared" si="32"/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33"/>
        <v>https://d0f6bd738d7f1b3e5a7ca70fe4ff75f0.us-east-1.aws.found.io/app/kibana#/discover/Steve-Slow-Train-Analysis-(2080s-and-2083s)?_g=(refreshInterval:(display:Off,pause:!f,section:0,value:0),time:(from:'2017-03-11T17:23:14-0700',mode:absolute,to:'2017-03-11T20:08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5" s="187" t="str">
        <f t="shared" si="34"/>
        <v>N</v>
      </c>
      <c r="X135" s="187">
        <f t="shared" si="50"/>
        <v>1</v>
      </c>
      <c r="Y135" s="62">
        <f t="shared" si="51"/>
        <v>4.6199999999999998E-2</v>
      </c>
      <c r="Z135" s="62">
        <f t="shared" si="52"/>
        <v>23.325099999999999</v>
      </c>
      <c r="AA135" s="62">
        <f t="shared" si="38"/>
        <v>23.2789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9"/>
        <v>0219-11</v>
      </c>
      <c r="AE135" s="85" t="str">
        <f t="shared" si="40"/>
        <v>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 &amp; aws s3 cp s3://rtdc.mdm.uploadarchive.raw/RTDC4040/ "%USERPROFILE%\AppData\Local\Temp\OnboardLogs"\RTDC4040\2017-03-12 --exclude "*" --recursive --include "*20170312*" &amp; "%USERPROFILE%\Documents\GitHub\mrs-test-scripts\Headless Mode &amp; Sideloading\WalkAndUnGZ.bat" "%USERPROFILE%\AppData\Local\Temp\OnboardLogs"\RTDC4040\2017-03-12</v>
      </c>
      <c r="AF135" s="82" t="str">
        <f t="shared" si="41"/>
        <v>"C:\Program Files (x86)\AstroGrep\AstroGrep.exe" /e /r /s /spath="%USERPROFILE%\AppData\Local\Temp\OnboardLogs" /stypes="app*4040*20170312*" /stext=" 02:.+((SYSTEM_STATE.+slice.+state.+changed )|(ment ac)|(multiple cpu faults)|(system.+state.+changed )|(\[timeout)|(PRM\|1\|D)|(kpr)|(kdp)|(\|lc)|(penalty))"</v>
      </c>
      <c r="AG135" s="1" t="str">
        <f t="shared" si="42"/>
        <v>EC</v>
      </c>
      <c r="AH135" s="86" t="str">
        <f t="shared" si="43"/>
        <v>"%USERPROFILE%\Documents\GitHub\eaglep3\Utilities\RefineRTDCRunTimes.py" --tripid 219-11 --locoid 4040 --swversion DE.1.0.9.0 --startMP 204:462 --initTime 2017-03-11T18:23:14 --startdatetime 2017-03-11T18:25:09 --delay 1 --endMP 204:233251 --enddatetime 2017-03-11T19:08:27 --enforcementcount 0 &gt;&gt;C:\Users\stu\Documents\GitHub\eaglep3-reporting\EC\2017-03-11-refined-times.txt</v>
      </c>
      <c r="AI135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{"issue":{"subject":"","project_id":79,"tracker_id":40,"status_id":1,"priority_id":2,"assigned_to_id":23,"start_date":"2017-03-11","description":"","custom_fields":[{"id":1,"name":"Subdivision","value":"EC"},{"id":4,"name":"Milepost","value":"23.3251"},{"id":17,"name":"Train ID","value":"219-11"},{"id":16,"name":"Locomotive ID","value":"4040"},{"id":130,"name":"Impact","value":""},{"id":150,"name":"Time of Event (Mountain Time)","value":"19:08:27"},{"id":151,"name":"Denver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5"/>
        <v>start /low /b %USERPROFILE%\Documents\GitHub\eaglep3\Utilities\DownloadLogsFromS3.py --loco 4040 --day 2017-03-11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"%USERPROFILE%\AppData\Local\Temp\OnboardLogs"\RTDC4040\*4040*20170312* | grep -SE "(Enforcement Action)|(\[TIMEOUT)|(CHR.+\|PRM\|1\|D.+(SWITCH|SIGNAL).+UNKNOWN)" - &gt;&gt; 2017-03-11-UncaughtWiMAX.txt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789</v>
      </c>
      <c r="B136" s="7">
        <v>4039</v>
      </c>
      <c r="C136" s="21" t="s">
        <v>240</v>
      </c>
      <c r="D136" s="21" t="s">
        <v>950</v>
      </c>
      <c r="E136" s="13">
        <v>42805.801527777781</v>
      </c>
      <c r="F136" s="13">
        <v>42805.802754629629</v>
      </c>
      <c r="G136" s="7">
        <v>1</v>
      </c>
      <c r="H136" s="21" t="s">
        <v>203</v>
      </c>
      <c r="I136" s="13">
        <v>42805.841122685182</v>
      </c>
      <c r="J136" s="7">
        <v>0</v>
      </c>
      <c r="K136" s="98" t="str">
        <f t="shared" si="30"/>
        <v>4039/4040</v>
      </c>
      <c r="L136" s="21" t="str">
        <f>VLOOKUP(A136,'Trips&amp;Operators'!$C$1:$G$99999,5,FALSE)</f>
        <v>SWANSON BRYCE</v>
      </c>
      <c r="M136" s="6">
        <f t="shared" si="31"/>
        <v>3.8368055553291924E-2</v>
      </c>
      <c r="N136" s="7">
        <f t="shared" si="53"/>
        <v>55.249999996740371</v>
      </c>
      <c r="O136" s="7"/>
      <c r="P136" s="7"/>
      <c r="Q136" s="22"/>
      <c r="R136" s="22"/>
      <c r="S136" s="31">
        <f t="shared" si="54"/>
        <v>1</v>
      </c>
      <c r="T136" s="46" t="str">
        <f t="shared" si="32"/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33"/>
        <v>https://d0f6bd738d7f1b3e5a7ca70fe4ff75f0.us-east-1.aws.found.io/app/kibana#/discover/Steve-Slow-Train-Analysis-(2080s-and-2083s)?_g=(refreshInterval:(display:Off,pause:!f,section:0,value:0),time:(from:'2017-03-11T18:14:12-0700',mode:absolute,to:'2017-03-11T21:11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6" s="187" t="str">
        <f t="shared" si="34"/>
        <v>N</v>
      </c>
      <c r="X136" s="187">
        <f t="shared" si="50"/>
        <v>1</v>
      </c>
      <c r="Y136" s="62">
        <f t="shared" si="51"/>
        <v>23.293600000000001</v>
      </c>
      <c r="Z136" s="62">
        <f t="shared" si="52"/>
        <v>1.5800000000000002E-2</v>
      </c>
      <c r="AA136" s="62">
        <f t="shared" si="38"/>
        <v>23.277800000000003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9"/>
        <v>0220-11</v>
      </c>
      <c r="AE136" s="85" t="str">
        <f t="shared" si="40"/>
        <v>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 &amp; aws s3 cp s3://rtdc.mdm.uploadarchive.raw/RTDC4039/ "%USERPROFILE%\AppData\Local\Temp\OnboardLogs"\RTDC4039\2017-03-12 --exclude "*" --recursive --include "*20170312*" &amp; "%USERPROFILE%\Documents\GitHub\mrs-test-scripts\Headless Mode &amp; Sideloading\WalkAndUnGZ.bat" "%USERPROFILE%\AppData\Local\Temp\OnboardLogs"\RTDC4039\2017-03-12</v>
      </c>
      <c r="AF136" s="82" t="str">
        <f t="shared" si="41"/>
        <v>"C:\Program Files (x86)\AstroGrep\AstroGrep.exe" /e /r /s /spath="%USERPROFILE%\AppData\Local\Temp\OnboardLogs" /stypes="app*4039*20170312*" /stext=" 03:.+((SYSTEM_STATE.+slice.+state.+changed )|(ment ac)|(multiple cpu faults)|(system.+state.+changed )|(\[timeout)|(PRM\|1\|D)|(kpr)|(kdp)|(\|lc)|(penalty))"</v>
      </c>
      <c r="AG136" s="1" t="str">
        <f t="shared" si="42"/>
        <v>EC</v>
      </c>
      <c r="AH136" s="86" t="str">
        <f t="shared" si="43"/>
        <v>"%USERPROFILE%\Documents\GitHub\eaglep3\Utilities\RefineRTDCRunTimes.py" --tripid 220-11 --locoid 4039 --swversion DE.1.0.9.0 --startMP 204:232936 --initTime 2017-03-11T19:14:12 --startdatetime 2017-03-11T19:15:58 --delay 1 --endMP 204:158 --enddatetime 2017-03-11T20:11:13 --enforcementcount 0 &gt;&gt;C:\Users\stu\Documents\GitHub\eaglep3-reporting\EC\2017-03-11-refined-times.txt</v>
      </c>
      <c r="AI136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{"issue":{"subject":"","project_id":79,"tracker_id":40,"status_id":1,"priority_id":2,"assigned_to_id":23,"start_date":"2017-03-11","description":"","custom_fields":[{"id":1,"name":"Subdivision","value":"EC"},{"id":4,"name":"Milepost","value":"0.0158"},{"id":17,"name":"Train ID","value":"220-11"},{"id":16,"name":"Locomotive ID","value":"4039"},{"id":130,"name":"Impact","value":""},{"id":150,"name":"Time of Event (Mountain Time)","value":"20:11:13"},{"id":151,"name":"Denver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5"/>
        <v>start /low /b %USERPROFILE%\Documents\GitHub\eaglep3\Utilities\DownloadLogsFromS3.py --loco 4039 --day 2017-03-11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"%USERPROFILE%\AppData\Local\Temp\OnboardLogs"\RTDC4039\*4039*20170312* | grep -SE "(Enforcement Action)|(\[TIMEOUT)|(CHR.+\|PRM\|1\|D.+(SWITCH|SIGNAL).+UNKNOWN)" - &gt;&gt; 2017-03-11-UncaughtWiMAX.txt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786</v>
      </c>
      <c r="B137" s="7">
        <v>4029</v>
      </c>
      <c r="C137" s="21" t="s">
        <v>240</v>
      </c>
      <c r="D137" s="21" t="s">
        <v>235</v>
      </c>
      <c r="E137" s="13">
        <v>42805.787581018521</v>
      </c>
      <c r="F137" s="13">
        <v>42805.789259259262</v>
      </c>
      <c r="G137" s="7">
        <v>2</v>
      </c>
      <c r="H137" s="21" t="s">
        <v>951</v>
      </c>
      <c r="I137" s="13">
        <v>42805.820763888885</v>
      </c>
      <c r="J137" s="7">
        <v>0</v>
      </c>
      <c r="K137" s="98" t="str">
        <f t="shared" si="30"/>
        <v>4029/4030</v>
      </c>
      <c r="L137" s="21" t="str">
        <f>VLOOKUP(A137,'Trips&amp;Operators'!$C$1:$G$99999,5,FALSE)</f>
        <v>BROWN JACOB</v>
      </c>
      <c r="M137" s="6">
        <f t="shared" si="31"/>
        <v>3.1504629623668734E-2</v>
      </c>
      <c r="N137" s="7">
        <f t="shared" si="53"/>
        <v>45.366666658082977</v>
      </c>
      <c r="O137" s="7"/>
      <c r="P137" s="7"/>
      <c r="Q137" s="22"/>
      <c r="R137" s="22"/>
      <c r="S137" s="31">
        <f t="shared" si="54"/>
        <v>1</v>
      </c>
      <c r="T137" s="46" t="str">
        <f t="shared" si="32"/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33"/>
        <v>https://d0f6bd738d7f1b3e5a7ca70fe4ff75f0.us-east-1.aws.found.io/app/kibana#/discover/Steve-Slow-Train-Analysis-(2080s-and-2083s)?_g=(refreshInterval:(display:Off,pause:!f,section:0,value:0),time:(from:'2017-03-11T17:54:07-0700',mode:absolute,to:'2017-03-11T20:41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7" s="187" t="str">
        <f t="shared" si="34"/>
        <v>N</v>
      </c>
      <c r="X137" s="187">
        <f t="shared" si="50"/>
        <v>1</v>
      </c>
      <c r="Y137" s="62">
        <f t="shared" si="51"/>
        <v>4.4699999999999997E-2</v>
      </c>
      <c r="Z137" s="62">
        <f t="shared" si="52"/>
        <v>23.334</v>
      </c>
      <c r="AA137" s="62">
        <f t="shared" si="38"/>
        <v>23.289300000000001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9"/>
        <v>0221-11</v>
      </c>
      <c r="AE137" s="85" t="str">
        <f t="shared" si="40"/>
        <v>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 &amp; aws s3 cp s3://rtdc.mdm.uploadarchive.raw/RTDC4029/ "%USERPROFILE%\AppData\Local\Temp\OnboardLogs"\RTDC4029\2017-03-12 --exclude "*" --recursive --include "*20170312*" &amp; "%USERPROFILE%\Documents\GitHub\mrs-test-scripts\Headless Mode &amp; Sideloading\WalkAndUnGZ.bat" "%USERPROFILE%\AppData\Local\Temp\OnboardLogs"\RTDC4029\2017-03-12</v>
      </c>
      <c r="AF137" s="82" t="str">
        <f t="shared" si="41"/>
        <v>"C:\Program Files (x86)\AstroGrep\AstroGrep.exe" /e /r /s /spath="%USERPROFILE%\AppData\Local\Temp\OnboardLogs" /stypes="app*4029*20170312*" /stext=" 02:.+((SYSTEM_STATE.+slice.+state.+changed )|(ment ac)|(multiple cpu faults)|(system.+state.+changed )|(\[timeout)|(PRM\|1\|D)|(kpr)|(kdp)|(\|lc)|(penalty))"</v>
      </c>
      <c r="AG137" s="1" t="str">
        <f t="shared" si="42"/>
        <v>EC</v>
      </c>
      <c r="AH137" s="86" t="str">
        <f t="shared" si="43"/>
        <v>"%USERPROFILE%\Documents\GitHub\eaglep3\Utilities\RefineRTDCRunTimes.py" --tripid 221-11 --locoid 4029 --swversion DE.1.0.9.0 --startMP 204:447 --initTime 2017-03-11T18:54:07 --startdatetime 2017-03-11T18:56:32 --delay 2 --endMP 204:233340 --enddatetime 2017-03-11T19:41:54 --enforcementcount 0 &gt;&gt;C:\Users\stu\Documents\GitHub\eaglep3-reporting\EC\2017-03-11-refined-times.txt</v>
      </c>
      <c r="AI137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{"issue":{"subject":"","project_id":79,"tracker_id":40,"status_id":1,"priority_id":2,"assigned_to_id":23,"start_date":"2017-03-11","description":"","custom_fields":[{"id":1,"name":"Subdivision","value":"EC"},{"id":4,"name":"Milepost","value":"23.334"},{"id":17,"name":"Train ID","value":"221-11"},{"id":16,"name":"Locomotive ID","value":"4029"},{"id":130,"name":"Impact","value":""},{"id":150,"name":"Time of Event (Mountain Time)","value":"19:41:54"},{"id":151,"name":"Denver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5"/>
        <v>start /low /b %USERPROFILE%\Documents\GitHub\eaglep3\Utilities\DownloadLogsFromS3.py --loco 4029 --day 2017-03-11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"%USERPROFILE%\AppData\Local\Temp\OnboardLogs"\RTDC4029\*4029*20170312* | grep -SE "(Enforcement Action)|(\[TIMEOUT)|(CHR.+\|PRM\|1\|D.+(SWITCH|SIGNAL).+UNKNOWN)" - &gt;&gt; 2017-03-11-UncaughtWiMAX.txt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610</v>
      </c>
      <c r="B138" s="7">
        <v>4030</v>
      </c>
      <c r="C138" s="21" t="s">
        <v>240</v>
      </c>
      <c r="D138" s="21" t="s">
        <v>437</v>
      </c>
      <c r="E138" s="13">
        <v>42805.829340277778</v>
      </c>
      <c r="F138" s="13">
        <v>42805.830381944441</v>
      </c>
      <c r="G138" s="7">
        <v>1</v>
      </c>
      <c r="H138" s="21" t="s">
        <v>265</v>
      </c>
      <c r="I138" s="13">
        <v>42805.858946759261</v>
      </c>
      <c r="J138" s="7">
        <v>0</v>
      </c>
      <c r="K138" s="98" t="str">
        <f t="shared" si="30"/>
        <v>4029/4030</v>
      </c>
      <c r="L138" s="21" t="str">
        <f>VLOOKUP(A138,'Trips&amp;Operators'!$C$1:$G$99999,5,FALSE)</f>
        <v>BROWN JACOB</v>
      </c>
      <c r="M138" s="6">
        <f t="shared" si="31"/>
        <v>2.8564814820128959E-2</v>
      </c>
      <c r="N138" s="7">
        <f t="shared" si="53"/>
        <v>41.1333333409857</v>
      </c>
      <c r="O138" s="7"/>
      <c r="P138" s="7"/>
      <c r="Q138" s="22"/>
      <c r="R138" s="22"/>
      <c r="S138" s="31">
        <f t="shared" si="54"/>
        <v>1</v>
      </c>
      <c r="T138" s="46" t="str">
        <f t="shared" si="32"/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33"/>
        <v>https://d0f6bd738d7f1b3e5a7ca70fe4ff75f0.us-east-1.aws.found.io/app/kibana#/discover/Steve-Slow-Train-Analysis-(2080s-and-2083s)?_g=(refreshInterval:(display:Off,pause:!f,section:0,value:0),time:(from:'2017-03-11T18:54:15-0700',mode:absolute,to:'2017-03-11T21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8" s="187" t="str">
        <f t="shared" si="34"/>
        <v>N</v>
      </c>
      <c r="X138" s="187">
        <f t="shared" si="50"/>
        <v>1</v>
      </c>
      <c r="Y138" s="62">
        <f t="shared" si="51"/>
        <v>23.3019</v>
      </c>
      <c r="Z138" s="62">
        <f t="shared" si="52"/>
        <v>1.61E-2</v>
      </c>
      <c r="AA138" s="62">
        <f t="shared" si="38"/>
        <v>23.285799999999998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9"/>
        <v>0222-11</v>
      </c>
      <c r="AE138" s="85" t="str">
        <f t="shared" si="40"/>
        <v>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 &amp; aws s3 cp s3://rtdc.mdm.uploadarchive.raw/RTDC4030/ "%USERPROFILE%\AppData\Local\Temp\OnboardLogs"\RTDC4030\2017-03-12 --exclude "*" --recursive --include "*20170312*" &amp; "%USERPROFILE%\Documents\GitHub\mrs-test-scripts\Headless Mode &amp; Sideloading\WalkAndUnGZ.bat" "%USERPROFILE%\AppData\Local\Temp\OnboardLogs"\RTDC4030\2017-03-12</v>
      </c>
      <c r="AF138" s="82" t="str">
        <f t="shared" si="41"/>
        <v>"C:\Program Files (x86)\AstroGrep\AstroGrep.exe" /e /r /s /spath="%USERPROFILE%\AppData\Local\Temp\OnboardLogs" /stypes="app*4030*20170312*" /stext=" 03:.+((SYSTEM_STATE.+slice.+state.+changed )|(ment ac)|(multiple cpu faults)|(system.+state.+changed )|(\[timeout)|(PRM\|1\|D)|(kpr)|(kdp)|(\|lc)|(penalty))"</v>
      </c>
      <c r="AG138" s="1" t="str">
        <f t="shared" si="42"/>
        <v>EC</v>
      </c>
      <c r="AH138" s="86" t="str">
        <f t="shared" si="43"/>
        <v>"%USERPROFILE%\Documents\GitHub\eaglep3\Utilities\RefineRTDCRunTimes.py" --tripid 222-11 --locoid 4030 --swversion DE.1.0.9.0 --startMP 204:233019 --initTime 2017-03-11T19:54:15 --startdatetime 2017-03-11T19:55:45 --delay 1 --endMP 204:161 --enddatetime 2017-03-11T20:36:53 --enforcementcount 0 &gt;&gt;C:\Users\stu\Documents\GitHub\eaglep3-reporting\EC\2017-03-11-refined-times.txt</v>
      </c>
      <c r="AI138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{"issue":{"subject":"","project_id":79,"tracker_id":40,"status_id":1,"priority_id":2,"assigned_to_id":23,"start_date":"2017-03-11","description":"","custom_fields":[{"id":1,"name":"Subdivision","value":"EC"},{"id":4,"name":"Milepost","value":"0.0161"},{"id":17,"name":"Train ID","value":"222-11"},{"id":16,"name":"Locomotive ID","value":"4030"},{"id":130,"name":"Impact","value":""},{"id":150,"name":"Time of Event (Mountain Time)","value":"20:36:53"},{"id":151,"name":"Denver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5"/>
        <v>start /low /b %USERPROFILE%\Documents\GitHub\eaglep3\Utilities\DownloadLogsFromS3.py --loco 4030 --day 2017-03-11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"%USERPROFILE%\AppData\Local\Temp\OnboardLogs"\RTDC4030\*4030*20170312* | grep -SE "(Enforcement Action)|(\[TIMEOUT)|(CHR.+\|PRM\|1\|D.+(SWITCH|SIGNAL).+UNKNOWN)" - &gt;&gt; 2017-03-11-UncaughtWiMAX.txt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793</v>
      </c>
      <c r="B139" s="7">
        <v>4014</v>
      </c>
      <c r="C139" s="21" t="s">
        <v>240</v>
      </c>
      <c r="D139" s="21" t="s">
        <v>227</v>
      </c>
      <c r="E139" s="13">
        <v>42805.808576388888</v>
      </c>
      <c r="F139" s="13">
        <v>42805.809618055559</v>
      </c>
      <c r="G139" s="7">
        <v>1</v>
      </c>
      <c r="H139" s="21" t="s">
        <v>275</v>
      </c>
      <c r="I139" s="13">
        <v>42805.839004629626</v>
      </c>
      <c r="J139" s="7">
        <v>0</v>
      </c>
      <c r="K139" s="98" t="str">
        <f t="shared" si="30"/>
        <v>4013/4014</v>
      </c>
      <c r="L139" s="21" t="str">
        <f>VLOOKUP(A139,'Trips&amp;Operators'!$C$1:$G$99999,5,FALSE)</f>
        <v>SMITH MICHAEL</v>
      </c>
      <c r="M139" s="6">
        <f t="shared" si="31"/>
        <v>2.9386574067757465E-2</v>
      </c>
      <c r="N139" s="7">
        <f t="shared" si="53"/>
        <v>42.31666665757075</v>
      </c>
      <c r="O139" s="7"/>
      <c r="P139" s="7"/>
      <c r="Q139" s="22"/>
      <c r="R139" s="22"/>
      <c r="S139" s="31">
        <f t="shared" si="54"/>
        <v>1</v>
      </c>
      <c r="T139" s="46" t="str">
        <f t="shared" si="32"/>
        <v>NorthBound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33"/>
        <v>https://d0f6bd738d7f1b3e5a7ca70fe4ff75f0.us-east-1.aws.found.io/app/kibana#/discover/Steve-Slow-Train-Analysis-(2080s-and-2083s)?_g=(refreshInterval:(display:Off,pause:!f,section:0,value:0),time:(from:'2017-03-11T18:24:21-0700',mode:absolute,to:'2017-03-11T21:08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9" s="187" t="str">
        <f t="shared" si="34"/>
        <v>N</v>
      </c>
      <c r="X139" s="187">
        <f t="shared" si="50"/>
        <v>1</v>
      </c>
      <c r="Y139" s="62">
        <f t="shared" si="51"/>
        <v>4.5499999999999999E-2</v>
      </c>
      <c r="Z139" s="62">
        <f t="shared" si="52"/>
        <v>23.330300000000001</v>
      </c>
      <c r="AA139" s="62">
        <f t="shared" si="38"/>
        <v>23.284800000000001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9"/>
        <v>0223-11</v>
      </c>
      <c r="AE139" s="85" t="str">
        <f t="shared" si="40"/>
        <v>aws s3 cp s3://rtdc.mdm.uploadarchive.raw/RTDC4014/ "%USERPROFILE%\AppData\Local\Temp\OnboardLogs"\RTDC4014\2017-03-11 --exclude "*" --recursive --include "*20170311*" &amp; "%USERPROFILE%\Documents\GitHub\mrs-test-scripts\Headless Mode &amp; Sideloading\WalkAndUnGZ.bat" "%USERPROFILE%\AppData\Local\Temp\OnboardLogs"\RTDC4014\2017-03-11 &amp; aws s3 cp s3://rtdc.mdm.uploadarchive.raw/RTDC4014/ "%USERPROFILE%\AppData\Local\Temp\OnboardLogs"\RTDC4014\2017-03-12 --exclude "*" --recursive --include "*20170312*" &amp; "%USERPROFILE%\Documents\GitHub\mrs-test-scripts\Headless Mode &amp; Sideloading\WalkAndUnGZ.bat" "%USERPROFILE%\AppData\Local\Temp\OnboardLogs"\RTDC4014\2017-03-12</v>
      </c>
      <c r="AF139" s="82" t="str">
        <f t="shared" si="41"/>
        <v>"C:\Program Files (x86)\AstroGrep\AstroGrep.exe" /e /r /s /spath="%USERPROFILE%\AppData\Local\Temp\OnboardLogs" /stypes="app*4014*20170312*" /stext=" 03:.+((SYSTEM_STATE.+slice.+state.+changed )|(ment ac)|(multiple cpu faults)|(system.+state.+changed )|(\[timeout)|(PRM\|1\|D)|(kpr)|(kdp)|(\|lc)|(penalty))"</v>
      </c>
      <c r="AG139" s="1" t="str">
        <f t="shared" si="42"/>
        <v>EC</v>
      </c>
      <c r="AH139" s="86" t="str">
        <f t="shared" si="43"/>
        <v>"%USERPROFILE%\Documents\GitHub\eaglep3\Utilities\RefineRTDCRunTimes.py" --tripid 223-11 --locoid 4014 --swversion DE.1.0.9.0 --startMP 204:455 --initTime 2017-03-11T19:24:21 --startdatetime 2017-03-11T19:25:51 --delay 1 --endMP 204:233303 --enddatetime 2017-03-11T20:08:10 --enforcementcount 0 &gt;&gt;C:\Users\stu\Documents\GitHub\eaglep3-reporting\EC\2017-03-11-refined-times.txt</v>
      </c>
      <c r="AI139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{"issue":{"subject":"","project_id":79,"tracker_id":40,"status_id":1,"priority_id":2,"assigned_to_id":23,"start_date":"2017-03-11","description":"","custom_fields":[{"id":1,"name":"Subdivision","value":"EC"},{"id":4,"name":"Milepost","value":"23.3303"},{"id":17,"name":"Train ID","value":"223-11"},{"id":16,"name":"Locomotive ID","value":"4014"},{"id":130,"name":"Impact","value":""},{"id":150,"name":"Time of Event (Mountain Time)","value":"20:08:10"},{"id":151,"name":"Denver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5"/>
        <v>start /low /b %USERPROFILE%\Documents\GitHub\eaglep3\Utilities\DownloadLogsFromS3.py --loco 4014 --day 2017-03-11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"%USERPROFILE%\AppData\Local\Temp\OnboardLogs"\RTDC4014\*4014*20170312* | grep -SE "(Enforcement Action)|(\[TIMEOUT)|(CHR.+\|PRM\|1\|D.+(SWITCH|SIGNAL).+UNKNOWN)" - &gt;&gt; 2017-03-11-UncaughtWiMAX.txt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799</v>
      </c>
      <c r="B140" s="7">
        <v>4013</v>
      </c>
      <c r="C140" s="21" t="s">
        <v>240</v>
      </c>
      <c r="D140" s="21" t="s">
        <v>424</v>
      </c>
      <c r="E140" s="13">
        <v>42805.843159722222</v>
      </c>
      <c r="F140" s="13">
        <v>42805.844004629631</v>
      </c>
      <c r="G140" s="7">
        <v>1</v>
      </c>
      <c r="H140" s="21" t="s">
        <v>202</v>
      </c>
      <c r="I140" s="13">
        <v>42805.880324074074</v>
      </c>
      <c r="J140" s="7">
        <v>0</v>
      </c>
      <c r="K140" s="98" t="str">
        <f t="shared" si="30"/>
        <v>4013/4014</v>
      </c>
      <c r="L140" s="21" t="str">
        <f>VLOOKUP(A140,'Trips&amp;Operators'!$C$1:$G$99999,5,FALSE)</f>
        <v>SMITH MICHAEL</v>
      </c>
      <c r="M140" s="6">
        <f t="shared" si="31"/>
        <v>3.6319444443506654E-2</v>
      </c>
      <c r="N140" s="7">
        <f t="shared" si="53"/>
        <v>52.299999998649582</v>
      </c>
      <c r="O140" s="7"/>
      <c r="P140" s="7"/>
      <c r="Q140" s="22"/>
      <c r="R140" s="22"/>
      <c r="S140" s="31">
        <f t="shared" si="54"/>
        <v>1</v>
      </c>
      <c r="T140" s="46" t="str">
        <f t="shared" si="32"/>
        <v>Southbound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33"/>
        <v>https://d0f6bd738d7f1b3e5a7ca70fe4ff75f0.us-east-1.aws.found.io/app/kibana#/discover/Steve-Slow-Train-Analysis-(2080s-and-2083s)?_g=(refreshInterval:(display:Off,pause:!f,section:0,value:0),time:(from:'2017-03-11T19:14:09-0700',mode:absolute,to:'2017-03-11T22:07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0" s="187" t="str">
        <f t="shared" si="34"/>
        <v>N</v>
      </c>
      <c r="X140" s="187">
        <f t="shared" si="50"/>
        <v>1</v>
      </c>
      <c r="Y140" s="62">
        <f t="shared" si="51"/>
        <v>23.297999999999998</v>
      </c>
      <c r="Z140" s="62">
        <f t="shared" si="52"/>
        <v>1.52E-2</v>
      </c>
      <c r="AA140" s="62">
        <f t="shared" si="38"/>
        <v>23.282799999999998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9"/>
        <v>0224-11</v>
      </c>
      <c r="AE140" s="85" t="str">
        <f t="shared" si="40"/>
        <v>aws s3 cp s3://rtdc.mdm.uploadarchive.raw/RTDC4013/ "%USERPROFILE%\AppData\Local\Temp\OnboardLogs"\RTDC4013\2017-03-11 --exclude "*" --recursive --include "*20170311*" &amp; "%USERPROFILE%\Documents\GitHub\mrs-test-scripts\Headless Mode &amp; Sideloading\WalkAndUnGZ.bat" "%USERPROFILE%\AppData\Local\Temp\OnboardLogs"\RTDC4013\2017-03-11 &amp; aws s3 cp s3://rtdc.mdm.uploadarchive.raw/RTDC4013/ "%USERPROFILE%\AppData\Local\Temp\OnboardLogs"\RTDC4013\2017-03-12 --exclude "*" --recursive --include "*20170312*" &amp; "%USERPROFILE%\Documents\GitHub\mrs-test-scripts\Headless Mode &amp; Sideloading\WalkAndUnGZ.bat" "%USERPROFILE%\AppData\Local\Temp\OnboardLogs"\RTDC4013\2017-03-12</v>
      </c>
      <c r="AF140" s="82" t="str">
        <f t="shared" si="41"/>
        <v>"C:\Program Files (x86)\AstroGrep\AstroGrep.exe" /e /r /s /spath="%USERPROFILE%\AppData\Local\Temp\OnboardLogs" /stypes="app*4013*20170312*" /stext=" 04:.+((SYSTEM_STATE.+slice.+state.+changed )|(ment ac)|(multiple cpu faults)|(system.+state.+changed )|(\[timeout)|(PRM\|1\|D)|(kpr)|(kdp)|(\|lc)|(penalty))"</v>
      </c>
      <c r="AG140" s="1" t="str">
        <f t="shared" si="42"/>
        <v>EC</v>
      </c>
      <c r="AH140" s="86" t="str">
        <f t="shared" si="43"/>
        <v>"%USERPROFILE%\Documents\GitHub\eaglep3\Utilities\RefineRTDCRunTimes.py" --tripid 224-11 --locoid 4013 --swversion DE.1.0.9.0 --startMP 204:232980 --initTime 2017-03-11T20:14:09 --startdatetime 2017-03-11T20:15:22 --delay 1 --endMP 204:152 --enddatetime 2017-03-11T21:07:40 --enforcementcount 0 &gt;&gt;C:\Users\stu\Documents\GitHub\eaglep3-reporting\EC\2017-03-11-refined-times.txt</v>
      </c>
      <c r="AI140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{"issue":{"subject":"","project_id":79,"tracker_id":40,"status_id":1,"priority_id":2,"assigned_to_id":23,"start_date":"2017-03-11","description":"","custom_fields":[{"id":1,"name":"Subdivision","value":"EC"},{"id":4,"name":"Milepost","value":"0.0152"},{"id":17,"name":"Train ID","value":"224-11"},{"id":16,"name":"Locomotive ID","value":"4013"},{"id":130,"name":"Impact","value":""},{"id":150,"name":"Time of Event (Mountain Time)","value":"21:07:40"},{"id":151,"name":"Denver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5"/>
        <v>start /low /b %USERPROFILE%\Documents\GitHub\eaglep3\Utilities\DownloadLogsFromS3.py --loco 4013 --day 2017-03-11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"%USERPROFILE%\AppData\Local\Temp\OnboardLogs"\RTDC4013\*4013*20170312* | grep -SE "(Enforcement Action)|(\[TIMEOUT)|(CHR.+\|PRM\|1\|D.+(SWITCH|SIGNAL).+UNKNOWN)" - &gt;&gt; 2017-03-11-UncaughtWiMAX.txt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608</v>
      </c>
      <c r="B141" s="7">
        <v>4046</v>
      </c>
      <c r="C141" s="21" t="s">
        <v>240</v>
      </c>
      <c r="D141" s="21" t="s">
        <v>226</v>
      </c>
      <c r="E141" s="13">
        <v>42805.830613425926</v>
      </c>
      <c r="F141" s="13">
        <v>42805.831574074073</v>
      </c>
      <c r="G141" s="7">
        <v>1</v>
      </c>
      <c r="H141" s="21" t="s">
        <v>232</v>
      </c>
      <c r="I141" s="13">
        <v>42805.859849537039</v>
      </c>
      <c r="J141" s="7">
        <v>0</v>
      </c>
      <c r="K141" s="98" t="str">
        <f t="shared" ref="K141:K204" si="55">IF(ISEVEN(B141),(B141-1)&amp;"/"&amp;B141,B141&amp;"/"&amp;(B141+1))</f>
        <v>4045/4046</v>
      </c>
      <c r="L141" s="21" t="str">
        <f>VLOOKUP(A141,'Trips&amp;Operators'!$C$1:$G$99999,5,FALSE)</f>
        <v>PERKINS DARREN</v>
      </c>
      <c r="M141" s="6">
        <f t="shared" ref="M141:M204" si="56">I141-F141</f>
        <v>2.8275462966121268E-2</v>
      </c>
      <c r="N141" s="7">
        <f t="shared" si="53"/>
        <v>40.716666671214625</v>
      </c>
      <c r="O141" s="7"/>
      <c r="P141" s="7"/>
      <c r="Q141" s="22"/>
      <c r="R141" s="22"/>
      <c r="S141" s="31">
        <f t="shared" si="54"/>
        <v>1</v>
      </c>
      <c r="T141" s="46" t="str">
        <f t="shared" ref="T141:T204" si="57">IF(ISEVEN(LEFT(AD141,4)),"Southbound","NorthBound")</f>
        <v>NorthBound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58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-11T18:56:05-0700',mode:absolute,to:'2017-03-11T21:38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1" s="187" t="str">
        <f t="shared" ref="W141:W204" si="59">IF(AA141&lt;IF(AG141="EC",23,5.65),"Y","N")</f>
        <v>N</v>
      </c>
      <c r="X141" s="187">
        <f t="shared" ref="X141:X161" si="60">VALUE(LEFT(AD141,4))-VALUE(LEFT(AD140,4))</f>
        <v>1</v>
      </c>
      <c r="Y141" s="62">
        <f t="shared" ref="Y141:Y159" si="61">RIGHT(D141,LEN(D141)-4)/10000</f>
        <v>4.4600000000000001E-2</v>
      </c>
      <c r="Z141" s="62">
        <f t="shared" ref="Z141:Z159" si="62">RIGHT(H141,LEN(H141)-4)/10000</f>
        <v>23.331</v>
      </c>
      <c r="AA141" s="62">
        <f t="shared" ref="AA141:AA204" si="63">ABS(Z141-Y141)</f>
        <v>23.2864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4">IF(LEN(A141)=6,"0"&amp;A141,A141)</f>
        <v>0225-11</v>
      </c>
      <c r="AE141" s="85" t="str">
        <f t="shared" ref="AE141:AE204" si="6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s3://rtdc.mdm.uploadarchive.raw/RTDC4046/ "%USERPROFILE%\AppData\Local\Temp\OnboardLogs"\RTDC4046\2017-03-11 --exclude "*" --recursive --include "*20170311*" &amp; "%USERPROFILE%\Documents\GitHub\mrs-test-scripts\Headless Mode &amp; Sideloading\WalkAndUnGZ.bat" "%USERPROFILE%\AppData\Local\Temp\OnboardLogs"\RTDC4046\2017-03-11 &amp; aws s3 cp s3://rtdc.mdm.uploadarchive.raw/RTDC4046/ "%USERPROFILE%\AppData\Local\Temp\OnboardLogs"\RTDC4046\2017-03-12 --exclude "*" --recursive --include "*20170312*" &amp; "%USERPROFILE%\Documents\GitHub\mrs-test-scripts\Headless Mode &amp; Sideloading\WalkAndUnGZ.bat" "%USERPROFILE%\AppData\Local\Temp\OnboardLogs"\RTDC4046\2017-03-12</v>
      </c>
      <c r="AF141" s="82" t="str">
        <f t="shared" ref="AF141:AF204" si="6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/stypes="app*4046*20170312*" /stext=" 03:.+((SYSTEM_STATE.+slice.+state.+changed )|(ment ac)|(multiple cpu faults)|(system.+state.+changed )|(\[timeout)|(PRM\|1\|D)|(kpr)|(kdp)|(\|lc)|(penalty))"</v>
      </c>
      <c r="AG141" s="1" t="str">
        <f t="shared" ref="AG141:AG204" si="67">IFERROR(IF(VALUE(LEFT(AD141,2))&lt;=2,"EC",IF(OR(VALUE(LEFT(AD141,2))=8,VALUE(LEFT(AD141,2))=18),"NW","Other")),"Other")</f>
        <v>EC</v>
      </c>
      <c r="AH141" s="86" t="str">
        <f t="shared" si="43"/>
        <v>"%USERPROFILE%\Documents\GitHub\eaglep3\Utilities\RefineRTDCRunTimes.py" --tripid 225-11 --locoid 4046 --swversion DE.1.0.9.0 --startMP 204:446 --initTime 2017-03-11T19:56:05 --startdatetime 2017-03-11T19:57:28 --delay 1 --endMP 204:233310 --enddatetime 2017-03-11T20:38:11 --enforcementcount 0 &gt;&gt;C:\Users\stu\Documents\GitHub\eaglep3-reporting\EC\2017-03-11-refined-times.txt</v>
      </c>
      <c r="AI141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{"issue":{"subject":"","project_id":79,"tracker_id":40,"status_id":1,"priority_id":2,"assigned_to_id":23,"start_date":"2017-03-11","description":"","custom_fields":[{"id":1,"name":"Subdivision","value":"EC"},{"id":4,"name":"Milepost","value":"23.331"},{"id":17,"name":"Train ID","value":"225-11"},{"id":16,"name":"Locomotive ID","value":"4046"},{"id":130,"name":"Impact","value":""},{"id":150,"name":"Time of Event (Mountain Time)","value":"20:38:11"},{"id":151,"name":"Denver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45"/>
        <v>start /low /b %USERPROFILE%\Documents\GitHub\eaglep3\Utilities\DownloadLogsFromS3.py --loco 4046 --day 2017-03-11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"%USERPROFILE%\AppData\Local\Temp\OnboardLogs"\RTDC4046\*4046*20170312* | grep -SE "(Enforcement Action)|(\[TIMEOUT)|(CHR.+\|PRM\|1\|D.+(SWITCH|SIGNAL).+UNKNOWN)" - &gt;&gt; 2017-03-11-UncaughtWiMAX.txt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802</v>
      </c>
      <c r="B142" s="7">
        <v>4045</v>
      </c>
      <c r="C142" s="21" t="s">
        <v>240</v>
      </c>
      <c r="D142" s="21" t="s">
        <v>496</v>
      </c>
      <c r="E142" s="13">
        <v>42805.86577546296</v>
      </c>
      <c r="F142" s="13">
        <v>42805.866608796299</v>
      </c>
      <c r="G142" s="7">
        <v>1</v>
      </c>
      <c r="H142" s="21" t="s">
        <v>561</v>
      </c>
      <c r="I142" s="13">
        <v>42805.906145833331</v>
      </c>
      <c r="J142" s="7">
        <v>0</v>
      </c>
      <c r="K142" s="98" t="str">
        <f t="shared" si="55"/>
        <v>4045/4046</v>
      </c>
      <c r="L142" s="21" t="str">
        <f>VLOOKUP(A142,'Trips&amp;Operators'!$C$1:$G$99999,5,FALSE)</f>
        <v>PERKINS DARREN</v>
      </c>
      <c r="M142" s="6">
        <f t="shared" si="56"/>
        <v>3.9537037031550426E-2</v>
      </c>
      <c r="N142" s="7">
        <f t="shared" si="53"/>
        <v>56.933333325432613</v>
      </c>
      <c r="O142" s="7"/>
      <c r="P142" s="7"/>
      <c r="Q142" s="22"/>
      <c r="R142" s="22"/>
      <c r="S142" s="31">
        <f t="shared" si="54"/>
        <v>1</v>
      </c>
      <c r="T142" s="46" t="str">
        <f t="shared" si="57"/>
        <v>Southbound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58"/>
        <v>https://d0f6bd738d7f1b3e5a7ca70fe4ff75f0.us-east-1.aws.found.io/app/kibana#/discover/Steve-Slow-Train-Analysis-(2080s-and-2083s)?_g=(refreshInterval:(display:Off,pause:!f,section:0,value:0),time:(from:'2017-03-11T19:46:43-0700',mode:absolute,to:'2017-03-11T22:44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2" s="187" t="str">
        <f t="shared" si="59"/>
        <v>N</v>
      </c>
      <c r="X142" s="187">
        <f t="shared" si="60"/>
        <v>1</v>
      </c>
      <c r="Y142" s="62">
        <f t="shared" si="61"/>
        <v>23.299600000000002</v>
      </c>
      <c r="Z142" s="62">
        <f t="shared" si="62"/>
        <v>1.38E-2</v>
      </c>
      <c r="AA142" s="62">
        <f t="shared" si="63"/>
        <v>23.285800000000002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4"/>
        <v>0226-11</v>
      </c>
      <c r="AE142" s="85" t="str">
        <f t="shared" si="65"/>
        <v>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 &amp; aws s3 cp s3://rtdc.mdm.uploadarchive.raw/RTDC4045/ "%USERPROFILE%\AppData\Local\Temp\OnboardLogs"\RTDC4045\2017-03-12 --exclude "*" --recursive --include "*20170312*" &amp; "%USERPROFILE%\Documents\GitHub\mrs-test-scripts\Headless Mode &amp; Sideloading\WalkAndUnGZ.bat" "%USERPROFILE%\AppData\Local\Temp\OnboardLogs"\RTDC4045\2017-03-12</v>
      </c>
      <c r="AF142" s="82" t="str">
        <f t="shared" si="66"/>
        <v>"C:\Program Files (x86)\AstroGrep\AstroGrep.exe" /e /r /s /spath="%USERPROFILE%\AppData\Local\Temp\OnboardLogs" /stypes="app*4045*20170312*" /stext=" 04:.+((SYSTEM_STATE.+slice.+state.+changed )|(ment ac)|(multiple cpu faults)|(system.+state.+changed )|(\[timeout)|(PRM\|1\|D)|(kpr)|(kdp)|(\|lc)|(penalty))"</v>
      </c>
      <c r="AG142" s="1" t="str">
        <f t="shared" si="67"/>
        <v>EC</v>
      </c>
      <c r="AH142" s="86" t="str">
        <f t="shared" si="43"/>
        <v>"%USERPROFILE%\Documents\GitHub\eaglep3\Utilities\RefineRTDCRunTimes.py" --tripid 226-11 --locoid 4045 --swversion DE.1.0.9.0 --startMP 204:232996 --initTime 2017-03-11T20:46:43 --startdatetime 2017-03-11T20:47:55 --delay 1 --endMP 204:138 --enddatetime 2017-03-11T21:44:51 --enforcementcount 0 &gt;&gt;C:\Users\stu\Documents\GitHub\eaglep3-reporting\EC\2017-03-11-refined-times.txt</v>
      </c>
      <c r="AI142" s="108" t="str">
        <f t="shared" si="44"/>
        <v>echo {"issue":{"subject":"","project_id":79,"tracker_id":40,"status_id":1,"priority_id":2,"assigned_to_id":23,"start_date":"2017-03-11","description":"","custom_fields":[{"id":1,"name":"Subdivision","value":"EC"},{"id":4,"name":"Milepost","value":"0.0138"},{"id":17,"name":"Train ID","value":"226-11"},{"id":16,"name":"Locomotive ID","value":"4045"},{"id":130,"name":"Impact","value":""},{"id":150,"name":"Time of Event (Mountain Time)","value":"21:44:51"},{"id":151,"name":"Denver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45"/>
        <v>start /low /b %USERPROFILE%\Documents\GitHub\eaglep3\Utilities\DownloadLogsFromS3.py --loco 4045 --day 2017-03-11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"%USERPROFILE%\AppData\Local\Temp\OnboardLogs"\RTDC4045\*4045*20170312* | grep -SE "(Enforcement Action)|(\[TIMEOUT)|(CHR.+\|PRM\|1\|D.+(SWITCH|SIGNAL).+UNKNOWN)" - &gt;&gt; 2017-03-11-UncaughtWiMAX.txt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800</v>
      </c>
      <c r="B143" s="7">
        <v>4040</v>
      </c>
      <c r="C143" s="21" t="s">
        <v>240</v>
      </c>
      <c r="D143" s="21" t="s">
        <v>499</v>
      </c>
      <c r="E143" s="13">
        <v>42805.851840277777</v>
      </c>
      <c r="F143" s="13">
        <v>42805.852754629632</v>
      </c>
      <c r="G143" s="7">
        <v>1</v>
      </c>
      <c r="H143" s="21" t="s">
        <v>275</v>
      </c>
      <c r="I143" s="13">
        <v>42805.88144675926</v>
      </c>
      <c r="J143" s="7">
        <v>0</v>
      </c>
      <c r="K143" s="98" t="str">
        <f t="shared" si="55"/>
        <v>4039/4040</v>
      </c>
      <c r="L143" s="21" t="str">
        <f>VLOOKUP(A143,'Trips&amp;Operators'!$C$1:$G$99999,5,FALSE)</f>
        <v>SWANSON BRYCE</v>
      </c>
      <c r="M143" s="6">
        <f t="shared" si="56"/>
        <v>2.8692129628325347E-2</v>
      </c>
      <c r="N143" s="7">
        <f t="shared" si="53"/>
        <v>41.316666664788499</v>
      </c>
      <c r="O143" s="7"/>
      <c r="P143" s="7"/>
      <c r="Q143" s="22"/>
      <c r="R143" s="22"/>
      <c r="S143" s="31">
        <f t="shared" si="54"/>
        <v>1</v>
      </c>
      <c r="T143" s="46" t="str">
        <f t="shared" si="57"/>
        <v>NorthBound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58"/>
        <v>https://d0f6bd738d7f1b3e5a7ca70fe4ff75f0.us-east-1.aws.found.io/app/kibana#/discover/Steve-Slow-Train-Analysis-(2080s-and-2083s)?_g=(refreshInterval:(display:Off,pause:!f,section:0,value:0),time:(from:'2017-03-11T19:26:39-0700',mode:absolute,to:'2017-03-11T22:09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3" s="187" t="str">
        <f t="shared" si="59"/>
        <v>N</v>
      </c>
      <c r="X143" s="187">
        <f t="shared" si="60"/>
        <v>1</v>
      </c>
      <c r="Y143" s="62">
        <f t="shared" si="61"/>
        <v>4.3799999999999999E-2</v>
      </c>
      <c r="Z143" s="62">
        <f t="shared" si="62"/>
        <v>23.330300000000001</v>
      </c>
      <c r="AA143" s="62">
        <f t="shared" si="63"/>
        <v>23.2865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4"/>
        <v>0227-11</v>
      </c>
      <c r="AE143" s="85" t="str">
        <f t="shared" si="65"/>
        <v>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 &amp; aws s3 cp s3://rtdc.mdm.uploadarchive.raw/RTDC4040/ "%USERPROFILE%\AppData\Local\Temp\OnboardLogs"\RTDC4040\2017-03-12 --exclude "*" --recursive --include "*20170312*" &amp; "%USERPROFILE%\Documents\GitHub\mrs-test-scripts\Headless Mode &amp; Sideloading\WalkAndUnGZ.bat" "%USERPROFILE%\AppData\Local\Temp\OnboardLogs"\RTDC4040\2017-03-12</v>
      </c>
      <c r="AF143" s="82" t="str">
        <f t="shared" si="66"/>
        <v>"C:\Program Files (x86)\AstroGrep\AstroGrep.exe" /e /r /s /spath="%USERPROFILE%\AppData\Local\Temp\OnboardLogs" /stypes="app*4040*20170312*" /stext=" 04:.+((SYSTEM_STATE.+slice.+state.+changed )|(ment ac)|(multiple cpu faults)|(system.+state.+changed )|(\[timeout)|(PRM\|1\|D)|(kpr)|(kdp)|(\|lc)|(penalty))"</v>
      </c>
      <c r="AG143" s="1" t="str">
        <f t="shared" si="67"/>
        <v>EC</v>
      </c>
      <c r="AH143" s="86" t="str">
        <f t="shared" ref="AH143:AH205" si="68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227-11 --locoid 4040 --swversion DE.1.0.9.0 --startMP 204:438 --initTime 2017-03-11T20:26:39 --startdatetime 2017-03-11T20:27:58 --delay 1 --endMP 204:233303 --enddatetime 2017-03-11T21:09:17 --enforcementcount 0 &gt;&gt;C:\Users\stu\Documents\GitHub\eaglep3-reporting\EC\2017-03-11-refined-times.txt</v>
      </c>
      <c r="AI143" s="108" t="str">
        <f t="shared" ref="AI143:AI205" si="69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{"issue":{"subject":"","project_id":79,"tracker_id":40,"status_id":1,"priority_id":2,"assigned_to_id":23,"start_date":"2017-03-11","description":"","custom_fields":[{"id":1,"name":"Subdivision","value":"EC"},{"id":4,"name":"Milepost","value":"23.3303"},{"id":17,"name":"Train ID","value":"227-11"},{"id":16,"name":"Locomotive ID","value":"4040"},{"id":130,"name":"Impact","value":""},{"id":150,"name":"Time of Event (Mountain Time)","value":"21:09:17"},{"id":151,"name":"Denver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ref="AM143:AM205" si="70">"start /low /b "&amp;dls3logs&amp;" --loco "&amp;B143&amp;" --day "&amp;TEXT(F143,"YYYY-MM-DD")</f>
        <v>start /low /b %USERPROFILE%\Documents\GitHub\eaglep3\Utilities\DownloadLogsFromS3.py --loco 4040 --day 2017-03-11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"%USERPROFILE%\AppData\Local\Temp\OnboardLogs"\RTDC4040\*4040*20170312* | grep -SE "(Enforcement Action)|(\[TIMEOUT)|(CHR.+\|PRM\|1\|D.+(SWITCH|SIGNAL).+UNKNOWN)" - &gt;&gt; 2017-03-11-UncaughtWiMAX.txt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804</v>
      </c>
      <c r="B144" s="7">
        <v>4039</v>
      </c>
      <c r="C144" s="21" t="s">
        <v>240</v>
      </c>
      <c r="D144" s="21" t="s">
        <v>273</v>
      </c>
      <c r="E144" s="13">
        <v>42805.882881944446</v>
      </c>
      <c r="F144" s="13">
        <v>42805.883831018517</v>
      </c>
      <c r="G144" s="7">
        <v>1</v>
      </c>
      <c r="H144" s="21" t="s">
        <v>208</v>
      </c>
      <c r="I144" s="13">
        <v>42805.923252314817</v>
      </c>
      <c r="J144" s="7">
        <v>0</v>
      </c>
      <c r="K144" s="98" t="str">
        <f t="shared" si="55"/>
        <v>4039/4040</v>
      </c>
      <c r="L144" s="21" t="str">
        <f>VLOOKUP(A144,'Trips&amp;Operators'!$C$1:$G$99999,5,FALSE)</f>
        <v>SWANSON BRYCE</v>
      </c>
      <c r="M144" s="6">
        <f t="shared" si="56"/>
        <v>3.942129630013369E-2</v>
      </c>
      <c r="N144" s="7">
        <f t="shared" si="53"/>
        <v>56.766666672192514</v>
      </c>
      <c r="O144" s="7"/>
      <c r="P144" s="7"/>
      <c r="Q144" s="22"/>
      <c r="R144" s="22"/>
      <c r="S144" s="31">
        <f t="shared" si="54"/>
        <v>1</v>
      </c>
      <c r="T144" s="46" t="str">
        <f t="shared" si="57"/>
        <v>Southbound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58"/>
        <v>https://d0f6bd738d7f1b3e5a7ca70fe4ff75f0.us-east-1.aws.found.io/app/kibana#/discover/Steve-Slow-Train-Analysis-(2080s-and-2083s)?_g=(refreshInterval:(display:Off,pause:!f,section:0,value:0),time:(from:'2017-03-11T20:11:21-0700',mode:absolute,to:'2017-03-11T23:09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4" s="187" t="str">
        <f t="shared" si="59"/>
        <v>N</v>
      </c>
      <c r="X144" s="187">
        <f t="shared" si="60"/>
        <v>1</v>
      </c>
      <c r="Y144" s="62">
        <f t="shared" si="61"/>
        <v>23.2988</v>
      </c>
      <c r="Z144" s="62">
        <f t="shared" si="62"/>
        <v>1.54E-2</v>
      </c>
      <c r="AA144" s="62">
        <f t="shared" si="63"/>
        <v>23.2834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4"/>
        <v>0228-11</v>
      </c>
      <c r="AE144" s="85" t="str">
        <f t="shared" si="65"/>
        <v>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 &amp; aws s3 cp s3://rtdc.mdm.uploadarchive.raw/RTDC4039/ "%USERPROFILE%\AppData\Local\Temp\OnboardLogs"\RTDC4039\2017-03-12 --exclude "*" --recursive --include "*20170312*" &amp; "%USERPROFILE%\Documents\GitHub\mrs-test-scripts\Headless Mode &amp; Sideloading\WalkAndUnGZ.bat" "%USERPROFILE%\AppData\Local\Temp\OnboardLogs"\RTDC4039\2017-03-12</v>
      </c>
      <c r="AF144" s="82" t="str">
        <f t="shared" si="66"/>
        <v>"C:\Program Files (x86)\AstroGrep\AstroGrep.exe" /e /r /s /spath="%USERPROFILE%\AppData\Local\Temp\OnboardLogs" /stypes="app*4039*20170312*" /stext=" 05:.+((SYSTEM_STATE.+slice.+state.+changed )|(ment ac)|(multiple cpu faults)|(system.+state.+changed )|(\[timeout)|(PRM\|1\|D)|(kpr)|(kdp)|(\|lc)|(penalty))"</v>
      </c>
      <c r="AG144" s="1" t="str">
        <f t="shared" si="67"/>
        <v>EC</v>
      </c>
      <c r="AH144" s="86" t="str">
        <f t="shared" si="68"/>
        <v>"%USERPROFILE%\Documents\GitHub\eaglep3\Utilities\RefineRTDCRunTimes.py" --tripid 228-11 --locoid 4039 --swversion DE.1.0.9.0 --startMP 204:232988 --initTime 2017-03-11T21:11:21 --startdatetime 2017-03-11T21:12:43 --delay 1 --endMP 204:154 --enddatetime 2017-03-11T22:09:29 --enforcementcount 0 &gt;&gt;C:\Users\stu\Documents\GitHub\eaglep3-reporting\EC\2017-03-11-refined-times.txt</v>
      </c>
      <c r="AI144" s="108" t="str">
        <f t="shared" si="69"/>
        <v>echo {"issue":{"subject":"","project_id":79,"tracker_id":40,"status_id":1,"priority_id":2,"assigned_to_id":23,"start_date":"2017-03-11","description":"","custom_fields":[{"id":1,"name":"Subdivision","value":"EC"},{"id":4,"name":"Milepost","value":"0.0154"},{"id":17,"name":"Train ID","value":"228-11"},{"id":16,"name":"Locomotive ID","value":"4039"},{"id":130,"name":"Impact","value":""},{"id":150,"name":"Time of Event (Mountain Time)","value":"22:09:29"},{"id":151,"name":"Denver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70"/>
        <v>start /low /b %USERPROFILE%\Documents\GitHub\eaglep3\Utilities\DownloadLogsFromS3.py --loco 4039 --day 2017-03-11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"%USERPROFILE%\AppData\Local\Temp\OnboardLogs"\RTDC4039\*4039*20170312* | grep -SE "(Enforcement Action)|(\[TIMEOUT)|(CHR.+\|PRM\|1\|D.+(SWITCH|SIGNAL).+UNKNOWN)" - &gt;&gt; 2017-03-11-UncaughtWiMAX.txt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803</v>
      </c>
      <c r="B145" s="7">
        <v>4029</v>
      </c>
      <c r="C145" s="21" t="s">
        <v>240</v>
      </c>
      <c r="D145" s="21" t="s">
        <v>260</v>
      </c>
      <c r="E145" s="13">
        <v>42805.870219907411</v>
      </c>
      <c r="F145" s="13">
        <v>42805.871932870374</v>
      </c>
      <c r="G145" s="7">
        <v>2</v>
      </c>
      <c r="H145" s="21" t="s">
        <v>952</v>
      </c>
      <c r="I145" s="13">
        <v>42805.901805555557</v>
      </c>
      <c r="J145" s="7">
        <v>0</v>
      </c>
      <c r="K145" s="98" t="str">
        <f t="shared" si="55"/>
        <v>4029/4030</v>
      </c>
      <c r="L145" s="21" t="str">
        <f>VLOOKUP(A145,'Trips&amp;Operators'!$C$1:$G$99999,5,FALSE)</f>
        <v>BROWN JACOB</v>
      </c>
      <c r="M145" s="6">
        <f t="shared" si="56"/>
        <v>2.9872685183363501E-2</v>
      </c>
      <c r="N145" s="7">
        <f t="shared" si="53"/>
        <v>43.016666664043441</v>
      </c>
      <c r="O145" s="7"/>
      <c r="P145" s="7"/>
      <c r="Q145" s="22"/>
      <c r="R145" s="22"/>
      <c r="S145" s="31">
        <f t="shared" si="54"/>
        <v>1</v>
      </c>
      <c r="T145" s="46" t="str">
        <f t="shared" si="57"/>
        <v>NorthBound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58"/>
        <v>https://d0f6bd738d7f1b3e5a7ca70fe4ff75f0.us-east-1.aws.found.io/app/kibana#/discover/Steve-Slow-Train-Analysis-(2080s-and-2083s)?_g=(refreshInterval:(display:Off,pause:!f,section:0,value:0),time:(from:'2017-03-11T19:53:07-0700',mode:absolute,to:'2017-03-11T22:38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5" s="187" t="str">
        <f t="shared" si="59"/>
        <v>N</v>
      </c>
      <c r="X145" s="187">
        <f t="shared" si="60"/>
        <v>1</v>
      </c>
      <c r="Y145" s="62">
        <f t="shared" si="61"/>
        <v>4.6699999999999998E-2</v>
      </c>
      <c r="Z145" s="62">
        <f t="shared" si="62"/>
        <v>23.3338</v>
      </c>
      <c r="AA145" s="62">
        <f t="shared" si="63"/>
        <v>23.287099999999999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4"/>
        <v>0229-11</v>
      </c>
      <c r="AE145" s="85" t="str">
        <f t="shared" si="65"/>
        <v>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 &amp; aws s3 cp s3://rtdc.mdm.uploadarchive.raw/RTDC4029/ "%USERPROFILE%\AppData\Local\Temp\OnboardLogs"\RTDC4029\2017-03-12 --exclude "*" --recursive --include "*20170312*" &amp; "%USERPROFILE%\Documents\GitHub\mrs-test-scripts\Headless Mode &amp; Sideloading\WalkAndUnGZ.bat" "%USERPROFILE%\AppData\Local\Temp\OnboardLogs"\RTDC4029\2017-03-12</v>
      </c>
      <c r="AF145" s="82" t="str">
        <f t="shared" si="66"/>
        <v>"C:\Program Files (x86)\AstroGrep\AstroGrep.exe" /e /r /s /spath="%USERPROFILE%\AppData\Local\Temp\OnboardLogs" /stypes="app*4029*20170312*" /stext=" 04:.+((SYSTEM_STATE.+slice.+state.+changed )|(ment ac)|(multiple cpu faults)|(system.+state.+changed )|(\[timeout)|(PRM\|1\|D)|(kpr)|(kdp)|(\|lc)|(penalty))"</v>
      </c>
      <c r="AG145" s="1" t="str">
        <f t="shared" si="67"/>
        <v>EC</v>
      </c>
      <c r="AH145" s="86" t="str">
        <f t="shared" si="68"/>
        <v>"%USERPROFILE%\Documents\GitHub\eaglep3\Utilities\RefineRTDCRunTimes.py" --tripid 229-11 --locoid 4029 --swversion DE.1.0.9.0 --startMP 204:467 --initTime 2017-03-11T20:53:07 --startdatetime 2017-03-11T20:55:35 --delay 2 --endMP 204:233338 --enddatetime 2017-03-11T21:38:36 --enforcementcount 0 &gt;&gt;C:\Users\stu\Documents\GitHub\eaglep3-reporting\EC\2017-03-11-refined-times.txt</v>
      </c>
      <c r="AI145" s="108" t="str">
        <f t="shared" si="69"/>
        <v>echo {"issue":{"subject":"","project_id":79,"tracker_id":40,"status_id":1,"priority_id":2,"assigned_to_id":23,"start_date":"2017-03-11","description":"","custom_fields":[{"id":1,"name":"Subdivision","value":"EC"},{"id":4,"name":"Milepost","value":"23.3338"},{"id":17,"name":"Train ID","value":"229-11"},{"id":16,"name":"Locomotive ID","value":"4029"},{"id":130,"name":"Impact","value":""},{"id":150,"name":"Time of Event (Mountain Time)","value":"21:38:36"},{"id":151,"name":"Denver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70"/>
        <v>start /low /b %USERPROFILE%\Documents\GitHub\eaglep3\Utilities\DownloadLogsFromS3.py --loco 4029 --day 2017-03-11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"%USERPROFILE%\AppData\Local\Temp\OnboardLogs"\RTDC4029\*4029*20170312* | grep -SE "(Enforcement Action)|(\[TIMEOUT)|(CHR.+\|PRM\|1\|D.+(SWITCH|SIGNAL).+UNKNOWN)" - &gt;&gt; 2017-03-11-UncaughtWiMAX.txt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3" t="s">
        <v>809</v>
      </c>
      <c r="B146" s="7">
        <v>4030</v>
      </c>
      <c r="C146" s="21" t="s">
        <v>240</v>
      </c>
      <c r="D146" s="21" t="s">
        <v>438</v>
      </c>
      <c r="E146" s="13">
        <v>42805.910752314812</v>
      </c>
      <c r="F146" s="13">
        <v>42805.911736111113</v>
      </c>
      <c r="G146" s="7">
        <v>1</v>
      </c>
      <c r="H146" s="21" t="s">
        <v>203</v>
      </c>
      <c r="I146" s="13">
        <v>42805.942546296297</v>
      </c>
      <c r="J146" s="7">
        <v>0</v>
      </c>
      <c r="K146" s="98" t="str">
        <f t="shared" si="55"/>
        <v>4029/4030</v>
      </c>
      <c r="L146" s="21" t="str">
        <f>VLOOKUP(A146,'Trips&amp;Operators'!$C$1:$G$99999,5,FALSE)</f>
        <v>BROWN JACOB</v>
      </c>
      <c r="M146" s="6">
        <f t="shared" si="56"/>
        <v>3.0810185184236616E-2</v>
      </c>
      <c r="N146" s="7">
        <f t="shared" si="53"/>
        <v>44.366666665300727</v>
      </c>
      <c r="O146" s="7"/>
      <c r="P146" s="7"/>
      <c r="Q146" s="22"/>
      <c r="R146" s="22"/>
      <c r="S146" s="31">
        <f t="shared" si="54"/>
        <v>1</v>
      </c>
      <c r="T146" s="46" t="str">
        <f t="shared" si="57"/>
        <v>Southbound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58"/>
        <v>https://d0f6bd738d7f1b3e5a7ca70fe4ff75f0.us-east-1.aws.found.io/app/kibana#/discover/Steve-Slow-Train-Analysis-(2080s-and-2083s)?_g=(refreshInterval:(display:Off,pause:!f,section:0,value:0),time:(from:'2017-03-11T20:51:29-0700',mode:absolute,to:'2017-03-11T23:37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6" s="187" t="str">
        <f t="shared" si="59"/>
        <v>N</v>
      </c>
      <c r="X146" s="187">
        <f t="shared" si="60"/>
        <v>1</v>
      </c>
      <c r="Y146" s="62">
        <f t="shared" si="61"/>
        <v>23.303000000000001</v>
      </c>
      <c r="Z146" s="62">
        <f t="shared" si="62"/>
        <v>1.5800000000000002E-2</v>
      </c>
      <c r="AA146" s="62">
        <f t="shared" si="63"/>
        <v>23.287200000000002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4"/>
        <v>0230-11</v>
      </c>
      <c r="AE146" s="85" t="str">
        <f t="shared" si="65"/>
        <v>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 &amp; aws s3 cp s3://rtdc.mdm.uploadarchive.raw/RTDC4030/ "%USERPROFILE%\AppData\Local\Temp\OnboardLogs"\RTDC4030\2017-03-12 --exclude "*" --recursive --include "*20170312*" &amp; "%USERPROFILE%\Documents\GitHub\mrs-test-scripts\Headless Mode &amp; Sideloading\WalkAndUnGZ.bat" "%USERPROFILE%\AppData\Local\Temp\OnboardLogs"\RTDC4030\2017-03-12</v>
      </c>
      <c r="AF146" s="82" t="str">
        <f t="shared" si="66"/>
        <v>"C:\Program Files (x86)\AstroGrep\AstroGrep.exe" /e /r /s /spath="%USERPROFILE%\AppData\Local\Temp\OnboardLogs" /stypes="app*4030*20170312*" /stext=" 05:.+((SYSTEM_STATE.+slice.+state.+changed )|(ment ac)|(multiple cpu faults)|(system.+state.+changed )|(\[timeout)|(PRM\|1\|D)|(kpr)|(kdp)|(\|lc)|(penalty))"</v>
      </c>
      <c r="AG146" s="1" t="str">
        <f t="shared" si="67"/>
        <v>EC</v>
      </c>
      <c r="AH146" s="86" t="str">
        <f t="shared" si="68"/>
        <v>"%USERPROFILE%\Documents\GitHub\eaglep3\Utilities\RefineRTDCRunTimes.py" --tripid 230-11 --locoid 4030 --swversion DE.1.0.9.0 --startMP 204:233030 --initTime 2017-03-11T21:51:29 --startdatetime 2017-03-11T21:52:54 --delay 1 --endMP 204:158 --enddatetime 2017-03-11T22:37:16 --enforcementcount 0 &gt;&gt;C:\Users\stu\Documents\GitHub\eaglep3-reporting\EC\2017-03-11-refined-times.txt</v>
      </c>
      <c r="AI146" s="108" t="str">
        <f t="shared" si="69"/>
        <v>echo {"issue":{"subject":"","project_id":79,"tracker_id":40,"status_id":1,"priority_id":2,"assigned_to_id":23,"start_date":"2017-03-11","description":"","custom_fields":[{"id":1,"name":"Subdivision","value":"EC"},{"id":4,"name":"Milepost","value":"0.0158"},{"id":17,"name":"Train ID","value":"230-11"},{"id":16,"name":"Locomotive ID","value":"4030"},{"id":130,"name":"Impact","value":""},{"id":150,"name":"Time of Event (Mountain Time)","value":"22:37:16"},{"id":151,"name":"Denver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70"/>
        <v>start /low /b %USERPROFILE%\Documents\GitHub\eaglep3\Utilities\DownloadLogsFromS3.py --loco 4030 --day 2017-03-11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"%USERPROFILE%\AppData\Local\Temp\OnboardLogs"\RTDC4030\*4030*20170312* | grep -SE "(Enforcement Action)|(\[TIMEOUT)|(CHR.+\|PRM\|1\|D.+(SWITCH|SIGNAL).+UNKNOWN)" - &gt;&gt; 2017-03-11-UncaughtWiMAX.txt</v>
      </c>
    </row>
    <row r="147" spans="1:91" s="20" customFormat="1" x14ac:dyDescent="0.25">
      <c r="A147" s="33" t="s">
        <v>806</v>
      </c>
      <c r="B147" s="7">
        <v>4014</v>
      </c>
      <c r="C147" s="21" t="s">
        <v>240</v>
      </c>
      <c r="D147" s="21" t="s">
        <v>241</v>
      </c>
      <c r="E147" s="13">
        <v>42805.888333333336</v>
      </c>
      <c r="F147" s="13">
        <v>42805.890150462961</v>
      </c>
      <c r="G147" s="7">
        <v>2</v>
      </c>
      <c r="H147" s="21" t="s">
        <v>927</v>
      </c>
      <c r="I147" s="13">
        <v>42805.924062500002</v>
      </c>
      <c r="J147" s="7">
        <v>0</v>
      </c>
      <c r="K147" s="98" t="str">
        <f t="shared" si="55"/>
        <v>4013/4014</v>
      </c>
      <c r="L147" s="21" t="str">
        <f>VLOOKUP(A147,'Trips&amp;Operators'!$C$1:$G$99999,5,FALSE)</f>
        <v>SAFIEF AEIMEN</v>
      </c>
      <c r="M147" s="6">
        <f t="shared" si="56"/>
        <v>3.3912037040863652E-2</v>
      </c>
      <c r="N147" s="7">
        <f t="shared" si="53"/>
        <v>48.833333338843659</v>
      </c>
      <c r="O147" s="7"/>
      <c r="P147" s="7"/>
      <c r="Q147" s="22"/>
      <c r="R147" s="22"/>
      <c r="S147" s="31">
        <f t="shared" si="54"/>
        <v>1</v>
      </c>
      <c r="T147" s="46" t="str">
        <f t="shared" si="57"/>
        <v>NorthBound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58"/>
        <v>https://d0f6bd738d7f1b3e5a7ca70fe4ff75f0.us-east-1.aws.found.io/app/kibana#/discover/Steve-Slow-Train-Analysis-(2080s-and-2083s)?_g=(refreshInterval:(display:Off,pause:!f,section:0,value:0),time:(from:'2017-03-11T20:19:12-0700',mode:absolute,to:'2017-03-11T23:10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7" s="187" t="str">
        <f t="shared" si="59"/>
        <v>N</v>
      </c>
      <c r="X147" s="187">
        <f t="shared" si="60"/>
        <v>1</v>
      </c>
      <c r="Y147" s="62">
        <f t="shared" si="61"/>
        <v>4.58E-2</v>
      </c>
      <c r="Z147" s="62">
        <f t="shared" si="62"/>
        <v>23.330200000000001</v>
      </c>
      <c r="AA147" s="62">
        <f t="shared" si="63"/>
        <v>23.284400000000002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4"/>
        <v>0231-11</v>
      </c>
      <c r="AE147" s="85" t="str">
        <f t="shared" si="65"/>
        <v>aws s3 cp s3://rtdc.mdm.uploadarchive.raw/RTDC4014/ "%USERPROFILE%\AppData\Local\Temp\OnboardLogs"\RTDC4014\2017-03-11 --exclude "*" --recursive --include "*20170311*" &amp; "%USERPROFILE%\Documents\GitHub\mrs-test-scripts\Headless Mode &amp; Sideloading\WalkAndUnGZ.bat" "%USERPROFILE%\AppData\Local\Temp\OnboardLogs"\RTDC4014\2017-03-11 &amp; aws s3 cp s3://rtdc.mdm.uploadarchive.raw/RTDC4014/ "%USERPROFILE%\AppData\Local\Temp\OnboardLogs"\RTDC4014\2017-03-12 --exclude "*" --recursive --include "*20170312*" &amp; "%USERPROFILE%\Documents\GitHub\mrs-test-scripts\Headless Mode &amp; Sideloading\WalkAndUnGZ.bat" "%USERPROFILE%\AppData\Local\Temp\OnboardLogs"\RTDC4014\2017-03-12</v>
      </c>
      <c r="AF147" s="82" t="str">
        <f t="shared" si="66"/>
        <v>"C:\Program Files (x86)\AstroGrep\AstroGrep.exe" /e /r /s /spath="%USERPROFILE%\AppData\Local\Temp\OnboardLogs" /stypes="app*4014*20170312*" /stext=" 05:.+((SYSTEM_STATE.+slice.+state.+changed )|(ment ac)|(multiple cpu faults)|(system.+state.+changed )|(\[timeout)|(PRM\|1\|D)|(kpr)|(kdp)|(\|lc)|(penalty))"</v>
      </c>
      <c r="AG147" s="1" t="str">
        <f t="shared" si="67"/>
        <v>EC</v>
      </c>
      <c r="AH147" s="86" t="str">
        <f t="shared" si="68"/>
        <v>"%USERPROFILE%\Documents\GitHub\eaglep3\Utilities\RefineRTDCRunTimes.py" --tripid 231-11 --locoid 4014 --swversion DE.1.0.9.0 --startMP 204:458 --initTime 2017-03-11T21:19:12 --startdatetime 2017-03-11T21:21:49 --delay 2 --endMP 204:233302 --enddatetime 2017-03-11T22:10:39 --enforcementcount 0 &gt;&gt;C:\Users\stu\Documents\GitHub\eaglep3-reporting\EC\2017-03-11-refined-times.txt</v>
      </c>
      <c r="AI147" s="108" t="str">
        <f t="shared" si="69"/>
        <v>echo {"issue":{"subject":"","project_id":79,"tracker_id":40,"status_id":1,"priority_id":2,"assigned_to_id":23,"start_date":"2017-03-11","description":"","custom_fields":[{"id":1,"name":"Subdivision","value":"EC"},{"id":4,"name":"Milepost","value":"23.3302"},{"id":17,"name":"Train ID","value":"231-11"},{"id":16,"name":"Locomotive ID","value":"4014"},{"id":130,"name":"Impact","value":""},{"id":150,"name":"Time of Event (Mountain Time)","value":"22:10:39"},{"id":151,"name":"Denver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70"/>
        <v>start /low /b %USERPROFILE%\Documents\GitHub\eaglep3\Utilities\DownloadLogsFromS3.py --loco 4014 --day 2017-03-11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"%USERPROFILE%\AppData\Local\Temp\OnboardLogs"\RTDC4014\*4014*20170312* | grep -SE "(Enforcement Action)|(\[TIMEOUT)|(CHR.+\|PRM\|1\|D.+(SWITCH|SIGNAL).+UNKNOWN)" - &gt;&gt; 2017-03-11-UncaughtWiMAX.txt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811</v>
      </c>
      <c r="B148" s="7">
        <v>4013</v>
      </c>
      <c r="C148" s="21" t="s">
        <v>240</v>
      </c>
      <c r="D148" s="21" t="s">
        <v>262</v>
      </c>
      <c r="E148" s="13">
        <v>42805.926446759258</v>
      </c>
      <c r="F148" s="13">
        <v>42805.927534722221</v>
      </c>
      <c r="G148" s="7">
        <v>1</v>
      </c>
      <c r="H148" s="21" t="s">
        <v>194</v>
      </c>
      <c r="I148" s="13">
        <v>42805.96434027778</v>
      </c>
      <c r="J148" s="7">
        <v>0</v>
      </c>
      <c r="K148" s="98" t="str">
        <f t="shared" si="55"/>
        <v>4013/4014</v>
      </c>
      <c r="L148" s="21" t="str">
        <f>VLOOKUP(A148,'Trips&amp;Operators'!$C$1:$G$99999,5,FALSE)</f>
        <v>SAFIEF AEIMEN</v>
      </c>
      <c r="M148" s="6">
        <f t="shared" si="56"/>
        <v>3.680555555911269E-2</v>
      </c>
      <c r="N148" s="7">
        <f t="shared" si="53"/>
        <v>53.000000005122274</v>
      </c>
      <c r="O148" s="7"/>
      <c r="P148" s="7"/>
      <c r="Q148" s="22"/>
      <c r="R148" s="22"/>
      <c r="S148" s="31">
        <f t="shared" si="54"/>
        <v>1</v>
      </c>
      <c r="T148" s="46" t="str">
        <f t="shared" si="57"/>
        <v>Southbound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58"/>
        <v>https://d0f6bd738d7f1b3e5a7ca70fe4ff75f0.us-east-1.aws.found.io/app/kibana#/discover/Steve-Slow-Train-Analysis-(2080s-and-2083s)?_g=(refreshInterval:(display:Off,pause:!f,section:0,value:0),time:(from:'2017-03-11T21:14:05-0700',mode:absolute,to:'2017-03-12T00:08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8" s="187" t="str">
        <f t="shared" si="59"/>
        <v>N</v>
      </c>
      <c r="X148" s="187">
        <f t="shared" si="60"/>
        <v>1</v>
      </c>
      <c r="Y148" s="62">
        <f t="shared" si="61"/>
        <v>23.3</v>
      </c>
      <c r="Z148" s="62">
        <f t="shared" si="62"/>
        <v>1.4500000000000001E-2</v>
      </c>
      <c r="AA148" s="62">
        <f t="shared" si="63"/>
        <v>23.285499999999999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4"/>
        <v>0232-11</v>
      </c>
      <c r="AE148" s="85" t="str">
        <f t="shared" si="65"/>
        <v>aws s3 cp s3://rtdc.mdm.uploadarchive.raw/RTDC4013/ "%USERPROFILE%\AppData\Local\Temp\OnboardLogs"\RTDC4013\2017-03-11 --exclude "*" --recursive --include "*20170311*" &amp; "%USERPROFILE%\Documents\GitHub\mrs-test-scripts\Headless Mode &amp; Sideloading\WalkAndUnGZ.bat" "%USERPROFILE%\AppData\Local\Temp\OnboardLogs"\RTDC4013\2017-03-11 &amp; aws s3 cp s3://rtdc.mdm.uploadarchive.raw/RTDC4013/ "%USERPROFILE%\AppData\Local\Temp\OnboardLogs"\RTDC4013\2017-03-12 --exclude "*" --recursive --include "*20170312*" &amp; "%USERPROFILE%\Documents\GitHub\mrs-test-scripts\Headless Mode &amp; Sideloading\WalkAndUnGZ.bat" "%USERPROFILE%\AppData\Local\Temp\OnboardLogs"\RTDC4013\2017-03-12</v>
      </c>
      <c r="AF148" s="82" t="str">
        <f t="shared" si="66"/>
        <v>"C:\Program Files (x86)\AstroGrep\AstroGrep.exe" /e /r /s /spath="%USERPROFILE%\AppData\Local\Temp\OnboardLogs" /stypes="app*4013*20170312*" /stext=" 06:.+((SYSTEM_STATE.+slice.+state.+changed )|(ment ac)|(multiple cpu faults)|(system.+state.+changed )|(\[timeout)|(PRM\|1\|D)|(kpr)|(kdp)|(\|lc)|(penalty))"</v>
      </c>
      <c r="AG148" s="1" t="str">
        <f t="shared" si="67"/>
        <v>EC</v>
      </c>
      <c r="AH148" s="86" t="str">
        <f t="shared" si="68"/>
        <v>"%USERPROFILE%\Documents\GitHub\eaglep3\Utilities\RefineRTDCRunTimes.py" --tripid 232-11 --locoid 4013 --swversion DE.1.0.9.0 --startMP 204:233000 --initTime 2017-03-11T22:14:05 --startdatetime 2017-03-11T22:15:39 --delay 1 --endMP 204:145 --enddatetime 2017-03-11T23:08:39 --enforcementcount 0 &gt;&gt;C:\Users\stu\Documents\GitHub\eaglep3-reporting\EC\2017-03-11-refined-times.txt</v>
      </c>
      <c r="AI148" s="108" t="str">
        <f t="shared" si="69"/>
        <v>echo {"issue":{"subject":"","project_id":79,"tracker_id":40,"status_id":1,"priority_id":2,"assigned_to_id":23,"start_date":"2017-03-11","description":"","custom_fields":[{"id":1,"name":"Subdivision","value":"EC"},{"id":4,"name":"Milepost","value":"0.0145"},{"id":17,"name":"Train ID","value":"232-11"},{"id":16,"name":"Locomotive ID","value":"4013"},{"id":130,"name":"Impact","value":""},{"id":150,"name":"Time of Event (Mountain Time)","value":"23:08:39"},{"id":151,"name":"Denver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70"/>
        <v>start /low /b %USERPROFILE%\Documents\GitHub\eaglep3\Utilities\DownloadLogsFromS3.py --loco 4013 --day 2017-03-11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"%USERPROFILE%\AppData\Local\Temp\OnboardLogs"\RTDC4013\*4013*20170312* | grep -SE "(Enforcement Action)|(\[TIMEOUT)|(CHR.+\|PRM\|1\|D.+(SWITCH|SIGNAL).+UNKNOWN)" - &gt;&gt; 2017-03-11-UncaughtWiMAX.txt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808</v>
      </c>
      <c r="B149" s="7">
        <v>4046</v>
      </c>
      <c r="C149" s="21" t="s">
        <v>240</v>
      </c>
      <c r="D149" s="21" t="s">
        <v>241</v>
      </c>
      <c r="E149" s="13">
        <v>42805.908263888887</v>
      </c>
      <c r="F149" s="13">
        <v>42805.909178240741</v>
      </c>
      <c r="G149" s="7">
        <v>1</v>
      </c>
      <c r="H149" s="21" t="s">
        <v>501</v>
      </c>
      <c r="I149" s="13">
        <v>42805.944768518515</v>
      </c>
      <c r="J149" s="7">
        <v>0</v>
      </c>
      <c r="K149" s="98" t="str">
        <f t="shared" si="55"/>
        <v>4045/4046</v>
      </c>
      <c r="L149" s="21" t="str">
        <f>VLOOKUP(A149,'Trips&amp;Operators'!$C$1:$G$99999,5,FALSE)</f>
        <v>PERKINS DARREN</v>
      </c>
      <c r="M149" s="6">
        <f t="shared" si="56"/>
        <v>3.5590277773735579E-2</v>
      </c>
      <c r="N149" s="7">
        <f t="shared" si="53"/>
        <v>51.249999994179234</v>
      </c>
      <c r="O149" s="7"/>
      <c r="P149" s="7"/>
      <c r="Q149" s="22"/>
      <c r="R149" s="22"/>
      <c r="S149" s="31">
        <f t="shared" si="54"/>
        <v>1</v>
      </c>
      <c r="T149" s="46" t="str">
        <f t="shared" si="57"/>
        <v>NorthBound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58"/>
        <v>https://d0f6bd738d7f1b3e5a7ca70fe4ff75f0.us-east-1.aws.found.io/app/kibana#/discover/Steve-Slow-Train-Analysis-(2080s-and-2083s)?_g=(refreshInterval:(display:Off,pause:!f,section:0,value:0),time:(from:'2017-03-11T20:47:54-0700',mode:absolute,to:'2017-03-11T23:40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9" s="187" t="str">
        <f t="shared" si="59"/>
        <v>N</v>
      </c>
      <c r="X149" s="187">
        <f t="shared" si="60"/>
        <v>1</v>
      </c>
      <c r="Y149" s="62">
        <f t="shared" si="61"/>
        <v>4.58E-2</v>
      </c>
      <c r="Z149" s="62">
        <f t="shared" si="62"/>
        <v>23.328099999999999</v>
      </c>
      <c r="AA149" s="62">
        <f t="shared" si="63"/>
        <v>23.282299999999999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4"/>
        <v>0233-11</v>
      </c>
      <c r="AE149" s="85" t="str">
        <f t="shared" si="65"/>
        <v>aws s3 cp s3://rtdc.mdm.uploadarchive.raw/RTDC4046/ "%USERPROFILE%\AppData\Local\Temp\OnboardLogs"\RTDC4046\2017-03-11 --exclude "*" --recursive --include "*20170311*" &amp; "%USERPROFILE%\Documents\GitHub\mrs-test-scripts\Headless Mode &amp; Sideloading\WalkAndUnGZ.bat" "%USERPROFILE%\AppData\Local\Temp\OnboardLogs"\RTDC4046\2017-03-11 &amp; aws s3 cp s3://rtdc.mdm.uploadarchive.raw/RTDC4046/ "%USERPROFILE%\AppData\Local\Temp\OnboardLogs"\RTDC4046\2017-03-12 --exclude "*" --recursive --include "*20170312*" &amp; "%USERPROFILE%\Documents\GitHub\mrs-test-scripts\Headless Mode &amp; Sideloading\WalkAndUnGZ.bat" "%USERPROFILE%\AppData\Local\Temp\OnboardLogs"\RTDC4046\2017-03-12</v>
      </c>
      <c r="AF149" s="82" t="str">
        <f t="shared" si="66"/>
        <v>"C:\Program Files (x86)\AstroGrep\AstroGrep.exe" /e /r /s /spath="%USERPROFILE%\AppData\Local\Temp\OnboardLogs" /stypes="app*4046*20170312*" /stext=" 05:.+((SYSTEM_STATE.+slice.+state.+changed )|(ment ac)|(multiple cpu faults)|(system.+state.+changed )|(\[timeout)|(PRM\|1\|D)|(kpr)|(kdp)|(\|lc)|(penalty))"</v>
      </c>
      <c r="AG149" s="1" t="str">
        <f t="shared" si="67"/>
        <v>EC</v>
      </c>
      <c r="AH149" s="86" t="str">
        <f t="shared" si="68"/>
        <v>"%USERPROFILE%\Documents\GitHub\eaglep3\Utilities\RefineRTDCRunTimes.py" --tripid 233-11 --locoid 4046 --swversion DE.1.0.9.0 --startMP 204:458 --initTime 2017-03-11T21:47:54 --startdatetime 2017-03-11T21:49:13 --delay 1 --endMP 204:233281 --enddatetime 2017-03-11T22:40:28 --enforcementcount 0 &gt;&gt;C:\Users\stu\Documents\GitHub\eaglep3-reporting\EC\2017-03-11-refined-times.txt</v>
      </c>
      <c r="AI149" s="108" t="str">
        <f t="shared" si="69"/>
        <v>echo {"issue":{"subject":"","project_id":79,"tracker_id":40,"status_id":1,"priority_id":2,"assigned_to_id":23,"start_date":"2017-03-11","description":"","custom_fields":[{"id":1,"name":"Subdivision","value":"EC"},{"id":4,"name":"Milepost","value":"23.3281"},{"id":17,"name":"Train ID","value":"233-11"},{"id":16,"name":"Locomotive ID","value":"4046"},{"id":130,"name":"Impact","value":""},{"id":150,"name":"Time of Event (Mountain Time)","value":"22:40:28"},{"id":151,"name":"Denver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70"/>
        <v>start /low /b %USERPROFILE%\Documents\GitHub\eaglep3\Utilities\DownloadLogsFromS3.py --loco 4046 --day 2017-03-11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"%USERPROFILE%\AppData\Local\Temp\OnboardLogs"\RTDC4046\*4046*20170312* | grep -SE "(Enforcement Action)|(\[TIMEOUT)|(CHR.+\|PRM\|1\|D.+(SWITCH|SIGNAL).+UNKNOWN)" - &gt;&gt; 2017-03-11-UncaughtWiMAX.txt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815</v>
      </c>
      <c r="B150" s="7">
        <v>4045</v>
      </c>
      <c r="C150" s="21" t="s">
        <v>240</v>
      </c>
      <c r="D150" s="21" t="s">
        <v>425</v>
      </c>
      <c r="E150" s="13">
        <v>42805.951319444444</v>
      </c>
      <c r="F150" s="13">
        <v>42805.95212962963</v>
      </c>
      <c r="G150" s="7">
        <v>1</v>
      </c>
      <c r="H150" s="21" t="s">
        <v>234</v>
      </c>
      <c r="I150" s="13">
        <v>42805.98537037037</v>
      </c>
      <c r="J150" s="7">
        <v>0</v>
      </c>
      <c r="K150" s="98" t="str">
        <f t="shared" si="55"/>
        <v>4045/4046</v>
      </c>
      <c r="L150" s="21" t="str">
        <f>VLOOKUP(A150,'Trips&amp;Operators'!$C$1:$G$99999,5,FALSE)</f>
        <v>PERKINS DARREN</v>
      </c>
      <c r="M150" s="6">
        <f t="shared" si="56"/>
        <v>3.3240740740438923E-2</v>
      </c>
      <c r="N150" s="7">
        <f t="shared" si="53"/>
        <v>47.866666666232049</v>
      </c>
      <c r="O150" s="7"/>
      <c r="P150" s="7"/>
      <c r="Q150" s="22"/>
      <c r="R150" s="22"/>
      <c r="S150" s="31">
        <f t="shared" si="54"/>
        <v>1</v>
      </c>
      <c r="T150" s="46" t="str">
        <f t="shared" si="57"/>
        <v>Southbound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58"/>
        <v>https://d0f6bd738d7f1b3e5a7ca70fe4ff75f0.us-east-1.aws.found.io/app/kibana#/discover/Steve-Slow-Train-Analysis-(2080s-and-2083s)?_g=(refreshInterval:(display:Off,pause:!f,section:0,value:0),time:(from:'2017-03-11T21:49:54-0700',mode:absolute,to:'2017-03-12T00:38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0" s="187" t="str">
        <f t="shared" si="59"/>
        <v>N</v>
      </c>
      <c r="X150" s="187">
        <f t="shared" si="60"/>
        <v>1</v>
      </c>
      <c r="Y150" s="62">
        <f t="shared" si="61"/>
        <v>23.2989</v>
      </c>
      <c r="Z150" s="62">
        <f t="shared" si="62"/>
        <v>1.47E-2</v>
      </c>
      <c r="AA150" s="62">
        <f t="shared" si="63"/>
        <v>23.284199999999998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4"/>
        <v>0234-11</v>
      </c>
      <c r="AE150" s="85" t="str">
        <f t="shared" si="65"/>
        <v>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 &amp; aws s3 cp s3://rtdc.mdm.uploadarchive.raw/RTDC4045/ "%USERPROFILE%\AppData\Local\Temp\OnboardLogs"\RTDC4045\2017-03-12 --exclude "*" --recursive --include "*20170312*" &amp; "%USERPROFILE%\Documents\GitHub\mrs-test-scripts\Headless Mode &amp; Sideloading\WalkAndUnGZ.bat" "%USERPROFILE%\AppData\Local\Temp\OnboardLogs"\RTDC4045\2017-03-12</v>
      </c>
      <c r="AF150" s="82" t="str">
        <f t="shared" si="66"/>
        <v>"C:\Program Files (x86)\AstroGrep\AstroGrep.exe" /e /r /s /spath="%USERPROFILE%\AppData\Local\Temp\OnboardLogs" /stypes="app*4045*20170312*" /stext=" 06:.+((SYSTEM_STATE.+slice.+state.+changed )|(ment ac)|(multiple cpu faults)|(system.+state.+changed )|(\[timeout)|(PRM\|1\|D)|(kpr)|(kdp)|(\|lc)|(penalty))"</v>
      </c>
      <c r="AG150" s="1" t="str">
        <f t="shared" si="67"/>
        <v>EC</v>
      </c>
      <c r="AH150" s="86" t="str">
        <f t="shared" si="68"/>
        <v>"%USERPROFILE%\Documents\GitHub\eaglep3\Utilities\RefineRTDCRunTimes.py" --tripid 234-11 --locoid 4045 --swversion DE.1.0.9.0 --startMP 204:232989 --initTime 2017-03-11T22:49:54 --startdatetime 2017-03-11T22:51:04 --delay 1 --endMP 204:147 --enddatetime 2017-03-11T23:38:56 --enforcementcount 0 &gt;&gt;C:\Users\stu\Documents\GitHub\eaglep3-reporting\EC\2017-03-11-refined-times.txt</v>
      </c>
      <c r="AI150" s="108" t="str">
        <f t="shared" si="69"/>
        <v>echo {"issue":{"subject":"","project_id":79,"tracker_id":40,"status_id":1,"priority_id":2,"assigned_to_id":23,"start_date":"2017-03-11","description":"","custom_fields":[{"id":1,"name":"Subdivision","value":"EC"},{"id":4,"name":"Milepost","value":"0.0147"},{"id":17,"name":"Train ID","value":"234-11"},{"id":16,"name":"Locomotive ID","value":"4045"},{"id":130,"name":"Impact","value":""},{"id":150,"name":"Time of Event (Mountain Time)","value":"23:38:56"},{"id":151,"name":"Denver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70"/>
        <v>start /low /b %USERPROFILE%\Documents\GitHub\eaglep3\Utilities\DownloadLogsFromS3.py --loco 4045 --day 2017-03-11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"%USERPROFILE%\AppData\Local\Temp\OnboardLogs"\RTDC4045\*4045*20170312* | grep -SE "(Enforcement Action)|(\[TIMEOUT)|(CHR.+\|PRM\|1\|D.+(SWITCH|SIGNAL).+UNKNOWN)" - &gt;&gt; 2017-03-11-UncaughtWiMAX.txt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812</v>
      </c>
      <c r="B151" s="7">
        <v>4040</v>
      </c>
      <c r="C151" s="21" t="s">
        <v>240</v>
      </c>
      <c r="D151" s="21" t="s">
        <v>260</v>
      </c>
      <c r="E151" s="13">
        <v>42805.936053240737</v>
      </c>
      <c r="F151" s="13">
        <v>42805.936921296299</v>
      </c>
      <c r="G151" s="7">
        <v>1</v>
      </c>
      <c r="H151" s="21" t="s">
        <v>869</v>
      </c>
      <c r="I151" s="13">
        <v>42805.963865740741</v>
      </c>
      <c r="J151" s="7">
        <v>0</v>
      </c>
      <c r="K151" s="98" t="str">
        <f t="shared" si="55"/>
        <v>4039/4040</v>
      </c>
      <c r="L151" s="21" t="str">
        <f>VLOOKUP(A151,'Trips&amp;Operators'!$C$1:$G$99999,5,FALSE)</f>
        <v>SWANSON BRYCE</v>
      </c>
      <c r="M151" s="6">
        <f t="shared" si="56"/>
        <v>2.6944444442051463E-2</v>
      </c>
      <c r="N151" s="7">
        <f t="shared" si="53"/>
        <v>38.799999996554106</v>
      </c>
      <c r="O151" s="7"/>
      <c r="P151" s="7"/>
      <c r="Q151" s="22"/>
      <c r="R151" s="22"/>
      <c r="S151" s="31">
        <f t="shared" si="54"/>
        <v>1</v>
      </c>
      <c r="T151" s="46" t="str">
        <f t="shared" si="57"/>
        <v>NorthBound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58"/>
        <v>https://d0f6bd738d7f1b3e5a7ca70fe4ff75f0.us-east-1.aws.found.io/app/kibana#/discover/Steve-Slow-Train-Analysis-(2080s-and-2083s)?_g=(refreshInterval:(display:Off,pause:!f,section:0,value:0),time:(from:'2017-03-11T21:27:55-0700',mode:absolute,to:'2017-03-12T00:07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1" s="187" t="str">
        <f t="shared" si="59"/>
        <v>N</v>
      </c>
      <c r="X151" s="187">
        <f t="shared" si="60"/>
        <v>1</v>
      </c>
      <c r="Y151" s="62">
        <f t="shared" si="61"/>
        <v>4.6699999999999998E-2</v>
      </c>
      <c r="Z151" s="62">
        <f t="shared" si="62"/>
        <v>23.332899999999999</v>
      </c>
      <c r="AA151" s="62">
        <f t="shared" si="63"/>
        <v>23.286199999999997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4"/>
        <v>0235-11</v>
      </c>
      <c r="AE151" s="85" t="str">
        <f t="shared" si="65"/>
        <v>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 &amp; aws s3 cp s3://rtdc.mdm.uploadarchive.raw/RTDC4040/ "%USERPROFILE%\AppData\Local\Temp\OnboardLogs"\RTDC4040\2017-03-12 --exclude "*" --recursive --include "*20170312*" &amp; "%USERPROFILE%\Documents\GitHub\mrs-test-scripts\Headless Mode &amp; Sideloading\WalkAndUnGZ.bat" "%USERPROFILE%\AppData\Local\Temp\OnboardLogs"\RTDC4040\2017-03-12</v>
      </c>
      <c r="AF151" s="82" t="str">
        <f t="shared" si="66"/>
        <v>"C:\Program Files (x86)\AstroGrep\AstroGrep.exe" /e /r /s /spath="%USERPROFILE%\AppData\Local\Temp\OnboardLogs" /stypes="app*4040*20170312*" /stext=" 06:.+((SYSTEM_STATE.+slice.+state.+changed )|(ment ac)|(multiple cpu faults)|(system.+state.+changed )|(\[timeout)|(PRM\|1\|D)|(kpr)|(kdp)|(\|lc)|(penalty))"</v>
      </c>
      <c r="AG151" s="1" t="str">
        <f t="shared" si="67"/>
        <v>EC</v>
      </c>
      <c r="AH151" s="86" t="str">
        <f t="shared" si="68"/>
        <v>"%USERPROFILE%\Documents\GitHub\eaglep3\Utilities\RefineRTDCRunTimes.py" --tripid 235-11 --locoid 4040 --swversion DE.1.0.9.0 --startMP 204:467 --initTime 2017-03-11T22:27:55 --startdatetime 2017-03-11T22:29:10 --delay 1 --endMP 204:233329 --enddatetime 2017-03-11T23:07:58 --enforcementcount 0 &gt;&gt;C:\Users\stu\Documents\GitHub\eaglep3-reporting\EC\2017-03-11-refined-times.txt</v>
      </c>
      <c r="AI151" s="108" t="str">
        <f t="shared" si="69"/>
        <v>echo {"issue":{"subject":"","project_id":79,"tracker_id":40,"status_id":1,"priority_id":2,"assigned_to_id":23,"start_date":"2017-03-11","description":"","custom_fields":[{"id":1,"name":"Subdivision","value":"EC"},{"id":4,"name":"Milepost","value":"23.3329"},{"id":17,"name":"Train ID","value":"235-11"},{"id":16,"name":"Locomotive ID","value":"4040"},{"id":130,"name":"Impact","value":""},{"id":150,"name":"Time of Event (Mountain Time)","value":"23:07:58"},{"id":151,"name":"Denver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70"/>
        <v>start /low /b %USERPROFILE%\Documents\GitHub\eaglep3\Utilities\DownloadLogsFromS3.py --loco 4040 --day 2017-03-11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"%USERPROFILE%\AppData\Local\Temp\OnboardLogs"\RTDC4040\*4040*20170312* | grep -SE "(Enforcement Action)|(\[TIMEOUT)|(CHR.+\|PRM\|1\|D.+(SWITCH|SIGNAL).+UNKNOWN)" - &gt;&gt; 2017-03-11-UncaughtWiMAX.txt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817</v>
      </c>
      <c r="B152" s="7">
        <v>4039</v>
      </c>
      <c r="C152" s="21" t="s">
        <v>240</v>
      </c>
      <c r="D152" s="21" t="s">
        <v>277</v>
      </c>
      <c r="E152" s="13">
        <v>42805.974502314813</v>
      </c>
      <c r="F152" s="13">
        <v>42805.975474537037</v>
      </c>
      <c r="G152" s="7">
        <v>1</v>
      </c>
      <c r="H152" s="21" t="s">
        <v>561</v>
      </c>
      <c r="I152" s="13">
        <v>42806.005219907405</v>
      </c>
      <c r="J152" s="7">
        <v>0</v>
      </c>
      <c r="K152" s="98" t="str">
        <f t="shared" si="55"/>
        <v>4039/4040</v>
      </c>
      <c r="L152" s="21" t="str">
        <f>VLOOKUP(A152,'Trips&amp;Operators'!$C$1:$G$99999,5,FALSE)</f>
        <v>SWANSON BRYCE</v>
      </c>
      <c r="M152" s="6">
        <f t="shared" si="56"/>
        <v>2.9745370367891155E-2</v>
      </c>
      <c r="N152" s="7">
        <f t="shared" si="53"/>
        <v>42.833333329763263</v>
      </c>
      <c r="O152" s="7"/>
      <c r="P152" s="7"/>
      <c r="Q152" s="22"/>
      <c r="R152" s="22"/>
      <c r="S152" s="31">
        <f t="shared" si="54"/>
        <v>1</v>
      </c>
      <c r="T152" s="46" t="str">
        <f t="shared" si="57"/>
        <v>Southbound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58"/>
        <v>https://d0f6bd738d7f1b3e5a7ca70fe4ff75f0.us-east-1.aws.found.io/app/kibana#/discover/Steve-Slow-Train-Analysis-(2080s-and-2083s)?_g=(refreshInterval:(display:Off,pause:!f,section:0,value:0),time:(from:'2017-03-11T22:23:17-0700',mode:absolute,to:'2017-03-12T01:07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2" s="187" t="str">
        <f t="shared" si="59"/>
        <v>N</v>
      </c>
      <c r="X152" s="187">
        <f t="shared" si="60"/>
        <v>1</v>
      </c>
      <c r="Y152" s="62">
        <f t="shared" si="61"/>
        <v>23.300599999999999</v>
      </c>
      <c r="Z152" s="62">
        <f t="shared" si="62"/>
        <v>1.38E-2</v>
      </c>
      <c r="AA152" s="62">
        <f t="shared" si="63"/>
        <v>23.286799999999999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4"/>
        <v>0236-11</v>
      </c>
      <c r="AE152" s="85" t="str">
        <f t="shared" si="65"/>
        <v>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 &amp; aws s3 cp s3://rtdc.mdm.uploadarchive.raw/RTDC4039/ "%USERPROFILE%\AppData\Local\Temp\OnboardLogs"\RTDC4039\2017-03-12 --exclude "*" --recursive --include "*20170312*" &amp; "%USERPROFILE%\Documents\GitHub\mrs-test-scripts\Headless Mode &amp; Sideloading\WalkAndUnGZ.bat" "%USERPROFILE%\AppData\Local\Temp\OnboardLogs"\RTDC4039\2017-03-12</v>
      </c>
      <c r="AF152" s="82" t="str">
        <f t="shared" si="66"/>
        <v>"C:\Program Files (x86)\AstroGrep\AstroGrep.exe" /e /r /s /spath="%USERPROFILE%\AppData\Local\Temp\OnboardLogs" /stypes="app*4039*20170312*" /stext=" 07:.+((SYSTEM_STATE.+slice.+state.+changed )|(ment ac)|(multiple cpu faults)|(system.+state.+changed )|(\[timeout)|(PRM\|1\|D)|(kpr)|(kdp)|(\|lc)|(penalty))"</v>
      </c>
      <c r="AG152" s="1" t="str">
        <f t="shared" si="67"/>
        <v>EC</v>
      </c>
      <c r="AH152" s="86" t="str">
        <f t="shared" si="68"/>
        <v>"%USERPROFILE%\Documents\GitHub\eaglep3\Utilities\RefineRTDCRunTimes.py" --tripid 236-11 --locoid 4039 --swversion DE.1.0.9.0 --startMP 204:233006 --initTime 2017-03-11T23:23:17 --startdatetime 2017-03-11T23:24:41 --delay 1 --endMP 204:138 --enddatetime 2017-03-12T00:07:31 --enforcementcount 0 &gt;&gt;C:\Users\stu\Documents\GitHub\eaglep3-reporting\EC\2017-03-11-refined-times.txt</v>
      </c>
      <c r="AI152" s="108" t="str">
        <f t="shared" si="69"/>
        <v>echo {"issue":{"subject":"","project_id":79,"tracker_id":40,"status_id":1,"priority_id":2,"assigned_to_id":23,"start_date":"2017-03-12","description":"","custom_fields":[{"id":1,"name":"Subdivision","value":"EC"},{"id":4,"name":"Milepost","value":"0.0138"},{"id":17,"name":"Train ID","value":"236-11"},{"id":16,"name":"Locomotive ID","value":"4039"},{"id":130,"name":"Impact","value":""},{"id":150,"name":"Time of Event (Mountain Time)","value":"00:07:31"},{"id":151,"name":"Denver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70"/>
        <v>start /low /b %USERPROFILE%\Documents\GitHub\eaglep3\Utilities\DownloadLogsFromS3.py --loco 4039 --day 2017-03-11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"%USERPROFILE%\AppData\Local\Temp\OnboardLogs"\RTDC4039\*4039*20170312* | grep -SE "(Enforcement Action)|(\[TIMEOUT)|(CHR.+\|PRM\|1\|D.+(SWITCH|SIGNAL).+UNKNOWN)" - &gt;&gt; 2017-03-11-UncaughtWiMAX.txt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3" t="s">
        <v>814</v>
      </c>
      <c r="B153" s="7">
        <v>4029</v>
      </c>
      <c r="C153" s="21" t="s">
        <v>240</v>
      </c>
      <c r="D153" s="21" t="s">
        <v>218</v>
      </c>
      <c r="E153" s="13">
        <v>42805.949143518519</v>
      </c>
      <c r="F153" s="13">
        <v>42805.950104166666</v>
      </c>
      <c r="G153" s="7">
        <v>1</v>
      </c>
      <c r="H153" s="21" t="s">
        <v>542</v>
      </c>
      <c r="I153" s="13">
        <v>42805.995057870372</v>
      </c>
      <c r="J153" s="7">
        <v>0</v>
      </c>
      <c r="K153" s="98" t="str">
        <f t="shared" si="55"/>
        <v>4029/4030</v>
      </c>
      <c r="L153" s="21" t="str">
        <f>VLOOKUP(A153,'Trips&amp;Operators'!$C$1:$G$99999,5,FALSE)</f>
        <v>BROWN JACOB</v>
      </c>
      <c r="M153" s="6">
        <f t="shared" si="56"/>
        <v>4.4953703705687076E-2</v>
      </c>
      <c r="N153" s="7">
        <f t="shared" si="53"/>
        <v>64.733333336189389</v>
      </c>
      <c r="O153" s="7"/>
      <c r="P153" s="7"/>
      <c r="Q153" s="22"/>
      <c r="R153" s="22"/>
      <c r="S153" s="31">
        <f t="shared" si="54"/>
        <v>1</v>
      </c>
      <c r="T153" s="46" t="str">
        <f t="shared" si="57"/>
        <v>NorthBound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58"/>
        <v>https://d0f6bd738d7f1b3e5a7ca70fe4ff75f0.us-east-1.aws.found.io/app/kibana#/discover/Steve-Slow-Train-Analysis-(2080s-and-2083s)?_g=(refreshInterval:(display:Off,pause:!f,section:0,value:0),time:(from:'2017-03-11T21:46:46-0700',mode:absolute,to:'2017-03-12T00:52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3" s="187" t="str">
        <f t="shared" si="59"/>
        <v>N</v>
      </c>
      <c r="X153" s="187">
        <f t="shared" si="60"/>
        <v>1</v>
      </c>
      <c r="Y153" s="62">
        <f t="shared" si="61"/>
        <v>4.5999999999999999E-2</v>
      </c>
      <c r="Z153" s="62">
        <f t="shared" si="62"/>
        <v>23.3276</v>
      </c>
      <c r="AA153" s="62">
        <f t="shared" si="63"/>
        <v>23.281600000000001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4"/>
        <v>0237-11</v>
      </c>
      <c r="AE153" s="85" t="str">
        <f t="shared" si="65"/>
        <v>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 &amp; aws s3 cp s3://rtdc.mdm.uploadarchive.raw/RTDC4029/ "%USERPROFILE%\AppData\Local\Temp\OnboardLogs"\RTDC4029\2017-03-12 --exclude "*" --recursive --include "*20170312*" &amp; "%USERPROFILE%\Documents\GitHub\mrs-test-scripts\Headless Mode &amp; Sideloading\WalkAndUnGZ.bat" "%USERPROFILE%\AppData\Local\Temp\OnboardLogs"\RTDC4029\2017-03-12</v>
      </c>
      <c r="AF153" s="82" t="str">
        <f t="shared" si="66"/>
        <v>"C:\Program Files (x86)\AstroGrep\AstroGrep.exe" /e /r /s /spath="%USERPROFILE%\AppData\Local\Temp\OnboardLogs" /stypes="app*4029*20170312*" /stext=" 06:.+((SYSTEM_STATE.+slice.+state.+changed )|(ment ac)|(multiple cpu faults)|(system.+state.+changed )|(\[timeout)|(PRM\|1\|D)|(kpr)|(kdp)|(\|lc)|(penalty))"</v>
      </c>
      <c r="AG153" s="1" t="str">
        <f t="shared" si="67"/>
        <v>EC</v>
      </c>
      <c r="AH153" s="86" t="str">
        <f t="shared" si="68"/>
        <v>"%USERPROFILE%\Documents\GitHub\eaglep3\Utilities\RefineRTDCRunTimes.py" --tripid 237-11 --locoid 4029 --swversion DE.1.0.9.0 --startMP 204:460 --initTime 2017-03-11T22:46:46 --startdatetime 2017-03-11T22:48:09 --delay 1 --endMP 204:233276 --enddatetime 2017-03-11T23:52:53 --enforcementcount 0 &gt;&gt;C:\Users\stu\Documents\GitHub\eaglep3-reporting\EC\2017-03-11-refined-times.txt</v>
      </c>
      <c r="AI153" s="108" t="str">
        <f t="shared" si="69"/>
        <v>echo {"issue":{"subject":"","project_id":79,"tracker_id":40,"status_id":1,"priority_id":2,"assigned_to_id":23,"start_date":"2017-03-11","description":"","custom_fields":[{"id":1,"name":"Subdivision","value":"EC"},{"id":4,"name":"Milepost","value":"23.3276"},{"id":17,"name":"Train ID","value":"237-11"},{"id":16,"name":"Locomotive ID","value":"4029"},{"id":130,"name":"Impact","value":""},{"id":150,"name":"Time of Event (Mountain Time)","value":"23:52:53"},{"id":151,"name":"Denver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70"/>
        <v>start /low /b %USERPROFILE%\Documents\GitHub\eaglep3\Utilities\DownloadLogsFromS3.py --loco 4029 --day 2017-03-11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"%USERPROFILE%\AppData\Local\Temp\OnboardLogs"\RTDC4029\*4029*20170312* | grep -SE "(Enforcement Action)|(\[TIMEOUT)|(CHR.+\|PRM\|1\|D.+(SWITCH|SIGNAL).+UNKNOWN)" - &gt;&gt; 2017-03-11-UncaughtWiMAX.txt</v>
      </c>
    </row>
    <row r="154" spans="1:91" s="20" customFormat="1" x14ac:dyDescent="0.25">
      <c r="A154" s="33" t="s">
        <v>818</v>
      </c>
      <c r="B154" s="7">
        <v>4030</v>
      </c>
      <c r="C154" s="21" t="s">
        <v>240</v>
      </c>
      <c r="D154" s="21" t="s">
        <v>277</v>
      </c>
      <c r="E154" s="13">
        <v>42805.995069444441</v>
      </c>
      <c r="F154" s="13">
        <v>42805.996412037035</v>
      </c>
      <c r="G154" s="7">
        <v>1</v>
      </c>
      <c r="H154" s="21" t="s">
        <v>184</v>
      </c>
      <c r="I154" s="13">
        <v>42806.027303240742</v>
      </c>
      <c r="J154" s="7">
        <v>0</v>
      </c>
      <c r="K154" s="98" t="str">
        <f t="shared" si="55"/>
        <v>4029/4030</v>
      </c>
      <c r="L154" s="21" t="str">
        <f>VLOOKUP(A154,'Trips&amp;Operators'!$C$1:$G$99999,5,FALSE)</f>
        <v>BROWN JACOB</v>
      </c>
      <c r="M154" s="6">
        <f t="shared" si="56"/>
        <v>3.0891203707142267E-2</v>
      </c>
      <c r="N154" s="7">
        <f t="shared" si="53"/>
        <v>44.483333338284865</v>
      </c>
      <c r="O154" s="7"/>
      <c r="P154" s="7"/>
      <c r="Q154" s="22"/>
      <c r="R154" s="22"/>
      <c r="S154" s="31">
        <f t="shared" si="54"/>
        <v>1</v>
      </c>
      <c r="T154" s="46" t="str">
        <f t="shared" si="57"/>
        <v>Southbound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58"/>
        <v>https://d0f6bd738d7f1b3e5a7ca70fe4ff75f0.us-east-1.aws.found.io/app/kibana#/discover/Steve-Slow-Train-Analysis-(2080s-and-2083s)?_g=(refreshInterval:(display:Off,pause:!f,section:0,value:0),time:(from:'2017-03-11T22:52:54-0700',mode:absolute,to:'2017-03-12T01:39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4" s="187" t="str">
        <f t="shared" si="59"/>
        <v>N</v>
      </c>
      <c r="X154" s="187">
        <f t="shared" si="60"/>
        <v>1</v>
      </c>
      <c r="Y154" s="62">
        <f t="shared" si="61"/>
        <v>23.300599999999999</v>
      </c>
      <c r="Z154" s="62">
        <f t="shared" si="62"/>
        <v>1.49E-2</v>
      </c>
      <c r="AA154" s="62">
        <f t="shared" si="63"/>
        <v>23.285699999999999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4"/>
        <v>0238-11</v>
      </c>
      <c r="AE154" s="85" t="str">
        <f t="shared" si="65"/>
        <v>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 &amp; aws s3 cp s3://rtdc.mdm.uploadarchive.raw/RTDC4030/ "%USERPROFILE%\AppData\Local\Temp\OnboardLogs"\RTDC4030\2017-03-12 --exclude "*" --recursive --include "*20170312*" &amp; "%USERPROFILE%\Documents\GitHub\mrs-test-scripts\Headless Mode &amp; Sideloading\WalkAndUnGZ.bat" "%USERPROFILE%\AppData\Local\Temp\OnboardLogs"\RTDC4030\2017-03-12</v>
      </c>
      <c r="AF154" s="82" t="str">
        <f t="shared" si="66"/>
        <v>"C:\Program Files (x86)\AstroGrep\AstroGrep.exe" /e /r /s /spath="%USERPROFILE%\AppData\Local\Temp\OnboardLogs" /stypes="app*4030*20170312*" /stext=" 07:.+((SYSTEM_STATE.+slice.+state.+changed )|(ment ac)|(multiple cpu faults)|(system.+state.+changed )|(\[timeout)|(PRM\|1\|D)|(kpr)|(kdp)|(\|lc)|(penalty))"</v>
      </c>
      <c r="AG154" s="1" t="str">
        <f t="shared" si="67"/>
        <v>EC</v>
      </c>
      <c r="AH154" s="86" t="str">
        <f t="shared" si="68"/>
        <v>"%USERPROFILE%\Documents\GitHub\eaglep3\Utilities\RefineRTDCRunTimes.py" --tripid 238-11 --locoid 4030 --swversion DE.1.0.9.0 --startMP 204:233006 --initTime 2017-03-11T23:52:54 --startdatetime 2017-03-11T23:54:50 --delay 1 --endMP 204:149 --enddatetime 2017-03-12T00:39:19 --enforcementcount 0 &gt;&gt;C:\Users\stu\Documents\GitHub\eaglep3-reporting\EC\2017-03-11-refined-times.txt</v>
      </c>
      <c r="AI154" s="108" t="str">
        <f t="shared" si="69"/>
        <v>echo {"issue":{"subject":"","project_id":79,"tracker_id":40,"status_id":1,"priority_id":2,"assigned_to_id":23,"start_date":"2017-03-12","description":"","custom_fields":[{"id":1,"name":"Subdivision","value":"EC"},{"id":4,"name":"Milepost","value":"0.0149"},{"id":17,"name":"Train ID","value":"238-11"},{"id":16,"name":"Locomotive ID","value":"4030"},{"id":130,"name":"Impact","value":""},{"id":150,"name":"Time of Event (Mountain Time)","value":"00:39:19"},{"id":151,"name":"Denver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70"/>
        <v>start /low /b %USERPROFILE%\Documents\GitHub\eaglep3\Utilities\DownloadLogsFromS3.py --loco 4030 --day 2017-03-11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"%USERPROFILE%\AppData\Local\Temp\OnboardLogs"\RTDC4030\*4030*20170312* | grep -SE "(Enforcement Action)|(\[TIMEOUT)|(CHR.+\|PRM\|1\|D.+(SWITCH|SIGNAL).+UNKNOWN)" - &gt;&gt; 2017-03-11-UncaughtWiMAX.txt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816</v>
      </c>
      <c r="B155" s="7">
        <v>4014</v>
      </c>
      <c r="C155" s="21" t="s">
        <v>240</v>
      </c>
      <c r="D155" s="21" t="s">
        <v>216</v>
      </c>
      <c r="E155" s="13">
        <v>42805.966724537036</v>
      </c>
      <c r="F155" s="13">
        <v>42805.968148148146</v>
      </c>
      <c r="G155" s="7">
        <v>2</v>
      </c>
      <c r="H155" s="21" t="s">
        <v>276</v>
      </c>
      <c r="I155" s="13">
        <v>42806.005023148151</v>
      </c>
      <c r="J155" s="7">
        <v>0</v>
      </c>
      <c r="K155" s="98" t="str">
        <f t="shared" si="55"/>
        <v>4013/4014</v>
      </c>
      <c r="L155" s="21" t="str">
        <f>VLOOKUP(A155,'Trips&amp;Operators'!$C$1:$G$99999,5,FALSE)</f>
        <v>SMITH MICHAEL</v>
      </c>
      <c r="M155" s="6">
        <f t="shared" si="56"/>
        <v>3.6875000005238689E-2</v>
      </c>
      <c r="N155" s="7">
        <f t="shared" si="53"/>
        <v>53.100000007543713</v>
      </c>
      <c r="O155" s="7"/>
      <c r="P155" s="7"/>
      <c r="Q155" s="22"/>
      <c r="R155" s="22"/>
      <c r="S155" s="31">
        <f t="shared" si="54"/>
        <v>1</v>
      </c>
      <c r="T155" s="46" t="str">
        <f t="shared" si="57"/>
        <v>NorthBound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58"/>
        <v>https://d0f6bd738d7f1b3e5a7ca70fe4ff75f0.us-east-1.aws.found.io/app/kibana#/discover/Steve-Slow-Train-Analysis-(2080s-and-2083s)?_g=(refreshInterval:(display:Off,pause:!f,section:0,value:0),time:(from:'2017-03-11T22:12:05-0700',mode:absolute,to:'2017-03-12T01:07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5" s="187" t="str">
        <f t="shared" si="59"/>
        <v>N</v>
      </c>
      <c r="X155" s="187">
        <f t="shared" si="60"/>
        <v>1</v>
      </c>
      <c r="Y155" s="62">
        <f t="shared" si="61"/>
        <v>4.5100000000000001E-2</v>
      </c>
      <c r="Z155" s="62">
        <f t="shared" si="62"/>
        <v>23.3291</v>
      </c>
      <c r="AA155" s="62">
        <f t="shared" si="63"/>
        <v>23.283999999999999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4"/>
        <v>0239-11</v>
      </c>
      <c r="AE155" s="85" t="str">
        <f t="shared" si="65"/>
        <v>aws s3 cp s3://rtdc.mdm.uploadarchive.raw/RTDC4014/ "%USERPROFILE%\AppData\Local\Temp\OnboardLogs"\RTDC4014\2017-03-11 --exclude "*" --recursive --include "*20170311*" &amp; "%USERPROFILE%\Documents\GitHub\mrs-test-scripts\Headless Mode &amp; Sideloading\WalkAndUnGZ.bat" "%USERPROFILE%\AppData\Local\Temp\OnboardLogs"\RTDC4014\2017-03-11 &amp; aws s3 cp s3://rtdc.mdm.uploadarchive.raw/RTDC4014/ "%USERPROFILE%\AppData\Local\Temp\OnboardLogs"\RTDC4014\2017-03-12 --exclude "*" --recursive --include "*20170312*" &amp; "%USERPROFILE%\Documents\GitHub\mrs-test-scripts\Headless Mode &amp; Sideloading\WalkAndUnGZ.bat" "%USERPROFILE%\AppData\Local\Temp\OnboardLogs"\RTDC4014\2017-03-12</v>
      </c>
      <c r="AF155" s="82" t="str">
        <f t="shared" si="66"/>
        <v>"C:\Program Files (x86)\AstroGrep\AstroGrep.exe" /e /r /s /spath="%USERPROFILE%\AppData\Local\Temp\OnboardLogs" /stypes="app*4014*20170312*" /stext=" 07:.+((SYSTEM_STATE.+slice.+state.+changed )|(ment ac)|(multiple cpu faults)|(system.+state.+changed )|(\[timeout)|(PRM\|1\|D)|(kpr)|(kdp)|(\|lc)|(penalty))"</v>
      </c>
      <c r="AG155" s="1" t="str">
        <f t="shared" si="67"/>
        <v>EC</v>
      </c>
      <c r="AH155" s="86" t="str">
        <f t="shared" si="68"/>
        <v>"%USERPROFILE%\Documents\GitHub\eaglep3\Utilities\RefineRTDCRunTimes.py" --tripid 239-11 --locoid 4014 --swversion DE.1.0.9.0 --startMP 204:451 --initTime 2017-03-11T23:12:05 --startdatetime 2017-03-11T23:14:08 --delay 2 --endMP 204:233291 --enddatetime 2017-03-12T00:07:14 --enforcementcount 0 &gt;&gt;C:\Users\stu\Documents\GitHub\eaglep3-reporting\EC\2017-03-11-refined-times.txt</v>
      </c>
      <c r="AI155" s="108" t="str">
        <f t="shared" si="69"/>
        <v>echo {"issue":{"subject":"","project_id":79,"tracker_id":40,"status_id":1,"priority_id":2,"assigned_to_id":23,"start_date":"2017-03-12","description":"","custom_fields":[{"id":1,"name":"Subdivision","value":"EC"},{"id":4,"name":"Milepost","value":"23.3291"},{"id":17,"name":"Train ID","value":"239-11"},{"id":16,"name":"Locomotive ID","value":"4014"},{"id":130,"name":"Impact","value":""},{"id":150,"name":"Time of Event (Mountain Time)","value":"00:07:14"},{"id":151,"name":"Denver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70"/>
        <v>start /low /b %USERPROFILE%\Documents\GitHub\eaglep3\Utilities\DownloadLogsFromS3.py --loco 4014 --day 2017-03-11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"%USERPROFILE%\AppData\Local\Temp\OnboardLogs"\RTDC4014\*4014*20170312* | grep -SE "(Enforcement Action)|(\[TIMEOUT)|(CHR.+\|PRM\|1\|D.+(SWITCH|SIGNAL).+UNKNOWN)" - &gt;&gt; 2017-03-11-UncaughtWiMAX.txt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820</v>
      </c>
      <c r="B156" s="7">
        <v>4013</v>
      </c>
      <c r="C156" s="21" t="s">
        <v>240</v>
      </c>
      <c r="D156" s="21" t="s">
        <v>423</v>
      </c>
      <c r="E156" s="13">
        <v>42806.009097222224</v>
      </c>
      <c r="F156" s="13">
        <v>42806.01053240741</v>
      </c>
      <c r="G156" s="7">
        <v>2</v>
      </c>
      <c r="H156" s="21" t="s">
        <v>413</v>
      </c>
      <c r="I156" s="13">
        <v>42806.046793981484</v>
      </c>
      <c r="J156" s="7">
        <v>0</v>
      </c>
      <c r="K156" s="98" t="str">
        <f t="shared" si="55"/>
        <v>4013/4014</v>
      </c>
      <c r="L156" s="21" t="str">
        <f>VLOOKUP(A156,'Trips&amp;Operators'!$C$1:$G$99999,5,FALSE)</f>
        <v>SMITH MICHAEL</v>
      </c>
      <c r="M156" s="6">
        <f t="shared" si="56"/>
        <v>3.6261574074160308E-2</v>
      </c>
      <c r="N156" s="7">
        <f t="shared" si="53"/>
        <v>52.216666666790843</v>
      </c>
      <c r="O156" s="7"/>
      <c r="P156" s="7"/>
      <c r="Q156" s="22"/>
      <c r="R156" s="22"/>
      <c r="S156" s="31">
        <f t="shared" si="54"/>
        <v>1</v>
      </c>
      <c r="T156" s="46" t="str">
        <f t="shared" si="57"/>
        <v>Southbound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58"/>
        <v>https://d0f6bd738d7f1b3e5a7ca70fe4ff75f0.us-east-1.aws.found.io/app/kibana#/discover/Steve-Slow-Train-Analysis-(2080s-and-2083s)?_g=(refreshInterval:(display:Off,pause:!f,section:0,value:0),time:(from:'2017-03-11T23:13:06-0700',mode:absolute,to:'2017-03-12T02:07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6" s="187" t="str">
        <f t="shared" si="59"/>
        <v>N</v>
      </c>
      <c r="X156" s="187">
        <f t="shared" si="60"/>
        <v>1</v>
      </c>
      <c r="Y156" s="62">
        <f t="shared" si="61"/>
        <v>23.299299999999999</v>
      </c>
      <c r="Z156" s="62">
        <f t="shared" si="62"/>
        <v>1.43E-2</v>
      </c>
      <c r="AA156" s="62">
        <f t="shared" si="63"/>
        <v>23.285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4"/>
        <v>0240-11</v>
      </c>
      <c r="AE156" s="85" t="str">
        <f t="shared" si="65"/>
        <v>aws s3 cp s3://rtdc.mdm.uploadarchive.raw/RTDC4013/ "%USERPROFILE%\AppData\Local\Temp\OnboardLogs"\RTDC4013\2017-03-12 --exclude "*" --recursive --include "*20170312*" &amp; "%USERPROFILE%\Documents\GitHub\mrs-test-scripts\Headless Mode &amp; Sideloading\WalkAndUnGZ.bat" "%USERPROFILE%\AppData\Local\Temp\OnboardLogs"\RTDC4013\2017-03-12 &amp; aws s3 cp s3://rtdc.mdm.uploadarchive.raw/RTDC4013/ "%USERPROFILE%\AppData\Local\Temp\OnboardLogs"\RTDC4013\2017-03-13 --exclude "*" --recursive --include "*20170313*" &amp; "%USERPROFILE%\Documents\GitHub\mrs-test-scripts\Headless Mode &amp; Sideloading\WalkAndUnGZ.bat" "%USERPROFILE%\AppData\Local\Temp\OnboardLogs"\RTDC4013\2017-03-13</v>
      </c>
      <c r="AF156" s="82" t="str">
        <f t="shared" si="66"/>
        <v>"C:\Program Files (x86)\AstroGrep\AstroGrep.exe" /e /r /s /spath="%USERPROFILE%\AppData\Local\Temp\OnboardLogs" /stypes="app*4013*20170312*" /stext=" 08:.+((SYSTEM_STATE.+slice.+state.+changed )|(ment ac)|(multiple cpu faults)|(system.+state.+changed )|(\[timeout)|(PRM\|1\|D)|(kpr)|(kdp)|(\|lc)|(penalty))"</v>
      </c>
      <c r="AG156" s="1" t="str">
        <f t="shared" si="67"/>
        <v>EC</v>
      </c>
      <c r="AH156" s="86" t="str">
        <f t="shared" si="68"/>
        <v>"%USERPROFILE%\Documents\GitHub\eaglep3\Utilities\RefineRTDCRunTimes.py" --tripid 240-11 --locoid 4013 --swversion DE.1.0.9.0 --startMP 204:232993 --initTime 2017-03-12T00:13:06 --startdatetime 2017-03-12T00:15:10 --delay 2 --endMP 204:143 --enddatetime 2017-03-12T01:07:23 --enforcementcount 0 &gt;&gt;C:\Users\stu\Documents\GitHub\eaglep3-reporting\EC\2017-03-11-refined-times.txt</v>
      </c>
      <c r="AI156" s="108" t="str">
        <f t="shared" si="69"/>
        <v>echo {"issue":{"subject":"","project_id":79,"tracker_id":40,"status_id":1,"priority_id":2,"assigned_to_id":23,"start_date":"2017-03-12","description":"","custom_fields":[{"id":1,"name":"Subdivision","value":"EC"},{"id":4,"name":"Milepost","value":"0.0143"},{"id":17,"name":"Train ID","value":"240-11"},{"id":16,"name":"Locomotive ID","value":"4013"},{"id":130,"name":"Impact","value":""},{"id":150,"name":"Time of Event (Mountain Time)","value":"01:07:23"},{"id":151,"name":"Denver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70"/>
        <v>start /low /b %USERPROFILE%\Documents\GitHub\eaglep3\Utilities\DownloadLogsFromS3.py --loco 4013 --day 2017-03-12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"%USERPROFILE%\AppData\Local\Temp\OnboardLogs"\RTDC4013\*4013*20170312* | grep -SE "(Enforcement Action)|(\[TIMEOUT)|(CHR.+\|PRM\|1\|D.+(SWITCH|SIGNAL).+UNKNOWN)" - &gt;&gt; 2017-03-11-UncaughtWiMAX.txt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612</v>
      </c>
      <c r="B157" s="7">
        <v>4046</v>
      </c>
      <c r="C157" s="21" t="s">
        <v>240</v>
      </c>
      <c r="D157" s="21" t="s">
        <v>264</v>
      </c>
      <c r="E157" s="13">
        <v>42805.989039351851</v>
      </c>
      <c r="F157" s="13">
        <v>42805.989699074074</v>
      </c>
      <c r="G157" s="7">
        <v>0</v>
      </c>
      <c r="H157" s="21" t="s">
        <v>953</v>
      </c>
      <c r="I157" s="13">
        <v>42806.028020833335</v>
      </c>
      <c r="J157" s="7">
        <v>0</v>
      </c>
      <c r="K157" s="98" t="str">
        <f t="shared" si="55"/>
        <v>4045/4046</v>
      </c>
      <c r="L157" s="21" t="str">
        <f>VLOOKUP(A157,'Trips&amp;Operators'!$C$1:$G$99999,5,FALSE)</f>
        <v>PERKINS DARREN</v>
      </c>
      <c r="M157" s="6">
        <f t="shared" si="56"/>
        <v>3.832175926072523E-2</v>
      </c>
      <c r="N157" s="7">
        <f t="shared" si="53"/>
        <v>55.183333335444331</v>
      </c>
      <c r="O157" s="7"/>
      <c r="P157" s="7"/>
      <c r="Q157" s="22"/>
      <c r="R157" s="22"/>
      <c r="S157" s="31">
        <f t="shared" si="54"/>
        <v>1</v>
      </c>
      <c r="T157" s="46" t="str">
        <f t="shared" si="57"/>
        <v>NorthBound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58"/>
        <v>https://d0f6bd738d7f1b3e5a7ca70fe4ff75f0.us-east-1.aws.found.io/app/kibana#/discover/Steve-Slow-Train-Analysis-(2080s-and-2083s)?_g=(refreshInterval:(display:Off,pause:!f,section:0,value:0),time:(from:'2017-03-11T22:44:13-0700',mode:absolute,to:'2017-03-12T01:40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7" s="187" t="str">
        <f t="shared" si="59"/>
        <v>N</v>
      </c>
      <c r="X157" s="187">
        <f t="shared" si="60"/>
        <v>1</v>
      </c>
      <c r="Y157" s="62">
        <f t="shared" si="61"/>
        <v>4.4200000000000003E-2</v>
      </c>
      <c r="Z157" s="62">
        <f t="shared" si="62"/>
        <v>23.316400000000002</v>
      </c>
      <c r="AA157" s="62">
        <f t="shared" si="63"/>
        <v>23.272200000000002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4"/>
        <v>0241-11</v>
      </c>
      <c r="AE157" s="85" t="str">
        <f t="shared" si="65"/>
        <v>aws s3 cp s3://rtdc.mdm.uploadarchive.raw/RTDC4046/ "%USERPROFILE%\AppData\Local\Temp\OnboardLogs"\RTDC4046\2017-03-11 --exclude "*" --recursive --include "*20170311*" &amp; "%USERPROFILE%\Documents\GitHub\mrs-test-scripts\Headless Mode &amp; Sideloading\WalkAndUnGZ.bat" "%USERPROFILE%\AppData\Local\Temp\OnboardLogs"\RTDC4046\2017-03-11 &amp; aws s3 cp s3://rtdc.mdm.uploadarchive.raw/RTDC4046/ "%USERPROFILE%\AppData\Local\Temp\OnboardLogs"\RTDC4046\2017-03-12 --exclude "*" --recursive --include "*20170312*" &amp; "%USERPROFILE%\Documents\GitHub\mrs-test-scripts\Headless Mode &amp; Sideloading\WalkAndUnGZ.bat" "%USERPROFILE%\AppData\Local\Temp\OnboardLogs"\RTDC4046\2017-03-12</v>
      </c>
      <c r="AF157" s="82" t="str">
        <f t="shared" si="66"/>
        <v>"C:\Program Files (x86)\AstroGrep\AstroGrep.exe" /e /r /s /spath="%USERPROFILE%\AppData\Local\Temp\OnboardLogs" /stypes="app*4046*20170312*" /stext=" 07:.+((SYSTEM_STATE.+slice.+state.+changed )|(ment ac)|(multiple cpu faults)|(system.+state.+changed )|(\[timeout)|(PRM\|1\|D)|(kpr)|(kdp)|(\|lc)|(penalty))"</v>
      </c>
      <c r="AG157" s="1" t="str">
        <f t="shared" si="67"/>
        <v>EC</v>
      </c>
      <c r="AH157" s="86" t="str">
        <f t="shared" si="68"/>
        <v>"%USERPROFILE%\Documents\GitHub\eaglep3\Utilities\RefineRTDCRunTimes.py" --tripid 241-11 --locoid 4046 --swversion DE.1.0.9.0 --startMP 204:442 --initTime 2017-03-11T23:44:13 --startdatetime 2017-03-11T23:45:10 --delay 0 --endMP 204:233164 --enddatetime 2017-03-12T00:40:21 --enforcementcount 0 &gt;&gt;C:\Users\stu\Documents\GitHub\eaglep3-reporting\EC\2017-03-11-refined-times.txt</v>
      </c>
      <c r="AI157" s="108" t="str">
        <f t="shared" si="69"/>
        <v>echo {"issue":{"subject":"","project_id":79,"tracker_id":40,"status_id":1,"priority_id":2,"assigned_to_id":23,"start_date":"2017-03-12","description":"","custom_fields":[{"id":1,"name":"Subdivision","value":"EC"},{"id":4,"name":"Milepost","value":"23.3164"},{"id":17,"name":"Train ID","value":"241-11"},{"id":16,"name":"Locomotive ID","value":"4046"},{"id":130,"name":"Impact","value":""},{"id":150,"name":"Time of Event (Mountain Time)","value":"00:40:21"},{"id":151,"name":"Denver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70"/>
        <v>start /low /b %USERPROFILE%\Documents\GitHub\eaglep3\Utilities\DownloadLogsFromS3.py --loco 4046 --day 2017-03-11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"%USERPROFILE%\AppData\Local\Temp\OnboardLogs"\RTDC4046\*4046*20170312* | grep -SE "(Enforcement Action)|(\[TIMEOUT)|(CHR.+\|PRM\|1\|D.+(SWITCH|SIGNAL).+UNKNOWN)" - &gt;&gt; 2017-03-11-UncaughtWiMAX.txt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821</v>
      </c>
      <c r="B158" s="7">
        <v>4045</v>
      </c>
      <c r="C158" s="21" t="s">
        <v>240</v>
      </c>
      <c r="D158" s="21" t="s">
        <v>954</v>
      </c>
      <c r="E158" s="13">
        <v>42806.034131944441</v>
      </c>
      <c r="F158" s="13">
        <v>42806.035069444442</v>
      </c>
      <c r="G158" s="7">
        <v>1</v>
      </c>
      <c r="H158" s="21" t="s">
        <v>944</v>
      </c>
      <c r="I158" s="13">
        <v>42806.06826388889</v>
      </c>
      <c r="J158" s="7">
        <v>0</v>
      </c>
      <c r="K158" s="98" t="str">
        <f t="shared" si="55"/>
        <v>4045/4046</v>
      </c>
      <c r="L158" s="21" t="str">
        <f>VLOOKUP(A158,'Trips&amp;Operators'!$C$1:$G$99999,5,FALSE)</f>
        <v>PERKINS DARREN</v>
      </c>
      <c r="M158" s="6">
        <f t="shared" si="56"/>
        <v>3.3194444447872229E-2</v>
      </c>
      <c r="N158" s="7">
        <f t="shared" si="53"/>
        <v>47.80000000493601</v>
      </c>
      <c r="O158" s="7"/>
      <c r="P158" s="7"/>
      <c r="Q158" s="22"/>
      <c r="R158" s="22"/>
      <c r="S158" s="31">
        <f t="shared" si="54"/>
        <v>1</v>
      </c>
      <c r="T158" s="46" t="str">
        <f t="shared" si="57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6" t="str">
        <f t="shared" si="58"/>
        <v>https://d0f6bd738d7f1b3e5a7ca70fe4ff75f0.us-east-1.aws.found.io/app/kibana#/discover/Steve-Slow-Train-Analysis-(2080s-and-2083s)?_g=(refreshInterval:(display:Off,pause:!f,section:0,value:0),time:(from:'2017-03-11T23:49:09-0700',mode:absolute,to:'2017-03-12T02:38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8" s="187" t="str">
        <f t="shared" si="59"/>
        <v>N</v>
      </c>
      <c r="X158" s="187">
        <f t="shared" si="60"/>
        <v>1</v>
      </c>
      <c r="Y158" s="62">
        <f t="shared" si="61"/>
        <v>23.283000000000001</v>
      </c>
      <c r="Z158" s="62">
        <f t="shared" si="62"/>
        <v>1.32E-2</v>
      </c>
      <c r="AA158" s="62">
        <f t="shared" si="63"/>
        <v>23.2698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4"/>
        <v>0242-11</v>
      </c>
      <c r="AE158" s="85" t="str">
        <f t="shared" si="65"/>
        <v>aws s3 cp s3://rtdc.mdm.uploadarchive.raw/RTDC4045/ "%USERPROFILE%\AppData\Local\Temp\OnboardLogs"\RTDC4045\2017-03-12 --exclude "*" --recursive --include "*20170312*" &amp; "%USERPROFILE%\Documents\GitHub\mrs-test-scripts\Headless Mode &amp; Sideloading\WalkAndUnGZ.bat" "%USERPROFILE%\AppData\Local\Temp\OnboardLogs"\RTDC4045\2017-03-12 &amp; aws s3 cp s3://rtdc.mdm.uploadarchive.raw/RTDC4045/ "%USERPROFILE%\AppData\Local\Temp\OnboardLogs"\RTDC4045\2017-03-13 --exclude "*" --recursive --include "*20170313*" &amp; "%USERPROFILE%\Documents\GitHub\mrs-test-scripts\Headless Mode &amp; Sideloading\WalkAndUnGZ.bat" "%USERPROFILE%\AppData\Local\Temp\OnboardLogs"\RTDC4045\2017-03-13</v>
      </c>
      <c r="AF158" s="82" t="str">
        <f t="shared" si="66"/>
        <v>"C:\Program Files (x86)\AstroGrep\AstroGrep.exe" /e /r /s /spath="%USERPROFILE%\AppData\Local\Temp\OnboardLogs" /stypes="app*4045*20170312*" /stext=" 08:.+((SYSTEM_STATE.+slice.+state.+changed )|(ment ac)|(multiple cpu faults)|(system.+state.+changed )|(\[timeout)|(PRM\|1\|D)|(kpr)|(kdp)|(\|lc)|(penalty))"</v>
      </c>
      <c r="AG158" s="1" t="str">
        <f t="shared" si="67"/>
        <v>EC</v>
      </c>
      <c r="AH158" s="86" t="str">
        <f t="shared" si="68"/>
        <v>"%USERPROFILE%\Documents\GitHub\eaglep3\Utilities\RefineRTDCRunTimes.py" --tripid 242-11 --locoid 4045 --swversion DE.1.0.9.0 --startMP 204:232830 --initTime 2017-03-12T00:49:09 --startdatetime 2017-03-12T00:50:30 --delay 1 --endMP 204:132 --enddatetime 2017-03-12T01:38:18 --enforcementcount 0 &gt;&gt;C:\Users\stu\Documents\GitHub\eaglep3-reporting\EC\2017-03-11-refined-times.txt</v>
      </c>
      <c r="AI158" s="108" t="str">
        <f t="shared" si="69"/>
        <v>echo {"issue":{"subject":"","project_id":79,"tracker_id":40,"status_id":1,"priority_id":2,"assigned_to_id":23,"start_date":"2017-03-12","description":"","custom_fields":[{"id":1,"name":"Subdivision","value":"EC"},{"id":4,"name":"Milepost","value":"0.0132"},{"id":17,"name":"Train ID","value":"242-11"},{"id":16,"name":"Locomotive ID","value":"4045"},{"id":130,"name":"Impact","value":""},{"id":150,"name":"Time of Event (Mountain Time)","value":"01:38:18"},{"id":151,"name":"Denver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70"/>
        <v>start /low /b %USERPROFILE%\Documents\GitHub\eaglep3\Utilities\DownloadLogsFromS3.py --loco 4045 --day 2017-03-12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"%USERPROFILE%\AppData\Local\Temp\OnboardLogs"\RTDC4045\*4045*20170312* | grep -SE "(Enforcement Action)|(\[TIMEOUT)|(CHR.+\|PRM\|1\|D.+(SWITCH|SIGNAL).+UNKNOWN)" - &gt;&gt; 2017-03-11-UncaughtWiMAX.txt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3" t="s">
        <v>819</v>
      </c>
      <c r="B159" s="7">
        <v>4040</v>
      </c>
      <c r="C159" s="21" t="s">
        <v>240</v>
      </c>
      <c r="D159" s="21" t="s">
        <v>264</v>
      </c>
      <c r="E159" s="13">
        <v>42806.008946759262</v>
      </c>
      <c r="F159" s="13">
        <v>42806.010034722225</v>
      </c>
      <c r="G159" s="7">
        <v>1</v>
      </c>
      <c r="H159" s="21" t="s">
        <v>850</v>
      </c>
      <c r="I159" s="13">
        <v>42806.047118055554</v>
      </c>
      <c r="J159" s="7">
        <v>0</v>
      </c>
      <c r="K159" s="98" t="str">
        <f t="shared" si="55"/>
        <v>4039/4040</v>
      </c>
      <c r="L159" s="21" t="str">
        <f>VLOOKUP(A159,'Trips&amp;Operators'!$C$1:$G$99999,5,FALSE)</f>
        <v>SWANSON BRYCE</v>
      </c>
      <c r="M159" s="6">
        <f t="shared" si="56"/>
        <v>3.7083333329064772E-2</v>
      </c>
      <c r="N159" s="7">
        <f t="shared" si="53"/>
        <v>53.399999993853271</v>
      </c>
      <c r="O159" s="7"/>
      <c r="P159" s="7"/>
      <c r="Q159" s="22"/>
      <c r="R159" s="22"/>
      <c r="S159" s="31">
        <f t="shared" ref="S159:S190" si="71">SUM(U159:U159)/IF(AG159="EC",12,1)</f>
        <v>1</v>
      </c>
      <c r="T159" s="46" t="str">
        <f t="shared" si="57"/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6" t="str">
        <f t="shared" si="58"/>
        <v>https://d0f6bd738d7f1b3e5a7ca70fe4ff75f0.us-east-1.aws.found.io/app/kibana#/discover/Steve-Slow-Train-Analysis-(2080s-and-2083s)?_g=(refreshInterval:(display:Off,pause:!f,section:0,value:0),time:(from:'2017-03-11T23:12:53-0700',mode:absolute,to:'2017-03-12T02:07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9" s="187" t="str">
        <f t="shared" si="59"/>
        <v>N</v>
      </c>
      <c r="X159" s="187">
        <f t="shared" si="60"/>
        <v>1</v>
      </c>
      <c r="Y159" s="62">
        <f t="shared" si="61"/>
        <v>4.4200000000000003E-2</v>
      </c>
      <c r="Z159" s="62">
        <f t="shared" si="62"/>
        <v>23.333400000000001</v>
      </c>
      <c r="AA159" s="62">
        <f t="shared" si="63"/>
        <v>23.289200000000001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4"/>
        <v>0243-11</v>
      </c>
      <c r="AE159" s="85" t="str">
        <f t="shared" si="65"/>
        <v>aws s3 cp s3://rtdc.mdm.uploadarchive.raw/RTDC4040/ "%USERPROFILE%\AppData\Local\Temp\OnboardLogs"\RTDC4040\2017-03-12 --exclude "*" --recursive --include "*20170312*" &amp; "%USERPROFILE%\Documents\GitHub\mrs-test-scripts\Headless Mode &amp; Sideloading\WalkAndUnGZ.bat" "%USERPROFILE%\AppData\Local\Temp\OnboardLogs"\RTDC4040\2017-03-12 &amp; aws s3 cp s3://rtdc.mdm.uploadarchive.raw/RTDC4040/ "%USERPROFILE%\AppData\Local\Temp\OnboardLogs"\RTDC4040\2017-03-13 --exclude "*" --recursive --include "*20170313*" &amp; "%USERPROFILE%\Documents\GitHub\mrs-test-scripts\Headless Mode &amp; Sideloading\WalkAndUnGZ.bat" "%USERPROFILE%\AppData\Local\Temp\OnboardLogs"\RTDC4040\2017-03-13</v>
      </c>
      <c r="AF159" s="82" t="str">
        <f t="shared" si="66"/>
        <v>"C:\Program Files (x86)\AstroGrep\AstroGrep.exe" /e /r /s /spath="%USERPROFILE%\AppData\Local\Temp\OnboardLogs" /stypes="app*4040*20170312*" /stext=" 08:.+((SYSTEM_STATE.+slice.+state.+changed )|(ment ac)|(multiple cpu faults)|(system.+state.+changed )|(\[timeout)|(PRM\|1\|D)|(kpr)|(kdp)|(\|lc)|(penalty))"</v>
      </c>
      <c r="AG159" s="1" t="str">
        <f t="shared" si="67"/>
        <v>EC</v>
      </c>
      <c r="AH159" s="86" t="str">
        <f t="shared" si="68"/>
        <v>"%USERPROFILE%\Documents\GitHub\eaglep3\Utilities\RefineRTDCRunTimes.py" --tripid 243-11 --locoid 4040 --swversion DE.1.0.9.0 --startMP 204:442 --initTime 2017-03-12T00:12:53 --startdatetime 2017-03-12T00:14:27 --delay 1 --endMP 204:233334 --enddatetime 2017-03-12T01:07:51 --enforcementcount 0 &gt;&gt;C:\Users\stu\Documents\GitHub\eaglep3-reporting\EC\2017-03-11-refined-times.txt</v>
      </c>
      <c r="AI159" s="108" t="str">
        <f t="shared" si="69"/>
        <v>echo {"issue":{"subject":"","project_id":79,"tracker_id":40,"status_id":1,"priority_id":2,"assigned_to_id":23,"start_date":"2017-03-12","description":"","custom_fields":[{"id":1,"name":"Subdivision","value":"EC"},{"id":4,"name":"Milepost","value":"23.3334"},{"id":17,"name":"Train ID","value":"243-11"},{"id":16,"name":"Locomotive ID","value":"4040"},{"id":130,"name":"Impact","value":""},{"id":150,"name":"Time of Event (Mountain Time)","value":"01:07:51"},{"id":151,"name":"Denver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70"/>
        <v>start /low /b %USERPROFILE%\Documents\GitHub\eaglep3\Utilities\DownloadLogsFromS3.py --loco 4040 --day 2017-03-12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"%USERPROFILE%\AppData\Local\Temp\OnboardLogs"\RTDC4040\*4040*20170312* | grep -SE "(Enforcement Action)|(\[TIMEOUT)|(CHR.+\|PRM\|1\|D.+(SWITCH|SIGNAL).+UNKNOWN)" - &gt;&gt; 2017-03-11-UncaughtWiMAX.txt</v>
      </c>
    </row>
    <row r="160" spans="1:91" s="20" customFormat="1" x14ac:dyDescent="0.25">
      <c r="A160" s="33" t="s">
        <v>824</v>
      </c>
      <c r="B160" s="7">
        <v>4039</v>
      </c>
      <c r="C160" s="21" t="s">
        <v>240</v>
      </c>
      <c r="D160" s="21" t="s">
        <v>264</v>
      </c>
      <c r="E160" s="13">
        <v>42806.008946759262</v>
      </c>
      <c r="F160" s="13">
        <v>42806.059895833336</v>
      </c>
      <c r="G160" s="7">
        <v>1</v>
      </c>
      <c r="H160" s="21" t="s">
        <v>850</v>
      </c>
      <c r="I160" s="13">
        <v>42806.084606481483</v>
      </c>
      <c r="J160" s="7">
        <v>0</v>
      </c>
      <c r="K160" s="98" t="str">
        <f t="shared" si="55"/>
        <v>4039/4040</v>
      </c>
      <c r="L160" s="21" t="str">
        <f>VLOOKUP(A160,'Trips&amp;Operators'!$C$1:$G$99999,5,FALSE)</f>
        <v>SWANSON BRYCE</v>
      </c>
      <c r="M160" s="6">
        <f t="shared" si="56"/>
        <v>2.47106481474475E-2</v>
      </c>
      <c r="N160" s="7"/>
      <c r="O160" s="7"/>
      <c r="P160" s="7">
        <f>24*60*SUM($M160:$M160)</f>
        <v>35.583333332324401</v>
      </c>
      <c r="Q160" s="22"/>
      <c r="R160" s="22" t="s">
        <v>1003</v>
      </c>
      <c r="S160" s="31">
        <f t="shared" si="71"/>
        <v>1</v>
      </c>
      <c r="T160" s="46" t="str">
        <f t="shared" si="57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86" t="str">
        <f t="shared" si="58"/>
        <v>https://d0f6bd738d7f1b3e5a7ca70fe4ff75f0.us-east-1.aws.found.io/app/kibana#/discover/Steve-Slow-Train-Analysis-(2080s-and-2083s)?_g=(refreshInterval:(display:Off,pause:!f,section:0,value:0),time:(from:'2017-03-11T23:12:53-0700',mode:absolute,to:'2017-03-12T03:01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0" s="187" t="str">
        <f t="shared" si="59"/>
        <v>Y</v>
      </c>
      <c r="X160" s="187">
        <f t="shared" si="60"/>
        <v>1</v>
      </c>
      <c r="Y160" s="62">
        <v>23.283000000000001</v>
      </c>
      <c r="Z160" s="62">
        <v>2.11</v>
      </c>
      <c r="AA160" s="62">
        <f t="shared" si="63"/>
        <v>21.173000000000002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4"/>
        <v>0244-11</v>
      </c>
      <c r="AE160" s="85" t="str">
        <f t="shared" si="65"/>
        <v>aws s3 cp s3://rtdc.mdm.uploadarchive.raw/RTDC4039/ "%USERPROFILE%\AppData\Local\Temp\OnboardLogs"\RTDC4039\2017-03-12 --exclude "*" --recursive --include "*20170312*" &amp; "%USERPROFILE%\Documents\GitHub\mrs-test-scripts\Headless Mode &amp; Sideloading\WalkAndUnGZ.bat" "%USERPROFILE%\AppData\Local\Temp\OnboardLogs"\RTDC4039\2017-03-12 &amp; aws s3 cp s3://rtdc.mdm.uploadarchive.raw/RTDC4039/ "%USERPROFILE%\AppData\Local\Temp\OnboardLogs"\RTDC4039\2017-03-13 --exclude "*" --recursive --include "*20170313*" &amp; "%USERPROFILE%\Documents\GitHub\mrs-test-scripts\Headless Mode &amp; Sideloading\WalkAndUnGZ.bat" "%USERPROFILE%\AppData\Local\Temp\OnboardLogs"\RTDC4039\2017-03-13</v>
      </c>
      <c r="AF160" s="82" t="str">
        <f t="shared" si="66"/>
        <v>"C:\Program Files (x86)\AstroGrep\AstroGrep.exe" /e /r /s /spath="%USERPROFILE%\AppData\Local\Temp\OnboardLogs" /stypes="app*4039*20170312*" /stext=" 09:.+((SYSTEM_STATE.+slice.+state.+changed )|(ment ac)|(multiple cpu faults)|(system.+state.+changed )|(\[timeout)|(PRM\|1\|D)|(kpr)|(kdp)|(\|lc)|(penalty))"</v>
      </c>
      <c r="AG160" s="1" t="str">
        <f t="shared" si="67"/>
        <v>EC</v>
      </c>
      <c r="AH160" s="86" t="str">
        <f t="shared" ref="AH160" si="72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244-11 --locoid 4039 --swversion DE.1.0.9.0 --startMP 204:442 --initTime 2017-03-12T00:12:53 --startdatetime 2017-03-12T01:26:15 --delay 1 --endMP 204:233334 --enddatetime 2017-03-12T02:01:50 --enforcementcount 0 &gt;&gt;C:\Users\stu\Documents\GitHub\eaglep3-reporting\EC\2017-03-11-refined-times.txt</v>
      </c>
      <c r="AI160" s="108" t="str">
        <f t="shared" ref="AI160" si="73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drop","project_id":79,"tracker_id":40,"status_id":1,"priority_id":2,"assigned_to_id":23,"start_date":"2017-03-12","description":"","custom_fields":[{"id":1,"name":"Subdivision","value":"EC"},{"id":4,"name":"Milepost","value":"2.11"},{"id":17,"name":"Train ID","value":"244-11"},{"id":16,"name":"Locomotive ID","value":"4039"},{"id":130,"name":"Impact","value":""},{"id":150,"name":"Time of Event (Mountain Time)","value":"02:01:50"},{"id":151,"name":"Denver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ref="AM160" si="74">"start /low /b "&amp;dls3logs&amp;" --loco "&amp;B160&amp;" --day "&amp;TEXT(F160,"YYYY-MM-DD")</f>
        <v>start /low /b %USERPROFILE%\Documents\GitHub\eaglep3\Utilities\DownloadLogsFromS3.py --loco 4039 --day 2017-03-12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"%USERPROFILE%\AppData\Local\Temp\OnboardLogs"\RTDC4039\*4039*20170312* | grep -SE "(Enforcement Action)|(\[TIMEOUT)|(CHR.+\|PRM\|1\|D.+(SWITCH|SIGNAL).+UNKNOWN)" - &gt;&gt; 2017-03-11-UncaughtWiMAX.txt</v>
      </c>
    </row>
    <row r="161" spans="1:91" x14ac:dyDescent="0.25">
      <c r="A161" s="33" t="s">
        <v>822</v>
      </c>
      <c r="B161" s="7">
        <v>4029</v>
      </c>
      <c r="C161" s="21" t="s">
        <v>240</v>
      </c>
      <c r="D161" s="21" t="s">
        <v>229</v>
      </c>
      <c r="E161" s="13">
        <v>42806.039305555554</v>
      </c>
      <c r="F161" s="13">
        <v>42806.040497685186</v>
      </c>
      <c r="G161" s="7">
        <v>1</v>
      </c>
      <c r="H161" s="21" t="s">
        <v>494</v>
      </c>
      <c r="I161" s="13">
        <v>42806.070729166669</v>
      </c>
      <c r="J161" s="7">
        <v>0</v>
      </c>
      <c r="K161" s="98" t="str">
        <f t="shared" si="55"/>
        <v>4029/4030</v>
      </c>
      <c r="L161" s="21" t="str">
        <f>VLOOKUP(A161,'Trips&amp;Operators'!$C$1:$G$99999,5,FALSE)</f>
        <v>BROWN JACOB</v>
      </c>
      <c r="M161" s="6">
        <f t="shared" si="56"/>
        <v>3.0231481483497191E-2</v>
      </c>
      <c r="N161" s="7">
        <f t="shared" ref="N161:N192" si="75">24*60*SUM($M161:$M161)</f>
        <v>43.533333336235955</v>
      </c>
      <c r="O161" s="7"/>
      <c r="P161" s="7"/>
      <c r="Q161" s="22"/>
      <c r="R161" s="22"/>
      <c r="S161" s="31">
        <f t="shared" si="71"/>
        <v>1</v>
      </c>
      <c r="T161" s="46" t="str">
        <f t="shared" si="57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86" t="str">
        <f t="shared" si="58"/>
        <v>https://d0f6bd738d7f1b3e5a7ca70fe4ff75f0.us-east-1.aws.found.io/app/kibana#/discover/Steve-Slow-Train-Analysis-(2080s-and-2083s)?_g=(refreshInterval:(display:Off,pause:!f,section:0,value:0),time:(from:'2017-03-11T23:56:36-0700',mode:absolute,to:'2017-03-12T02:41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1" s="187" t="str">
        <f t="shared" si="59"/>
        <v>N</v>
      </c>
      <c r="X161" s="187">
        <f t="shared" si="60"/>
        <v>1</v>
      </c>
      <c r="Y161" s="62">
        <f t="shared" ref="Y161:Y192" si="76">RIGHT(D161,LEN(D161)-4)/10000</f>
        <v>4.3999999999999997E-2</v>
      </c>
      <c r="Z161" s="62">
        <f t="shared" ref="Z161:Z192" si="77">RIGHT(H161,LEN(H161)-4)/10000</f>
        <v>23.3306</v>
      </c>
      <c r="AA161" s="62">
        <f t="shared" si="63"/>
        <v>23.2866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4"/>
        <v>0245-11</v>
      </c>
      <c r="AE161" s="85" t="str">
        <f t="shared" si="65"/>
        <v>aws s3 cp s3://rtdc.mdm.uploadarchive.raw/RTDC4029/ "%USERPROFILE%\AppData\Local\Temp\OnboardLogs"\RTDC4029\2017-03-12 --exclude "*" --recursive --include "*20170312*" &amp; "%USERPROFILE%\Documents\GitHub\mrs-test-scripts\Headless Mode &amp; Sideloading\WalkAndUnGZ.bat" "%USERPROFILE%\AppData\Local\Temp\OnboardLogs"\RTDC4029\2017-03-12 &amp; aws s3 cp s3://rtdc.mdm.uploadarchive.raw/RTDC4029/ "%USERPROFILE%\AppData\Local\Temp\OnboardLogs"\RTDC4029\2017-03-13 --exclude "*" --recursive --include "*20170313*" &amp; "%USERPROFILE%\Documents\GitHub\mrs-test-scripts\Headless Mode &amp; Sideloading\WalkAndUnGZ.bat" "%USERPROFILE%\AppData\Local\Temp\OnboardLogs"\RTDC4029\2017-03-13</v>
      </c>
      <c r="AF161" s="82" t="str">
        <f t="shared" si="66"/>
        <v>"C:\Program Files (x86)\AstroGrep\AstroGrep.exe" /e /r /s /spath="%USERPROFILE%\AppData\Local\Temp\OnboardLogs" /stypes="app*4029*20170312*" /stext=" 08:.+((SYSTEM_STATE.+slice.+state.+changed )|(ment ac)|(multiple cpu faults)|(system.+state.+changed )|(\[timeout)|(PRM\|1\|D)|(kpr)|(kdp)|(\|lc)|(penalty))"</v>
      </c>
      <c r="AG161" s="1" t="str">
        <f t="shared" si="67"/>
        <v>EC</v>
      </c>
      <c r="AH161" s="86" t="str">
        <f t="shared" si="68"/>
        <v>"%USERPROFILE%\Documents\GitHub\eaglep3\Utilities\RefineRTDCRunTimes.py" --tripid 245-11 --locoid 4029 --swversion DE.1.0.9.0 --startMP 204:440 --initTime 2017-03-12T00:56:36 --startdatetime 2017-03-12T00:58:19 --delay 1 --endMP 204:233306 --enddatetime 2017-03-12T01:41:51 --enforcementcount 0 &gt;&gt;C:\Users\stu\Documents\GitHub\eaglep3-reporting\EC\2017-03-11-refined-times.txt</v>
      </c>
      <c r="AI161" s="108" t="str">
        <f t="shared" si="69"/>
        <v>echo {"issue":{"subject":"","project_id":79,"tracker_id":40,"status_id":1,"priority_id":2,"assigned_to_id":23,"start_date":"2017-03-12","description":"","custom_fields":[{"id":1,"name":"Subdivision","value":"EC"},{"id":4,"name":"Milepost","value":"23.3306"},{"id":17,"name":"Train ID","value":"245-11"},{"id":16,"name":"Locomotive ID","value":"4029"},{"id":130,"name":"Impact","value":""},{"id":150,"name":"Time of Event (Mountain Time)","value":"01:41:51"},{"id":151,"name":"Denver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70"/>
        <v>start /low /b %USERPROFILE%\Documents\GitHub\eaglep3\Utilities\DownloadLogsFromS3.py --loco 4029 --day 2017-03-12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"%USERPROFILE%\AppData\Local\Temp\OnboardLogs"\RTDC4029\*4029*20170312* | grep -SE "(Enforcement Action)|(\[TIMEOUT)|(CHR.+\|PRM\|1\|D.+(SWITCH|SIGNAL).+UNKNOWN)" - &gt;&gt; 2017-03-11-UncaughtWiMAX.txt</v>
      </c>
    </row>
    <row r="162" spans="1:91" x14ac:dyDescent="0.25">
      <c r="A162" s="33" t="s">
        <v>1000</v>
      </c>
      <c r="B162" s="7">
        <v>4030</v>
      </c>
      <c r="C162" s="21" t="s">
        <v>240</v>
      </c>
      <c r="D162" s="21" t="s">
        <v>277</v>
      </c>
      <c r="E162" s="13">
        <v>42806.127337962964</v>
      </c>
      <c r="F162" s="13">
        <v>42806.122627314813</v>
      </c>
      <c r="G162" s="7">
        <v>1</v>
      </c>
      <c r="H162" s="21" t="s">
        <v>422</v>
      </c>
      <c r="I162" s="13">
        <v>42806.158680555556</v>
      </c>
      <c r="J162" s="7">
        <v>0</v>
      </c>
      <c r="K162" s="98" t="str">
        <f t="shared" si="55"/>
        <v>4029/4030</v>
      </c>
      <c r="L162" s="21" t="e">
        <f>VLOOKUP(A162,'Trips&amp;Operators'!$C$1:$G$99999,5,FALSE)</f>
        <v>#N/A</v>
      </c>
      <c r="M162" s="6">
        <f t="shared" si="56"/>
        <v>3.6053240743058268E-2</v>
      </c>
      <c r="N162" s="7">
        <f t="shared" si="75"/>
        <v>51.916666670003906</v>
      </c>
      <c r="O162" s="7"/>
      <c r="P162" s="7"/>
      <c r="Q162" s="22"/>
      <c r="R162" s="22" t="s">
        <v>1002</v>
      </c>
      <c r="S162" s="31">
        <f t="shared" si="71"/>
        <v>1</v>
      </c>
      <c r="T162" s="46" t="str">
        <f t="shared" si="57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86" t="str">
        <f t="shared" si="58"/>
        <v>https://d0f6bd738d7f1b3e5a7ca70fe4ff75f0.us-east-1.aws.found.io/app/kibana#/discover/Steve-Slow-Train-Analysis-(2080s-and-2083s)?_g=(refreshInterval:(display:Off,pause:!f,section:0,value:0),time:(from:'2017-03-12T02:03:22-0700',mode:absolute,to:'2017-03-12T04:48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2" s="187" t="str">
        <f t="shared" si="59"/>
        <v>N</v>
      </c>
      <c r="X162" s="187">
        <f t="shared" ref="X162:X165" si="78">VALUE(LEFT(AD162,4))-VALUE(LEFT(AD161,4))</f>
        <v>1</v>
      </c>
      <c r="Y162" s="62">
        <f t="shared" si="76"/>
        <v>23.300599999999999</v>
      </c>
      <c r="Z162" s="62">
        <f t="shared" si="77"/>
        <v>1.6E-2</v>
      </c>
      <c r="AA162" s="62">
        <f t="shared" si="63"/>
        <v>23.284600000000001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4"/>
        <v>0246-11</v>
      </c>
      <c r="AE162" s="85" t="str">
        <f t="shared" si="65"/>
        <v>aws s3 cp s3://rtdc.mdm.uploadarchive.raw/RTDC4030/ "%USERPROFILE%\AppData\Local\Temp\OnboardLogs"\RTDC4030\2017-03-12 --exclude "*" --recursive --include "*20170312*" &amp; "%USERPROFILE%\Documents\GitHub\mrs-test-scripts\Headless Mode &amp; Sideloading\WalkAndUnGZ.bat" "%USERPROFILE%\AppData\Local\Temp\OnboardLogs"\RTDC4030\2017-03-12 &amp; aws s3 cp s3://rtdc.mdm.uploadarchive.raw/RTDC4030/ "%USERPROFILE%\AppData\Local\Temp\OnboardLogs"\RTDC4030\2017-03-13 --exclude "*" --recursive --include "*20170313*" &amp; "%USERPROFILE%\Documents\GitHub\mrs-test-scripts\Headless Mode &amp; Sideloading\WalkAndUnGZ.bat" "%USERPROFILE%\AppData\Local\Temp\OnboardLogs"\RTDC4030\2017-03-13</v>
      </c>
      <c r="AF162" s="82" t="str">
        <f t="shared" si="66"/>
        <v>"C:\Program Files (x86)\AstroGrep\AstroGrep.exe" /e /r /s /spath="%USERPROFILE%\AppData\Local\Temp\OnboardLogs" /stypes="app*4030*20170312*" /stext=" 10:.+((SYSTEM_STATE.+slice.+state.+changed )|(ment ac)|(multiple cpu faults)|(system.+state.+changed )|(\[timeout)|(PRM\|1\|D)|(kpr)|(kdp)|(\|lc)|(penalty))"</v>
      </c>
      <c r="AG162" s="1" t="str">
        <f t="shared" si="67"/>
        <v>EC</v>
      </c>
      <c r="AH162" s="86" t="str">
        <f t="shared" si="68"/>
        <v>"%USERPROFILE%\Documents\GitHub\eaglep3\Utilities\RefineRTDCRunTimes.py" --tripid 246-11 --locoid 4030 --swversion DE.1.0.9.0 --startMP 204:233006 --initTime 2017-03-12T03:03:22 --startdatetime 2017-03-12T02:56:35 --delay 1 --endMP 204:160 --enddatetime 2017-03-12T03:48:30 --enforcementcount 0 &gt;&gt;C:\Users\stu\Documents\GitHub\eaglep3-reporting\EC\2017-03-11-refined-times.txt</v>
      </c>
      <c r="AI162" s="108" t="str">
        <f t="shared" si="69"/>
        <v>echo {"issue":{"subject":"Delayed by Onboard in-route failure","project_id":79,"tracker_id":40,"status_id":1,"priority_id":2,"assigned_to_id":23,"start_date":"2017-03-12","description":"","custom_fields":[{"id":1,"name":"Subdivision","value":"EC"},{"id":4,"name":"Milepost","value":"0.016"},{"id":17,"name":"Train ID","value":"246-11"},{"id":16,"name":"Locomotive ID","value":"4030"},{"id":130,"name":"Impact","value":""},{"id":150,"name":"Time of Event (Mountain Time)","value":"03:48:30"},{"id":151,"name":"Denver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70"/>
        <v>start /low /b %USERPROFILE%\Documents\GitHub\eaglep3\Utilities\DownloadLogsFromS3.py --loco 4030 --day 2017-03-12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"%USERPROFILE%\AppData\Local\Temp\OnboardLogs"\RTDC4030\*4030*20170312* | grep -SE "(Enforcement Action)|(\[TIMEOUT)|(CHR.+\|PRM\|1\|D.+(SWITCH|SIGNAL).+UNKNOWN)" - &gt;&gt; 2017-03-11-UncaughtWiMAX.txt</v>
      </c>
    </row>
    <row r="163" spans="1:91" x14ac:dyDescent="0.25">
      <c r="A163" s="33" t="s">
        <v>659</v>
      </c>
      <c r="B163" s="7">
        <v>4023</v>
      </c>
      <c r="C163" s="21" t="s">
        <v>240</v>
      </c>
      <c r="D163" s="21" t="s">
        <v>886</v>
      </c>
      <c r="E163" s="13">
        <v>42805.230856481481</v>
      </c>
      <c r="F163" s="13">
        <v>42805.231817129628</v>
      </c>
      <c r="G163" s="7">
        <v>1</v>
      </c>
      <c r="H163" s="21" t="s">
        <v>887</v>
      </c>
      <c r="I163" s="13">
        <v>42805.247129629628</v>
      </c>
      <c r="J163" s="7">
        <v>0</v>
      </c>
      <c r="K163" s="98" t="str">
        <f t="shared" si="55"/>
        <v>4023/4024</v>
      </c>
      <c r="L163" s="21" t="str">
        <f>VLOOKUP(A163,'Trips&amp;Operators'!$C$1:$G$99999,5,FALSE)</f>
        <v>SHOOK JOHN</v>
      </c>
      <c r="M163" s="6">
        <f t="shared" si="56"/>
        <v>1.5312499999708962E-2</v>
      </c>
      <c r="N163" s="7">
        <f t="shared" si="75"/>
        <v>22.049999999580905</v>
      </c>
      <c r="O163" s="7"/>
      <c r="P163" s="7"/>
      <c r="Q163" s="22"/>
      <c r="R163" s="22"/>
      <c r="S163" s="31">
        <f t="shared" si="71"/>
        <v>1</v>
      </c>
      <c r="T163" s="46" t="str">
        <f t="shared" si="57"/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8"/>
        <v>https://d0f6bd738d7f1b3e5a7ca70fe4ff75f0.us-east-1.aws.found.io/app/kibana#/discover/Steve-Slow-Train-Analysis-(2080s-and-2083s)?_g=(refreshInterval:(display:Off,pause:!f,section:0,value:0),time:(from:'2017-03-11T04:32:26-0700',mode:absolute,to:'2017-03-11T06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3" s="187" t="str">
        <f t="shared" si="59"/>
        <v>N</v>
      </c>
      <c r="X163" s="187">
        <f t="shared" si="78"/>
        <v>1554</v>
      </c>
      <c r="Y163" s="62">
        <f t="shared" si="76"/>
        <v>5.8677000000000001</v>
      </c>
      <c r="Z163" s="62">
        <f t="shared" si="77"/>
        <v>7.3599999999999999E-2</v>
      </c>
      <c r="AA163" s="62">
        <f t="shared" si="63"/>
        <v>5.7941000000000003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4"/>
        <v>1800-11</v>
      </c>
      <c r="AE163" s="85" t="str">
        <f t="shared" si="65"/>
        <v>aws s3 cp s3://rtdc.mdm.uploadarchive.raw/RTDC4023/ "%USERPROFILE%\AppData\Local\Temp\OnboardLogs"\RTDC4023\2017-03-11 --exclude "*" --recursive --include "*20170311*" &amp; "%USERPROFILE%\Documents\GitHub\mrs-test-scripts\Headless Mode &amp; Sideloading\WalkAndUnGZ.bat" "%USERPROFILE%\AppData\Local\Temp\OnboardLogs"\RTDC4023\2017-03-11 &amp; aws s3 cp s3://rtdc.mdm.uploadarchive.raw/RTDC4023/ "%USERPROFILE%\AppData\Local\Temp\OnboardLogs"\RTDC4023\2017-03-12 --exclude "*" --recursive --include "*20170312*" &amp; "%USERPROFILE%\Documents\GitHub\mrs-test-scripts\Headless Mode &amp; Sideloading\WalkAndUnGZ.bat" "%USERPROFILE%\AppData\Local\Temp\OnboardLogs"\RTDC4023\2017-03-12</v>
      </c>
      <c r="AF163" s="82" t="str">
        <f t="shared" si="66"/>
        <v>"C:\Program Files (x86)\AstroGrep\AstroGrep.exe" /e /r /s /spath="%USERPROFILE%\AppData\Local\Temp\OnboardLogs" /stypes="app*4023*20170311*" /stext=" 12:.+((SYSTEM_STATE.+slice.+state.+changed )|(ment ac)|(multiple cpu faults)|(system.+state.+changed )|(\[timeout)|(PRM\|1\|D)|(kpr)|(kdp)|(\|lc)|(penalty))"</v>
      </c>
      <c r="AG163" s="1" t="str">
        <f t="shared" si="67"/>
        <v>NW</v>
      </c>
      <c r="AH163" s="86" t="str">
        <f t="shared" si="68"/>
        <v>"%USERPROFILE%\Documents\GitHub\eaglep3\Utilities\RefineRTDCRunTimes.py" --tripid 1800-11 --locoid 4023 --swversion DE.1.0.9.0 --startMP 300:58677 --initTime 2017-03-11T05:32:26 --startdatetime 2017-03-11T05:33:49 --delay 1 --endMP 204:736 --enddatetime 2017-03-11T05:55:52 --enforcementcount 0 &gt;&gt;C:\Users\stu\Documents\GitHub\eaglep3-reporting\EC\2017-03-11-refined-times.txt</v>
      </c>
      <c r="AI163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{"issue":{"subject":"","project_id":79,"tracker_id":40,"status_id":1,"priority_id":2,"assigned_to_id":23,"start_date":"2017-03-11","description":"","custom_fields":[{"id":1,"name":"Subdivision","value":"NW"},{"id":4,"name":"Milepost","value":"0.0736"},{"id":17,"name":"Train ID","value":"1800-11"},{"id":16,"name":"Locomotive ID","value":"4023"},{"id":130,"name":"Impact","value":""},{"id":150,"name":"Time of Event (Mountain Time)","value":"05:55:52"},{"id":151,"name":"Denver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70"/>
        <v>start /low /b %USERPROFILE%\Documents\GitHub\eaglep3\Utilities\DownloadLogsFromS3.py --loco 4023 --day 2017-03-11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"%USERPROFILE%\AppData\Local\Temp\OnboardLogs"\RTDC4023\*4023*20170311* | grep -SE "(Enforcement Action)|(\[TIMEOUT)|(CHR.+\|PRM\|1\|D.+(SWITCH|SIGNAL).+UNKNOWN)" - &gt;&gt; 2017-03-11-UncaughtWiMAX.txt</v>
      </c>
    </row>
    <row r="164" spans="1:91" x14ac:dyDescent="0.25">
      <c r="A164" s="33" t="s">
        <v>661</v>
      </c>
      <c r="B164" s="7">
        <v>4024</v>
      </c>
      <c r="C164" s="21" t="s">
        <v>240</v>
      </c>
      <c r="D164" s="21" t="s">
        <v>888</v>
      </c>
      <c r="E164" s="13">
        <v>42805.249120370368</v>
      </c>
      <c r="F164" s="13">
        <v>42805.249861111108</v>
      </c>
      <c r="G164" s="7">
        <v>1</v>
      </c>
      <c r="H164" s="21" t="s">
        <v>889</v>
      </c>
      <c r="I164" s="13">
        <v>42805.274606481478</v>
      </c>
      <c r="J164" s="7">
        <v>0</v>
      </c>
      <c r="K164" s="98" t="str">
        <f t="shared" si="55"/>
        <v>4023/4024</v>
      </c>
      <c r="L164" s="21" t="str">
        <f>VLOOKUP(A164,'Trips&amp;Operators'!$C$1:$G$99999,5,FALSE)</f>
        <v>SHOOK JOHN</v>
      </c>
      <c r="M164" s="6">
        <f t="shared" si="56"/>
        <v>2.47453703705105E-2</v>
      </c>
      <c r="N164" s="7">
        <f t="shared" si="75"/>
        <v>35.63333333353512</v>
      </c>
      <c r="O164" s="7"/>
      <c r="P164" s="7"/>
      <c r="Q164" s="22"/>
      <c r="R164" s="22"/>
      <c r="S164" s="31">
        <f t="shared" si="71"/>
        <v>1</v>
      </c>
      <c r="T164" s="46" t="str">
        <f t="shared" si="57"/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8"/>
        <v>https://d0f6bd738d7f1b3e5a7ca70fe4ff75f0.us-east-1.aws.found.io/app/kibana#/discover/Steve-Slow-Train-Analysis-(2080s-and-2083s)?_g=(refreshInterval:(display:Off,pause:!f,section:0,value:0),time:(from:'2017-03-11T04:58:44-0700',mode:absolute,to:'2017-03-11T07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4" s="187" t="str">
        <f t="shared" si="59"/>
        <v>N</v>
      </c>
      <c r="X164" s="187">
        <f t="shared" si="78"/>
        <v>1</v>
      </c>
      <c r="Y164" s="62">
        <f t="shared" si="76"/>
        <v>0.10199999999999999</v>
      </c>
      <c r="Z164" s="62">
        <f t="shared" si="77"/>
        <v>5.8963000000000001</v>
      </c>
      <c r="AA164" s="62">
        <f t="shared" si="63"/>
        <v>5.7942999999999998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4"/>
        <v>1801-11</v>
      </c>
      <c r="AE164" s="85" t="str">
        <f t="shared" si="65"/>
        <v>aws s3 cp s3://rtdc.mdm.uploadarchive.raw/RTDC4024/ "%USERPROFILE%\AppData\Local\Temp\OnboardLogs"\RTDC4024\2017-03-11 --exclude "*" --recursive --include "*20170311*" &amp; "%USERPROFILE%\Documents\GitHub\mrs-test-scripts\Headless Mode &amp; Sideloading\WalkAndUnGZ.bat" "%USERPROFILE%\AppData\Local\Temp\OnboardLogs"\RTDC4024\2017-03-11 &amp; aws s3 cp s3://rtdc.mdm.uploadarchive.raw/RTDC4024/ "%USERPROFILE%\AppData\Local\Temp\OnboardLogs"\RTDC4024\2017-03-12 --exclude "*" --recursive --include "*20170312*" &amp; "%USERPROFILE%\Documents\GitHub\mrs-test-scripts\Headless Mode &amp; Sideloading\WalkAndUnGZ.bat" "%USERPROFILE%\AppData\Local\Temp\OnboardLogs"\RTDC4024\2017-03-12</v>
      </c>
      <c r="AF164" s="82" t="str">
        <f t="shared" si="66"/>
        <v>"C:\Program Files (x86)\AstroGrep\AstroGrep.exe" /e /r /s /spath="%USERPROFILE%\AppData\Local\Temp\OnboardLogs" /stypes="app*4024*20170311*" /stext=" 13:.+((SYSTEM_STATE.+slice.+state.+changed )|(ment ac)|(multiple cpu faults)|(system.+state.+changed )|(\[timeout)|(PRM\|1\|D)|(kpr)|(kdp)|(\|lc)|(penalty))"</v>
      </c>
      <c r="AG164" s="1" t="str">
        <f t="shared" si="67"/>
        <v>NW</v>
      </c>
      <c r="AH164" s="86" t="str">
        <f t="shared" si="68"/>
        <v>"%USERPROFILE%\Documents\GitHub\eaglep3\Utilities\RefineRTDCRunTimes.py" --tripid 1801-11 --locoid 4024 --swversion DE.1.0.9.0 --startMP 204:1020 --initTime 2017-03-11T05:58:44 --startdatetime 2017-03-11T05:59:48 --delay 1 --endMP 300:58963 --enddatetime 2017-03-11T06:35:26 --enforcementcount 0 &gt;&gt;C:\Users\stu\Documents\GitHub\eaglep3-reporting\EC\2017-03-11-refined-times.txt</v>
      </c>
      <c r="AI164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{"issue":{"subject":"","project_id":79,"tracker_id":40,"status_id":1,"priority_id":2,"assigned_to_id":23,"start_date":"2017-03-11","description":"","custom_fields":[{"id":1,"name":"Subdivision","value":"NW"},{"id":4,"name":"Milepost","value":"5.8963"},{"id":17,"name":"Train ID","value":"1801-11"},{"id":16,"name":"Locomotive ID","value":"4024"},{"id":130,"name":"Impact","value":""},{"id":150,"name":"Time of Event (Mountain Time)","value":"06:35:26"},{"id":151,"name":"Denver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70"/>
        <v>start /low /b %USERPROFILE%\Documents\GitHub\eaglep3\Utilities\DownloadLogsFromS3.py --loco 4024 --day 2017-03-11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"%USERPROFILE%\AppData\Local\Temp\OnboardLogs"\RTDC4024\*4024*20170311* | grep -SE "(Enforcement Action)|(\[TIMEOUT)|(CHR.+\|PRM\|1\|D.+(SWITCH|SIGNAL).+UNKNOWN)" - &gt;&gt; 2017-03-11-UncaughtWiMAX.txt</v>
      </c>
    </row>
    <row r="165" spans="1:91" x14ac:dyDescent="0.25">
      <c r="A165" s="33" t="s">
        <v>666</v>
      </c>
      <c r="B165" s="7">
        <v>4023</v>
      </c>
      <c r="C165" s="21" t="s">
        <v>240</v>
      </c>
      <c r="D165" s="21" t="s">
        <v>886</v>
      </c>
      <c r="E165" s="13">
        <v>42805.276701388888</v>
      </c>
      <c r="F165" s="13">
        <v>42805.277546296296</v>
      </c>
      <c r="G165" s="7">
        <v>1</v>
      </c>
      <c r="H165" s="21" t="s">
        <v>575</v>
      </c>
      <c r="I165" s="13">
        <v>42805.28869212963</v>
      </c>
      <c r="J165" s="7">
        <v>0</v>
      </c>
      <c r="K165" s="98" t="str">
        <f t="shared" si="55"/>
        <v>4023/4024</v>
      </c>
      <c r="L165" s="21" t="str">
        <f>VLOOKUP(A165,'Trips&amp;Operators'!$C$1:$G$99999,5,FALSE)</f>
        <v>SHOOK JOHN</v>
      </c>
      <c r="M165" s="6">
        <f t="shared" si="56"/>
        <v>1.1145833334012423E-2</v>
      </c>
      <c r="N165" s="7">
        <f t="shared" si="75"/>
        <v>16.050000000977889</v>
      </c>
      <c r="O165" s="7"/>
      <c r="P165" s="7"/>
      <c r="Q165" s="22"/>
      <c r="R165" s="22"/>
      <c r="S165" s="31">
        <f t="shared" si="71"/>
        <v>1</v>
      </c>
      <c r="T165" s="46" t="str">
        <f t="shared" si="57"/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8"/>
        <v>https://d0f6bd738d7f1b3e5a7ca70fe4ff75f0.us-east-1.aws.found.io/app/kibana#/discover/Steve-Slow-Train-Analysis-(2080s-and-2083s)?_g=(refreshInterval:(display:Off,pause:!f,section:0,value:0),time:(from:'2017-03-11T05:38:27-0700',mode:absolute,to:'2017-03-11T07:55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5" s="187" t="str">
        <f t="shared" si="59"/>
        <v>N</v>
      </c>
      <c r="X165" s="187">
        <f t="shared" si="78"/>
        <v>1</v>
      </c>
      <c r="Y165" s="62">
        <f t="shared" si="76"/>
        <v>5.8677000000000001</v>
      </c>
      <c r="Z165" s="62">
        <f t="shared" si="77"/>
        <v>6.9800000000000001E-2</v>
      </c>
      <c r="AA165" s="62">
        <f t="shared" si="63"/>
        <v>5.7979000000000003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4"/>
        <v>1802-11</v>
      </c>
      <c r="AE165" s="85" t="str">
        <f t="shared" si="65"/>
        <v>aws s3 cp s3://rtdc.mdm.uploadarchive.raw/RTDC4023/ "%USERPROFILE%\AppData\Local\Temp\OnboardLogs"\RTDC4023\2017-03-11 --exclude "*" --recursive --include "*20170311*" &amp; "%USERPROFILE%\Documents\GitHub\mrs-test-scripts\Headless Mode &amp; Sideloading\WalkAndUnGZ.bat" "%USERPROFILE%\AppData\Local\Temp\OnboardLogs"\RTDC4023\2017-03-11 &amp; aws s3 cp s3://rtdc.mdm.uploadarchive.raw/RTDC4023/ "%USERPROFILE%\AppData\Local\Temp\OnboardLogs"\RTDC4023\2017-03-12 --exclude "*" --recursive --include "*20170312*" &amp; "%USERPROFILE%\Documents\GitHub\mrs-test-scripts\Headless Mode &amp; Sideloading\WalkAndUnGZ.bat" "%USERPROFILE%\AppData\Local\Temp\OnboardLogs"\RTDC4023\2017-03-12</v>
      </c>
      <c r="AF165" s="82" t="str">
        <f t="shared" si="66"/>
        <v>"C:\Program Files (x86)\AstroGrep\AstroGrep.exe" /e /r /s /spath="%USERPROFILE%\AppData\Local\Temp\OnboardLogs" /stypes="app*4023*20170311*" /stext=" 13:.+((SYSTEM_STATE.+slice.+state.+changed )|(ment ac)|(multiple cpu faults)|(system.+state.+changed )|(\[timeout)|(PRM\|1\|D)|(kpr)|(kdp)|(\|lc)|(penalty))"</v>
      </c>
      <c r="AG165" s="1" t="str">
        <f t="shared" si="67"/>
        <v>NW</v>
      </c>
      <c r="AH165" s="86" t="str">
        <f t="shared" si="68"/>
        <v>"%USERPROFILE%\Documents\GitHub\eaglep3\Utilities\RefineRTDCRunTimes.py" --tripid 1802-11 --locoid 4023 --swversion DE.1.0.9.0 --startMP 300:58677 --initTime 2017-03-11T06:38:27 --startdatetime 2017-03-11T06:39:40 --delay 1 --endMP 204:698 --enddatetime 2017-03-11T06:55:43 --enforcementcount 0 &gt;&gt;C:\Users\stu\Documents\GitHub\eaglep3-reporting\EC\2017-03-11-refined-times.txt</v>
      </c>
      <c r="AI165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{"issue":{"subject":"","project_id":79,"tracker_id":40,"status_id":1,"priority_id":2,"assigned_to_id":23,"start_date":"2017-03-11","description":"","custom_fields":[{"id":1,"name":"Subdivision","value":"NW"},{"id":4,"name":"Milepost","value":"0.0698"},{"id":17,"name":"Train ID","value":"1802-11"},{"id":16,"name":"Locomotive ID","value":"4023"},{"id":130,"name":"Impact","value":""},{"id":150,"name":"Time of Event (Mountain Time)","value":"06:55:43"},{"id":151,"name":"Denver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70"/>
        <v>start /low /b %USERPROFILE%\Documents\GitHub\eaglep3\Utilities\DownloadLogsFromS3.py --loco 4023 --day 2017-03-11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"%USERPROFILE%\AppData\Local\Temp\OnboardLogs"\RTDC4023\*4023*20170311* | grep -SE "(Enforcement Action)|(\[TIMEOUT)|(CHR.+\|PRM\|1\|D.+(SWITCH|SIGNAL).+UNKNOWN)" - &gt;&gt; 2017-03-11-UncaughtWiMAX.txt</v>
      </c>
    </row>
    <row r="166" spans="1:91" s="20" customFormat="1" x14ac:dyDescent="0.25">
      <c r="A166" s="33" t="s">
        <v>668</v>
      </c>
      <c r="B166" s="7">
        <v>4024</v>
      </c>
      <c r="C166" s="21" t="s">
        <v>240</v>
      </c>
      <c r="D166" s="21" t="s">
        <v>566</v>
      </c>
      <c r="E166" s="13">
        <v>42805.290243055555</v>
      </c>
      <c r="F166" s="13">
        <v>42805.291122685187</v>
      </c>
      <c r="G166" s="7">
        <v>1</v>
      </c>
      <c r="H166" s="21" t="s">
        <v>567</v>
      </c>
      <c r="I166" s="13">
        <v>42805.316053240742</v>
      </c>
      <c r="J166" s="7">
        <v>0</v>
      </c>
      <c r="K166" s="98" t="str">
        <f t="shared" si="55"/>
        <v>4023/4024</v>
      </c>
      <c r="L166" s="21" t="str">
        <f>VLOOKUP(A166,'Trips&amp;Operators'!$C$1:$G$99999,5,FALSE)</f>
        <v>SHOOK JOHN</v>
      </c>
      <c r="M166" s="6">
        <f t="shared" si="56"/>
        <v>2.4930555555329192E-2</v>
      </c>
      <c r="N166" s="7">
        <f t="shared" si="75"/>
        <v>35.899999999674037</v>
      </c>
      <c r="O166" s="7"/>
      <c r="P166" s="7"/>
      <c r="Q166" s="22"/>
      <c r="R166" s="22"/>
      <c r="S166" s="31">
        <f t="shared" si="71"/>
        <v>1</v>
      </c>
      <c r="T166" s="46" t="str">
        <f t="shared" si="57"/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8"/>
        <v>https://d0f6bd738d7f1b3e5a7ca70fe4ff75f0.us-east-1.aws.found.io/app/kibana#/discover/Steve-Slow-Train-Analysis-(2080s-and-2083s)?_g=(refreshInterval:(display:Off,pause:!f,section:0,value:0),time:(from:'2017-03-11T05:57:57-0700',mode:absolute,to:'2017-03-11T08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6" s="187" t="str">
        <f t="shared" si="59"/>
        <v>N</v>
      </c>
      <c r="X166" s="187">
        <f t="shared" ref="X166:X197" si="79">VALUE(LEFT(AD166,4))-VALUE(LEFT(AD165,4))</f>
        <v>1</v>
      </c>
      <c r="Y166" s="62">
        <f t="shared" si="76"/>
        <v>9.8299999999999998E-2</v>
      </c>
      <c r="Z166" s="62">
        <f t="shared" si="77"/>
        <v>5.8997000000000002</v>
      </c>
      <c r="AA166" s="62">
        <f t="shared" si="63"/>
        <v>5.8014000000000001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4"/>
        <v>1803-11</v>
      </c>
      <c r="AE166" s="85" t="str">
        <f t="shared" si="65"/>
        <v>aws s3 cp s3://rtdc.mdm.uploadarchive.raw/RTDC4024/ "%USERPROFILE%\AppData\Local\Temp\OnboardLogs"\RTDC4024\2017-03-11 --exclude "*" --recursive --include "*20170311*" &amp; "%USERPROFILE%\Documents\GitHub\mrs-test-scripts\Headless Mode &amp; Sideloading\WalkAndUnGZ.bat" "%USERPROFILE%\AppData\Local\Temp\OnboardLogs"\RTDC4024\2017-03-11 &amp; aws s3 cp s3://rtdc.mdm.uploadarchive.raw/RTDC4024/ "%USERPROFILE%\AppData\Local\Temp\OnboardLogs"\RTDC4024\2017-03-12 --exclude "*" --recursive --include "*20170312*" &amp; "%USERPROFILE%\Documents\GitHub\mrs-test-scripts\Headless Mode &amp; Sideloading\WalkAndUnGZ.bat" "%USERPROFILE%\AppData\Local\Temp\OnboardLogs"\RTDC4024\2017-03-12</v>
      </c>
      <c r="AF166" s="82" t="str">
        <f t="shared" si="66"/>
        <v>"C:\Program Files (x86)\AstroGrep\AstroGrep.exe" /e /r /s /spath="%USERPROFILE%\AppData\Local\Temp\OnboardLogs" /stypes="app*4024*20170311*" /stext=" 14:.+((SYSTEM_STATE.+slice.+state.+changed )|(ment ac)|(multiple cpu faults)|(system.+state.+changed )|(\[timeout)|(PRM\|1\|D)|(kpr)|(kdp)|(\|lc)|(penalty))"</v>
      </c>
      <c r="AG166" s="1" t="str">
        <f t="shared" si="67"/>
        <v>NW</v>
      </c>
      <c r="AH166" s="86" t="str">
        <f t="shared" si="68"/>
        <v>"%USERPROFILE%\Documents\GitHub\eaglep3\Utilities\RefineRTDCRunTimes.py" --tripid 1803-11 --locoid 4024 --swversion DE.1.0.9.0 --startMP 204:983 --initTime 2017-03-11T06:57:57 --startdatetime 2017-03-11T06:59:13 --delay 1 --endMP 300:58997 --enddatetime 2017-03-11T07:35:07 --enforcementcount 0 &gt;&gt;C:\Users\stu\Documents\GitHub\eaglep3-reporting\EC\2017-03-11-refined-times.txt</v>
      </c>
      <c r="AI166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{"issue":{"subject":"","project_id":79,"tracker_id":40,"status_id":1,"priority_id":2,"assigned_to_id":23,"start_date":"2017-03-11","description":"","custom_fields":[{"id":1,"name":"Subdivision","value":"NW"},{"id":4,"name":"Milepost","value":"5.8997"},{"id":17,"name":"Train ID","value":"1803-11"},{"id":16,"name":"Locomotive ID","value":"4024"},{"id":130,"name":"Impact","value":""},{"id":150,"name":"Time of Event (Mountain Time)","value":"07:35:07"},{"id":151,"name":"Denver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70"/>
        <v>start /low /b %USERPROFILE%\Documents\GitHub\eaglep3\Utilities\DownloadLogsFromS3.py --loco 4024 --day 2017-03-11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"%USERPROFILE%\AppData\Local\Temp\OnboardLogs"\RTDC4024\*4024*20170311* | grep -SE "(Enforcement Action)|(\[TIMEOUT)|(CHR.+\|PRM\|1\|D.+(SWITCH|SIGNAL).+UNKNOWN)" - &gt;&gt; 2017-03-11-UncaughtWiMAX.txt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675</v>
      </c>
      <c r="B167" s="7">
        <v>4023</v>
      </c>
      <c r="C167" s="21" t="s">
        <v>240</v>
      </c>
      <c r="D167" s="21" t="s">
        <v>563</v>
      </c>
      <c r="E167" s="13">
        <v>42805.317766203705</v>
      </c>
      <c r="F167" s="13">
        <v>42805.319108796299</v>
      </c>
      <c r="G167" s="7">
        <v>1</v>
      </c>
      <c r="H167" s="21" t="s">
        <v>890</v>
      </c>
      <c r="I167" s="13">
        <v>42805.330046296294</v>
      </c>
      <c r="J167" s="7">
        <v>0</v>
      </c>
      <c r="K167" s="98" t="str">
        <f t="shared" si="55"/>
        <v>4023/4024</v>
      </c>
      <c r="L167" s="21" t="str">
        <f>VLOOKUP(A167,'Trips&amp;Operators'!$C$1:$G$99999,5,FALSE)</f>
        <v>SHOOK JOHN</v>
      </c>
      <c r="M167" s="6">
        <f t="shared" si="56"/>
        <v>1.0937499995634425E-2</v>
      </c>
      <c r="N167" s="7">
        <f t="shared" si="75"/>
        <v>15.749999993713573</v>
      </c>
      <c r="O167" s="7"/>
      <c r="P167" s="7"/>
      <c r="Q167" s="22"/>
      <c r="R167" s="22"/>
      <c r="S167" s="31">
        <f t="shared" si="71"/>
        <v>1</v>
      </c>
      <c r="T167" s="46" t="str">
        <f t="shared" si="57"/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8"/>
        <v>https://d0f6bd738d7f1b3e5a7ca70fe4ff75f0.us-east-1.aws.found.io/app/kibana#/discover/Steve-Slow-Train-Analysis-(2080s-and-2083s)?_g=(refreshInterval:(display:Off,pause:!f,section:0,value:0),time:(from:'2017-03-11T06:37:35-0700',mode:absolute,to:'2017-03-11T08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7" s="187" t="str">
        <f t="shared" si="59"/>
        <v>N</v>
      </c>
      <c r="X167" s="187">
        <f t="shared" si="79"/>
        <v>1</v>
      </c>
      <c r="Y167" s="62">
        <f t="shared" si="76"/>
        <v>5.8678999999999997</v>
      </c>
      <c r="Z167" s="62">
        <f t="shared" si="77"/>
        <v>7.5200000000000003E-2</v>
      </c>
      <c r="AA167" s="62">
        <f t="shared" si="63"/>
        <v>5.7927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4"/>
        <v>1804-11</v>
      </c>
      <c r="AE167" s="85" t="str">
        <f t="shared" si="65"/>
        <v>aws s3 cp s3://rtdc.mdm.uploadarchive.raw/RTDC4023/ "%USERPROFILE%\AppData\Local\Temp\OnboardLogs"\RTDC4023\2017-03-11 --exclude "*" --recursive --include "*20170311*" &amp; "%USERPROFILE%\Documents\GitHub\mrs-test-scripts\Headless Mode &amp; Sideloading\WalkAndUnGZ.bat" "%USERPROFILE%\AppData\Local\Temp\OnboardLogs"\RTDC4023\2017-03-11 &amp; aws s3 cp s3://rtdc.mdm.uploadarchive.raw/RTDC4023/ "%USERPROFILE%\AppData\Local\Temp\OnboardLogs"\RTDC4023\2017-03-12 --exclude "*" --recursive --include "*20170312*" &amp; "%USERPROFILE%\Documents\GitHub\mrs-test-scripts\Headless Mode &amp; Sideloading\WalkAndUnGZ.bat" "%USERPROFILE%\AppData\Local\Temp\OnboardLogs"\RTDC4023\2017-03-12</v>
      </c>
      <c r="AF167" s="82" t="str">
        <f t="shared" si="66"/>
        <v>"C:\Program Files (x86)\AstroGrep\AstroGrep.exe" /e /r /s /spath="%USERPROFILE%\AppData\Local\Temp\OnboardLogs" /stypes="app*4023*20170311*" /stext=" 14:.+((SYSTEM_STATE.+slice.+state.+changed )|(ment ac)|(multiple cpu faults)|(system.+state.+changed )|(\[timeout)|(PRM\|1\|D)|(kpr)|(kdp)|(\|lc)|(penalty))"</v>
      </c>
      <c r="AG167" s="1" t="str">
        <f t="shared" si="67"/>
        <v>NW</v>
      </c>
      <c r="AH167" s="86" t="str">
        <f t="shared" si="68"/>
        <v>"%USERPROFILE%\Documents\GitHub\eaglep3\Utilities\RefineRTDCRunTimes.py" --tripid 1804-11 --locoid 4023 --swversion DE.1.0.9.0 --startMP 300:58679 --initTime 2017-03-11T07:37:35 --startdatetime 2017-03-11T07:39:31 --delay 1 --endMP 204:752 --enddatetime 2017-03-11T07:55:16 --enforcementcount 0 &gt;&gt;C:\Users\stu\Documents\GitHub\eaglep3-reporting\EC\2017-03-11-refined-times.txt</v>
      </c>
      <c r="AI167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{"issue":{"subject":"","project_id":79,"tracker_id":40,"status_id":1,"priority_id":2,"assigned_to_id":23,"start_date":"2017-03-11","description":"","custom_fields":[{"id":1,"name":"Subdivision","value":"NW"},{"id":4,"name":"Milepost","value":"0.0752"},{"id":17,"name":"Train ID","value":"1804-11"},{"id":16,"name":"Locomotive ID","value":"4023"},{"id":130,"name":"Impact","value":""},{"id":150,"name":"Time of Event (Mountain Time)","value":"07:55:16"},{"id":151,"name":"Denver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70"/>
        <v>start /low /b %USERPROFILE%\Documents\GitHub\eaglep3\Utilities\DownloadLogsFromS3.py --loco 4023 --day 2017-03-11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"%USERPROFILE%\AppData\Local\Temp\OnboardLogs"\RTDC4023\*4023*20170311* | grep -SE "(Enforcement Action)|(\[TIMEOUT)|(CHR.+\|PRM\|1\|D.+(SWITCH|SIGNAL).+UNKNOWN)" - &gt;&gt; 2017-03-11-UncaughtWiMAX.txt</v>
      </c>
    </row>
    <row r="168" spans="1:91" x14ac:dyDescent="0.25">
      <c r="A168" s="33" t="s">
        <v>677</v>
      </c>
      <c r="B168" s="7">
        <v>4024</v>
      </c>
      <c r="C168" s="21" t="s">
        <v>240</v>
      </c>
      <c r="D168" s="21" t="s">
        <v>891</v>
      </c>
      <c r="E168" s="13">
        <v>42805.332094907404</v>
      </c>
      <c r="F168" s="13">
        <v>42805.332916666666</v>
      </c>
      <c r="G168" s="7">
        <v>1</v>
      </c>
      <c r="H168" s="21" t="s">
        <v>564</v>
      </c>
      <c r="I168" s="13">
        <v>42805.357858796298</v>
      </c>
      <c r="J168" s="7">
        <v>0</v>
      </c>
      <c r="K168" s="98" t="str">
        <f t="shared" si="55"/>
        <v>4023/4024</v>
      </c>
      <c r="L168" s="21" t="str">
        <f>VLOOKUP(A168,'Trips&amp;Operators'!$C$1:$G$99999,5,FALSE)</f>
        <v>SHOOK JOHN</v>
      </c>
      <c r="M168" s="6">
        <f t="shared" si="56"/>
        <v>2.4942129632108845E-2</v>
      </c>
      <c r="N168" s="7">
        <f t="shared" si="75"/>
        <v>35.916666670236737</v>
      </c>
      <c r="O168" s="7"/>
      <c r="P168" s="7"/>
      <c r="Q168" s="22"/>
      <c r="R168" s="22"/>
      <c r="S168" s="31">
        <f t="shared" si="71"/>
        <v>1</v>
      </c>
      <c r="T168" s="46" t="str">
        <f t="shared" si="57"/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8"/>
        <v>https://d0f6bd738d7f1b3e5a7ca70fe4ff75f0.us-east-1.aws.found.io/app/kibana#/discover/Steve-Slow-Train-Analysis-(2080s-and-2083s)?_g=(refreshInterval:(display:Off,pause:!f,section:0,value:0),time:(from:'2017-03-11T06:58:13-0700',mode:absolute,to:'2017-03-11T09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8" s="187" t="str">
        <f t="shared" si="59"/>
        <v>N</v>
      </c>
      <c r="X168" s="187">
        <f t="shared" si="79"/>
        <v>1</v>
      </c>
      <c r="Y168" s="62">
        <f t="shared" si="76"/>
        <v>0.1037</v>
      </c>
      <c r="Z168" s="62">
        <f t="shared" si="77"/>
        <v>5.8994999999999997</v>
      </c>
      <c r="AA168" s="62">
        <f t="shared" si="63"/>
        <v>5.7957999999999998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4"/>
        <v>1805-11</v>
      </c>
      <c r="AE168" s="85" t="str">
        <f t="shared" si="65"/>
        <v>aws s3 cp s3://rtdc.mdm.uploadarchive.raw/RTDC4024/ "%USERPROFILE%\AppData\Local\Temp\OnboardLogs"\RTDC4024\2017-03-11 --exclude "*" --recursive --include "*20170311*" &amp; "%USERPROFILE%\Documents\GitHub\mrs-test-scripts\Headless Mode &amp; Sideloading\WalkAndUnGZ.bat" "%USERPROFILE%\AppData\Local\Temp\OnboardLogs"\RTDC4024\2017-03-11 &amp; aws s3 cp s3://rtdc.mdm.uploadarchive.raw/RTDC4024/ "%USERPROFILE%\AppData\Local\Temp\OnboardLogs"\RTDC4024\2017-03-12 --exclude "*" --recursive --include "*20170312*" &amp; "%USERPROFILE%\Documents\GitHub\mrs-test-scripts\Headless Mode &amp; Sideloading\WalkAndUnGZ.bat" "%USERPROFILE%\AppData\Local\Temp\OnboardLogs"\RTDC4024\2017-03-12</v>
      </c>
      <c r="AF168" s="82" t="str">
        <f t="shared" si="66"/>
        <v>"C:\Program Files (x86)\AstroGrep\AstroGrep.exe" /e /r /s /spath="%USERPROFILE%\AppData\Local\Temp\OnboardLogs" /stypes="app*4024*20170311*" /stext=" 15:.+((SYSTEM_STATE.+slice.+state.+changed )|(ment ac)|(multiple cpu faults)|(system.+state.+changed )|(\[timeout)|(PRM\|1\|D)|(kpr)|(kdp)|(\|lc)|(penalty))"</v>
      </c>
      <c r="AG168" s="1" t="str">
        <f t="shared" si="67"/>
        <v>NW</v>
      </c>
      <c r="AH168" s="86" t="str">
        <f t="shared" si="68"/>
        <v>"%USERPROFILE%\Documents\GitHub\eaglep3\Utilities\RefineRTDCRunTimes.py" --tripid 1805-11 --locoid 4024 --swversion DE.1.0.9.0 --startMP 204:1037 --initTime 2017-03-11T07:58:13 --startdatetime 2017-03-11T07:59:24 --delay 1 --endMP 300:58995 --enddatetime 2017-03-11T08:35:19 --enforcementcount 0 &gt;&gt;C:\Users\stu\Documents\GitHub\eaglep3-reporting\EC\2017-03-11-refined-times.txt</v>
      </c>
      <c r="AI168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{"issue":{"subject":"","project_id":79,"tracker_id":40,"status_id":1,"priority_id":2,"assigned_to_id":23,"start_date":"2017-03-11","description":"","custom_fields":[{"id":1,"name":"Subdivision","value":"NW"},{"id":4,"name":"Milepost","value":"5.8995"},{"id":17,"name":"Train ID","value":"1805-11"},{"id":16,"name":"Locomotive ID","value":"4024"},{"id":130,"name":"Impact","value":""},{"id":150,"name":"Time of Event (Mountain Time)","value":"08:35:19"},{"id":151,"name":"Denver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70"/>
        <v>start /low /b %USERPROFILE%\Documents\GitHub\eaglep3\Utilities\DownloadLogsFromS3.py --loco 4024 --day 2017-03-11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"%USERPROFILE%\AppData\Local\Temp\OnboardLogs"\RTDC4024\*4024*20170311* | grep -SE "(Enforcement Action)|(\[TIMEOUT)|(CHR.+\|PRM\|1\|D.+(SWITCH|SIGNAL).+UNKNOWN)" - &gt;&gt; 2017-03-11-UncaughtWiMAX.txt</v>
      </c>
    </row>
    <row r="169" spans="1:91" x14ac:dyDescent="0.25">
      <c r="A169" s="33" t="s">
        <v>684</v>
      </c>
      <c r="B169" s="7">
        <v>4023</v>
      </c>
      <c r="C169" s="21" t="s">
        <v>240</v>
      </c>
      <c r="D169" s="21" t="s">
        <v>563</v>
      </c>
      <c r="E169" s="13">
        <v>42805.359363425923</v>
      </c>
      <c r="F169" s="13">
        <v>42805.360162037039</v>
      </c>
      <c r="G169" s="7">
        <v>1</v>
      </c>
      <c r="H169" s="21" t="s">
        <v>421</v>
      </c>
      <c r="I169" s="13">
        <v>42805.371886574074</v>
      </c>
      <c r="J169" s="7">
        <v>0</v>
      </c>
      <c r="K169" s="98" t="str">
        <f t="shared" si="55"/>
        <v>4023/4024</v>
      </c>
      <c r="L169" s="21" t="str">
        <f>VLOOKUP(A169,'Trips&amp;Operators'!$C$1:$G$99999,5,FALSE)</f>
        <v>SHOOK JOHN</v>
      </c>
      <c r="M169" s="6">
        <f t="shared" si="56"/>
        <v>1.1724537034751847E-2</v>
      </c>
      <c r="N169" s="7">
        <f t="shared" si="75"/>
        <v>16.88333333004266</v>
      </c>
      <c r="O169" s="7"/>
      <c r="P169" s="7"/>
      <c r="Q169" s="22"/>
      <c r="R169" s="22"/>
      <c r="S169" s="31">
        <f t="shared" si="71"/>
        <v>1</v>
      </c>
      <c r="T169" s="46" t="str">
        <f t="shared" si="57"/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8"/>
        <v>https://d0f6bd738d7f1b3e5a7ca70fe4ff75f0.us-east-1.aws.found.io/app/kibana#/discover/Steve-Slow-Train-Analysis-(2080s-and-2083s)?_g=(refreshInterval:(display:Off,pause:!f,section:0,value:0),time:(from:'2017-03-11T07:37:29-0700',mode:absolute,to:'2017-03-11T09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9" s="187" t="str">
        <f t="shared" si="59"/>
        <v>N</v>
      </c>
      <c r="X169" s="187">
        <f t="shared" si="79"/>
        <v>1</v>
      </c>
      <c r="Y169" s="62">
        <f t="shared" si="76"/>
        <v>5.8678999999999997</v>
      </c>
      <c r="Z169" s="62">
        <f t="shared" si="77"/>
        <v>7.4099999999999999E-2</v>
      </c>
      <c r="AA169" s="62">
        <f t="shared" si="63"/>
        <v>5.7938000000000001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4"/>
        <v>1806-11</v>
      </c>
      <c r="AE169" s="85" t="str">
        <f t="shared" si="65"/>
        <v>aws s3 cp s3://rtdc.mdm.uploadarchive.raw/RTDC4023/ "%USERPROFILE%\AppData\Local\Temp\OnboardLogs"\RTDC4023\2017-03-11 --exclude "*" --recursive --include "*20170311*" &amp; "%USERPROFILE%\Documents\GitHub\mrs-test-scripts\Headless Mode &amp; Sideloading\WalkAndUnGZ.bat" "%USERPROFILE%\AppData\Local\Temp\OnboardLogs"\RTDC4023\2017-03-11 &amp; aws s3 cp s3://rtdc.mdm.uploadarchive.raw/RTDC4023/ "%USERPROFILE%\AppData\Local\Temp\OnboardLogs"\RTDC4023\2017-03-12 --exclude "*" --recursive --include "*20170312*" &amp; "%USERPROFILE%\Documents\GitHub\mrs-test-scripts\Headless Mode &amp; Sideloading\WalkAndUnGZ.bat" "%USERPROFILE%\AppData\Local\Temp\OnboardLogs"\RTDC4023\2017-03-12</v>
      </c>
      <c r="AF169" s="82" t="str">
        <f t="shared" si="66"/>
        <v>"C:\Program Files (x86)\AstroGrep\AstroGrep.exe" /e /r /s /spath="%USERPROFILE%\AppData\Local\Temp\OnboardLogs" /stypes="app*4023*20170311*" /stext=" 15:.+((SYSTEM_STATE.+slice.+state.+changed )|(ment ac)|(multiple cpu faults)|(system.+state.+changed )|(\[timeout)|(PRM\|1\|D)|(kpr)|(kdp)|(\|lc)|(penalty))"</v>
      </c>
      <c r="AG169" s="1" t="str">
        <f t="shared" si="67"/>
        <v>NW</v>
      </c>
      <c r="AH169" s="86" t="str">
        <f t="shared" si="68"/>
        <v>"%USERPROFILE%\Documents\GitHub\eaglep3\Utilities\RefineRTDCRunTimes.py" --tripid 1806-11 --locoid 4023 --swversion DE.1.0.9.0 --startMP 300:58679 --initTime 2017-03-11T08:37:29 --startdatetime 2017-03-11T08:38:38 --delay 1 --endMP 204:741 --enddatetime 2017-03-11T08:55:31 --enforcementcount 0 &gt;&gt;C:\Users\stu\Documents\GitHub\eaglep3-reporting\EC\2017-03-11-refined-times.txt</v>
      </c>
      <c r="AI169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{"issue":{"subject":"","project_id":79,"tracker_id":40,"status_id":1,"priority_id":2,"assigned_to_id":23,"start_date":"2017-03-11","description":"","custom_fields":[{"id":1,"name":"Subdivision","value":"NW"},{"id":4,"name":"Milepost","value":"0.0741"},{"id":17,"name":"Train ID","value":"1806-11"},{"id":16,"name":"Locomotive ID","value":"4023"},{"id":130,"name":"Impact","value":""},{"id":150,"name":"Time of Event (Mountain Time)","value":"08:55:31"},{"id":151,"name":"Denver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70"/>
        <v>start /low /b %USERPROFILE%\Documents\GitHub\eaglep3\Utilities\DownloadLogsFromS3.py --loco 4023 --day 2017-03-11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"%USERPROFILE%\AppData\Local\Temp\OnboardLogs"\RTDC4023\*4023*20170311* | grep -SE "(Enforcement Action)|(\[TIMEOUT)|(CHR.+\|PRM\|1\|D.+(SWITCH|SIGNAL).+UNKNOWN)" - &gt;&gt; 2017-03-11-UncaughtWiMAX.txt</v>
      </c>
    </row>
    <row r="170" spans="1:91" x14ac:dyDescent="0.25">
      <c r="A170" s="33" t="s">
        <v>689</v>
      </c>
      <c r="B170" s="7">
        <v>4024</v>
      </c>
      <c r="C170" s="21" t="s">
        <v>240</v>
      </c>
      <c r="D170" s="21" t="s">
        <v>892</v>
      </c>
      <c r="E170" s="13">
        <v>42805.375034722223</v>
      </c>
      <c r="F170" s="13">
        <v>42805.375763888886</v>
      </c>
      <c r="G170" s="7">
        <v>1</v>
      </c>
      <c r="H170" s="21" t="s">
        <v>893</v>
      </c>
      <c r="I170" s="13">
        <v>42805.399259259262</v>
      </c>
      <c r="J170" s="7">
        <v>0</v>
      </c>
      <c r="K170" s="98" t="str">
        <f t="shared" si="55"/>
        <v>4023/4024</v>
      </c>
      <c r="L170" s="21" t="str">
        <f>VLOOKUP(A170,'Trips&amp;Operators'!$C$1:$G$99999,5,FALSE)</f>
        <v>SHOOK JOHN</v>
      </c>
      <c r="M170" s="6">
        <f t="shared" si="56"/>
        <v>2.3495370376622304E-2</v>
      </c>
      <c r="N170" s="7">
        <f t="shared" si="75"/>
        <v>33.833333342336118</v>
      </c>
      <c r="O170" s="7"/>
      <c r="P170" s="7"/>
      <c r="Q170" s="22"/>
      <c r="R170" s="22"/>
      <c r="S170" s="31">
        <f t="shared" si="71"/>
        <v>1</v>
      </c>
      <c r="T170" s="46" t="str">
        <f t="shared" si="57"/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8"/>
        <v>https://d0f6bd738d7f1b3e5a7ca70fe4ff75f0.us-east-1.aws.found.io/app/kibana#/discover/Steve-Slow-Train-Analysis-(2080s-and-2083s)?_g=(refreshInterval:(display:Off,pause:!f,section:0,value:0),time:(from:'2017-03-11T08:00:03-0700',mode:absolute,to:'2017-03-11T10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0" s="187" t="str">
        <f t="shared" si="59"/>
        <v>N</v>
      </c>
      <c r="X170" s="187">
        <f t="shared" si="79"/>
        <v>1</v>
      </c>
      <c r="Y170" s="62">
        <f t="shared" si="76"/>
        <v>0.1023</v>
      </c>
      <c r="Z170" s="62">
        <f t="shared" si="77"/>
        <v>5.8998999999999997</v>
      </c>
      <c r="AA170" s="62">
        <f t="shared" si="63"/>
        <v>5.7976000000000001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4"/>
        <v>1807-11</v>
      </c>
      <c r="AE170" s="85" t="str">
        <f t="shared" si="65"/>
        <v>aws s3 cp s3://rtdc.mdm.uploadarchive.raw/RTDC4024/ "%USERPROFILE%\AppData\Local\Temp\OnboardLogs"\RTDC4024\2017-03-11 --exclude "*" --recursive --include "*20170311*" &amp; "%USERPROFILE%\Documents\GitHub\mrs-test-scripts\Headless Mode &amp; Sideloading\WalkAndUnGZ.bat" "%USERPROFILE%\AppData\Local\Temp\OnboardLogs"\RTDC4024\2017-03-11 &amp; aws s3 cp s3://rtdc.mdm.uploadarchive.raw/RTDC4024/ "%USERPROFILE%\AppData\Local\Temp\OnboardLogs"\RTDC4024\2017-03-12 --exclude "*" --recursive --include "*20170312*" &amp; "%USERPROFILE%\Documents\GitHub\mrs-test-scripts\Headless Mode &amp; Sideloading\WalkAndUnGZ.bat" "%USERPROFILE%\AppData\Local\Temp\OnboardLogs"\RTDC4024\2017-03-12</v>
      </c>
      <c r="AF170" s="82" t="str">
        <f t="shared" si="66"/>
        <v>"C:\Program Files (x86)\AstroGrep\AstroGrep.exe" /e /r /s /spath="%USERPROFILE%\AppData\Local\Temp\OnboardLogs" /stypes="app*4024*20170311*" /stext=" 16:.+((SYSTEM_STATE.+slice.+state.+changed )|(ment ac)|(multiple cpu faults)|(system.+state.+changed )|(\[timeout)|(PRM\|1\|D)|(kpr)|(kdp)|(\|lc)|(penalty))"</v>
      </c>
      <c r="AG170" s="1" t="str">
        <f t="shared" si="67"/>
        <v>NW</v>
      </c>
      <c r="AH170" s="86" t="str">
        <f t="shared" si="68"/>
        <v>"%USERPROFILE%\Documents\GitHub\eaglep3\Utilities\RefineRTDCRunTimes.py" --tripid 1807-11 --locoid 4024 --swversion DE.1.0.9.0 --startMP 204:1023 --initTime 2017-03-11T09:00:03 --startdatetime 2017-03-11T09:01:06 --delay 1 --endMP 300:58999 --enddatetime 2017-03-11T09:34:56 --enforcementcount 0 &gt;&gt;C:\Users\stu\Documents\GitHub\eaglep3-reporting\EC\2017-03-11-refined-times.txt</v>
      </c>
      <c r="AI170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{"issue":{"subject":"","project_id":79,"tracker_id":40,"status_id":1,"priority_id":2,"assigned_to_id":23,"start_date":"2017-03-11","description":"","custom_fields":[{"id":1,"name":"Subdivision","value":"NW"},{"id":4,"name":"Milepost","value":"5.8999"},{"id":17,"name":"Train ID","value":"1807-11"},{"id":16,"name":"Locomotive ID","value":"4024"},{"id":130,"name":"Impact","value":""},{"id":150,"name":"Time of Event (Mountain Time)","value":"09:34:56"},{"id":151,"name":"Denver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70"/>
        <v>start /low /b %USERPROFILE%\Documents\GitHub\eaglep3\Utilities\DownloadLogsFromS3.py --loco 4024 --day 2017-03-11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"%USERPROFILE%\AppData\Local\Temp\OnboardLogs"\RTDC4024\*4024*20170311* | grep -SE "(Enforcement Action)|(\[TIMEOUT)|(CHR.+\|PRM\|1\|D.+(SWITCH|SIGNAL).+UNKNOWN)" - &gt;&gt; 2017-03-11-UncaughtWiMAX.txt</v>
      </c>
    </row>
    <row r="171" spans="1:91" s="20" customFormat="1" x14ac:dyDescent="0.25">
      <c r="A171" s="33" t="s">
        <v>693</v>
      </c>
      <c r="B171" s="7">
        <v>4023</v>
      </c>
      <c r="C171" s="21" t="s">
        <v>240</v>
      </c>
      <c r="D171" s="21" t="s">
        <v>886</v>
      </c>
      <c r="E171" s="13">
        <v>42805.400787037041</v>
      </c>
      <c r="F171" s="13">
        <v>42805.401747685188</v>
      </c>
      <c r="G171" s="7">
        <v>1</v>
      </c>
      <c r="H171" s="21" t="s">
        <v>887</v>
      </c>
      <c r="I171" s="13">
        <v>42805.413576388892</v>
      </c>
      <c r="J171" s="7">
        <v>0</v>
      </c>
      <c r="K171" s="98" t="str">
        <f t="shared" si="55"/>
        <v>4023/4024</v>
      </c>
      <c r="L171" s="21" t="str">
        <f>VLOOKUP(A171,'Trips&amp;Operators'!$C$1:$G$99999,5,FALSE)</f>
        <v>SHOOK JOHN</v>
      </c>
      <c r="M171" s="6">
        <f t="shared" si="56"/>
        <v>1.1828703703940846E-2</v>
      </c>
      <c r="N171" s="7">
        <f t="shared" si="75"/>
        <v>17.033333333674818</v>
      </c>
      <c r="O171" s="7"/>
      <c r="P171" s="7"/>
      <c r="Q171" s="22"/>
      <c r="R171" s="22"/>
      <c r="S171" s="31">
        <f t="shared" si="71"/>
        <v>1</v>
      </c>
      <c r="T171" s="46" t="str">
        <f t="shared" si="57"/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8"/>
        <v>https://d0f6bd738d7f1b3e5a7ca70fe4ff75f0.us-east-1.aws.found.io/app/kibana#/discover/Steve-Slow-Train-Analysis-(2080s-and-2083s)?_g=(refreshInterval:(display:Off,pause:!f,section:0,value:0),time:(from:'2017-03-11T08:37:08-0700',mode:absolute,to:'2017-03-11T10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1" s="187" t="str">
        <f t="shared" si="59"/>
        <v>N</v>
      </c>
      <c r="X171" s="187">
        <f t="shared" si="79"/>
        <v>1</v>
      </c>
      <c r="Y171" s="62">
        <f t="shared" si="76"/>
        <v>5.8677000000000001</v>
      </c>
      <c r="Z171" s="62">
        <f t="shared" si="77"/>
        <v>7.3599999999999999E-2</v>
      </c>
      <c r="AA171" s="62">
        <f t="shared" si="63"/>
        <v>5.7941000000000003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4"/>
        <v>1808-11</v>
      </c>
      <c r="AE171" s="85" t="str">
        <f t="shared" si="65"/>
        <v>aws s3 cp s3://rtdc.mdm.uploadarchive.raw/RTDC4023/ "%USERPROFILE%\AppData\Local\Temp\OnboardLogs"\RTDC4023\2017-03-11 --exclude "*" --recursive --include "*20170311*" &amp; "%USERPROFILE%\Documents\GitHub\mrs-test-scripts\Headless Mode &amp; Sideloading\WalkAndUnGZ.bat" "%USERPROFILE%\AppData\Local\Temp\OnboardLogs"\RTDC4023\2017-03-11 &amp; aws s3 cp s3://rtdc.mdm.uploadarchive.raw/RTDC4023/ "%USERPROFILE%\AppData\Local\Temp\OnboardLogs"\RTDC4023\2017-03-12 --exclude "*" --recursive --include "*20170312*" &amp; "%USERPROFILE%\Documents\GitHub\mrs-test-scripts\Headless Mode &amp; Sideloading\WalkAndUnGZ.bat" "%USERPROFILE%\AppData\Local\Temp\OnboardLogs"\RTDC4023\2017-03-12</v>
      </c>
      <c r="AF171" s="82" t="str">
        <f t="shared" si="66"/>
        <v>"C:\Program Files (x86)\AstroGrep\AstroGrep.exe" /e /r /s /spath="%USERPROFILE%\AppData\Local\Temp\OnboardLogs" /stypes="app*4023*20170311*" /stext=" 16:.+((SYSTEM_STATE.+slice.+state.+changed )|(ment ac)|(multiple cpu faults)|(system.+state.+changed )|(\[timeout)|(PRM\|1\|D)|(kpr)|(kdp)|(\|lc)|(penalty))"</v>
      </c>
      <c r="AG171" s="1" t="str">
        <f t="shared" si="67"/>
        <v>NW</v>
      </c>
      <c r="AH171" s="86" t="str">
        <f t="shared" si="68"/>
        <v>"%USERPROFILE%\Documents\GitHub\eaglep3\Utilities\RefineRTDCRunTimes.py" --tripid 1808-11 --locoid 4023 --swversion DE.1.0.9.0 --startMP 300:58677 --initTime 2017-03-11T09:37:08 --startdatetime 2017-03-11T09:38:31 --delay 1 --endMP 204:736 --enddatetime 2017-03-11T09:55:33 --enforcementcount 0 &gt;&gt;C:\Users\stu\Documents\GitHub\eaglep3-reporting\EC\2017-03-11-refined-times.txt</v>
      </c>
      <c r="AI171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{"issue":{"subject":"","project_id":79,"tracker_id":40,"status_id":1,"priority_id":2,"assigned_to_id":23,"start_date":"2017-03-11","description":"","custom_fields":[{"id":1,"name":"Subdivision","value":"NW"},{"id":4,"name":"Milepost","value":"0.0736"},{"id":17,"name":"Train ID","value":"1808-11"},{"id":16,"name":"Locomotive ID","value":"4023"},{"id":130,"name":"Impact","value":""},{"id":150,"name":"Time of Event (Mountain Time)","value":"09:55:33"},{"id":151,"name":"Denver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70"/>
        <v>start /low /b %USERPROFILE%\Documents\GitHub\eaglep3\Utilities\DownloadLogsFromS3.py --loco 4023 --day 2017-03-11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"%USERPROFILE%\AppData\Local\Temp\OnboardLogs"\RTDC4023\*4023*20170311* | grep -SE "(Enforcement Action)|(\[TIMEOUT)|(CHR.+\|PRM\|1\|D.+(SWITCH|SIGNAL).+UNKNOWN)" - &gt;&gt; 2017-03-11-UncaughtWiMAX.txt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3" t="s">
        <v>697</v>
      </c>
      <c r="B172" s="7">
        <v>4024</v>
      </c>
      <c r="C172" s="21" t="s">
        <v>240</v>
      </c>
      <c r="D172" s="21" t="s">
        <v>894</v>
      </c>
      <c r="E172" s="13">
        <v>42805.416122685187</v>
      </c>
      <c r="F172" s="13">
        <v>42805.416990740741</v>
      </c>
      <c r="G172" s="7">
        <v>1</v>
      </c>
      <c r="H172" s="21" t="s">
        <v>564</v>
      </c>
      <c r="I172" s="13">
        <v>42805.441423611112</v>
      </c>
      <c r="J172" s="7">
        <v>0</v>
      </c>
      <c r="K172" s="98" t="str">
        <f t="shared" si="55"/>
        <v>4023/4024</v>
      </c>
      <c r="L172" s="21" t="str">
        <f>VLOOKUP(A172,'Trips&amp;Operators'!$C$1:$G$99999,5,FALSE)</f>
        <v>SHOOK JOHN</v>
      </c>
      <c r="M172" s="6">
        <f t="shared" si="56"/>
        <v>2.4432870370219462E-2</v>
      </c>
      <c r="N172" s="7">
        <f t="shared" si="75"/>
        <v>35.183333333116025</v>
      </c>
      <c r="O172" s="7"/>
      <c r="P172" s="7"/>
      <c r="Q172" s="22"/>
      <c r="R172" s="22"/>
      <c r="S172" s="31">
        <f t="shared" si="71"/>
        <v>1</v>
      </c>
      <c r="T172" s="46" t="str">
        <f t="shared" si="57"/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8"/>
        <v>https://d0f6bd738d7f1b3e5a7ca70fe4ff75f0.us-east-1.aws.found.io/app/kibana#/discover/Steve-Slow-Train-Analysis-(2080s-and-2083s)?_g=(refreshInterval:(display:Off,pause:!f,section:0,value:0),time:(from:'2017-03-11T08:59:13-0700',mode:absolute,to:'2017-03-11T11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2" s="187" t="str">
        <f t="shared" si="59"/>
        <v>N</v>
      </c>
      <c r="X172" s="187">
        <f t="shared" si="79"/>
        <v>1</v>
      </c>
      <c r="Y172" s="62">
        <f t="shared" si="76"/>
        <v>0.10299999999999999</v>
      </c>
      <c r="Z172" s="62">
        <f t="shared" si="77"/>
        <v>5.8994999999999997</v>
      </c>
      <c r="AA172" s="62">
        <f t="shared" si="63"/>
        <v>5.7965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4"/>
        <v>1809-11</v>
      </c>
      <c r="AE172" s="85" t="str">
        <f t="shared" si="65"/>
        <v>aws s3 cp s3://rtdc.mdm.uploadarchive.raw/RTDC4024/ "%USERPROFILE%\AppData\Local\Temp\OnboardLogs"\RTDC4024\2017-03-11 --exclude "*" --recursive --include "*20170311*" &amp; "%USERPROFILE%\Documents\GitHub\mrs-test-scripts\Headless Mode &amp; Sideloading\WalkAndUnGZ.bat" "%USERPROFILE%\AppData\Local\Temp\OnboardLogs"\RTDC4024\2017-03-11 &amp; aws s3 cp s3://rtdc.mdm.uploadarchive.raw/RTDC4024/ "%USERPROFILE%\AppData\Local\Temp\OnboardLogs"\RTDC4024\2017-03-12 --exclude "*" --recursive --include "*20170312*" &amp; "%USERPROFILE%\Documents\GitHub\mrs-test-scripts\Headless Mode &amp; Sideloading\WalkAndUnGZ.bat" "%USERPROFILE%\AppData\Local\Temp\OnboardLogs"\RTDC4024\2017-03-12</v>
      </c>
      <c r="AF172" s="82" t="str">
        <f t="shared" si="66"/>
        <v>"C:\Program Files (x86)\AstroGrep\AstroGrep.exe" /e /r /s /spath="%USERPROFILE%\AppData\Local\Temp\OnboardLogs" /stypes="app*4024*20170311*" /stext=" 17:.+((SYSTEM_STATE.+slice.+state.+changed )|(ment ac)|(multiple cpu faults)|(system.+state.+changed )|(\[timeout)|(PRM\|1\|D)|(kpr)|(kdp)|(\|lc)|(penalty))"</v>
      </c>
      <c r="AG172" s="1" t="str">
        <f t="shared" si="67"/>
        <v>NW</v>
      </c>
      <c r="AH172" s="86" t="str">
        <f t="shared" si="68"/>
        <v>"%USERPROFILE%\Documents\GitHub\eaglep3\Utilities\RefineRTDCRunTimes.py" --tripid 1809-11 --locoid 4024 --swversion DE.1.0.9.0 --startMP 204:1030 --initTime 2017-03-11T09:59:13 --startdatetime 2017-03-11T10:00:28 --delay 1 --endMP 300:58995 --enddatetime 2017-03-11T10:35:39 --enforcementcount 0 &gt;&gt;C:\Users\stu\Documents\GitHub\eaglep3-reporting\EC\2017-03-11-refined-times.txt</v>
      </c>
      <c r="AI172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{"issue":{"subject":"","project_id":79,"tracker_id":40,"status_id":1,"priority_id":2,"assigned_to_id":23,"start_date":"2017-03-11","description":"","custom_fields":[{"id":1,"name":"Subdivision","value":"NW"},{"id":4,"name":"Milepost","value":"5.8995"},{"id":17,"name":"Train ID","value":"1809-11"},{"id":16,"name":"Locomotive ID","value":"4024"},{"id":130,"name":"Impact","value":""},{"id":150,"name":"Time of Event (Mountain Time)","value":"10:35:39"},{"id":151,"name":"Denver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70"/>
        <v>start /low /b %USERPROFILE%\Documents\GitHub\eaglep3\Utilities\DownloadLogsFromS3.py --loco 4024 --day 2017-03-11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"%USERPROFILE%\AppData\Local\Temp\OnboardLogs"\RTDC4024\*4024*20170311* | grep -SE "(Enforcement Action)|(\[TIMEOUT)|(CHR.+\|PRM\|1\|D.+(SWITCH|SIGNAL).+UNKNOWN)" - &gt;&gt; 2017-03-11-UncaughtWiMAX.txt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3" t="s">
        <v>706</v>
      </c>
      <c r="B173" s="7">
        <v>4023</v>
      </c>
      <c r="C173" s="21" t="s">
        <v>240</v>
      </c>
      <c r="D173" s="21" t="s">
        <v>897</v>
      </c>
      <c r="E173" s="13">
        <v>42805.442870370367</v>
      </c>
      <c r="F173" s="13">
        <v>42805.443749999999</v>
      </c>
      <c r="G173" s="7">
        <v>1</v>
      </c>
      <c r="H173" s="21" t="s">
        <v>421</v>
      </c>
      <c r="I173" s="13">
        <v>42805.455046296294</v>
      </c>
      <c r="J173" s="7">
        <v>0</v>
      </c>
      <c r="K173" s="98" t="str">
        <f t="shared" si="55"/>
        <v>4023/4024</v>
      </c>
      <c r="L173" s="21" t="str">
        <f>VLOOKUP(A173,'Trips&amp;Operators'!$C$1:$G$99999,5,FALSE)</f>
        <v>SHOOK JOHN</v>
      </c>
      <c r="M173" s="6">
        <f t="shared" si="56"/>
        <v>1.1296296295768116E-2</v>
      </c>
      <c r="N173" s="7">
        <f t="shared" si="75"/>
        <v>16.266666665906087</v>
      </c>
      <c r="O173" s="7"/>
      <c r="P173" s="7"/>
      <c r="Q173" s="22"/>
      <c r="R173" s="22"/>
      <c r="S173" s="31">
        <f t="shared" si="71"/>
        <v>1</v>
      </c>
      <c r="T173" s="46" t="str">
        <f t="shared" si="57"/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8"/>
        <v>https://d0f6bd738d7f1b3e5a7ca70fe4ff75f0.us-east-1.aws.found.io/app/kibana#/discover/Steve-Slow-Train-Analysis-(2080s-and-2083s)?_g=(refreshInterval:(display:Off,pause:!f,section:0,value:0),time:(from:'2017-03-11T09:37:44-0700',mode:absolute,to:'2017-03-11T11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3" s="187" t="str">
        <f t="shared" si="59"/>
        <v>N</v>
      </c>
      <c r="X173" s="187">
        <f t="shared" si="79"/>
        <v>1</v>
      </c>
      <c r="Y173" s="62">
        <f t="shared" si="76"/>
        <v>5.8681000000000001</v>
      </c>
      <c r="Z173" s="62">
        <f t="shared" si="77"/>
        <v>7.4099999999999999E-2</v>
      </c>
      <c r="AA173" s="62">
        <f t="shared" si="63"/>
        <v>5.7940000000000005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4"/>
        <v>1810-11</v>
      </c>
      <c r="AE173" s="85" t="str">
        <f t="shared" si="65"/>
        <v>aws s3 cp s3://rtdc.mdm.uploadarchive.raw/RTDC4023/ "%USERPROFILE%\AppData\Local\Temp\OnboardLogs"\RTDC4023\2017-03-11 --exclude "*" --recursive --include "*20170311*" &amp; "%USERPROFILE%\Documents\GitHub\mrs-test-scripts\Headless Mode &amp; Sideloading\WalkAndUnGZ.bat" "%USERPROFILE%\AppData\Local\Temp\OnboardLogs"\RTDC4023\2017-03-11 &amp; aws s3 cp s3://rtdc.mdm.uploadarchive.raw/RTDC4023/ "%USERPROFILE%\AppData\Local\Temp\OnboardLogs"\RTDC4023\2017-03-12 --exclude "*" --recursive --include "*20170312*" &amp; "%USERPROFILE%\Documents\GitHub\mrs-test-scripts\Headless Mode &amp; Sideloading\WalkAndUnGZ.bat" "%USERPROFILE%\AppData\Local\Temp\OnboardLogs"\RTDC4023\2017-03-12</v>
      </c>
      <c r="AF173" s="82" t="str">
        <f t="shared" si="66"/>
        <v>"C:\Program Files (x86)\AstroGrep\AstroGrep.exe" /e /r /s /spath="%USERPROFILE%\AppData\Local\Temp\OnboardLogs" /stypes="app*4023*20170311*" /stext=" 17:.+((SYSTEM_STATE.+slice.+state.+changed )|(ment ac)|(multiple cpu faults)|(system.+state.+changed )|(\[timeout)|(PRM\|1\|D)|(kpr)|(kdp)|(\|lc)|(penalty))"</v>
      </c>
      <c r="AG173" s="1" t="str">
        <f t="shared" si="67"/>
        <v>NW</v>
      </c>
      <c r="AH173" s="86" t="str">
        <f t="shared" si="68"/>
        <v>"%USERPROFILE%\Documents\GitHub\eaglep3\Utilities\RefineRTDCRunTimes.py" --tripid 1810-11 --locoid 4023 --swversion DE.1.0.9.0 --startMP 300:58681 --initTime 2017-03-11T10:37:44 --startdatetime 2017-03-11T10:39:00 --delay 1 --endMP 204:741 --enddatetime 2017-03-11T10:55:16 --enforcementcount 0 &gt;&gt;C:\Users\stu\Documents\GitHub\eaglep3-reporting\EC\2017-03-11-refined-times.txt</v>
      </c>
      <c r="AI173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{"issue":{"subject":"","project_id":79,"tracker_id":40,"status_id":1,"priority_id":2,"assigned_to_id":23,"start_date":"2017-03-11","description":"","custom_fields":[{"id":1,"name":"Subdivision","value":"NW"},{"id":4,"name":"Milepost","value":"0.0741"},{"id":17,"name":"Train ID","value":"1810-11"},{"id":16,"name":"Locomotive ID","value":"4023"},{"id":130,"name":"Impact","value":""},{"id":150,"name":"Time of Event (Mountain Time)","value":"10:55:16"},{"id":151,"name":"Denver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70"/>
        <v>start /low /b %USERPROFILE%\Documents\GitHub\eaglep3\Utilities\DownloadLogsFromS3.py --loco 4023 --day 2017-03-11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"%USERPROFILE%\AppData\Local\Temp\OnboardLogs"\RTDC4023\*4023*20170311* | grep -SE "(Enforcement Action)|(\[TIMEOUT)|(CHR.+\|PRM\|1\|D.+(SWITCH|SIGNAL).+UNKNOWN)" - &gt;&gt; 2017-03-11-UncaughtWiMAX.txt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713</v>
      </c>
      <c r="B174" s="7">
        <v>4024</v>
      </c>
      <c r="C174" s="21" t="s">
        <v>240</v>
      </c>
      <c r="D174" s="21" t="s">
        <v>560</v>
      </c>
      <c r="E174" s="13">
        <v>42805.457245370373</v>
      </c>
      <c r="F174" s="13">
        <v>42805.458020833335</v>
      </c>
      <c r="G174" s="7">
        <v>1</v>
      </c>
      <c r="H174" s="21" t="s">
        <v>898</v>
      </c>
      <c r="I174" s="13">
        <v>42805.483159722222</v>
      </c>
      <c r="J174" s="7">
        <v>0</v>
      </c>
      <c r="K174" s="98" t="str">
        <f t="shared" si="55"/>
        <v>4023/4024</v>
      </c>
      <c r="L174" s="21" t="str">
        <f>VLOOKUP(A174,'Trips&amp;Operators'!$C$1:$G$99999,5,FALSE)</f>
        <v>SHOOK JOHN</v>
      </c>
      <c r="M174" s="6">
        <f t="shared" si="56"/>
        <v>2.5138888886431232E-2</v>
      </c>
      <c r="N174" s="7">
        <f t="shared" si="75"/>
        <v>36.199999996460974</v>
      </c>
      <c r="O174" s="7"/>
      <c r="P174" s="7"/>
      <c r="Q174" s="22"/>
      <c r="R174" s="22"/>
      <c r="S174" s="31">
        <f t="shared" si="71"/>
        <v>1</v>
      </c>
      <c r="T174" s="46" t="str">
        <f t="shared" si="57"/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8"/>
        <v>https://d0f6bd738d7f1b3e5a7ca70fe4ff75f0.us-east-1.aws.found.io/app/kibana#/discover/Steve-Slow-Train-Analysis-(2080s-and-2083s)?_g=(refreshInterval:(display:Off,pause:!f,section:0,value:0),time:(from:'2017-03-11T09:58:26-0700',mode:absolute,to:'2017-03-11T12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4" s="187" t="str">
        <f t="shared" si="59"/>
        <v>N</v>
      </c>
      <c r="X174" s="187">
        <f t="shared" si="79"/>
        <v>1</v>
      </c>
      <c r="Y174" s="62">
        <f t="shared" si="76"/>
        <v>0.1021</v>
      </c>
      <c r="Z174" s="62">
        <f t="shared" si="77"/>
        <v>5.8993000000000002</v>
      </c>
      <c r="AA174" s="62">
        <f t="shared" si="63"/>
        <v>5.7972000000000001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4"/>
        <v>1811-11</v>
      </c>
      <c r="AE174" s="85" t="str">
        <f t="shared" si="65"/>
        <v>aws s3 cp s3://rtdc.mdm.uploadarchive.raw/RTDC4024/ "%USERPROFILE%\AppData\Local\Temp\OnboardLogs"\RTDC4024\2017-03-11 --exclude "*" --recursive --include "*20170311*" &amp; "%USERPROFILE%\Documents\GitHub\mrs-test-scripts\Headless Mode &amp; Sideloading\WalkAndUnGZ.bat" "%USERPROFILE%\AppData\Local\Temp\OnboardLogs"\RTDC4024\2017-03-11 &amp; aws s3 cp s3://rtdc.mdm.uploadarchive.raw/RTDC4024/ "%USERPROFILE%\AppData\Local\Temp\OnboardLogs"\RTDC4024\2017-03-12 --exclude "*" --recursive --include "*20170312*" &amp; "%USERPROFILE%\Documents\GitHub\mrs-test-scripts\Headless Mode &amp; Sideloading\WalkAndUnGZ.bat" "%USERPROFILE%\AppData\Local\Temp\OnboardLogs"\RTDC4024\2017-03-12</v>
      </c>
      <c r="AF174" s="82" t="str">
        <f t="shared" si="66"/>
        <v>"C:\Program Files (x86)\AstroGrep\AstroGrep.exe" /e /r /s /spath="%USERPROFILE%\AppData\Local\Temp\OnboardLogs" /stypes="app*4024*20170311*" /stext=" 18:.+((SYSTEM_STATE.+slice.+state.+changed )|(ment ac)|(multiple cpu faults)|(system.+state.+changed )|(\[timeout)|(PRM\|1\|D)|(kpr)|(kdp)|(\|lc)|(penalty))"</v>
      </c>
      <c r="AG174" s="1" t="str">
        <f t="shared" si="67"/>
        <v>NW</v>
      </c>
      <c r="AH174" s="86" t="str">
        <f t="shared" si="68"/>
        <v>"%USERPROFILE%\Documents\GitHub\eaglep3\Utilities\RefineRTDCRunTimes.py" --tripid 1811-11 --locoid 4024 --swversion DE.1.0.9.0 --startMP 204:1021 --initTime 2017-03-11T10:58:26 --startdatetime 2017-03-11T10:59:33 --delay 1 --endMP 300:58993 --enddatetime 2017-03-11T11:35:45 --enforcementcount 0 &gt;&gt;C:\Users\stu\Documents\GitHub\eaglep3-reporting\EC\2017-03-11-refined-times.txt</v>
      </c>
      <c r="AI174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{"issue":{"subject":"","project_id":79,"tracker_id":40,"status_id":1,"priority_id":2,"assigned_to_id":23,"start_date":"2017-03-11","description":"","custom_fields":[{"id":1,"name":"Subdivision","value":"NW"},{"id":4,"name":"Milepost","value":"5.8993"},{"id":17,"name":"Train ID","value":"1811-11"},{"id":16,"name":"Locomotive ID","value":"4024"},{"id":130,"name":"Impact","value":""},{"id":150,"name":"Time of Event (Mountain Time)","value":"11:35:45"},{"id":151,"name":"Denver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70"/>
        <v>start /low /b %USERPROFILE%\Documents\GitHub\eaglep3\Utilities\DownloadLogsFromS3.py --loco 4024 --day 2017-03-11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"%USERPROFILE%\AppData\Local\Temp\OnboardLogs"\RTDC4024\*4024*20170311* | grep -SE "(Enforcement Action)|(\[TIMEOUT)|(CHR.+\|PRM\|1\|D.+(SWITCH|SIGNAL).+UNKNOWN)" - &gt;&gt; 2017-03-11-UncaughtWiMAX.txt</v>
      </c>
    </row>
    <row r="175" spans="1:91" s="20" customFormat="1" x14ac:dyDescent="0.25">
      <c r="A175" s="33" t="s">
        <v>719</v>
      </c>
      <c r="B175" s="7">
        <v>4023</v>
      </c>
      <c r="C175" s="21" t="s">
        <v>240</v>
      </c>
      <c r="D175" s="21" t="s">
        <v>886</v>
      </c>
      <c r="E175" s="13">
        <v>42805.484571759262</v>
      </c>
      <c r="F175" s="13">
        <v>42805.485543981478</v>
      </c>
      <c r="G175" s="7">
        <v>1</v>
      </c>
      <c r="H175" s="21" t="s">
        <v>899</v>
      </c>
      <c r="I175" s="13">
        <v>42805.496712962966</v>
      </c>
      <c r="J175" s="7">
        <v>0</v>
      </c>
      <c r="K175" s="98" t="str">
        <f t="shared" si="55"/>
        <v>4023/4024</v>
      </c>
      <c r="L175" s="21" t="str">
        <f>VLOOKUP(A175,'Trips&amp;Operators'!$C$1:$G$99999,5,FALSE)</f>
        <v>SHOOK JOHN</v>
      </c>
      <c r="M175" s="6">
        <f t="shared" si="56"/>
        <v>1.1168981487571727E-2</v>
      </c>
      <c r="N175" s="7">
        <f t="shared" si="75"/>
        <v>16.083333342103288</v>
      </c>
      <c r="O175" s="7"/>
      <c r="P175" s="7"/>
      <c r="Q175" s="22"/>
      <c r="R175" s="22"/>
      <c r="S175" s="31">
        <f t="shared" si="71"/>
        <v>1</v>
      </c>
      <c r="T175" s="46" t="str">
        <f t="shared" si="57"/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8"/>
        <v>https://d0f6bd738d7f1b3e5a7ca70fe4ff75f0.us-east-1.aws.found.io/app/kibana#/discover/Steve-Slow-Train-Analysis-(2080s-and-2083s)?_g=(refreshInterval:(display:Off,pause:!f,section:0,value:0),time:(from:'2017-03-11T10:37:47-0700',mode:absolute,to:'2017-03-11T12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5" s="187" t="str">
        <f t="shared" si="59"/>
        <v>N</v>
      </c>
      <c r="X175" s="187">
        <f t="shared" si="79"/>
        <v>1</v>
      </c>
      <c r="Y175" s="62">
        <f t="shared" si="76"/>
        <v>5.8677000000000001</v>
      </c>
      <c r="Z175" s="62">
        <f t="shared" si="77"/>
        <v>7.4700000000000003E-2</v>
      </c>
      <c r="AA175" s="62">
        <f t="shared" si="63"/>
        <v>5.7930000000000001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4"/>
        <v>1812-11</v>
      </c>
      <c r="AE175" s="85" t="str">
        <f t="shared" si="65"/>
        <v>aws s3 cp s3://rtdc.mdm.uploadarchive.raw/RTDC4023/ "%USERPROFILE%\AppData\Local\Temp\OnboardLogs"\RTDC4023\2017-03-11 --exclude "*" --recursive --include "*20170311*" &amp; "%USERPROFILE%\Documents\GitHub\mrs-test-scripts\Headless Mode &amp; Sideloading\WalkAndUnGZ.bat" "%USERPROFILE%\AppData\Local\Temp\OnboardLogs"\RTDC4023\2017-03-11 &amp; aws s3 cp s3://rtdc.mdm.uploadarchive.raw/RTDC4023/ "%USERPROFILE%\AppData\Local\Temp\OnboardLogs"\RTDC4023\2017-03-12 --exclude "*" --recursive --include "*20170312*" &amp; "%USERPROFILE%\Documents\GitHub\mrs-test-scripts\Headless Mode &amp; Sideloading\WalkAndUnGZ.bat" "%USERPROFILE%\AppData\Local\Temp\OnboardLogs"\RTDC4023\2017-03-12</v>
      </c>
      <c r="AF175" s="82" t="str">
        <f t="shared" si="66"/>
        <v>"C:\Program Files (x86)\AstroGrep\AstroGrep.exe" /e /r /s /spath="%USERPROFILE%\AppData\Local\Temp\OnboardLogs" /stypes="app*4023*20170311*" /stext=" 18:.+((SYSTEM_STATE.+slice.+state.+changed )|(ment ac)|(multiple cpu faults)|(system.+state.+changed )|(\[timeout)|(PRM\|1\|D)|(kpr)|(kdp)|(\|lc)|(penalty))"</v>
      </c>
      <c r="AG175" s="1" t="str">
        <f t="shared" si="67"/>
        <v>NW</v>
      </c>
      <c r="AH175" s="86" t="str">
        <f t="shared" si="68"/>
        <v>"%USERPROFILE%\Documents\GitHub\eaglep3\Utilities\RefineRTDCRunTimes.py" --tripid 1812-11 --locoid 4023 --swversion DE.1.0.9.0 --startMP 300:58677 --initTime 2017-03-11T11:37:47 --startdatetime 2017-03-11T11:39:11 --delay 1 --endMP 204:747 --enddatetime 2017-03-11T11:55:16 --enforcementcount 0 &gt;&gt;C:\Users\stu\Documents\GitHub\eaglep3-reporting\EC\2017-03-11-refined-times.txt</v>
      </c>
      <c r="AI175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{"issue":{"subject":"","project_id":79,"tracker_id":40,"status_id":1,"priority_id":2,"assigned_to_id":23,"start_date":"2017-03-11","description":"","custom_fields":[{"id":1,"name":"Subdivision","value":"NW"},{"id":4,"name":"Milepost","value":"0.0747"},{"id":17,"name":"Train ID","value":"1812-11"},{"id":16,"name":"Locomotive ID","value":"4023"},{"id":130,"name":"Impact","value":""},{"id":150,"name":"Time of Event (Mountain Time)","value":"11:55:16"},{"id":151,"name":"Denver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70"/>
        <v>start /low /b %USERPROFILE%\Documents\GitHub\eaglep3\Utilities\DownloadLogsFromS3.py --loco 4023 --day 2017-03-11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"%USERPROFILE%\AppData\Local\Temp\OnboardLogs"\RTDC4023\*4023*20170311* | grep -SE "(Enforcement Action)|(\[TIMEOUT)|(CHR.+\|PRM\|1\|D.+(SWITCH|SIGNAL).+UNKNOWN)" - &gt;&gt; 2017-03-11-UncaughtWiMAX.txt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727</v>
      </c>
      <c r="B176" s="7">
        <v>4024</v>
      </c>
      <c r="C176" s="21" t="s">
        <v>240</v>
      </c>
      <c r="D176" s="21" t="s">
        <v>900</v>
      </c>
      <c r="E176" s="13">
        <v>42805.498842592591</v>
      </c>
      <c r="F176" s="13">
        <v>42805.49962962963</v>
      </c>
      <c r="G176" s="7">
        <v>1</v>
      </c>
      <c r="H176" s="21" t="s">
        <v>567</v>
      </c>
      <c r="I176" s="13">
        <v>42805.524733796294</v>
      </c>
      <c r="J176" s="7">
        <v>0</v>
      </c>
      <c r="K176" s="98" t="str">
        <f t="shared" si="55"/>
        <v>4023/4024</v>
      </c>
      <c r="L176" s="21" t="str">
        <f>VLOOKUP(A176,'Trips&amp;Operators'!$C$1:$G$99999,5,FALSE)</f>
        <v>SHOOK JOHN</v>
      </c>
      <c r="M176" s="6">
        <f t="shared" si="56"/>
        <v>2.5104166663368233E-2</v>
      </c>
      <c r="N176" s="7">
        <f t="shared" si="75"/>
        <v>36.149999995250255</v>
      </c>
      <c r="O176" s="7"/>
      <c r="P176" s="7"/>
      <c r="Q176" s="22"/>
      <c r="R176" s="22"/>
      <c r="S176" s="31">
        <f t="shared" si="71"/>
        <v>1</v>
      </c>
      <c r="T176" s="46" t="str">
        <f t="shared" si="57"/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58"/>
        <v>https://d0f6bd738d7f1b3e5a7ca70fe4ff75f0.us-east-1.aws.found.io/app/kibana#/discover/Steve-Slow-Train-Analysis-(2080s-and-2083s)?_g=(refreshInterval:(display:Off,pause:!f,section:0,value:0),time:(from:'2017-03-11T10:58:20-0700',mode:absolute,to:'2017-03-11T13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6" s="187" t="str">
        <f t="shared" si="59"/>
        <v>N</v>
      </c>
      <c r="X176" s="187">
        <f t="shared" si="79"/>
        <v>1</v>
      </c>
      <c r="Y176" s="62">
        <f t="shared" si="76"/>
        <v>0.10340000000000001</v>
      </c>
      <c r="Z176" s="62">
        <f t="shared" si="77"/>
        <v>5.8997000000000002</v>
      </c>
      <c r="AA176" s="62">
        <f t="shared" si="63"/>
        <v>5.7963000000000005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4"/>
        <v>1813-11</v>
      </c>
      <c r="AE176" s="85" t="str">
        <f t="shared" si="65"/>
        <v>aws s3 cp s3://rtdc.mdm.uploadarchive.raw/RTDC4024/ "%USERPROFILE%\AppData\Local\Temp\OnboardLogs"\RTDC4024\2017-03-11 --exclude "*" --recursive --include "*20170311*" &amp; "%USERPROFILE%\Documents\GitHub\mrs-test-scripts\Headless Mode &amp; Sideloading\WalkAndUnGZ.bat" "%USERPROFILE%\AppData\Local\Temp\OnboardLogs"\RTDC4024\2017-03-11 &amp; aws s3 cp s3://rtdc.mdm.uploadarchive.raw/RTDC4024/ "%USERPROFILE%\AppData\Local\Temp\OnboardLogs"\RTDC4024\2017-03-12 --exclude "*" --recursive --include "*20170312*" &amp; "%USERPROFILE%\Documents\GitHub\mrs-test-scripts\Headless Mode &amp; Sideloading\WalkAndUnGZ.bat" "%USERPROFILE%\AppData\Local\Temp\OnboardLogs"\RTDC4024\2017-03-12</v>
      </c>
      <c r="AF176" s="82" t="str">
        <f t="shared" si="66"/>
        <v>"C:\Program Files (x86)\AstroGrep\AstroGrep.exe" /e /r /s /spath="%USERPROFILE%\AppData\Local\Temp\OnboardLogs" /stypes="app*4024*20170311*" /stext=" 19:.+((SYSTEM_STATE.+slice.+state.+changed )|(ment ac)|(multiple cpu faults)|(system.+state.+changed )|(\[timeout)|(PRM\|1\|D)|(kpr)|(kdp)|(\|lc)|(penalty))"</v>
      </c>
      <c r="AG176" s="1" t="str">
        <f t="shared" si="67"/>
        <v>NW</v>
      </c>
      <c r="AH176" s="86" t="str">
        <f t="shared" si="68"/>
        <v>"%USERPROFILE%\Documents\GitHub\eaglep3\Utilities\RefineRTDCRunTimes.py" --tripid 1813-11 --locoid 4024 --swversion DE.1.0.9.0 --startMP 204:1034 --initTime 2017-03-11T11:58:20 --startdatetime 2017-03-11T11:59:28 --delay 1 --endMP 300:58997 --enddatetime 2017-03-11T12:35:37 --enforcementcount 0 &gt;&gt;C:\Users\stu\Documents\GitHub\eaglep3-reporting\EC\2017-03-11-refined-times.txt</v>
      </c>
      <c r="AI176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{"issue":{"subject":"","project_id":79,"tracker_id":40,"status_id":1,"priority_id":2,"assigned_to_id":23,"start_date":"2017-03-11","description":"","custom_fields":[{"id":1,"name":"Subdivision","value":"NW"},{"id":4,"name":"Milepost","value":"5.8997"},{"id":17,"name":"Train ID","value":"1813-11"},{"id":16,"name":"Locomotive ID","value":"4024"},{"id":130,"name":"Impact","value":""},{"id":150,"name":"Time of Event (Mountain Time)","value":"12:35:37"},{"id":151,"name":"Denver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70"/>
        <v>start /low /b %USERPROFILE%\Documents\GitHub\eaglep3\Utilities\DownloadLogsFromS3.py --loco 4024 --day 2017-03-11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"%USERPROFILE%\AppData\Local\Temp\OnboardLogs"\RTDC4024\*4024*20170311* | grep -SE "(Enforcement Action)|(\[TIMEOUT)|(CHR.+\|PRM\|1\|D.+(SWITCH|SIGNAL).+UNKNOWN)" - &gt;&gt; 2017-03-11-UncaughtWiMAX.txt</v>
      </c>
    </row>
    <row r="177" spans="1:91" s="20" customFormat="1" x14ac:dyDescent="0.25">
      <c r="A177" s="33" t="s">
        <v>734</v>
      </c>
      <c r="B177" s="7">
        <v>4023</v>
      </c>
      <c r="C177" s="21" t="s">
        <v>240</v>
      </c>
      <c r="D177" s="21" t="s">
        <v>901</v>
      </c>
      <c r="E177" s="13">
        <v>42805.526134259257</v>
      </c>
      <c r="F177" s="13">
        <v>42805.526990740742</v>
      </c>
      <c r="G177" s="7">
        <v>1</v>
      </c>
      <c r="H177" s="21" t="s">
        <v>902</v>
      </c>
      <c r="I177" s="13">
        <v>42805.538449074076</v>
      </c>
      <c r="J177" s="7">
        <v>0</v>
      </c>
      <c r="K177" s="98" t="str">
        <f t="shared" si="55"/>
        <v>4023/4024</v>
      </c>
      <c r="L177" s="21" t="str">
        <f>VLOOKUP(A177,'Trips&amp;Operators'!$C$1:$G$99999,5,FALSE)</f>
        <v>SHOOK JOHN</v>
      </c>
      <c r="M177" s="6">
        <f t="shared" si="56"/>
        <v>1.1458333334303461E-2</v>
      </c>
      <c r="N177" s="7">
        <f t="shared" si="75"/>
        <v>16.500000001396984</v>
      </c>
      <c r="O177" s="7"/>
      <c r="P177" s="7"/>
      <c r="Q177" s="22"/>
      <c r="R177" s="22"/>
      <c r="S177" s="31">
        <f t="shared" si="71"/>
        <v>1</v>
      </c>
      <c r="T177" s="46" t="str">
        <f t="shared" si="57"/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8"/>
        <v>https://d0f6bd738d7f1b3e5a7ca70fe4ff75f0.us-east-1.aws.found.io/app/kibana#/discover/Steve-Slow-Train-Analysis-(2080s-and-2083s)?_g=(refreshInterval:(display:Off,pause:!f,section:0,value:0),time:(from:'2017-03-11T11:37:38-0700',mode:absolute,to:'2017-03-11T13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7" s="187" t="str">
        <f t="shared" si="59"/>
        <v>N</v>
      </c>
      <c r="X177" s="187">
        <f t="shared" si="79"/>
        <v>1</v>
      </c>
      <c r="Y177" s="62">
        <f t="shared" si="76"/>
        <v>5.8673000000000002</v>
      </c>
      <c r="Z177" s="62">
        <f t="shared" si="77"/>
        <v>7.3400000000000007E-2</v>
      </c>
      <c r="AA177" s="62">
        <f t="shared" si="63"/>
        <v>5.7938999999999998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4"/>
        <v>1814-11</v>
      </c>
      <c r="AE177" s="85" t="str">
        <f t="shared" si="65"/>
        <v>aws s3 cp s3://rtdc.mdm.uploadarchive.raw/RTDC4023/ "%USERPROFILE%\AppData\Local\Temp\OnboardLogs"\RTDC4023\2017-03-11 --exclude "*" --recursive --include "*20170311*" &amp; "%USERPROFILE%\Documents\GitHub\mrs-test-scripts\Headless Mode &amp; Sideloading\WalkAndUnGZ.bat" "%USERPROFILE%\AppData\Local\Temp\OnboardLogs"\RTDC4023\2017-03-11 &amp; aws s3 cp s3://rtdc.mdm.uploadarchive.raw/RTDC4023/ "%USERPROFILE%\AppData\Local\Temp\OnboardLogs"\RTDC4023\2017-03-12 --exclude "*" --recursive --include "*20170312*" &amp; "%USERPROFILE%\Documents\GitHub\mrs-test-scripts\Headless Mode &amp; Sideloading\WalkAndUnGZ.bat" "%USERPROFILE%\AppData\Local\Temp\OnboardLogs"\RTDC4023\2017-03-12</v>
      </c>
      <c r="AF177" s="82" t="str">
        <f t="shared" si="66"/>
        <v>"C:\Program Files (x86)\AstroGrep\AstroGrep.exe" /e /r /s /spath="%USERPROFILE%\AppData\Local\Temp\OnboardLogs" /stypes="app*4023*20170311*" /stext=" 19:.+((SYSTEM_STATE.+slice.+state.+changed )|(ment ac)|(multiple cpu faults)|(system.+state.+changed )|(\[timeout)|(PRM\|1\|D)|(kpr)|(kdp)|(\|lc)|(penalty))"</v>
      </c>
      <c r="AG177" s="1" t="str">
        <f t="shared" si="67"/>
        <v>NW</v>
      </c>
      <c r="AH177" s="86" t="str">
        <f t="shared" si="68"/>
        <v>"%USERPROFILE%\Documents\GitHub\eaglep3\Utilities\RefineRTDCRunTimes.py" --tripid 1814-11 --locoid 4023 --swversion DE.1.0.9.0 --startMP 300:58673 --initTime 2017-03-11T12:37:38 --startdatetime 2017-03-11T12:38:52 --delay 1 --endMP 204:734 --enddatetime 2017-03-11T12:55:22 --enforcementcount 0 &gt;&gt;C:\Users\stu\Documents\GitHub\eaglep3-reporting\EC\2017-03-11-refined-times.txt</v>
      </c>
      <c r="AI177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{"issue":{"subject":"","project_id":79,"tracker_id":40,"status_id":1,"priority_id":2,"assigned_to_id":23,"start_date":"2017-03-11","description":"","custom_fields":[{"id":1,"name":"Subdivision","value":"NW"},{"id":4,"name":"Milepost","value":"0.0734"},{"id":17,"name":"Train ID","value":"1814-11"},{"id":16,"name":"Locomotive ID","value":"4023"},{"id":130,"name":"Impact","value":""},{"id":150,"name":"Time of Event (Mountain Time)","value":"12:55:22"},{"id":151,"name":"Denver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70"/>
        <v>start /low /b %USERPROFILE%\Documents\GitHub\eaglep3\Utilities\DownloadLogsFromS3.py --loco 4023 --day 2017-03-11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"%USERPROFILE%\AppData\Local\Temp\OnboardLogs"\RTDC4023\*4023*20170311* | grep -SE "(Enforcement Action)|(\[TIMEOUT)|(CHR.+\|PRM\|1\|D.+(SWITCH|SIGNAL).+UNKNOWN)" - &gt;&gt; 2017-03-11-UncaughtWiMAX.txt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738</v>
      </c>
      <c r="B178" s="7">
        <v>4024</v>
      </c>
      <c r="C178" s="21" t="s">
        <v>240</v>
      </c>
      <c r="D178" s="21" t="s">
        <v>903</v>
      </c>
      <c r="E178" s="13">
        <v>42805.540324074071</v>
      </c>
      <c r="F178" s="13">
        <v>42805.541122685187</v>
      </c>
      <c r="G178" s="7">
        <v>1</v>
      </c>
      <c r="H178" s="21" t="s">
        <v>576</v>
      </c>
      <c r="I178" s="13">
        <v>42805.566168981481</v>
      </c>
      <c r="J178" s="7">
        <v>0</v>
      </c>
      <c r="K178" s="98" t="str">
        <f t="shared" si="55"/>
        <v>4023/4024</v>
      </c>
      <c r="L178" s="21" t="str">
        <f>VLOOKUP(A178,'Trips&amp;Operators'!$C$1:$G$99999,5,FALSE)</f>
        <v>SHOOK JOHN</v>
      </c>
      <c r="M178" s="6">
        <f t="shared" si="56"/>
        <v>2.5046296294021886E-2</v>
      </c>
      <c r="N178" s="7">
        <f t="shared" si="75"/>
        <v>36.066666663391516</v>
      </c>
      <c r="O178" s="7"/>
      <c r="P178" s="7"/>
      <c r="Q178" s="22"/>
      <c r="R178" s="22"/>
      <c r="S178" s="31">
        <f t="shared" si="71"/>
        <v>1</v>
      </c>
      <c r="T178" s="46" t="str">
        <f t="shared" si="57"/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8"/>
        <v>https://d0f6bd738d7f1b3e5a7ca70fe4ff75f0.us-east-1.aws.found.io/app/kibana#/discover/Steve-Slow-Train-Analysis-(2080s-and-2083s)?_g=(refreshInterval:(display:Off,pause:!f,section:0,value:0),time:(from:'2017-03-11T11:58:04-0700',mode:absolute,to:'2017-03-11T14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8" s="187" t="str">
        <f t="shared" si="59"/>
        <v>N</v>
      </c>
      <c r="X178" s="187">
        <f t="shared" si="79"/>
        <v>1</v>
      </c>
      <c r="Y178" s="62">
        <f t="shared" si="76"/>
        <v>0.1028</v>
      </c>
      <c r="Z178" s="62">
        <f t="shared" si="77"/>
        <v>5.9005000000000001</v>
      </c>
      <c r="AA178" s="62">
        <f t="shared" si="63"/>
        <v>5.7976999999999999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4"/>
        <v>1815-11</v>
      </c>
      <c r="AE178" s="85" t="str">
        <f t="shared" si="65"/>
        <v>aws s3 cp s3://rtdc.mdm.uploadarchive.raw/RTDC4024/ "%USERPROFILE%\AppData\Local\Temp\OnboardLogs"\RTDC4024\2017-03-11 --exclude "*" --recursive --include "*20170311*" &amp; "%USERPROFILE%\Documents\GitHub\mrs-test-scripts\Headless Mode &amp; Sideloading\WalkAndUnGZ.bat" "%USERPROFILE%\AppData\Local\Temp\OnboardLogs"\RTDC4024\2017-03-11 &amp; aws s3 cp s3://rtdc.mdm.uploadarchive.raw/RTDC4024/ "%USERPROFILE%\AppData\Local\Temp\OnboardLogs"\RTDC4024\2017-03-12 --exclude "*" --recursive --include "*20170312*" &amp; "%USERPROFILE%\Documents\GitHub\mrs-test-scripts\Headless Mode &amp; Sideloading\WalkAndUnGZ.bat" "%USERPROFILE%\AppData\Local\Temp\OnboardLogs"\RTDC4024\2017-03-12</v>
      </c>
      <c r="AF178" s="82" t="str">
        <f t="shared" si="66"/>
        <v>"C:\Program Files (x86)\AstroGrep\AstroGrep.exe" /e /r /s /spath="%USERPROFILE%\AppData\Local\Temp\OnboardLogs" /stypes="app*4024*20170311*" /stext=" 20:.+((SYSTEM_STATE.+slice.+state.+changed )|(ment ac)|(multiple cpu faults)|(system.+state.+changed )|(\[timeout)|(PRM\|1\|D)|(kpr)|(kdp)|(\|lc)|(penalty))"</v>
      </c>
      <c r="AG178" s="1" t="str">
        <f t="shared" si="67"/>
        <v>NW</v>
      </c>
      <c r="AH178" s="86" t="str">
        <f t="shared" si="68"/>
        <v>"%USERPROFILE%\Documents\GitHub\eaglep3\Utilities\RefineRTDCRunTimes.py" --tripid 1815-11 --locoid 4024 --swversion DE.1.0.9.0 --startMP 204:1028 --initTime 2017-03-11T12:58:04 --startdatetime 2017-03-11T12:59:13 --delay 1 --endMP 300:59005 --enddatetime 2017-03-11T13:35:17 --enforcementcount 0 &gt;&gt;C:\Users\stu\Documents\GitHub\eaglep3-reporting\EC\2017-03-11-refined-times.txt</v>
      </c>
      <c r="AI178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{"issue":{"subject":"","project_id":79,"tracker_id":40,"status_id":1,"priority_id":2,"assigned_to_id":23,"start_date":"2017-03-11","description":"","custom_fields":[{"id":1,"name":"Subdivision","value":"NW"},{"id":4,"name":"Milepost","value":"5.9005"},{"id":17,"name":"Train ID","value":"1815-11"},{"id":16,"name":"Locomotive ID","value":"4024"},{"id":130,"name":"Impact","value":""},{"id":150,"name":"Time of Event (Mountain Time)","value":"13:35:17"},{"id":151,"name":"Denver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70"/>
        <v>start /low /b %USERPROFILE%\Documents\GitHub\eaglep3\Utilities\DownloadLogsFromS3.py --loco 4024 --day 2017-03-11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"%USERPROFILE%\AppData\Local\Temp\OnboardLogs"\RTDC4024\*4024*20170311* | grep -SE "(Enforcement Action)|(\[TIMEOUT)|(CHR.+\|PRM\|1\|D.+(SWITCH|SIGNAL).+UNKNOWN)" - &gt;&gt; 2017-03-11-UncaughtWiMAX.txt</v>
      </c>
    </row>
    <row r="179" spans="1:91" s="20" customFormat="1" x14ac:dyDescent="0.25">
      <c r="A179" s="33" t="s">
        <v>740</v>
      </c>
      <c r="B179" s="7">
        <v>4023</v>
      </c>
      <c r="C179" s="21" t="s">
        <v>240</v>
      </c>
      <c r="D179" s="21" t="s">
        <v>568</v>
      </c>
      <c r="E179" s="13">
        <v>42805.567870370367</v>
      </c>
      <c r="F179" s="13">
        <v>42805.56863425926</v>
      </c>
      <c r="G179" s="7">
        <v>1</v>
      </c>
      <c r="H179" s="21" t="s">
        <v>841</v>
      </c>
      <c r="I179" s="13">
        <v>42805.580023148148</v>
      </c>
      <c r="J179" s="7">
        <v>0</v>
      </c>
      <c r="K179" s="98" t="str">
        <f t="shared" si="55"/>
        <v>4023/4024</v>
      </c>
      <c r="L179" s="21" t="str">
        <f>VLOOKUP(A179,'Trips&amp;Operators'!$C$1:$G$99999,5,FALSE)</f>
        <v>SHOOK JOHN</v>
      </c>
      <c r="M179" s="6">
        <f t="shared" si="56"/>
        <v>1.1388888888177462E-2</v>
      </c>
      <c r="N179" s="7">
        <f t="shared" si="75"/>
        <v>16.399999998975545</v>
      </c>
      <c r="O179" s="7"/>
      <c r="P179" s="7"/>
      <c r="Q179" s="22"/>
      <c r="R179" s="22"/>
      <c r="S179" s="31">
        <f t="shared" si="71"/>
        <v>1</v>
      </c>
      <c r="T179" s="46" t="str">
        <f t="shared" si="57"/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8"/>
        <v>https://d0f6bd738d7f1b3e5a7ca70fe4ff75f0.us-east-1.aws.found.io/app/kibana#/discover/Steve-Slow-Train-Analysis-(2080s-and-2083s)?_g=(refreshInterval:(display:Off,pause:!f,section:0,value:0),time:(from:'2017-03-11T12:37:44-0700',mode:absolute,to:'2017-03-11T14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9" s="187" t="str">
        <f t="shared" si="59"/>
        <v>N</v>
      </c>
      <c r="X179" s="187">
        <f t="shared" si="79"/>
        <v>1</v>
      </c>
      <c r="Y179" s="62">
        <f t="shared" si="76"/>
        <v>5.8674999999999997</v>
      </c>
      <c r="Z179" s="62">
        <f t="shared" si="77"/>
        <v>7.4300000000000005E-2</v>
      </c>
      <c r="AA179" s="62">
        <f t="shared" si="63"/>
        <v>5.7931999999999997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4"/>
        <v>1816-11</v>
      </c>
      <c r="AE179" s="85" t="str">
        <f t="shared" si="65"/>
        <v>aws s3 cp s3://rtdc.mdm.uploadarchive.raw/RTDC4023/ "%USERPROFILE%\AppData\Local\Temp\OnboardLogs"\RTDC4023\2017-03-11 --exclude "*" --recursive --include "*20170311*" &amp; "%USERPROFILE%\Documents\GitHub\mrs-test-scripts\Headless Mode &amp; Sideloading\WalkAndUnGZ.bat" "%USERPROFILE%\AppData\Local\Temp\OnboardLogs"\RTDC4023\2017-03-11 &amp; aws s3 cp s3://rtdc.mdm.uploadarchive.raw/RTDC4023/ "%USERPROFILE%\AppData\Local\Temp\OnboardLogs"\RTDC4023\2017-03-12 --exclude "*" --recursive --include "*20170312*" &amp; "%USERPROFILE%\Documents\GitHub\mrs-test-scripts\Headless Mode &amp; Sideloading\WalkAndUnGZ.bat" "%USERPROFILE%\AppData\Local\Temp\OnboardLogs"\RTDC4023\2017-03-12</v>
      </c>
      <c r="AF179" s="82" t="str">
        <f t="shared" si="66"/>
        <v>"C:\Program Files (x86)\AstroGrep\AstroGrep.exe" /e /r /s /spath="%USERPROFILE%\AppData\Local\Temp\OnboardLogs" /stypes="app*4023*20170311*" /stext=" 20:.+((SYSTEM_STATE.+slice.+state.+changed )|(ment ac)|(multiple cpu faults)|(system.+state.+changed )|(\[timeout)|(PRM\|1\|D)|(kpr)|(kdp)|(\|lc)|(penalty))"</v>
      </c>
      <c r="AG179" s="1" t="str">
        <f t="shared" si="67"/>
        <v>NW</v>
      </c>
      <c r="AH179" s="86" t="str">
        <f t="shared" si="68"/>
        <v>"%USERPROFILE%\Documents\GitHub\eaglep3\Utilities\RefineRTDCRunTimes.py" --tripid 1816-11 --locoid 4023 --swversion DE.1.0.9.0 --startMP 300:58675 --initTime 2017-03-11T13:37:44 --startdatetime 2017-03-11T13:38:50 --delay 1 --endMP 204:743 --enddatetime 2017-03-11T13:55:14 --enforcementcount 0 &gt;&gt;C:\Users\stu\Documents\GitHub\eaglep3-reporting\EC\2017-03-11-refined-times.txt</v>
      </c>
      <c r="AI179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{"issue":{"subject":"","project_id":79,"tracker_id":40,"status_id":1,"priority_id":2,"assigned_to_id":23,"start_date":"2017-03-11","description":"","custom_fields":[{"id":1,"name":"Subdivision","value":"NW"},{"id":4,"name":"Milepost","value":"0.0743"},{"id":17,"name":"Train ID","value":"1816-11"},{"id":16,"name":"Locomotive ID","value":"4023"},{"id":130,"name":"Impact","value":""},{"id":150,"name":"Time of Event (Mountain Time)","value":"13:55:14"},{"id":151,"name":"Denver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70"/>
        <v>start /low /b %USERPROFILE%\Documents\GitHub\eaglep3\Utilities\DownloadLogsFromS3.py --loco 4023 --day 2017-03-11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"%USERPROFILE%\AppData\Local\Temp\OnboardLogs"\RTDC4023\*4023*20170311* | grep -SE "(Enforcement Action)|(\[TIMEOUT)|(CHR.+\|PRM\|1\|D.+(SWITCH|SIGNAL).+UNKNOWN)" - &gt;&gt; 2017-03-11-UncaughtWiMAX.txt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745</v>
      </c>
      <c r="B180" s="7">
        <v>4024</v>
      </c>
      <c r="C180" s="21" t="s">
        <v>240</v>
      </c>
      <c r="D180" s="21" t="s">
        <v>504</v>
      </c>
      <c r="E180" s="13">
        <v>42805.594108796293</v>
      </c>
      <c r="F180" s="13">
        <v>42805.595578703702</v>
      </c>
      <c r="G180" s="7">
        <v>2</v>
      </c>
      <c r="H180" s="21" t="s">
        <v>904</v>
      </c>
      <c r="I180" s="13">
        <v>42805.607824074075</v>
      </c>
      <c r="J180" s="7">
        <v>0</v>
      </c>
      <c r="K180" s="98" t="str">
        <f t="shared" si="55"/>
        <v>4023/4024</v>
      </c>
      <c r="L180" s="21" t="str">
        <f>VLOOKUP(A180,'Trips&amp;Operators'!$C$1:$G$99999,5,FALSE)</f>
        <v>MCREYNOLDS KYLE</v>
      </c>
      <c r="M180" s="6">
        <f t="shared" si="56"/>
        <v>1.2245370373420883E-2</v>
      </c>
      <c r="N180" s="7">
        <f t="shared" si="75"/>
        <v>17.633333337726071</v>
      </c>
      <c r="O180" s="7"/>
      <c r="P180" s="7"/>
      <c r="Q180" s="22"/>
      <c r="R180" s="22"/>
      <c r="S180" s="31">
        <f t="shared" si="71"/>
        <v>1</v>
      </c>
      <c r="T180" s="46" t="str">
        <f t="shared" si="57"/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8"/>
        <v>https://d0f6bd738d7f1b3e5a7ca70fe4ff75f0.us-east-1.aws.found.io/app/kibana#/discover/Steve-Slow-Train-Analysis-(2080s-and-2083s)?_g=(refreshInterval:(display:Off,pause:!f,section:0,value:0),time:(from:'2017-03-11T13:15:31-0700',mode:absolute,to:'2017-03-11T15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0" s="187" t="str">
        <f t="shared" si="59"/>
        <v>N</v>
      </c>
      <c r="X180" s="187">
        <f t="shared" si="79"/>
        <v>1</v>
      </c>
      <c r="Y180" s="62">
        <f t="shared" si="76"/>
        <v>0.1027</v>
      </c>
      <c r="Z180" s="62">
        <f t="shared" si="77"/>
        <v>5.8940999999999999</v>
      </c>
      <c r="AA180" s="62">
        <f t="shared" si="63"/>
        <v>5.7914000000000003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4"/>
        <v>1817-11</v>
      </c>
      <c r="AE180" s="85" t="str">
        <f t="shared" si="65"/>
        <v>aws s3 cp s3://rtdc.mdm.uploadarchive.raw/RTDC4024/ "%USERPROFILE%\AppData\Local\Temp\OnboardLogs"\RTDC4024\2017-03-11 --exclude "*" --recursive --include "*20170311*" &amp; "%USERPROFILE%\Documents\GitHub\mrs-test-scripts\Headless Mode &amp; Sideloading\WalkAndUnGZ.bat" "%USERPROFILE%\AppData\Local\Temp\OnboardLogs"\RTDC4024\2017-03-11 &amp; aws s3 cp s3://rtdc.mdm.uploadarchive.raw/RTDC4024/ "%USERPROFILE%\AppData\Local\Temp\OnboardLogs"\RTDC4024\2017-03-12 --exclude "*" --recursive --include "*20170312*" &amp; "%USERPROFILE%\Documents\GitHub\mrs-test-scripts\Headless Mode &amp; Sideloading\WalkAndUnGZ.bat" "%USERPROFILE%\AppData\Local\Temp\OnboardLogs"\RTDC4024\2017-03-12</v>
      </c>
      <c r="AF180" s="82" t="str">
        <f t="shared" si="66"/>
        <v>"C:\Program Files (x86)\AstroGrep\AstroGrep.exe" /e /r /s /spath="%USERPROFILE%\AppData\Local\Temp\OnboardLogs" /stypes="app*4024*20170311*" /stext=" 21:.+((SYSTEM_STATE.+slice.+state.+changed )|(ment ac)|(multiple cpu faults)|(system.+state.+changed )|(\[timeout)|(PRM\|1\|D)|(kpr)|(kdp)|(\|lc)|(penalty))"</v>
      </c>
      <c r="AG180" s="1" t="str">
        <f t="shared" si="67"/>
        <v>NW</v>
      </c>
      <c r="AH180" s="86" t="str">
        <f t="shared" si="68"/>
        <v>"%USERPROFILE%\Documents\GitHub\eaglep3\Utilities\RefineRTDCRunTimes.py" --tripid 1817-11 --locoid 4024 --swversion DE.1.0.9.0 --startMP 204:1027 --initTime 2017-03-11T14:15:31 --startdatetime 2017-03-11T14:17:38 --delay 2 --endMP 300:58941 --enddatetime 2017-03-11T14:35:16 --enforcementcount 0 &gt;&gt;C:\Users\stu\Documents\GitHub\eaglep3-reporting\EC\2017-03-11-refined-times.txt</v>
      </c>
      <c r="AI180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{"issue":{"subject":"","project_id":79,"tracker_id":40,"status_id":1,"priority_id":2,"assigned_to_id":23,"start_date":"2017-03-11","description":"","custom_fields":[{"id":1,"name":"Subdivision","value":"NW"},{"id":4,"name":"Milepost","value":"5.8941"},{"id":17,"name":"Train ID","value":"1817-11"},{"id":16,"name":"Locomotive ID","value":"4024"},{"id":130,"name":"Impact","value":""},{"id":150,"name":"Time of Event (Mountain Time)","value":"14:35:16"},{"id":151,"name":"Denver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70"/>
        <v>start /low /b %USERPROFILE%\Documents\GitHub\eaglep3\Utilities\DownloadLogsFromS3.py --loco 4024 --day 2017-03-11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"%USERPROFILE%\AppData\Local\Temp\OnboardLogs"\RTDC4024\*4024*20170311* | grep -SE "(Enforcement Action)|(\[TIMEOUT)|(CHR.+\|PRM\|1\|D.+(SWITCH|SIGNAL).+UNKNOWN)" - &gt;&gt; 2017-03-11-UncaughtWiMAX.txt</v>
      </c>
    </row>
    <row r="181" spans="1:91" x14ac:dyDescent="0.25">
      <c r="A181" s="33" t="s">
        <v>747</v>
      </c>
      <c r="B181" s="7">
        <v>4023</v>
      </c>
      <c r="C181" s="21" t="s">
        <v>240</v>
      </c>
      <c r="D181" s="21" t="s">
        <v>905</v>
      </c>
      <c r="E181" s="13">
        <v>42805.609467592592</v>
      </c>
      <c r="F181" s="13">
        <v>42805.610451388886</v>
      </c>
      <c r="G181" s="7">
        <v>1</v>
      </c>
      <c r="H181" s="21" t="s">
        <v>506</v>
      </c>
      <c r="I181" s="13">
        <v>42805.621655092589</v>
      </c>
      <c r="J181" s="7">
        <v>0</v>
      </c>
      <c r="K181" s="98" t="str">
        <f t="shared" si="55"/>
        <v>4023/4024</v>
      </c>
      <c r="L181" s="21" t="str">
        <f>VLOOKUP(A181,'Trips&amp;Operators'!$C$1:$G$99999,5,FALSE)</f>
        <v>MCREYNOLDS KYLE</v>
      </c>
      <c r="M181" s="6">
        <f t="shared" si="56"/>
        <v>1.1203703703358769E-2</v>
      </c>
      <c r="N181" s="7">
        <f t="shared" si="75"/>
        <v>16.133333332836628</v>
      </c>
      <c r="O181" s="7"/>
      <c r="P181" s="7"/>
      <c r="Q181" s="22"/>
      <c r="R181" s="22"/>
      <c r="S181" s="31">
        <f t="shared" si="71"/>
        <v>1</v>
      </c>
      <c r="T181" s="46" t="str">
        <f t="shared" si="57"/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8"/>
        <v>https://d0f6bd738d7f1b3e5a7ca70fe4ff75f0.us-east-1.aws.found.io/app/kibana#/discover/Steve-Slow-Train-Analysis-(2080s-and-2083s)?_g=(refreshInterval:(display:Off,pause:!f,section:0,value:0),time:(from:'2017-03-11T13:37:38-0700',mode:absolute,to:'2017-03-11T15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1" s="187" t="str">
        <f t="shared" si="59"/>
        <v>N</v>
      </c>
      <c r="X181" s="187">
        <f t="shared" si="79"/>
        <v>1</v>
      </c>
      <c r="Y181" s="62">
        <f t="shared" si="76"/>
        <v>5.8616999999999999</v>
      </c>
      <c r="Z181" s="62">
        <f t="shared" si="77"/>
        <v>6.7500000000000004E-2</v>
      </c>
      <c r="AA181" s="62">
        <f t="shared" si="63"/>
        <v>5.7942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4"/>
        <v>1818-11</v>
      </c>
      <c r="AE181" s="85" t="str">
        <f t="shared" si="65"/>
        <v>aws s3 cp s3://rtdc.mdm.uploadarchive.raw/RTDC4023/ "%USERPROFILE%\AppData\Local\Temp\OnboardLogs"\RTDC4023\2017-03-11 --exclude "*" --recursive --include "*20170311*" &amp; "%USERPROFILE%\Documents\GitHub\mrs-test-scripts\Headless Mode &amp; Sideloading\WalkAndUnGZ.bat" "%USERPROFILE%\AppData\Local\Temp\OnboardLogs"\RTDC4023\2017-03-11 &amp; aws s3 cp s3://rtdc.mdm.uploadarchive.raw/RTDC4023/ "%USERPROFILE%\AppData\Local\Temp\OnboardLogs"\RTDC4023\2017-03-12 --exclude "*" --recursive --include "*20170312*" &amp; "%USERPROFILE%\Documents\GitHub\mrs-test-scripts\Headless Mode &amp; Sideloading\WalkAndUnGZ.bat" "%USERPROFILE%\AppData\Local\Temp\OnboardLogs"\RTDC4023\2017-03-12</v>
      </c>
      <c r="AF181" s="82" t="str">
        <f t="shared" si="66"/>
        <v>"C:\Program Files (x86)\AstroGrep\AstroGrep.exe" /e /r /s /spath="%USERPROFILE%\AppData\Local\Temp\OnboardLogs" /stypes="app*4023*20170311*" /stext=" 21:.+((SYSTEM_STATE.+slice.+state.+changed )|(ment ac)|(multiple cpu faults)|(system.+state.+changed )|(\[timeout)|(PRM\|1\|D)|(kpr)|(kdp)|(\|lc)|(penalty))"</v>
      </c>
      <c r="AG181" s="1" t="str">
        <f t="shared" si="67"/>
        <v>NW</v>
      </c>
      <c r="AH181" s="86" t="str">
        <f t="shared" si="68"/>
        <v>"%USERPROFILE%\Documents\GitHub\eaglep3\Utilities\RefineRTDCRunTimes.py" --tripid 1818-11 --locoid 4023 --swversion DE.1.0.9.0 --startMP 300:58617 --initTime 2017-03-11T14:37:38 --startdatetime 2017-03-11T14:39:03 --delay 1 --endMP 204:675 --enddatetime 2017-03-11T14:55:11 --enforcementcount 0 &gt;&gt;C:\Users\stu\Documents\GitHub\eaglep3-reporting\EC\2017-03-11-refined-times.txt</v>
      </c>
      <c r="AI181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{"issue":{"subject":"","project_id":79,"tracker_id":40,"status_id":1,"priority_id":2,"assigned_to_id":23,"start_date":"2017-03-11","description":"","custom_fields":[{"id":1,"name":"Subdivision","value":"NW"},{"id":4,"name":"Milepost","value":"0.0675"},{"id":17,"name":"Train ID","value":"1818-11"},{"id":16,"name":"Locomotive ID","value":"4023"},{"id":130,"name":"Impact","value":""},{"id":150,"name":"Time of Event (Mountain Time)","value":"14:55:11"},{"id":151,"name":"Denver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70"/>
        <v>start /low /b %USERPROFILE%\Documents\GitHub\eaglep3\Utilities\DownloadLogsFromS3.py --loco 4023 --day 2017-03-11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"%USERPROFILE%\AppData\Local\Temp\OnboardLogs"\RTDC4023\*4023*20170311* | grep -SE "(Enforcement Action)|(\[TIMEOUT)|(CHR.+\|PRM\|1\|D.+(SWITCH|SIGNAL).+UNKNOWN)" - &gt;&gt; 2017-03-11-UncaughtWiMAX.txt</v>
      </c>
    </row>
    <row r="182" spans="1:91" x14ac:dyDescent="0.25">
      <c r="A182" s="33" t="s">
        <v>752</v>
      </c>
      <c r="B182" s="7">
        <v>4024</v>
      </c>
      <c r="C182" s="21" t="s">
        <v>240</v>
      </c>
      <c r="D182" s="21" t="s">
        <v>566</v>
      </c>
      <c r="E182" s="13">
        <v>42805.634108796294</v>
      </c>
      <c r="F182" s="13">
        <v>42805.63517361111</v>
      </c>
      <c r="G182" s="7">
        <v>1</v>
      </c>
      <c r="H182" s="21" t="s">
        <v>569</v>
      </c>
      <c r="I182" s="13">
        <v>42805.649097222224</v>
      </c>
      <c r="J182" s="7">
        <v>0</v>
      </c>
      <c r="K182" s="98" t="str">
        <f t="shared" si="55"/>
        <v>4023/4024</v>
      </c>
      <c r="L182" s="21" t="str">
        <f>VLOOKUP(A182,'Trips&amp;Operators'!$C$1:$G$99999,5,FALSE)</f>
        <v>MCREYNOLDS KYLE</v>
      </c>
      <c r="M182" s="6">
        <f t="shared" si="56"/>
        <v>1.3923611113568768E-2</v>
      </c>
      <c r="N182" s="7">
        <f t="shared" si="75"/>
        <v>20.050000003539026</v>
      </c>
      <c r="O182" s="7"/>
      <c r="P182" s="7"/>
      <c r="Q182" s="22"/>
      <c r="R182" s="22"/>
      <c r="S182" s="31">
        <f t="shared" si="71"/>
        <v>1</v>
      </c>
      <c r="T182" s="46" t="str">
        <f t="shared" si="57"/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8"/>
        <v>https://d0f6bd738d7f1b3e5a7ca70fe4ff75f0.us-east-1.aws.found.io/app/kibana#/discover/Steve-Slow-Train-Analysis-(2080s-and-2083s)?_g=(refreshInterval:(display:Off,pause:!f,section:0,value:0),time:(from:'2017-03-11T14:13:07-0700',mode:absolute,to:'2017-03-11T16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2" s="187" t="str">
        <f t="shared" si="59"/>
        <v>N</v>
      </c>
      <c r="X182" s="187">
        <f t="shared" si="79"/>
        <v>1</v>
      </c>
      <c r="Y182" s="62">
        <f t="shared" si="76"/>
        <v>9.8299999999999998E-2</v>
      </c>
      <c r="Z182" s="62">
        <f t="shared" si="77"/>
        <v>5.8943000000000003</v>
      </c>
      <c r="AA182" s="62">
        <f t="shared" si="63"/>
        <v>5.7960000000000003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4"/>
        <v>1819-11</v>
      </c>
      <c r="AE182" s="85" t="str">
        <f t="shared" si="65"/>
        <v>aws s3 cp s3://rtdc.mdm.uploadarchive.raw/RTDC4024/ "%USERPROFILE%\AppData\Local\Temp\OnboardLogs"\RTDC4024\2017-03-11 --exclude "*" --recursive --include "*20170311*" &amp; "%USERPROFILE%\Documents\GitHub\mrs-test-scripts\Headless Mode &amp; Sideloading\WalkAndUnGZ.bat" "%USERPROFILE%\AppData\Local\Temp\OnboardLogs"\RTDC4024\2017-03-11 &amp; aws s3 cp s3://rtdc.mdm.uploadarchive.raw/RTDC4024/ "%USERPROFILE%\AppData\Local\Temp\OnboardLogs"\RTDC4024\2017-03-12 --exclude "*" --recursive --include "*20170312*" &amp; "%USERPROFILE%\Documents\GitHub\mrs-test-scripts\Headless Mode &amp; Sideloading\WalkAndUnGZ.bat" "%USERPROFILE%\AppData\Local\Temp\OnboardLogs"\RTDC4024\2017-03-12</v>
      </c>
      <c r="AF182" s="82" t="str">
        <f t="shared" si="66"/>
        <v>"C:\Program Files (x86)\AstroGrep\AstroGrep.exe" /e /r /s /spath="%USERPROFILE%\AppData\Local\Temp\OnboardLogs" /stypes="app*4024*20170311*" /stext=" 22:.+((SYSTEM_STATE.+slice.+state.+changed )|(ment ac)|(multiple cpu faults)|(system.+state.+changed )|(\[timeout)|(PRM\|1\|D)|(kpr)|(kdp)|(\|lc)|(penalty))"</v>
      </c>
      <c r="AG182" s="1" t="str">
        <f t="shared" si="67"/>
        <v>NW</v>
      </c>
      <c r="AH182" s="86" t="str">
        <f t="shared" si="68"/>
        <v>"%USERPROFILE%\Documents\GitHub\eaglep3\Utilities\RefineRTDCRunTimes.py" --tripid 1819-11 --locoid 4024 --swversion DE.1.0.9.0 --startMP 204:983 --initTime 2017-03-11T15:13:07 --startdatetime 2017-03-11T15:14:39 --delay 1 --endMP 300:58943 --enddatetime 2017-03-11T15:34:42 --enforcementcount 0 &gt;&gt;C:\Users\stu\Documents\GitHub\eaglep3-reporting\EC\2017-03-11-refined-times.txt</v>
      </c>
      <c r="AI182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{"issue":{"subject":"","project_id":79,"tracker_id":40,"status_id":1,"priority_id":2,"assigned_to_id":23,"start_date":"2017-03-11","description":"","custom_fields":[{"id":1,"name":"Subdivision","value":"NW"},{"id":4,"name":"Milepost","value":"5.8943"},{"id":17,"name":"Train ID","value":"1819-11"},{"id":16,"name":"Locomotive ID","value":"4024"},{"id":130,"name":"Impact","value":""},{"id":150,"name":"Time of Event (Mountain Time)","value":"15:34:42"},{"id":151,"name":"Denver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70"/>
        <v>start /low /b %USERPROFILE%\Documents\GitHub\eaglep3\Utilities\DownloadLogsFromS3.py --loco 4024 --day 2017-03-11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"%USERPROFILE%\AppData\Local\Temp\OnboardLogs"\RTDC4024\*4024*20170311* | grep -SE "(Enforcement Action)|(\[TIMEOUT)|(CHR.+\|PRM\|1\|D.+(SWITCH|SIGNAL).+UNKNOWN)" - &gt;&gt; 2017-03-11-UncaughtWiMAX.txt</v>
      </c>
    </row>
    <row r="183" spans="1:91" s="20" customFormat="1" x14ac:dyDescent="0.25">
      <c r="A183" s="33" t="s">
        <v>602</v>
      </c>
      <c r="B183" s="7">
        <v>4023</v>
      </c>
      <c r="C183" s="21" t="s">
        <v>240</v>
      </c>
      <c r="D183" s="21" t="s">
        <v>908</v>
      </c>
      <c r="E183" s="13">
        <v>42805.65053240741</v>
      </c>
      <c r="F183" s="13">
        <v>42805.651608796295</v>
      </c>
      <c r="G183" s="7">
        <v>1</v>
      </c>
      <c r="H183" s="21" t="s">
        <v>505</v>
      </c>
      <c r="I183" s="13">
        <v>42805.664247685185</v>
      </c>
      <c r="J183" s="7">
        <v>0</v>
      </c>
      <c r="K183" s="98" t="str">
        <f t="shared" si="55"/>
        <v>4023/4024</v>
      </c>
      <c r="L183" s="21" t="str">
        <f>VLOOKUP(A183,'Trips&amp;Operators'!$C$1:$G$99999,5,FALSE)</f>
        <v>MCREYNOLDS KYLE</v>
      </c>
      <c r="M183" s="6">
        <f t="shared" si="56"/>
        <v>1.2638888889341615E-2</v>
      </c>
      <c r="N183" s="7">
        <f t="shared" si="75"/>
        <v>18.200000000651926</v>
      </c>
      <c r="O183" s="7"/>
      <c r="P183" s="7"/>
      <c r="Q183" s="22"/>
      <c r="R183" s="22"/>
      <c r="S183" s="31">
        <f t="shared" si="71"/>
        <v>1</v>
      </c>
      <c r="T183" s="46" t="str">
        <f t="shared" si="57"/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8"/>
        <v>https://d0f6bd738d7f1b3e5a7ca70fe4ff75f0.us-east-1.aws.found.io/app/kibana#/discover/Steve-Slow-Train-Analysis-(2080s-and-2083s)?_g=(refreshInterval:(display:Off,pause:!f,section:0,value:0),time:(from:'2017-03-11T14:36:46-0700',mode:absolute,to:'2017-03-11T16:56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3" s="187" t="str">
        <f t="shared" si="59"/>
        <v>N</v>
      </c>
      <c r="X183" s="187">
        <f t="shared" si="79"/>
        <v>1</v>
      </c>
      <c r="Y183" s="62">
        <f t="shared" si="76"/>
        <v>5.8624000000000001</v>
      </c>
      <c r="Z183" s="62">
        <f t="shared" si="77"/>
        <v>6.8500000000000005E-2</v>
      </c>
      <c r="AA183" s="62">
        <f t="shared" si="63"/>
        <v>5.7938999999999998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4"/>
        <v>1820-11</v>
      </c>
      <c r="AE183" s="85" t="str">
        <f t="shared" si="65"/>
        <v>aws s3 cp s3://rtdc.mdm.uploadarchive.raw/RTDC4023/ "%USERPROFILE%\AppData\Local\Temp\OnboardLogs"\RTDC4023\2017-03-11 --exclude "*" --recursive --include "*20170311*" &amp; "%USERPROFILE%\Documents\GitHub\mrs-test-scripts\Headless Mode &amp; Sideloading\WalkAndUnGZ.bat" "%USERPROFILE%\AppData\Local\Temp\OnboardLogs"\RTDC4023\2017-03-11 &amp; aws s3 cp s3://rtdc.mdm.uploadarchive.raw/RTDC4023/ "%USERPROFILE%\AppData\Local\Temp\OnboardLogs"\RTDC4023\2017-03-12 --exclude "*" --recursive --include "*20170312*" &amp; "%USERPROFILE%\Documents\GitHub\mrs-test-scripts\Headless Mode &amp; Sideloading\WalkAndUnGZ.bat" "%USERPROFILE%\AppData\Local\Temp\OnboardLogs"\RTDC4023\2017-03-12</v>
      </c>
      <c r="AF183" s="82" t="str">
        <f t="shared" si="66"/>
        <v>"C:\Program Files (x86)\AstroGrep\AstroGrep.exe" /e /r /s /spath="%USERPROFILE%\AppData\Local\Temp\OnboardLogs" /stypes="app*4023*20170311*" /stext=" 22:.+((SYSTEM_STATE.+slice.+state.+changed )|(ment ac)|(multiple cpu faults)|(system.+state.+changed )|(\[timeout)|(PRM\|1\|D)|(kpr)|(kdp)|(\|lc)|(penalty))"</v>
      </c>
      <c r="AG183" s="1" t="str">
        <f t="shared" si="67"/>
        <v>NW</v>
      </c>
      <c r="AH183" s="86" t="str">
        <f t="shared" si="68"/>
        <v>"%USERPROFILE%\Documents\GitHub\eaglep3\Utilities\RefineRTDCRunTimes.py" --tripid 1820-11 --locoid 4023 --swversion DE.1.0.9.0 --startMP 300:58624 --initTime 2017-03-11T15:36:46 --startdatetime 2017-03-11T15:38:19 --delay 1 --endMP 204:685 --enddatetime 2017-03-11T15:56:31 --enforcementcount 0 &gt;&gt;C:\Users\stu\Documents\GitHub\eaglep3-reporting\EC\2017-03-11-refined-times.txt</v>
      </c>
      <c r="AI183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{"issue":{"subject":"","project_id":79,"tracker_id":40,"status_id":1,"priority_id":2,"assigned_to_id":23,"start_date":"2017-03-11","description":"","custom_fields":[{"id":1,"name":"Subdivision","value":"NW"},{"id":4,"name":"Milepost","value":"0.0685"},{"id":17,"name":"Train ID","value":"1820-11"},{"id":16,"name":"Locomotive ID","value":"4023"},{"id":130,"name":"Impact","value":""},{"id":150,"name":"Time of Event (Mountain Time)","value":"15:56:31"},{"id":151,"name":"Denver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70"/>
        <v>start /low /b %USERPROFILE%\Documents\GitHub\eaglep3\Utilities\DownloadLogsFromS3.py --loco 4023 --day 2017-03-11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"%USERPROFILE%\AppData\Local\Temp\OnboardLogs"\RTDC4023\*4023*20170311* | grep -SE "(Enforcement Action)|(\[TIMEOUT)|(CHR.+\|PRM\|1\|D.+(SWITCH|SIGNAL).+UNKNOWN)" - &gt;&gt; 2017-03-11-UncaughtWiMAX.txt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759</v>
      </c>
      <c r="B184" s="7">
        <v>4024</v>
      </c>
      <c r="C184" s="21" t="s">
        <v>240</v>
      </c>
      <c r="D184" s="21" t="s">
        <v>573</v>
      </c>
      <c r="E184" s="13">
        <v>42805.673090277778</v>
      </c>
      <c r="F184" s="13">
        <v>42805.674178240741</v>
      </c>
      <c r="G184" s="7">
        <v>1</v>
      </c>
      <c r="H184" s="21" t="s">
        <v>909</v>
      </c>
      <c r="I184" s="13">
        <v>42805.690740740742</v>
      </c>
      <c r="J184" s="7">
        <v>0</v>
      </c>
      <c r="K184" s="98" t="str">
        <f t="shared" si="55"/>
        <v>4023/4024</v>
      </c>
      <c r="L184" s="21" t="str">
        <f>VLOOKUP(A184,'Trips&amp;Operators'!$C$1:$G$99999,5,FALSE)</f>
        <v>MCREYNOLDS KYLE</v>
      </c>
      <c r="M184" s="6">
        <f t="shared" si="56"/>
        <v>1.6562500000873115E-2</v>
      </c>
      <c r="N184" s="7">
        <f t="shared" si="75"/>
        <v>23.850000001257285</v>
      </c>
      <c r="O184" s="7"/>
      <c r="P184" s="7"/>
      <c r="Q184" s="22"/>
      <c r="R184" s="22"/>
      <c r="S184" s="31">
        <f t="shared" si="71"/>
        <v>1</v>
      </c>
      <c r="T184" s="46" t="str">
        <f t="shared" si="57"/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8"/>
        <v>https://d0f6bd738d7f1b3e5a7ca70fe4ff75f0.us-east-1.aws.found.io/app/kibana#/discover/Steve-Slow-Train-Analysis-(2080s-and-2083s)?_g=(refreshInterval:(display:Off,pause:!f,section:0,value:0),time:(from:'2017-03-11T15:09:15-0700',mode:absolute,to:'2017-03-11T17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4" s="187" t="str">
        <f t="shared" si="59"/>
        <v>N</v>
      </c>
      <c r="X184" s="187">
        <f t="shared" si="79"/>
        <v>1</v>
      </c>
      <c r="Y184" s="62">
        <f t="shared" si="76"/>
        <v>9.9699999999999997E-2</v>
      </c>
      <c r="Z184" s="62">
        <f t="shared" si="77"/>
        <v>5.8936999999999999</v>
      </c>
      <c r="AA184" s="62">
        <f t="shared" si="63"/>
        <v>5.7939999999999996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4"/>
        <v>1821-11</v>
      </c>
      <c r="AE184" s="85" t="str">
        <f t="shared" si="65"/>
        <v>aws s3 cp s3://rtdc.mdm.uploadarchive.raw/RTDC4024/ "%USERPROFILE%\AppData\Local\Temp\OnboardLogs"\RTDC4024\2017-03-11 --exclude "*" --recursive --include "*20170311*" &amp; "%USERPROFILE%\Documents\GitHub\mrs-test-scripts\Headless Mode &amp; Sideloading\WalkAndUnGZ.bat" "%USERPROFILE%\AppData\Local\Temp\OnboardLogs"\RTDC4024\2017-03-11 &amp; aws s3 cp s3://rtdc.mdm.uploadarchive.raw/RTDC4024/ "%USERPROFILE%\AppData\Local\Temp\OnboardLogs"\RTDC4024\2017-03-12 --exclude "*" --recursive --include "*20170312*" &amp; "%USERPROFILE%\Documents\GitHub\mrs-test-scripts\Headless Mode &amp; Sideloading\WalkAndUnGZ.bat" "%USERPROFILE%\AppData\Local\Temp\OnboardLogs"\RTDC4024\2017-03-12</v>
      </c>
      <c r="AF184" s="82" t="str">
        <f t="shared" si="66"/>
        <v>"C:\Program Files (x86)\AstroGrep\AstroGrep.exe" /e /r /s /spath="%USERPROFILE%\AppData\Local\Temp\OnboardLogs" /stypes="app*4024*20170311*" /stext=" 23:.+((SYSTEM_STATE.+slice.+state.+changed )|(ment ac)|(multiple cpu faults)|(system.+state.+changed )|(\[timeout)|(PRM\|1\|D)|(kpr)|(kdp)|(\|lc)|(penalty))"</v>
      </c>
      <c r="AG184" s="1" t="str">
        <f t="shared" si="67"/>
        <v>NW</v>
      </c>
      <c r="AH184" s="86" t="str">
        <f t="shared" si="68"/>
        <v>"%USERPROFILE%\Documents\GitHub\eaglep3\Utilities\RefineRTDCRunTimes.py" --tripid 1821-11 --locoid 4024 --swversion DE.1.0.9.0 --startMP 204:997 --initTime 2017-03-11T16:09:15 --startdatetime 2017-03-11T16:10:49 --delay 1 --endMP 300:58937 --enddatetime 2017-03-11T16:34:40 --enforcementcount 0 &gt;&gt;C:\Users\stu\Documents\GitHub\eaglep3-reporting\EC\2017-03-11-refined-times.txt</v>
      </c>
      <c r="AI184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{"issue":{"subject":"","project_id":79,"tracker_id":40,"status_id":1,"priority_id":2,"assigned_to_id":23,"start_date":"2017-03-11","description":"","custom_fields":[{"id":1,"name":"Subdivision","value":"NW"},{"id":4,"name":"Milepost","value":"5.8937"},{"id":17,"name":"Train ID","value":"1821-11"},{"id":16,"name":"Locomotive ID","value":"4024"},{"id":130,"name":"Impact","value":""},{"id":150,"name":"Time of Event (Mountain Time)","value":"16:34:40"},{"id":151,"name":"Denver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70"/>
        <v>start /low /b %USERPROFILE%\Documents\GitHub\eaglep3\Utilities\DownloadLogsFromS3.py --loco 4024 --day 2017-03-11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"%USERPROFILE%\AppData\Local\Temp\OnboardLogs"\RTDC4024\*4024*20170311* | grep -SE "(Enforcement Action)|(\[TIMEOUT)|(CHR.+\|PRM\|1\|D.+(SWITCH|SIGNAL).+UNKNOWN)" - &gt;&gt; 2017-03-11-UncaughtWiMAX.txt</v>
      </c>
    </row>
    <row r="185" spans="1:91" s="20" customFormat="1" x14ac:dyDescent="0.25">
      <c r="A185" s="33" t="s">
        <v>605</v>
      </c>
      <c r="B185" s="7">
        <v>4023</v>
      </c>
      <c r="C185" s="21" t="s">
        <v>240</v>
      </c>
      <c r="D185" s="21" t="s">
        <v>910</v>
      </c>
      <c r="E185" s="13">
        <v>42805.692418981482</v>
      </c>
      <c r="F185" s="13">
        <v>42805.693344907406</v>
      </c>
      <c r="G185" s="7">
        <v>1</v>
      </c>
      <c r="H185" s="21" t="s">
        <v>911</v>
      </c>
      <c r="I185" s="13">
        <v>42805.70521990741</v>
      </c>
      <c r="J185" s="7">
        <v>0</v>
      </c>
      <c r="K185" s="98" t="str">
        <f t="shared" si="55"/>
        <v>4023/4024</v>
      </c>
      <c r="L185" s="21" t="str">
        <f>VLOOKUP(A185,'Trips&amp;Operators'!$C$1:$G$99999,5,FALSE)</f>
        <v>MCREYNOLDS KYLE</v>
      </c>
      <c r="M185" s="6">
        <f t="shared" si="56"/>
        <v>1.1875000003783498E-2</v>
      </c>
      <c r="N185" s="7">
        <f t="shared" si="75"/>
        <v>17.100000005448237</v>
      </c>
      <c r="O185" s="7"/>
      <c r="P185" s="7"/>
      <c r="Q185" s="22"/>
      <c r="R185" s="22"/>
      <c r="S185" s="31">
        <f t="shared" si="71"/>
        <v>1</v>
      </c>
      <c r="T185" s="46" t="str">
        <f t="shared" si="57"/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8"/>
        <v>https://d0f6bd738d7f1b3e5a7ca70fe4ff75f0.us-east-1.aws.found.io/app/kibana#/discover/Steve-Slow-Train-Analysis-(2080s-and-2083s)?_g=(refreshInterval:(display:Off,pause:!f,section:0,value:0),time:(from:'2017-03-11T15:37:05-0700',mode:absolute,to:'2017-03-11T17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5" s="187" t="str">
        <f t="shared" si="59"/>
        <v>N</v>
      </c>
      <c r="X185" s="187">
        <f t="shared" si="79"/>
        <v>1</v>
      </c>
      <c r="Y185" s="62">
        <f t="shared" si="76"/>
        <v>5.8619000000000003</v>
      </c>
      <c r="Z185" s="62">
        <f t="shared" si="77"/>
        <v>9.2499999999999999E-2</v>
      </c>
      <c r="AA185" s="62">
        <f t="shared" si="63"/>
        <v>5.7694000000000001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4"/>
        <v>1822-11</v>
      </c>
      <c r="AE185" s="85" t="str">
        <f t="shared" si="65"/>
        <v>aws s3 cp s3://rtdc.mdm.uploadarchive.raw/RTDC4023/ "%USERPROFILE%\AppData\Local\Temp\OnboardLogs"\RTDC4023\2017-03-11 --exclude "*" --recursive --include "*20170311*" &amp; "%USERPROFILE%\Documents\GitHub\mrs-test-scripts\Headless Mode &amp; Sideloading\WalkAndUnGZ.bat" "%USERPROFILE%\AppData\Local\Temp\OnboardLogs"\RTDC4023\2017-03-11 &amp; aws s3 cp s3://rtdc.mdm.uploadarchive.raw/RTDC4023/ "%USERPROFILE%\AppData\Local\Temp\OnboardLogs"\RTDC4023\2017-03-12 --exclude "*" --recursive --include "*20170312*" &amp; "%USERPROFILE%\Documents\GitHub\mrs-test-scripts\Headless Mode &amp; Sideloading\WalkAndUnGZ.bat" "%USERPROFILE%\AppData\Local\Temp\OnboardLogs"\RTDC4023\2017-03-12</v>
      </c>
      <c r="AF185" s="82" t="str">
        <f t="shared" si="66"/>
        <v>"C:\Program Files (x86)\AstroGrep\AstroGrep.exe" /e /r /s /spath="%USERPROFILE%\AppData\Local\Temp\OnboardLogs" /stypes="app*4023*20170311*" /stext=" 23:.+((SYSTEM_STATE.+slice.+state.+changed )|(ment ac)|(multiple cpu faults)|(system.+state.+changed )|(\[timeout)|(PRM\|1\|D)|(kpr)|(kdp)|(\|lc)|(penalty))"</v>
      </c>
      <c r="AG185" s="1" t="str">
        <f t="shared" si="67"/>
        <v>NW</v>
      </c>
      <c r="AH185" s="86" t="str">
        <f t="shared" si="68"/>
        <v>"%USERPROFILE%\Documents\GitHub\eaglep3\Utilities\RefineRTDCRunTimes.py" --tripid 1822-11 --locoid 4023 --swversion DE.1.0.9.0 --startMP 300:58619 --initTime 2017-03-11T16:37:05 --startdatetime 2017-03-11T16:38:25 --delay 1 --endMP 204:925 --enddatetime 2017-03-11T16:55:31 --enforcementcount 0 &gt;&gt;C:\Users\stu\Documents\GitHub\eaglep3-reporting\EC\2017-03-11-refined-times.txt</v>
      </c>
      <c r="AI185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{"issue":{"subject":"","project_id":79,"tracker_id":40,"status_id":1,"priority_id":2,"assigned_to_id":23,"start_date":"2017-03-11","description":"","custom_fields":[{"id":1,"name":"Subdivision","value":"NW"},{"id":4,"name":"Milepost","value":"0.0925"},{"id":17,"name":"Train ID","value":"1822-11"},{"id":16,"name":"Locomotive ID","value":"4023"},{"id":130,"name":"Impact","value":""},{"id":150,"name":"Time of Event (Mountain Time)","value":"16:55:31"},{"id":151,"name":"Denver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70"/>
        <v>start /low /b %USERPROFILE%\Documents\GitHub\eaglep3\Utilities\DownloadLogsFromS3.py --loco 4023 --day 2017-03-11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"%USERPROFILE%\AppData\Local\Temp\OnboardLogs"\RTDC4023\*4023*20170311* | grep -SE "(Enforcement Action)|(\[TIMEOUT)|(CHR.+\|PRM\|1\|D.+(SWITCH|SIGNAL).+UNKNOWN)" - &gt;&gt; 2017-03-11-UncaughtWiMAX.txt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766</v>
      </c>
      <c r="B186" s="7">
        <v>4024</v>
      </c>
      <c r="C186" s="21" t="s">
        <v>240</v>
      </c>
      <c r="D186" s="21" t="s">
        <v>912</v>
      </c>
      <c r="E186" s="13">
        <v>42805.720324074071</v>
      </c>
      <c r="F186" s="13">
        <v>42805.721192129633</v>
      </c>
      <c r="G186" s="7">
        <v>1</v>
      </c>
      <c r="H186" s="21" t="s">
        <v>913</v>
      </c>
      <c r="I186" s="13">
        <v>42805.733796296299</v>
      </c>
      <c r="J186" s="7">
        <v>0</v>
      </c>
      <c r="K186" s="98" t="str">
        <f t="shared" si="55"/>
        <v>4023/4024</v>
      </c>
      <c r="L186" s="21" t="str">
        <f>VLOOKUP(A186,'Trips&amp;Operators'!$C$1:$G$99999,5,FALSE)</f>
        <v>MCREYNOLDS KYLE</v>
      </c>
      <c r="M186" s="6">
        <f t="shared" si="56"/>
        <v>1.2604166666278616E-2</v>
      </c>
      <c r="N186" s="7">
        <f t="shared" si="75"/>
        <v>18.149999999441206</v>
      </c>
      <c r="O186" s="7"/>
      <c r="P186" s="7"/>
      <c r="Q186" s="22"/>
      <c r="R186" s="22"/>
      <c r="S186" s="31">
        <f t="shared" si="71"/>
        <v>1</v>
      </c>
      <c r="T186" s="46" t="str">
        <f t="shared" si="57"/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8"/>
        <v>https://d0f6bd738d7f1b3e5a7ca70fe4ff75f0.us-east-1.aws.found.io/app/kibana#/discover/Steve-Slow-Train-Analysis-(2080s-and-2083s)?_g=(refreshInterval:(display:Off,pause:!f,section:0,value:0),time:(from:'2017-03-11T16:17:16-0700',mode:absolute,to:'2017-03-11T18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6" s="187" t="str">
        <f t="shared" si="59"/>
        <v>N</v>
      </c>
      <c r="X186" s="187">
        <f t="shared" si="79"/>
        <v>1</v>
      </c>
      <c r="Y186" s="62">
        <f t="shared" si="76"/>
        <v>0.12189999999999999</v>
      </c>
      <c r="Z186" s="62">
        <f t="shared" si="77"/>
        <v>5.8948</v>
      </c>
      <c r="AA186" s="62">
        <f t="shared" si="63"/>
        <v>5.7728999999999999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4"/>
        <v>1823-11</v>
      </c>
      <c r="AE186" s="85" t="str">
        <f t="shared" si="65"/>
        <v>aws s3 cp s3://rtdc.mdm.uploadarchive.raw/RTDC4024/ "%USERPROFILE%\AppData\Local\Temp\OnboardLogs"\RTDC4024\2017-03-11 --exclude "*" --recursive --include "*20170311*" &amp; "%USERPROFILE%\Documents\GitHub\mrs-test-scripts\Headless Mode &amp; Sideloading\WalkAndUnGZ.bat" "%USERPROFILE%\AppData\Local\Temp\OnboardLogs"\RTDC4024\2017-03-11 &amp; aws s3 cp s3://rtdc.mdm.uploadarchive.raw/RTDC4024/ "%USERPROFILE%\AppData\Local\Temp\OnboardLogs"\RTDC4024\2017-03-12 --exclude "*" --recursive --include "*20170312*" &amp; "%USERPROFILE%\Documents\GitHub\mrs-test-scripts\Headless Mode &amp; Sideloading\WalkAndUnGZ.bat" "%USERPROFILE%\AppData\Local\Temp\OnboardLogs"\RTDC4024\2017-03-12</v>
      </c>
      <c r="AF186" s="82" t="str">
        <f t="shared" si="66"/>
        <v>"C:\Program Files (x86)\AstroGrep\AstroGrep.exe" /e /r /s /spath="%USERPROFILE%\AppData\Local\Temp\OnboardLogs" /stypes="app*4024*20170312*" /stext=" 00:.+((SYSTEM_STATE.+slice.+state.+changed )|(ment ac)|(multiple cpu faults)|(system.+state.+changed )|(\[timeout)|(PRM\|1\|D)|(kpr)|(kdp)|(\|lc)|(penalty))"</v>
      </c>
      <c r="AG186" s="1" t="str">
        <f t="shared" si="67"/>
        <v>NW</v>
      </c>
      <c r="AH186" s="86" t="str">
        <f t="shared" si="68"/>
        <v>"%USERPROFILE%\Documents\GitHub\eaglep3\Utilities\RefineRTDCRunTimes.py" --tripid 1823-11 --locoid 4024 --swversion DE.1.0.9.0 --startMP 204:1219 --initTime 2017-03-11T17:17:16 --startdatetime 2017-03-11T17:18:31 --delay 1 --endMP 300:58948 --enddatetime 2017-03-11T17:36:40 --enforcementcount 0 &gt;&gt;C:\Users\stu\Documents\GitHub\eaglep3-reporting\EC\2017-03-11-refined-times.txt</v>
      </c>
      <c r="AI186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{"issue":{"subject":"","project_id":79,"tracker_id":40,"status_id":1,"priority_id":2,"assigned_to_id":23,"start_date":"2017-03-11","description":"","custom_fields":[{"id":1,"name":"Subdivision","value":"NW"},{"id":4,"name":"Milepost","value":"5.8948"},{"id":17,"name":"Train ID","value":"1823-11"},{"id":16,"name":"Locomotive ID","value":"4024"},{"id":130,"name":"Impact","value":""},{"id":150,"name":"Time of Event (Mountain Time)","value":"17:36:40"},{"id":151,"name":"Denver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70"/>
        <v>start /low /b %USERPROFILE%\Documents\GitHub\eaglep3\Utilities\DownloadLogsFromS3.py --loco 4024 --day 2017-03-11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"%USERPROFILE%\AppData\Local\Temp\OnboardLogs"\RTDC4024\*4024*20170312* | grep -SE "(Enforcement Action)|(\[TIMEOUT)|(CHR.+\|PRM\|1\|D.+(SWITCH|SIGNAL).+UNKNOWN)" - &gt;&gt; 2017-03-11-UncaughtWiMAX.txt</v>
      </c>
    </row>
    <row r="187" spans="1:91" x14ac:dyDescent="0.25">
      <c r="A187" s="33" t="s">
        <v>771</v>
      </c>
      <c r="B187" s="7">
        <v>4023</v>
      </c>
      <c r="C187" s="21" t="s">
        <v>240</v>
      </c>
      <c r="D187" s="21" t="s">
        <v>910</v>
      </c>
      <c r="E187" s="13">
        <v>42805.735613425924</v>
      </c>
      <c r="F187" s="13">
        <v>42805.736828703702</v>
      </c>
      <c r="G187" s="7">
        <v>1</v>
      </c>
      <c r="H187" s="21" t="s">
        <v>914</v>
      </c>
      <c r="I187" s="13">
        <v>42805.748599537037</v>
      </c>
      <c r="J187" s="7">
        <v>0</v>
      </c>
      <c r="K187" s="98" t="str">
        <f t="shared" si="55"/>
        <v>4023/4024</v>
      </c>
      <c r="L187" s="21" t="str">
        <f>VLOOKUP(A187,'Trips&amp;Operators'!$C$1:$G$99999,5,FALSE)</f>
        <v>MCREYNOLDS KYLE</v>
      </c>
      <c r="M187" s="6">
        <f t="shared" si="56"/>
        <v>1.1770833334594499E-2</v>
      </c>
      <c r="N187" s="7">
        <f t="shared" si="75"/>
        <v>16.950000001816079</v>
      </c>
      <c r="O187" s="7"/>
      <c r="P187" s="7"/>
      <c r="Q187" s="22"/>
      <c r="R187" s="22"/>
      <c r="S187" s="31">
        <f t="shared" si="71"/>
        <v>1</v>
      </c>
      <c r="T187" s="46" t="str">
        <f t="shared" si="57"/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58"/>
        <v>https://d0f6bd738d7f1b3e5a7ca70fe4ff75f0.us-east-1.aws.found.io/app/kibana#/discover/Steve-Slow-Train-Analysis-(2080s-and-2083s)?_g=(refreshInterval:(display:Off,pause:!f,section:0,value:0),time:(from:'2017-03-11T16:39:17-0700',mode:absolute,to:'2017-03-11T18:57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7" s="187" t="str">
        <f t="shared" si="59"/>
        <v>N</v>
      </c>
      <c r="X187" s="187">
        <f t="shared" si="79"/>
        <v>1</v>
      </c>
      <c r="Y187" s="62">
        <f t="shared" si="76"/>
        <v>5.8619000000000003</v>
      </c>
      <c r="Z187" s="62">
        <f t="shared" si="77"/>
        <v>6.8900000000000003E-2</v>
      </c>
      <c r="AA187" s="62">
        <f t="shared" si="63"/>
        <v>5.7930000000000001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4"/>
        <v>1824-11</v>
      </c>
      <c r="AE187" s="85" t="str">
        <f t="shared" si="65"/>
        <v>aws s3 cp s3://rtdc.mdm.uploadarchive.raw/RTDC4023/ "%USERPROFILE%\AppData\Local\Temp\OnboardLogs"\RTDC4023\2017-03-11 --exclude "*" --recursive --include "*20170311*" &amp; "%USERPROFILE%\Documents\GitHub\mrs-test-scripts\Headless Mode &amp; Sideloading\WalkAndUnGZ.bat" "%USERPROFILE%\AppData\Local\Temp\OnboardLogs"\RTDC4023\2017-03-11 &amp; aws s3 cp s3://rtdc.mdm.uploadarchive.raw/RTDC4023/ "%USERPROFILE%\AppData\Local\Temp\OnboardLogs"\RTDC4023\2017-03-12 --exclude "*" --recursive --include "*20170312*" &amp; "%USERPROFILE%\Documents\GitHub\mrs-test-scripts\Headless Mode &amp; Sideloading\WalkAndUnGZ.bat" "%USERPROFILE%\AppData\Local\Temp\OnboardLogs"\RTDC4023\2017-03-12</v>
      </c>
      <c r="AF187" s="82" t="str">
        <f t="shared" si="66"/>
        <v>"C:\Program Files (x86)\AstroGrep\AstroGrep.exe" /e /r /s /spath="%USERPROFILE%\AppData\Local\Temp\OnboardLogs" /stypes="app*4023*20170312*" /stext=" 00:.+((SYSTEM_STATE.+slice.+state.+changed )|(ment ac)|(multiple cpu faults)|(system.+state.+changed )|(\[timeout)|(PRM\|1\|D)|(kpr)|(kdp)|(\|lc)|(penalty))"</v>
      </c>
      <c r="AG187" s="1" t="str">
        <f t="shared" si="67"/>
        <v>NW</v>
      </c>
      <c r="AH187" s="86" t="str">
        <f t="shared" si="68"/>
        <v>"%USERPROFILE%\Documents\GitHub\eaglep3\Utilities\RefineRTDCRunTimes.py" --tripid 1824-11 --locoid 4023 --swversion DE.1.0.9.0 --startMP 300:58619 --initTime 2017-03-11T17:39:17 --startdatetime 2017-03-11T17:41:02 --delay 1 --endMP 204:689 --enddatetime 2017-03-11T17:57:59 --enforcementcount 0 &gt;&gt;C:\Users\stu\Documents\GitHub\eaglep3-reporting\EC\2017-03-11-refined-times.txt</v>
      </c>
      <c r="AI187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{"issue":{"subject":"","project_id":79,"tracker_id":40,"status_id":1,"priority_id":2,"assigned_to_id":23,"start_date":"2017-03-11","description":"","custom_fields":[{"id":1,"name":"Subdivision","value":"NW"},{"id":4,"name":"Milepost","value":"0.0689"},{"id":17,"name":"Train ID","value":"1824-11"},{"id":16,"name":"Locomotive ID","value":"4023"},{"id":130,"name":"Impact","value":""},{"id":150,"name":"Time of Event (Mountain Time)","value":"17:57:59"},{"id":151,"name":"Denver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70"/>
        <v>start /low /b %USERPROFILE%\Documents\GitHub\eaglep3\Utilities\DownloadLogsFromS3.py --loco 4023 --day 2017-03-11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"%USERPROFILE%\AppData\Local\Temp\OnboardLogs"\RTDC4023\*4023*20170312* | grep -SE "(Enforcement Action)|(\[TIMEOUT)|(CHR.+\|PRM\|1\|D.+(SWITCH|SIGNAL).+UNKNOWN)" - &gt;&gt; 2017-03-11-UncaughtWiMAX.txt</v>
      </c>
    </row>
    <row r="188" spans="1:91" x14ac:dyDescent="0.25">
      <c r="A188" s="33" t="s">
        <v>778</v>
      </c>
      <c r="B188" s="7">
        <v>4024</v>
      </c>
      <c r="C188" s="21" t="s">
        <v>240</v>
      </c>
      <c r="D188" s="21" t="s">
        <v>507</v>
      </c>
      <c r="E188" s="13">
        <v>42805.756805555553</v>
      </c>
      <c r="F188" s="13">
        <v>42805.757604166669</v>
      </c>
      <c r="G188" s="7">
        <v>1</v>
      </c>
      <c r="H188" s="21" t="s">
        <v>915</v>
      </c>
      <c r="I188" s="13">
        <v>42805.774143518516</v>
      </c>
      <c r="J188" s="7">
        <v>0</v>
      </c>
      <c r="K188" s="98" t="str">
        <f t="shared" si="55"/>
        <v>4023/4024</v>
      </c>
      <c r="L188" s="21" t="str">
        <f>VLOOKUP(A188,'Trips&amp;Operators'!$C$1:$G$99999,5,FALSE)</f>
        <v>MCREYNOLDS KYLE</v>
      </c>
      <c r="M188" s="6">
        <f t="shared" si="56"/>
        <v>1.653935184731381E-2</v>
      </c>
      <c r="N188" s="7">
        <f t="shared" si="75"/>
        <v>23.816666660131887</v>
      </c>
      <c r="O188" s="7"/>
      <c r="P188" s="7"/>
      <c r="Q188" s="22"/>
      <c r="R188" s="22"/>
      <c r="S188" s="31">
        <f t="shared" si="71"/>
        <v>1</v>
      </c>
      <c r="T188" s="46" t="str">
        <f t="shared" si="57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8"/>
        <v>https://d0f6bd738d7f1b3e5a7ca70fe4ff75f0.us-east-1.aws.found.io/app/kibana#/discover/Steve-Slow-Train-Analysis-(2080s-and-2083s)?_g=(refreshInterval:(display:Off,pause:!f,section:0,value:0),time:(from:'2017-03-11T17:09:48-0700',mode:absolute,to:'2017-03-11T19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8" s="187" t="str">
        <f t="shared" si="59"/>
        <v>N</v>
      </c>
      <c r="X188" s="187">
        <f t="shared" si="79"/>
        <v>1</v>
      </c>
      <c r="Y188" s="62">
        <f t="shared" si="76"/>
        <v>9.7100000000000006E-2</v>
      </c>
      <c r="Z188" s="62">
        <f t="shared" si="77"/>
        <v>5.8930999999999996</v>
      </c>
      <c r="AA188" s="62">
        <f t="shared" si="63"/>
        <v>5.7959999999999994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4"/>
        <v>1825-11</v>
      </c>
      <c r="AE188" s="85" t="str">
        <f t="shared" si="65"/>
        <v>aws s3 cp s3://rtdc.mdm.uploadarchive.raw/RTDC4024/ "%USERPROFILE%\AppData\Local\Temp\OnboardLogs"\RTDC4024\2017-03-11 --exclude "*" --recursive --include "*20170311*" &amp; "%USERPROFILE%\Documents\GitHub\mrs-test-scripts\Headless Mode &amp; Sideloading\WalkAndUnGZ.bat" "%USERPROFILE%\AppData\Local\Temp\OnboardLogs"\RTDC4024\2017-03-11 &amp; aws s3 cp s3://rtdc.mdm.uploadarchive.raw/RTDC4024/ "%USERPROFILE%\AppData\Local\Temp\OnboardLogs"\RTDC4024\2017-03-12 --exclude "*" --recursive --include "*20170312*" &amp; "%USERPROFILE%\Documents\GitHub\mrs-test-scripts\Headless Mode &amp; Sideloading\WalkAndUnGZ.bat" "%USERPROFILE%\AppData\Local\Temp\OnboardLogs"\RTDC4024\2017-03-12</v>
      </c>
      <c r="AF188" s="82" t="str">
        <f t="shared" si="66"/>
        <v>"C:\Program Files (x86)\AstroGrep\AstroGrep.exe" /e /r /s /spath="%USERPROFILE%\AppData\Local\Temp\OnboardLogs" /stypes="app*4024*20170312*" /stext=" 01:.+((SYSTEM_STATE.+slice.+state.+changed )|(ment ac)|(multiple cpu faults)|(system.+state.+changed )|(\[timeout)|(PRM\|1\|D)|(kpr)|(kdp)|(\|lc)|(penalty))"</v>
      </c>
      <c r="AG188" s="1" t="str">
        <f t="shared" si="67"/>
        <v>NW</v>
      </c>
      <c r="AH188" s="86" t="str">
        <f t="shared" si="68"/>
        <v>"%USERPROFILE%\Documents\GitHub\eaglep3\Utilities\RefineRTDCRunTimes.py" --tripid 1825-11 --locoid 4024 --swversion DE.1.0.9.0 --startMP 204:971 --initTime 2017-03-11T18:09:48 --startdatetime 2017-03-11T18:10:57 --delay 1 --endMP 300:58931 --enddatetime 2017-03-11T18:34:46 --enforcementcount 0 &gt;&gt;C:\Users\stu\Documents\GitHub\eaglep3-reporting\EC\2017-03-11-refined-times.txt</v>
      </c>
      <c r="AI188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{"issue":{"subject":"","project_id":79,"tracker_id":40,"status_id":1,"priority_id":2,"assigned_to_id":23,"start_date":"2017-03-11","description":"","custom_fields":[{"id":1,"name":"Subdivision","value":"NW"},{"id":4,"name":"Milepost","value":"5.8931"},{"id":17,"name":"Train ID","value":"1825-11"},{"id":16,"name":"Locomotive ID","value":"4024"},{"id":130,"name":"Impact","value":""},{"id":150,"name":"Time of Event (Mountain Time)","value":"18:34:46"},{"id":151,"name":"Denver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70"/>
        <v>start /low /b %USERPROFILE%\Documents\GitHub\eaglep3\Utilities\DownloadLogsFromS3.py --loco 4024 --day 2017-03-11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"%USERPROFILE%\AppData\Local\Temp\OnboardLogs"\RTDC4024\*4024*20170312* | grep -SE "(Enforcement Action)|(\[TIMEOUT)|(CHR.+\|PRM\|1\|D.+(SWITCH|SIGNAL).+UNKNOWN)" - &gt;&gt; 2017-03-11-UncaughtWiMAX.txt</v>
      </c>
    </row>
    <row r="189" spans="1:91" x14ac:dyDescent="0.25">
      <c r="A189" s="33" t="s">
        <v>783</v>
      </c>
      <c r="B189" s="7">
        <v>4023</v>
      </c>
      <c r="C189" s="21" t="s">
        <v>240</v>
      </c>
      <c r="D189" s="21" t="s">
        <v>916</v>
      </c>
      <c r="E189" s="13">
        <v>42805.77579861111</v>
      </c>
      <c r="F189" s="13">
        <v>42805.77783564815</v>
      </c>
      <c r="G189" s="7">
        <v>2</v>
      </c>
      <c r="H189" s="21" t="s">
        <v>917</v>
      </c>
      <c r="I189" s="13">
        <v>42805.789166666669</v>
      </c>
      <c r="J189" s="7">
        <v>0</v>
      </c>
      <c r="K189" s="98" t="str">
        <f t="shared" si="55"/>
        <v>4023/4024</v>
      </c>
      <c r="L189" s="21" t="str">
        <f>VLOOKUP(A189,'Trips&amp;Operators'!$C$1:$G$99999,5,FALSE)</f>
        <v>MCREYNOLDS KYLE</v>
      </c>
      <c r="M189" s="6">
        <f t="shared" si="56"/>
        <v>1.1331018518831115E-2</v>
      </c>
      <c r="N189" s="7">
        <f t="shared" si="75"/>
        <v>16.316666667116806</v>
      </c>
      <c r="O189" s="7"/>
      <c r="P189" s="7"/>
      <c r="Q189" s="22"/>
      <c r="R189" s="22"/>
      <c r="S189" s="31">
        <f t="shared" si="71"/>
        <v>1</v>
      </c>
      <c r="T189" s="46" t="str">
        <f t="shared" si="57"/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8"/>
        <v>https://d0f6bd738d7f1b3e5a7ca70fe4ff75f0.us-east-1.aws.found.io/app/kibana#/discover/Steve-Slow-Train-Analysis-(2080s-and-2083s)?_g=(refreshInterval:(display:Off,pause:!f,section:0,value:0),time:(from:'2017-03-11T17:37:09-0700',mode:absolute,to:'2017-03-11T19:56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9" s="187" t="str">
        <f t="shared" si="59"/>
        <v>N</v>
      </c>
      <c r="X189" s="187">
        <f t="shared" si="79"/>
        <v>1</v>
      </c>
      <c r="Y189" s="62">
        <f t="shared" si="76"/>
        <v>5.7344999999999997</v>
      </c>
      <c r="Z189" s="62">
        <f t="shared" si="77"/>
        <v>7.0999999999999994E-2</v>
      </c>
      <c r="AA189" s="62">
        <f t="shared" si="63"/>
        <v>5.6635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4"/>
        <v>1826-11</v>
      </c>
      <c r="AE189" s="85" t="str">
        <f t="shared" si="65"/>
        <v>aws s3 cp s3://rtdc.mdm.uploadarchive.raw/RTDC4023/ "%USERPROFILE%\AppData\Local\Temp\OnboardLogs"\RTDC4023\2017-03-11 --exclude "*" --recursive --include "*20170311*" &amp; "%USERPROFILE%\Documents\GitHub\mrs-test-scripts\Headless Mode &amp; Sideloading\WalkAndUnGZ.bat" "%USERPROFILE%\AppData\Local\Temp\OnboardLogs"\RTDC4023\2017-03-11 &amp; aws s3 cp s3://rtdc.mdm.uploadarchive.raw/RTDC4023/ "%USERPROFILE%\AppData\Local\Temp\OnboardLogs"\RTDC4023\2017-03-12 --exclude "*" --recursive --include "*20170312*" &amp; "%USERPROFILE%\Documents\GitHub\mrs-test-scripts\Headless Mode &amp; Sideloading\WalkAndUnGZ.bat" "%USERPROFILE%\AppData\Local\Temp\OnboardLogs"\RTDC4023\2017-03-12</v>
      </c>
      <c r="AF189" s="82" t="str">
        <f t="shared" si="66"/>
        <v>"C:\Program Files (x86)\AstroGrep\AstroGrep.exe" /e /r /s /spath="%USERPROFILE%\AppData\Local\Temp\OnboardLogs" /stypes="app*4023*20170312*" /stext=" 01:.+((SYSTEM_STATE.+slice.+state.+changed )|(ment ac)|(multiple cpu faults)|(system.+state.+changed )|(\[timeout)|(PRM\|1\|D)|(kpr)|(kdp)|(\|lc)|(penalty))"</v>
      </c>
      <c r="AG189" s="1" t="str">
        <f t="shared" si="67"/>
        <v>NW</v>
      </c>
      <c r="AH189" s="86" t="str">
        <f t="shared" si="68"/>
        <v>"%USERPROFILE%\Documents\GitHub\eaglep3\Utilities\RefineRTDCRunTimes.py" --tripid 1826-11 --locoid 4023 --swversion DE.1.0.9.0 --startMP 300:57345 --initTime 2017-03-11T18:37:09 --startdatetime 2017-03-11T18:40:05 --delay 2 --endMP 204:710 --enddatetime 2017-03-11T18:56:24 --enforcementcount 0 &gt;&gt;C:\Users\stu\Documents\GitHub\eaglep3-reporting\EC\2017-03-11-refined-times.txt</v>
      </c>
      <c r="AI189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{"issue":{"subject":"","project_id":79,"tracker_id":40,"status_id":1,"priority_id":2,"assigned_to_id":23,"start_date":"2017-03-11","description":"","custom_fields":[{"id":1,"name":"Subdivision","value":"NW"},{"id":4,"name":"Milepost","value":"0.071"},{"id":17,"name":"Train ID","value":"1826-11"},{"id":16,"name":"Locomotive ID","value":"4023"},{"id":130,"name":"Impact","value":""},{"id":150,"name":"Time of Event (Mountain Time)","value":"18:56:24"},{"id":151,"name":"Denver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70"/>
        <v>start /low /b %USERPROFILE%\Documents\GitHub\eaglep3\Utilities\DownloadLogsFromS3.py --loco 4023 --day 2017-03-11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"%USERPROFILE%\AppData\Local\Temp\OnboardLogs"\RTDC4023\*4023*20170312* | grep -SE "(Enforcement Action)|(\[TIMEOUT)|(CHR.+\|PRM\|1\|D.+(SWITCH|SIGNAL).+UNKNOWN)" - &gt;&gt; 2017-03-11-UncaughtWiMAX.txt</v>
      </c>
    </row>
    <row r="190" spans="1:91" x14ac:dyDescent="0.25">
      <c r="A190" s="33" t="s">
        <v>790</v>
      </c>
      <c r="B190" s="7">
        <v>4024</v>
      </c>
      <c r="C190" s="21" t="s">
        <v>240</v>
      </c>
      <c r="D190" s="21" t="s">
        <v>918</v>
      </c>
      <c r="E190" s="13">
        <v>42805.802268518521</v>
      </c>
      <c r="F190" s="13">
        <v>42805.804247685184</v>
      </c>
      <c r="G190" s="7">
        <v>2</v>
      </c>
      <c r="H190" s="21" t="s">
        <v>571</v>
      </c>
      <c r="I190" s="13">
        <v>42805.816319444442</v>
      </c>
      <c r="J190" s="7">
        <v>0</v>
      </c>
      <c r="K190" s="98" t="str">
        <f t="shared" si="55"/>
        <v>4023/4024</v>
      </c>
      <c r="L190" s="21" t="str">
        <f>VLOOKUP(A190,'Trips&amp;Operators'!$C$1:$G$99999,5,FALSE)</f>
        <v>MACDONALD THOMAS</v>
      </c>
      <c r="M190" s="6">
        <f t="shared" si="56"/>
        <v>1.2071759258105885E-2</v>
      </c>
      <c r="N190" s="7">
        <f t="shared" si="75"/>
        <v>17.383333331672475</v>
      </c>
      <c r="O190" s="7"/>
      <c r="P190" s="7"/>
      <c r="Q190" s="22"/>
      <c r="R190" s="22"/>
      <c r="S190" s="31">
        <f t="shared" si="71"/>
        <v>1</v>
      </c>
      <c r="T190" s="46" t="str">
        <f t="shared" si="57"/>
        <v>NorthBound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8"/>
        <v>https://d0f6bd738d7f1b3e5a7ca70fe4ff75f0.us-east-1.aws.found.io/app/kibana#/discover/Steve-Slow-Train-Analysis-(2080s-and-2083s)?_g=(refreshInterval:(display:Off,pause:!f,section:0,value:0),time:(from:'2017-03-11T18:15:16-0700',mode:absolute,to:'2017-03-11T20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0" s="187" t="str">
        <f t="shared" si="59"/>
        <v>N</v>
      </c>
      <c r="X190" s="187">
        <f t="shared" si="79"/>
        <v>1</v>
      </c>
      <c r="Y190" s="62">
        <f t="shared" si="76"/>
        <v>9.9900000000000003E-2</v>
      </c>
      <c r="Z190" s="62">
        <f t="shared" si="77"/>
        <v>5.8956</v>
      </c>
      <c r="AA190" s="62">
        <f t="shared" si="63"/>
        <v>5.7957000000000001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4"/>
        <v>1827-11</v>
      </c>
      <c r="AE190" s="85" t="str">
        <f t="shared" si="65"/>
        <v>aws s3 cp s3://rtdc.mdm.uploadarchive.raw/RTDC4024/ "%USERPROFILE%\AppData\Local\Temp\OnboardLogs"\RTDC4024\2017-03-11 --exclude "*" --recursive --include "*20170311*" &amp; "%USERPROFILE%\Documents\GitHub\mrs-test-scripts\Headless Mode &amp; Sideloading\WalkAndUnGZ.bat" "%USERPROFILE%\AppData\Local\Temp\OnboardLogs"\RTDC4024\2017-03-11 &amp; aws s3 cp s3://rtdc.mdm.uploadarchive.raw/RTDC4024/ "%USERPROFILE%\AppData\Local\Temp\OnboardLogs"\RTDC4024\2017-03-12 --exclude "*" --recursive --include "*20170312*" &amp; "%USERPROFILE%\Documents\GitHub\mrs-test-scripts\Headless Mode &amp; Sideloading\WalkAndUnGZ.bat" "%USERPROFILE%\AppData\Local\Temp\OnboardLogs"\RTDC4024\2017-03-12</v>
      </c>
      <c r="AF190" s="82" t="str">
        <f t="shared" si="66"/>
        <v>"C:\Program Files (x86)\AstroGrep\AstroGrep.exe" /e /r /s /spath="%USERPROFILE%\AppData\Local\Temp\OnboardLogs" /stypes="app*4024*20170312*" /stext=" 02:.+((SYSTEM_STATE.+slice.+state.+changed )|(ment ac)|(multiple cpu faults)|(system.+state.+changed )|(\[timeout)|(PRM\|1\|D)|(kpr)|(kdp)|(\|lc)|(penalty))"</v>
      </c>
      <c r="AG190" s="1" t="str">
        <f t="shared" si="67"/>
        <v>NW</v>
      </c>
      <c r="AH190" s="86" t="str">
        <f t="shared" si="68"/>
        <v>"%USERPROFILE%\Documents\GitHub\eaglep3\Utilities\RefineRTDCRunTimes.py" --tripid 1827-11 --locoid 4024 --swversion DE.1.0.9.0 --startMP 204:999 --initTime 2017-03-11T19:15:16 --startdatetime 2017-03-11T19:18:07 --delay 2 --endMP 300:58956 --enddatetime 2017-03-11T19:35:30 --enforcementcount 0 &gt;&gt;C:\Users\stu\Documents\GitHub\eaglep3-reporting\EC\2017-03-11-refined-times.txt</v>
      </c>
      <c r="AI190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{"issue":{"subject":"","project_id":79,"tracker_id":40,"status_id":1,"priority_id":2,"assigned_to_id":23,"start_date":"2017-03-11","description":"","custom_fields":[{"id":1,"name":"Subdivision","value":"NW"},{"id":4,"name":"Milepost","value":"5.8956"},{"id":17,"name":"Train ID","value":"1827-11"},{"id":16,"name":"Locomotive ID","value":"4024"},{"id":130,"name":"Impact","value":""},{"id":150,"name":"Time of Event (Mountain Time)","value":"19:35:30"},{"id":151,"name":"Denver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70"/>
        <v>start /low /b %USERPROFILE%\Documents\GitHub\eaglep3\Utilities\DownloadLogsFromS3.py --loco 4024 --day 2017-03-11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"%USERPROFILE%\AppData\Local\Temp\OnboardLogs"\RTDC4024\*4024*20170312* | grep -SE "(Enforcement Action)|(\[TIMEOUT)|(CHR.+\|PRM\|1\|D.+(SWITCH|SIGNAL).+UNKNOWN)" - &gt;&gt; 2017-03-11-UncaughtWiMAX.txt</v>
      </c>
    </row>
    <row r="191" spans="1:91" x14ac:dyDescent="0.25">
      <c r="A191" s="33" t="s">
        <v>794</v>
      </c>
      <c r="B191" s="7">
        <v>4023</v>
      </c>
      <c r="C191" s="21" t="s">
        <v>240</v>
      </c>
      <c r="D191" s="21" t="s">
        <v>572</v>
      </c>
      <c r="E191" s="13">
        <v>42805.817372685182</v>
      </c>
      <c r="F191" s="13">
        <v>42805.818252314813</v>
      </c>
      <c r="G191" s="7">
        <v>1</v>
      </c>
      <c r="H191" s="21" t="s">
        <v>565</v>
      </c>
      <c r="I191" s="13">
        <v>42805.831620370373</v>
      </c>
      <c r="J191" s="7">
        <v>0</v>
      </c>
      <c r="K191" s="98" t="str">
        <f t="shared" si="55"/>
        <v>4023/4024</v>
      </c>
      <c r="L191" s="21" t="str">
        <f>VLOOKUP(A191,'Trips&amp;Operators'!$C$1:$G$99999,5,FALSE)</f>
        <v>MACDONALD THOMAS</v>
      </c>
      <c r="M191" s="6">
        <f t="shared" si="56"/>
        <v>1.336805555911269E-2</v>
      </c>
      <c r="N191" s="7">
        <f t="shared" si="75"/>
        <v>19.250000005122274</v>
      </c>
      <c r="O191" s="7"/>
      <c r="P191" s="7"/>
      <c r="Q191" s="22"/>
      <c r="R191" s="22"/>
      <c r="S191" s="31">
        <f t="shared" ref="S191:S221" si="80">SUM(U191:U191)/IF(AG191="EC",12,1)</f>
        <v>1</v>
      </c>
      <c r="T191" s="46" t="str">
        <f t="shared" si="57"/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8"/>
        <v>https://d0f6bd738d7f1b3e5a7ca70fe4ff75f0.us-east-1.aws.found.io/app/kibana#/discover/Steve-Slow-Train-Analysis-(2080s-and-2083s)?_g=(refreshInterval:(display:Off,pause:!f,section:0,value:0),time:(from:'2017-03-11T18:37:01-0700',mode:absolute,to:'2017-03-11T20:57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1" s="187" t="str">
        <f t="shared" si="59"/>
        <v>N</v>
      </c>
      <c r="X191" s="187">
        <f t="shared" si="79"/>
        <v>1</v>
      </c>
      <c r="Y191" s="62">
        <f t="shared" si="76"/>
        <v>5.8634000000000004</v>
      </c>
      <c r="Z191" s="62">
        <f t="shared" si="77"/>
        <v>6.7299999999999999E-2</v>
      </c>
      <c r="AA191" s="62">
        <f t="shared" si="63"/>
        <v>5.7961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4"/>
        <v>1828-11</v>
      </c>
      <c r="AE191" s="85" t="str">
        <f t="shared" si="65"/>
        <v>aws s3 cp s3://rtdc.mdm.uploadarchive.raw/RTDC4023/ "%USERPROFILE%\AppData\Local\Temp\OnboardLogs"\RTDC4023\2017-03-11 --exclude "*" --recursive --include "*20170311*" &amp; "%USERPROFILE%\Documents\GitHub\mrs-test-scripts\Headless Mode &amp; Sideloading\WalkAndUnGZ.bat" "%USERPROFILE%\AppData\Local\Temp\OnboardLogs"\RTDC4023\2017-03-11 &amp; aws s3 cp s3://rtdc.mdm.uploadarchive.raw/RTDC4023/ "%USERPROFILE%\AppData\Local\Temp\OnboardLogs"\RTDC4023\2017-03-12 --exclude "*" --recursive --include "*20170312*" &amp; "%USERPROFILE%\Documents\GitHub\mrs-test-scripts\Headless Mode &amp; Sideloading\WalkAndUnGZ.bat" "%USERPROFILE%\AppData\Local\Temp\OnboardLogs"\RTDC4023\2017-03-12</v>
      </c>
      <c r="AF191" s="82" t="str">
        <f t="shared" si="66"/>
        <v>"C:\Program Files (x86)\AstroGrep\AstroGrep.exe" /e /r /s /spath="%USERPROFILE%\AppData\Local\Temp\OnboardLogs" /stypes="app*4023*20170312*" /stext=" 02:.+((SYSTEM_STATE.+slice.+state.+changed )|(ment ac)|(multiple cpu faults)|(system.+state.+changed )|(\[timeout)|(PRM\|1\|D)|(kpr)|(kdp)|(\|lc)|(penalty))"</v>
      </c>
      <c r="AG191" s="1" t="str">
        <f t="shared" si="67"/>
        <v>NW</v>
      </c>
      <c r="AH191" s="86" t="str">
        <f t="shared" si="68"/>
        <v>"%USERPROFILE%\Documents\GitHub\eaglep3\Utilities\RefineRTDCRunTimes.py" --tripid 1828-11 --locoid 4023 --swversion DE.1.0.9.0 --startMP 300:58634 --initTime 2017-03-11T19:37:01 --startdatetime 2017-03-11T19:38:17 --delay 1 --endMP 204:673 --enddatetime 2017-03-11T19:57:32 --enforcementcount 0 &gt;&gt;C:\Users\stu\Documents\GitHub\eaglep3-reporting\EC\2017-03-11-refined-times.txt</v>
      </c>
      <c r="AI191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{"issue":{"subject":"","project_id":79,"tracker_id":40,"status_id":1,"priority_id":2,"assigned_to_id":23,"start_date":"2017-03-11","description":"","custom_fields":[{"id":1,"name":"Subdivision","value":"NW"},{"id":4,"name":"Milepost","value":"0.0673"},{"id":17,"name":"Train ID","value":"1828-11"},{"id":16,"name":"Locomotive ID","value":"4023"},{"id":130,"name":"Impact","value":""},{"id":150,"name":"Time of Event (Mountain Time)","value":"19:57:32"},{"id":151,"name":"Denver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70"/>
        <v>start /low /b %USERPROFILE%\Documents\GitHub\eaglep3\Utilities\DownloadLogsFromS3.py --loco 4023 --day 2017-03-11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"%USERPROFILE%\AppData\Local\Temp\OnboardLogs"\RTDC4023\*4023*20170312* | grep -SE "(Enforcement Action)|(\[TIMEOUT)|(CHR.+\|PRM\|1\|D.+(SWITCH|SIGNAL).+UNKNOWN)" - &gt;&gt; 2017-03-11-UncaughtWiMAX.txt</v>
      </c>
    </row>
    <row r="192" spans="1:91" x14ac:dyDescent="0.25">
      <c r="A192" s="33" t="s">
        <v>798</v>
      </c>
      <c r="B192" s="7">
        <v>4024</v>
      </c>
      <c r="C192" s="21" t="s">
        <v>240</v>
      </c>
      <c r="D192" s="21" t="s">
        <v>919</v>
      </c>
      <c r="E192" s="13">
        <v>42805.840995370374</v>
      </c>
      <c r="F192" s="13">
        <v>42805.841967592591</v>
      </c>
      <c r="G192" s="7">
        <v>1</v>
      </c>
      <c r="H192" s="21" t="s">
        <v>909</v>
      </c>
      <c r="I192" s="13">
        <v>42805.857731481483</v>
      </c>
      <c r="J192" s="7">
        <v>0</v>
      </c>
      <c r="K192" s="98" t="str">
        <f t="shared" si="55"/>
        <v>4023/4024</v>
      </c>
      <c r="L192" s="21" t="str">
        <f>VLOOKUP(A192,'Trips&amp;Operators'!$C$1:$G$99999,5,FALSE)</f>
        <v>MCREYNOLDS KYLE</v>
      </c>
      <c r="M192" s="6">
        <f t="shared" si="56"/>
        <v>1.5763888892251998E-2</v>
      </c>
      <c r="N192" s="7">
        <f t="shared" si="75"/>
        <v>22.700000004842877</v>
      </c>
      <c r="O192" s="7"/>
      <c r="P192" s="7"/>
      <c r="Q192" s="22"/>
      <c r="R192" s="22"/>
      <c r="S192" s="31">
        <f t="shared" si="80"/>
        <v>1</v>
      </c>
      <c r="T192" s="46" t="str">
        <f t="shared" si="57"/>
        <v>NorthBound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8"/>
        <v>https://d0f6bd738d7f1b3e5a7ca70fe4ff75f0.us-east-1.aws.found.io/app/kibana#/discover/Steve-Slow-Train-Analysis-(2080s-and-2083s)?_g=(refreshInterval:(display:Off,pause:!f,section:0,value:0),time:(from:'2017-03-11T19:11:02-0700',mode:absolute,to:'2017-03-11T21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2" s="187" t="str">
        <f t="shared" si="59"/>
        <v>N</v>
      </c>
      <c r="X192" s="187">
        <f t="shared" si="79"/>
        <v>1</v>
      </c>
      <c r="Y192" s="62">
        <f t="shared" si="76"/>
        <v>9.5100000000000004E-2</v>
      </c>
      <c r="Z192" s="62">
        <f t="shared" si="77"/>
        <v>5.8936999999999999</v>
      </c>
      <c r="AA192" s="62">
        <f t="shared" si="63"/>
        <v>5.7985999999999995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4"/>
        <v>1829-11</v>
      </c>
      <c r="AE192" s="85" t="str">
        <f t="shared" si="65"/>
        <v>aws s3 cp s3://rtdc.mdm.uploadarchive.raw/RTDC4024/ "%USERPROFILE%\AppData\Local\Temp\OnboardLogs"\RTDC4024\2017-03-11 --exclude "*" --recursive --include "*20170311*" &amp; "%USERPROFILE%\Documents\GitHub\mrs-test-scripts\Headless Mode &amp; Sideloading\WalkAndUnGZ.bat" "%USERPROFILE%\AppData\Local\Temp\OnboardLogs"\RTDC4024\2017-03-11 &amp; aws s3 cp s3://rtdc.mdm.uploadarchive.raw/RTDC4024/ "%USERPROFILE%\AppData\Local\Temp\OnboardLogs"\RTDC4024\2017-03-12 --exclude "*" --recursive --include "*20170312*" &amp; "%USERPROFILE%\Documents\GitHub\mrs-test-scripts\Headless Mode &amp; Sideloading\WalkAndUnGZ.bat" "%USERPROFILE%\AppData\Local\Temp\OnboardLogs"\RTDC4024\2017-03-12</v>
      </c>
      <c r="AF192" s="82" t="str">
        <f t="shared" si="66"/>
        <v>"C:\Program Files (x86)\AstroGrep\AstroGrep.exe" /e /r /s /spath="%USERPROFILE%\AppData\Local\Temp\OnboardLogs" /stypes="app*4024*20170312*" /stext=" 03:.+((SYSTEM_STATE.+slice.+state.+changed )|(ment ac)|(multiple cpu faults)|(system.+state.+changed )|(\[timeout)|(PRM\|1\|D)|(kpr)|(kdp)|(\|lc)|(penalty))"</v>
      </c>
      <c r="AG192" s="1" t="str">
        <f t="shared" si="67"/>
        <v>NW</v>
      </c>
      <c r="AH192" s="86" t="str">
        <f t="shared" si="68"/>
        <v>"%USERPROFILE%\Documents\GitHub\eaglep3\Utilities\RefineRTDCRunTimes.py" --tripid 1829-11 --locoid 4024 --swversion DE.1.0.9.0 --startMP 204:951 --initTime 2017-03-11T20:11:02 --startdatetime 2017-03-11T20:12:26 --delay 1 --endMP 300:58937 --enddatetime 2017-03-11T20:35:08 --enforcementcount 0 &gt;&gt;C:\Users\stu\Documents\GitHub\eaglep3-reporting\EC\2017-03-11-refined-times.txt</v>
      </c>
      <c r="AI192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{"issue":{"subject":"","project_id":79,"tracker_id":40,"status_id":1,"priority_id":2,"assigned_to_id":23,"start_date":"2017-03-11","description":"","custom_fields":[{"id":1,"name":"Subdivision","value":"NW"},{"id":4,"name":"Milepost","value":"5.8937"},{"id":17,"name":"Train ID","value":"1829-11"},{"id":16,"name":"Locomotive ID","value":"4024"},{"id":130,"name":"Impact","value":""},{"id":150,"name":"Time of Event (Mountain Time)","value":"20:35:08"},{"id":151,"name":"Denver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70"/>
        <v>start /low /b %USERPROFILE%\Documents\GitHub\eaglep3\Utilities\DownloadLogsFromS3.py --loco 4024 --day 2017-03-11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"%USERPROFILE%\AppData\Local\Temp\OnboardLogs"\RTDC4024\*4024*20170312* | grep -SE "(Enforcement Action)|(\[TIMEOUT)|(CHR.+\|PRM\|1\|D.+(SWITCH|SIGNAL).+UNKNOWN)" - &gt;&gt; 2017-03-11-UncaughtWiMAX.txt</v>
      </c>
    </row>
    <row r="193" spans="1:40" x14ac:dyDescent="0.25">
      <c r="A193" s="33" t="s">
        <v>801</v>
      </c>
      <c r="B193" s="7">
        <v>4023</v>
      </c>
      <c r="C193" s="21" t="s">
        <v>240</v>
      </c>
      <c r="D193" s="21" t="s">
        <v>921</v>
      </c>
      <c r="E193" s="13">
        <v>42805.859363425923</v>
      </c>
      <c r="F193" s="13">
        <v>42805.860243055555</v>
      </c>
      <c r="G193" s="7">
        <v>1</v>
      </c>
      <c r="H193" s="21" t="s">
        <v>922</v>
      </c>
      <c r="I193" s="13">
        <v>42805.871689814812</v>
      </c>
      <c r="J193" s="7">
        <v>0</v>
      </c>
      <c r="K193" s="98" t="str">
        <f t="shared" si="55"/>
        <v>4023/4024</v>
      </c>
      <c r="L193" s="21" t="str">
        <f>VLOOKUP(A193,'Trips&amp;Operators'!$C$1:$G$99999,5,FALSE)</f>
        <v>MCREYNOLDS KYLE</v>
      </c>
      <c r="M193" s="6">
        <f t="shared" si="56"/>
        <v>1.1446759257523809E-2</v>
      </c>
      <c r="N193" s="7">
        <f t="shared" ref="N193:N221" si="81">24*60*SUM($M193:$M193)</f>
        <v>16.483333330834284</v>
      </c>
      <c r="O193" s="7"/>
      <c r="P193" s="7"/>
      <c r="Q193" s="22"/>
      <c r="R193" s="22"/>
      <c r="S193" s="31">
        <f t="shared" si="80"/>
        <v>1</v>
      </c>
      <c r="T193" s="46" t="str">
        <f t="shared" si="57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8"/>
        <v>https://d0f6bd738d7f1b3e5a7ca70fe4ff75f0.us-east-1.aws.found.io/app/kibana#/discover/Steve-Slow-Train-Analysis-(2080s-and-2083s)?_g=(refreshInterval:(display:Off,pause:!f,section:0,value:0),time:(from:'2017-03-11T19:37:29-0700',mode:absolute,to:'2017-03-11T21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3" s="187" t="str">
        <f t="shared" si="59"/>
        <v>N</v>
      </c>
      <c r="X193" s="187">
        <f t="shared" si="79"/>
        <v>1</v>
      </c>
      <c r="Y193" s="62">
        <f t="shared" ref="Y193:Y221" si="82">RIGHT(D193,LEN(D193)-4)/10000</f>
        <v>5.8615000000000004</v>
      </c>
      <c r="Z193" s="62">
        <f t="shared" ref="Z193:Z221" si="83">RIGHT(H193,LEN(H193)-4)/10000</f>
        <v>7.0599999999999996E-2</v>
      </c>
      <c r="AA193" s="62">
        <f t="shared" si="63"/>
        <v>5.7909000000000006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4"/>
        <v>1830-11</v>
      </c>
      <c r="AE193" s="85" t="str">
        <f t="shared" si="65"/>
        <v>aws s3 cp s3://rtdc.mdm.uploadarchive.raw/RTDC4023/ "%USERPROFILE%\AppData\Local\Temp\OnboardLogs"\RTDC4023\2017-03-11 --exclude "*" --recursive --include "*20170311*" &amp; "%USERPROFILE%\Documents\GitHub\mrs-test-scripts\Headless Mode &amp; Sideloading\WalkAndUnGZ.bat" "%USERPROFILE%\AppData\Local\Temp\OnboardLogs"\RTDC4023\2017-03-11 &amp; aws s3 cp s3://rtdc.mdm.uploadarchive.raw/RTDC4023/ "%USERPROFILE%\AppData\Local\Temp\OnboardLogs"\RTDC4023\2017-03-12 --exclude "*" --recursive --include "*20170312*" &amp; "%USERPROFILE%\Documents\GitHub\mrs-test-scripts\Headless Mode &amp; Sideloading\WalkAndUnGZ.bat" "%USERPROFILE%\AppData\Local\Temp\OnboardLogs"\RTDC4023\2017-03-12</v>
      </c>
      <c r="AF193" s="82" t="str">
        <f t="shared" si="66"/>
        <v>"C:\Program Files (x86)\AstroGrep\AstroGrep.exe" /e /r /s /spath="%USERPROFILE%\AppData\Local\Temp\OnboardLogs" /stypes="app*4023*20170312*" /stext=" 03:.+((SYSTEM_STATE.+slice.+state.+changed )|(ment ac)|(multiple cpu faults)|(system.+state.+changed )|(\[timeout)|(PRM\|1\|D)|(kpr)|(kdp)|(\|lc)|(penalty))"</v>
      </c>
      <c r="AG193" s="1" t="str">
        <f t="shared" si="67"/>
        <v>NW</v>
      </c>
      <c r="AH193" s="86" t="str">
        <f t="shared" si="68"/>
        <v>"%USERPROFILE%\Documents\GitHub\eaglep3\Utilities\RefineRTDCRunTimes.py" --tripid 1830-11 --locoid 4023 --swversion DE.1.0.9.0 --startMP 300:58615 --initTime 2017-03-11T20:37:29 --startdatetime 2017-03-11T20:38:45 --delay 1 --endMP 204:706 --enddatetime 2017-03-11T20:55:14 --enforcementcount 0 &gt;&gt;C:\Users\stu\Documents\GitHub\eaglep3-reporting\EC\2017-03-11-refined-times.txt</v>
      </c>
      <c r="AI193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{"issue":{"subject":"","project_id":79,"tracker_id":40,"status_id":1,"priority_id":2,"assigned_to_id":23,"start_date":"2017-03-11","description":"","custom_fields":[{"id":1,"name":"Subdivision","value":"NW"},{"id":4,"name":"Milepost","value":"0.0706"},{"id":17,"name":"Train ID","value":"1830-11"},{"id":16,"name":"Locomotive ID","value":"4023"},{"id":130,"name":"Impact","value":""},{"id":150,"name":"Time of Event (Mountain Time)","value":"20:55:14"},{"id":151,"name":"Denver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70"/>
        <v>start /low /b %USERPROFILE%\Documents\GitHub\eaglep3\Utilities\DownloadLogsFromS3.py --loco 4023 --day 2017-03-11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"%USERPROFILE%\AppData\Local\Temp\OnboardLogs"\RTDC4023\*4023*20170312* | grep -SE "(Enforcement Action)|(\[TIMEOUT)|(CHR.+\|PRM\|1\|D.+(SWITCH|SIGNAL).+UNKNOWN)" - &gt;&gt; 2017-03-11-UncaughtWiMAX.txt</v>
      </c>
    </row>
    <row r="194" spans="1:40" x14ac:dyDescent="0.25">
      <c r="A194" s="33" t="s">
        <v>805</v>
      </c>
      <c r="B194" s="7">
        <v>4024</v>
      </c>
      <c r="C194" s="21" t="s">
        <v>240</v>
      </c>
      <c r="D194" s="21" t="s">
        <v>570</v>
      </c>
      <c r="E194" s="13">
        <v>42805.885509259257</v>
      </c>
      <c r="F194" s="13">
        <v>42805.886400462965</v>
      </c>
      <c r="G194" s="7">
        <v>1</v>
      </c>
      <c r="H194" s="21" t="s">
        <v>923</v>
      </c>
      <c r="I194" s="13">
        <v>42805.898935185185</v>
      </c>
      <c r="J194" s="7">
        <v>0</v>
      </c>
      <c r="K194" s="98" t="str">
        <f t="shared" si="55"/>
        <v>4023/4024</v>
      </c>
      <c r="L194" s="21" t="str">
        <f>VLOOKUP(A194,'Trips&amp;Operators'!$C$1:$G$99999,5,FALSE)</f>
        <v>MCREYNOLDS KYLE</v>
      </c>
      <c r="M194" s="6">
        <f t="shared" si="56"/>
        <v>1.2534722220152617E-2</v>
      </c>
      <c r="N194" s="7">
        <f t="shared" si="81"/>
        <v>18.049999997019768</v>
      </c>
      <c r="O194" s="7"/>
      <c r="P194" s="7"/>
      <c r="Q194" s="22"/>
      <c r="R194" s="22"/>
      <c r="S194" s="31">
        <f t="shared" si="80"/>
        <v>1</v>
      </c>
      <c r="T194" s="46" t="str">
        <f t="shared" si="57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8"/>
        <v>https://d0f6bd738d7f1b3e5a7ca70fe4ff75f0.us-east-1.aws.found.io/app/kibana#/discover/Steve-Slow-Train-Analysis-(2080s-and-2083s)?_g=(refreshInterval:(display:Off,pause:!f,section:0,value:0),time:(from:'2017-03-11T20:15:08-0700',mode:absolute,to:'2017-03-11T22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4" s="187" t="str">
        <f t="shared" si="59"/>
        <v>N</v>
      </c>
      <c r="X194" s="187">
        <f t="shared" si="79"/>
        <v>1</v>
      </c>
      <c r="Y194" s="62">
        <f t="shared" si="82"/>
        <v>9.8500000000000004E-2</v>
      </c>
      <c r="Z194" s="62">
        <f t="shared" si="83"/>
        <v>5.8920000000000003</v>
      </c>
      <c r="AA194" s="62">
        <f t="shared" si="63"/>
        <v>5.7935000000000008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4"/>
        <v>1831-11</v>
      </c>
      <c r="AE194" s="85" t="str">
        <f t="shared" si="65"/>
        <v>aws s3 cp s3://rtdc.mdm.uploadarchive.raw/RTDC4024/ "%USERPROFILE%\AppData\Local\Temp\OnboardLogs"\RTDC4024\2017-03-11 --exclude "*" --recursive --include "*20170311*" &amp; "%USERPROFILE%\Documents\GitHub\mrs-test-scripts\Headless Mode &amp; Sideloading\WalkAndUnGZ.bat" "%USERPROFILE%\AppData\Local\Temp\OnboardLogs"\RTDC4024\2017-03-11 &amp; aws s3 cp s3://rtdc.mdm.uploadarchive.raw/RTDC4024/ "%USERPROFILE%\AppData\Local\Temp\OnboardLogs"\RTDC4024\2017-03-12 --exclude "*" --recursive --include "*20170312*" &amp; "%USERPROFILE%\Documents\GitHub\mrs-test-scripts\Headless Mode &amp; Sideloading\WalkAndUnGZ.bat" "%USERPROFILE%\AppData\Local\Temp\OnboardLogs"\RTDC4024\2017-03-12</v>
      </c>
      <c r="AF194" s="82" t="str">
        <f t="shared" si="66"/>
        <v>"C:\Program Files (x86)\AstroGrep\AstroGrep.exe" /e /r /s /spath="%USERPROFILE%\AppData\Local\Temp\OnboardLogs" /stypes="app*4024*20170312*" /stext=" 04:.+((SYSTEM_STATE.+slice.+state.+changed )|(ment ac)|(multiple cpu faults)|(system.+state.+changed )|(\[timeout)|(PRM\|1\|D)|(kpr)|(kdp)|(\|lc)|(penalty))"</v>
      </c>
      <c r="AG194" s="1" t="str">
        <f t="shared" si="67"/>
        <v>NW</v>
      </c>
      <c r="AH194" s="86" t="str">
        <f t="shared" si="68"/>
        <v>"%USERPROFILE%\Documents\GitHub\eaglep3\Utilities\RefineRTDCRunTimes.py" --tripid 1831-11 --locoid 4024 --swversion DE.1.0.9.0 --startMP 204:985 --initTime 2017-03-11T21:15:08 --startdatetime 2017-03-11T21:16:25 --delay 1 --endMP 300:58920 --enddatetime 2017-03-11T21:34:28 --enforcementcount 0 &gt;&gt;C:\Users\stu\Documents\GitHub\eaglep3-reporting\EC\2017-03-11-refined-times.txt</v>
      </c>
      <c r="AI194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{"issue":{"subject":"","project_id":79,"tracker_id":40,"status_id":1,"priority_id":2,"assigned_to_id":23,"start_date":"2017-03-11","description":"","custom_fields":[{"id":1,"name":"Subdivision","value":"NW"},{"id":4,"name":"Milepost","value":"5.892"},{"id":17,"name":"Train ID","value":"1831-11"},{"id":16,"name":"Locomotive ID","value":"4024"},{"id":130,"name":"Impact","value":""},{"id":150,"name":"Time of Event (Mountain Time)","value":"21:34:28"},{"id":151,"name":"Denver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70"/>
        <v>start /low /b %USERPROFILE%\Documents\GitHub\eaglep3\Utilities\DownloadLogsFromS3.py --loco 4024 --day 2017-03-11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"%USERPROFILE%\AppData\Local\Temp\OnboardLogs"\RTDC4024\*4024*20170312* | grep -SE "(Enforcement Action)|(\[TIMEOUT)|(CHR.+\|PRM\|1\|D.+(SWITCH|SIGNAL).+UNKNOWN)" - &gt;&gt; 2017-03-11-UncaughtWiMAX.txt</v>
      </c>
    </row>
    <row r="195" spans="1:40" x14ac:dyDescent="0.25">
      <c r="A195" s="33" t="s">
        <v>807</v>
      </c>
      <c r="B195" s="7">
        <v>4023</v>
      </c>
      <c r="C195" s="21" t="s">
        <v>240</v>
      </c>
      <c r="D195" s="21" t="s">
        <v>905</v>
      </c>
      <c r="E195" s="13">
        <v>42805.900567129633</v>
      </c>
      <c r="F195" s="13">
        <v>42805.90152777778</v>
      </c>
      <c r="G195" s="7">
        <v>1</v>
      </c>
      <c r="H195" s="21" t="s">
        <v>924</v>
      </c>
      <c r="I195" s="13">
        <v>42805.913437499999</v>
      </c>
      <c r="J195" s="7">
        <v>0</v>
      </c>
      <c r="K195" s="98" t="str">
        <f t="shared" si="55"/>
        <v>4023/4024</v>
      </c>
      <c r="L195" s="21" t="str">
        <f>VLOOKUP(A195,'Trips&amp;Operators'!$C$1:$G$99999,5,FALSE)</f>
        <v>MCREYNOLDS KYLE</v>
      </c>
      <c r="M195" s="6">
        <f t="shared" si="56"/>
        <v>1.190972221957054E-2</v>
      </c>
      <c r="N195" s="7">
        <f t="shared" si="81"/>
        <v>17.149999996181577</v>
      </c>
      <c r="O195" s="7"/>
      <c r="P195" s="7"/>
      <c r="Q195" s="22"/>
      <c r="R195" s="22"/>
      <c r="S195" s="31">
        <f t="shared" si="80"/>
        <v>1</v>
      </c>
      <c r="T195" s="46" t="str">
        <f t="shared" si="57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8"/>
        <v>https://d0f6bd738d7f1b3e5a7ca70fe4ff75f0.us-east-1.aws.found.io/app/kibana#/discover/Steve-Slow-Train-Analysis-(2080s-and-2083s)?_g=(refreshInterval:(display:Off,pause:!f,section:0,value:0),time:(from:'2017-03-11T20:36:49-0700',mode:absolute,to:'2017-03-11T22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5" s="187" t="str">
        <f t="shared" si="59"/>
        <v>N</v>
      </c>
      <c r="X195" s="187">
        <f t="shared" si="79"/>
        <v>1</v>
      </c>
      <c r="Y195" s="62">
        <f t="shared" si="82"/>
        <v>5.8616999999999999</v>
      </c>
      <c r="Z195" s="62">
        <f t="shared" si="83"/>
        <v>6.7699999999999996E-2</v>
      </c>
      <c r="AA195" s="62">
        <f t="shared" si="63"/>
        <v>5.7939999999999996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4"/>
        <v>1832-11</v>
      </c>
      <c r="AE195" s="85" t="str">
        <f t="shared" si="65"/>
        <v>aws s3 cp s3://rtdc.mdm.uploadarchive.raw/RTDC4023/ "%USERPROFILE%\AppData\Local\Temp\OnboardLogs"\RTDC4023\2017-03-11 --exclude "*" --recursive --include "*20170311*" &amp; "%USERPROFILE%\Documents\GitHub\mrs-test-scripts\Headless Mode &amp; Sideloading\WalkAndUnGZ.bat" "%USERPROFILE%\AppData\Local\Temp\OnboardLogs"\RTDC4023\2017-03-11 &amp; aws s3 cp s3://rtdc.mdm.uploadarchive.raw/RTDC4023/ "%USERPROFILE%\AppData\Local\Temp\OnboardLogs"\RTDC4023\2017-03-12 --exclude "*" --recursive --include "*20170312*" &amp; "%USERPROFILE%\Documents\GitHub\mrs-test-scripts\Headless Mode &amp; Sideloading\WalkAndUnGZ.bat" "%USERPROFILE%\AppData\Local\Temp\OnboardLogs"\RTDC4023\2017-03-12</v>
      </c>
      <c r="AF195" s="82" t="str">
        <f t="shared" si="66"/>
        <v>"C:\Program Files (x86)\AstroGrep\AstroGrep.exe" /e /r /s /spath="%USERPROFILE%\AppData\Local\Temp\OnboardLogs" /stypes="app*4023*20170312*" /stext=" 04:.+((SYSTEM_STATE.+slice.+state.+changed )|(ment ac)|(multiple cpu faults)|(system.+state.+changed )|(\[timeout)|(PRM\|1\|D)|(kpr)|(kdp)|(\|lc)|(penalty))"</v>
      </c>
      <c r="AG195" s="1" t="str">
        <f t="shared" si="67"/>
        <v>NW</v>
      </c>
      <c r="AH195" s="86" t="str">
        <f t="shared" si="68"/>
        <v>"%USERPROFILE%\Documents\GitHub\eaglep3\Utilities\RefineRTDCRunTimes.py" --tripid 1832-11 --locoid 4023 --swversion DE.1.0.9.0 --startMP 300:58617 --initTime 2017-03-11T21:36:49 --startdatetime 2017-03-11T21:38:12 --delay 1 --endMP 204:677 --enddatetime 2017-03-11T21:55:21 --enforcementcount 0 &gt;&gt;C:\Users\stu\Documents\GitHub\eaglep3-reporting\EC\2017-03-11-refined-times.txt</v>
      </c>
      <c r="AI195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{"issue":{"subject":"","project_id":79,"tracker_id":40,"status_id":1,"priority_id":2,"assigned_to_id":23,"start_date":"2017-03-11","description":"","custom_fields":[{"id":1,"name":"Subdivision","value":"NW"},{"id":4,"name":"Milepost","value":"0.0677"},{"id":17,"name":"Train ID","value":"1832-11"},{"id":16,"name":"Locomotive ID","value":"4023"},{"id":130,"name":"Impact","value":""},{"id":150,"name":"Time of Event (Mountain Time)","value":"21:55:21"},{"id":151,"name":"Denver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70"/>
        <v>start /low /b %USERPROFILE%\Documents\GitHub\eaglep3\Utilities\DownloadLogsFromS3.py --loco 4023 --day 2017-03-11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"%USERPROFILE%\AppData\Local\Temp\OnboardLogs"\RTDC4023\*4023*20170312* | grep -SE "(Enforcement Action)|(\[TIMEOUT)|(CHR.+\|PRM\|1\|D.+(SWITCH|SIGNAL).+UNKNOWN)" - &gt;&gt; 2017-03-11-UncaughtWiMAX.txt</v>
      </c>
    </row>
    <row r="196" spans="1:40" x14ac:dyDescent="0.25">
      <c r="A196" s="33" t="s">
        <v>810</v>
      </c>
      <c r="B196" s="7">
        <v>4024</v>
      </c>
      <c r="C196" s="21" t="s">
        <v>240</v>
      </c>
      <c r="D196" s="21" t="s">
        <v>925</v>
      </c>
      <c r="E196" s="13">
        <v>42805.926134259258</v>
      </c>
      <c r="F196" s="13">
        <v>42805.927025462966</v>
      </c>
      <c r="G196" s="7">
        <v>1</v>
      </c>
      <c r="H196" s="21" t="s">
        <v>915</v>
      </c>
      <c r="I196" s="13">
        <v>42805.941331018519</v>
      </c>
      <c r="J196" s="7">
        <v>0</v>
      </c>
      <c r="K196" s="98" t="str">
        <f t="shared" si="55"/>
        <v>4023/4024</v>
      </c>
      <c r="L196" s="21" t="str">
        <f>VLOOKUP(A196,'Trips&amp;Operators'!$C$1:$G$99999,5,FALSE)</f>
        <v>MCREYNOLDS KYLE</v>
      </c>
      <c r="M196" s="6">
        <f t="shared" si="56"/>
        <v>1.4305555552709848E-2</v>
      </c>
      <c r="N196" s="7">
        <f t="shared" si="81"/>
        <v>20.599999995902181</v>
      </c>
      <c r="O196" s="7"/>
      <c r="P196" s="7"/>
      <c r="Q196" s="22"/>
      <c r="R196" s="22"/>
      <c r="S196" s="31">
        <f t="shared" si="80"/>
        <v>1</v>
      </c>
      <c r="T196" s="46" t="str">
        <f t="shared" si="57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58"/>
        <v>https://d0f6bd738d7f1b3e5a7ca70fe4ff75f0.us-east-1.aws.found.io/app/kibana#/discover/Steve-Slow-Train-Analysis-(2080s-and-2083s)?_g=(refreshInterval:(display:Off,pause:!f,section:0,value:0),time:(from:'2017-03-11T21:13:38-0700',mode:absolute,to:'2017-03-11T23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6" s="187" t="str">
        <f t="shared" si="59"/>
        <v>N</v>
      </c>
      <c r="X196" s="187">
        <f t="shared" si="79"/>
        <v>1</v>
      </c>
      <c r="Y196" s="62">
        <f t="shared" si="82"/>
        <v>9.6500000000000002E-2</v>
      </c>
      <c r="Z196" s="62">
        <f t="shared" si="83"/>
        <v>5.8930999999999996</v>
      </c>
      <c r="AA196" s="62">
        <f t="shared" si="63"/>
        <v>5.7965999999999998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4"/>
        <v>1833-11</v>
      </c>
      <c r="AE196" s="85" t="str">
        <f t="shared" si="65"/>
        <v>aws s3 cp s3://rtdc.mdm.uploadarchive.raw/RTDC4024/ "%USERPROFILE%\AppData\Local\Temp\OnboardLogs"\RTDC4024\2017-03-11 --exclude "*" --recursive --include "*20170311*" &amp; "%USERPROFILE%\Documents\GitHub\mrs-test-scripts\Headless Mode &amp; Sideloading\WalkAndUnGZ.bat" "%USERPROFILE%\AppData\Local\Temp\OnboardLogs"\RTDC4024\2017-03-11 &amp; aws s3 cp s3://rtdc.mdm.uploadarchive.raw/RTDC4024/ "%USERPROFILE%\AppData\Local\Temp\OnboardLogs"\RTDC4024\2017-03-12 --exclude "*" --recursive --include "*20170312*" &amp; "%USERPROFILE%\Documents\GitHub\mrs-test-scripts\Headless Mode &amp; Sideloading\WalkAndUnGZ.bat" "%USERPROFILE%\AppData\Local\Temp\OnboardLogs"\RTDC4024\2017-03-12</v>
      </c>
      <c r="AF196" s="82" t="str">
        <f t="shared" si="66"/>
        <v>"C:\Program Files (x86)\AstroGrep\AstroGrep.exe" /e /r /s /spath="%USERPROFILE%\AppData\Local\Temp\OnboardLogs" /stypes="app*4024*20170312*" /stext=" 05:.+((SYSTEM_STATE.+slice.+state.+changed )|(ment ac)|(multiple cpu faults)|(system.+state.+changed )|(\[timeout)|(PRM\|1\|D)|(kpr)|(kdp)|(\|lc)|(penalty))"</v>
      </c>
      <c r="AG196" s="1" t="str">
        <f t="shared" si="67"/>
        <v>NW</v>
      </c>
      <c r="AH196" s="86" t="str">
        <f t="shared" si="68"/>
        <v>"%USERPROFILE%\Documents\GitHub\eaglep3\Utilities\RefineRTDCRunTimes.py" --tripid 1833-11 --locoid 4024 --swversion DE.1.0.9.0 --startMP 204:965 --initTime 2017-03-11T22:13:38 --startdatetime 2017-03-11T22:14:55 --delay 1 --endMP 300:58931 --enddatetime 2017-03-11T22:35:31 --enforcementcount 0 &gt;&gt;C:\Users\stu\Documents\GitHub\eaglep3-reporting\EC\2017-03-11-refined-times.txt</v>
      </c>
      <c r="AI196" s="108" t="str">
        <f t="shared" si="69"/>
        <v>echo {"issue":{"subject":"","project_id":79,"tracker_id":40,"status_id":1,"priority_id":2,"assigned_to_id":23,"start_date":"2017-03-11","description":"","custom_fields":[{"id":1,"name":"Subdivision","value":"NW"},{"id":4,"name":"Milepost","value":"5.8931"},{"id":17,"name":"Train ID","value":"1833-11"},{"id":16,"name":"Locomotive ID","value":"4024"},{"id":130,"name":"Impact","value":""},{"id":150,"name":"Time of Event (Mountain Time)","value":"22:35:31"},{"id":151,"name":"Denver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70"/>
        <v>start /low /b %USERPROFILE%\Documents\GitHub\eaglep3\Utilities\DownloadLogsFromS3.py --loco 4024 --day 2017-03-11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"%USERPROFILE%\AppData\Local\Temp\OnboardLogs"\RTDC4024\*4024*20170312* | grep -SE "(Enforcement Action)|(\[TIMEOUT)|(CHR.+\|PRM\|1\|D.+(SWITCH|SIGNAL).+UNKNOWN)" - &gt;&gt; 2017-03-11-UncaughtWiMAX.txt</v>
      </c>
    </row>
    <row r="197" spans="1:40" x14ac:dyDescent="0.25">
      <c r="A197" s="33" t="s">
        <v>630</v>
      </c>
      <c r="B197" s="7">
        <v>4043</v>
      </c>
      <c r="C197" s="21" t="s">
        <v>240</v>
      </c>
      <c r="D197" s="21" t="s">
        <v>955</v>
      </c>
      <c r="E197" s="13">
        <v>42805.118680555555</v>
      </c>
      <c r="F197" s="13">
        <v>42805.123749999999</v>
      </c>
      <c r="G197" s="7">
        <v>7</v>
      </c>
      <c r="H197" s="21" t="s">
        <v>263</v>
      </c>
      <c r="I197" s="13">
        <v>42805.130162037036</v>
      </c>
      <c r="J197" s="7">
        <v>0</v>
      </c>
      <c r="K197" s="98" t="str">
        <f t="shared" si="55"/>
        <v>4043/4044</v>
      </c>
      <c r="L197" s="21" t="str">
        <f>VLOOKUP(A197,'Trips&amp;Operators'!$C$1:$G$99999,5,FALSE)</f>
        <v>BADERTSCHER DIANE</v>
      </c>
      <c r="M197" s="6">
        <f t="shared" si="56"/>
        <v>6.4120370370801538E-3</v>
      </c>
      <c r="N197" s="7">
        <f t="shared" si="81"/>
        <v>9.2333333333954215</v>
      </c>
      <c r="O197" s="7"/>
      <c r="P197" s="7"/>
      <c r="Q197" s="22"/>
      <c r="R197" s="22"/>
      <c r="S197" s="31">
        <f t="shared" si="80"/>
        <v>1</v>
      </c>
      <c r="T197" s="46" t="str">
        <f t="shared" si="57"/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8"/>
        <v>https://d0f6bd738d7f1b3e5a7ca70fe4ff75f0.us-east-1.aws.found.io/app/kibana#/discover/Steve-Slow-Train-Analysis-(2080s-and-2083s)?_g=(refreshInterval:(display:Off,pause:!f,section:0,value:0),time:(from:'2017-03-11T01:50:54-0700',mode:absolute,to:'2017-03-11T04:07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7" s="187" t="str">
        <f t="shared" si="59"/>
        <v>Y</v>
      </c>
      <c r="X197" s="187">
        <f t="shared" si="79"/>
        <v>-1531</v>
      </c>
      <c r="Y197" s="62">
        <f t="shared" si="82"/>
        <v>2.3205</v>
      </c>
      <c r="Z197" s="62">
        <f t="shared" si="83"/>
        <v>1.34E-2</v>
      </c>
      <c r="AA197" s="62">
        <f t="shared" si="63"/>
        <v>2.3071000000000002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4"/>
        <v>0302-11</v>
      </c>
      <c r="AE197" s="85" t="str">
        <f t="shared" si="65"/>
        <v>aws s3 cp s3://rtdc.mdm.uploadarchive.raw/RTDC4043/ "%USERPROFILE%\AppData\Local\Temp\OnboardLogs"\RTDC4043\2017-03-11 --exclude "*" --recursive --include "*20170311*" &amp; "%USERPROFILE%\Documents\GitHub\mrs-test-scripts\Headless Mode &amp; Sideloading\WalkAndUnGZ.bat" "%USERPROFILE%\AppData\Local\Temp\OnboardLogs"\RTDC4043\2017-03-11 &amp; aws s3 cp s3://rtdc.mdm.uploadarchive.raw/RTDC4043/ "%USERPROFILE%\AppData\Local\Temp\OnboardLogs"\RTDC4043\2017-03-12 --exclude "*" --recursive --include "*20170312*" &amp; "%USERPROFILE%\Documents\GitHub\mrs-test-scripts\Headless Mode &amp; Sideloading\WalkAndUnGZ.bat" "%USERPROFILE%\AppData\Local\Temp\OnboardLogs"\RTDC4043\2017-03-12</v>
      </c>
      <c r="AF197" s="82" t="str">
        <f t="shared" si="66"/>
        <v>"C:\Program Files (x86)\AstroGrep\AstroGrep.exe" /e /r /s /spath="%USERPROFILE%\AppData\Local\Temp\OnboardLogs" /stypes="app*4043*20170311*" /stext=" 10:.+((SYSTEM_STATE.+slice.+state.+changed )|(ment ac)|(multiple cpu faults)|(system.+state.+changed )|(\[timeout)|(PRM\|1\|D)|(kpr)|(kdp)|(\|lc)|(penalty))"</v>
      </c>
      <c r="AG197" s="1" t="str">
        <f t="shared" si="67"/>
        <v>Other</v>
      </c>
      <c r="AH197" s="86" t="str">
        <f t="shared" si="68"/>
        <v>"%USERPROFILE%\Documents\GitHub\eaglep3\Utilities\RefineRTDCRunTimes.py" --tripid 302-11 --locoid 4043 --swversion DE.1.0.9.0 --startMP 300:23205 --initTime 2017-03-11T02:50:54 --startdatetime 2017-03-11T02:58:12 --delay 7 --endMP 204:134 --enddatetime 2017-03-11T03:07:26 --enforcementcount 0 &gt;&gt;C:\Users\stu\Documents\GitHub\eaglep3-reporting\EC\2017-03-11-refined-times.txt</v>
      </c>
      <c r="AI197" s="108" t="str">
        <f t="shared" si="69"/>
        <v>echo {"issue":{"subject":"","project_id":79,"tracker_id":40,"status_id":1,"priority_id":2,"assigned_to_id":23,"start_date":"2017-03-11","description":"","custom_fields":[{"id":1,"name":"Subdivision","value":"Other"},{"id":4,"name":"Milepost","value":"0.0134"},{"id":17,"name":"Train ID","value":"302-11"},{"id":16,"name":"Locomotive ID","value":"4043"},{"id":130,"name":"Impact","value":""},{"id":150,"name":"Time of Event (Mountain Time)","value":"03:07:26"},{"id":151,"name":"Denver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70"/>
        <v>start /low /b %USERPROFILE%\Documents\GitHub\eaglep3\Utilities\DownloadLogsFromS3.py --loco 4043 --day 2017-03-11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"%USERPROFILE%\AppData\Local\Temp\OnboardLogs"\RTDC4043\*4043*20170311* | grep -SE "(Enforcement Action)|(\[TIMEOUT)|(CHR.+\|PRM\|1\|D.+(SWITCH|SIGNAL).+UNKNOWN)" - &gt;&gt; 2017-03-11-UncaughtWiMAX.txt</v>
      </c>
    </row>
    <row r="198" spans="1:40" x14ac:dyDescent="0.25">
      <c r="A198" s="33" t="s">
        <v>784</v>
      </c>
      <c r="B198" s="7">
        <v>4006</v>
      </c>
      <c r="C198" s="21" t="s">
        <v>240</v>
      </c>
      <c r="D198" s="21" t="s">
        <v>241</v>
      </c>
      <c r="E198" s="13">
        <v>42805.77615740741</v>
      </c>
      <c r="F198" s="13">
        <v>42805.777037037034</v>
      </c>
      <c r="G198" s="7">
        <v>1</v>
      </c>
      <c r="H198" s="21" t="s">
        <v>439</v>
      </c>
      <c r="I198" s="13">
        <v>42805.784270833334</v>
      </c>
      <c r="J198" s="7">
        <v>0</v>
      </c>
      <c r="K198" s="98" t="str">
        <f t="shared" si="55"/>
        <v>4005/4006</v>
      </c>
      <c r="L198" s="21" t="str">
        <f>VLOOKUP(A198,'Trips&amp;Operators'!$C$1:$G$99999,5,FALSE)</f>
        <v>HOLCOMB KAMDEN</v>
      </c>
      <c r="M198" s="6">
        <f t="shared" si="56"/>
        <v>7.2337962992605753E-3</v>
      </c>
      <c r="N198" s="7">
        <f t="shared" si="81"/>
        <v>10.416666670935228</v>
      </c>
      <c r="O198" s="7"/>
      <c r="P198" s="7"/>
      <c r="Q198" s="22"/>
      <c r="R198" s="22"/>
      <c r="S198" s="31">
        <f t="shared" si="80"/>
        <v>1</v>
      </c>
      <c r="T198" s="46" t="str">
        <f t="shared" si="57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8"/>
        <v>https://d0f6bd738d7f1b3e5a7ca70fe4ff75f0.us-east-1.aws.found.io/app/kibana#/discover/Steve-Slow-Train-Analysis-(2080s-and-2083s)?_g=(refreshInterval:(display:Off,pause:!f,section:0,value:0),time:(from:'2017-03-11T17:37:40-0700',mode:absolute,to:'2017-03-11T19:49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8" s="187" t="str">
        <f t="shared" si="59"/>
        <v>Y</v>
      </c>
      <c r="X198" s="187">
        <f t="shared" ref="X198:X221" si="84">VALUE(LEFT(AD198,4))-VALUE(LEFT(AD197,4))</f>
        <v>1</v>
      </c>
      <c r="Y198" s="62">
        <f t="shared" si="82"/>
        <v>4.58E-2</v>
      </c>
      <c r="Z198" s="62">
        <f t="shared" si="83"/>
        <v>2.3302</v>
      </c>
      <c r="AA198" s="62">
        <f t="shared" si="63"/>
        <v>2.2844000000000002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4"/>
        <v>0303-11</v>
      </c>
      <c r="AE198" s="85" t="str">
        <f t="shared" si="65"/>
        <v>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 &amp; 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</v>
      </c>
      <c r="AF198" s="82" t="str">
        <f t="shared" si="66"/>
        <v>"C:\Program Files (x86)\AstroGrep\AstroGrep.exe" /e /r /s /spath="%USERPROFILE%\AppData\Local\Temp\OnboardLogs" /stypes="app*4006*20170312*" /stext=" 01:.+((SYSTEM_STATE.+slice.+state.+changed )|(ment ac)|(multiple cpu faults)|(system.+state.+changed )|(\[timeout)|(PRM\|1\|D)|(kpr)|(kdp)|(\|lc)|(penalty))"</v>
      </c>
      <c r="AG198" s="1" t="str">
        <f t="shared" si="67"/>
        <v>Other</v>
      </c>
      <c r="AH198" s="86" t="str">
        <f t="shared" si="68"/>
        <v>"%USERPROFILE%\Documents\GitHub\eaglep3\Utilities\RefineRTDCRunTimes.py" --tripid 303-11 --locoid 4006 --swversion DE.1.0.9.0 --startMP 204:458 --initTime 2017-03-11T18:37:40 --startdatetime 2017-03-11T18:38:56 --delay 1 --endMP 300:23302 --enddatetime 2017-03-11T18:49:21 --enforcementcount 0 &gt;&gt;C:\Users\stu\Documents\GitHub\eaglep3-reporting\EC\2017-03-11-refined-times.txt</v>
      </c>
      <c r="AI198" s="108" t="str">
        <f t="shared" si="69"/>
        <v>echo {"issue":{"subject":"","project_id":79,"tracker_id":40,"status_id":1,"priority_id":2,"assigned_to_id":23,"start_date":"2017-03-11","description":"","custom_fields":[{"id":1,"name":"Subdivision","value":"Other"},{"id":4,"name":"Milepost","value":"2.3302"},{"id":17,"name":"Train ID","value":"303-11"},{"id":16,"name":"Locomotive ID","value":"4006"},{"id":130,"name":"Impact","value":""},{"id":150,"name":"Time of Event (Mountain Time)","value":"18:49:21"},{"id":151,"name":"Denver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70"/>
        <v>start /low /b %USERPROFILE%\Documents\GitHub\eaglep3\Utilities\DownloadLogsFromS3.py --loco 4006 --day 2017-03-11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"%USERPROFILE%\AppData\Local\Temp\OnboardLogs"\RTDC4006\*4006*20170312* | grep -SE "(Enforcement Action)|(\[TIMEOUT)|(CHR.+\|PRM\|1\|D.+(SWITCH|SIGNAL).+UNKNOWN)" - &gt;&gt; 2017-03-11-UncaughtWiMAX.txt</v>
      </c>
    </row>
    <row r="199" spans="1:40" x14ac:dyDescent="0.25">
      <c r="A199" s="33" t="s">
        <v>634</v>
      </c>
      <c r="B199" s="7">
        <v>4010</v>
      </c>
      <c r="C199" s="21" t="s">
        <v>240</v>
      </c>
      <c r="D199" s="21" t="s">
        <v>956</v>
      </c>
      <c r="E199" s="13">
        <v>42805.134571759256</v>
      </c>
      <c r="F199" s="13">
        <v>42805.137766203705</v>
      </c>
      <c r="G199" s="7">
        <v>4</v>
      </c>
      <c r="H199" s="21" t="s">
        <v>202</v>
      </c>
      <c r="I199" s="13">
        <v>42805.143796296295</v>
      </c>
      <c r="J199" s="7">
        <v>0</v>
      </c>
      <c r="K199" s="98" t="str">
        <f t="shared" si="55"/>
        <v>4009/4010</v>
      </c>
      <c r="L199" s="21" t="str">
        <f>VLOOKUP(A199,'Trips&amp;Operators'!$C$1:$G$99999,5,FALSE)</f>
        <v>ROBINSON KADDIBA</v>
      </c>
      <c r="M199" s="6">
        <f t="shared" si="56"/>
        <v>6.0300925906631164E-3</v>
      </c>
      <c r="N199" s="7">
        <f t="shared" si="81"/>
        <v>8.6833333305548877</v>
      </c>
      <c r="O199" s="7"/>
      <c r="P199" s="7"/>
      <c r="Q199" s="22"/>
      <c r="R199" s="22"/>
      <c r="S199" s="31">
        <f t="shared" si="80"/>
        <v>1</v>
      </c>
      <c r="T199" s="46" t="str">
        <f t="shared" si="57"/>
        <v>Southbound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8"/>
        <v>https://d0f6bd738d7f1b3e5a7ca70fe4ff75f0.us-east-1.aws.found.io/app/kibana#/discover/Steve-Slow-Train-Analysis-(2080s-and-2083s)?_g=(refreshInterval:(display:Off,pause:!f,section:0,value:0),time:(from:'2017-03-11T02:13:47-0700',mode:absolute,to:'2017-03-11T04:27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9" s="187" t="str">
        <f t="shared" si="59"/>
        <v>Y</v>
      </c>
      <c r="X199" s="187">
        <f t="shared" si="84"/>
        <v>1</v>
      </c>
      <c r="Y199" s="62">
        <f t="shared" si="82"/>
        <v>2.3784000000000001</v>
      </c>
      <c r="Z199" s="62">
        <f t="shared" si="83"/>
        <v>1.52E-2</v>
      </c>
      <c r="AA199" s="62">
        <f t="shared" si="63"/>
        <v>2.3632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4"/>
        <v>0304-11</v>
      </c>
      <c r="AE199" s="85" t="str">
        <f t="shared" si="65"/>
        <v>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 &amp; aws s3 cp s3://rtdc.mdm.uploadarchive.raw/RTDC4010/ "%USERPROFILE%\AppData\Local\Temp\OnboardLogs"\RTDC4010\2017-03-12 --exclude "*" --recursive --include "*20170312*" &amp; "%USERPROFILE%\Documents\GitHub\mrs-test-scripts\Headless Mode &amp; Sideloading\WalkAndUnGZ.bat" "%USERPROFILE%\AppData\Local\Temp\OnboardLogs"\RTDC4010\2017-03-12</v>
      </c>
      <c r="AF199" s="82" t="str">
        <f t="shared" si="66"/>
        <v>"C:\Program Files (x86)\AstroGrep\AstroGrep.exe" /e /r /s /spath="%USERPROFILE%\AppData\Local\Temp\OnboardLogs" /stypes="app*4010*20170311*" /stext=" 10:.+((SYSTEM_STATE.+slice.+state.+changed )|(ment ac)|(multiple cpu faults)|(system.+state.+changed )|(\[timeout)|(PRM\|1\|D)|(kpr)|(kdp)|(\|lc)|(penalty))"</v>
      </c>
      <c r="AG199" s="1" t="str">
        <f t="shared" si="67"/>
        <v>Other</v>
      </c>
      <c r="AH199" s="86" t="str">
        <f t="shared" si="68"/>
        <v>"%USERPROFILE%\Documents\GitHub\eaglep3\Utilities\RefineRTDCRunTimes.py" --tripid 304-11 --locoid 4010 --swversion DE.1.0.9.0 --startMP 300:23784 --initTime 2017-03-11T03:13:47 --startdatetime 2017-03-11T03:18:23 --delay 4 --endMP 204:152 --enddatetime 2017-03-11T03:27:04 --enforcementcount 0 &gt;&gt;C:\Users\stu\Documents\GitHub\eaglep3-reporting\EC\2017-03-11-refined-times.txt</v>
      </c>
      <c r="AI199" s="108" t="str">
        <f t="shared" si="69"/>
        <v>echo {"issue":{"subject":"","project_id":79,"tracker_id":40,"status_id":1,"priority_id":2,"assigned_to_id":23,"start_date":"2017-03-11","description":"","custom_fields":[{"id":1,"name":"Subdivision","value":"Other"},{"id":4,"name":"Milepost","value":"0.0152"},{"id":17,"name":"Train ID","value":"304-11"},{"id":16,"name":"Locomotive ID","value":"4010"},{"id":130,"name":"Impact","value":""},{"id":150,"name":"Time of Event (Mountain Time)","value":"03:27:04"},{"id":151,"name":"Denver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70"/>
        <v>start /low /b %USERPROFILE%\Documents\GitHub\eaglep3\Utilities\DownloadLogsFromS3.py --loco 4010 --day 2017-03-11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"%USERPROFILE%\AppData\Local\Temp\OnboardLogs"\RTDC4010\*4010*20170311* | grep -SE "(Enforcement Action)|(\[TIMEOUT)|(CHR.+\|PRM\|1\|D.+(SWITCH|SIGNAL).+UNKNOWN)" - &gt;&gt; 2017-03-11-UncaughtWiMAX.txt</v>
      </c>
    </row>
    <row r="200" spans="1:40" x14ac:dyDescent="0.25">
      <c r="A200" s="33" t="s">
        <v>788</v>
      </c>
      <c r="B200" s="7">
        <v>4044</v>
      </c>
      <c r="C200" s="21" t="s">
        <v>240</v>
      </c>
      <c r="D200" s="21" t="s">
        <v>957</v>
      </c>
      <c r="E200" s="13">
        <v>42805.79582175926</v>
      </c>
      <c r="F200" s="13">
        <v>42805.797534722224</v>
      </c>
      <c r="G200" s="7">
        <v>2</v>
      </c>
      <c r="H200" s="21" t="s">
        <v>503</v>
      </c>
      <c r="I200" s="13">
        <v>42805.803136574075</v>
      </c>
      <c r="J200" s="7">
        <v>0</v>
      </c>
      <c r="K200" s="98" t="str">
        <f t="shared" si="55"/>
        <v>4043/4044</v>
      </c>
      <c r="L200" s="21" t="str">
        <f>VLOOKUP(A200,'Trips&amp;Operators'!$C$1:$G$99999,5,FALSE)</f>
        <v>ROMERO CHAD</v>
      </c>
      <c r="M200" s="6">
        <f t="shared" si="56"/>
        <v>5.6018518516793847E-3</v>
      </c>
      <c r="N200" s="7">
        <f t="shared" si="81"/>
        <v>8.066666666418314</v>
      </c>
      <c r="O200" s="7"/>
      <c r="P200" s="7"/>
      <c r="Q200" s="22"/>
      <c r="R200" s="22"/>
      <c r="S200" s="31">
        <f t="shared" si="80"/>
        <v>1</v>
      </c>
      <c r="T200" s="46" t="str">
        <f t="shared" si="57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58"/>
        <v>https://d0f6bd738d7f1b3e5a7ca70fe4ff75f0.us-east-1.aws.found.io/app/kibana#/discover/Steve-Slow-Train-Analysis-(2080s-and-2083s)?_g=(refreshInterval:(display:Off,pause:!f,section:0,value:0),time:(from:'2017-03-11T18:05:59-0700',mode:absolute,to:'2017-03-11T20:16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0" s="187" t="str">
        <f t="shared" si="59"/>
        <v>Y</v>
      </c>
      <c r="X200" s="187">
        <f t="shared" si="84"/>
        <v>1</v>
      </c>
      <c r="Y200" s="62">
        <f t="shared" si="82"/>
        <v>0.11559999999999999</v>
      </c>
      <c r="Z200" s="62">
        <f t="shared" si="83"/>
        <v>2.3304</v>
      </c>
      <c r="AA200" s="62">
        <f t="shared" si="63"/>
        <v>2.2147999999999999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4"/>
        <v>0305-11</v>
      </c>
      <c r="AE200" s="85" t="str">
        <f t="shared" si="65"/>
        <v>aws s3 cp s3://rtdc.mdm.uploadarchive.raw/RTDC4044/ "%USERPROFILE%\AppData\Local\Temp\OnboardLogs"\RTDC4044\2017-03-11 --exclude "*" --recursive --include "*20170311*" &amp; "%USERPROFILE%\Documents\GitHub\mrs-test-scripts\Headless Mode &amp; Sideloading\WalkAndUnGZ.bat" "%USERPROFILE%\AppData\Local\Temp\OnboardLogs"\RTDC4044\2017-03-11 &amp; aws s3 cp s3://rtdc.mdm.uploadarchive.raw/RTDC4044/ "%USERPROFILE%\AppData\Local\Temp\OnboardLogs"\RTDC4044\2017-03-12 --exclude "*" --recursive --include "*20170312*" &amp; "%USERPROFILE%\Documents\GitHub\mrs-test-scripts\Headless Mode &amp; Sideloading\WalkAndUnGZ.bat" "%USERPROFILE%\AppData\Local\Temp\OnboardLogs"\RTDC4044\2017-03-12</v>
      </c>
      <c r="AF200" s="82" t="str">
        <f t="shared" si="66"/>
        <v>"C:\Program Files (x86)\AstroGrep\AstroGrep.exe" /e /r /s /spath="%USERPROFILE%\AppData\Local\Temp\OnboardLogs" /stypes="app*4044*20170312*" /stext=" 02:.+((SYSTEM_STATE.+slice.+state.+changed )|(ment ac)|(multiple cpu faults)|(system.+state.+changed )|(\[timeout)|(PRM\|1\|D)|(kpr)|(kdp)|(\|lc)|(penalty))"</v>
      </c>
      <c r="AG200" s="1" t="str">
        <f t="shared" si="67"/>
        <v>Other</v>
      </c>
      <c r="AH200" s="86" t="str">
        <f t="shared" si="68"/>
        <v>"%USERPROFILE%\Documents\GitHub\eaglep3\Utilities\RefineRTDCRunTimes.py" --tripid 305-11 --locoid 4044 --swversion DE.1.0.9.0 --startMP 204:1156 --initTime 2017-03-11T19:05:59 --startdatetime 2017-03-11T19:08:27 --delay 2 --endMP 300:23304 --enddatetime 2017-03-11T19:16:31 --enforcementcount 0 &gt;&gt;C:\Users\stu\Documents\GitHub\eaglep3-reporting\EC\2017-03-11-refined-times.txt</v>
      </c>
      <c r="AI200" s="108" t="str">
        <f t="shared" si="69"/>
        <v>echo {"issue":{"subject":"","project_id":79,"tracker_id":40,"status_id":1,"priority_id":2,"assigned_to_id":23,"start_date":"2017-03-11","description":"","custom_fields":[{"id":1,"name":"Subdivision","value":"Other"},{"id":4,"name":"Milepost","value":"2.3304"},{"id":17,"name":"Train ID","value":"305-11"},{"id":16,"name":"Locomotive ID","value":"4044"},{"id":130,"name":"Impact","value":""},{"id":150,"name":"Time of Event (Mountain Time)","value":"19:16:31"},{"id":151,"name":"Denver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70"/>
        <v>start /low /b %USERPROFILE%\Documents\GitHub\eaglep3\Utilities\DownloadLogsFromS3.py --loco 4044 --day 2017-03-11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"%USERPROFILE%\AppData\Local\Temp\OnboardLogs"\RTDC4044\*4044*20170312* | grep -SE "(Enforcement Action)|(\[TIMEOUT)|(CHR.+\|PRM\|1\|D.+(SWITCH|SIGNAL).+UNKNOWN)" - &gt;&gt; 2017-03-11-UncaughtWiMAX.txt</v>
      </c>
    </row>
    <row r="201" spans="1:40" x14ac:dyDescent="0.25">
      <c r="A201" s="33" t="s">
        <v>637</v>
      </c>
      <c r="B201" s="7">
        <v>4032</v>
      </c>
      <c r="C201" s="21" t="s">
        <v>240</v>
      </c>
      <c r="D201" s="21" t="s">
        <v>958</v>
      </c>
      <c r="E201" s="13">
        <v>42805.158483796295</v>
      </c>
      <c r="F201" s="13">
        <v>42805.160787037035</v>
      </c>
      <c r="G201" s="7">
        <v>3</v>
      </c>
      <c r="H201" s="21" t="s">
        <v>231</v>
      </c>
      <c r="I201" s="13">
        <v>42805.166724537034</v>
      </c>
      <c r="J201" s="7">
        <v>0</v>
      </c>
      <c r="K201" s="98" t="str">
        <f t="shared" si="55"/>
        <v>4031/4032</v>
      </c>
      <c r="L201" s="21" t="str">
        <f>VLOOKUP(A201,'Trips&amp;Operators'!$C$1:$G$99999,5,FALSE)</f>
        <v>MAELZER KURT</v>
      </c>
      <c r="M201" s="6">
        <f t="shared" si="56"/>
        <v>5.9374999982537702E-3</v>
      </c>
      <c r="N201" s="7">
        <f t="shared" si="81"/>
        <v>8.549999997485429</v>
      </c>
      <c r="O201" s="7"/>
      <c r="P201" s="7"/>
      <c r="Q201" s="22"/>
      <c r="R201" s="22"/>
      <c r="S201" s="31">
        <f t="shared" si="80"/>
        <v>1</v>
      </c>
      <c r="T201" s="46" t="str">
        <f t="shared" si="57"/>
        <v>Southbound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58"/>
        <v>https://d0f6bd738d7f1b3e5a7ca70fe4ff75f0.us-east-1.aws.found.io/app/kibana#/discover/Steve-Slow-Train-Analysis-(2080s-and-2083s)?_g=(refreshInterval:(display:Off,pause:!f,section:0,value:0),time:(from:'2017-03-11T02:48:13-0700',mode:absolute,to:'2017-03-11T05:00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1" s="187" t="str">
        <f t="shared" si="59"/>
        <v>Y</v>
      </c>
      <c r="X201" s="187">
        <f t="shared" si="84"/>
        <v>1</v>
      </c>
      <c r="Y201" s="62">
        <f t="shared" si="82"/>
        <v>2.3378999999999999</v>
      </c>
      <c r="Z201" s="62">
        <f t="shared" si="83"/>
        <v>1.5599999999999999E-2</v>
      </c>
      <c r="AA201" s="62">
        <f t="shared" si="63"/>
        <v>2.3222999999999998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4"/>
        <v>0306-11</v>
      </c>
      <c r="AE201" s="85" t="str">
        <f t="shared" si="65"/>
        <v>aws s3 cp s3://rtdc.mdm.uploadarchive.raw/RTDC4032/ "%USERPROFILE%\AppData\Local\Temp\OnboardLogs"\RTDC4032\2017-03-11 --exclude "*" --recursive --include "*20170311*" &amp; "%USERPROFILE%\Documents\GitHub\mrs-test-scripts\Headless Mode &amp; Sideloading\WalkAndUnGZ.bat" "%USERPROFILE%\AppData\Local\Temp\OnboardLogs"\RTDC4032\2017-03-11 &amp; aws s3 cp s3://rtdc.mdm.uploadarchive.raw/RTDC4032/ "%USERPROFILE%\AppData\Local\Temp\OnboardLogs"\RTDC4032\2017-03-12 --exclude "*" --recursive --include "*20170312*" &amp; "%USERPROFILE%\Documents\GitHub\mrs-test-scripts\Headless Mode &amp; Sideloading\WalkAndUnGZ.bat" "%USERPROFILE%\AppData\Local\Temp\OnboardLogs"\RTDC4032\2017-03-12</v>
      </c>
      <c r="AF201" s="82" t="str">
        <f t="shared" si="66"/>
        <v>"C:\Program Files (x86)\AstroGrep\AstroGrep.exe" /e /r /s /spath="%USERPROFILE%\AppData\Local\Temp\OnboardLogs" /stypes="app*4032*20170311*" /stext=" 11:.+((SYSTEM_STATE.+slice.+state.+changed )|(ment ac)|(multiple cpu faults)|(system.+state.+changed )|(\[timeout)|(PRM\|1\|D)|(kpr)|(kdp)|(\|lc)|(penalty))"</v>
      </c>
      <c r="AG201" s="1" t="str">
        <f t="shared" si="67"/>
        <v>Other</v>
      </c>
      <c r="AH201" s="86" t="str">
        <f t="shared" si="68"/>
        <v>"%USERPROFILE%\Documents\GitHub\eaglep3\Utilities\RefineRTDCRunTimes.py" --tripid 306-11 --locoid 4032 --swversion DE.1.0.9.0 --startMP 300:23379 --initTime 2017-03-11T03:48:13 --startdatetime 2017-03-11T03:51:32 --delay 3 --endMP 204:156 --enddatetime 2017-03-11T04:00:05 --enforcementcount 0 &gt;&gt;C:\Users\stu\Documents\GitHub\eaglep3-reporting\EC\2017-03-11-refined-times.txt</v>
      </c>
      <c r="AI201" s="108" t="str">
        <f t="shared" si="69"/>
        <v>echo {"issue":{"subject":"","project_id":79,"tracker_id":40,"status_id":1,"priority_id":2,"assigned_to_id":23,"start_date":"2017-03-11","description":"","custom_fields":[{"id":1,"name":"Subdivision","value":"Other"},{"id":4,"name":"Milepost","value":"0.0156"},{"id":17,"name":"Train ID","value":"306-11"},{"id":16,"name":"Locomotive ID","value":"4032"},{"id":130,"name":"Impact","value":""},{"id":150,"name":"Time of Event (Mountain Time)","value":"04:00:05"},{"id":151,"name":"Denver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70"/>
        <v>start /low /b %USERPROFILE%\Documents\GitHub\eaglep3\Utilities\DownloadLogsFromS3.py --loco 4032 --day 2017-03-11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"%USERPROFILE%\AppData\Local\Temp\OnboardLogs"\RTDC4032\*4032*20170311* | grep -SE "(Enforcement Action)|(\[TIMEOUT)|(CHR.+\|PRM\|1\|D.+(SWITCH|SIGNAL).+UNKNOWN)" - &gt;&gt; 2017-03-11-UncaughtWiMAX.txt</v>
      </c>
    </row>
    <row r="202" spans="1:40" x14ac:dyDescent="0.25">
      <c r="A202" s="33" t="s">
        <v>640</v>
      </c>
      <c r="B202" s="7">
        <v>4039</v>
      </c>
      <c r="C202" s="21" t="s">
        <v>240</v>
      </c>
      <c r="D202" s="21" t="s">
        <v>959</v>
      </c>
      <c r="E202" s="13">
        <v>42805.170254629629</v>
      </c>
      <c r="F202" s="13">
        <v>42805.17423611111</v>
      </c>
      <c r="G202" s="7">
        <v>5</v>
      </c>
      <c r="H202" s="21" t="s">
        <v>422</v>
      </c>
      <c r="I202" s="13">
        <v>42805.180104166669</v>
      </c>
      <c r="J202" s="7">
        <v>0</v>
      </c>
      <c r="K202" s="98" t="str">
        <f t="shared" si="55"/>
        <v>4039/4040</v>
      </c>
      <c r="L202" s="21" t="str">
        <f>VLOOKUP(A202,'Trips&amp;Operators'!$C$1:$G$99999,5,FALSE)</f>
        <v>DAVIS WENDY</v>
      </c>
      <c r="M202" s="6">
        <f t="shared" si="56"/>
        <v>5.8680555594037287E-3</v>
      </c>
      <c r="N202" s="7">
        <f t="shared" si="81"/>
        <v>8.4500000055413693</v>
      </c>
      <c r="O202" s="7"/>
      <c r="P202" s="7"/>
      <c r="Q202" s="22"/>
      <c r="R202" s="22"/>
      <c r="S202" s="31">
        <f t="shared" si="80"/>
        <v>1</v>
      </c>
      <c r="T202" s="46" t="str">
        <f t="shared" si="57"/>
        <v>Southbound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58"/>
        <v>https://d0f6bd738d7f1b3e5a7ca70fe4ff75f0.us-east-1.aws.found.io/app/kibana#/discover/Steve-Slow-Train-Analysis-(2080s-and-2083s)?_g=(refreshInterval:(display:Off,pause:!f,section:0,value:0),time:(from:'2017-03-11T03:05:10-0700',mode:absolute,to:'2017-03-11T05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2" s="187" t="str">
        <f t="shared" si="59"/>
        <v>Y</v>
      </c>
      <c r="X202" s="187">
        <f t="shared" si="84"/>
        <v>2</v>
      </c>
      <c r="Y202" s="62">
        <f t="shared" si="82"/>
        <v>2.3571</v>
      </c>
      <c r="Z202" s="62">
        <f t="shared" si="83"/>
        <v>1.6E-2</v>
      </c>
      <c r="AA202" s="62">
        <f t="shared" si="63"/>
        <v>2.3411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4"/>
        <v>0308-11</v>
      </c>
      <c r="AE202" s="85" t="str">
        <f t="shared" si="65"/>
        <v>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 &amp; aws s3 cp s3://rtdc.mdm.uploadarchive.raw/RTDC4039/ "%USERPROFILE%\AppData\Local\Temp\OnboardLogs"\RTDC4039\2017-03-12 --exclude "*" --recursive --include "*20170312*" &amp; "%USERPROFILE%\Documents\GitHub\mrs-test-scripts\Headless Mode &amp; Sideloading\WalkAndUnGZ.bat" "%USERPROFILE%\AppData\Local\Temp\OnboardLogs"\RTDC4039\2017-03-12</v>
      </c>
      <c r="AF202" s="82" t="str">
        <f t="shared" si="66"/>
        <v>"C:\Program Files (x86)\AstroGrep\AstroGrep.exe" /e /r /s /spath="%USERPROFILE%\AppData\Local\Temp\OnboardLogs" /stypes="app*4039*20170311*" /stext=" 11:.+((SYSTEM_STATE.+slice.+state.+changed )|(ment ac)|(multiple cpu faults)|(system.+state.+changed )|(\[timeout)|(PRM\|1\|D)|(kpr)|(kdp)|(\|lc)|(penalty))"</v>
      </c>
      <c r="AG202" s="1" t="str">
        <f t="shared" si="67"/>
        <v>Other</v>
      </c>
      <c r="AH202" s="86" t="str">
        <f t="shared" si="68"/>
        <v>"%USERPROFILE%\Documents\GitHub\eaglep3\Utilities\RefineRTDCRunTimes.py" --tripid 308-11 --locoid 4039 --swversion DE.1.0.9.0 --startMP 300:23571 --initTime 2017-03-11T04:05:10 --startdatetime 2017-03-11T04:10:54 --delay 5 --endMP 204:160 --enddatetime 2017-03-11T04:19:21 --enforcementcount 0 &gt;&gt;C:\Users\stu\Documents\GitHub\eaglep3-reporting\EC\2017-03-11-refined-times.txt</v>
      </c>
      <c r="AI202" s="108" t="str">
        <f t="shared" si="69"/>
        <v>echo {"issue":{"subject":"","project_id":79,"tracker_id":40,"status_id":1,"priority_id":2,"assigned_to_id":23,"start_date":"2017-03-11","description":"","custom_fields":[{"id":1,"name":"Subdivision","value":"Other"},{"id":4,"name":"Milepost","value":"0.016"},{"id":17,"name":"Train ID","value":"308-11"},{"id":16,"name":"Locomotive ID","value":"4039"},{"id":130,"name":"Impact","value":""},{"id":150,"name":"Time of Event (Mountain Time)","value":"04:19:21"},{"id":151,"name":"Denver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70"/>
        <v>start /low /b %USERPROFILE%\Documents\GitHub\eaglep3\Utilities\DownloadLogsFromS3.py --loco 4039 --day 2017-03-11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"%USERPROFILE%\AppData\Local\Temp\OnboardLogs"\RTDC4039\*4039*20170311* | grep -SE "(Enforcement Action)|(\[TIMEOUT)|(CHR.+\|PRM\|1\|D.+(SWITCH|SIGNAL).+UNKNOWN)" - &gt;&gt; 2017-03-11-UncaughtWiMAX.txt</v>
      </c>
    </row>
    <row r="203" spans="1:40" x14ac:dyDescent="0.25">
      <c r="A203" s="33" t="s">
        <v>823</v>
      </c>
      <c r="B203" s="7">
        <v>4014</v>
      </c>
      <c r="C203" s="21" t="s">
        <v>240</v>
      </c>
      <c r="D203" s="21" t="s">
        <v>241</v>
      </c>
      <c r="E203" s="13">
        <v>42806.048252314817</v>
      </c>
      <c r="F203" s="13">
        <v>42806.049270833333</v>
      </c>
      <c r="G203" s="7">
        <v>1</v>
      </c>
      <c r="H203" s="21" t="s">
        <v>960</v>
      </c>
      <c r="I203" s="13">
        <v>42806.055659722224</v>
      </c>
      <c r="J203" s="7">
        <v>0</v>
      </c>
      <c r="K203" s="98" t="str">
        <f t="shared" si="55"/>
        <v>4013/4014</v>
      </c>
      <c r="L203" s="21" t="str">
        <f>VLOOKUP(A203,'Trips&amp;Operators'!$C$1:$G$99999,5,FALSE)</f>
        <v>SMITH MICHAEL</v>
      </c>
      <c r="M203" s="6">
        <f t="shared" si="56"/>
        <v>6.3888888907968067E-3</v>
      </c>
      <c r="N203" s="7">
        <f t="shared" si="81"/>
        <v>9.2000000027474016</v>
      </c>
      <c r="O203" s="7"/>
      <c r="P203" s="7"/>
      <c r="Q203" s="22"/>
      <c r="R203" s="22"/>
      <c r="S203" s="31">
        <f t="shared" si="80"/>
        <v>1</v>
      </c>
      <c r="T203" s="46" t="str">
        <f t="shared" si="57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58"/>
        <v>https://d0f6bd738d7f1b3e5a7ca70fe4ff75f0.us-east-1.aws.found.io/app/kibana#/discover/Steve-Slow-Train-Analysis-(2080s-and-2083s)?_g=(refreshInterval:(display:Off,pause:!f,section:0,value:0),time:(from:'2017-03-12T00:09:29-0700',mode:absolute,to:'2017-03-12T02:20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3" s="187" t="str">
        <f t="shared" si="59"/>
        <v>Y</v>
      </c>
      <c r="X203" s="187">
        <f t="shared" si="84"/>
        <v>1</v>
      </c>
      <c r="Y203" s="62">
        <f t="shared" si="82"/>
        <v>4.58E-2</v>
      </c>
      <c r="Z203" s="62">
        <f t="shared" si="83"/>
        <v>2.3311999999999999</v>
      </c>
      <c r="AA203" s="62">
        <f t="shared" si="63"/>
        <v>2.2854000000000001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4"/>
        <v>0309-11</v>
      </c>
      <c r="AE203" s="85" t="str">
        <f t="shared" si="65"/>
        <v>aws s3 cp s3://rtdc.mdm.uploadarchive.raw/RTDC4014/ "%USERPROFILE%\AppData\Local\Temp\OnboardLogs"\RTDC4014\2017-03-12 --exclude "*" --recursive --include "*20170312*" &amp; "%USERPROFILE%\Documents\GitHub\mrs-test-scripts\Headless Mode &amp; Sideloading\WalkAndUnGZ.bat" "%USERPROFILE%\AppData\Local\Temp\OnboardLogs"\RTDC4014\2017-03-12 &amp; aws s3 cp s3://rtdc.mdm.uploadarchive.raw/RTDC4014/ "%USERPROFILE%\AppData\Local\Temp\OnboardLogs"\RTDC4014\2017-03-13 --exclude "*" --recursive --include "*20170313*" &amp; "%USERPROFILE%\Documents\GitHub\mrs-test-scripts\Headless Mode &amp; Sideloading\WalkAndUnGZ.bat" "%USERPROFILE%\AppData\Local\Temp\OnboardLogs"\RTDC4014\2017-03-13</v>
      </c>
      <c r="AF203" s="82" t="str">
        <f t="shared" si="66"/>
        <v>"C:\Program Files (x86)\AstroGrep\AstroGrep.exe" /e /r /s /spath="%USERPROFILE%\AppData\Local\Temp\OnboardLogs" /stypes="app*4014*20170312*" /stext=" 08:.+((SYSTEM_STATE.+slice.+state.+changed )|(ment ac)|(multiple cpu faults)|(system.+state.+changed )|(\[timeout)|(PRM\|1\|D)|(kpr)|(kdp)|(\|lc)|(penalty))"</v>
      </c>
      <c r="AG203" s="1" t="str">
        <f t="shared" si="67"/>
        <v>Other</v>
      </c>
      <c r="AH203" s="86" t="str">
        <f t="shared" si="68"/>
        <v>"%USERPROFILE%\Documents\GitHub\eaglep3\Utilities\RefineRTDCRunTimes.py" --tripid 309-11 --locoid 4014 --swversion DE.1.0.9.0 --startMP 204:458 --initTime 2017-03-12T01:09:29 --startdatetime 2017-03-12T01:10:57 --delay 1 --endMP 300:23312 --enddatetime 2017-03-12T01:20:09 --enforcementcount 0 &gt;&gt;C:\Users\stu\Documents\GitHub\eaglep3-reporting\EC\2017-03-11-refined-times.txt</v>
      </c>
      <c r="AI203" s="108" t="str">
        <f t="shared" si="69"/>
        <v>echo {"issue":{"subject":"","project_id":79,"tracker_id":40,"status_id":1,"priority_id":2,"assigned_to_id":23,"start_date":"2017-03-12","description":"","custom_fields":[{"id":1,"name":"Subdivision","value":"Other"},{"id":4,"name":"Milepost","value":"2.3312"},{"id":17,"name":"Train ID","value":"309-11"},{"id":16,"name":"Locomotive ID","value":"4014"},{"id":130,"name":"Impact","value":""},{"id":150,"name":"Time of Event (Mountain Time)","value":"01:20:09"},{"id":151,"name":"Denver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70"/>
        <v>start /low /b %USERPROFILE%\Documents\GitHub\eaglep3\Utilities\DownloadLogsFromS3.py --loco 4014 --day 2017-03-12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"%USERPROFILE%\AppData\Local\Temp\OnboardLogs"\RTDC4014\*4014*20170312* | grep -SE "(Enforcement Action)|(\[TIMEOUT)|(CHR.+\|PRM\|1\|D.+(SWITCH|SIGNAL).+UNKNOWN)" - &gt;&gt; 2017-03-11-UncaughtWiMAX.txt</v>
      </c>
    </row>
    <row r="204" spans="1:40" x14ac:dyDescent="0.25">
      <c r="A204" s="33" t="s">
        <v>628</v>
      </c>
      <c r="B204" s="7">
        <v>4020</v>
      </c>
      <c r="C204" s="21" t="s">
        <v>240</v>
      </c>
      <c r="D204" s="21" t="s">
        <v>493</v>
      </c>
      <c r="E204" s="13">
        <v>42805.093124999999</v>
      </c>
      <c r="F204" s="13">
        <v>42805.094027777777</v>
      </c>
      <c r="G204" s="7">
        <v>1</v>
      </c>
      <c r="H204" s="21" t="s">
        <v>558</v>
      </c>
      <c r="I204" s="13">
        <v>42805.101388888892</v>
      </c>
      <c r="J204" s="7">
        <v>0</v>
      </c>
      <c r="K204" s="98" t="str">
        <f t="shared" si="55"/>
        <v>4019/4020</v>
      </c>
      <c r="L204" s="21" t="str">
        <f>VLOOKUP(A204,'Trips&amp;Operators'!$C$1:$G$99999,5,FALSE)</f>
        <v>SWANSON BRYCE</v>
      </c>
      <c r="M204" s="6">
        <f t="shared" si="56"/>
        <v>7.3611111147329211E-3</v>
      </c>
      <c r="N204" s="7">
        <f t="shared" si="81"/>
        <v>10.600000005215406</v>
      </c>
      <c r="O204" s="7"/>
      <c r="P204" s="7"/>
      <c r="Q204" s="22"/>
      <c r="R204" s="22"/>
      <c r="S204" s="31">
        <f t="shared" si="80"/>
        <v>1</v>
      </c>
      <c r="T204" s="46" t="str">
        <f t="shared" si="57"/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58"/>
        <v>https://d0f6bd738d7f1b3e5a7ca70fe4ff75f0.us-east-1.aws.found.io/app/kibana#/discover/Steve-Slow-Train-Analysis-(2080s-and-2083s)?_g=(refreshInterval:(display:Off,pause:!f,section:0,value:0),time:(from:'2017-03-11T01:14:06-0700',mode:absolute,to:'2017-03-11T03:26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4" s="187" t="str">
        <f t="shared" si="59"/>
        <v>Y</v>
      </c>
      <c r="X204" s="187">
        <f t="shared" si="84"/>
        <v>4</v>
      </c>
      <c r="Y204" s="62">
        <f t="shared" si="82"/>
        <v>4.6399999999999997E-2</v>
      </c>
      <c r="Z204" s="62">
        <f t="shared" si="83"/>
        <v>2.3346</v>
      </c>
      <c r="AA204" s="62">
        <f t="shared" si="63"/>
        <v>2.2881999999999998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4"/>
        <v>0313-10</v>
      </c>
      <c r="AE204" s="85" t="str">
        <f t="shared" si="65"/>
        <v>aws s3 cp s3://rtdc.mdm.uploadarchive.raw/RTDC4020/ "%USERPROFILE%\AppData\Local\Temp\OnboardLogs"\RTDC4020\2017-03-11 --exclude "*" --recursive --include "*20170311*" &amp; "%USERPROFILE%\Documents\GitHub\mrs-test-scripts\Headless Mode &amp; Sideloading\WalkAndUnGZ.bat" "%USERPROFILE%\AppData\Local\Temp\OnboardLogs"\RTDC4020\2017-03-11 &amp; aws s3 cp s3://rtdc.mdm.uploadarchive.raw/RTDC4020/ "%USERPROFILE%\AppData\Local\Temp\OnboardLogs"\RTDC4020\2017-03-12 --exclude "*" --recursive --include "*20170312*" &amp; "%USERPROFILE%\Documents\GitHub\mrs-test-scripts\Headless Mode &amp; Sideloading\WalkAndUnGZ.bat" "%USERPROFILE%\AppData\Local\Temp\OnboardLogs"\RTDC4020\2017-03-12</v>
      </c>
      <c r="AF204" s="82" t="str">
        <f t="shared" si="66"/>
        <v>"C:\Program Files (x86)\AstroGrep\AstroGrep.exe" /e /r /s /spath="%USERPROFILE%\AppData\Local\Temp\OnboardLogs" /stypes="app*4020*20170311*" /stext=" 09:.+((SYSTEM_STATE.+slice.+state.+changed )|(ment ac)|(multiple cpu faults)|(system.+state.+changed )|(\[timeout)|(PRM\|1\|D)|(kpr)|(kdp)|(\|lc)|(penalty))"</v>
      </c>
      <c r="AG204" s="1" t="str">
        <f t="shared" si="67"/>
        <v>Other</v>
      </c>
      <c r="AH204" s="86" t="str">
        <f t="shared" si="68"/>
        <v>"%USERPROFILE%\Documents\GitHub\eaglep3\Utilities\RefineRTDCRunTimes.py" --tripid 313-10 --locoid 4020 --swversion DE.1.0.9.0 --startMP 204:464 --initTime 2017-03-11T02:14:06 --startdatetime 2017-03-11T02:15:24 --delay 1 --endMP 300:23346 --enddatetime 2017-03-11T02:26:00 --enforcementcount 0 &gt;&gt;C:\Users\stu\Documents\GitHub\eaglep3-reporting\EC\2017-03-11-refined-times.txt</v>
      </c>
      <c r="AI204" s="108" t="str">
        <f t="shared" si="69"/>
        <v>echo {"issue":{"subject":"","project_id":79,"tracker_id":40,"status_id":1,"priority_id":2,"assigned_to_id":23,"start_date":"2017-03-11","description":"","custom_fields":[{"id":1,"name":"Subdivision","value":"Other"},{"id":4,"name":"Milepost","value":"2.3346"},{"id":17,"name":"Train ID","value":"313-10"},{"id":16,"name":"Locomotive ID","value":"4020"},{"id":130,"name":"Impact","value":""},{"id":150,"name":"Time of Event (Mountain Time)","value":"02:26:00"},{"id":151,"name":"Denver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70"/>
        <v>start /low /b %USERPROFILE%\Documents\GitHub\eaglep3\Utilities\DownloadLogsFromS3.py --loco 4020 --day 2017-03-11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"%USERPROFILE%\AppData\Local\Temp\OnboardLogs"\RTDC4020\*4020*20170311* | grep -SE "(Enforcement Action)|(\[TIMEOUT)|(CHR.+\|PRM\|1\|D.+(SWITCH|SIGNAL).+UNKNOWN)" - &gt;&gt; 2017-03-11-UncaughtWiMAX.txt</v>
      </c>
    </row>
    <row r="205" spans="1:40" x14ac:dyDescent="0.25">
      <c r="A205" s="33" t="s">
        <v>629</v>
      </c>
      <c r="B205" s="7">
        <v>4051</v>
      </c>
      <c r="C205" s="21" t="s">
        <v>240</v>
      </c>
      <c r="D205" s="21" t="s">
        <v>554</v>
      </c>
      <c r="E205" s="13">
        <v>42805.11146990741</v>
      </c>
      <c r="F205" s="13">
        <v>42805.112488425926</v>
      </c>
      <c r="G205" s="7">
        <v>1</v>
      </c>
      <c r="H205" s="21" t="s">
        <v>557</v>
      </c>
      <c r="I205" s="13">
        <v>42805.11886574074</v>
      </c>
      <c r="J205" s="7">
        <v>0</v>
      </c>
      <c r="K205" s="98" t="str">
        <f t="shared" ref="K205:K221" si="85">IF(ISEVEN(B205),(B205-1)&amp;"/"&amp;B205,B205&amp;"/"&amp;(B205+1))</f>
        <v>4051/4052</v>
      </c>
      <c r="L205" s="21" t="str">
        <f>VLOOKUP(A205,'Trips&amp;Operators'!$C$1:$G$99999,5,FALSE)</f>
        <v>BROWN JACOB</v>
      </c>
      <c r="M205" s="6">
        <f t="shared" ref="M205:M221" si="86">I205-F205</f>
        <v>6.3773148140171543E-3</v>
      </c>
      <c r="N205" s="7">
        <f t="shared" si="81"/>
        <v>9.1833333321847022</v>
      </c>
      <c r="O205" s="7"/>
      <c r="P205" s="7"/>
      <c r="Q205" s="22"/>
      <c r="R205" s="22"/>
      <c r="S205" s="31">
        <f t="shared" si="80"/>
        <v>1</v>
      </c>
      <c r="T205" s="46" t="str">
        <f t="shared" ref="T205:T221" si="87">IF(ISEVEN(LEFT(AD205,4)),"Southbound","NorthBound")</f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21" si="8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-11T01:40:31-0700',mode:absolute,to:'2017-03-11T03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5" s="187" t="str">
        <f t="shared" ref="W205:W221" si="89">IF(AA205&lt;IF(AG205="EC",23,5.65),"Y","N")</f>
        <v>Y</v>
      </c>
      <c r="X205" s="187">
        <f t="shared" si="84"/>
        <v>2</v>
      </c>
      <c r="Y205" s="62">
        <f t="shared" si="82"/>
        <v>4.6199999999999998E-2</v>
      </c>
      <c r="Z205" s="62">
        <f t="shared" si="83"/>
        <v>2.3294999999999999</v>
      </c>
      <c r="AA205" s="62">
        <f t="shared" ref="AA205:AA221" si="90">ABS(Z205-Y205)</f>
        <v>2.2833000000000001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21" si="91">IF(LEN(A205)=6,"0"&amp;A205,A205)</f>
        <v>0315-10</v>
      </c>
      <c r="AE205" s="85" t="str">
        <f t="shared" ref="AE205:AE221" si="9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s3://rtdc.mdm.uploadarchive.raw/RTDC4051/ "%USERPROFILE%\AppData\Local\Temp\OnboardLogs"\RTDC4051\2017-03-11 --exclude "*" --recursive --include "*20170311*" &amp; "%USERPROFILE%\Documents\GitHub\mrs-test-scripts\Headless Mode &amp; Sideloading\WalkAndUnGZ.bat" "%USERPROFILE%\AppData\Local\Temp\OnboardLogs"\RTDC4051\2017-03-11 &amp; 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</v>
      </c>
      <c r="AF205" s="82" t="str">
        <f t="shared" ref="AF205:AF221" si="93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/stypes="app*4051*20170311*" /stext=" 09:.+((SYSTEM_STATE.+slice.+state.+changed )|(ment ac)|(multiple cpu faults)|(system.+state.+changed )|(\[timeout)|(PRM\|1\|D)|(kpr)|(kdp)|(\|lc)|(penalty))"</v>
      </c>
      <c r="AG205" s="1" t="str">
        <f t="shared" ref="AG205:AG221" si="94">IFERROR(IF(VALUE(LEFT(AD205,2))&lt;=2,"EC",IF(OR(VALUE(LEFT(AD205,2))=8,VALUE(LEFT(AD205,2))=18),"NW","Other")),"Other")</f>
        <v>Other</v>
      </c>
      <c r="AH205" s="86" t="str">
        <f t="shared" si="68"/>
        <v>"%USERPROFILE%\Documents\GitHub\eaglep3\Utilities\RefineRTDCRunTimes.py" --tripid 315-10 --locoid 4051 --swversion DE.1.0.9.0 --startMP 204:462 --initTime 2017-03-11T02:40:31 --startdatetime 2017-03-11T02:41:59 --delay 1 --endMP 300:23295 --enddatetime 2017-03-11T02:51:10 --enforcementcount 0 &gt;&gt;C:\Users\stu\Documents\GitHub\eaglep3-reporting\EC\2017-03-11-refined-times.txt</v>
      </c>
      <c r="AI205" s="108" t="str">
        <f t="shared" si="69"/>
        <v>echo {"issue":{"subject":"","project_id":79,"tracker_id":40,"status_id":1,"priority_id":2,"assigned_to_id":23,"start_date":"2017-03-11","description":"","custom_fields":[{"id":1,"name":"Subdivision","value":"Other"},{"id":4,"name":"Milepost","value":"2.3295"},{"id":17,"name":"Train ID","value":"315-10"},{"id":16,"name":"Locomotive ID","value":"4051"},{"id":130,"name":"Impact","value":""},{"id":150,"name":"Time of Event (Mountain Time)","value":"02:51:10"},{"id":151,"name":"Denver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70"/>
        <v>start /low /b %USERPROFILE%\Documents\GitHub\eaglep3\Utilities\DownloadLogsFromS3.py --loco 4051 --day 2017-03-11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"%USERPROFILE%\AppData\Local\Temp\OnboardLogs"\RTDC4051\*4051*20170311* | grep -SE "(Enforcement Action)|(\[TIMEOUT)|(CHR.+\|PRM\|1\|D.+(SWITCH|SIGNAL).+UNKNOWN)" - &gt;&gt; 2017-03-11-UncaughtWiMAX.txt</v>
      </c>
    </row>
    <row r="206" spans="1:40" x14ac:dyDescent="0.25">
      <c r="A206" s="33" t="s">
        <v>654</v>
      </c>
      <c r="B206" s="7">
        <v>4024</v>
      </c>
      <c r="C206" s="21" t="s">
        <v>240</v>
      </c>
      <c r="D206" s="21" t="s">
        <v>929</v>
      </c>
      <c r="E206" s="13">
        <v>42805.216481481482</v>
      </c>
      <c r="F206" s="13">
        <v>42805.222303240742</v>
      </c>
      <c r="G206" s="7">
        <v>8</v>
      </c>
      <c r="H206" s="21" t="s">
        <v>898</v>
      </c>
      <c r="I206" s="13">
        <v>42805.228587962964</v>
      </c>
      <c r="J206" s="7">
        <v>0</v>
      </c>
      <c r="K206" s="98" t="str">
        <f t="shared" si="85"/>
        <v>4023/4024</v>
      </c>
      <c r="L206" s="21" t="str">
        <f>VLOOKUP(A206,'Trips&amp;Operators'!$C$1:$G$99999,5,FALSE)</f>
        <v>SHOOK JOHN</v>
      </c>
      <c r="M206" s="6">
        <f t="shared" si="86"/>
        <v>6.284722221607808E-3</v>
      </c>
      <c r="N206" s="7">
        <f t="shared" si="81"/>
        <v>9.0499999991152436</v>
      </c>
      <c r="O206" s="7"/>
      <c r="P206" s="7"/>
      <c r="Q206" s="22"/>
      <c r="R206" s="22"/>
      <c r="S206" s="31">
        <f t="shared" si="80"/>
        <v>0</v>
      </c>
      <c r="T206" s="46" t="str">
        <f t="shared" si="87"/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86" t="str">
        <f t="shared" si="88"/>
        <v>https://d0f6bd738d7f1b3e5a7ca70fe4ff75f0.us-east-1.aws.found.io/app/kibana#/discover/Steve-Slow-Train-Analysis-(2080s-and-2083s)?_g=(refreshInterval:(display:Off,pause:!f,section:0,value:0),time:(from:'2017-03-11T04:11:44-0700',mode:absolute,to:'2017-03-11T06:29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6" s="187" t="str">
        <f t="shared" si="89"/>
        <v>Y</v>
      </c>
      <c r="X206" s="187">
        <f t="shared" si="84"/>
        <v>1586</v>
      </c>
      <c r="Y206" s="62">
        <f t="shared" si="82"/>
        <v>3.0129000000000001</v>
      </c>
      <c r="Z206" s="62">
        <f t="shared" si="83"/>
        <v>5.8993000000000002</v>
      </c>
      <c r="AA206" s="62">
        <f t="shared" si="90"/>
        <v>2.8864000000000001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91"/>
        <v>1901-11</v>
      </c>
      <c r="AE206" s="85" t="str">
        <f t="shared" si="92"/>
        <v>aws s3 cp s3://rtdc.mdm.uploadarchive.raw/RTDC4024/ "%USERPROFILE%\AppData\Local\Temp\OnboardLogs"\RTDC4024\2017-03-11 --exclude "*" --recursive --include "*20170311*" &amp; "%USERPROFILE%\Documents\GitHub\mrs-test-scripts\Headless Mode &amp; Sideloading\WalkAndUnGZ.bat" "%USERPROFILE%\AppData\Local\Temp\OnboardLogs"\RTDC4024\2017-03-11 &amp; aws s3 cp s3://rtdc.mdm.uploadarchive.raw/RTDC4024/ "%USERPROFILE%\AppData\Local\Temp\OnboardLogs"\RTDC4024\2017-03-12 --exclude "*" --recursive --include "*20170312*" &amp; "%USERPROFILE%\Documents\GitHub\mrs-test-scripts\Headless Mode &amp; Sideloading\WalkAndUnGZ.bat" "%USERPROFILE%\AppData\Local\Temp\OnboardLogs"\RTDC4024\2017-03-12</v>
      </c>
      <c r="AF206" s="82" t="str">
        <f t="shared" si="93"/>
        <v>"C:\Program Files (x86)\AstroGrep\AstroGrep.exe" /e /r /s /spath="%USERPROFILE%\AppData\Local\Temp\OnboardLogs" /stypes="app*4024*20170311*" /stext=" 12:.+((SYSTEM_STATE.+slice.+state.+changed )|(ment ac)|(multiple cpu faults)|(system.+state.+changed )|(\[timeout)|(PRM\|1\|D)|(kpr)|(kdp)|(\|lc)|(penalty))"</v>
      </c>
      <c r="AG206" s="1" t="str">
        <f t="shared" si="94"/>
        <v>Other</v>
      </c>
      <c r="AH206" s="86" t="str">
        <f t="shared" ref="AH206:AH221" si="95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1901-11 --locoid 4024 --swversion DE.1.0.9.0 --startMP 300:30129 --initTime 2017-03-11T05:11:44 --startdatetime 2017-03-11T05:20:07 --delay 8 --endMP 300:58993 --enddatetime 2017-03-11T05:29:10 --enforcementcount 0 &gt;&gt;C:\Users\stu\Documents\GitHub\eaglep3-reporting\EC\2017-03-11-refined-times.txt</v>
      </c>
      <c r="AI206" s="108" t="str">
        <f t="shared" ref="AI206:AI221" si="96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{"issue":{"subject":"","project_id":79,"tracker_id":40,"status_id":1,"priority_id":2,"assigned_to_id":23,"start_date":"2017-03-11","description":"","custom_fields":[{"id":1,"name":"Subdivision","value":"Other"},{"id":4,"name":"Milepost","value":"5.8993"},{"id":17,"name":"Train ID","value":"1901-11"},{"id":16,"name":"Locomotive ID","value":"4024"},{"id":130,"name":"Impact","value":""},{"id":150,"name":"Time of Event (Mountain Time)","value":"05:29:10"},{"id":151,"name":"Denver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ref="AM206:AM221" si="97">"start /low /b "&amp;dls3logs&amp;" --loco "&amp;B206&amp;" --day "&amp;TEXT(F206,"YYYY-MM-DD")</f>
        <v>start /low /b %USERPROFILE%\Documents\GitHub\eaglep3\Utilities\DownloadLogsFromS3.py --loco 4024 --day 2017-03-11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"%USERPROFILE%\AppData\Local\Temp\OnboardLogs"\RTDC4024\*4024*20170311* | grep -SE "(Enforcement Action)|(\[TIMEOUT)|(CHR.+\|PRM\|1\|D.+(SWITCH|SIGNAL).+UNKNOWN)" - &gt;&gt; 2017-03-11-UncaughtWiMAX.txt</v>
      </c>
    </row>
    <row r="207" spans="1:40" x14ac:dyDescent="0.25">
      <c r="A207" s="33" t="s">
        <v>813</v>
      </c>
      <c r="B207" s="7">
        <v>4023</v>
      </c>
      <c r="C207" s="21" t="s">
        <v>240</v>
      </c>
      <c r="D207" s="21" t="s">
        <v>905</v>
      </c>
      <c r="E207" s="13">
        <v>42805.94263888889</v>
      </c>
      <c r="F207" s="13">
        <v>42805.94358796296</v>
      </c>
      <c r="G207" s="7">
        <v>1</v>
      </c>
      <c r="H207" s="21" t="s">
        <v>930</v>
      </c>
      <c r="I207" s="13">
        <v>42805.949016203704</v>
      </c>
      <c r="J207" s="7">
        <v>0</v>
      </c>
      <c r="K207" s="98" t="str">
        <f t="shared" si="85"/>
        <v>4023/4024</v>
      </c>
      <c r="L207" s="21" t="str">
        <f>VLOOKUP(A207,'Trips&amp;Operators'!$C$1:$G$99999,5,FALSE)</f>
        <v>MCREYNOLDS KYLE</v>
      </c>
      <c r="M207" s="6">
        <f t="shared" si="86"/>
        <v>5.4282407436403446E-3</v>
      </c>
      <c r="N207" s="7">
        <f t="shared" si="81"/>
        <v>7.8166666708420962</v>
      </c>
      <c r="O207" s="7"/>
      <c r="P207" s="7"/>
      <c r="Q207" s="22"/>
      <c r="R207" s="22"/>
      <c r="S207" s="31">
        <f t="shared" si="80"/>
        <v>0</v>
      </c>
      <c r="T207" s="46" t="str">
        <f t="shared" si="87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6" t="str">
        <f t="shared" si="88"/>
        <v>https://d0f6bd738d7f1b3e5a7ca70fe4ff75f0.us-east-1.aws.found.io/app/kibana#/discover/Steve-Slow-Train-Analysis-(2080s-and-2083s)?_g=(refreshInterval:(display:Off,pause:!f,section:0,value:0),time:(from:'2017-03-11T21:37:24-0700',mode:absolute,to:'2017-03-11T23:46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7" s="187" t="str">
        <f t="shared" si="89"/>
        <v>Y</v>
      </c>
      <c r="X207" s="187">
        <f t="shared" si="84"/>
        <v>1</v>
      </c>
      <c r="Y207" s="62">
        <f t="shared" si="82"/>
        <v>5.8616999999999999</v>
      </c>
      <c r="Z207" s="62">
        <f t="shared" si="83"/>
        <v>2.1842000000000001</v>
      </c>
      <c r="AA207" s="62">
        <f t="shared" si="90"/>
        <v>3.6774999999999998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91"/>
        <v>1902-11</v>
      </c>
      <c r="AE207" s="85" t="str">
        <f t="shared" si="92"/>
        <v>aws s3 cp s3://rtdc.mdm.uploadarchive.raw/RTDC4023/ "%USERPROFILE%\AppData\Local\Temp\OnboardLogs"\RTDC4023\2017-03-11 --exclude "*" --recursive --include "*20170311*" &amp; "%USERPROFILE%\Documents\GitHub\mrs-test-scripts\Headless Mode &amp; Sideloading\WalkAndUnGZ.bat" "%USERPROFILE%\AppData\Local\Temp\OnboardLogs"\RTDC4023\2017-03-11 &amp; aws s3 cp s3://rtdc.mdm.uploadarchive.raw/RTDC4023/ "%USERPROFILE%\AppData\Local\Temp\OnboardLogs"\RTDC4023\2017-03-12 --exclude "*" --recursive --include "*20170312*" &amp; "%USERPROFILE%\Documents\GitHub\mrs-test-scripts\Headless Mode &amp; Sideloading\WalkAndUnGZ.bat" "%USERPROFILE%\AppData\Local\Temp\OnboardLogs"\RTDC4023\2017-03-12</v>
      </c>
      <c r="AF207" s="82" t="str">
        <f t="shared" si="93"/>
        <v>"C:\Program Files (x86)\AstroGrep\AstroGrep.exe" /e /r /s /spath="%USERPROFILE%\AppData\Local\Temp\OnboardLogs" /stypes="app*4023*20170312*" /stext=" 05:.+((SYSTEM_STATE.+slice.+state.+changed )|(ment ac)|(multiple cpu faults)|(system.+state.+changed )|(\[timeout)|(PRM\|1\|D)|(kpr)|(kdp)|(\|lc)|(penalty))"</v>
      </c>
      <c r="AG207" s="1" t="str">
        <f t="shared" si="94"/>
        <v>Other</v>
      </c>
      <c r="AH207" s="86" t="str">
        <f t="shared" si="95"/>
        <v>"%USERPROFILE%\Documents\GitHub\eaglep3\Utilities\RefineRTDCRunTimes.py" --tripid 1902-11 --locoid 4023 --swversion DE.1.0.9.0 --startMP 300:58617 --initTime 2017-03-11T22:37:24 --startdatetime 2017-03-11T22:38:46 --delay 1 --endMP 300:21842 --enddatetime 2017-03-11T22:46:35 --enforcementcount 0 &gt;&gt;C:\Users\stu\Documents\GitHub\eaglep3-reporting\EC\2017-03-11-refined-times.txt</v>
      </c>
      <c r="AI207" s="108" t="str">
        <f t="shared" si="96"/>
        <v>echo {"issue":{"subject":"","project_id":79,"tracker_id":40,"status_id":1,"priority_id":2,"assigned_to_id":23,"start_date":"2017-03-11","description":"","custom_fields":[{"id":1,"name":"Subdivision","value":"Other"},{"id":4,"name":"Milepost","value":"2.1842"},{"id":17,"name":"Train ID","value":"1902-11"},{"id":16,"name":"Locomotive ID","value":"4023"},{"id":130,"name":"Impact","value":""},{"id":150,"name":"Time of Event (Mountain Time)","value":"22:46:35"},{"id":151,"name":"Denver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97"/>
        <v>start /low /b %USERPROFILE%\Documents\GitHub\eaglep3\Utilities\DownloadLogsFromS3.py --loco 4023 --day 2017-03-11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"%USERPROFILE%\AppData\Local\Temp\OnboardLogs"\RTDC4023\*4023*20170312* | grep -SE "(Enforcement Action)|(\[TIMEOUT)|(CHR.+\|PRM\|1\|D.+(SWITCH|SIGNAL).+UNKNOWN)" - &gt;&gt; 2017-03-11-UncaughtWiMAX.txt</v>
      </c>
    </row>
    <row r="208" spans="1:40" x14ac:dyDescent="0.25">
      <c r="A208" s="33" t="s">
        <v>701</v>
      </c>
      <c r="B208" s="7">
        <v>4017</v>
      </c>
      <c r="C208" s="21" t="s">
        <v>240</v>
      </c>
      <c r="D208" s="21" t="s">
        <v>961</v>
      </c>
      <c r="E208" s="13">
        <v>42805.434965277775</v>
      </c>
      <c r="F208" s="13">
        <v>42805.440127314818</v>
      </c>
      <c r="G208" s="7">
        <v>7</v>
      </c>
      <c r="H208" s="21" t="s">
        <v>556</v>
      </c>
      <c r="I208" s="13">
        <v>42805.445393518516</v>
      </c>
      <c r="J208" s="7">
        <v>0</v>
      </c>
      <c r="K208" s="98" t="str">
        <f t="shared" si="85"/>
        <v>4017/4018</v>
      </c>
      <c r="L208" s="21" t="str">
        <f>VLOOKUP(A208,'Trips&amp;Operators'!$C$1:$G$99999,5,FALSE)</f>
        <v>STEWART MICHAEL</v>
      </c>
      <c r="M208" s="6">
        <f t="shared" si="86"/>
        <v>5.2662036978290416E-3</v>
      </c>
      <c r="N208" s="7">
        <f t="shared" si="81"/>
        <v>7.5833333248738199</v>
      </c>
      <c r="O208" s="7"/>
      <c r="P208" s="7"/>
      <c r="Q208" s="22"/>
      <c r="R208" s="22"/>
      <c r="S208" s="31">
        <f t="shared" si="80"/>
        <v>0</v>
      </c>
      <c r="T208" s="46" t="e">
        <f t="shared" si="87"/>
        <v>#VALUE!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6" t="str">
        <f t="shared" si="88"/>
        <v>https://d0f6bd738d7f1b3e5a7ca70fe4ff75f0.us-east-1.aws.found.io/app/kibana#/discover/Steve-Slow-Train-Analysis-(2080s-and-2083s)?_g=(refreshInterval:(display:Off,pause:!f,section:0,value:0),time:(from:'2017-03-11T09:26:21-0700',mode:absolute,to:'2017-03-11T11:41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8" s="187" t="str">
        <f t="shared" si="89"/>
        <v>Y</v>
      </c>
      <c r="X208" s="187" t="e">
        <f t="shared" si="84"/>
        <v>#VALUE!</v>
      </c>
      <c r="Y208" s="62">
        <f t="shared" si="82"/>
        <v>2.2166000000000001</v>
      </c>
      <c r="Z208" s="62">
        <f t="shared" si="83"/>
        <v>1.4200000000000001E-2</v>
      </c>
      <c r="AA208" s="62">
        <f t="shared" si="90"/>
        <v>2.2023999999999999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91"/>
        <v>50-11</v>
      </c>
      <c r="AE208" s="85" t="str">
        <f t="shared" si="92"/>
        <v>aws s3 cp s3://rtdc.mdm.uploadarchive.raw/RTDC4017/ "%USERPROFILE%\AppData\Local\Temp\OnboardLogs"\RTDC4017\2017-03-11 --exclude "*" --recursive --include "*20170311*" &amp; "%USERPROFILE%\Documents\GitHub\mrs-test-scripts\Headless Mode &amp; Sideloading\WalkAndUnGZ.bat" "%USERPROFILE%\AppData\Local\Temp\OnboardLogs"\RTDC4017\2017-03-11 &amp; aws s3 cp s3://rtdc.mdm.uploadarchive.raw/RTDC4017/ "%USERPROFILE%\AppData\Local\Temp\OnboardLogs"\RTDC4017\2017-03-12 --exclude "*" --recursive --include "*20170312*" &amp; "%USERPROFILE%\Documents\GitHub\mrs-test-scripts\Headless Mode &amp; Sideloading\WalkAndUnGZ.bat" "%USERPROFILE%\AppData\Local\Temp\OnboardLogs"\RTDC4017\2017-03-12</v>
      </c>
      <c r="AF208" s="82" t="str">
        <f t="shared" si="93"/>
        <v>"C:\Program Files (x86)\AstroGrep\AstroGrep.exe" /e /r /s /spath="%USERPROFILE%\AppData\Local\Temp\OnboardLogs" /stypes="app*4017*20170311*" /stext=" 17:.+((SYSTEM_STATE.+slice.+state.+changed )|(ment ac)|(multiple cpu faults)|(system.+state.+changed )|(\[timeout)|(PRM\|1\|D)|(kpr)|(kdp)|(\|lc)|(penalty))"</v>
      </c>
      <c r="AG208" s="1" t="str">
        <f t="shared" si="94"/>
        <v>Other</v>
      </c>
      <c r="AH208" s="86" t="str">
        <f t="shared" si="95"/>
        <v>"%USERPROFILE%\Documents\GitHub\eaglep3\Utilities\RefineRTDCRunTimes.py" --tripid 50-11 --locoid 4017 --swversion DE.1.0.9.0 --startMP 300:22166 --initTime 2017-03-11T10:26:21 --startdatetime 2017-03-11T10:33:47 --delay 7 --endMP 204:142 --enddatetime 2017-03-11T10:41:22 --enforcementcount 0 &gt;&gt;C:\Users\stu\Documents\GitHub\eaglep3-reporting\EC\2017-03-11-refined-times.txt</v>
      </c>
      <c r="AI208" s="108" t="str">
        <f t="shared" si="96"/>
        <v>echo {"issue":{"subject":"","project_id":79,"tracker_id":40,"status_id":1,"priority_id":2,"assigned_to_id":23,"start_date":"2017-03-11","description":"","custom_fields":[{"id":1,"name":"Subdivision","value":"Other"},{"id":4,"name":"Milepost","value":"0.0142"},{"id":17,"name":"Train ID","value":"50-11"},{"id":16,"name":"Locomotive ID","value":"4017"},{"id":130,"name":"Impact","value":""},{"id":150,"name":"Time of Event (Mountain Time)","value":"10:41:22"},{"id":151,"name":"Denver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97"/>
        <v>start /low /b %USERPROFILE%\Documents\GitHub\eaglep3\Utilities\DownloadLogsFromS3.py --loco 4017 --day 2017-03-11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"%USERPROFILE%\AppData\Local\Temp\OnboardLogs"\RTDC4017\*4017*20170311* | grep -SE "(Enforcement Action)|(\[TIMEOUT)|(CHR.+\|PRM\|1\|D.+(SWITCH|SIGNAL).+UNKNOWN)" - &gt;&gt; 2017-03-11-UncaughtWiMAX.txt</v>
      </c>
    </row>
    <row r="209" spans="1:40" x14ac:dyDescent="0.25">
      <c r="A209" s="33" t="s">
        <v>715</v>
      </c>
      <c r="B209" s="7">
        <v>4018</v>
      </c>
      <c r="C209" s="21" t="s">
        <v>240</v>
      </c>
      <c r="D209" s="21" t="s">
        <v>577</v>
      </c>
      <c r="E209" s="13">
        <v>42805.465590277781</v>
      </c>
      <c r="F209" s="13">
        <v>42805.466423611113</v>
      </c>
      <c r="G209" s="7">
        <v>1</v>
      </c>
      <c r="H209" s="21" t="s">
        <v>962</v>
      </c>
      <c r="I209" s="13">
        <v>42805.472407407404</v>
      </c>
      <c r="J209" s="7">
        <v>0</v>
      </c>
      <c r="K209" s="98" t="str">
        <f t="shared" si="85"/>
        <v>4017/4018</v>
      </c>
      <c r="L209" s="21" t="str">
        <f>VLOOKUP(A209,'Trips&amp;Operators'!$C$1:$G$99999,5,FALSE)</f>
        <v>BEAM ROSS</v>
      </c>
      <c r="M209" s="6">
        <f t="shared" si="86"/>
        <v>5.9837962908204645E-3</v>
      </c>
      <c r="N209" s="7">
        <f t="shared" si="81"/>
        <v>8.6166666587814689</v>
      </c>
      <c r="O209" s="7"/>
      <c r="P209" s="7"/>
      <c r="Q209" s="22"/>
      <c r="R209" s="22"/>
      <c r="S209" s="31">
        <f t="shared" si="80"/>
        <v>0</v>
      </c>
      <c r="T209" s="46" t="e">
        <f t="shared" si="87"/>
        <v>#VALUE!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6" t="str">
        <f t="shared" si="88"/>
        <v>https://d0f6bd738d7f1b3e5a7ca70fe4ff75f0.us-east-1.aws.found.io/app/kibana#/discover/Steve-Slow-Train-Analysis-(2080s-and-2083s)?_g=(refreshInterval:(display:Off,pause:!f,section:0,value:0),time:(from:'2017-03-11T10:10:27-0700',mode:absolute,to:'2017-03-11T12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9" s="187" t="str">
        <f t="shared" si="89"/>
        <v>Y</v>
      </c>
      <c r="X209" s="187" t="e">
        <f t="shared" si="84"/>
        <v>#VALUE!</v>
      </c>
      <c r="Y209" s="62">
        <f t="shared" si="82"/>
        <v>4.4999999999999998E-2</v>
      </c>
      <c r="Z209" s="62">
        <f t="shared" si="83"/>
        <v>2.4277000000000002</v>
      </c>
      <c r="AA209" s="62">
        <f t="shared" si="90"/>
        <v>2.3827000000000003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91"/>
        <v>51-11</v>
      </c>
      <c r="AE209" s="85" t="str">
        <f t="shared" si="92"/>
        <v>aws s3 cp s3://rtdc.mdm.uploadarchive.raw/RTDC4018/ "%USERPROFILE%\AppData\Local\Temp\OnboardLogs"\RTDC4018\2017-03-11 --exclude "*" --recursive --include "*20170311*" &amp; "%USERPROFILE%\Documents\GitHub\mrs-test-scripts\Headless Mode &amp; Sideloading\WalkAndUnGZ.bat" "%USERPROFILE%\AppData\Local\Temp\OnboardLogs"\RTDC4018\2017-03-11 &amp; aws s3 cp s3://rtdc.mdm.uploadarchive.raw/RTDC4018/ "%USERPROFILE%\AppData\Local\Temp\OnboardLogs"\RTDC4018\2017-03-12 --exclude "*" --recursive --include "*20170312*" &amp; "%USERPROFILE%\Documents\GitHub\mrs-test-scripts\Headless Mode &amp; Sideloading\WalkAndUnGZ.bat" "%USERPROFILE%\AppData\Local\Temp\OnboardLogs"\RTDC4018\2017-03-12</v>
      </c>
      <c r="AF209" s="82" t="str">
        <f t="shared" si="93"/>
        <v>"C:\Program Files (x86)\AstroGrep\AstroGrep.exe" /e /r /s /spath="%USERPROFILE%\AppData\Local\Temp\OnboardLogs" /stypes="app*4018*20170311*" /stext=" 18:.+((SYSTEM_STATE.+slice.+state.+changed )|(ment ac)|(multiple cpu faults)|(system.+state.+changed )|(\[timeout)|(PRM\|1\|D)|(kpr)|(kdp)|(\|lc)|(penalty))"</v>
      </c>
      <c r="AG209" s="1" t="str">
        <f t="shared" si="94"/>
        <v>Other</v>
      </c>
      <c r="AH209" s="86" t="str">
        <f t="shared" si="95"/>
        <v>"%USERPROFILE%\Documents\GitHub\eaglep3\Utilities\RefineRTDCRunTimes.py" --tripid 51-11 --locoid 4018 --swversion DE.1.0.9.0 --startMP 204:450 --initTime 2017-03-11T11:10:27 --startdatetime 2017-03-11T11:11:39 --delay 1 --endMP 300:24277 --enddatetime 2017-03-11T11:20:16 --enforcementcount 0 &gt;&gt;C:\Users\stu\Documents\GitHub\eaglep3-reporting\EC\2017-03-11-refined-times.txt</v>
      </c>
      <c r="AI209" s="108" t="str">
        <f t="shared" si="96"/>
        <v>echo {"issue":{"subject":"","project_id":79,"tracker_id":40,"status_id":1,"priority_id":2,"assigned_to_id":23,"start_date":"2017-03-11","description":"","custom_fields":[{"id":1,"name":"Subdivision","value":"Other"},{"id":4,"name":"Milepost","value":"2.4277"},{"id":17,"name":"Train ID","value":"51-11"},{"id":16,"name":"Locomotive ID","value":"4018"},{"id":130,"name":"Impact","value":""},{"id":150,"name":"Time of Event (Mountain Time)","value":"11:20:16"},{"id":151,"name":"Denver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97"/>
        <v>start /low /b %USERPROFILE%\Documents\GitHub\eaglep3\Utilities\DownloadLogsFromS3.py --loco 4018 --day 2017-03-11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"%USERPROFILE%\AppData\Local\Temp\OnboardLogs"\RTDC4018\*4018*20170311* | grep -SE "(Enforcement Action)|(\[TIMEOUT)|(CHR.+\|PRM\|1\|D.+(SWITCH|SIGNAL).+UNKNOWN)" - &gt;&gt; 2017-03-11-UncaughtWiMAX.txt</v>
      </c>
    </row>
    <row r="210" spans="1:40" x14ac:dyDescent="0.25">
      <c r="A210" s="33" t="s">
        <v>709</v>
      </c>
      <c r="B210" s="7">
        <v>4008</v>
      </c>
      <c r="C210" s="21" t="s">
        <v>240</v>
      </c>
      <c r="D210" s="21" t="s">
        <v>963</v>
      </c>
      <c r="E210" s="13">
        <v>42805.448738425926</v>
      </c>
      <c r="F210" s="13">
        <v>42805.453298611108</v>
      </c>
      <c r="G210" s="7">
        <v>6</v>
      </c>
      <c r="H210" s="21" t="s">
        <v>964</v>
      </c>
      <c r="I210" s="13">
        <v>42805.458298611113</v>
      </c>
      <c r="J210" s="7">
        <v>0</v>
      </c>
      <c r="K210" s="98" t="str">
        <f t="shared" si="85"/>
        <v>4007/4008</v>
      </c>
      <c r="L210" s="21" t="str">
        <f>VLOOKUP(A210,'Trips&amp;Operators'!$C$1:$G$99999,5,FALSE)</f>
        <v>DELGADO DIANAH</v>
      </c>
      <c r="M210" s="6">
        <f t="shared" si="86"/>
        <v>5.0000000046566129E-3</v>
      </c>
      <c r="N210" s="7">
        <f t="shared" si="81"/>
        <v>7.2000000067055225</v>
      </c>
      <c r="O210" s="7"/>
      <c r="P210" s="7"/>
      <c r="Q210" s="22"/>
      <c r="R210" s="22"/>
      <c r="S210" s="31">
        <f t="shared" si="80"/>
        <v>0</v>
      </c>
      <c r="T210" s="46" t="e">
        <f t="shared" si="87"/>
        <v>#VALUE!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6" t="str">
        <f t="shared" si="88"/>
        <v>https://d0f6bd738d7f1b3e5a7ca70fe4ff75f0.us-east-1.aws.found.io/app/kibana#/discover/Steve-Slow-Train-Analysis-(2080s-and-2083s)?_g=(refreshInterval:(display:Off,pause:!f,section:0,value:0),time:(from:'2017-03-11T09:46:11-0700',mode:absolute,to:'2017-03-11T11:59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0" s="187" t="str">
        <f t="shared" si="89"/>
        <v>Y</v>
      </c>
      <c r="X210" s="187" t="e">
        <f t="shared" si="84"/>
        <v>#VALUE!</v>
      </c>
      <c r="Y210" s="62">
        <f t="shared" si="82"/>
        <v>2.2086999999999999</v>
      </c>
      <c r="Z210" s="62">
        <f t="shared" si="83"/>
        <v>8.6099999999999996E-2</v>
      </c>
      <c r="AA210" s="62">
        <f t="shared" si="90"/>
        <v>2.1225999999999998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91"/>
        <v>52-11</v>
      </c>
      <c r="AE210" s="85" t="str">
        <f t="shared" si="92"/>
        <v>aws s3 cp s3://rtdc.mdm.uploadarchive.raw/RTDC4008/ "%USERPROFILE%\AppData\Local\Temp\OnboardLogs"\RTDC4008\2017-03-11 --exclude "*" --recursive --include "*20170311*" &amp; "%USERPROFILE%\Documents\GitHub\mrs-test-scripts\Headless Mode &amp; Sideloading\WalkAndUnGZ.bat" "%USERPROFILE%\AppData\Local\Temp\OnboardLogs"\RTDC4008\2017-03-11 &amp; aws s3 cp s3://rtdc.mdm.uploadarchive.raw/RTDC4008/ "%USERPROFILE%\AppData\Local\Temp\OnboardLogs"\RTDC4008\2017-03-12 --exclude "*" --recursive --include "*20170312*" &amp; "%USERPROFILE%\Documents\GitHub\mrs-test-scripts\Headless Mode &amp; Sideloading\WalkAndUnGZ.bat" "%USERPROFILE%\AppData\Local\Temp\OnboardLogs"\RTDC4008\2017-03-12</v>
      </c>
      <c r="AF210" s="82" t="str">
        <f t="shared" si="93"/>
        <v>"C:\Program Files (x86)\AstroGrep\AstroGrep.exe" /e /r /s /spath="%USERPROFILE%\AppData\Local\Temp\OnboardLogs" /stypes="app*4008*20170311*" /stext=" 17:.+((SYSTEM_STATE.+slice.+state.+changed )|(ment ac)|(multiple cpu faults)|(system.+state.+changed )|(\[timeout)|(PRM\|1\|D)|(kpr)|(kdp)|(\|lc)|(penalty))"</v>
      </c>
      <c r="AG210" s="1" t="str">
        <f t="shared" si="94"/>
        <v>Other</v>
      </c>
      <c r="AH210" s="86" t="str">
        <f t="shared" si="95"/>
        <v>"%USERPROFILE%\Documents\GitHub\eaglep3\Utilities\RefineRTDCRunTimes.py" --tripid 52-11 --locoid 4008 --swversion DE.1.0.9.0 --startMP 300:22087 --initTime 2017-03-11T10:46:11 --startdatetime 2017-03-11T10:52:45 --delay 6 --endMP 204:861 --enddatetime 2017-03-11T10:59:57 --enforcementcount 0 &gt;&gt;C:\Users\stu\Documents\GitHub\eaglep3-reporting\EC\2017-03-11-refined-times.txt</v>
      </c>
      <c r="AI210" s="108" t="str">
        <f t="shared" si="96"/>
        <v>echo {"issue":{"subject":"","project_id":79,"tracker_id":40,"status_id":1,"priority_id":2,"assigned_to_id":23,"start_date":"2017-03-11","description":"","custom_fields":[{"id":1,"name":"Subdivision","value":"Other"},{"id":4,"name":"Milepost","value":"0.0861"},{"id":17,"name":"Train ID","value":"52-11"},{"id":16,"name":"Locomotive ID","value":"4008"},{"id":130,"name":"Impact","value":""},{"id":150,"name":"Time of Event (Mountain Time)","value":"10:59:57"},{"id":151,"name":"Denver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97"/>
        <v>start /low /b %USERPROFILE%\Documents\GitHub\eaglep3\Utilities\DownloadLogsFromS3.py --loco 4008 --day 2017-03-11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"%USERPROFILE%\AppData\Local\Temp\OnboardLogs"\RTDC4008\*4008*20170311* | grep -SE "(Enforcement Action)|(\[TIMEOUT)|(CHR.+\|PRM\|1\|D.+(SWITCH|SIGNAL).+UNKNOWN)" - &gt;&gt; 2017-03-11-UncaughtWiMAX.txt</v>
      </c>
    </row>
    <row r="211" spans="1:40" x14ac:dyDescent="0.25">
      <c r="A211" s="33" t="s">
        <v>728</v>
      </c>
      <c r="B211" s="7">
        <v>4007</v>
      </c>
      <c r="C211" s="21" t="s">
        <v>240</v>
      </c>
      <c r="D211" s="21" t="s">
        <v>965</v>
      </c>
      <c r="E211" s="13">
        <v>42805.501805555556</v>
      </c>
      <c r="F211" s="13">
        <v>42805.502743055556</v>
      </c>
      <c r="G211" s="7">
        <v>1</v>
      </c>
      <c r="H211" s="21" t="s">
        <v>966</v>
      </c>
      <c r="I211" s="13">
        <v>42805.509699074071</v>
      </c>
      <c r="J211" s="7">
        <v>0</v>
      </c>
      <c r="K211" s="98" t="str">
        <f t="shared" si="85"/>
        <v>4007/4008</v>
      </c>
      <c r="L211" s="21" t="str">
        <f>VLOOKUP(A211,'Trips&amp;Operators'!$C$1:$G$99999,5,FALSE)</f>
        <v>LOZA FIDEL</v>
      </c>
      <c r="M211" s="6">
        <f t="shared" si="86"/>
        <v>6.956018514756579E-3</v>
      </c>
      <c r="N211" s="7">
        <f t="shared" si="81"/>
        <v>10.016666661249474</v>
      </c>
      <c r="O211" s="7"/>
      <c r="P211" s="7"/>
      <c r="Q211" s="22"/>
      <c r="R211" s="22"/>
      <c r="S211" s="31">
        <f t="shared" si="80"/>
        <v>0</v>
      </c>
      <c r="T211" s="46" t="e">
        <f t="shared" si="87"/>
        <v>#VALUE!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6" t="str">
        <f t="shared" si="88"/>
        <v>https://d0f6bd738d7f1b3e5a7ca70fe4ff75f0.us-east-1.aws.found.io/app/kibana#/discover/Steve-Slow-Train-Analysis-(2080s-and-2083s)?_g=(refreshInterval:(display:Off,pause:!f,section:0,value:0),time:(from:'2017-03-11T11:02:36-0700',mode:absolute,to:'2017-03-11T13:13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1" s="187" t="str">
        <f t="shared" si="89"/>
        <v>Y</v>
      </c>
      <c r="X211" s="187" t="e">
        <f t="shared" si="84"/>
        <v>#VALUE!</v>
      </c>
      <c r="Y211" s="62">
        <f t="shared" si="82"/>
        <v>0.11899999999999999</v>
      </c>
      <c r="Z211" s="62">
        <f t="shared" si="83"/>
        <v>2.4232999999999998</v>
      </c>
      <c r="AA211" s="62">
        <f t="shared" si="90"/>
        <v>2.3042999999999996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91"/>
        <v>53-11</v>
      </c>
      <c r="AE211" s="85" t="str">
        <f t="shared" si="92"/>
        <v>aws s3 cp s3://rtdc.mdm.uploadarchive.raw/RTDC4007/ "%USERPROFILE%\AppData\Local\Temp\OnboardLogs"\RTDC4007\2017-03-11 --exclude "*" --recursive --include "*20170311*" &amp; "%USERPROFILE%\Documents\GitHub\mrs-test-scripts\Headless Mode &amp; Sideloading\WalkAndUnGZ.bat" "%USERPROFILE%\AppData\Local\Temp\OnboardLogs"\RTDC4007\2017-03-11 &amp; aws s3 cp s3://rtdc.mdm.uploadarchive.raw/RTDC4007/ "%USERPROFILE%\AppData\Local\Temp\OnboardLogs"\RTDC4007\2017-03-12 --exclude "*" --recursive --include "*20170312*" &amp; "%USERPROFILE%\Documents\GitHub\mrs-test-scripts\Headless Mode &amp; Sideloading\WalkAndUnGZ.bat" "%USERPROFILE%\AppData\Local\Temp\OnboardLogs"\RTDC4007\2017-03-12</v>
      </c>
      <c r="AF211" s="82" t="str">
        <f t="shared" si="93"/>
        <v>"C:\Program Files (x86)\AstroGrep\AstroGrep.exe" /e /r /s /spath="%USERPROFILE%\AppData\Local\Temp\OnboardLogs" /stypes="app*4007*20170311*" /stext=" 19:.+((SYSTEM_STATE.+slice.+state.+changed )|(ment ac)|(multiple cpu faults)|(system.+state.+changed )|(\[timeout)|(PRM\|1\|D)|(kpr)|(kdp)|(\|lc)|(penalty))"</v>
      </c>
      <c r="AG211" s="1" t="str">
        <f t="shared" si="94"/>
        <v>Other</v>
      </c>
      <c r="AH211" s="86" t="str">
        <f t="shared" si="95"/>
        <v>"%USERPROFILE%\Documents\GitHub\eaglep3\Utilities\RefineRTDCRunTimes.py" --tripid 53-11 --locoid 4007 --swversion DE.1.0.9.0 --startMP 204:1190 --initTime 2017-03-11T12:02:36 --startdatetime 2017-03-11T12:03:57 --delay 1 --endMP 300:24233 --enddatetime 2017-03-11T12:13:58 --enforcementcount 0 &gt;&gt;C:\Users\stu\Documents\GitHub\eaglep3-reporting\EC\2017-03-11-refined-times.txt</v>
      </c>
      <c r="AI211" s="108" t="str">
        <f t="shared" si="96"/>
        <v>echo {"issue":{"subject":"","project_id":79,"tracker_id":40,"status_id":1,"priority_id":2,"assigned_to_id":23,"start_date":"2017-03-11","description":"","custom_fields":[{"id":1,"name":"Subdivision","value":"Other"},{"id":4,"name":"Milepost","value":"2.4233"},{"id":17,"name":"Train ID","value":"53-11"},{"id":16,"name":"Locomotive ID","value":"4007"},{"id":130,"name":"Impact","value":""},{"id":150,"name":"Time of Event (Mountain Time)","value":"12:13:58"},{"id":151,"name":"Denver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97"/>
        <v>start /low /b %USERPROFILE%\Documents\GitHub\eaglep3\Utilities\DownloadLogsFromS3.py --loco 4007 --day 2017-03-11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"%USERPROFILE%\AppData\Local\Temp\OnboardLogs"\RTDC4007\*4007*20170311* | grep -SE "(Enforcement Action)|(\[TIMEOUT)|(CHR.+\|PRM\|1\|D.+(SWITCH|SIGNAL).+UNKNOWN)" - &gt;&gt; 2017-03-11-UncaughtWiMAX.txt</v>
      </c>
    </row>
    <row r="212" spans="1:40" x14ac:dyDescent="0.25">
      <c r="A212" s="33" t="s">
        <v>767</v>
      </c>
      <c r="B212" s="7">
        <v>4016</v>
      </c>
      <c r="C212" s="21" t="s">
        <v>240</v>
      </c>
      <c r="D212" s="21" t="s">
        <v>967</v>
      </c>
      <c r="E212" s="13">
        <v>42805.721064814818</v>
      </c>
      <c r="F212" s="13">
        <v>42805.72314814815</v>
      </c>
      <c r="G212" s="7">
        <v>2</v>
      </c>
      <c r="H212" s="21" t="s">
        <v>558</v>
      </c>
      <c r="I212" s="13">
        <v>42805.743842592594</v>
      </c>
      <c r="J212" s="7">
        <v>0</v>
      </c>
      <c r="K212" s="98" t="str">
        <f t="shared" si="85"/>
        <v>4015/4016</v>
      </c>
      <c r="L212" s="21" t="str">
        <f>VLOOKUP(A212,'Trips&amp;Operators'!$C$1:$G$99999,5,FALSE)</f>
        <v>BRANDNER MELINDA</v>
      </c>
      <c r="M212" s="6">
        <f t="shared" si="86"/>
        <v>2.0694444443506654E-2</v>
      </c>
      <c r="N212" s="7">
        <f t="shared" si="81"/>
        <v>29.799999998649582</v>
      </c>
      <c r="O212" s="7"/>
      <c r="P212" s="7"/>
      <c r="Q212" s="22"/>
      <c r="R212" s="22"/>
      <c r="S212" s="31">
        <f t="shared" si="80"/>
        <v>0</v>
      </c>
      <c r="T212" s="46" t="e">
        <f t="shared" si="87"/>
        <v>#VALUE!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6" t="str">
        <f t="shared" si="88"/>
        <v>https://d0f6bd738d7f1b3e5a7ca70fe4ff75f0.us-east-1.aws.found.io/app/kibana#/discover/Steve-Slow-Train-Analysis-(2080s-and-2083s)?_g=(refreshInterval:(display:Off,pause:!f,section:0,value:0),time:(from:'2017-03-11T16:18:20-0700',mode:absolute,to:'2017-03-11T18:51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2" s="187" t="str">
        <f t="shared" si="89"/>
        <v>Y</v>
      </c>
      <c r="X212" s="187" t="e">
        <f t="shared" si="84"/>
        <v>#VALUE!</v>
      </c>
      <c r="Y212" s="62">
        <f t="shared" si="82"/>
        <v>0.15129999999999999</v>
      </c>
      <c r="Z212" s="62">
        <f t="shared" si="83"/>
        <v>2.3346</v>
      </c>
      <c r="AA212" s="62">
        <f t="shared" si="90"/>
        <v>2.1833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91"/>
        <v>55-11</v>
      </c>
      <c r="AE212" s="85" t="str">
        <f t="shared" si="92"/>
        <v>aws s3 cp s3://rtdc.mdm.uploadarchive.raw/RTDC4016/ "%USERPROFILE%\AppData\Local\Temp\OnboardLogs"\RTDC4016\2017-03-11 --exclude "*" --recursive --include "*20170311*" &amp; "%USERPROFILE%\Documents\GitHub\mrs-test-scripts\Headless Mode &amp; Sideloading\WalkAndUnGZ.bat" "%USERPROFILE%\AppData\Local\Temp\OnboardLogs"\RTDC4016\2017-03-11 &amp; aws s3 cp s3://rtdc.mdm.uploadarchive.raw/RTDC4016/ "%USERPROFILE%\AppData\Local\Temp\OnboardLogs"\RTDC4016\2017-03-12 --exclude "*" --recursive --include "*20170312*" &amp; "%USERPROFILE%\Documents\GitHub\mrs-test-scripts\Headless Mode &amp; Sideloading\WalkAndUnGZ.bat" "%USERPROFILE%\AppData\Local\Temp\OnboardLogs"\RTDC4016\2017-03-12</v>
      </c>
      <c r="AF212" s="82" t="str">
        <f t="shared" si="93"/>
        <v>"C:\Program Files (x86)\AstroGrep\AstroGrep.exe" /e /r /s /spath="%USERPROFILE%\AppData\Local\Temp\OnboardLogs" /stypes="app*4016*20170312*" /stext=" 00:.+((SYSTEM_STATE.+slice.+state.+changed )|(ment ac)|(multiple cpu faults)|(system.+state.+changed )|(\[timeout)|(PRM\|1\|D)|(kpr)|(kdp)|(\|lc)|(penalty))"</v>
      </c>
      <c r="AG212" s="1" t="str">
        <f t="shared" si="94"/>
        <v>Other</v>
      </c>
      <c r="AH212" s="86" t="str">
        <f t="shared" si="95"/>
        <v>"%USERPROFILE%\Documents\GitHub\eaglep3\Utilities\RefineRTDCRunTimes.py" --tripid 55-11 --locoid 4016 --swversion DE.1.0.9.0 --startMP 204:1513 --initTime 2017-03-11T17:18:20 --startdatetime 2017-03-11T17:21:20 --delay 2 --endMP 300:23346 --enddatetime 2017-03-11T17:51:08 --enforcementcount 0 &gt;&gt;C:\Users\stu\Documents\GitHub\eaglep3-reporting\EC\2017-03-11-refined-times.txt</v>
      </c>
      <c r="AI212" s="108" t="str">
        <f t="shared" si="96"/>
        <v>echo {"issue":{"subject":"","project_id":79,"tracker_id":40,"status_id":1,"priority_id":2,"assigned_to_id":23,"start_date":"2017-03-11","description":"","custom_fields":[{"id":1,"name":"Subdivision","value":"Other"},{"id":4,"name":"Milepost","value":"2.3346"},{"id":17,"name":"Train ID","value":"55-11"},{"id":16,"name":"Locomotive ID","value":"4016"},{"id":130,"name":"Impact","value":""},{"id":150,"name":"Time of Event (Mountain Time)","value":"17:51:08"},{"id":151,"name":"Denver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97"/>
        <v>start /low /b %USERPROFILE%\Documents\GitHub\eaglep3\Utilities\DownloadLogsFromS3.py --loco 4016 --day 2017-03-11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"%USERPROFILE%\AppData\Local\Temp\OnboardLogs"\RTDC4016\*4016*20170312* | grep -SE "(Enforcement Action)|(\[TIMEOUT)|(CHR.+\|PRM\|1\|D.+(SWITCH|SIGNAL).+UNKNOWN)" - &gt;&gt; 2017-03-11-UncaughtWiMAX.txt</v>
      </c>
    </row>
    <row r="213" spans="1:40" x14ac:dyDescent="0.25">
      <c r="A213" s="33" t="s">
        <v>774</v>
      </c>
      <c r="B213" s="7">
        <v>4019</v>
      </c>
      <c r="C213" s="21" t="s">
        <v>240</v>
      </c>
      <c r="D213" s="21" t="s">
        <v>968</v>
      </c>
      <c r="E213" s="13">
        <v>42805.747407407405</v>
      </c>
      <c r="F213" s="13">
        <v>42805.75341435185</v>
      </c>
      <c r="G213" s="7">
        <v>8</v>
      </c>
      <c r="H213" s="21" t="s">
        <v>969</v>
      </c>
      <c r="I213" s="13">
        <v>42805.759479166663</v>
      </c>
      <c r="J213" s="7">
        <v>0</v>
      </c>
      <c r="K213" s="98" t="str">
        <f t="shared" si="85"/>
        <v>4019/4020</v>
      </c>
      <c r="L213" s="21" t="str">
        <f>VLOOKUP(A213,'Trips&amp;Operators'!$C$1:$G$99999,5,FALSE)</f>
        <v>SAFIEF AEIMEN</v>
      </c>
      <c r="M213" s="6">
        <f t="shared" si="86"/>
        <v>6.064814813726116E-3</v>
      </c>
      <c r="N213" s="7">
        <f t="shared" si="81"/>
        <v>8.733333331765607</v>
      </c>
      <c r="O213" s="7"/>
      <c r="P213" s="7"/>
      <c r="Q213" s="22"/>
      <c r="R213" s="22"/>
      <c r="S213" s="31">
        <f t="shared" si="80"/>
        <v>0</v>
      </c>
      <c r="T213" s="46" t="e">
        <f t="shared" si="87"/>
        <v>#VALUE!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6" t="str">
        <f t="shared" si="88"/>
        <v>https://d0f6bd738d7f1b3e5a7ca70fe4ff75f0.us-east-1.aws.found.io/app/kibana#/discover/Steve-Slow-Train-Analysis-(2080s-and-2083s)?_g=(refreshInterval:(display:Off,pause:!f,section:0,value:0),time:(from:'2017-03-11T16:56:16-0700',mode:absolute,to:'2017-03-11T19:13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3" s="187" t="str">
        <f t="shared" si="89"/>
        <v>Y</v>
      </c>
      <c r="X213" s="187" t="e">
        <f t="shared" si="84"/>
        <v>#VALUE!</v>
      </c>
      <c r="Y213" s="62">
        <f t="shared" si="82"/>
        <v>2.3519000000000001</v>
      </c>
      <c r="Z213" s="62">
        <f t="shared" si="83"/>
        <v>0.1009</v>
      </c>
      <c r="AA213" s="62">
        <f t="shared" si="90"/>
        <v>2.2509999999999999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91"/>
        <v>66-11</v>
      </c>
      <c r="AE213" s="85" t="str">
        <f t="shared" si="92"/>
        <v>aws s3 cp s3://rtdc.mdm.uploadarchive.raw/RTDC4019/ "%USERPROFILE%\AppData\Local\Temp\OnboardLogs"\RTDC4019\2017-03-11 --exclude "*" --recursive --include "*20170311*" &amp; "%USERPROFILE%\Documents\GitHub\mrs-test-scripts\Headless Mode &amp; Sideloading\WalkAndUnGZ.bat" "%USERPROFILE%\AppData\Local\Temp\OnboardLogs"\RTDC4019\2017-03-11 &amp; aws s3 cp s3://rtdc.mdm.uploadarchive.raw/RTDC4019/ "%USERPROFILE%\AppData\Local\Temp\OnboardLogs"\RTDC4019\2017-03-12 --exclude "*" --recursive --include "*20170312*" &amp; "%USERPROFILE%\Documents\GitHub\mrs-test-scripts\Headless Mode &amp; Sideloading\WalkAndUnGZ.bat" "%USERPROFILE%\AppData\Local\Temp\OnboardLogs"\RTDC4019\2017-03-12</v>
      </c>
      <c r="AF213" s="82" t="str">
        <f t="shared" si="93"/>
        <v>"C:\Program Files (x86)\AstroGrep\AstroGrep.exe" /e /r /s /spath="%USERPROFILE%\AppData\Local\Temp\OnboardLogs" /stypes="app*4019*20170312*" /stext=" 01:.+((SYSTEM_STATE.+slice.+state.+changed )|(ment ac)|(multiple cpu faults)|(system.+state.+changed )|(\[timeout)|(PRM\|1\|D)|(kpr)|(kdp)|(\|lc)|(penalty))"</v>
      </c>
      <c r="AG213" s="1" t="str">
        <f t="shared" si="94"/>
        <v>Other</v>
      </c>
      <c r="AH213" s="86" t="str">
        <f t="shared" si="95"/>
        <v>"%USERPROFILE%\Documents\GitHub\eaglep3\Utilities\RefineRTDCRunTimes.py" --tripid 66-11 --locoid 4019 --swversion DE.1.0.9.0 --startMP 300:23519 --initTime 2017-03-11T17:56:16 --startdatetime 2017-03-11T18:04:55 --delay 8 --endMP 204:1009 --enddatetime 2017-03-11T18:13:39 --enforcementcount 0 &gt;&gt;C:\Users\stu\Documents\GitHub\eaglep3-reporting\EC\2017-03-11-refined-times.txt</v>
      </c>
      <c r="AI213" s="108" t="str">
        <f t="shared" si="96"/>
        <v>echo {"issue":{"subject":"","project_id":79,"tracker_id":40,"status_id":1,"priority_id":2,"assigned_to_id":23,"start_date":"2017-03-11","description":"","custom_fields":[{"id":1,"name":"Subdivision","value":"Other"},{"id":4,"name":"Milepost","value":"0.1009"},{"id":17,"name":"Train ID","value":"66-11"},{"id":16,"name":"Locomotive ID","value":"4019"},{"id":130,"name":"Impact","value":""},{"id":150,"name":"Time of Event (Mountain Time)","value":"18:13:39"},{"id":151,"name":"Denver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97"/>
        <v>start /low /b %USERPROFILE%\Documents\GitHub\eaglep3\Utilities\DownloadLogsFromS3.py --loco 4019 --day 2017-03-11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"%USERPROFILE%\AppData\Local\Temp\OnboardLogs"\RTDC4019\*4019*20170312* | grep -SE "(Enforcement Action)|(\[TIMEOUT)|(CHR.+\|PRM\|1\|D.+(SWITCH|SIGNAL).+UNKNOWN)" - &gt;&gt; 2017-03-11-UncaughtWiMAX.txt</v>
      </c>
    </row>
    <row r="214" spans="1:40" x14ac:dyDescent="0.25">
      <c r="A214" s="33" t="s">
        <v>614</v>
      </c>
      <c r="B214" s="7">
        <v>4064</v>
      </c>
      <c r="C214" s="21" t="s">
        <v>240</v>
      </c>
      <c r="D214" s="21" t="s">
        <v>905</v>
      </c>
      <c r="E214" s="13">
        <v>42805.078888888886</v>
      </c>
      <c r="F214" s="13">
        <v>42805.08053240741</v>
      </c>
      <c r="G214" s="7">
        <v>2</v>
      </c>
      <c r="H214" s="21" t="s">
        <v>970</v>
      </c>
      <c r="I214" s="13">
        <v>42805.095057870371</v>
      </c>
      <c r="J214" s="7">
        <v>0</v>
      </c>
      <c r="K214" s="98" t="str">
        <f t="shared" si="85"/>
        <v>4063/4064</v>
      </c>
      <c r="L214" s="21" t="str">
        <f>VLOOKUP(A214,'Trips&amp;Operators'!$C$1:$G$99999,5,FALSE)</f>
        <v>DUNCAN SHEILA</v>
      </c>
      <c r="M214" s="6">
        <f t="shared" si="86"/>
        <v>1.452546296059154E-2</v>
      </c>
      <c r="N214" s="7">
        <f t="shared" si="81"/>
        <v>20.916666663251817</v>
      </c>
      <c r="O214" s="7"/>
      <c r="P214" s="7"/>
      <c r="Q214" s="22"/>
      <c r="R214" s="22"/>
      <c r="S214" s="31">
        <f t="shared" si="80"/>
        <v>0</v>
      </c>
      <c r="T214" s="46" t="e">
        <f t="shared" si="87"/>
        <v>#VALUE!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6" t="str">
        <f t="shared" si="88"/>
        <v>https://d0f6bd738d7f1b3e5a7ca70fe4ff75f0.us-east-1.aws.found.io/app/kibana#/discover/Steve-Slow-Train-Analysis-(2080s-and-2083s)?_g=(refreshInterval:(display:Off,pause:!f,section:0,value:0),time:(from:'2017-03-11T00:53:36-0700',mode:absolute,to:'2017-03-11T03:16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4" s="187" t="str">
        <f t="shared" si="89"/>
        <v>N</v>
      </c>
      <c r="X214" s="187" t="e">
        <f t="shared" si="84"/>
        <v>#VALUE!</v>
      </c>
      <c r="Y214" s="62">
        <f t="shared" si="82"/>
        <v>5.8616999999999999</v>
      </c>
      <c r="Z214" s="62">
        <f t="shared" si="83"/>
        <v>9.7299999999999998E-2</v>
      </c>
      <c r="AA214" s="62">
        <f t="shared" si="90"/>
        <v>5.7644000000000002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91"/>
        <v>80-10</v>
      </c>
      <c r="AE214" s="85" t="str">
        <f t="shared" si="92"/>
        <v>aws s3 cp s3://rtdc.mdm.uploadarchive.raw/RTDC4064/ "%USERPROFILE%\AppData\Local\Temp\OnboardLogs"\RTDC4064\2017-03-11 --exclude "*" --recursive --include "*20170311*" &amp; "%USERPROFILE%\Documents\GitHub\mrs-test-scripts\Headless Mode &amp; Sideloading\WalkAndUnGZ.bat" "%USERPROFILE%\AppData\Local\Temp\OnboardLogs"\RTDC4064\2017-03-11 &amp; aws s3 cp s3://rtdc.mdm.uploadarchive.raw/RTDC4064/ "%USERPROFILE%\AppData\Local\Temp\OnboardLogs"\RTDC4064\2017-03-12 --exclude "*" --recursive --include "*20170312*" &amp; "%USERPROFILE%\Documents\GitHub\mrs-test-scripts\Headless Mode &amp; Sideloading\WalkAndUnGZ.bat" "%USERPROFILE%\AppData\Local\Temp\OnboardLogs"\RTDC4064\2017-03-12</v>
      </c>
      <c r="AF214" s="82" t="str">
        <f t="shared" si="93"/>
        <v>"C:\Program Files (x86)\AstroGrep\AstroGrep.exe" /e /r /s /spath="%USERPROFILE%\AppData\Local\Temp\OnboardLogs" /stypes="app*4064*20170311*" /stext=" 09:.+((SYSTEM_STATE.+slice.+state.+changed )|(ment ac)|(multiple cpu faults)|(system.+state.+changed )|(\[timeout)|(PRM\|1\|D)|(kpr)|(kdp)|(\|lc)|(penalty))"</v>
      </c>
      <c r="AG214" s="1" t="str">
        <f t="shared" si="94"/>
        <v>Other</v>
      </c>
      <c r="AH214" s="86" t="str">
        <f t="shared" si="95"/>
        <v>"%USERPROFILE%\Documents\GitHub\eaglep3\Utilities\RefineRTDCRunTimes.py" --tripid 80-10 --locoid 4064 --swversion DE.1.0.9.0 --startMP 300:58617 --initTime 2017-03-11T01:53:36 --startdatetime 2017-03-11T01:55:58 --delay 2 --endMP 204:973 --enddatetime 2017-03-11T02:16:53 --enforcementcount 0 &gt;&gt;C:\Users\stu\Documents\GitHub\eaglep3-reporting\EC\2017-03-11-refined-times.txt</v>
      </c>
      <c r="AI214" s="108" t="str">
        <f t="shared" si="96"/>
        <v>echo {"issue":{"subject":"","project_id":79,"tracker_id":40,"status_id":1,"priority_id":2,"assigned_to_id":23,"start_date":"2017-03-11","description":"","custom_fields":[{"id":1,"name":"Subdivision","value":"Other"},{"id":4,"name":"Milepost","value":"0.0973"},{"id":17,"name":"Train ID","value":"80-10"},{"id":16,"name":"Locomotive ID","value":"4064"},{"id":130,"name":"Impact","value":""},{"id":150,"name":"Time of Event (Mountain Time)","value":"02:16:53"},{"id":151,"name":"Denver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97"/>
        <v>start /low /b %USERPROFILE%\Documents\GitHub\eaglep3\Utilities\DownloadLogsFromS3.py --loco 4064 --day 2017-03-11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"%USERPROFILE%\AppData\Local\Temp\OnboardLogs"\RTDC4064\*4064*20170311* | grep -SE "(Enforcement Action)|(\[TIMEOUT)|(CHR.+\|PRM\|1\|D.+(SWITCH|SIGNAL).+UNKNOWN)" - &gt;&gt; 2017-03-11-UncaughtWiMAX.txt</v>
      </c>
    </row>
    <row r="215" spans="1:40" x14ac:dyDescent="0.25">
      <c r="A215" s="33" t="s">
        <v>609</v>
      </c>
      <c r="B215" s="7">
        <v>4064</v>
      </c>
      <c r="C215" s="21" t="s">
        <v>240</v>
      </c>
      <c r="D215" s="21" t="s">
        <v>971</v>
      </c>
      <c r="E215" s="13">
        <v>42805.999965277777</v>
      </c>
      <c r="F215" s="13">
        <v>42806.000856481478</v>
      </c>
      <c r="G215" s="7">
        <v>1</v>
      </c>
      <c r="H215" s="21" t="s">
        <v>972</v>
      </c>
      <c r="I215" s="13">
        <v>42806.046631944446</v>
      </c>
      <c r="J215" s="7">
        <v>0</v>
      </c>
      <c r="K215" s="98" t="str">
        <f t="shared" si="85"/>
        <v>4063/4064</v>
      </c>
      <c r="L215" s="21" t="str">
        <f>VLOOKUP(A215,'Trips&amp;Operators'!$C$1:$G$99999,5,FALSE)</f>
        <v>MAGEE KENYA</v>
      </c>
      <c r="M215" s="6">
        <f t="shared" si="86"/>
        <v>4.5775462967867497E-2</v>
      </c>
      <c r="N215" s="7">
        <f t="shared" si="81"/>
        <v>65.916666673729196</v>
      </c>
      <c r="O215" s="7"/>
      <c r="P215" s="7"/>
      <c r="Q215" s="22"/>
      <c r="R215" s="22"/>
      <c r="S215" s="31">
        <f t="shared" si="80"/>
        <v>0</v>
      </c>
      <c r="T215" s="46" t="e">
        <f t="shared" si="87"/>
        <v>#VALUE!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6" t="str">
        <f t="shared" si="88"/>
        <v>https://d0f6bd738d7f1b3e5a7ca70fe4ff75f0.us-east-1.aws.found.io/app/kibana#/discover/Steve-Slow-Train-Analysis-(2080s-and-2083s)?_g=(refreshInterval:(display:Off,pause:!f,section:0,value:0),time:(from:'2017-03-11T22:59:57-0700',mode:absolute,to:'2017-03-12T02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5" s="187" t="str">
        <f t="shared" si="89"/>
        <v>N</v>
      </c>
      <c r="X215" s="187" t="e">
        <f t="shared" si="84"/>
        <v>#VALUE!</v>
      </c>
      <c r="Y215" s="62">
        <f t="shared" si="82"/>
        <v>23.308599999999998</v>
      </c>
      <c r="Z215" s="62">
        <f t="shared" si="83"/>
        <v>1.7999999999999999E-2</v>
      </c>
      <c r="AA215" s="62">
        <f t="shared" si="90"/>
        <v>23.290599999999998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91"/>
        <v>80-11</v>
      </c>
      <c r="AE215" s="85" t="str">
        <f t="shared" si="92"/>
        <v>aws s3 cp s3://rtdc.mdm.uploadarchive.raw/RTDC4064/ "%USERPROFILE%\AppData\Local\Temp\OnboardLogs"\RTDC4064\2017-03-12 --exclude "*" --recursive --include "*20170312*" &amp; "%USERPROFILE%\Documents\GitHub\mrs-test-scripts\Headless Mode &amp; Sideloading\WalkAndUnGZ.bat" "%USERPROFILE%\AppData\Local\Temp\OnboardLogs"\RTDC4064\2017-03-12 &amp; aws s3 cp s3://rtdc.mdm.uploadarchive.raw/RTDC4064/ "%USERPROFILE%\AppData\Local\Temp\OnboardLogs"\RTDC4064\2017-03-13 --exclude "*" --recursive --include "*20170313*" &amp; "%USERPROFILE%\Documents\GitHub\mrs-test-scripts\Headless Mode &amp; Sideloading\WalkAndUnGZ.bat" "%USERPROFILE%\AppData\Local\Temp\OnboardLogs"\RTDC4064\2017-03-13</v>
      </c>
      <c r="AF215" s="82" t="str">
        <f t="shared" si="93"/>
        <v>"C:\Program Files (x86)\AstroGrep\AstroGrep.exe" /e /r /s /spath="%USERPROFILE%\AppData\Local\Temp\OnboardLogs" /stypes="app*4064*20170312*" /stext=" 08:.+((SYSTEM_STATE.+slice.+state.+changed )|(ment ac)|(multiple cpu faults)|(system.+state.+changed )|(\[timeout)|(PRM\|1\|D)|(kpr)|(kdp)|(\|lc)|(penalty))"</v>
      </c>
      <c r="AG215" s="1" t="str">
        <f t="shared" si="94"/>
        <v>Other</v>
      </c>
      <c r="AH215" s="86" t="str">
        <f t="shared" si="95"/>
        <v>"%USERPROFILE%\Documents\GitHub\eaglep3\Utilities\RefineRTDCRunTimes.py" --tripid 80-11 --locoid 4064 --swversion DE.1.0.9.0 --startMP 204:233086 --initTime 2017-03-11T23:59:57 --startdatetime 2017-03-12T00:01:14 --delay 1 --endMP 204:180 --enddatetime 2017-03-12T01:07:09 --enforcementcount 0 &gt;&gt;C:\Users\stu\Documents\GitHub\eaglep3-reporting\EC\2017-03-11-refined-times.txt</v>
      </c>
      <c r="AI215" s="108" t="str">
        <f t="shared" si="96"/>
        <v>echo {"issue":{"subject":"","project_id":79,"tracker_id":40,"status_id":1,"priority_id":2,"assigned_to_id":23,"start_date":"2017-03-12","description":"","custom_fields":[{"id":1,"name":"Subdivision","value":"Other"},{"id":4,"name":"Milepost","value":"0.018"},{"id":17,"name":"Train ID","value":"80-11"},{"id":16,"name":"Locomotive ID","value":"4064"},{"id":130,"name":"Impact","value":""},{"id":150,"name":"Time of Event (Mountain Time)","value":"01:07:09"},{"id":151,"name":"Denver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97"/>
        <v>start /low /b %USERPROFILE%\Documents\GitHub\eaglep3\Utilities\DownloadLogsFromS3.py --loco 4064 --day 2017-03-12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"%USERPROFILE%\AppData\Local\Temp\OnboardLogs"\RTDC4064\*4064*20170312* | grep -SE "(Enforcement Action)|(\[TIMEOUT)|(CHR.+\|PRM\|1\|D.+(SWITCH|SIGNAL).+UNKNOWN)" - &gt;&gt; 2017-03-11-UncaughtWiMAX.txt</v>
      </c>
    </row>
    <row r="216" spans="1:40" x14ac:dyDescent="0.25">
      <c r="A216" s="33" t="s">
        <v>609</v>
      </c>
      <c r="B216" s="7">
        <v>4064</v>
      </c>
      <c r="C216" s="21" t="s">
        <v>240</v>
      </c>
      <c r="D216" s="21" t="s">
        <v>973</v>
      </c>
      <c r="E216" s="13">
        <v>42805.923344907409</v>
      </c>
      <c r="F216" s="13">
        <v>42805.924849537034</v>
      </c>
      <c r="G216" s="7">
        <v>2</v>
      </c>
      <c r="H216" s="21" t="s">
        <v>562</v>
      </c>
      <c r="I216" s="13">
        <v>42805.950775462959</v>
      </c>
      <c r="J216" s="7">
        <v>0</v>
      </c>
      <c r="K216" s="98" t="str">
        <f t="shared" si="85"/>
        <v>4063/4064</v>
      </c>
      <c r="L216" s="21" t="str">
        <f>VLOOKUP(A216,'Trips&amp;Operators'!$C$1:$G$99999,5,FALSE)</f>
        <v>MAGEE KENYA</v>
      </c>
      <c r="M216" s="6">
        <f t="shared" si="86"/>
        <v>2.5925925925548654E-2</v>
      </c>
      <c r="N216" s="7">
        <f t="shared" si="81"/>
        <v>37.333333332790062</v>
      </c>
      <c r="O216" s="7"/>
      <c r="P216" s="7"/>
      <c r="Q216" s="22"/>
      <c r="R216" s="22"/>
      <c r="S216" s="31">
        <f t="shared" si="80"/>
        <v>0</v>
      </c>
      <c r="T216" s="46" t="e">
        <f t="shared" si="87"/>
        <v>#VALUE!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6" t="str">
        <f t="shared" si="88"/>
        <v>https://d0f6bd738d7f1b3e5a7ca70fe4ff75f0.us-east-1.aws.found.io/app/kibana#/discover/Steve-Slow-Train-Analysis-(2080s-and-2083s)?_g=(refreshInterval:(display:Off,pause:!f,section:0,value:0),time:(from:'2017-03-11T21:09:37-0700',mode:absolute,to:'2017-03-11T23:49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6" s="187" t="str">
        <f t="shared" si="89"/>
        <v>N</v>
      </c>
      <c r="X216" s="187" t="e">
        <f t="shared" si="84"/>
        <v>#VALUE!</v>
      </c>
      <c r="Y216" s="62">
        <f t="shared" si="82"/>
        <v>23.312999999999999</v>
      </c>
      <c r="Z216" s="62">
        <f t="shared" si="83"/>
        <v>0.11650000000000001</v>
      </c>
      <c r="AA216" s="62">
        <f t="shared" si="90"/>
        <v>23.1965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91"/>
        <v>80-11</v>
      </c>
      <c r="AE216" s="85" t="str">
        <f t="shared" si="92"/>
        <v>aws s3 cp s3://rtdc.mdm.uploadarchive.raw/RTDC4064/ "%USERPROFILE%\AppData\Local\Temp\OnboardLogs"\RTDC4064\2017-03-11 --exclude "*" --recursive --include "*20170311*" &amp; "%USERPROFILE%\Documents\GitHub\mrs-test-scripts\Headless Mode &amp; Sideloading\WalkAndUnGZ.bat" "%USERPROFILE%\AppData\Local\Temp\OnboardLogs"\RTDC4064\2017-03-11 &amp; aws s3 cp s3://rtdc.mdm.uploadarchive.raw/RTDC4064/ "%USERPROFILE%\AppData\Local\Temp\OnboardLogs"\RTDC4064\2017-03-12 --exclude "*" --recursive --include "*20170312*" &amp; "%USERPROFILE%\Documents\GitHub\mrs-test-scripts\Headless Mode &amp; Sideloading\WalkAndUnGZ.bat" "%USERPROFILE%\AppData\Local\Temp\OnboardLogs"\RTDC4064\2017-03-12</v>
      </c>
      <c r="AF216" s="82" t="str">
        <f t="shared" si="93"/>
        <v>"C:\Program Files (x86)\AstroGrep\AstroGrep.exe" /e /r /s /spath="%USERPROFILE%\AppData\Local\Temp\OnboardLogs" /stypes="app*4064*20170312*" /stext=" 05:.+((SYSTEM_STATE.+slice.+state.+changed )|(ment ac)|(multiple cpu faults)|(system.+state.+changed )|(\[timeout)|(PRM\|1\|D)|(kpr)|(kdp)|(\|lc)|(penalty))"</v>
      </c>
      <c r="AG216" s="1" t="str">
        <f t="shared" si="94"/>
        <v>Other</v>
      </c>
      <c r="AH216" s="86" t="str">
        <f t="shared" si="95"/>
        <v>"%USERPROFILE%\Documents\GitHub\eaglep3\Utilities\RefineRTDCRunTimes.py" --tripid 80-11 --locoid 4064 --swversion DE.1.0.9.0 --startMP 204:233130 --initTime 2017-03-11T22:09:37 --startdatetime 2017-03-11T22:11:47 --delay 2 --endMP 204:1165 --enddatetime 2017-03-11T22:49:07 --enforcementcount 0 &gt;&gt;C:\Users\stu\Documents\GitHub\eaglep3-reporting\EC\2017-03-11-refined-times.txt</v>
      </c>
      <c r="AI216" s="108" t="str">
        <f t="shared" si="96"/>
        <v>echo {"issue":{"subject":"","project_id":79,"tracker_id":40,"status_id":1,"priority_id":2,"assigned_to_id":23,"start_date":"2017-03-11","description":"","custom_fields":[{"id":1,"name":"Subdivision","value":"Other"},{"id":4,"name":"Milepost","value":"0.1165"},{"id":17,"name":"Train ID","value":"80-11"},{"id":16,"name":"Locomotive ID","value":"4064"},{"id":130,"name":"Impact","value":""},{"id":150,"name":"Time of Event (Mountain Time)","value":"22:49:07"},{"id":151,"name":"Denver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97"/>
        <v>start /low /b %USERPROFILE%\Documents\GitHub\eaglep3\Utilities\DownloadLogsFromS3.py --loco 4064 --day 2017-03-11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"%USERPROFILE%\AppData\Local\Temp\OnboardLogs"\RTDC4064\*4064*20170312* | grep -SE "(Enforcement Action)|(\[TIMEOUT)|(CHR.+\|PRM\|1\|D.+(SWITCH|SIGNAL).+UNKNOWN)" - &gt;&gt; 2017-03-11-UncaughtWiMAX.txt</v>
      </c>
    </row>
    <row r="217" spans="1:40" x14ac:dyDescent="0.25">
      <c r="A217" s="33" t="s">
        <v>609</v>
      </c>
      <c r="B217" s="7">
        <v>4064</v>
      </c>
      <c r="C217" s="21" t="s">
        <v>240</v>
      </c>
      <c r="D217" s="21" t="s">
        <v>974</v>
      </c>
      <c r="E217" s="13">
        <v>42805.836400462962</v>
      </c>
      <c r="F217" s="13">
        <v>42805.839502314811</v>
      </c>
      <c r="G217" s="7">
        <v>4</v>
      </c>
      <c r="H217" s="21" t="s">
        <v>975</v>
      </c>
      <c r="I217" s="13">
        <v>42805.860462962963</v>
      </c>
      <c r="J217" s="7">
        <v>0</v>
      </c>
      <c r="K217" s="98" t="str">
        <f t="shared" si="85"/>
        <v>4063/4064</v>
      </c>
      <c r="L217" s="21" t="str">
        <f>VLOOKUP(A217,'Trips&amp;Operators'!$C$1:$G$99999,5,FALSE)</f>
        <v>MAGEE KENYA</v>
      </c>
      <c r="M217" s="6">
        <f t="shared" si="86"/>
        <v>2.0960648151230998E-2</v>
      </c>
      <c r="N217" s="7">
        <f t="shared" si="81"/>
        <v>30.183333337772638</v>
      </c>
      <c r="O217" s="7"/>
      <c r="P217" s="7"/>
      <c r="Q217" s="22"/>
      <c r="R217" s="22"/>
      <c r="S217" s="31">
        <f t="shared" si="80"/>
        <v>0</v>
      </c>
      <c r="T217" s="46" t="e">
        <f t="shared" si="87"/>
        <v>#VALUE!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6" t="str">
        <f t="shared" si="88"/>
        <v>https://d0f6bd738d7f1b3e5a7ca70fe4ff75f0.us-east-1.aws.found.io/app/kibana#/discover/Steve-Slow-Train-Analysis-(2080s-and-2083s)?_g=(refreshInterval:(display:Off,pause:!f,section:0,value:0),time:(from:'2017-03-11T19:04:25-0700',mode:absolute,to:'2017-03-11T21:39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7" s="187" t="str">
        <f t="shared" si="89"/>
        <v>Y</v>
      </c>
      <c r="X217" s="187" t="e">
        <f t="shared" si="84"/>
        <v>#VALUE!</v>
      </c>
      <c r="Y217" s="62">
        <f t="shared" si="82"/>
        <v>2.3485</v>
      </c>
      <c r="Z217" s="62">
        <f t="shared" si="83"/>
        <v>8.8700000000000001E-2</v>
      </c>
      <c r="AA217" s="62">
        <f t="shared" si="90"/>
        <v>2.2598000000000003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91"/>
        <v>80-11</v>
      </c>
      <c r="AE217" s="85" t="str">
        <f t="shared" si="92"/>
        <v>aws s3 cp s3://rtdc.mdm.uploadarchive.raw/RTDC4064/ "%USERPROFILE%\AppData\Local\Temp\OnboardLogs"\RTDC4064\2017-03-11 --exclude "*" --recursive --include "*20170311*" &amp; "%USERPROFILE%\Documents\GitHub\mrs-test-scripts\Headless Mode &amp; Sideloading\WalkAndUnGZ.bat" "%USERPROFILE%\AppData\Local\Temp\OnboardLogs"\RTDC4064\2017-03-11 &amp; aws s3 cp s3://rtdc.mdm.uploadarchive.raw/RTDC4064/ "%USERPROFILE%\AppData\Local\Temp\OnboardLogs"\RTDC4064\2017-03-12 --exclude "*" --recursive --include "*20170312*" &amp; "%USERPROFILE%\Documents\GitHub\mrs-test-scripts\Headless Mode &amp; Sideloading\WalkAndUnGZ.bat" "%USERPROFILE%\AppData\Local\Temp\OnboardLogs"\RTDC4064\2017-03-12</v>
      </c>
      <c r="AF217" s="82" t="str">
        <f t="shared" si="93"/>
        <v>"C:\Program Files (x86)\AstroGrep\AstroGrep.exe" /e /r /s /spath="%USERPROFILE%\AppData\Local\Temp\OnboardLogs" /stypes="app*4064*20170312*" /stext=" 03:.+((SYSTEM_STATE.+slice.+state.+changed )|(ment ac)|(multiple cpu faults)|(system.+state.+changed )|(\[timeout)|(PRM\|1\|D)|(kpr)|(kdp)|(\|lc)|(penalty))"</v>
      </c>
      <c r="AG217" s="1" t="str">
        <f t="shared" si="94"/>
        <v>Other</v>
      </c>
      <c r="AH217" s="86" t="str">
        <f t="shared" si="95"/>
        <v>"%USERPROFILE%\Documents\GitHub\eaglep3\Utilities\RefineRTDCRunTimes.py" --tripid 80-11 --locoid 4064 --swversion DE.1.0.9.0 --startMP 300:23485 --initTime 2017-03-11T20:04:25 --startdatetime 2017-03-11T20:08:53 --delay 4 --endMP 204:887 --enddatetime 2017-03-11T20:39:04 --enforcementcount 0 &gt;&gt;C:\Users\stu\Documents\GitHub\eaglep3-reporting\EC\2017-03-11-refined-times.txt</v>
      </c>
      <c r="AI217" s="108" t="str">
        <f t="shared" si="96"/>
        <v>echo {"issue":{"subject":"","project_id":79,"tracker_id":40,"status_id":1,"priority_id":2,"assigned_to_id":23,"start_date":"2017-03-11","description":"","custom_fields":[{"id":1,"name":"Subdivision","value":"Other"},{"id":4,"name":"Milepost","value":"0.0887"},{"id":17,"name":"Train ID","value":"80-11"},{"id":16,"name":"Locomotive ID","value":"4064"},{"id":130,"name":"Impact","value":""},{"id":150,"name":"Time of Event (Mountain Time)","value":"20:39:04"},{"id":151,"name":"Denver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97"/>
        <v>start /low /b %USERPROFILE%\Documents\GitHub\eaglep3\Utilities\DownloadLogsFromS3.py --loco 4064 --day 2017-03-11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"%USERPROFILE%\AppData\Local\Temp\OnboardLogs"\RTDC4064\*4064*20170312* | grep -SE "(Enforcement Action)|(\[TIMEOUT)|(CHR.+\|PRM\|1\|D.+(SWITCH|SIGNAL).+UNKNOWN)" - &gt;&gt; 2017-03-11-UncaughtWiMAX.txt</v>
      </c>
    </row>
    <row r="218" spans="1:40" x14ac:dyDescent="0.25">
      <c r="A218" s="33" t="s">
        <v>622</v>
      </c>
      <c r="B218" s="7">
        <v>4063</v>
      </c>
      <c r="C218" s="21" t="s">
        <v>240</v>
      </c>
      <c r="D218" s="21" t="s">
        <v>976</v>
      </c>
      <c r="E218" s="13">
        <v>42805.097812499997</v>
      </c>
      <c r="F218" s="13">
        <v>42805.098773148151</v>
      </c>
      <c r="G218" s="7">
        <v>1</v>
      </c>
      <c r="H218" s="21" t="s">
        <v>977</v>
      </c>
      <c r="I218" s="13">
        <v>42805.107662037037</v>
      </c>
      <c r="J218" s="7">
        <v>0</v>
      </c>
      <c r="K218" s="98" t="str">
        <f t="shared" si="85"/>
        <v>4063/4064</v>
      </c>
      <c r="L218" s="21" t="str">
        <f>VLOOKUP(A218,'Trips&amp;Operators'!$C$1:$G$99999,5,FALSE)</f>
        <v>DUNCAN SHEILA</v>
      </c>
      <c r="M218" s="6">
        <f t="shared" si="86"/>
        <v>8.8888888858491555E-3</v>
      </c>
      <c r="N218" s="7">
        <f t="shared" si="81"/>
        <v>12.799999995622784</v>
      </c>
      <c r="O218" s="7"/>
      <c r="P218" s="7"/>
      <c r="Q218" s="22"/>
      <c r="R218" s="22"/>
      <c r="S218" s="31">
        <f t="shared" si="80"/>
        <v>0</v>
      </c>
      <c r="T218" s="46" t="e">
        <f t="shared" si="87"/>
        <v>#VALUE!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6" t="str">
        <f t="shared" si="88"/>
        <v>https://d0f6bd738d7f1b3e5a7ca70fe4ff75f0.us-east-1.aws.found.io/app/kibana#/discover/Steve-Slow-Train-Analysis-(2080s-and-2083s)?_g=(refreshInterval:(display:Off,pause:!f,section:0,value:0),time:(from:'2017-03-11T01:20:51-0700',mode:absolute,to:'2017-03-11T03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8" s="187" t="str">
        <f t="shared" si="89"/>
        <v>Y</v>
      </c>
      <c r="X218" s="187" t="e">
        <f t="shared" si="84"/>
        <v>#VALUE!</v>
      </c>
      <c r="Y218" s="62">
        <f t="shared" si="82"/>
        <v>0.12920000000000001</v>
      </c>
      <c r="Z218" s="62">
        <f t="shared" si="83"/>
        <v>2.3298999999999999</v>
      </c>
      <c r="AA218" s="62">
        <f t="shared" si="90"/>
        <v>2.2006999999999999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91"/>
        <v>81-10</v>
      </c>
      <c r="AE218" s="85" t="str">
        <f t="shared" si="92"/>
        <v>aws s3 cp s3://rtdc.mdm.uploadarchive.raw/RTDC4063/ "%USERPROFILE%\AppData\Local\Temp\OnboardLogs"\RTDC4063\2017-03-11 --exclude "*" --recursive --include "*20170311*" &amp; "%USERPROFILE%\Documents\GitHub\mrs-test-scripts\Headless Mode &amp; Sideloading\WalkAndUnGZ.bat" "%USERPROFILE%\AppData\Local\Temp\OnboardLogs"\RTDC4063\2017-03-11 &amp; aws s3 cp s3://rtdc.mdm.uploadarchive.raw/RTDC4063/ "%USERPROFILE%\AppData\Local\Temp\OnboardLogs"\RTDC4063\2017-03-12 --exclude "*" --recursive --include "*20170312*" &amp; "%USERPROFILE%\Documents\GitHub\mrs-test-scripts\Headless Mode &amp; Sideloading\WalkAndUnGZ.bat" "%USERPROFILE%\AppData\Local\Temp\OnboardLogs"\RTDC4063\2017-03-12</v>
      </c>
      <c r="AF218" s="82" t="str">
        <f t="shared" si="93"/>
        <v>"C:\Program Files (x86)\AstroGrep\AstroGrep.exe" /e /r /s /spath="%USERPROFILE%\AppData\Local\Temp\OnboardLogs" /stypes="app*4063*20170311*" /stext=" 09:.+((SYSTEM_STATE.+slice.+state.+changed )|(ment ac)|(multiple cpu faults)|(system.+state.+changed )|(\[timeout)|(PRM\|1\|D)|(kpr)|(kdp)|(\|lc)|(penalty))"</v>
      </c>
      <c r="AG218" s="1" t="str">
        <f t="shared" si="94"/>
        <v>Other</v>
      </c>
      <c r="AH218" s="86" t="str">
        <f t="shared" si="95"/>
        <v>"%USERPROFILE%\Documents\GitHub\eaglep3\Utilities\RefineRTDCRunTimes.py" --tripid 81-10 --locoid 4063 --swversion DE.1.0.9.0 --startMP 204:1292 --initTime 2017-03-11T02:20:51 --startdatetime 2017-03-11T02:22:14 --delay 1 --endMP 300:23299 --enddatetime 2017-03-11T02:35:02 --enforcementcount 0 &gt;&gt;C:\Users\stu\Documents\GitHub\eaglep3-reporting\EC\2017-03-11-refined-times.txt</v>
      </c>
      <c r="AI218" s="108" t="str">
        <f t="shared" si="96"/>
        <v>echo {"issue":{"subject":"","project_id":79,"tracker_id":40,"status_id":1,"priority_id":2,"assigned_to_id":23,"start_date":"2017-03-11","description":"","custom_fields":[{"id":1,"name":"Subdivision","value":"Other"},{"id":4,"name":"Milepost","value":"2.3299"},{"id":17,"name":"Train ID","value":"81-10"},{"id":16,"name":"Locomotive ID","value":"4063"},{"id":130,"name":"Impact","value":""},{"id":150,"name":"Time of Event (Mountain Time)","value":"02:35:02"},{"id":151,"name":"Denver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97"/>
        <v>start /low /b %USERPROFILE%\Documents\GitHub\eaglep3\Utilities\DownloadLogsFromS3.py --loco 4063 --day 2017-03-11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"%USERPROFILE%\AppData\Local\Temp\OnboardLogs"\RTDC4063\*4063*20170311* | grep -SE "(Enforcement Action)|(\[TIMEOUT)|(CHR.+\|PRM\|1\|D.+(SWITCH|SIGNAL).+UNKNOWN)" - &gt;&gt; 2017-03-11-UncaughtWiMAX.txt</v>
      </c>
    </row>
    <row r="219" spans="1:40" x14ac:dyDescent="0.25">
      <c r="A219" s="33" t="s">
        <v>611</v>
      </c>
      <c r="B219" s="7">
        <v>4063</v>
      </c>
      <c r="C219" s="21" t="s">
        <v>240</v>
      </c>
      <c r="D219" s="21" t="s">
        <v>559</v>
      </c>
      <c r="E219" s="13">
        <v>42805.881712962961</v>
      </c>
      <c r="F219" s="13">
        <v>42805.882800925923</v>
      </c>
      <c r="G219" s="7">
        <v>1</v>
      </c>
      <c r="H219" s="21" t="s">
        <v>978</v>
      </c>
      <c r="I219" s="13">
        <v>42805.922233796293</v>
      </c>
      <c r="J219" s="7">
        <v>0</v>
      </c>
      <c r="K219" s="98" t="str">
        <f t="shared" si="85"/>
        <v>4063/4064</v>
      </c>
      <c r="L219" s="21" t="str">
        <f>VLOOKUP(A219,'Trips&amp;Operators'!$C$1:$G$99999,5,FALSE)</f>
        <v>MAGEE KENYA</v>
      </c>
      <c r="M219" s="6">
        <f t="shared" si="86"/>
        <v>3.9432870369637385E-2</v>
      </c>
      <c r="N219" s="7">
        <f t="shared" si="81"/>
        <v>56.783333332277834</v>
      </c>
      <c r="O219" s="7"/>
      <c r="P219" s="7"/>
      <c r="Q219" s="22"/>
      <c r="R219" s="22"/>
      <c r="S219" s="31">
        <f t="shared" si="80"/>
        <v>0</v>
      </c>
      <c r="T219" s="46" t="e">
        <f t="shared" si="87"/>
        <v>#VALUE!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6" t="str">
        <f t="shared" si="88"/>
        <v>https://d0f6bd738d7f1b3e5a7ca70fe4ff75f0.us-east-1.aws.found.io/app/kibana#/discover/Steve-Slow-Train-Analysis-(2080s-and-2083s)?_g=(refreshInterval:(display:Off,pause:!f,section:0,value:0),time:(from:'2017-03-11T20:09:40-0700',mode:absolute,to:'2017-03-11T23:08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9" s="187" t="str">
        <f t="shared" si="89"/>
        <v>N</v>
      </c>
      <c r="X219" s="187" t="e">
        <f t="shared" si="84"/>
        <v>#VALUE!</v>
      </c>
      <c r="Y219" s="62">
        <f t="shared" si="82"/>
        <v>0.1181</v>
      </c>
      <c r="Z219" s="62">
        <f t="shared" si="83"/>
        <v>23.345500000000001</v>
      </c>
      <c r="AA219" s="62">
        <f t="shared" si="90"/>
        <v>23.227400000000003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91"/>
        <v>81-11</v>
      </c>
      <c r="AE219" s="85" t="str">
        <f t="shared" si="92"/>
        <v>aws s3 cp s3://rtdc.mdm.uploadarchive.raw/RTDC4063/ "%USERPROFILE%\AppData\Local\Temp\OnboardLogs"\RTDC4063\2017-03-11 --exclude "*" --recursive --include "*20170311*" &amp; "%USERPROFILE%\Documents\GitHub\mrs-test-scripts\Headless Mode &amp; Sideloading\WalkAndUnGZ.bat" "%USERPROFILE%\AppData\Local\Temp\OnboardLogs"\RTDC4063\2017-03-11 &amp; aws s3 cp s3://rtdc.mdm.uploadarchive.raw/RTDC4063/ "%USERPROFILE%\AppData\Local\Temp\OnboardLogs"\RTDC4063\2017-03-12 --exclude "*" --recursive --include "*20170312*" &amp; "%USERPROFILE%\Documents\GitHub\mrs-test-scripts\Headless Mode &amp; Sideloading\WalkAndUnGZ.bat" "%USERPROFILE%\AppData\Local\Temp\OnboardLogs"\RTDC4063\2017-03-12</v>
      </c>
      <c r="AF219" s="82" t="str">
        <f t="shared" si="93"/>
        <v>"C:\Program Files (x86)\AstroGrep\AstroGrep.exe" /e /r /s /spath="%USERPROFILE%\AppData\Local\Temp\OnboardLogs" /stypes="app*4063*20170312*" /stext=" 05:.+((SYSTEM_STATE.+slice.+state.+changed )|(ment ac)|(multiple cpu faults)|(system.+state.+changed )|(\[timeout)|(PRM\|1\|D)|(kpr)|(kdp)|(\|lc)|(penalty))"</v>
      </c>
      <c r="AG219" s="1" t="str">
        <f t="shared" si="94"/>
        <v>Other</v>
      </c>
      <c r="AH219" s="86" t="str">
        <f t="shared" si="95"/>
        <v>"%USERPROFILE%\Documents\GitHub\eaglep3\Utilities\RefineRTDCRunTimes.py" --tripid 81-11 --locoid 4063 --swversion DE.1.0.9.0 --startMP 204:1181 --initTime 2017-03-11T21:09:40 --startdatetime 2017-03-11T21:11:14 --delay 1 --endMP 204:233455 --enddatetime 2017-03-11T22:08:01 --enforcementcount 0 &gt;&gt;C:\Users\stu\Documents\GitHub\eaglep3-reporting\EC\2017-03-11-refined-times.txt</v>
      </c>
      <c r="AI219" s="108" t="str">
        <f t="shared" si="96"/>
        <v>echo {"issue":{"subject":"","project_id":79,"tracker_id":40,"status_id":1,"priority_id":2,"assigned_to_id":23,"start_date":"2017-03-11","description":"","custom_fields":[{"id":1,"name":"Subdivision","value":"Other"},{"id":4,"name":"Milepost","value":"23.3455"},{"id":17,"name":"Train ID","value":"81-11"},{"id":16,"name":"Locomotive ID","value":"4063"},{"id":130,"name":"Impact","value":""},{"id":150,"name":"Time of Event (Mountain Time)","value":"22:08:01"},{"id":151,"name":"Denver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97"/>
        <v>start /low /b %USERPROFILE%\Documents\GitHub\eaglep3\Utilities\DownloadLogsFromS3.py --loco 4063 --day 2017-03-11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"%USERPROFILE%\AppData\Local\Temp\OnboardLogs"\RTDC4063\*4063*20170312* | grep -SE "(Enforcement Action)|(\[TIMEOUT)|(CHR.+\|PRM\|1\|D.+(SWITCH|SIGNAL).+UNKNOWN)" - &gt;&gt; 2017-03-11-UncaughtWiMAX.txt</v>
      </c>
    </row>
    <row r="220" spans="1:40" x14ac:dyDescent="0.25">
      <c r="A220" s="33" t="s">
        <v>611</v>
      </c>
      <c r="B220" s="7">
        <v>4063</v>
      </c>
      <c r="C220" s="21" t="s">
        <v>240</v>
      </c>
      <c r="D220" s="21" t="s">
        <v>979</v>
      </c>
      <c r="E220" s="13">
        <v>42805.960370370369</v>
      </c>
      <c r="F220" s="13">
        <v>42805.96130787037</v>
      </c>
      <c r="G220" s="7">
        <v>1</v>
      </c>
      <c r="H220" s="21" t="s">
        <v>980</v>
      </c>
      <c r="I220" s="13">
        <v>42805.992476851854</v>
      </c>
      <c r="J220" s="7">
        <v>0</v>
      </c>
      <c r="K220" s="98" t="str">
        <f t="shared" si="85"/>
        <v>4063/4064</v>
      </c>
      <c r="L220" s="21" t="str">
        <f>VLOOKUP(A220,'Trips&amp;Operators'!$C$1:$G$99999,5,FALSE)</f>
        <v>MAGEE KENYA</v>
      </c>
      <c r="M220" s="6">
        <f t="shared" si="86"/>
        <v>3.1168981484370306E-2</v>
      </c>
      <c r="N220" s="7">
        <f t="shared" si="81"/>
        <v>44.883333337493241</v>
      </c>
      <c r="O220" s="7"/>
      <c r="P220" s="7"/>
      <c r="Q220" s="22"/>
      <c r="R220" s="22"/>
      <c r="S220" s="31">
        <f t="shared" si="80"/>
        <v>0</v>
      </c>
      <c r="T220" s="46" t="e">
        <f t="shared" si="87"/>
        <v>#VALUE!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6" t="str">
        <f t="shared" si="88"/>
        <v>https://d0f6bd738d7f1b3e5a7ca70fe4ff75f0.us-east-1.aws.found.io/app/kibana#/discover/Steve-Slow-Train-Analysis-(2080s-and-2083s)?_g=(refreshInterval:(display:Off,pause:!f,section:0,value:0),time:(from:'2017-03-11T22:02:56-0700',mode:absolute,to:'2017-03-12T00:49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0" s="187" t="str">
        <f t="shared" si="89"/>
        <v>N</v>
      </c>
      <c r="X220" s="187" t="e">
        <f t="shared" si="84"/>
        <v>#VALUE!</v>
      </c>
      <c r="Y220" s="62">
        <f t="shared" si="82"/>
        <v>0.14810000000000001</v>
      </c>
      <c r="Z220" s="62">
        <f t="shared" si="83"/>
        <v>22.630199999999999</v>
      </c>
      <c r="AA220" s="62">
        <f t="shared" si="90"/>
        <v>22.482099999999999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91"/>
        <v>81-11</v>
      </c>
      <c r="AE220" s="85" t="str">
        <f t="shared" si="92"/>
        <v>aws s3 cp s3://rtdc.mdm.uploadarchive.raw/RTDC4063/ "%USERPROFILE%\AppData\Local\Temp\OnboardLogs"\RTDC4063\2017-03-11 --exclude "*" --recursive --include "*20170311*" &amp; "%USERPROFILE%\Documents\GitHub\mrs-test-scripts\Headless Mode &amp; Sideloading\WalkAndUnGZ.bat" "%USERPROFILE%\AppData\Local\Temp\OnboardLogs"\RTDC4063\2017-03-11 &amp; aws s3 cp s3://rtdc.mdm.uploadarchive.raw/RTDC4063/ "%USERPROFILE%\AppData\Local\Temp\OnboardLogs"\RTDC4063\2017-03-12 --exclude "*" --recursive --include "*20170312*" &amp; "%USERPROFILE%\Documents\GitHub\mrs-test-scripts\Headless Mode &amp; Sideloading\WalkAndUnGZ.bat" "%USERPROFILE%\AppData\Local\Temp\OnboardLogs"\RTDC4063\2017-03-12</v>
      </c>
      <c r="AF220" s="82" t="str">
        <f t="shared" si="93"/>
        <v>"C:\Program Files (x86)\AstroGrep\AstroGrep.exe" /e /r /s /spath="%USERPROFILE%\AppData\Local\Temp\OnboardLogs" /stypes="app*4063*20170312*" /stext=" 06:.+((SYSTEM_STATE.+slice.+state.+changed )|(ment ac)|(multiple cpu faults)|(system.+state.+changed )|(\[timeout)|(PRM\|1\|D)|(kpr)|(kdp)|(\|lc)|(penalty))"</v>
      </c>
      <c r="AG220" s="1" t="str">
        <f t="shared" si="94"/>
        <v>Other</v>
      </c>
      <c r="AH220" s="86" t="str">
        <f t="shared" si="95"/>
        <v>"%USERPROFILE%\Documents\GitHub\eaglep3\Utilities\RefineRTDCRunTimes.py" --tripid 81-11 --locoid 4063 --swversion DE.1.0.9.0 --startMP 204:1481 --initTime 2017-03-11T23:02:56 --startdatetime 2017-03-11T23:04:17 --delay 1 --endMP 204:226302 --enddatetime 2017-03-11T23:49:10 --enforcementcount 0 &gt;&gt;C:\Users\stu\Documents\GitHub\eaglep3-reporting\EC\2017-03-11-refined-times.txt</v>
      </c>
      <c r="AI220" s="108" t="str">
        <f t="shared" si="96"/>
        <v>echo {"issue":{"subject":"","project_id":79,"tracker_id":40,"status_id":1,"priority_id":2,"assigned_to_id":23,"start_date":"2017-03-11","description":"","custom_fields":[{"id":1,"name":"Subdivision","value":"Other"},{"id":4,"name":"Milepost","value":"22.6302"},{"id":17,"name":"Train ID","value":"81-11"},{"id":16,"name":"Locomotive ID","value":"4063"},{"id":130,"name":"Impact","value":""},{"id":150,"name":"Time of Event (Mountain Time)","value":"23:49:10"},{"id":151,"name":"Denver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97"/>
        <v>start /low /b %USERPROFILE%\Documents\GitHub\eaglep3\Utilities\DownloadLogsFromS3.py --loco 4063 --day 2017-03-11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"%USERPROFILE%\AppData\Local\Temp\OnboardLogs"\RTDC4063\*4063*20170312* | grep -SE "(Enforcement Action)|(\[TIMEOUT)|(CHR.+\|PRM\|1\|D.+(SWITCH|SIGNAL).+UNKNOWN)" - &gt;&gt; 2017-03-11-UncaughtWiMAX.txt</v>
      </c>
    </row>
    <row r="221" spans="1:40" x14ac:dyDescent="0.25">
      <c r="A221" s="33" t="s">
        <v>611</v>
      </c>
      <c r="B221" s="7">
        <v>4063</v>
      </c>
      <c r="C221" s="21" t="s">
        <v>240</v>
      </c>
      <c r="D221" s="21" t="s">
        <v>233</v>
      </c>
      <c r="E221" s="13">
        <v>42806.046793981484</v>
      </c>
      <c r="F221" s="13">
        <v>42806.047962962963</v>
      </c>
      <c r="G221" s="7">
        <v>1</v>
      </c>
      <c r="H221" s="21" t="s">
        <v>574</v>
      </c>
      <c r="I221" s="13">
        <v>42806.058912037035</v>
      </c>
      <c r="J221" s="7">
        <v>0</v>
      </c>
      <c r="K221" s="98" t="str">
        <f t="shared" si="85"/>
        <v>4063/4064</v>
      </c>
      <c r="L221" s="21" t="str">
        <f>VLOOKUP(A221,'Trips&amp;Operators'!$C$1:$G$99999,5,FALSE)</f>
        <v>MAGEE KENYA</v>
      </c>
      <c r="M221" s="6">
        <f t="shared" si="86"/>
        <v>1.0949074072414078E-2</v>
      </c>
      <c r="N221" s="7">
        <f t="shared" si="81"/>
        <v>15.766666664276272</v>
      </c>
      <c r="O221" s="7"/>
      <c r="P221" s="7"/>
      <c r="Q221" s="22"/>
      <c r="R221" s="22"/>
      <c r="S221" s="31">
        <f t="shared" si="80"/>
        <v>0</v>
      </c>
      <c r="T221" s="46" t="e">
        <f t="shared" si="87"/>
        <v>#VALUE!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6" t="str">
        <f t="shared" si="88"/>
        <v>https://d0f6bd738d7f1b3e5a7ca70fe4ff75f0.us-east-1.aws.found.io/app/kibana#/discover/Steve-Slow-Train-Analysis-(2080s-and-2083s)?_g=(refreshInterval:(display:Off,pause:!f,section:0,value:0),time:(from:'2017-03-12T00:07:23-0700',mode:absolute,to:'2017-03-12T02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1" s="187" t="str">
        <f t="shared" si="89"/>
        <v>N</v>
      </c>
      <c r="X221" s="187" t="e">
        <f t="shared" si="84"/>
        <v>#VALUE!</v>
      </c>
      <c r="Y221" s="62">
        <f t="shared" si="82"/>
        <v>4.4400000000000002E-2</v>
      </c>
      <c r="Z221" s="62">
        <f t="shared" si="83"/>
        <v>5.8983999999999996</v>
      </c>
      <c r="AA221" s="62">
        <f t="shared" si="90"/>
        <v>5.8539999999999992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91"/>
        <v>81-11</v>
      </c>
      <c r="AE221" s="85" t="str">
        <f t="shared" si="92"/>
        <v>aws s3 cp s3://rtdc.mdm.uploadarchive.raw/RTDC4063/ "%USERPROFILE%\AppData\Local\Temp\OnboardLogs"\RTDC4063\2017-03-12 --exclude "*" --recursive --include "*20170312*" &amp; "%USERPROFILE%\Documents\GitHub\mrs-test-scripts\Headless Mode &amp; Sideloading\WalkAndUnGZ.bat" "%USERPROFILE%\AppData\Local\Temp\OnboardLogs"\RTDC4063\2017-03-12 &amp; aws s3 cp s3://rtdc.mdm.uploadarchive.raw/RTDC4063/ "%USERPROFILE%\AppData\Local\Temp\OnboardLogs"\RTDC4063\2017-03-13 --exclude "*" --recursive --include "*20170313*" &amp; "%USERPROFILE%\Documents\GitHub\mrs-test-scripts\Headless Mode &amp; Sideloading\WalkAndUnGZ.bat" "%USERPROFILE%\AppData\Local\Temp\OnboardLogs"\RTDC4063\2017-03-13</v>
      </c>
      <c r="AF221" s="82" t="str">
        <f t="shared" si="93"/>
        <v>"C:\Program Files (x86)\AstroGrep\AstroGrep.exe" /e /r /s /spath="%USERPROFILE%\AppData\Local\Temp\OnboardLogs" /stypes="app*4063*20170312*" /stext=" 08:.+((SYSTEM_STATE.+slice.+state.+changed )|(ment ac)|(multiple cpu faults)|(system.+state.+changed )|(\[timeout)|(PRM\|1\|D)|(kpr)|(kdp)|(\|lc)|(penalty))"</v>
      </c>
      <c r="AG221" s="1" t="str">
        <f t="shared" si="94"/>
        <v>Other</v>
      </c>
      <c r="AH221" s="86" t="str">
        <f t="shared" si="95"/>
        <v>"%USERPROFILE%\Documents\GitHub\eaglep3\Utilities\RefineRTDCRunTimes.py" --tripid 81-11 --locoid 4063 --swversion DE.1.0.9.0 --startMP 204:444 --initTime 2017-03-12T01:07:23 --startdatetime 2017-03-12T01:09:04 --delay 1 --endMP 300:58984 --enddatetime 2017-03-12T01:24:50 --enforcementcount 0 &gt;&gt;C:\Users\stu\Documents\GitHub\eaglep3-reporting\EC\2017-03-11-refined-times.txt</v>
      </c>
      <c r="AI221" s="108" t="str">
        <f t="shared" si="96"/>
        <v>echo {"issue":{"subject":"","project_id":79,"tracker_id":40,"status_id":1,"priority_id":2,"assigned_to_id":23,"start_date":"2017-03-12","description":"","custom_fields":[{"id":1,"name":"Subdivision","value":"Other"},{"id":4,"name":"Milepost","value":"5.8984"},{"id":17,"name":"Train ID","value":"81-11"},{"id":16,"name":"Locomotive ID","value":"4063"},{"id":130,"name":"Impact","value":""},{"id":150,"name":"Time of Event (Mountain Time)","value":"01:24:50"},{"id":151,"name":"Denver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97"/>
        <v>start /low /b %USERPROFILE%\Documents\GitHub\eaglep3\Utilities\DownloadLogsFromS3.py --loco 4063 --day 2017-03-12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"%USERPROFILE%\AppData\Local\Temp\OnboardLogs"\RTDC4063\*4063*20170312* | grep -SE "(Enforcement Action)|(\[TIMEOUT)|(CHR.+\|PRM\|1\|D.+(SWITCH|SIGNAL).+UNKNOWN)" - &gt;&gt; 2017-03-11-UncaughtWiMAX.txt</v>
      </c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</sheetData>
  <autoFilter ref="A12:AG258"/>
  <sortState ref="A13:AH200">
    <sortCondition ref="AG13:AG200"/>
    <sortCondition ref="AD13:AD200"/>
  </sortState>
  <mergeCells count="1">
    <mergeCell ref="A11:P11"/>
  </mergeCells>
  <conditionalFormatting sqref="W11:W12 W277:X1048576 W13:X221">
    <cfRule type="cellIs" dxfId="10" priority="363" operator="equal">
      <formula>"Y"</formula>
    </cfRule>
  </conditionalFormatting>
  <conditionalFormatting sqref="X277:X1048576 X13:X221">
    <cfRule type="cellIs" dxfId="9" priority="346" operator="greaterThan">
      <formula>1</formula>
    </cfRule>
  </conditionalFormatting>
  <conditionalFormatting sqref="X277:X1048576 X12:X221">
    <cfRule type="cellIs" dxfId="8" priority="343" operator="equal">
      <formula>0</formula>
    </cfRule>
  </conditionalFormatting>
  <conditionalFormatting sqref="A13:S221">
    <cfRule type="expression" dxfId="7" priority="337" stopIfTrue="1">
      <formula>$P13&gt;0</formula>
    </cfRule>
    <cfRule type="expression" dxfId="6" priority="338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9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A13:S221</xm:sqref>
        </x14:conditionalFormatting>
        <x14:conditionalFormatting xmlns:xm="http://schemas.microsoft.com/office/excel/2006/main">
          <x14:cfRule type="expression" priority="22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AK13:AK221</xm:sqref>
        </x14:dataValidation>
        <x14:dataValidation type="list" allowBlank="1" showInputMessage="1" showErrorMessage="1">
          <x14:formula1>
            <xm:f>'Redmine List Values'!$C$2:$C$15</xm:f>
          </x14:formula1>
          <xm:sqref>AL13:AL221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workbookViewId="0">
      <selection activeCell="N18" sqref="N18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COUNTIF($O$7:$O$313,"=Y")</f>
        <v>1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COUNTA($O$7:$O$313)-O2</f>
        <v>34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220" t="str">
        <f>"Eagle P3 Braking Events - "&amp;TEXT(Variables!$A$2,"YYYY-mm-dd")</f>
        <v>Eagle P3 Braking Events - 2017-03-11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193</v>
      </c>
      <c r="AE6" s="155" t="s">
        <v>205</v>
      </c>
    </row>
    <row r="7" spans="1:32" s="1" customFormat="1" x14ac:dyDescent="0.25">
      <c r="A7" s="32">
        <v>42805.598506944443</v>
      </c>
      <c r="B7" s="30" t="s">
        <v>252</v>
      </c>
      <c r="C7" s="30" t="s">
        <v>598</v>
      </c>
      <c r="D7" s="30" t="s">
        <v>49</v>
      </c>
      <c r="E7" s="30" t="s">
        <v>195</v>
      </c>
      <c r="F7" s="43">
        <v>110</v>
      </c>
      <c r="G7" s="43">
        <v>236</v>
      </c>
      <c r="H7" s="43">
        <v>26649</v>
      </c>
      <c r="I7" s="43">
        <v>27060</v>
      </c>
      <c r="J7" s="30" t="s">
        <v>196</v>
      </c>
      <c r="K7" s="43">
        <v>27053</v>
      </c>
      <c r="L7" s="143" t="s">
        <v>50</v>
      </c>
      <c r="M7" s="144">
        <f t="shared" ref="M7:M41" si="0">CONVERT((I7-K7)/10000,"mi","ft")*IF(L7="Increasing Mileposts (1)",-1,1)</f>
        <v>-3.6960000000000002</v>
      </c>
      <c r="N7" s="145" t="str">
        <f>VLOOKUP(C7,'Trips&amp;Operators'!$C$1:$G$99999,5,FALSE)</f>
        <v>LOPES KIMBERLY</v>
      </c>
      <c r="O7" s="194" t="s">
        <v>185</v>
      </c>
      <c r="P7" s="146" t="s">
        <v>579</v>
      </c>
      <c r="Q7" s="30"/>
      <c r="R7" s="89" t="e">
        <f>IF(VLOOKUP(C7,'Train Runs'!$A$13:$AE$9946,1,1)=C7,VLOOKUP(C7,'Train Runs'!$A$13:$AE$9946,31,1),NA())</f>
        <v>#N/A</v>
      </c>
      <c r="S7" s="92" t="e">
        <f>IF(VLOOKUP(C7,'Train Runs'!$A$13:$AE$9946,1,1)=C7,VLOOKUP(C7,'Train Runs'!$A$13:$AE$9946,22,1),NA())</f>
        <v>#N/A</v>
      </c>
      <c r="T7" s="94" t="str">
        <f t="shared" ref="T7:T4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/stypes="*4014*201703112*" /stext=" 21:.+((SYSTEM_STATE.+slice.+state.+changed )|(ment ac)|(multiple cpu faults)|(system.+state.+changed )|(\[timeout)|(PRM\|1\|D)|(kpr)|(kdp)|(\|lc)|(penalty))"</v>
      </c>
      <c r="U7" s="9" t="str">
        <f t="shared" ref="U7:U41" si="2">MID(B7,13,4)</f>
        <v>4014</v>
      </c>
      <c r="V7" s="32">
        <f t="shared" ref="V7:V41" si="3">A7-utc_offset/24</f>
        <v>42805.890173611107</v>
      </c>
      <c r="W7" s="46" t="str">
        <f t="shared" ref="W7:W41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1" si="5">IF(AND(E7="TRACK WARRANT AUTHORITY",G7&lt;10),"OMIT","KEEP")</f>
        <v>KEEP</v>
      </c>
      <c r="Y7" s="108" t="str">
        <f t="shared" ref="Y7:Y4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arrival","project_id":79,"tracker_id":40,"status_id":1,"priority_id":2,"assigned_to_id":23,"start_date":"2017-03-11","description":"","custom_fields":[{"id":1,"name":"Subdivision","value":"EC"},{"id":4,"name":"Milepost","value":"2.7053"},{"id":17,"name":"Train ID","value":"185-11"},{"id":16,"name":"Locomotive ID","value":"4014"},{"id":130,"name":"Impact","value":""},{"id":150,"name":"Time of Event (Mountain Time)","value":"14:21:51"},{"id":151,"name":"Denver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23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"%USERPROFILE%\AppData\Local\Temp\OnboardLogs"\RTDC4014\*4014*201703112*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"%USERPROFILE%\AppData\Local\Temp\OnboardLogs"\RTDC4014\*4014*201703112* &gt;&gt; 2017-03-11-SliceDisagreementCheck.txt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4014 --day 2017-03-11</v>
      </c>
    </row>
    <row r="8" spans="1:32" s="1" customFormat="1" x14ac:dyDescent="0.25">
      <c r="A8" s="32">
        <v>42805.315138888887</v>
      </c>
      <c r="B8" s="30" t="s">
        <v>212</v>
      </c>
      <c r="C8" s="30" t="s">
        <v>585</v>
      </c>
      <c r="D8" s="30" t="s">
        <v>98</v>
      </c>
      <c r="E8" s="30" t="s">
        <v>195</v>
      </c>
      <c r="F8" s="43">
        <v>0</v>
      </c>
      <c r="G8" s="43">
        <v>121</v>
      </c>
      <c r="H8" s="43">
        <v>27325</v>
      </c>
      <c r="I8" s="43">
        <v>27178</v>
      </c>
      <c r="J8" s="30" t="s">
        <v>196</v>
      </c>
      <c r="K8" s="43">
        <v>27350</v>
      </c>
      <c r="L8" s="143" t="s">
        <v>51</v>
      </c>
      <c r="M8" s="144">
        <f t="shared" si="0"/>
        <v>-90.816000000000003</v>
      </c>
      <c r="N8" s="145" t="str">
        <f>VLOOKUP(C8,'Trips&amp;Operators'!$C$1:$G$99999,5,FALSE)</f>
        <v>COOLAHAN JOHN</v>
      </c>
      <c r="O8" s="194" t="s">
        <v>185</v>
      </c>
      <c r="P8" s="146" t="s">
        <v>579</v>
      </c>
      <c r="Q8" s="30"/>
      <c r="R8" s="89" t="str">
        <f>IF(VLOOKUP(C8,'Train Runs'!$A$13:$AE$9946,1,1)=C8,VLOOKUP(C8,'Train Runs'!$A$13:$AE$9946,31,1),NA())</f>
        <v>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 &amp; aws s3 cp s3://rtdc.mdm.uploadarchive.raw/RTDC4045/ "%USERPROFILE%\AppData\Local\Temp\OnboardLogs"\RTDC4045\2017-03-12 --exclude "*" --recursive --include "*20170312*" &amp; "%USERPROFILE%\Documents\GitHub\mrs-test-scripts\Headless Mode &amp; Sideloading\WalkAndUnGZ.bat" "%USERPROFILE%\AppData\Local\Temp\OnboardLogs"\RTDC4045\2017-03-12</v>
      </c>
      <c r="S8" s="92" t="str">
        <f>IF(VLOOKUP(C8,'Train Runs'!$A$13:$AE$9946,1,1)=C8,VLOOKUP(C8,'Train Runs'!$A$13:$AE$9946,22,1),NA())</f>
        <v>https://d0f6bd738d7f1b3e5a7ca70fe4ff75f0.us-east-1.aws.found.io/app/kibana#/discover/Steve-Slow-Train-Analysis-(2080s-and-2083s)?_g=(refreshInterval:(display:Off,pause:!f,section:0,value:0),time:(from:'2017-03-11T05:50:26-0700',mode:absolute,to:'2017-03-11T08:41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8" s="94" t="str">
        <f t="shared" si="1"/>
        <v>"C:\Program Files (x86)\AstroGrep\AstroGrep.exe" /e /r /s /spath="%USERPROFILE%\AppData\Local\Temp\OnboardLogs" /stypes="*4045*201703111*" /stext=" 14:.+((SYSTEM_STATE.+slice.+state.+changed )|(ment ac)|(multiple cpu faults)|(system.+state.+changed )|(\[timeout)|(PRM\|1\|D)|(kpr)|(kdp)|(\|lc)|(penalty))"</v>
      </c>
      <c r="U8" s="9" t="str">
        <f t="shared" si="2"/>
        <v>4045</v>
      </c>
      <c r="V8" s="32">
        <f t="shared" si="3"/>
        <v>42805.606805555552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arrival","project_id":79,"tracker_id":40,"status_id":1,"priority_id":2,"assigned_to_id":23,"start_date":"2017-03-11","description":"","custom_fields":[{"id":1,"name":"Subdivision","value":"EC"},{"id":4,"name":"Milepost","value":"2.735"},{"id":17,"name":"Train ID","value":"120-11"},{"id":16,"name":"Locomotive ID","value":"4045"},{"id":130,"name":"Impact","value":""},{"id":150,"name":"Time of Event (Mountain Time)","value":"07:33:48"},{"id":151,"name":"Denver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"%USERPROFILE%\AppData\Local\Temp\OnboardLogs"\RTDC4045\*4045*201703111*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"%USERPROFILE%\AppData\Local\Temp\OnboardLogs"\RTDC4045\*4045*201703111* &gt;&gt; 2017-03-11-SliceDisagreementCheck.txt</v>
      </c>
      <c r="AE8" s="157" t="str">
        <f t="shared" ref="AE8:AE41" si="9">"start /low /b "&amp;dls3logs&amp;" --loco "&amp;U8&amp;" --day "&amp;TEXT(V8,"YYYY-MM-DD")</f>
        <v>start /low /b %USERPROFILE%\Documents\GitHub\eaglep3\Utilities\DownloadLogsFromS3.py --loco 4045 --day 2017-03-11</v>
      </c>
    </row>
    <row r="9" spans="1:32" s="1" customFormat="1" x14ac:dyDescent="0.25">
      <c r="A9" s="32">
        <v>42805.623472222222</v>
      </c>
      <c r="B9" s="30" t="s">
        <v>591</v>
      </c>
      <c r="C9" s="30" t="s">
        <v>599</v>
      </c>
      <c r="D9" s="30" t="s">
        <v>49</v>
      </c>
      <c r="E9" s="30" t="s">
        <v>195</v>
      </c>
      <c r="F9" s="43">
        <v>0</v>
      </c>
      <c r="G9" s="43">
        <v>124</v>
      </c>
      <c r="H9" s="43">
        <v>31664</v>
      </c>
      <c r="I9" s="43">
        <v>31502</v>
      </c>
      <c r="J9" s="30" t="s">
        <v>196</v>
      </c>
      <c r="K9" s="43">
        <v>30970</v>
      </c>
      <c r="L9" s="143" t="s">
        <v>51</v>
      </c>
      <c r="M9" s="144">
        <f t="shared" si="0"/>
        <v>280.89600000000002</v>
      </c>
      <c r="N9" s="145" t="str">
        <f>VLOOKUP(C9,'Trips&amp;Operators'!$C$1:$G$99999,5,FALSE)</f>
        <v>HOLCOMB KAMDEN</v>
      </c>
      <c r="O9" s="194" t="s">
        <v>185</v>
      </c>
      <c r="P9" s="146" t="s">
        <v>580</v>
      </c>
      <c r="Q9" s="30"/>
      <c r="R9" s="89" t="str">
        <f>IF(VLOOKUP(C9,'Train Runs'!$A$13:$AE$9946,1,1)=C9,VLOOKUP(C9,'Train Runs'!$A$13:$AE$9946,31,1),NA())</f>
        <v>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 &amp; 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</v>
      </c>
      <c r="S9" s="92" t="str">
        <f>IF(VLOOKUP(C9,'Train Runs'!$A$13:$AE$9946,1,1)=C9,VLOOKUP(C9,'Train Runs'!$A$13:$AE$9946,22,1),NA())</f>
        <v>https://d0f6bd738d7f1b3e5a7ca70fe4ff75f0.us-east-1.aws.found.io/app/kibana#/discover/Steve-Slow-Train-Analysis-(2080s-and-2083s)?_g=(refreshInterval:(display:Off,pause:!f,section:0,value:0),time:(from:'2017-03-11T13:13:18-0700',mode:absolute,to:'2017-03-11T16:07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9" s="94" t="str">
        <f t="shared" si="1"/>
        <v>"C:\Program Files (x86)\AstroGrep\AstroGrep.exe" /e /r /s /spath="%USERPROFILE%\AppData\Local\Temp\OnboardLogs" /stypes="*4005*201703112*" /stext=" 21:.+((SYSTEM_STATE.+slice.+state.+changed )|(ment ac)|(multiple cpu faults)|(system.+state.+changed )|(\[timeout)|(PRM\|1\|D)|(kpr)|(kdp)|(\|lc)|(penalty))"</v>
      </c>
      <c r="U9" s="9" t="str">
        <f t="shared" si="2"/>
        <v>4005</v>
      </c>
      <c r="V9" s="32">
        <f t="shared" si="3"/>
        <v>42805.915138888886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{"issue":{"subject":"Form C","project_id":79,"tracker_id":40,"status_id":1,"priority_id":2,"assigned_to_id":23,"start_date":"2017-03-11","description":"","custom_fields":[{"id":1,"name":"Subdivision","value":"EC"},{"id":4,"name":"Milepost","value":"3.097"},{"id":17,"name":"Train ID","value":"180-11"},{"id":16,"name":"Locomotive ID","value":"4005"},{"id":130,"name":"Impact","value":""},{"id":150,"name":"Time of Event (Mountain Time)","value":"14:57:48"},{"id":151,"name":"Denver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"%USERPROFILE%\AppData\Local\Temp\OnboardLogs"\RTDC4005\*4005*201703112*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"%USERPROFILE%\AppData\Local\Temp\OnboardLogs"\RTDC4005\*4005*201703112* &gt;&gt; 2017-03-11-SliceDisagreementCheck.txt</v>
      </c>
      <c r="AE9" s="157" t="str">
        <f t="shared" si="9"/>
        <v>start /low /b %USERPROFILE%\Documents\GitHub\eaglep3\Utilities\DownloadLogsFromS3.py --loco 4005 --day 2017-03-11</v>
      </c>
    </row>
    <row r="10" spans="1:32" s="1" customFormat="1" x14ac:dyDescent="0.25">
      <c r="A10" s="32">
        <v>42805.696273148147</v>
      </c>
      <c r="B10" s="30" t="s">
        <v>591</v>
      </c>
      <c r="C10" s="30" t="s">
        <v>603</v>
      </c>
      <c r="D10" s="30" t="s">
        <v>49</v>
      </c>
      <c r="E10" s="30" t="s">
        <v>195</v>
      </c>
      <c r="F10" s="43">
        <v>0</v>
      </c>
      <c r="G10" s="43">
        <v>242</v>
      </c>
      <c r="H10" s="43">
        <v>32397</v>
      </c>
      <c r="I10" s="43">
        <v>31985</v>
      </c>
      <c r="J10" s="30" t="s">
        <v>196</v>
      </c>
      <c r="K10" s="43">
        <v>30970</v>
      </c>
      <c r="L10" s="143" t="s">
        <v>51</v>
      </c>
      <c r="M10" s="144">
        <f t="shared" si="0"/>
        <v>535.91999999999996</v>
      </c>
      <c r="N10" s="145" t="str">
        <f>VLOOKUP(C10,'Trips&amp;Operators'!$C$1:$G$99999,5,FALSE)</f>
        <v>HOLCOMB KAMDEN</v>
      </c>
      <c r="O10" s="194" t="s">
        <v>185</v>
      </c>
      <c r="P10" s="146" t="s">
        <v>580</v>
      </c>
      <c r="Q10" s="30"/>
      <c r="R10" s="89" t="e">
        <f>IF(VLOOKUP(C10,'Train Runs'!$A$13:$AE$9946,1,1)=C10,VLOOKUP(C10,'Train Runs'!$A$13:$AE$9946,31,1),NA())</f>
        <v>#N/A</v>
      </c>
      <c r="S10" s="92" t="e">
        <f>IF(VLOOKUP(C10,'Train Runs'!$A$13:$AE$9946,1,1)=C10,VLOOKUP(C10,'Train Runs'!$A$13:$AE$9946,22,1),NA())</f>
        <v>#N/A</v>
      </c>
      <c r="T10" s="94" t="str">
        <f t="shared" si="1"/>
        <v>"C:\Program Files (x86)\AstroGrep\AstroGrep.exe" /e /r /s /spath="%USERPROFILE%\AppData\Local\Temp\OnboardLogs" /stypes="*4005*201703112*" /stext=" 23:.+((SYSTEM_STATE.+slice.+state.+changed )|(ment ac)|(multiple cpu faults)|(system.+state.+changed )|(\[timeout)|(PRM\|1\|D)|(kpr)|(kdp)|(\|lc)|(penalty))"</v>
      </c>
      <c r="U10" s="9" t="str">
        <f t="shared" si="2"/>
        <v>4005</v>
      </c>
      <c r="V10" s="32">
        <f t="shared" si="3"/>
        <v>42805.987939814811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{"issue":{"subject":"Form C","project_id":79,"tracker_id":40,"status_id":1,"priority_id":2,"assigned_to_id":23,"start_date":"2017-03-11","description":"","custom_fields":[{"id":1,"name":"Subdivision","value":"EC"},{"id":4,"name":"Milepost","value":"3.097"},{"id":17,"name":"Train ID","value":"194-11"},{"id":16,"name":"Locomotive ID","value":"4005"},{"id":130,"name":"Impact","value":""},{"id":150,"name":"Time of Event (Mountain Time)","value":"16:42:38"},{"id":151,"name":"Denver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"%USERPROFILE%\AppData\Local\Temp\OnboardLogs"\RTDC4005\*4005*201703112*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"%USERPROFILE%\AppData\Local\Temp\OnboardLogs"\RTDC4005\*4005*201703112* &gt;&gt; 2017-03-11-SliceDisagreementCheck.txt</v>
      </c>
      <c r="AE10" s="157" t="str">
        <f t="shared" si="9"/>
        <v>start /low /b %USERPROFILE%\Documents\GitHub\eaglep3\Utilities\DownloadLogsFromS3.py --loco 4005 --day 2017-03-11</v>
      </c>
    </row>
    <row r="11" spans="1:32" s="1" customFormat="1" x14ac:dyDescent="0.25">
      <c r="A11" s="32">
        <v>42805.257800925923</v>
      </c>
      <c r="B11" s="30" t="s">
        <v>211</v>
      </c>
      <c r="C11" s="30" t="s">
        <v>583</v>
      </c>
      <c r="D11" s="30" t="s">
        <v>49</v>
      </c>
      <c r="E11" s="30" t="s">
        <v>195</v>
      </c>
      <c r="F11" s="43">
        <v>350</v>
      </c>
      <c r="G11" s="43">
        <v>404</v>
      </c>
      <c r="H11" s="43">
        <v>32737</v>
      </c>
      <c r="I11" s="43">
        <v>33597</v>
      </c>
      <c r="J11" s="30" t="s">
        <v>196</v>
      </c>
      <c r="K11" s="43">
        <v>33137</v>
      </c>
      <c r="L11" s="143" t="s">
        <v>50</v>
      </c>
      <c r="M11" s="144">
        <f t="shared" si="0"/>
        <v>-242.88</v>
      </c>
      <c r="N11" s="145" t="str">
        <f>VLOOKUP(C11,'Trips&amp;Operators'!$C$1:$G$99999,5,FALSE)</f>
        <v>COOLAHAN JOHN</v>
      </c>
      <c r="O11" s="194" t="s">
        <v>185</v>
      </c>
      <c r="P11" s="146" t="s">
        <v>579</v>
      </c>
      <c r="Q11" s="30"/>
      <c r="R11" s="89" t="str">
        <f>IF(VLOOKUP(C11,'Train Runs'!$A$13:$AE$9946,1,1)=C11,VLOOKUP(C11,'Train Runs'!$A$13:$AE$9946,31,1),NA())</f>
        <v>aws s3 cp s3://rtdc.mdm.uploadarchive.raw/RTDC4046/ "%USERPROFILE%\AppData\Local\Temp\OnboardLogs"\RTDC4046\2017-03-11 --exclude "*" --recursive --include "*20170311*" &amp; "%USERPROFILE%\Documents\GitHub\mrs-test-scripts\Headless Mode &amp; Sideloading\WalkAndUnGZ.bat" "%USERPROFILE%\AppData\Local\Temp\OnboardLogs"\RTDC4046\2017-03-11 &amp; aws s3 cp s3://rtdc.mdm.uploadarchive.raw/RTDC4046/ "%USERPROFILE%\AppData\Local\Temp\OnboardLogs"\RTDC4046\2017-03-12 --exclude "*" --recursive --include "*20170312*" &amp; "%USERPROFILE%\Documents\GitHub\mrs-test-scripts\Headless Mode &amp; Sideloading\WalkAndUnGZ.bat" "%USERPROFILE%\AppData\Local\Temp\OnboardLogs"\RTDC4046\2017-03-12</v>
      </c>
      <c r="S11" s="92" t="str">
        <f>IF(VLOOKUP(C11,'Train Runs'!$A$13:$AE$9946,1,1)=C11,VLOOKUP(C11,'Train Runs'!$A$13:$AE$9946,22,1),NA())</f>
        <v>https://d0f6bd738d7f1b3e5a7ca70fe4ff75f0.us-east-1.aws.found.io/app/kibana#/discover/Steve-Slow-Train-Analysis-(2080s-and-2083s)?_g=(refreshInterval:(display:Off,pause:!f,section:0,value:0),time:(from:'2017-03-11T04:47:03-0700',mode:absolute,to:'2017-03-11T07:41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1" s="94" t="str">
        <f t="shared" si="1"/>
        <v>"C:\Program Files (x86)\AstroGrep\AstroGrep.exe" /e /r /s /spath="%USERPROFILE%\AppData\Local\Temp\OnboardLogs" /stypes="*4046*201703111*" /stext=" 13:.+((SYSTEM_STATE.+slice.+state.+changed )|(ment ac)|(multiple cpu faults)|(system.+state.+changed )|(\[timeout)|(PRM\|1\|D)|(kpr)|(kdp)|(\|lc)|(penalty))"</v>
      </c>
      <c r="U11" s="9" t="str">
        <f t="shared" si="2"/>
        <v>4046</v>
      </c>
      <c r="V11" s="32">
        <f t="shared" si="3"/>
        <v>42805.549467592587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arrival","project_id":79,"tracker_id":40,"status_id":1,"priority_id":2,"assigned_to_id":23,"start_date":"2017-03-11","description":"","custom_fields":[{"id":1,"name":"Subdivision","value":"EC"},{"id":4,"name":"Milepost","value":"3.3137"},{"id":17,"name":"Train ID","value":"119-11"},{"id":16,"name":"Locomotive ID","value":"4046"},{"id":130,"name":"Impact","value":""},{"id":150,"name":"Time of Event (Mountain Time)","value":"06:11:14"},{"id":151,"name":"Denver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"%USERPROFILE%\AppData\Local\Temp\OnboardLogs"\RTDC4046\*4046*201703111*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"%USERPROFILE%\AppData\Local\Temp\OnboardLogs"\RTDC4046\*4046*201703111* &gt;&gt; 2017-03-11-SliceDisagreementCheck.txt</v>
      </c>
      <c r="AE11" s="157" t="str">
        <f t="shared" si="9"/>
        <v>start /low /b %USERPROFILE%\Documents\GitHub\eaglep3\Utilities\DownloadLogsFromS3.py --loco 4046 --day 2017-03-11</v>
      </c>
    </row>
    <row r="12" spans="1:32" s="1" customFormat="1" x14ac:dyDescent="0.25">
      <c r="A12" s="32">
        <v>42805.568969907406</v>
      </c>
      <c r="B12" s="30" t="s">
        <v>594</v>
      </c>
      <c r="C12" s="30" t="s">
        <v>595</v>
      </c>
      <c r="D12" s="30" t="s">
        <v>98</v>
      </c>
      <c r="E12" s="30" t="s">
        <v>195</v>
      </c>
      <c r="F12" s="43">
        <v>350</v>
      </c>
      <c r="G12" s="43">
        <v>405</v>
      </c>
      <c r="H12" s="43">
        <v>33146</v>
      </c>
      <c r="I12" s="43">
        <v>34235</v>
      </c>
      <c r="J12" s="30" t="s">
        <v>196</v>
      </c>
      <c r="K12" s="43">
        <v>33137</v>
      </c>
      <c r="L12" s="143" t="s">
        <v>50</v>
      </c>
      <c r="M12" s="144">
        <f t="shared" si="0"/>
        <v>-579.74400000000003</v>
      </c>
      <c r="N12" s="145" t="str">
        <f>VLOOKUP(C12,'Trips&amp;Operators'!$C$1:$G$99999,5,FALSE)</f>
        <v>HOLCOMB KAMDEN</v>
      </c>
      <c r="O12" s="194" t="s">
        <v>185</v>
      </c>
      <c r="P12" s="146" t="s">
        <v>579</v>
      </c>
      <c r="Q12" s="30"/>
      <c r="R12" s="89" t="str">
        <f>IF(VLOOKUP(C12,'Train Runs'!$A$13:$AE$9946,1,1)=C12,VLOOKUP(C12,'Train Runs'!$A$13:$AE$9946,31,1),NA())</f>
        <v>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 &amp; 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</v>
      </c>
      <c r="S12" s="92" t="str">
        <f>IF(VLOOKUP(C12,'Train Runs'!$A$13:$AE$9946,1,1)=C12,VLOOKUP(C12,'Train Runs'!$A$13:$AE$9946,22,1),NA())</f>
        <v>https://d0f6bd738d7f1b3e5a7ca70fe4ff75f0.us-east-1.aws.found.io/app/kibana#/discover/Steve-Slow-Train-Analysis-(2080s-and-2083s)?_g=(refreshInterval:(display:Off,pause:!f,section:0,value:0),time:(from:'2017-03-11T12:23:31-0700',mode:absolute,to:'2017-03-11T15:08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2" s="94" t="str">
        <f t="shared" si="1"/>
        <v>"C:\Program Files (x86)\AstroGrep\AstroGrep.exe" /e /r /s /spath="%USERPROFILE%\AppData\Local\Temp\OnboardLogs" /stypes="*4006*201703112*" /stext=" 20:.+((SYSTEM_STATE.+slice.+state.+changed )|(ment ac)|(multiple cpu faults)|(system.+state.+changed )|(\[timeout)|(PRM\|1\|D)|(kpr)|(kdp)|(\|lc)|(penalty))"</v>
      </c>
      <c r="U12" s="9" t="str">
        <f t="shared" si="2"/>
        <v>4006</v>
      </c>
      <c r="V12" s="32">
        <f t="shared" si="3"/>
        <v>42805.860636574071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arrival","project_id":79,"tracker_id":40,"status_id":1,"priority_id":2,"assigned_to_id":23,"start_date":"2017-03-11","description":"","custom_fields":[{"id":1,"name":"Subdivision","value":"EC"},{"id":4,"name":"Milepost","value":"3.3137"},{"id":17,"name":"Train ID","value":"179-11"},{"id":16,"name":"Locomotive ID","value":"4006"},{"id":130,"name":"Impact","value":""},{"id":150,"name":"Time of Event (Mountain Time)","value":"13:39:19"},{"id":151,"name":"Denver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"%USERPROFILE%\AppData\Local\Temp\OnboardLogs"\RTDC4006\*4006*201703112*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"%USERPROFILE%\AppData\Local\Temp\OnboardLogs"\RTDC4006\*4006*201703112* &gt;&gt; 2017-03-11-SliceDisagreementCheck.txt</v>
      </c>
      <c r="AE12" s="157" t="str">
        <f t="shared" si="9"/>
        <v>start /low /b %USERPROFILE%\Documents\GitHub\eaglep3\Utilities\DownloadLogsFromS3.py --loco 4006 --day 2017-03-11</v>
      </c>
    </row>
    <row r="13" spans="1:32" s="1" customFormat="1" x14ac:dyDescent="0.25">
      <c r="A13" s="32">
        <v>42805.549490740741</v>
      </c>
      <c r="B13" s="30" t="s">
        <v>591</v>
      </c>
      <c r="C13" s="30" t="s">
        <v>592</v>
      </c>
      <c r="D13" s="30" t="s">
        <v>49</v>
      </c>
      <c r="E13" s="30" t="s">
        <v>195</v>
      </c>
      <c r="F13" s="43">
        <v>0</v>
      </c>
      <c r="G13" s="43">
        <v>200</v>
      </c>
      <c r="H13" s="43">
        <v>33301</v>
      </c>
      <c r="I13" s="43">
        <v>33103</v>
      </c>
      <c r="J13" s="30" t="s">
        <v>196</v>
      </c>
      <c r="K13" s="43">
        <v>33257</v>
      </c>
      <c r="L13" s="143" t="s">
        <v>51</v>
      </c>
      <c r="M13" s="144">
        <f t="shared" si="0"/>
        <v>-81.311999999999998</v>
      </c>
      <c r="N13" s="145" t="str">
        <f>VLOOKUP(C13,'Trips&amp;Operators'!$C$1:$G$99999,5,FALSE)</f>
        <v>HOLCOMB KAMDEN</v>
      </c>
      <c r="O13" s="194" t="s">
        <v>185</v>
      </c>
      <c r="P13" s="146" t="s">
        <v>580</v>
      </c>
      <c r="Q13" s="30"/>
      <c r="R13" s="89" t="str">
        <f>IF(VLOOKUP(C13,'Train Runs'!$A$13:$AE$9946,1,1)=C13,VLOOKUP(C13,'Train Runs'!$A$13:$AE$9946,31,1),NA())</f>
        <v>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 &amp; 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</v>
      </c>
      <c r="S13" s="92" t="str">
        <f>IF(VLOOKUP(C13,'Train Runs'!$A$13:$AE$9946,1,1)=C13,VLOOKUP(C13,'Train Runs'!$A$13:$AE$9946,22,1),NA())</f>
        <v>https://d0f6bd738d7f1b3e5a7ca70fe4ff75f0.us-east-1.aws.found.io/app/kibana#/discover/Steve-Slow-Train-Analysis-(2080s-and-2083s)?_g=(refreshInterval:(display:Off,pause:!f,section:0,value:0),time:(from:'2017-03-11T11:29:21-0700',mode:absolute,to:'2017-03-11T14:21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3" s="94" t="str">
        <f t="shared" si="1"/>
        <v>"C:\Program Files (x86)\AstroGrep\AstroGrep.exe" /e /r /s /spath="%USERPROFILE%\AppData\Local\Temp\OnboardLogs" /stypes="*4005*201703112*" /stext=" 20:.+((SYSTEM_STATE.+slice.+state.+changed )|(ment ac)|(multiple cpu faults)|(system.+state.+changed )|(\[timeout)|(PRM\|1\|D)|(kpr)|(kdp)|(\|lc)|(penalty))"</v>
      </c>
      <c r="U13" s="9" t="str">
        <f t="shared" si="2"/>
        <v>4005</v>
      </c>
      <c r="V13" s="32">
        <f t="shared" si="3"/>
        <v>42805.841157407405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{"issue":{"subject":"Form C","project_id":79,"tracker_id":40,"status_id":1,"priority_id":2,"assigned_to_id":23,"start_date":"2017-03-11","description":"","custom_fields":[{"id":1,"name":"Subdivision","value":"EC"},{"id":4,"name":"Milepost","value":"3.3257"},{"id":17,"name":"Train ID","value":"166-11"},{"id":16,"name":"Locomotive ID","value":"4005"},{"id":130,"name":"Impact","value":""},{"id":150,"name":"Time of Event (Mountain Time)","value":"13:11:16"},{"id":151,"name":"Denver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"%USERPROFILE%\AppData\Local\Temp\OnboardLogs"\RTDC4005\*4005*201703112*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"%USERPROFILE%\AppData\Local\Temp\OnboardLogs"\RTDC4005\*4005*201703112* &gt;&gt; 2017-03-11-SliceDisagreementCheck.txt</v>
      </c>
      <c r="AE13" s="157" t="str">
        <f t="shared" si="9"/>
        <v>start /low /b %USERPROFILE%\Documents\GitHub\eaglep3\Utilities\DownloadLogsFromS3.py --loco 4005 --day 2017-03-11</v>
      </c>
    </row>
    <row r="14" spans="1:32" x14ac:dyDescent="0.25">
      <c r="A14" s="32">
        <v>42805.77847222222</v>
      </c>
      <c r="B14" s="30" t="s">
        <v>204</v>
      </c>
      <c r="C14" s="30" t="s">
        <v>607</v>
      </c>
      <c r="D14" s="30" t="s">
        <v>49</v>
      </c>
      <c r="E14" s="30" t="s">
        <v>195</v>
      </c>
      <c r="F14" s="43">
        <v>0</v>
      </c>
      <c r="G14" s="43">
        <v>214</v>
      </c>
      <c r="H14" s="43">
        <v>33307</v>
      </c>
      <c r="I14" s="43">
        <v>33011</v>
      </c>
      <c r="J14" s="30" t="s">
        <v>196</v>
      </c>
      <c r="K14" s="43">
        <v>33257</v>
      </c>
      <c r="L14" s="143" t="s">
        <v>51</v>
      </c>
      <c r="M14" s="144">
        <f t="shared" si="0"/>
        <v>-129.88800000000001</v>
      </c>
      <c r="N14" s="145" t="str">
        <f>VLOOKUP(C14,'Trips&amp;Operators'!$C$1:$G$99999,5,FALSE)</f>
        <v>LEVIN SCOTT</v>
      </c>
      <c r="O14" s="194" t="s">
        <v>185</v>
      </c>
      <c r="P14" s="146" t="s">
        <v>580</v>
      </c>
      <c r="Q14" s="30"/>
      <c r="R14" s="89" t="e">
        <f>IF(VLOOKUP(C14,'Train Runs'!$A$13:$AE$9946,1,1)=C14,VLOOKUP(C14,'Train Runs'!$A$13:$AE$9946,31,1),NA())</f>
        <v>#N/A</v>
      </c>
      <c r="S14" s="92" t="e">
        <f>IF(VLOOKUP(C14,'Train Runs'!$A$13:$AE$9946,1,1)=C14,VLOOKUP(C14,'Train Runs'!$A$13:$AE$9946,22,1),NA())</f>
        <v>#N/A</v>
      </c>
      <c r="T14" s="94" t="str">
        <f t="shared" si="1"/>
        <v>"C:\Program Files (x86)\AstroGrep\AstroGrep.exe" /e /r /s /spath="%USERPROFILE%\AppData\Local\Temp\OnboardLogs" /stypes="*4030*201703120*" /stext=" 01:.+((SYSTEM_STATE.+slice.+state.+changed )|(ment ac)|(multiple cpu faults)|(system.+state.+changed )|(\[timeout)|(PRM\|1\|D)|(kpr)|(kdp)|(\|lc)|(penalty))"</v>
      </c>
      <c r="U14" s="9" t="str">
        <f t="shared" si="2"/>
        <v>4030</v>
      </c>
      <c r="V14" s="32">
        <f t="shared" si="3"/>
        <v>42806.070138888885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{"issue":{"subject":"Form C","project_id":79,"tracker_id":40,"status_id":1,"priority_id":2,"assigned_to_id":23,"start_date":"2017-03-11","description":"","custom_fields":[{"id":1,"name":"Subdivision","value":"EC"},{"id":4,"name":"Milepost","value":"3.3257"},{"id":17,"name":"Train ID","value":"210-11"},{"id":16,"name":"Locomotive ID","value":"4030"},{"id":130,"name":"Impact","value":""},{"id":150,"name":"Time of Event (Mountain Time)","value":"18:41:00"},{"id":151,"name":"Denver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"%USERPROFILE%\AppData\Local\Temp\OnboardLogs"\RTDC4030\*4030*201703120*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"%USERPROFILE%\AppData\Local\Temp\OnboardLogs"\RTDC4030\*4030*201703120* &gt;&gt; 2017-03-11-SliceDisagreementCheck.txt</v>
      </c>
      <c r="AE14" s="157" t="str">
        <f t="shared" si="9"/>
        <v>start /low /b %USERPROFILE%\Documents\GitHub\eaglep3\Utilities\DownloadLogsFromS3.py --loco 4030 --day 2017-03-12</v>
      </c>
      <c r="AF14" s="1"/>
    </row>
    <row r="15" spans="1:32" x14ac:dyDescent="0.25">
      <c r="A15" s="32">
        <v>42805.703240740739</v>
      </c>
      <c r="B15" s="30" t="s">
        <v>204</v>
      </c>
      <c r="C15" s="30" t="s">
        <v>604</v>
      </c>
      <c r="D15" s="30" t="s">
        <v>49</v>
      </c>
      <c r="E15" s="30" t="s">
        <v>195</v>
      </c>
      <c r="F15" s="43">
        <v>270</v>
      </c>
      <c r="G15" s="43">
        <v>322</v>
      </c>
      <c r="H15" s="43">
        <v>58840</v>
      </c>
      <c r="I15" s="43">
        <v>58131</v>
      </c>
      <c r="J15" s="30" t="s">
        <v>196</v>
      </c>
      <c r="K15" s="43">
        <v>58301</v>
      </c>
      <c r="L15" s="143" t="s">
        <v>51</v>
      </c>
      <c r="M15" s="144">
        <f t="shared" si="0"/>
        <v>-89.76</v>
      </c>
      <c r="N15" s="145" t="str">
        <f>VLOOKUP(C15,'Trips&amp;Operators'!$C$1:$G$99999,5,FALSE)</f>
        <v>LEVIN SCOTT</v>
      </c>
      <c r="O15" s="194" t="s">
        <v>185</v>
      </c>
      <c r="P15" s="146" t="s">
        <v>579</v>
      </c>
      <c r="Q15" s="30"/>
      <c r="R15" s="89" t="e">
        <f>IF(VLOOKUP(C15,'Train Runs'!$A$13:$AE$9946,1,1)=C15,VLOOKUP(C15,'Train Runs'!$A$13:$AE$9946,31,1),NA())</f>
        <v>#N/A</v>
      </c>
      <c r="S15" s="92" t="e">
        <f>IF(VLOOKUP(C15,'Train Runs'!$A$13:$AE$9946,1,1)=C15,VLOOKUP(C15,'Train Runs'!$A$13:$AE$9946,22,1),NA())</f>
        <v>#N/A</v>
      </c>
      <c r="T15" s="94" t="str">
        <f t="shared" si="1"/>
        <v>"C:\Program Files (x86)\AstroGrep\AstroGrep.exe" /e /r /s /spath="%USERPROFILE%\AppData\Local\Temp\OnboardLogs" /stypes="*4030*201703112*" /stext=" 23:.+((SYSTEM_STATE.+slice.+state.+changed )|(ment ac)|(multiple cpu faults)|(system.+state.+changed )|(\[timeout)|(PRM\|1\|D)|(kpr)|(kdp)|(\|lc)|(penalty))"</v>
      </c>
      <c r="U15" s="9" t="str">
        <f t="shared" si="2"/>
        <v>4030</v>
      </c>
      <c r="V15" s="32">
        <f t="shared" si="3"/>
        <v>42805.994907407403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arrival","project_id":79,"tracker_id":40,"status_id":1,"priority_id":2,"assigned_to_id":23,"start_date":"2017-03-11","description":"","custom_fields":[{"id":1,"name":"Subdivision","value":"EC"},{"id":4,"name":"Milepost","value":"5.8301"},{"id":17,"name":"Train ID","value":"196-11"},{"id":16,"name":"Locomotive ID","value":"4030"},{"id":130,"name":"Impact","value":""},{"id":150,"name":"Time of Event (Mountain Time)","value":"16:52:40"},{"id":151,"name":"Denver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"%USERPROFILE%\AppData\Local\Temp\OnboardLogs"\RTDC4030\*4030*201703112*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"%USERPROFILE%\AppData\Local\Temp\OnboardLogs"\RTDC4030\*4030*201703112* &gt;&gt; 2017-03-11-SliceDisagreementCheck.txt</v>
      </c>
      <c r="AE15" s="157" t="str">
        <f t="shared" si="9"/>
        <v>start /low /b %USERPROFILE%\Documents\GitHub\eaglep3\Utilities\DownloadLogsFromS3.py --loco 4030 --day 2017-03-11</v>
      </c>
      <c r="AF15" s="1"/>
    </row>
    <row r="16" spans="1:32" x14ac:dyDescent="0.25">
      <c r="A16" s="32">
        <v>42805.848807870374</v>
      </c>
      <c r="B16" s="30" t="s">
        <v>204</v>
      </c>
      <c r="C16" s="30" t="s">
        <v>610</v>
      </c>
      <c r="D16" s="30" t="s">
        <v>49</v>
      </c>
      <c r="E16" s="30" t="s">
        <v>195</v>
      </c>
      <c r="F16" s="43">
        <v>440</v>
      </c>
      <c r="G16" s="43">
        <v>499</v>
      </c>
      <c r="H16" s="43">
        <v>59099</v>
      </c>
      <c r="I16" s="43">
        <v>57419</v>
      </c>
      <c r="J16" s="30" t="s">
        <v>196</v>
      </c>
      <c r="K16" s="43">
        <v>58301</v>
      </c>
      <c r="L16" s="143" t="s">
        <v>51</v>
      </c>
      <c r="M16" s="144">
        <f t="shared" si="0"/>
        <v>-465.69600000000003</v>
      </c>
      <c r="N16" s="145" t="str">
        <f>VLOOKUP(C16,'Trips&amp;Operators'!$C$1:$G$99999,5,FALSE)</f>
        <v>BROWN JACOB</v>
      </c>
      <c r="O16" s="194" t="s">
        <v>185</v>
      </c>
      <c r="P16" s="146" t="s">
        <v>579</v>
      </c>
      <c r="Q16" s="30"/>
      <c r="R16" s="89" t="e">
        <f>IF(VLOOKUP(C16,'Train Runs'!$A$13:$AE$9946,1,1)=C16,VLOOKUP(C16,'Train Runs'!$A$13:$AE$9946,31,1),NA())</f>
        <v>#N/A</v>
      </c>
      <c r="S16" s="92" t="e">
        <f>IF(VLOOKUP(C16,'Train Runs'!$A$13:$AE$9946,1,1)=C16,VLOOKUP(C16,'Train Runs'!$A$13:$AE$9946,22,1),NA())</f>
        <v>#N/A</v>
      </c>
      <c r="T16" s="94" t="str">
        <f t="shared" si="1"/>
        <v>"C:\Program Files (x86)\AstroGrep\AstroGrep.exe" /e /r /s /spath="%USERPROFILE%\AppData\Local\Temp\OnboardLogs" /stypes="*4030*201703120*" /stext=" 03:.+((SYSTEM_STATE.+slice.+state.+changed )|(ment ac)|(multiple cpu faults)|(system.+state.+changed )|(\[timeout)|(PRM\|1\|D)|(kpr)|(kdp)|(\|lc)|(penalty))"</v>
      </c>
      <c r="U16" s="9" t="str">
        <f t="shared" si="2"/>
        <v>4030</v>
      </c>
      <c r="V16" s="32">
        <f t="shared" si="3"/>
        <v>42806.140474537038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arrival","project_id":79,"tracker_id":40,"status_id":1,"priority_id":2,"assigned_to_id":23,"start_date":"2017-03-11","description":"","custom_fields":[{"id":1,"name":"Subdivision","value":"EC"},{"id":4,"name":"Milepost","value":"5.8301"},{"id":17,"name":"Train ID","value":"222-11"},{"id":16,"name":"Locomotive ID","value":"4030"},{"id":130,"name":"Impact","value":""},{"id":150,"name":"Time of Event (Mountain Time)","value":"20:22:17"},{"id":151,"name":"Denver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"%USERPROFILE%\AppData\Local\Temp\OnboardLogs"\RTDC4030\*4030*201703120*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"%USERPROFILE%\AppData\Local\Temp\OnboardLogs"\RTDC4030\*4030*201703120* &gt;&gt; 2017-03-11-SliceDisagreementCheck.txt</v>
      </c>
      <c r="AE16" s="157" t="str">
        <f t="shared" si="9"/>
        <v>start /low /b %USERPROFILE%\Documents\GitHub\eaglep3\Utilities\DownloadLogsFromS3.py --loco 4030 --day 2017-03-12</v>
      </c>
      <c r="AF16" s="1"/>
    </row>
    <row r="17" spans="1:32" x14ac:dyDescent="0.25">
      <c r="A17" s="32">
        <v>42805.53496527778</v>
      </c>
      <c r="B17" s="30" t="s">
        <v>467</v>
      </c>
      <c r="C17" s="30" t="s">
        <v>590</v>
      </c>
      <c r="D17" s="30" t="s">
        <v>98</v>
      </c>
      <c r="E17" s="30" t="s">
        <v>195</v>
      </c>
      <c r="F17" s="43">
        <v>110</v>
      </c>
      <c r="G17" s="43">
        <v>161</v>
      </c>
      <c r="H17" s="43">
        <v>63036</v>
      </c>
      <c r="I17" s="43">
        <v>63036</v>
      </c>
      <c r="J17" s="30" t="s">
        <v>196</v>
      </c>
      <c r="K17" s="43">
        <v>63309</v>
      </c>
      <c r="L17" s="143" t="s">
        <v>51</v>
      </c>
      <c r="M17" s="144">
        <f t="shared" si="0"/>
        <v>-144.14400000000001</v>
      </c>
      <c r="N17" s="145" t="str">
        <f>VLOOKUP(C17,'Trips&amp;Operators'!$C$1:$G$99999,5,FALSE)</f>
        <v>BRUDER RICHARD</v>
      </c>
      <c r="O17" s="194" t="s">
        <v>185</v>
      </c>
      <c r="P17" s="146" t="s">
        <v>579</v>
      </c>
      <c r="Q17" s="30"/>
      <c r="R17" s="89" t="str">
        <f>IF(VLOOKUP(C17,'Train Runs'!$A$13:$AE$9946,1,1)=C17,VLOOKUP(C17,'Train Runs'!$A$13:$AE$9946,31,1),NA())</f>
        <v>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 &amp; aws s3 cp s3://rtdc.mdm.uploadarchive.raw/RTDC4039/ "%USERPROFILE%\AppData\Local\Temp\OnboardLogs"\RTDC4039\2017-03-12 --exclude "*" --recursive --include "*20170312*" &amp; "%USERPROFILE%\Documents\GitHub\mrs-test-scripts\Headless Mode &amp; Sideloading\WalkAndUnGZ.bat" "%USERPROFILE%\AppData\Local\Temp\OnboardLogs"\RTDC4039\2017-03-12</v>
      </c>
      <c r="S17" s="92" t="str">
        <f>IF(VLOOKUP(C17,'Train Runs'!$A$13:$AE$9946,1,1)=C17,VLOOKUP(C17,'Train Runs'!$A$13:$AE$9946,22,1),NA())</f>
        <v>https://d0f6bd738d7f1b3e5a7ca70fe4ff75f0.us-east-1.aws.found.io/app/kibana#/discover/Steve-Slow-Train-Analysis-(2080s-and-2083s)?_g=(refreshInterval:(display:Off,pause:!f,section:0,value:0),time:(from:'2017-03-11T11:20:17-0700',mode:absolute,to:'2017-03-11T14:07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7" s="94" t="str">
        <f t="shared" si="1"/>
        <v>"C:\Program Files (x86)\AstroGrep\AstroGrep.exe" /e /r /s /spath="%USERPROFILE%\AppData\Local\Temp\OnboardLogs" /stypes="*4039*201703111*" /stext=" 19:.+((SYSTEM_STATE.+slice.+state.+changed )|(ment ac)|(multiple cpu faults)|(system.+state.+changed )|(\[timeout)|(PRM\|1\|D)|(kpr)|(kdp)|(\|lc)|(penalty))"</v>
      </c>
      <c r="U17" s="9" t="str">
        <f t="shared" si="2"/>
        <v>4039</v>
      </c>
      <c r="V17" s="32">
        <f t="shared" si="3"/>
        <v>42805.826631944445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arrival","project_id":79,"tracker_id":40,"status_id":1,"priority_id":2,"assigned_to_id":23,"start_date":"2017-03-11","description":"","custom_fields":[{"id":1,"name":"Subdivision","value":"EC"},{"id":4,"name":"Milepost","value":"6.3309"},{"id":17,"name":"Train ID","value":"164-11"},{"id":16,"name":"Locomotive ID","value":"4039"},{"id":130,"name":"Impact","value":""},{"id":150,"name":"Time of Event (Mountain Time)","value":"12:50:21"},{"id":151,"name":"Denver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"%USERPROFILE%\AppData\Local\Temp\OnboardLogs"\RTDC4039\*4039*201703111*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"%USERPROFILE%\AppData\Local\Temp\OnboardLogs"\RTDC4039\*4039*201703111* &gt;&gt; 2017-03-11-SliceDisagreementCheck.txt</v>
      </c>
      <c r="AE17" s="157" t="str">
        <f t="shared" si="9"/>
        <v>start /low /b %USERPROFILE%\Documents\GitHub\eaglep3\Utilities\DownloadLogsFromS3.py --loco 4039 --day 2017-03-11</v>
      </c>
      <c r="AF17" s="1"/>
    </row>
    <row r="18" spans="1:32" ht="15" customHeight="1" x14ac:dyDescent="0.25">
      <c r="A18" s="32">
        <v>42805.580011574071</v>
      </c>
      <c r="B18" s="30" t="s">
        <v>250</v>
      </c>
      <c r="C18" s="30" t="s">
        <v>597</v>
      </c>
      <c r="D18" s="30" t="s">
        <v>98</v>
      </c>
      <c r="E18" s="30" t="s">
        <v>195</v>
      </c>
      <c r="F18" s="43">
        <v>130</v>
      </c>
      <c r="G18" s="43">
        <v>182</v>
      </c>
      <c r="H18" s="43">
        <v>63078</v>
      </c>
      <c r="I18" s="43">
        <v>62676</v>
      </c>
      <c r="J18" s="30" t="s">
        <v>196</v>
      </c>
      <c r="K18" s="43">
        <v>63309</v>
      </c>
      <c r="L18" s="143" t="s">
        <v>51</v>
      </c>
      <c r="M18" s="144">
        <f t="shared" si="0"/>
        <v>-334.22399999999993</v>
      </c>
      <c r="N18" s="145" t="str">
        <f>VLOOKUP(C18,'Trips&amp;Operators'!$C$1:$G$99999,5,FALSE)</f>
        <v>LALONDE GREGORY</v>
      </c>
      <c r="O18" s="194" t="s">
        <v>185</v>
      </c>
      <c r="P18" s="146" t="s">
        <v>579</v>
      </c>
      <c r="Q18" s="30"/>
      <c r="R18" s="89" t="str">
        <f>IF(VLOOKUP(C18,'Train Runs'!$A$13:$AE$9946,1,1)=C18,VLOOKUP(C18,'Train Runs'!$A$13:$AE$9946,31,1),NA())</f>
        <v>aws s3 cp s3://rtdc.mdm.uploadarchive.raw/RTDC4013/ "%USERPROFILE%\AppData\Local\Temp\OnboardLogs"\RTDC4013\2017-03-11 --exclude "*" --recursive --include "*20170311*" &amp; "%USERPROFILE%\Documents\GitHub\mrs-test-scripts\Headless Mode &amp; Sideloading\WalkAndUnGZ.bat" "%USERPROFILE%\AppData\Local\Temp\OnboardLogs"\RTDC4013\2017-03-11 &amp; aws s3 cp s3://rtdc.mdm.uploadarchive.raw/RTDC4013/ "%USERPROFILE%\AppData\Local\Temp\OnboardLogs"\RTDC4013\2017-03-12 --exclude "*" --recursive --include "*20170312*" &amp; "%USERPROFILE%\Documents\GitHub\mrs-test-scripts\Headless Mode &amp; Sideloading\WalkAndUnGZ.bat" "%USERPROFILE%\AppData\Local\Temp\OnboardLogs"\RTDC4013\2017-03-12</v>
      </c>
      <c r="S18" s="92" t="str">
        <f>IF(VLOOKUP(C18,'Train Runs'!$A$13:$AE$9946,1,1)=C18,VLOOKUP(C18,'Train Runs'!$A$13:$AE$9946,22,1),NA())</f>
        <v>https://d0f6bd738d7f1b3e5a7ca70fe4ff75f0.us-east-1.aws.found.io/app/kibana#/discover/Steve-Slow-Train-Analysis-(2080s-and-2083s)?_g=(refreshInterval:(display:Off,pause:!f,section:0,value:0),time:(from:'2017-03-11T12:09:09-0700',mode:absolute,to:'2017-03-11T15:10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8" s="94" t="str">
        <f t="shared" si="1"/>
        <v>"C:\Program Files (x86)\AstroGrep\AstroGrep.exe" /e /r /s /spath="%USERPROFILE%\AppData\Local\Temp\OnboardLogs" /stypes="*4013*201703112*" /stext=" 20:.+((SYSTEM_STATE.+slice.+state.+changed )|(ment ac)|(multiple cpu faults)|(system.+state.+changed )|(\[timeout)|(PRM\|1\|D)|(kpr)|(kdp)|(\|lc)|(penalty))"</v>
      </c>
      <c r="U18" s="9" t="str">
        <f t="shared" si="2"/>
        <v>4013</v>
      </c>
      <c r="V18" s="32">
        <f t="shared" si="3"/>
        <v>42805.871678240735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arrival","project_id":79,"tracker_id":40,"status_id":1,"priority_id":2,"assigned_to_id":23,"start_date":"2017-03-11","description":"","custom_fields":[{"id":1,"name":"Subdivision","value":"EC"},{"id":4,"name":"Milepost","value":"6.3309"},{"id":17,"name":"Train ID","value":"172-11"},{"id":16,"name":"Locomotive ID","value":"4013"},{"id":130,"name":"Impact","value":""},{"id":150,"name":"Time of Event (Mountain Time)","value":"13:55:13"},{"id":151,"name":"Denver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"%USERPROFILE%\AppData\Local\Temp\OnboardLogs"\RTDC4013\*4013*201703112*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"%USERPROFILE%\AppData\Local\Temp\OnboardLogs"\RTDC4013\*4013*201703112* &gt;&gt; 2017-03-11-SliceDisagreementCheck.txt</v>
      </c>
      <c r="AE18" s="157" t="str">
        <f t="shared" si="9"/>
        <v>start /low /b %USERPROFILE%\Documents\GitHub\eaglep3\Utilities\DownloadLogsFromS3.py --loco 4013 --day 2017-03-11</v>
      </c>
      <c r="AF18" s="1"/>
    </row>
    <row r="19" spans="1:32" x14ac:dyDescent="0.25">
      <c r="A19" s="32">
        <v>42805.697187500002</v>
      </c>
      <c r="B19" s="30" t="s">
        <v>204</v>
      </c>
      <c r="C19" s="30" t="s">
        <v>604</v>
      </c>
      <c r="D19" s="30" t="s">
        <v>49</v>
      </c>
      <c r="E19" s="30" t="s">
        <v>195</v>
      </c>
      <c r="F19" s="43">
        <v>360</v>
      </c>
      <c r="G19" s="43">
        <v>421</v>
      </c>
      <c r="H19" s="43">
        <v>110067</v>
      </c>
      <c r="I19" s="43">
        <v>108893</v>
      </c>
      <c r="J19" s="30" t="s">
        <v>196</v>
      </c>
      <c r="K19" s="43">
        <v>109135</v>
      </c>
      <c r="L19" s="143" t="s">
        <v>51</v>
      </c>
      <c r="M19" s="144">
        <f t="shared" si="0"/>
        <v>-127.776</v>
      </c>
      <c r="N19" s="145" t="str">
        <f>VLOOKUP(C19,'Trips&amp;Operators'!$C$1:$G$99999,5,FALSE)</f>
        <v>LEVIN SCOTT</v>
      </c>
      <c r="O19" s="194" t="s">
        <v>185</v>
      </c>
      <c r="P19" s="146" t="s">
        <v>579</v>
      </c>
      <c r="Q19" s="30"/>
      <c r="R19" s="89" t="e">
        <f>IF(VLOOKUP(C19,'Train Runs'!$A$13:$AE$9946,1,1)=C19,VLOOKUP(C19,'Train Runs'!$A$13:$AE$9946,31,1),NA())</f>
        <v>#N/A</v>
      </c>
      <c r="S19" s="92" t="e">
        <f>IF(VLOOKUP(C19,'Train Runs'!$A$13:$AE$9946,1,1)=C19,VLOOKUP(C19,'Train Runs'!$A$13:$AE$9946,22,1),NA())</f>
        <v>#N/A</v>
      </c>
      <c r="T19" s="94" t="str">
        <f t="shared" si="1"/>
        <v>"C:\Program Files (x86)\AstroGrep\AstroGrep.exe" /e /r /s /spath="%USERPROFILE%\AppData\Local\Temp\OnboardLogs" /stypes="*4030*201703112*" /stext=" 23:.+((SYSTEM_STATE.+slice.+state.+changed )|(ment ac)|(multiple cpu faults)|(system.+state.+changed )|(\[timeout)|(PRM\|1\|D)|(kpr)|(kdp)|(\|lc)|(penalty))"</v>
      </c>
      <c r="U19" s="9" t="str">
        <f t="shared" si="2"/>
        <v>4030</v>
      </c>
      <c r="V19" s="32">
        <f t="shared" si="3"/>
        <v>42805.988854166666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arrival","project_id":79,"tracker_id":40,"status_id":1,"priority_id":2,"assigned_to_id":23,"start_date":"2017-03-11","description":"","custom_fields":[{"id":1,"name":"Subdivision","value":"EC"},{"id":4,"name":"Milepost","value":"10.9135"},{"id":17,"name":"Train ID","value":"196-11"},{"id":16,"name":"Locomotive ID","value":"4030"},{"id":130,"name":"Impact","value":""},{"id":150,"name":"Time of Event (Mountain Time)","value":"16:43:57"},{"id":151,"name":"Denver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"%USERPROFILE%\AppData\Local\Temp\OnboardLogs"\RTDC4030\*4030*201703112*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"%USERPROFILE%\AppData\Local\Temp\OnboardLogs"\RTDC4030\*4030*201703112* &gt;&gt; 2017-03-11-SliceDisagreementCheck.txt</v>
      </c>
      <c r="AE19" s="157" t="str">
        <f t="shared" si="9"/>
        <v>start /low /b %USERPROFILE%\Documents\GitHub\eaglep3\Utilities\DownloadLogsFromS3.py --loco 4030 --day 2017-03-11</v>
      </c>
      <c r="AF19" s="1"/>
    </row>
    <row r="20" spans="1:32" x14ac:dyDescent="0.25">
      <c r="A20" s="32">
        <v>42805.83494212963</v>
      </c>
      <c r="B20" s="30" t="s">
        <v>211</v>
      </c>
      <c r="C20" s="30" t="s">
        <v>608</v>
      </c>
      <c r="D20" s="30" t="s">
        <v>98</v>
      </c>
      <c r="E20" s="30" t="s">
        <v>236</v>
      </c>
      <c r="F20" s="43">
        <v>200</v>
      </c>
      <c r="G20" s="43">
        <v>256</v>
      </c>
      <c r="H20" s="43">
        <v>5397</v>
      </c>
      <c r="I20" s="43">
        <v>6129</v>
      </c>
      <c r="J20" s="30" t="s">
        <v>237</v>
      </c>
      <c r="K20" s="43">
        <v>4677</v>
      </c>
      <c r="L20" s="143" t="s">
        <v>50</v>
      </c>
      <c r="M20" s="144">
        <f t="shared" si="0"/>
        <v>-766.65599999999995</v>
      </c>
      <c r="N20" s="145" t="str">
        <f>VLOOKUP(C20,'Trips&amp;Operators'!$C$1:$G$99999,5,FALSE)</f>
        <v>PERKINS DARREN</v>
      </c>
      <c r="O20" s="194" t="s">
        <v>185</v>
      </c>
      <c r="P20" s="146"/>
      <c r="Q20" s="30"/>
      <c r="R20" s="89" t="e">
        <f>IF(VLOOKUP(C20,'Train Runs'!$A$13:$AE$9946,1,1)=C20,VLOOKUP(C20,'Train Runs'!$A$13:$AE$9946,31,1),NA())</f>
        <v>#N/A</v>
      </c>
      <c r="S20" s="92" t="e">
        <f>IF(VLOOKUP(C20,'Train Runs'!$A$13:$AE$9946,1,1)=C20,VLOOKUP(C20,'Train Runs'!$A$13:$AE$9946,22,1),NA())</f>
        <v>#N/A</v>
      </c>
      <c r="T20" s="94" t="str">
        <f t="shared" si="1"/>
        <v>"C:\Program Files (x86)\AstroGrep\AstroGrep.exe" /e /r /s /spath="%USERPROFILE%\AppData\Local\Temp\OnboardLogs" /stypes="*4046*201703120*" /stext=" 03:.+((SYSTEM_STATE.+slice.+state.+changed )|(ment ac)|(multiple cpu faults)|(system.+state.+changed )|(\[timeout)|(PRM\|1\|D)|(kpr)|(kdp)|(\|lc)|(penalty))"</v>
      </c>
      <c r="U20" s="9" t="str">
        <f t="shared" si="2"/>
        <v>4046</v>
      </c>
      <c r="V20" s="32">
        <f t="shared" si="3"/>
        <v>42806.126608796294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{"issue":{"subject":"","project_id":79,"tracker_id":40,"status_id":1,"priority_id":2,"assigned_to_id":23,"start_date":"2017-03-11","description":"","custom_fields":[{"id":1,"name":"Subdivision","value":"EC"},{"id":4,"name":"Milepost","value":"0.4677"},{"id":17,"name":"Train ID","value":"225-11"},{"id":16,"name":"Locomotive ID","value":"4046"},{"id":130,"name":"Impact","value":""},{"id":150,"name":"Time of Event (Mountain Time)","value":"20:02:19"},{"id":151,"name":"Denver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"%USERPROFILE%\AppData\Local\Temp\OnboardLogs"\RTDC4046\*4046*201703120*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"%USERPROFILE%\AppData\Local\Temp\OnboardLogs"\RTDC4046\*4046*201703120* &gt;&gt; 2017-03-11-SliceDisagreementCheck.txt</v>
      </c>
      <c r="AE20" s="157" t="str">
        <f t="shared" si="9"/>
        <v>start /low /b %USERPROFILE%\Documents\GitHub\eaglep3\Utilities\DownloadLogsFromS3.py --loco 4046 --day 2017-03-12</v>
      </c>
      <c r="AF20" s="1"/>
    </row>
    <row r="21" spans="1:32" x14ac:dyDescent="0.25">
      <c r="A21" s="32">
        <v>42805.584930555553</v>
      </c>
      <c r="B21" s="30" t="s">
        <v>594</v>
      </c>
      <c r="C21" s="30" t="s">
        <v>595</v>
      </c>
      <c r="D21" s="30" t="s">
        <v>98</v>
      </c>
      <c r="E21" s="30" t="s">
        <v>236</v>
      </c>
      <c r="F21" s="43">
        <v>750</v>
      </c>
      <c r="G21" s="43">
        <v>810</v>
      </c>
      <c r="H21" s="43">
        <v>199841</v>
      </c>
      <c r="I21" s="43">
        <v>203370</v>
      </c>
      <c r="J21" s="30" t="s">
        <v>237</v>
      </c>
      <c r="K21" s="43">
        <v>195049</v>
      </c>
      <c r="L21" s="143" t="s">
        <v>50</v>
      </c>
      <c r="M21" s="144">
        <f t="shared" si="0"/>
        <v>-4393.4880000000003</v>
      </c>
      <c r="N21" s="145" t="str">
        <f>VLOOKUP(C21,'Trips&amp;Operators'!$C$1:$G$99999,5,FALSE)</f>
        <v>HOLCOMB KAMDEN</v>
      </c>
      <c r="O21" s="194" t="s">
        <v>185</v>
      </c>
      <c r="P21" s="146"/>
      <c r="Q21" s="30"/>
      <c r="R21" s="89" t="str">
        <f>IF(VLOOKUP(C21,'Train Runs'!$A$13:$AE$9946,1,1)=C21,VLOOKUP(C21,'Train Runs'!$A$13:$AE$9946,31,1),NA())</f>
        <v>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 &amp; 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</v>
      </c>
      <c r="S21" s="92" t="str">
        <f>IF(VLOOKUP(C21,'Train Runs'!$A$13:$AE$9946,1,1)=C21,VLOOKUP(C21,'Train Runs'!$A$13:$AE$9946,22,1),NA())</f>
        <v>https://d0f6bd738d7f1b3e5a7ca70fe4ff75f0.us-east-1.aws.found.io/app/kibana#/discover/Steve-Slow-Train-Analysis-(2080s-and-2083s)?_g=(refreshInterval:(display:Off,pause:!f,section:0,value:0),time:(from:'2017-03-11T12:23:31-0700',mode:absolute,to:'2017-03-11T15:08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1" s="94" t="str">
        <f t="shared" si="1"/>
        <v>"C:\Program Files (x86)\AstroGrep\AstroGrep.exe" /e /r /s /spath="%USERPROFILE%\AppData\Local\Temp\OnboardLogs" /stypes="*4006*201703112*" /stext=" 21:.+((SYSTEM_STATE.+slice.+state.+changed )|(ment ac)|(multiple cpu faults)|(system.+state.+changed )|(\[timeout)|(PRM\|1\|D)|(kpr)|(kdp)|(\|lc)|(penalty))"</v>
      </c>
      <c r="U21" s="9" t="str">
        <f t="shared" si="2"/>
        <v>4006</v>
      </c>
      <c r="V21" s="32">
        <f t="shared" si="3"/>
        <v>42805.876597222217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{"issue":{"subject":"","project_id":79,"tracker_id":40,"status_id":1,"priority_id":2,"assigned_to_id":23,"start_date":"2017-03-11","description":"","custom_fields":[{"id":1,"name":"Subdivision","value":"EC"},{"id":4,"name":"Milepost","value":"19.5049"},{"id":17,"name":"Train ID","value":"179-11"},{"id":16,"name":"Locomotive ID","value":"4006"},{"id":130,"name":"Impact","value":""},{"id":150,"name":"Time of Event (Mountain Time)","value":"14:02:18"},{"id":151,"name":"Denver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"%USERPROFILE%\AppData\Local\Temp\OnboardLogs"\RTDC4006\*4006*201703112*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"%USERPROFILE%\AppData\Local\Temp\OnboardLogs"\RTDC4006\*4006*201703112* &gt;&gt; 2017-03-11-SliceDisagreementCheck.txt</v>
      </c>
      <c r="AE21" s="157" t="str">
        <f t="shared" si="9"/>
        <v>start /low /b %USERPROFILE%\Documents\GitHub\eaglep3\Utilities\DownloadLogsFromS3.py --loco 4006 --day 2017-03-11</v>
      </c>
      <c r="AF21" s="1"/>
    </row>
    <row r="22" spans="1:32" x14ac:dyDescent="0.25">
      <c r="A22" s="32">
        <v>42805.460752314815</v>
      </c>
      <c r="B22" s="30" t="s">
        <v>510</v>
      </c>
      <c r="C22" s="30" t="s">
        <v>588</v>
      </c>
      <c r="D22" s="30" t="s">
        <v>49</v>
      </c>
      <c r="E22" s="30" t="s">
        <v>236</v>
      </c>
      <c r="F22" s="43">
        <v>550</v>
      </c>
      <c r="G22" s="43">
        <v>792</v>
      </c>
      <c r="H22" s="43">
        <v>218252</v>
      </c>
      <c r="I22" s="43">
        <v>222008</v>
      </c>
      <c r="J22" s="30" t="s">
        <v>237</v>
      </c>
      <c r="K22" s="43">
        <v>222090</v>
      </c>
      <c r="L22" s="143" t="s">
        <v>50</v>
      </c>
      <c r="M22" s="144">
        <f t="shared" si="0"/>
        <v>43.296000000000006</v>
      </c>
      <c r="N22" s="145" t="str">
        <f>VLOOKUP(C22,'Trips&amp;Operators'!$C$1:$G$99999,5,FALSE)</f>
        <v>ROMERO CHAD</v>
      </c>
      <c r="O22" s="194" t="s">
        <v>185</v>
      </c>
      <c r="P22" s="146"/>
      <c r="Q22" s="30"/>
      <c r="R22" s="89" t="str">
        <f>IF(VLOOKUP(C22,'Train Runs'!$A$13:$AE$9946,1,1)=C22,VLOOKUP(C22,'Train Runs'!$A$13:$AE$9946,31,1),NA())</f>
        <v>aws s3 cp s3://rtdc.mdm.uploadarchive.raw/RTDC4044/ "%USERPROFILE%\AppData\Local\Temp\OnboardLogs"\RTDC4044\2017-03-11 --exclude "*" --recursive --include "*20170311*" &amp; "%USERPROFILE%\Documents\GitHub\mrs-test-scripts\Headless Mode &amp; Sideloading\WalkAndUnGZ.bat" "%USERPROFILE%\AppData\Local\Temp\OnboardLogs"\RTDC4044\2017-03-11 &amp; aws s3 cp s3://rtdc.mdm.uploadarchive.raw/RTDC4044/ "%USERPROFILE%\AppData\Local\Temp\OnboardLogs"\RTDC4044\2017-03-12 --exclude "*" --recursive --include "*20170312*" &amp; "%USERPROFILE%\Documents\GitHub\mrs-test-scripts\Headless Mode &amp; Sideloading\WalkAndUnGZ.bat" "%USERPROFILE%\AppData\Local\Temp\OnboardLogs"\RTDC4044\2017-03-12</v>
      </c>
      <c r="S22" s="92" t="str">
        <f>IF(VLOOKUP(C22,'Train Runs'!$A$13:$AE$9946,1,1)=C22,VLOOKUP(C22,'Train Runs'!$A$13:$AE$9946,22,1),NA())</f>
        <v>https://d0f6bd738d7f1b3e5a7ca70fe4ff75f0.us-east-1.aws.found.io/app/kibana#/discover/Steve-Slow-Train-Analysis-(2080s-and-2083s)?_g=(refreshInterval:(display:Off,pause:!f,section:0,value:0),time:(from:'2017-03-11T09:26:48-0700',mode:absolute,to:'2017-03-11T12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2" s="94" t="str">
        <f t="shared" si="1"/>
        <v>"C:\Program Files (x86)\AstroGrep\AstroGrep.exe" /e /r /s /spath="%USERPROFILE%\AppData\Local\Temp\OnboardLogs" /stypes="*4044*201703111*" /stext=" 18:.+((SYSTEM_STATE.+slice.+state.+changed )|(ment ac)|(multiple cpu faults)|(system.+state.+changed )|(\[timeout)|(PRM\|1\|D)|(kpr)|(kdp)|(\|lc)|(penalty))"</v>
      </c>
      <c r="U22" s="9" t="str">
        <f t="shared" si="2"/>
        <v>4044</v>
      </c>
      <c r="V22" s="32">
        <f t="shared" si="3"/>
        <v>42805.752418981479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{"issue":{"subject":"","project_id":79,"tracker_id":40,"status_id":1,"priority_id":2,"assigned_to_id":23,"start_date":"2017-03-11","description":"","custom_fields":[{"id":1,"name":"Subdivision","value":"EC"},{"id":4,"name":"Milepost","value":"22.209"},{"id":17,"name":"Train ID","value":"155-11"},{"id":16,"name":"Locomotive ID","value":"4044"},{"id":130,"name":"Impact","value":""},{"id":150,"name":"Time of Event (Mountain Time)","value":"11:03:29"},{"id":151,"name":"Denver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"%USERPROFILE%\AppData\Local\Temp\OnboardLogs"\RTDC4044\*4044*201703111*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"%USERPROFILE%\AppData\Local\Temp\OnboardLogs"\RTDC4044\*4044*201703111* &gt;&gt; 2017-03-11-SliceDisagreementCheck.txt</v>
      </c>
      <c r="AE22" s="157" t="str">
        <f t="shared" si="9"/>
        <v>start /low /b %USERPROFILE%\Documents\GitHub\eaglep3\Utilities\DownloadLogsFromS3.py --loco 4044 --day 2017-03-11</v>
      </c>
      <c r="AF22" s="1"/>
    </row>
    <row r="23" spans="1:32" x14ac:dyDescent="0.25">
      <c r="A23" s="32">
        <v>42805.332546296297</v>
      </c>
      <c r="B23" s="30" t="s">
        <v>512</v>
      </c>
      <c r="C23" s="30" t="s">
        <v>586</v>
      </c>
      <c r="D23" s="30" t="s">
        <v>98</v>
      </c>
      <c r="E23" s="30" t="s">
        <v>236</v>
      </c>
      <c r="F23" s="43">
        <v>350</v>
      </c>
      <c r="G23" s="43">
        <v>401</v>
      </c>
      <c r="H23" s="43">
        <v>224698</v>
      </c>
      <c r="I23" s="43">
        <v>223081</v>
      </c>
      <c r="J23" s="30" t="s">
        <v>237</v>
      </c>
      <c r="K23" s="43">
        <v>232080</v>
      </c>
      <c r="L23" s="143" t="s">
        <v>51</v>
      </c>
      <c r="M23" s="144">
        <f t="shared" si="0"/>
        <v>-4751.4719999999998</v>
      </c>
      <c r="N23" s="145" t="str">
        <f>VLOOKUP(C23,'Trips&amp;Operators'!$C$1:$G$99999,5,FALSE)</f>
        <v>BADERTSCHER DIANE</v>
      </c>
      <c r="O23" s="194" t="s">
        <v>185</v>
      </c>
      <c r="P23" s="146"/>
      <c r="Q23" s="30"/>
      <c r="R23" s="89" t="str">
        <f>IF(VLOOKUP(C23,'Train Runs'!$A$13:$AE$9946,1,1)=C23,VLOOKUP(C23,'Train Runs'!$A$13:$AE$9946,31,1),NA())</f>
        <v>aws s3 cp s3://rtdc.mdm.uploadarchive.raw/RTDC4043/ "%USERPROFILE%\AppData\Local\Temp\OnboardLogs"\RTDC4043\2017-03-11 --exclude "*" --recursive --include "*20170311*" &amp; "%USERPROFILE%\Documents\GitHub\mrs-test-scripts\Headless Mode &amp; Sideloading\WalkAndUnGZ.bat" "%USERPROFILE%\AppData\Local\Temp\OnboardLogs"\RTDC4043\2017-03-11 &amp; aws s3 cp s3://rtdc.mdm.uploadarchive.raw/RTDC4043/ "%USERPROFILE%\AppData\Local\Temp\OnboardLogs"\RTDC4043\2017-03-12 --exclude "*" --recursive --include "*20170312*" &amp; "%USERPROFILE%\Documents\GitHub\mrs-test-scripts\Headless Mode &amp; Sideloading\WalkAndUnGZ.bat" "%USERPROFILE%\AppData\Local\Temp\OnboardLogs"\RTDC4043\2017-03-12</v>
      </c>
      <c r="S23" s="92" t="str">
        <f>IF(VLOOKUP(C23,'Train Runs'!$A$13:$AE$9946,1,1)=C23,VLOOKUP(C23,'Train Runs'!$A$13:$AE$9946,22,1),NA())</f>
        <v>https://d0f6bd738d7f1b3e5a7ca70fe4ff75f0.us-east-1.aws.found.io/app/kibana#/discover/Steve-Slow-Train-Analysis-(2080s-and-2083s)?_g=(refreshInterval:(display:Off,pause:!f,section:0,value:0),time:(from:'2017-03-11T06:52:15-0700',mode:absolute,to:'2017-03-11T09:41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3" s="94" t="str">
        <f t="shared" si="1"/>
        <v>"C:\Program Files (x86)\AstroGrep\AstroGrep.exe" /e /r /s /spath="%USERPROFILE%\AppData\Local\Temp\OnboardLogs" /stypes="*4043*201703111*" /stext=" 14:.+((SYSTEM_STATE.+slice.+state.+changed )|(ment ac)|(multiple cpu faults)|(system.+state.+changed )|(\[timeout)|(PRM\|1\|D)|(kpr)|(kdp)|(\|lc)|(penalty))"</v>
      </c>
      <c r="U23" s="9" t="str">
        <f t="shared" si="2"/>
        <v>4043</v>
      </c>
      <c r="V23" s="32">
        <f t="shared" si="3"/>
        <v>42805.624212962961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{"issue":{"subject":"","project_id":79,"tracker_id":40,"status_id":1,"priority_id":2,"assigned_to_id":23,"start_date":"2017-03-11","description":"","custom_fields":[{"id":1,"name":"Subdivision","value":"EC"},{"id":4,"name":"Milepost","value":"23.208"},{"id":17,"name":"Train ID","value":"128-11"},{"id":16,"name":"Locomotive ID","value":"4043"},{"id":130,"name":"Impact","value":""},{"id":150,"name":"Time of Event (Mountain Time)","value":"07:58:52"},{"id":151,"name":"Denver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"%USERPROFILE%\AppData\Local\Temp\OnboardLogs"\RTDC4043\*4043*201703111*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"%USERPROFILE%\AppData\Local\Temp\OnboardLogs"\RTDC4043\*4043*201703111* &gt;&gt; 2017-03-11-SliceDisagreementCheck.txt</v>
      </c>
      <c r="AE23" s="157" t="str">
        <f t="shared" si="9"/>
        <v>start /low /b %USERPROFILE%\Documents\GitHub\eaglep3\Utilities\DownloadLogsFromS3.py --loco 4043 --day 2017-03-11</v>
      </c>
      <c r="AF23" s="1"/>
    </row>
    <row r="24" spans="1:32" x14ac:dyDescent="0.25">
      <c r="A24" s="32">
        <v>42805.307708333334</v>
      </c>
      <c r="B24" s="30" t="s">
        <v>416</v>
      </c>
      <c r="C24" s="30" t="s">
        <v>584</v>
      </c>
      <c r="D24" s="30" t="s">
        <v>49</v>
      </c>
      <c r="E24" s="30" t="s">
        <v>428</v>
      </c>
      <c r="F24" s="43">
        <v>0</v>
      </c>
      <c r="G24" s="43">
        <v>488</v>
      </c>
      <c r="H24" s="43">
        <v>45368</v>
      </c>
      <c r="I24" s="43">
        <v>42955</v>
      </c>
      <c r="J24" s="30" t="s">
        <v>429</v>
      </c>
      <c r="K24" s="43">
        <v>43664</v>
      </c>
      <c r="L24" s="143" t="s">
        <v>51</v>
      </c>
      <c r="M24" s="144">
        <f t="shared" si="0"/>
        <v>-374.35199999999998</v>
      </c>
      <c r="N24" s="145" t="str">
        <f>VLOOKUP(C24,'Trips&amp;Operators'!$C$1:$G$99999,5,FALSE)</f>
        <v>ROBINSON KADDIBA</v>
      </c>
      <c r="O24" s="194" t="s">
        <v>185</v>
      </c>
      <c r="P24" s="146" t="s">
        <v>1004</v>
      </c>
      <c r="Q24" s="30"/>
      <c r="R24" s="89" t="str">
        <f>IF(VLOOKUP(C24,'Train Runs'!$A$13:$AE$9946,1,1)=C24,VLOOKUP(C24,'Train Runs'!$A$13:$AE$9946,31,1),NA())</f>
        <v>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 &amp; aws s3 cp s3://rtdc.mdm.uploadarchive.raw/RTDC4010/ "%USERPROFILE%\AppData\Local\Temp\OnboardLogs"\RTDC4010\2017-03-12 --exclude "*" --recursive --include "*20170312*" &amp; "%USERPROFILE%\Documents\GitHub\mrs-test-scripts\Headless Mode &amp; Sideloading\WalkAndUnGZ.bat" "%USERPROFILE%\AppData\Local\Temp\OnboardLogs"\RTDC4010\2017-03-12</v>
      </c>
      <c r="S24" s="92" t="str">
        <f>IF(VLOOKUP(C24,'Train Runs'!$A$13:$AE$9946,1,1)=C24,VLOOKUP(C24,'Train Runs'!$A$13:$AE$9946,22,1),NA())</f>
        <v>https://d0f6bd738d7f1b3e5a7ca70fe4ff75f0.us-east-1.aws.found.io/app/kibana#/discover/Steve-Slow-Train-Analysis-(2080s-and-2083s)?_g=(refreshInterval:(display:Off,pause:!f,section:0,value:0),time:(from:'2017-03-11T05:35:46-0700',mode:absolute,to:'2017-03-11T08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4" s="94" t="str">
        <f t="shared" si="1"/>
        <v>"C:\Program Files (x86)\AstroGrep\AstroGrep.exe" /e /r /s /spath="%USERPROFILE%\AppData\Local\Temp\OnboardLogs" /stypes="*4010*201703111*" /stext=" 14:.+((SYSTEM_STATE.+slice.+state.+changed )|(ment ac)|(multiple cpu faults)|(system.+state.+changed )|(\[timeout)|(PRM\|1\|D)|(kpr)|(kdp)|(\|lc)|(penalty))"</v>
      </c>
      <c r="U24" s="9" t="str">
        <f t="shared" si="2"/>
        <v>4010</v>
      </c>
      <c r="V24" s="32">
        <f t="shared" si="3"/>
        <v>42805.599374999998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{"issue":{"subject":"EC0437RH 52-2T 2S premature downgrade","project_id":79,"tracker_id":40,"status_id":1,"priority_id":2,"assigned_to_id":23,"start_date":"2017-03-11","description":"At 14:22:38, EC0437RH 52-2T 2S dropped from 270 to 0, seems unexpected. Do logs tell anything odd?","custom_fields":[{"id":1,"name":"Subdivision","value":"EC"},{"id":4,"name":"Milepost","value":"4.3664"},{"id":17,"name":"Train ID","value":"118-11"},{"id":16,"name":"Locomotive ID","value":"4010"},{"id":130,"name":"Impact","value":"Enforcement"},{"id":150,"name":"Time of Event (Mountain Time)","value":"07:23:06"},{"id":151,"name":"Denver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4" s="48" t="s">
        <v>1005</v>
      </c>
      <c r="AA24" s="48" t="s">
        <v>124</v>
      </c>
      <c r="AB24" s="48" t="s">
        <v>129</v>
      </c>
      <c r="AC24" s="127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"%USERPROFILE%\AppData\Local\Temp\OnboardLogs"\RTDC4010\*4010*201703111*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"%USERPROFILE%\AppData\Local\Temp\OnboardLogs"\RTDC4010\*4010*201703111* &gt;&gt; 2017-03-11-SliceDisagreementCheck.txt</v>
      </c>
      <c r="AE24" s="157" t="str">
        <f t="shared" si="9"/>
        <v>start /low /b %USERPROFILE%\Documents\GitHub\eaglep3\Utilities\DownloadLogsFromS3.py --loco 4010 --day 2017-03-11</v>
      </c>
      <c r="AF24" s="1"/>
    </row>
    <row r="25" spans="1:32" x14ac:dyDescent="0.25">
      <c r="A25" s="32">
        <v>42805.555821759262</v>
      </c>
      <c r="B25" s="30" t="s">
        <v>204</v>
      </c>
      <c r="C25" s="30" t="s">
        <v>593</v>
      </c>
      <c r="D25" s="30" t="s">
        <v>49</v>
      </c>
      <c r="E25" s="30" t="s">
        <v>428</v>
      </c>
      <c r="F25" s="43">
        <v>0</v>
      </c>
      <c r="G25" s="43">
        <v>39</v>
      </c>
      <c r="H25" s="43">
        <v>64044</v>
      </c>
      <c r="I25" s="43">
        <v>64022</v>
      </c>
      <c r="J25" s="30" t="s">
        <v>429</v>
      </c>
      <c r="K25" s="43">
        <v>64008</v>
      </c>
      <c r="L25" s="143" t="s">
        <v>51</v>
      </c>
      <c r="M25" s="144">
        <f t="shared" si="0"/>
        <v>7.3920000000000003</v>
      </c>
      <c r="N25" s="145" t="str">
        <f>VLOOKUP(C25,'Trips&amp;Operators'!$C$1:$G$99999,5,FALSE)</f>
        <v>LEVIN SCOTT</v>
      </c>
      <c r="O25" s="194" t="s">
        <v>431</v>
      </c>
      <c r="P25" s="146" t="s">
        <v>1003</v>
      </c>
      <c r="Q25" s="30"/>
      <c r="R25" s="89" t="str">
        <f>IF(VLOOKUP(C25,'Train Runs'!$A$13:$AE$9946,1,1)=C25,VLOOKUP(C25,'Train Runs'!$A$13:$AE$9946,31,1),NA())</f>
        <v>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 &amp; aws s3 cp s3://rtdc.mdm.uploadarchive.raw/RTDC4030/ "%USERPROFILE%\AppData\Local\Temp\OnboardLogs"\RTDC4030\2017-03-12 --exclude "*" --recursive --include "*20170312*" &amp; "%USERPROFILE%\Documents\GitHub\mrs-test-scripts\Headless Mode &amp; Sideloading\WalkAndUnGZ.bat" "%USERPROFILE%\AppData\Local\Temp\OnboardLogs"\RTDC4030\2017-03-12</v>
      </c>
      <c r="S25" s="92" t="str">
        <f>IF(VLOOKUP(C25,'Train Runs'!$A$13:$AE$9946,1,1)=C25,VLOOKUP(C25,'Train Runs'!$A$13:$AE$9946,22,1),NA())</f>
        <v>https://d0f6bd738d7f1b3e5a7ca70fe4ff75f0.us-east-1.aws.found.io/app/kibana#/discover/Steve-Slow-Train-Analysis-(2080s-and-2083s)?_g=(refreshInterval:(display:Off,pause:!f,section:0,value:0),time:(from:'2017-03-11T12:26:48-0700',mode:absolute,to:'2017-03-11T14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5" s="94" t="str">
        <f t="shared" si="1"/>
        <v>"C:\Program Files (x86)\AstroGrep\AstroGrep.exe" /e /r /s /spath="%USERPROFILE%\AppData\Local\Temp\OnboardLogs" /stypes="*4030*201703112*" /stext=" 20:.+((SYSTEM_STATE.+slice.+state.+changed )|(ment ac)|(multiple cpu faults)|(system.+state.+changed )|(\[timeout)|(PRM\|1\|D)|(kpr)|(kdp)|(\|lc)|(penalty))"</v>
      </c>
      <c r="U25" s="9" t="str">
        <f t="shared" si="2"/>
        <v>4030</v>
      </c>
      <c r="V25" s="32">
        <f t="shared" si="3"/>
        <v>42805.847488425927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{"issue":{"subject":"Wi-MAX data drop","project_id":79,"tracker_id":40,"status_id":1,"priority_id":2,"assigned_to_id":23,"start_date":"2017-03-11","description":"","custom_fields":[{"id":1,"name":"Subdivision","value":"EC"},{"id":4,"name":"Milepost","value":"6.4008"},{"id":17,"name":"Train ID","value":"168-11"},{"id":16,"name":"Locomotive ID","value":"4030"},{"id":130,"name":"Impact","value":""},{"id":150,"name":"Time of Event (Mountain Time)","value":"13:20:23"},{"id":151,"name":"Denver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"%USERPROFILE%\AppData\Local\Temp\OnboardLogs"\RTDC4030\*4030*201703112*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"%USERPROFILE%\AppData\Local\Temp\OnboardLogs"\RTDC4030\*4030*201703112* &gt;&gt; 2017-03-11-SliceDisagreementCheck.txt</v>
      </c>
      <c r="AE25" s="157" t="str">
        <f t="shared" si="9"/>
        <v>start /low /b %USERPROFILE%\Documents\GitHub\eaglep3\Utilities\DownloadLogsFromS3.py --loco 4030 --day 2017-03-11</v>
      </c>
      <c r="AF25" s="1"/>
    </row>
    <row r="26" spans="1:32" x14ac:dyDescent="0.25">
      <c r="A26" s="32">
        <v>42805.486747685187</v>
      </c>
      <c r="B26" s="30" t="s">
        <v>512</v>
      </c>
      <c r="C26" s="30" t="s">
        <v>589</v>
      </c>
      <c r="D26" s="30" t="s">
        <v>49</v>
      </c>
      <c r="E26" s="30" t="s">
        <v>428</v>
      </c>
      <c r="F26" s="43">
        <v>0</v>
      </c>
      <c r="G26" s="43">
        <v>134</v>
      </c>
      <c r="H26" s="43">
        <v>128031</v>
      </c>
      <c r="I26" s="43">
        <v>127893</v>
      </c>
      <c r="J26" s="30" t="s">
        <v>429</v>
      </c>
      <c r="K26" s="43">
        <v>127587</v>
      </c>
      <c r="L26" s="143" t="s">
        <v>51</v>
      </c>
      <c r="M26" s="144">
        <f t="shared" si="0"/>
        <v>161.56800000000001</v>
      </c>
      <c r="N26" s="145" t="str">
        <f>VLOOKUP(C26,'Trips&amp;Operators'!$C$1:$G$99999,5,FALSE)</f>
        <v>ROMERO CHAD</v>
      </c>
      <c r="O26" s="194" t="s">
        <v>185</v>
      </c>
      <c r="P26" s="146" t="s">
        <v>1006</v>
      </c>
      <c r="Q26" s="30"/>
      <c r="R26" s="89" t="str">
        <f>IF(VLOOKUP(C26,'Train Runs'!$A$13:$AE$9946,1,1)=C26,VLOOKUP(C26,'Train Runs'!$A$13:$AE$9946,31,1),NA())</f>
        <v>aws s3 cp s3://rtdc.mdm.uploadarchive.raw/RTDC4043/ "%USERPROFILE%\AppData\Local\Temp\OnboardLogs"\RTDC4043\2017-03-11 --exclude "*" --recursive --include "*20170311*" &amp; "%USERPROFILE%\Documents\GitHub\mrs-test-scripts\Headless Mode &amp; Sideloading\WalkAndUnGZ.bat" "%USERPROFILE%\AppData\Local\Temp\OnboardLogs"\RTDC4043\2017-03-11 &amp; aws s3 cp s3://rtdc.mdm.uploadarchive.raw/RTDC4043/ "%USERPROFILE%\AppData\Local\Temp\OnboardLogs"\RTDC4043\2017-03-12 --exclude "*" --recursive --include "*20170312*" &amp; "%USERPROFILE%\Documents\GitHub\mrs-test-scripts\Headless Mode &amp; Sideloading\WalkAndUnGZ.bat" "%USERPROFILE%\AppData\Local\Temp\OnboardLogs"\RTDC4043\2017-03-12</v>
      </c>
      <c r="S26" s="92" t="str">
        <f>IF(VLOOKUP(C26,'Train Runs'!$A$13:$AE$9946,1,1)=C26,VLOOKUP(C26,'Train Runs'!$A$13:$AE$9946,22,1),NA())</f>
        <v>https://d0f6bd738d7f1b3e5a7ca70fe4ff75f0.us-east-1.aws.found.io/app/kibana#/discover/Steve-Slow-Train-Analysis-(2080s-and-2083s)?_g=(refreshInterval:(display:Off,pause:!f,section:0,value:0),time:(from:'2017-03-11T10:10:39-0700',mode:absolute,to:'2017-03-11T13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6" s="94" t="str">
        <f t="shared" si="1"/>
        <v>"C:\Program Files (x86)\AstroGrep\AstroGrep.exe" /e /r /s /spath="%USERPROFILE%\AppData\Local\Temp\OnboardLogs" /stypes="*4043*201703111*" /stext=" 18:.+((SYSTEM_STATE.+slice.+state.+changed )|(ment ac)|(multiple cpu faults)|(system.+state.+changed )|(\[timeout)|(PRM\|1\|D)|(kpr)|(kdp)|(\|lc)|(penalty))"</v>
      </c>
      <c r="U26" s="9" t="str">
        <f t="shared" si="2"/>
        <v>4043</v>
      </c>
      <c r="V26" s="32">
        <f t="shared" si="3"/>
        <v>42805.778414351851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{"issue":{"subject":"40th 4S STOP","project_id":79,"tracker_id":40,"status_id":1,"priority_id":2,"assigned_to_id":23,"start_date":"2017-03-11","description":"","custom_fields":[{"id":1,"name":"Subdivision","value":"EC"},{"id":4,"name":"Milepost","value":"12.7587"},{"id":17,"name":"Train ID","value":"156-11"},{"id":16,"name":"Locomotive ID","value":"4043"},{"id":130,"name":"Impact","value":""},{"id":150,"name":"Time of Event (Mountain Time)","value":"11:40:55"},{"id":151,"name":"Denver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"%USERPROFILE%\AppData\Local\Temp\OnboardLogs"\RTDC4043\*4043*201703111*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"%USERPROFILE%\AppData\Local\Temp\OnboardLogs"\RTDC4043\*4043*201703111* &gt;&gt; 2017-03-11-SliceDisagreementCheck.txt</v>
      </c>
      <c r="AE26" s="157" t="str">
        <f t="shared" si="9"/>
        <v>start /low /b %USERPROFILE%\Documents\GitHub\eaglep3\Utilities\DownloadLogsFromS3.py --loco 4043 --day 2017-03-11</v>
      </c>
      <c r="AF26" s="1"/>
    </row>
    <row r="27" spans="1:32" x14ac:dyDescent="0.25">
      <c r="A27" s="32">
        <v>42805.109085648146</v>
      </c>
      <c r="B27" s="30" t="s">
        <v>581</v>
      </c>
      <c r="C27" s="30" t="s">
        <v>582</v>
      </c>
      <c r="D27" s="30" t="s">
        <v>49</v>
      </c>
      <c r="E27" s="30" t="s">
        <v>186</v>
      </c>
      <c r="F27" s="43">
        <v>0</v>
      </c>
      <c r="G27" s="43">
        <v>53</v>
      </c>
      <c r="H27" s="43">
        <v>156</v>
      </c>
      <c r="I27" s="43">
        <v>116</v>
      </c>
      <c r="J27" s="30" t="s">
        <v>187</v>
      </c>
      <c r="K27" s="43">
        <v>1</v>
      </c>
      <c r="L27" s="143" t="s">
        <v>51</v>
      </c>
      <c r="M27" s="144">
        <f t="shared" si="0"/>
        <v>60.72</v>
      </c>
      <c r="N27" s="145" t="str">
        <f>VLOOKUP(C27,'Trips&amp;Operators'!$C$1:$G$99999,5,FALSE)</f>
        <v>BROWN JACOB</v>
      </c>
      <c r="O27" s="194" t="s">
        <v>185</v>
      </c>
      <c r="P27" s="146"/>
      <c r="Q27" s="30"/>
      <c r="R27" s="89" t="e">
        <f>IF(VLOOKUP(C27,'Train Runs'!$A$13:$AE$9946,1,1)=C27,VLOOKUP(C27,'Train Runs'!$A$13:$AE$9946,31,1),NA())</f>
        <v>#N/A</v>
      </c>
      <c r="S27" s="92" t="e">
        <f>IF(VLOOKUP(C27,'Train Runs'!$A$13:$AE$9946,1,1)=C27,VLOOKUP(C27,'Train Runs'!$A$13:$AE$9946,22,1),NA())</f>
        <v>#N/A</v>
      </c>
      <c r="T27" s="94" t="str">
        <f t="shared" si="1"/>
        <v>"C:\Program Files (x86)\AstroGrep\AstroGrep.exe" /e /r /s /spath="%USERPROFILE%\AppData\Local\Temp\OnboardLogs" /stypes="*4052*201703110*" /stext=" 09:.+((SYSTEM_STATE.+slice.+state.+changed )|(ment ac)|(multiple cpu faults)|(system.+state.+changed )|(\[timeout)|(PRM\|1\|D)|(kpr)|(kdp)|(\|lc)|(penalty))"</v>
      </c>
      <c r="U27" s="9" t="str">
        <f t="shared" si="2"/>
        <v>4052</v>
      </c>
      <c r="V27" s="32">
        <f t="shared" si="3"/>
        <v>42805.40075231481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{"issue":{"subject":"","project_id":79,"tracker_id":40,"status_id":1,"priority_id":2,"assigned_to_id":23,"start_date":"2017-03-11","description":"","custom_fields":[{"id":1,"name":"Subdivision","value":"EC"},{"id":4,"name":"Milepost","value":"0.0001"},{"id":17,"name":"Train ID","value":"246-10"},{"id":16,"name":"Locomotive ID","value":"4052"},{"id":130,"name":"Impact","value":""},{"id":150,"name":"Time of Event (Mountain Time)","value":"02:37:05"},{"id":151,"name":"Denver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ref="AC27:AC41" si="10">"grep -hSE -A400 ""Enforcement Action"" "&amp;search_path&amp;"\RTDC"&amp;U27&amp;"\*"&amp;U27&amp;"*"&amp;TEXT(A27-utc_offset/24,"YYYYMMDD")&amp;LEFT(TEXT(A27-utc_offset/24,"HH"),1)&amp;"* | grep -SE ""((Enforcement Ac)|(PRM.+XING))"" -"</f>
        <v>grep -hSE -A400 "Enforcement Action" "%USERPROFILE%\AppData\Local\Temp\OnboardLogs"\RTDC4052\*4052*201703110*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"%USERPROFILE%\AppData\Local\Temp\OnboardLogs"\RTDC4052\*4052*201703110* &gt;&gt; 2017-03-11-SliceDisagreementCheck.txt</v>
      </c>
      <c r="AE27" s="157" t="str">
        <f t="shared" si="9"/>
        <v>start /low /b %USERPROFILE%\Documents\GitHub\eaglep3\Utilities\DownloadLogsFromS3.py --loco 4052 --day 2017-03-11</v>
      </c>
      <c r="AF27" s="1"/>
    </row>
    <row r="28" spans="1:32" x14ac:dyDescent="0.25">
      <c r="A28" s="32">
        <v>42805.433923611112</v>
      </c>
      <c r="B28" s="30" t="s">
        <v>512</v>
      </c>
      <c r="C28" s="30" t="s">
        <v>587</v>
      </c>
      <c r="D28" s="30" t="s">
        <v>49</v>
      </c>
      <c r="E28" s="30" t="s">
        <v>186</v>
      </c>
      <c r="F28" s="43">
        <v>0</v>
      </c>
      <c r="G28" s="43">
        <v>33</v>
      </c>
      <c r="H28" s="43">
        <v>149</v>
      </c>
      <c r="I28" s="43">
        <v>132</v>
      </c>
      <c r="J28" s="30" t="s">
        <v>187</v>
      </c>
      <c r="K28" s="43">
        <v>1</v>
      </c>
      <c r="L28" s="143" t="s">
        <v>51</v>
      </c>
      <c r="M28" s="144">
        <f t="shared" si="0"/>
        <v>69.168000000000006</v>
      </c>
      <c r="N28" s="145" t="str">
        <f>VLOOKUP(C28,'Trips&amp;Operators'!$C$1:$G$99999,5,FALSE)</f>
        <v>BADERTSCHER DIANE</v>
      </c>
      <c r="O28" s="194" t="s">
        <v>185</v>
      </c>
      <c r="P28" s="146"/>
      <c r="Q28" s="30"/>
      <c r="R28" s="89" t="str">
        <f>IF(VLOOKUP(C28,'Train Runs'!$A$13:$AE$9946,1,1)=C28,VLOOKUP(C28,'Train Runs'!$A$13:$AE$9946,31,1),NA())</f>
        <v>aws s3 cp s3://rtdc.mdm.uploadarchive.raw/RTDC4043/ "%USERPROFILE%\AppData\Local\Temp\OnboardLogs"\RTDC4043\2017-03-11 --exclude "*" --recursive --include "*20170311*" &amp; "%USERPROFILE%\Documents\GitHub\mrs-test-scripts\Headless Mode &amp; Sideloading\WalkAndUnGZ.bat" "%USERPROFILE%\AppData\Local\Temp\OnboardLogs"\RTDC4043\2017-03-11 &amp; aws s3 cp s3://rtdc.mdm.uploadarchive.raw/RTDC4043/ "%USERPROFILE%\AppData\Local\Temp\OnboardLogs"\RTDC4043\2017-03-12 --exclude "*" --recursive --include "*20170312*" &amp; "%USERPROFILE%\Documents\GitHub\mrs-test-scripts\Headless Mode &amp; Sideloading\WalkAndUnGZ.bat" "%USERPROFILE%\AppData\Local\Temp\OnboardLogs"\RTDC4043\2017-03-12</v>
      </c>
      <c r="S28" s="92" t="str">
        <f>IF(VLOOKUP(C28,'Train Runs'!$A$13:$AE$9946,1,1)=C28,VLOOKUP(C28,'Train Runs'!$A$13:$AE$9946,22,1),NA())</f>
        <v>https://d0f6bd738d7f1b3e5a7ca70fe4ff75f0.us-east-1.aws.found.io/app/kibana#/discover/Steve-Slow-Train-Analysis-(2080s-and-2083s)?_g=(refreshInterval:(display:Off,pause:!f,section:0,value:0),time:(from:'2017-03-11T08:33:18-0700',mode:absolute,to:'2017-03-11T11:25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8" s="94" t="str">
        <f t="shared" si="1"/>
        <v>"C:\Program Files (x86)\AstroGrep\AstroGrep.exe" /e /r /s /spath="%USERPROFILE%\AppData\Local\Temp\OnboardLogs" /stypes="*4043*201703111*" /stext=" 17:.+((SYSTEM_STATE.+slice.+state.+changed )|(ment ac)|(multiple cpu faults)|(system.+state.+changed )|(\[timeout)|(PRM\|1\|D)|(kpr)|(kdp)|(\|lc)|(penalty))"</v>
      </c>
      <c r="U28" s="9" t="str">
        <f t="shared" si="2"/>
        <v>4043</v>
      </c>
      <c r="V28" s="32">
        <f t="shared" si="3"/>
        <v>42805.725590277776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{"issue":{"subject":"","project_id":79,"tracker_id":40,"status_id":1,"priority_id":2,"assigned_to_id":23,"start_date":"2017-03-11","description":"","custom_fields":[{"id":1,"name":"Subdivision","value":"EC"},{"id":4,"name":"Milepost","value":"0.0001"},{"id":17,"name":"Train ID","value":"142-11"},{"id":16,"name":"Locomotive ID","value":"4043"},{"id":130,"name":"Impact","value":""},{"id":150,"name":"Time of Event (Mountain Time)","value":"10:24:51"},{"id":151,"name":"Denver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10"/>
        <v>grep -hSE -A400 "Enforcement Action" "%USERPROFILE%\AppData\Local\Temp\OnboardLogs"\RTDC4043\*4043*201703111*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"%USERPROFILE%\AppData\Local\Temp\OnboardLogs"\RTDC4043\*4043*201703111* &gt;&gt; 2017-03-11-SliceDisagreementCheck.txt</v>
      </c>
      <c r="AE28" s="157" t="str">
        <f t="shared" si="9"/>
        <v>start /low /b %USERPROFILE%\Documents\GitHub\eaglep3\Utilities\DownloadLogsFromS3.py --loco 4043 --day 2017-03-11</v>
      </c>
      <c r="AF28" s="1"/>
    </row>
    <row r="29" spans="1:32" x14ac:dyDescent="0.25">
      <c r="A29" s="32">
        <v>42805.556585648148</v>
      </c>
      <c r="B29" s="30" t="s">
        <v>591</v>
      </c>
      <c r="C29" s="30" t="s">
        <v>592</v>
      </c>
      <c r="D29" s="30" t="s">
        <v>49</v>
      </c>
      <c r="E29" s="30" t="s">
        <v>186</v>
      </c>
      <c r="F29" s="43">
        <v>0</v>
      </c>
      <c r="G29" s="43">
        <v>50</v>
      </c>
      <c r="H29" s="43">
        <v>145</v>
      </c>
      <c r="I29" s="43">
        <v>94</v>
      </c>
      <c r="J29" s="30" t="s">
        <v>187</v>
      </c>
      <c r="K29" s="43">
        <v>1</v>
      </c>
      <c r="L29" s="143" t="s">
        <v>51</v>
      </c>
      <c r="M29" s="144">
        <f t="shared" si="0"/>
        <v>49.103999999999999</v>
      </c>
      <c r="N29" s="145" t="str">
        <f>VLOOKUP(C29,'Trips&amp;Operators'!$C$1:$G$99999,5,FALSE)</f>
        <v>HOLCOMB KAMDEN</v>
      </c>
      <c r="O29" s="194" t="s">
        <v>185</v>
      </c>
      <c r="P29" s="146"/>
      <c r="Q29" s="30"/>
      <c r="R29" s="89" t="str">
        <f>IF(VLOOKUP(C29,'Train Runs'!$A$13:$AE$9946,1,1)=C29,VLOOKUP(C29,'Train Runs'!$A$13:$AE$9946,31,1),NA())</f>
        <v>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 &amp; 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</v>
      </c>
      <c r="S29" s="92" t="str">
        <f>IF(VLOOKUP(C29,'Train Runs'!$A$13:$AE$9946,1,1)=C29,VLOOKUP(C29,'Train Runs'!$A$13:$AE$9946,22,1),NA())</f>
        <v>https://d0f6bd738d7f1b3e5a7ca70fe4ff75f0.us-east-1.aws.found.io/app/kibana#/discover/Steve-Slow-Train-Analysis-(2080s-and-2083s)?_g=(refreshInterval:(display:Off,pause:!f,section:0,value:0),time:(from:'2017-03-11T11:29:21-0700',mode:absolute,to:'2017-03-11T14:21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9" s="94" t="str">
        <f t="shared" si="1"/>
        <v>"C:\Program Files (x86)\AstroGrep\AstroGrep.exe" /e /r /s /spath="%USERPROFILE%\AppData\Local\Temp\OnboardLogs" /stypes="*4005*201703112*" /stext=" 20:.+((SYSTEM_STATE.+slice.+state.+changed )|(ment ac)|(multiple cpu faults)|(system.+state.+changed )|(\[timeout)|(PRM\|1\|D)|(kpr)|(kdp)|(\|lc)|(penalty))"</v>
      </c>
      <c r="U29" s="9" t="str">
        <f t="shared" si="2"/>
        <v>4005</v>
      </c>
      <c r="V29" s="32">
        <f t="shared" si="3"/>
        <v>42805.848252314812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{"issue":{"subject":"","project_id":79,"tracker_id":40,"status_id":1,"priority_id":2,"assigned_to_id":23,"start_date":"2017-03-11","description":"","custom_fields":[{"id":1,"name":"Subdivision","value":"EC"},{"id":4,"name":"Milepost","value":"0.0001"},{"id":17,"name":"Train ID","value":"166-11"},{"id":16,"name":"Locomotive ID","value":"4005"},{"id":130,"name":"Impact","value":""},{"id":150,"name":"Time of Event (Mountain Time)","value":"13:21:29"},{"id":151,"name":"Denver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10"/>
        <v>grep -hSE -A400 "Enforcement Action" "%USERPROFILE%\AppData\Local\Temp\OnboardLogs"\RTDC4005\*4005*201703112*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"%USERPROFILE%\AppData\Local\Temp\OnboardLogs"\RTDC4005\*4005*201703112* &gt;&gt; 2017-03-11-SliceDisagreementCheck.txt</v>
      </c>
      <c r="AE29" s="157" t="str">
        <f t="shared" si="9"/>
        <v>start /low /b %USERPROFILE%\Documents\GitHub\eaglep3\Utilities\DownloadLogsFromS3.py --loco 4005 --day 2017-03-11</v>
      </c>
      <c r="AF29" s="1"/>
    </row>
    <row r="30" spans="1:32" x14ac:dyDescent="0.25">
      <c r="A30" s="32">
        <v>42805.703067129631</v>
      </c>
      <c r="B30" s="30" t="s">
        <v>591</v>
      </c>
      <c r="C30" s="30" t="s">
        <v>603</v>
      </c>
      <c r="D30" s="30" t="s">
        <v>49</v>
      </c>
      <c r="E30" s="30" t="s">
        <v>186</v>
      </c>
      <c r="F30" s="43">
        <v>0</v>
      </c>
      <c r="G30" s="43">
        <v>56</v>
      </c>
      <c r="H30" s="43">
        <v>183</v>
      </c>
      <c r="I30" s="43">
        <v>114</v>
      </c>
      <c r="J30" s="30" t="s">
        <v>187</v>
      </c>
      <c r="K30" s="43">
        <v>1</v>
      </c>
      <c r="L30" s="143" t="s">
        <v>51</v>
      </c>
      <c r="M30" s="144">
        <f t="shared" si="0"/>
        <v>59.664000000000001</v>
      </c>
      <c r="N30" s="145" t="str">
        <f>VLOOKUP(C30,'Trips&amp;Operators'!$C$1:$G$99999,5,FALSE)</f>
        <v>HOLCOMB KAMDEN</v>
      </c>
      <c r="O30" s="194" t="s">
        <v>185</v>
      </c>
      <c r="P30" s="146"/>
      <c r="Q30" s="30"/>
      <c r="R30" s="89" t="e">
        <f>IF(VLOOKUP(C30,'Train Runs'!$A$13:$AE$9946,1,1)=C30,VLOOKUP(C30,'Train Runs'!$A$13:$AE$9946,31,1),NA())</f>
        <v>#N/A</v>
      </c>
      <c r="S30" s="92" t="e">
        <f>IF(VLOOKUP(C30,'Train Runs'!$A$13:$AE$9946,1,1)=C30,VLOOKUP(C30,'Train Runs'!$A$13:$AE$9946,22,1),NA())</f>
        <v>#N/A</v>
      </c>
      <c r="T30" s="94" t="str">
        <f t="shared" si="1"/>
        <v>"C:\Program Files (x86)\AstroGrep\AstroGrep.exe" /e /r /s /spath="%USERPROFILE%\AppData\Local\Temp\OnboardLogs" /stypes="*4005*201703112*" /stext=" 23:.+((SYSTEM_STATE.+slice.+state.+changed )|(ment ac)|(multiple cpu faults)|(system.+state.+changed )|(\[timeout)|(PRM\|1\|D)|(kpr)|(kdp)|(\|lc)|(penalty))"</v>
      </c>
      <c r="U30" s="9" t="str">
        <f t="shared" si="2"/>
        <v>4005</v>
      </c>
      <c r="V30" s="32">
        <f t="shared" si="3"/>
        <v>42805.994733796295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{"issue":{"subject":"","project_id":79,"tracker_id":40,"status_id":1,"priority_id":2,"assigned_to_id":23,"start_date":"2017-03-11","description":"","custom_fields":[{"id":1,"name":"Subdivision","value":"EC"},{"id":4,"name":"Milepost","value":"0.0001"},{"id":17,"name":"Train ID","value":"194-11"},{"id":16,"name":"Locomotive ID","value":"4005"},{"id":130,"name":"Impact","value":""},{"id":150,"name":"Time of Event (Mountain Time)","value":"16:52:25"},{"id":151,"name":"Denver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10"/>
        <v>grep -hSE -A400 "Enforcement Action" "%USERPROFILE%\AppData\Local\Temp\OnboardLogs"\RTDC4005\*4005*201703112*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"%USERPROFILE%\AppData\Local\Temp\OnboardLogs"\RTDC4005\*4005*201703112* &gt;&gt; 2017-03-11-SliceDisagreementCheck.txt</v>
      </c>
      <c r="AE30" s="157" t="str">
        <f t="shared" si="9"/>
        <v>start /low /b %USERPROFILE%\Documents\GitHub\eaglep3\Utilities\DownloadLogsFromS3.py --loco 4005 --day 2017-03-11</v>
      </c>
      <c r="AF30" s="1"/>
    </row>
    <row r="31" spans="1:32" x14ac:dyDescent="0.25">
      <c r="A31" s="32">
        <v>42805.735381944447</v>
      </c>
      <c r="B31" s="30" t="s">
        <v>250</v>
      </c>
      <c r="C31" s="30" t="s">
        <v>606</v>
      </c>
      <c r="D31" s="30" t="s">
        <v>49</v>
      </c>
      <c r="E31" s="30" t="s">
        <v>186</v>
      </c>
      <c r="F31" s="43">
        <v>0</v>
      </c>
      <c r="G31" s="43">
        <v>57</v>
      </c>
      <c r="H31" s="43">
        <v>174</v>
      </c>
      <c r="I31" s="43">
        <v>139</v>
      </c>
      <c r="J31" s="30" t="s">
        <v>187</v>
      </c>
      <c r="K31" s="43">
        <v>1</v>
      </c>
      <c r="L31" s="143" t="s">
        <v>51</v>
      </c>
      <c r="M31" s="144">
        <f t="shared" si="0"/>
        <v>72.864000000000004</v>
      </c>
      <c r="N31" s="145" t="str">
        <f>VLOOKUP(C31,'Trips&amp;Operators'!$C$1:$G$99999,5,FALSE)</f>
        <v>LALONDE GREGORY</v>
      </c>
      <c r="O31" s="194" t="s">
        <v>185</v>
      </c>
      <c r="P31" s="146"/>
      <c r="Q31" s="30"/>
      <c r="R31" s="89" t="e">
        <f>IF(VLOOKUP(C31,'Train Runs'!$A$13:$AE$9946,1,1)=C31,VLOOKUP(C31,'Train Runs'!$A$13:$AE$9946,31,1),NA())</f>
        <v>#N/A</v>
      </c>
      <c r="S31" s="92" t="e">
        <f>IF(VLOOKUP(C31,'Train Runs'!$A$13:$AE$9946,1,1)=C31,VLOOKUP(C31,'Train Runs'!$A$13:$AE$9946,22,1),NA())</f>
        <v>#N/A</v>
      </c>
      <c r="T31" s="94" t="str">
        <f t="shared" si="1"/>
        <v>"C:\Program Files (x86)\AstroGrep\AstroGrep.exe" /e /r /s /spath="%USERPROFILE%\AppData\Local\Temp\OnboardLogs" /stypes="*4013*201703120*" /stext=" 00:.+((SYSTEM_STATE.+slice.+state.+changed )|(ment ac)|(multiple cpu faults)|(system.+state.+changed )|(\[timeout)|(PRM\|1\|D)|(kpr)|(kdp)|(\|lc)|(penalty))"</v>
      </c>
      <c r="U31" s="9" t="str">
        <f t="shared" si="2"/>
        <v>4013</v>
      </c>
      <c r="V31" s="32">
        <f t="shared" si="3"/>
        <v>42806.027048611111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{"issue":{"subject":"","project_id":79,"tracker_id":40,"status_id":1,"priority_id":2,"assigned_to_id":23,"start_date":"2017-03-11","description":"","custom_fields":[{"id":1,"name":"Subdivision","value":"EC"},{"id":4,"name":"Milepost","value":"0.0001"},{"id":17,"name":"Train ID","value":"200-11"},{"id":16,"name":"Locomotive ID","value":"4013"},{"id":130,"name":"Impact","value":""},{"id":150,"name":"Time of Event (Mountain Time)","value":"17:38:57"},{"id":151,"name":"Denver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10"/>
        <v>grep -hSE -A400 "Enforcement Action" "%USERPROFILE%\AppData\Local\Temp\OnboardLogs"\RTDC4013\*4013*201703120*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"%USERPROFILE%\AppData\Local\Temp\OnboardLogs"\RTDC4013\*4013*201703120* &gt;&gt; 2017-03-11-SliceDisagreementCheck.txt</v>
      </c>
      <c r="AE31" s="157" t="str">
        <f t="shared" si="9"/>
        <v>start /low /b %USERPROFILE%\Documents\GitHub\eaglep3\Utilities\DownloadLogsFromS3.py --loco 4013 --day 2017-03-12</v>
      </c>
      <c r="AF31" s="1"/>
    </row>
    <row r="32" spans="1:32" x14ac:dyDescent="0.25">
      <c r="A32" s="32">
        <v>42805.577870370369</v>
      </c>
      <c r="B32" s="30" t="s">
        <v>473</v>
      </c>
      <c r="C32" s="30" t="s">
        <v>596</v>
      </c>
      <c r="D32" s="30" t="s">
        <v>49</v>
      </c>
      <c r="E32" s="30" t="s">
        <v>186</v>
      </c>
      <c r="F32" s="43">
        <v>0</v>
      </c>
      <c r="G32" s="43">
        <v>56</v>
      </c>
      <c r="H32" s="43">
        <v>233285</v>
      </c>
      <c r="I32" s="43">
        <v>233329</v>
      </c>
      <c r="J32" s="30" t="s">
        <v>187</v>
      </c>
      <c r="K32" s="43">
        <v>233491</v>
      </c>
      <c r="L32" s="143" t="s">
        <v>50</v>
      </c>
      <c r="M32" s="144">
        <f t="shared" si="0"/>
        <v>85.536000000000001</v>
      </c>
      <c r="N32" s="145" t="str">
        <f>VLOOKUP(C32,'Trips&amp;Operators'!$C$1:$G$99999,5,FALSE)</f>
        <v>BRUDER RICHARD</v>
      </c>
      <c r="O32" s="194" t="s">
        <v>185</v>
      </c>
      <c r="P32" s="146"/>
      <c r="Q32" s="30"/>
      <c r="R32" s="89" t="str">
        <f>IF(VLOOKUP(C32,'Train Runs'!$A$13:$AE$9946,1,1)=C32,VLOOKUP(C32,'Train Runs'!$A$13:$AE$9946,31,1),NA())</f>
        <v>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 &amp; aws s3 cp s3://rtdc.mdm.uploadarchive.raw/RTDC4040/ "%USERPROFILE%\AppData\Local\Temp\OnboardLogs"\RTDC4040\2017-03-12 --exclude "*" --recursive --include "*20170312*" &amp; "%USERPROFILE%\Documents\GitHub\mrs-test-scripts\Headless Mode &amp; Sideloading\WalkAndUnGZ.bat" "%USERPROFILE%\AppData\Local\Temp\OnboardLogs"\RTDC4040\2017-03-12</v>
      </c>
      <c r="S32" s="92" t="str">
        <f>IF(VLOOKUP(C32,'Train Runs'!$A$13:$AE$9946,1,1)=C32,VLOOKUP(C32,'Train Runs'!$A$13:$AE$9946,22,1),NA())</f>
        <v>https://d0f6bd738d7f1b3e5a7ca70fe4ff75f0.us-east-1.aws.found.io/app/kibana#/discover/Steve-Slow-Train-Analysis-(2080s-and-2083s)?_g=(refreshInterval:(display:Off,pause:!f,section:0,value:0),time:(from:'2017-03-11T12:09:50-0700',mode:absolute,to:'2017-03-11T14:52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2" s="94" t="str">
        <f t="shared" si="1"/>
        <v>"C:\Program Files (x86)\AstroGrep\AstroGrep.exe" /e /r /s /spath="%USERPROFILE%\AppData\Local\Temp\OnboardLogs" /stypes="*4040*201703112*" /stext=" 20:.+((SYSTEM_STATE.+slice.+state.+changed )|(ment ac)|(multiple cpu faults)|(system.+state.+changed )|(\[timeout)|(PRM\|1\|D)|(kpr)|(kdp)|(\|lc)|(penalty))"</v>
      </c>
      <c r="U32" s="9" t="str">
        <f t="shared" si="2"/>
        <v>4040</v>
      </c>
      <c r="V32" s="32">
        <f t="shared" si="3"/>
        <v>42805.869537037033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{"issue":{"subject":"","project_id":79,"tracker_id":40,"status_id":1,"priority_id":2,"assigned_to_id":23,"start_date":"2017-03-11","description":"","custom_fields":[{"id":1,"name":"Subdivision","value":"EC"},{"id":4,"name":"Milepost","value":"23.3491"},{"id":17,"name":"Train ID","value":"177-11"},{"id":16,"name":"Locomotive ID","value":"4040"},{"id":130,"name":"Impact","value":""},{"id":150,"name":"Time of Event (Mountain Time)","value":"13:52:08"},{"id":151,"name":"Denver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10"/>
        <v>grep -hSE -A400 "Enforcement Action" "%USERPROFILE%\AppData\Local\Temp\OnboardLogs"\RTDC4040\*4040*201703112*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"%USERPROFILE%\AppData\Local\Temp\OnboardLogs"\RTDC4040\*4040*201703112* &gt;&gt; 2017-03-11-SliceDisagreementCheck.txt</v>
      </c>
      <c r="AE32" s="157" t="str">
        <f t="shared" si="9"/>
        <v>start /low /b %USERPROFILE%\Documents\GitHub\eaglep3\Utilities\DownloadLogsFromS3.py --loco 4040 --day 2017-03-11</v>
      </c>
      <c r="AF32" s="1"/>
    </row>
    <row r="33" spans="1:32" x14ac:dyDescent="0.25">
      <c r="A33" s="32">
        <v>42805.62972222222</v>
      </c>
      <c r="B33" s="30" t="s">
        <v>417</v>
      </c>
      <c r="C33" s="30" t="s">
        <v>600</v>
      </c>
      <c r="D33" s="30" t="s">
        <v>49</v>
      </c>
      <c r="E33" s="30" t="s">
        <v>186</v>
      </c>
      <c r="F33" s="43">
        <v>0</v>
      </c>
      <c r="G33" s="43">
        <v>142</v>
      </c>
      <c r="H33" s="43">
        <v>232884</v>
      </c>
      <c r="I33" s="43">
        <v>233096</v>
      </c>
      <c r="J33" s="30" t="s">
        <v>187</v>
      </c>
      <c r="K33" s="43">
        <v>233491</v>
      </c>
      <c r="L33" s="143" t="s">
        <v>50</v>
      </c>
      <c r="M33" s="144">
        <f t="shared" si="0"/>
        <v>208.56</v>
      </c>
      <c r="N33" s="145" t="str">
        <f>VLOOKUP(C33,'Trips&amp;Operators'!$C$1:$G$99999,5,FALSE)</f>
        <v>STEWART MICHAEL</v>
      </c>
      <c r="O33" s="194" t="s">
        <v>185</v>
      </c>
      <c r="P33" s="146"/>
      <c r="Q33" s="30"/>
      <c r="R33" s="89" t="e">
        <f>IF(VLOOKUP(C33,'Train Runs'!$A$13:$AE$9946,1,1)=C33,VLOOKUP(C33,'Train Runs'!$A$13:$AE$9946,31,1),NA())</f>
        <v>#N/A</v>
      </c>
      <c r="S33" s="92" t="e">
        <f>IF(VLOOKUP(C33,'Train Runs'!$A$13:$AE$9946,1,1)=C33,VLOOKUP(C33,'Train Runs'!$A$13:$AE$9946,22,1),NA())</f>
        <v>#N/A</v>
      </c>
      <c r="T33" s="94" t="str">
        <f t="shared" si="1"/>
        <v>"C:\Program Files (x86)\AstroGrep\AstroGrep.exe" /e /r /s /spath="%USERPROFILE%\AppData\Local\Temp\OnboardLogs" /stypes="*4009*201703112*" /stext=" 22:.+((SYSTEM_STATE.+slice.+state.+changed )|(ment ac)|(multiple cpu faults)|(system.+state.+changed )|(\[timeout)|(PRM\|1\|D)|(kpr)|(kdp)|(\|lc)|(penalty))"</v>
      </c>
      <c r="U33" s="9" t="str">
        <f t="shared" si="2"/>
        <v>4009</v>
      </c>
      <c r="V33" s="32">
        <f t="shared" si="3"/>
        <v>42805.921388888884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{"issue":{"subject":"","project_id":79,"tracker_id":40,"status_id":1,"priority_id":2,"assigned_to_id":23,"start_date":"2017-03-11","description":"","custom_fields":[{"id":1,"name":"Subdivision","value":"EC"},{"id":4,"name":"Milepost","value":"23.3491"},{"id":17,"name":"Train ID","value":"187-11"},{"id":16,"name":"Locomotive ID","value":"4009"},{"id":130,"name":"Impact","value":""},{"id":150,"name":"Time of Event (Mountain Time)","value":"15:06:48"},{"id":151,"name":"Denver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10"/>
        <v>grep -hSE -A400 "Enforcement Action" "%USERPROFILE%\AppData\Local\Temp\OnboardLogs"\RTDC4009\*4009*201703112*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"%USERPROFILE%\AppData\Local\Temp\OnboardLogs"\RTDC4009\*4009*201703112* &gt;&gt; 2017-03-11-SliceDisagreementCheck.txt</v>
      </c>
      <c r="AE33" s="157" t="str">
        <f t="shared" si="9"/>
        <v>start /low /b %USERPROFILE%\Documents\GitHub\eaglep3\Utilities\DownloadLogsFromS3.py --loco 4009 --day 2017-03-11</v>
      </c>
      <c r="AF33" s="1"/>
    </row>
    <row r="34" spans="1:32" x14ac:dyDescent="0.25">
      <c r="A34" s="32">
        <v>42805.660601851851</v>
      </c>
      <c r="B34" s="30" t="s">
        <v>594</v>
      </c>
      <c r="C34" s="30" t="s">
        <v>601</v>
      </c>
      <c r="D34" s="30" t="s">
        <v>49</v>
      </c>
      <c r="E34" s="30" t="s">
        <v>186</v>
      </c>
      <c r="F34" s="43">
        <v>0</v>
      </c>
      <c r="G34" s="43">
        <v>49</v>
      </c>
      <c r="H34" s="43">
        <v>233323</v>
      </c>
      <c r="I34" s="43">
        <v>233347</v>
      </c>
      <c r="J34" s="30" t="s">
        <v>187</v>
      </c>
      <c r="K34" s="43">
        <v>233491</v>
      </c>
      <c r="L34" s="143" t="s">
        <v>50</v>
      </c>
      <c r="M34" s="144">
        <f t="shared" si="0"/>
        <v>76.031999999999996</v>
      </c>
      <c r="N34" s="145" t="str">
        <f>VLOOKUP(C34,'Trips&amp;Operators'!$C$1:$G$99999,5,FALSE)</f>
        <v>HOLCOMB KAMDEN</v>
      </c>
      <c r="O34" s="194" t="s">
        <v>185</v>
      </c>
      <c r="P34" s="146"/>
      <c r="Q34" s="30"/>
      <c r="R34" s="89" t="e">
        <f>IF(VLOOKUP(C34,'Train Runs'!$A$13:$AE$9946,1,1)=C34,VLOOKUP(C34,'Train Runs'!$A$13:$AE$9946,31,1),NA())</f>
        <v>#N/A</v>
      </c>
      <c r="S34" s="92" t="e">
        <f>IF(VLOOKUP(C34,'Train Runs'!$A$13:$AE$9946,1,1)=C34,VLOOKUP(C34,'Train Runs'!$A$13:$AE$9946,22,1),NA())</f>
        <v>#N/A</v>
      </c>
      <c r="T34" s="94" t="str">
        <f t="shared" si="1"/>
        <v>"C:\Program Files (x86)\AstroGrep\AstroGrep.exe" /e /r /s /spath="%USERPROFILE%\AppData\Local\Temp\OnboardLogs" /stypes="*4006*201703112*" /stext=" 22:.+((SYSTEM_STATE.+slice.+state.+changed )|(ment ac)|(multiple cpu faults)|(system.+state.+changed )|(\[timeout)|(PRM\|1\|D)|(kpr)|(kdp)|(\|lc)|(penalty))"</v>
      </c>
      <c r="U34" s="9" t="str">
        <f t="shared" si="2"/>
        <v>4006</v>
      </c>
      <c r="V34" s="32">
        <f t="shared" si="3"/>
        <v>42805.952268518515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{"issue":{"subject":"","project_id":79,"tracker_id":40,"status_id":1,"priority_id":2,"assigned_to_id":23,"start_date":"2017-03-11","description":"","custom_fields":[{"id":1,"name":"Subdivision","value":"EC"},{"id":4,"name":"Milepost","value":"23.3491"},{"id":17,"name":"Train ID","value":"193-11"},{"id":16,"name":"Locomotive ID","value":"4006"},{"id":130,"name":"Impact","value":""},{"id":150,"name":"Time of Event (Mountain Time)","value":"15:51:16"},{"id":151,"name":"Denver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10"/>
        <v>grep -hSE -A400 "Enforcement Action" "%USERPROFILE%\AppData\Local\Temp\OnboardLogs"\RTDC4006\*4006*201703112*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"%USERPROFILE%\AppData\Local\Temp\OnboardLogs"\RTDC4006\*4006*201703112* &gt;&gt; 2017-03-11-SliceDisagreementCheck.txt</v>
      </c>
      <c r="AE34" s="157" t="str">
        <f t="shared" si="9"/>
        <v>start /low /b %USERPROFILE%\Documents\GitHub\eaglep3\Utilities\DownloadLogsFromS3.py --loco 4006 --day 2017-03-11</v>
      </c>
      <c r="AF34" s="1"/>
    </row>
    <row r="35" spans="1:32" x14ac:dyDescent="0.25">
      <c r="A35" s="32">
        <v>42806.025902777779</v>
      </c>
      <c r="B35" s="30" t="s">
        <v>211</v>
      </c>
      <c r="C35" s="30" t="s">
        <v>612</v>
      </c>
      <c r="D35" s="30" t="s">
        <v>49</v>
      </c>
      <c r="E35" s="30" t="s">
        <v>186</v>
      </c>
      <c r="F35" s="43">
        <v>0</v>
      </c>
      <c r="G35" s="43">
        <v>114</v>
      </c>
      <c r="H35" s="43">
        <v>233030</v>
      </c>
      <c r="I35" s="43">
        <v>233193</v>
      </c>
      <c r="J35" s="30" t="s">
        <v>187</v>
      </c>
      <c r="K35" s="43">
        <v>233491</v>
      </c>
      <c r="L35" s="143" t="s">
        <v>50</v>
      </c>
      <c r="M35" s="144">
        <f t="shared" si="0"/>
        <v>157.34399999999999</v>
      </c>
      <c r="N35" s="145" t="str">
        <f>VLOOKUP(C35,'Trips&amp;Operators'!$C$1:$G$99999,5,FALSE)</f>
        <v>PERKINS DARREN</v>
      </c>
      <c r="O35" s="194" t="s">
        <v>185</v>
      </c>
      <c r="P35" s="146"/>
      <c r="Q35" s="30"/>
      <c r="R35" s="89" t="e">
        <f>IF(VLOOKUP(C35,'Train Runs'!$A$13:$AE$9946,1,1)=C35,VLOOKUP(C35,'Train Runs'!$A$13:$AE$9946,31,1),NA())</f>
        <v>#N/A</v>
      </c>
      <c r="S35" s="92" t="e">
        <f>IF(VLOOKUP(C35,'Train Runs'!$A$13:$AE$9946,1,1)=C35,VLOOKUP(C35,'Train Runs'!$A$13:$AE$9946,22,1),NA())</f>
        <v>#N/A</v>
      </c>
      <c r="T35" s="94" t="str">
        <f t="shared" si="1"/>
        <v>"C:\Program Files (x86)\AstroGrep\AstroGrep.exe" /e /r /s /spath="%USERPROFILE%\AppData\Local\Temp\OnboardLogs" /stypes="*4046*201703120*" /stext=" 07:.+((SYSTEM_STATE.+slice.+state.+changed )|(ment ac)|(multiple cpu faults)|(system.+state.+changed )|(\[timeout)|(PRM\|1\|D)|(kpr)|(kdp)|(\|lc)|(penalty))"</v>
      </c>
      <c r="U35" s="9" t="str">
        <f t="shared" si="2"/>
        <v>4046</v>
      </c>
      <c r="V35" s="32">
        <f t="shared" si="3"/>
        <v>42806.317569444444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{"issue":{"subject":"","project_id":79,"tracker_id":40,"status_id":1,"priority_id":2,"assigned_to_id":23,"start_date":"2017-03-12","description":"","custom_fields":[{"id":1,"name":"Subdivision","value":"EC"},{"id":4,"name":"Milepost","value":"23.3491"},{"id":17,"name":"Train ID","value":"241-11"},{"id":16,"name":"Locomotive ID","value":"4046"},{"id":130,"name":"Impact","value":""},{"id":150,"name":"Time of Event (Mountain Time)","value":"00:37:18"},{"id":151,"name":"Denver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10"/>
        <v>grep -hSE -A400 "Enforcement Action" "%USERPROFILE%\AppData\Local\Temp\OnboardLogs"\RTDC4046\*4046*201703120*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"%USERPROFILE%\AppData\Local\Temp\OnboardLogs"\RTDC4046\*4046*201703120* &gt;&gt; 2017-03-11-SliceDisagreementCheck.txt</v>
      </c>
      <c r="AE35" s="157" t="str">
        <f t="shared" si="9"/>
        <v>start /low /b %USERPROFILE%\Documents\GitHub\eaglep3\Utilities\DownloadLogsFromS3.py --loco 4046 --day 2017-03-12</v>
      </c>
      <c r="AF35" s="1"/>
    </row>
    <row r="36" spans="1:32" x14ac:dyDescent="0.25">
      <c r="A36" s="32">
        <v>42805.663078703707</v>
      </c>
      <c r="B36" s="30" t="s">
        <v>468</v>
      </c>
      <c r="C36" s="30" t="s">
        <v>602</v>
      </c>
      <c r="D36" s="30" t="s">
        <v>49</v>
      </c>
      <c r="E36" s="30" t="s">
        <v>186</v>
      </c>
      <c r="F36" s="43">
        <v>0</v>
      </c>
      <c r="G36" s="43">
        <v>47</v>
      </c>
      <c r="H36" s="43">
        <v>710</v>
      </c>
      <c r="I36" s="43">
        <v>678</v>
      </c>
      <c r="J36" s="30" t="s">
        <v>187</v>
      </c>
      <c r="K36" s="43">
        <v>575</v>
      </c>
      <c r="L36" s="143" t="s">
        <v>51</v>
      </c>
      <c r="M36" s="144">
        <f t="shared" si="0"/>
        <v>54.384</v>
      </c>
      <c r="N36" s="145" t="str">
        <f>VLOOKUP(C36,'Trips&amp;Operators'!$C$1:$G$99999,5,FALSE)</f>
        <v>MCREYNOLDS KYLE</v>
      </c>
      <c r="O36" s="194" t="s">
        <v>185</v>
      </c>
      <c r="P36" s="146"/>
      <c r="Q36" s="30"/>
      <c r="R36" s="89" t="str">
        <f>IF(VLOOKUP(C36,'Train Runs'!$A$13:$AE$9946,1,1)=C36,VLOOKUP(C36,'Train Runs'!$A$13:$AE$9946,31,1),NA())</f>
        <v>aws s3 cp s3://rtdc.mdm.uploadarchive.raw/RTDC4023/ "%USERPROFILE%\AppData\Local\Temp\OnboardLogs"\RTDC4023\2017-03-11 --exclude "*" --recursive --include "*20170311*" &amp; "%USERPROFILE%\Documents\GitHub\mrs-test-scripts\Headless Mode &amp; Sideloading\WalkAndUnGZ.bat" "%USERPROFILE%\AppData\Local\Temp\OnboardLogs"\RTDC4023\2017-03-11 &amp; aws s3 cp s3://rtdc.mdm.uploadarchive.raw/RTDC4023/ "%USERPROFILE%\AppData\Local\Temp\OnboardLogs"\RTDC4023\2017-03-12 --exclude "*" --recursive --include "*20170312*" &amp; "%USERPROFILE%\Documents\GitHub\mrs-test-scripts\Headless Mode &amp; Sideloading\WalkAndUnGZ.bat" "%USERPROFILE%\AppData\Local\Temp\OnboardLogs"\RTDC4023\2017-03-12</v>
      </c>
      <c r="S36" s="92" t="str">
        <f>IF(VLOOKUP(C36,'Train Runs'!$A$13:$AE$9946,1,1)=C36,VLOOKUP(C36,'Train Runs'!$A$13:$AE$9946,22,1),NA())</f>
        <v>https://d0f6bd738d7f1b3e5a7ca70fe4ff75f0.us-east-1.aws.found.io/app/kibana#/discover/Steve-Slow-Train-Analysis-(2080s-and-2083s)?_g=(refreshInterval:(display:Off,pause:!f,section:0,value:0),time:(from:'2017-03-11T14:36:46-0700',mode:absolute,to:'2017-03-11T16:56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6" s="94" t="str">
        <f t="shared" si="1"/>
        <v>"C:\Program Files (x86)\AstroGrep\AstroGrep.exe" /e /r /s /spath="%USERPROFILE%\AppData\Local\Temp\OnboardLogs" /stypes="*4023*201703112*" /stext=" 22:.+((SYSTEM_STATE.+slice.+state.+changed )|(ment ac)|(multiple cpu faults)|(system.+state.+changed )|(\[timeout)|(PRM\|1\|D)|(kpr)|(kdp)|(\|lc)|(penalty))"</v>
      </c>
      <c r="U36" s="9" t="str">
        <f t="shared" si="2"/>
        <v>4023</v>
      </c>
      <c r="V36" s="32">
        <f t="shared" si="3"/>
        <v>42805.954745370371</v>
      </c>
      <c r="W36" s="46" t="str">
        <f t="shared" si="4"/>
        <v>NW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{"issue":{"subject":"","project_id":79,"tracker_id":40,"status_id":1,"priority_id":2,"assigned_to_id":23,"start_date":"2017-03-11","description":"","custom_fields":[{"id":1,"name":"Subdivision","value":"NW"},{"id":4,"name":"Milepost","value":"0.0575"},{"id":17,"name":"Train ID","value":"1820-11"},{"id":16,"name":"Locomotive ID","value":"4023"},{"id":130,"name":"Impact","value":""},{"id":150,"name":"Time of Event (Mountain Time)","value":"15:54:50"},{"id":151,"name":"Denver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10"/>
        <v>grep -hSE -A400 "Enforcement Action" "%USERPROFILE%\AppData\Local\Temp\OnboardLogs"\RTDC4023\*4023*201703112*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"%USERPROFILE%\AppData\Local\Temp\OnboardLogs"\RTDC4023\*4023*201703112* &gt;&gt; 2017-03-11-SliceDisagreementCheck.txt</v>
      </c>
      <c r="AE36" s="157" t="str">
        <f t="shared" si="9"/>
        <v>start /low /b %USERPROFILE%\Documents\GitHub\eaglep3\Utilities\DownloadLogsFromS3.py --loco 4023 --day 2017-03-11</v>
      </c>
      <c r="AF36" s="1"/>
    </row>
    <row r="37" spans="1:32" x14ac:dyDescent="0.25">
      <c r="A37" s="32">
        <v>42805.704710648148</v>
      </c>
      <c r="B37" s="30" t="s">
        <v>468</v>
      </c>
      <c r="C37" s="30" t="s">
        <v>605</v>
      </c>
      <c r="D37" s="30" t="s">
        <v>49</v>
      </c>
      <c r="E37" s="30" t="s">
        <v>186</v>
      </c>
      <c r="F37" s="43">
        <v>0</v>
      </c>
      <c r="G37" s="43">
        <v>108</v>
      </c>
      <c r="H37" s="43">
        <v>990</v>
      </c>
      <c r="I37" s="43">
        <v>892</v>
      </c>
      <c r="J37" s="30" t="s">
        <v>187</v>
      </c>
      <c r="K37" s="43">
        <v>575</v>
      </c>
      <c r="L37" s="143" t="s">
        <v>51</v>
      </c>
      <c r="M37" s="144">
        <f t="shared" si="0"/>
        <v>167.376</v>
      </c>
      <c r="N37" s="145" t="str">
        <f>VLOOKUP(C37,'Trips&amp;Operators'!$C$1:$G$99999,5,FALSE)</f>
        <v>MCREYNOLDS KYLE</v>
      </c>
      <c r="O37" s="194" t="s">
        <v>185</v>
      </c>
      <c r="P37" s="146"/>
      <c r="Q37" s="30"/>
      <c r="R37" s="89" t="str">
        <f>IF(VLOOKUP(C37,'Train Runs'!$A$13:$AE$9946,1,1)=C37,VLOOKUP(C37,'Train Runs'!$A$13:$AE$9946,31,1),NA())</f>
        <v>aws s3 cp s3://rtdc.mdm.uploadarchive.raw/RTDC4023/ "%USERPROFILE%\AppData\Local\Temp\OnboardLogs"\RTDC4023\2017-03-11 --exclude "*" --recursive --include "*20170311*" &amp; "%USERPROFILE%\Documents\GitHub\mrs-test-scripts\Headless Mode &amp; Sideloading\WalkAndUnGZ.bat" "%USERPROFILE%\AppData\Local\Temp\OnboardLogs"\RTDC4023\2017-03-11 &amp; aws s3 cp s3://rtdc.mdm.uploadarchive.raw/RTDC4023/ "%USERPROFILE%\AppData\Local\Temp\OnboardLogs"\RTDC4023\2017-03-12 --exclude "*" --recursive --include "*20170312*" &amp; "%USERPROFILE%\Documents\GitHub\mrs-test-scripts\Headless Mode &amp; Sideloading\WalkAndUnGZ.bat" "%USERPROFILE%\AppData\Local\Temp\OnboardLogs"\RTDC4023\2017-03-12</v>
      </c>
      <c r="S37" s="92" t="str">
        <f>IF(VLOOKUP(C37,'Train Runs'!$A$13:$AE$9946,1,1)=C37,VLOOKUP(C37,'Train Runs'!$A$13:$AE$9946,22,1),NA())</f>
        <v>https://d0f6bd738d7f1b3e5a7ca70fe4ff75f0.us-east-1.aws.found.io/app/kibana#/discover/Steve-Slow-Train-Analysis-(2080s-and-2083s)?_g=(refreshInterval:(display:Off,pause:!f,section:0,value:0),time:(from:'2017-03-11T15:37:05-0700',mode:absolute,to:'2017-03-11T17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7" s="94" t="str">
        <f t="shared" si="1"/>
        <v>"C:\Program Files (x86)\AstroGrep\AstroGrep.exe" /e /r /s /spath="%USERPROFILE%\AppData\Local\Temp\OnboardLogs" /stypes="*4023*201703112*" /stext=" 23:.+((SYSTEM_STATE.+slice.+state.+changed )|(ment ac)|(multiple cpu faults)|(system.+state.+changed )|(\[timeout)|(PRM\|1\|D)|(kpr)|(kdp)|(\|lc)|(penalty))"</v>
      </c>
      <c r="U37" s="9" t="str">
        <f t="shared" si="2"/>
        <v>4023</v>
      </c>
      <c r="V37" s="32">
        <f t="shared" si="3"/>
        <v>42805.996377314812</v>
      </c>
      <c r="W37" s="46" t="str">
        <f t="shared" si="4"/>
        <v>NW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{"issue":{"subject":"","project_id":79,"tracker_id":40,"status_id":1,"priority_id":2,"assigned_to_id":23,"start_date":"2017-03-11","description":"","custom_fields":[{"id":1,"name":"Subdivision","value":"NW"},{"id":4,"name":"Milepost","value":"0.0575"},{"id":17,"name":"Train ID","value":"1822-11"},{"id":16,"name":"Locomotive ID","value":"4023"},{"id":130,"name":"Impact","value":""},{"id":150,"name":"Time of Event (Mountain Time)","value":"16:54:47"},{"id":151,"name":"Denver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10"/>
        <v>grep -hSE -A400 "Enforcement Action" "%USERPROFILE%\AppData\Local\Temp\OnboardLogs"\RTDC4023\*4023*201703112*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"%USERPROFILE%\AppData\Local\Temp\OnboardLogs"\RTDC4023\*4023*201703112* &gt;&gt; 2017-03-11-SliceDisagreementCheck.txt</v>
      </c>
      <c r="AE37" s="157" t="str">
        <f t="shared" si="9"/>
        <v>start /low /b %USERPROFILE%\Documents\GitHub\eaglep3\Utilities\DownloadLogsFromS3.py --loco 4023 --day 2017-03-11</v>
      </c>
      <c r="AF37" s="1"/>
    </row>
    <row r="38" spans="1:32" x14ac:dyDescent="0.25">
      <c r="A38" s="32">
        <v>42805.889178240737</v>
      </c>
      <c r="B38" s="30" t="s">
        <v>469</v>
      </c>
      <c r="C38" s="30" t="s">
        <v>611</v>
      </c>
      <c r="D38" s="30" t="s">
        <v>49</v>
      </c>
      <c r="E38" s="30" t="s">
        <v>195</v>
      </c>
      <c r="F38" s="43">
        <v>360</v>
      </c>
      <c r="G38" s="43">
        <v>411</v>
      </c>
      <c r="H38" s="43">
        <v>32606</v>
      </c>
      <c r="I38" s="43">
        <v>33535</v>
      </c>
      <c r="J38" s="30" t="s">
        <v>196</v>
      </c>
      <c r="K38" s="43">
        <v>33137</v>
      </c>
      <c r="L38" s="143" t="s">
        <v>50</v>
      </c>
      <c r="M38" s="144">
        <f t="shared" si="0"/>
        <v>-210.14400000000001</v>
      </c>
      <c r="N38" s="145" t="str">
        <f>VLOOKUP(C38,'Trips&amp;Operators'!$C$1:$G$99999,5,FALSE)</f>
        <v>MAGEE KENYA</v>
      </c>
      <c r="O38" s="194" t="s">
        <v>185</v>
      </c>
      <c r="P38" s="146"/>
      <c r="Q38" s="30"/>
      <c r="R38" s="89" t="str">
        <f>IF(VLOOKUP(C38,'Train Runs'!$A$13:$AE$9946,1,1)=C38,VLOOKUP(C38,'Train Runs'!$A$13:$AE$9946,31,1),NA())</f>
        <v>aws s3 cp s3://rtdc.mdm.uploadarchive.raw/RTDC4063/ "%USERPROFILE%\AppData\Local\Temp\OnboardLogs"\RTDC4063\2017-03-12 --exclude "*" --recursive --include "*20170312*" &amp; "%USERPROFILE%\Documents\GitHub\mrs-test-scripts\Headless Mode &amp; Sideloading\WalkAndUnGZ.bat" "%USERPROFILE%\AppData\Local\Temp\OnboardLogs"\RTDC4063\2017-03-12 &amp; aws s3 cp s3://rtdc.mdm.uploadarchive.raw/RTDC4063/ "%USERPROFILE%\AppData\Local\Temp\OnboardLogs"\RTDC4063\2017-03-13 --exclude "*" --recursive --include "*20170313*" &amp; "%USERPROFILE%\Documents\GitHub\mrs-test-scripts\Headless Mode &amp; Sideloading\WalkAndUnGZ.bat" "%USERPROFILE%\AppData\Local\Temp\OnboardLogs"\RTDC4063\2017-03-13</v>
      </c>
      <c r="S38" s="92" t="str">
        <f>IF(VLOOKUP(C38,'Train Runs'!$A$13:$AE$9946,1,1)=C38,VLOOKUP(C38,'Train Runs'!$A$13:$AE$9946,22,1),NA())</f>
        <v>https://d0f6bd738d7f1b3e5a7ca70fe4ff75f0.us-east-1.aws.found.io/app/kibana#/discover/Steve-Slow-Train-Analysis-(2080s-and-2083s)?_g=(refreshInterval:(display:Off,pause:!f,section:0,value:0),time:(from:'2017-03-12T00:07:23-0700',mode:absolute,to:'2017-03-12T02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8" s="94" t="str">
        <f t="shared" si="1"/>
        <v>"C:\Program Files (x86)\AstroGrep\AstroGrep.exe" /e /r /s /spath="%USERPROFILE%\AppData\Local\Temp\OnboardLogs" /stypes="*4063*201703120*" /stext=" 04:.+((SYSTEM_STATE.+slice.+state.+changed )|(ment ac)|(multiple cpu faults)|(system.+state.+changed )|(\[timeout)|(PRM\|1\|D)|(kpr)|(kdp)|(\|lc)|(penalty))"</v>
      </c>
      <c r="U38" s="9" t="str">
        <f t="shared" si="2"/>
        <v>4063</v>
      </c>
      <c r="V38" s="32">
        <f t="shared" si="3"/>
        <v>42806.180844907401</v>
      </c>
      <c r="W38" s="46" t="str">
        <f t="shared" si="4"/>
        <v>Other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{"issue":{"subject":"","project_id":79,"tracker_id":40,"status_id":1,"priority_id":2,"assigned_to_id":23,"start_date":"2017-03-11","description":"","custom_fields":[{"id":1,"name":"Subdivision","value":"Other"},{"id":4,"name":"Milepost","value":"3.3137"},{"id":17,"name":"Train ID","value":"81-11"},{"id":16,"name":"Locomotive ID","value":"4063"},{"id":130,"name":"Impact","value":""},{"id":150,"name":"Time of Event (Mountain Time)","value":"21:20:25"},{"id":151,"name":"Denver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10"/>
        <v>grep -hSE -A400 "Enforcement Action" "%USERPROFILE%\AppData\Local\Temp\OnboardLogs"\RTDC4063\*4063*201703120*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"%USERPROFILE%\AppData\Local\Temp\OnboardLogs"\RTDC4063\*4063*201703120* &gt;&gt; 2017-03-11-SliceDisagreementCheck.txt</v>
      </c>
      <c r="AE38" s="157" t="str">
        <f t="shared" si="9"/>
        <v>start /low /b %USERPROFILE%\Documents\GitHub\eaglep3\Utilities\DownloadLogsFromS3.py --loco 4063 --day 2017-03-12</v>
      </c>
      <c r="AF38" s="1"/>
    </row>
    <row r="39" spans="1:32" x14ac:dyDescent="0.25">
      <c r="A39" s="32">
        <v>42805.974178240744</v>
      </c>
      <c r="B39" s="30" t="s">
        <v>469</v>
      </c>
      <c r="C39" s="30" t="s">
        <v>611</v>
      </c>
      <c r="D39" s="30" t="s">
        <v>49</v>
      </c>
      <c r="E39" s="30" t="s">
        <v>195</v>
      </c>
      <c r="F39" s="43">
        <v>0</v>
      </c>
      <c r="G39" s="43">
        <v>536</v>
      </c>
      <c r="H39" s="43">
        <v>56886</v>
      </c>
      <c r="I39" s="43">
        <v>58657</v>
      </c>
      <c r="J39" s="30" t="s">
        <v>196</v>
      </c>
      <c r="K39" s="43">
        <v>58118</v>
      </c>
      <c r="L39" s="143" t="s">
        <v>50</v>
      </c>
      <c r="M39" s="144">
        <f t="shared" si="0"/>
        <v>-284.59199999999998</v>
      </c>
      <c r="N39" s="145" t="str">
        <f>VLOOKUP(C39,'Trips&amp;Operators'!$C$1:$G$99999,5,FALSE)</f>
        <v>MAGEE KENYA</v>
      </c>
      <c r="O39" s="194" t="s">
        <v>185</v>
      </c>
      <c r="P39" s="146"/>
      <c r="Q39" s="30"/>
      <c r="R39" s="89" t="str">
        <f>IF(VLOOKUP(C39,'Train Runs'!$A$13:$AE$9946,1,1)=C39,VLOOKUP(C39,'Train Runs'!$A$13:$AE$9946,31,1),NA())</f>
        <v>aws s3 cp s3://rtdc.mdm.uploadarchive.raw/RTDC4063/ "%USERPROFILE%\AppData\Local\Temp\OnboardLogs"\RTDC4063\2017-03-12 --exclude "*" --recursive --include "*20170312*" &amp; "%USERPROFILE%\Documents\GitHub\mrs-test-scripts\Headless Mode &amp; Sideloading\WalkAndUnGZ.bat" "%USERPROFILE%\AppData\Local\Temp\OnboardLogs"\RTDC4063\2017-03-12 &amp; aws s3 cp s3://rtdc.mdm.uploadarchive.raw/RTDC4063/ "%USERPROFILE%\AppData\Local\Temp\OnboardLogs"\RTDC4063\2017-03-13 --exclude "*" --recursive --include "*20170313*" &amp; "%USERPROFILE%\Documents\GitHub\mrs-test-scripts\Headless Mode &amp; Sideloading\WalkAndUnGZ.bat" "%USERPROFILE%\AppData\Local\Temp\OnboardLogs"\RTDC4063\2017-03-13</v>
      </c>
      <c r="S39" s="92" t="str">
        <f>IF(VLOOKUP(C39,'Train Runs'!$A$13:$AE$9946,1,1)=C39,VLOOKUP(C39,'Train Runs'!$A$13:$AE$9946,22,1),NA())</f>
        <v>https://d0f6bd738d7f1b3e5a7ca70fe4ff75f0.us-east-1.aws.found.io/app/kibana#/discover/Steve-Slow-Train-Analysis-(2080s-and-2083s)?_g=(refreshInterval:(display:Off,pause:!f,section:0,value:0),time:(from:'2017-03-12T00:07:23-0700',mode:absolute,to:'2017-03-12T02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9" s="94" t="str">
        <f t="shared" si="1"/>
        <v>"C:\Program Files (x86)\AstroGrep\AstroGrep.exe" /e /r /s /spath="%USERPROFILE%\AppData\Local\Temp\OnboardLogs" /stypes="*4063*201703120*" /stext=" 06:.+((SYSTEM_STATE.+slice.+state.+changed )|(ment ac)|(multiple cpu faults)|(system.+state.+changed )|(\[timeout)|(PRM\|1\|D)|(kpr)|(kdp)|(\|lc)|(penalty))"</v>
      </c>
      <c r="U39" s="9" t="str">
        <f t="shared" si="2"/>
        <v>4063</v>
      </c>
      <c r="V39" s="32">
        <f t="shared" si="3"/>
        <v>42806.265844907408</v>
      </c>
      <c r="W39" s="46" t="str">
        <f t="shared" si="4"/>
        <v>Other</v>
      </c>
      <c r="X39" s="46" t="str">
        <f t="shared" si="5"/>
        <v>KEEP</v>
      </c>
      <c r="Y39" s="108" t="str">
        <f t="shared" si="6"/>
        <v>echo {"issue":{"subject":"","project_id":79,"tracker_id":40,"status_id":1,"priority_id":2,"assigned_to_id":23,"start_date":"2017-03-11","description":"","custom_fields":[{"id":1,"name":"Subdivision","value":"Other"},{"id":4,"name":"Milepost","value":"5.8118"},{"id":17,"name":"Train ID","value":"81-11"},{"id":16,"name":"Locomotive ID","value":"4063"},{"id":130,"name":"Impact","value":""},{"id":150,"name":"Time of Event (Mountain Time)","value":"23:22:49"},{"id":151,"name":"Denver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10"/>
        <v>grep -hSE -A400 "Enforcement Action" "%USERPROFILE%\AppData\Local\Temp\OnboardLogs"\RTDC4063\*4063*201703120*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"%USERPROFILE%\AppData\Local\Temp\OnboardLogs"\RTDC4063\*4063*201703120* &gt;&gt; 2017-03-11-SliceDisagreementCheck.txt</v>
      </c>
      <c r="AE39" s="157" t="str">
        <f t="shared" si="9"/>
        <v>start /low /b %USERPROFILE%\Documents\GitHub\eaglep3\Utilities\DownloadLogsFromS3.py --loco 4063 --day 2017-03-12</v>
      </c>
      <c r="AF39" s="1"/>
    </row>
    <row r="40" spans="1:32" x14ac:dyDescent="0.25">
      <c r="A40" s="32">
        <v>42805.97457175926</v>
      </c>
      <c r="B40" s="30" t="s">
        <v>469</v>
      </c>
      <c r="C40" s="30" t="s">
        <v>611</v>
      </c>
      <c r="D40" s="30" t="s">
        <v>49</v>
      </c>
      <c r="E40" s="30" t="s">
        <v>195</v>
      </c>
      <c r="F40" s="43">
        <v>0</v>
      </c>
      <c r="G40" s="43">
        <v>54</v>
      </c>
      <c r="H40" s="43">
        <v>58705</v>
      </c>
      <c r="I40" s="43">
        <v>58821</v>
      </c>
      <c r="J40" s="30" t="s">
        <v>196</v>
      </c>
      <c r="K40" s="43">
        <v>58783</v>
      </c>
      <c r="L40" s="143" t="s">
        <v>50</v>
      </c>
      <c r="M40" s="144">
        <f t="shared" si="0"/>
        <v>-20.064</v>
      </c>
      <c r="N40" s="145" t="str">
        <f>VLOOKUP(C40,'Trips&amp;Operators'!$C$1:$G$99999,5,FALSE)</f>
        <v>MAGEE KENYA</v>
      </c>
      <c r="O40" s="194" t="s">
        <v>185</v>
      </c>
      <c r="P40" s="146"/>
      <c r="Q40" s="30"/>
      <c r="R40" s="89" t="str">
        <f>IF(VLOOKUP(C40,'Train Runs'!$A$13:$AE$9946,1,1)=C40,VLOOKUP(C40,'Train Runs'!$A$13:$AE$9946,31,1),NA())</f>
        <v>aws s3 cp s3://rtdc.mdm.uploadarchive.raw/RTDC4063/ "%USERPROFILE%\AppData\Local\Temp\OnboardLogs"\RTDC4063\2017-03-12 --exclude "*" --recursive --include "*20170312*" &amp; "%USERPROFILE%\Documents\GitHub\mrs-test-scripts\Headless Mode &amp; Sideloading\WalkAndUnGZ.bat" "%USERPROFILE%\AppData\Local\Temp\OnboardLogs"\RTDC4063\2017-03-12 &amp; aws s3 cp s3://rtdc.mdm.uploadarchive.raw/RTDC4063/ "%USERPROFILE%\AppData\Local\Temp\OnboardLogs"\RTDC4063\2017-03-13 --exclude "*" --recursive --include "*20170313*" &amp; "%USERPROFILE%\Documents\GitHub\mrs-test-scripts\Headless Mode &amp; Sideloading\WalkAndUnGZ.bat" "%USERPROFILE%\AppData\Local\Temp\OnboardLogs"\RTDC4063\2017-03-13</v>
      </c>
      <c r="S40" s="92" t="str">
        <f>IF(VLOOKUP(C40,'Train Runs'!$A$13:$AE$9946,1,1)=C40,VLOOKUP(C40,'Train Runs'!$A$13:$AE$9946,22,1),NA())</f>
        <v>https://d0f6bd738d7f1b3e5a7ca70fe4ff75f0.us-east-1.aws.found.io/app/kibana#/discover/Steve-Slow-Train-Analysis-(2080s-and-2083s)?_g=(refreshInterval:(display:Off,pause:!f,section:0,value:0),time:(from:'2017-03-12T00:07:23-0700',mode:absolute,to:'2017-03-12T02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40" s="94" t="str">
        <f t="shared" si="1"/>
        <v>"C:\Program Files (x86)\AstroGrep\AstroGrep.exe" /e /r /s /spath="%USERPROFILE%\AppData\Local\Temp\OnboardLogs" /stypes="*4063*201703120*" /stext=" 06:.+((SYSTEM_STATE.+slice.+state.+changed )|(ment ac)|(multiple cpu faults)|(system.+state.+changed )|(\[timeout)|(PRM\|1\|D)|(kpr)|(kdp)|(\|lc)|(penalty))"</v>
      </c>
      <c r="U40" s="9" t="str">
        <f t="shared" si="2"/>
        <v>4063</v>
      </c>
      <c r="V40" s="32">
        <f t="shared" si="3"/>
        <v>42806.266238425924</v>
      </c>
      <c r="W40" s="46" t="str">
        <f t="shared" si="4"/>
        <v>Other</v>
      </c>
      <c r="X40" s="46" t="str">
        <f t="shared" si="5"/>
        <v>KEEP</v>
      </c>
      <c r="Y40" s="108" t="str">
        <f t="shared" si="6"/>
        <v>echo {"issue":{"subject":"","project_id":79,"tracker_id":40,"status_id":1,"priority_id":2,"assigned_to_id":23,"start_date":"2017-03-11","description":"","custom_fields":[{"id":1,"name":"Subdivision","value":"Other"},{"id":4,"name":"Milepost","value":"5.8783"},{"id":17,"name":"Train ID","value":"81-11"},{"id":16,"name":"Locomotive ID","value":"4063"},{"id":130,"name":"Impact","value":""},{"id":150,"name":"Time of Event (Mountain Time)","value":"23:23:23"},{"id":151,"name":"Denver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10"/>
        <v>grep -hSE -A400 "Enforcement Action" "%USERPROFILE%\AppData\Local\Temp\OnboardLogs"\RTDC4063\*4063*201703120*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"%USERPROFILE%\AppData\Local\Temp\OnboardLogs"\RTDC4063\*4063*201703120* &gt;&gt; 2017-03-11-SliceDisagreementCheck.txt</v>
      </c>
      <c r="AE40" s="157" t="str">
        <f t="shared" si="9"/>
        <v>start /low /b %USERPROFILE%\Documents\GitHub\eaglep3\Utilities\DownloadLogsFromS3.py --loco 4063 --day 2017-03-12</v>
      </c>
      <c r="AF40" s="1"/>
    </row>
    <row r="41" spans="1:32" x14ac:dyDescent="0.25">
      <c r="A41" s="32">
        <v>42805.844351851854</v>
      </c>
      <c r="B41" s="30" t="s">
        <v>464</v>
      </c>
      <c r="C41" s="30" t="s">
        <v>609</v>
      </c>
      <c r="D41" s="30" t="s">
        <v>49</v>
      </c>
      <c r="E41" s="30" t="s">
        <v>186</v>
      </c>
      <c r="F41" s="43">
        <v>0</v>
      </c>
      <c r="G41" s="43">
        <v>127</v>
      </c>
      <c r="H41" s="43">
        <v>1643</v>
      </c>
      <c r="I41" s="43">
        <v>1435</v>
      </c>
      <c r="J41" s="30" t="s">
        <v>187</v>
      </c>
      <c r="K41" s="43">
        <v>826</v>
      </c>
      <c r="L41" s="143" t="s">
        <v>51</v>
      </c>
      <c r="M41" s="144">
        <f t="shared" si="0"/>
        <v>321.55200000000002</v>
      </c>
      <c r="N41" s="145" t="str">
        <f>VLOOKUP(C41,'Trips&amp;Operators'!$C$1:$G$99999,5,FALSE)</f>
        <v>MAGEE KENYA</v>
      </c>
      <c r="O41" s="194" t="s">
        <v>185</v>
      </c>
      <c r="P41" s="146"/>
      <c r="Q41" s="30"/>
      <c r="R41" s="89" t="str">
        <f>IF(VLOOKUP(C41,'Train Runs'!$A$13:$AE$9946,1,1)=C41,VLOOKUP(C41,'Train Runs'!$A$13:$AE$9946,31,1),NA())</f>
        <v>aws s3 cp s3://rtdc.mdm.uploadarchive.raw/RTDC4064/ "%USERPROFILE%\AppData\Local\Temp\OnboardLogs"\RTDC4064\2017-03-11 --exclude "*" --recursive --include "*20170311*" &amp; "%USERPROFILE%\Documents\GitHub\mrs-test-scripts\Headless Mode &amp; Sideloading\WalkAndUnGZ.bat" "%USERPROFILE%\AppData\Local\Temp\OnboardLogs"\RTDC4064\2017-03-11 &amp; aws s3 cp s3://rtdc.mdm.uploadarchive.raw/RTDC4064/ "%USERPROFILE%\AppData\Local\Temp\OnboardLogs"\RTDC4064\2017-03-12 --exclude "*" --recursive --include "*20170312*" &amp; "%USERPROFILE%\Documents\GitHub\mrs-test-scripts\Headless Mode &amp; Sideloading\WalkAndUnGZ.bat" "%USERPROFILE%\AppData\Local\Temp\OnboardLogs"\RTDC4064\2017-03-12</v>
      </c>
      <c r="S41" s="92" t="str">
        <f>IF(VLOOKUP(C41,'Train Runs'!$A$13:$AE$9946,1,1)=C41,VLOOKUP(C41,'Train Runs'!$A$13:$AE$9946,22,1),NA())</f>
        <v>https://d0f6bd738d7f1b3e5a7ca70fe4ff75f0.us-east-1.aws.found.io/app/kibana#/discover/Steve-Slow-Train-Analysis-(2080s-and-2083s)?_g=(refreshInterval:(display:Off,pause:!f,section:0,value:0),time:(from:'2017-03-11T19:04:25-0700',mode:absolute,to:'2017-03-11T21:39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41" s="94" t="str">
        <f t="shared" si="1"/>
        <v>"C:\Program Files (x86)\AstroGrep\AstroGrep.exe" /e /r /s /spath="%USERPROFILE%\AppData\Local\Temp\OnboardLogs" /stypes="*4064*201703120*" /stext=" 03:.+((SYSTEM_STATE.+slice.+state.+changed )|(ment ac)|(multiple cpu faults)|(system.+state.+changed )|(\[timeout)|(PRM\|1\|D)|(kpr)|(kdp)|(\|lc)|(penalty))"</v>
      </c>
      <c r="U41" s="9" t="str">
        <f t="shared" si="2"/>
        <v>4064</v>
      </c>
      <c r="V41" s="32">
        <f t="shared" si="3"/>
        <v>42806.136018518519</v>
      </c>
      <c r="W41" s="46" t="str">
        <f t="shared" si="4"/>
        <v>Other</v>
      </c>
      <c r="X41" s="46" t="str">
        <f t="shared" si="5"/>
        <v>KEEP</v>
      </c>
      <c r="Y41" s="108" t="str">
        <f t="shared" si="6"/>
        <v>echo {"issue":{"subject":"","project_id":79,"tracker_id":40,"status_id":1,"priority_id":2,"assigned_to_id":23,"start_date":"2017-03-11","description":"","custom_fields":[{"id":1,"name":"Subdivision","value":"Other"},{"id":4,"name":"Milepost","value":"0.0826"},{"id":17,"name":"Train ID","value":"80-11"},{"id":16,"name":"Locomotive ID","value":"4064"},{"id":130,"name":"Impact","value":""},{"id":150,"name":"Time of Event (Mountain Time)","value":"20:15:52"},{"id":151,"name":"Denver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10"/>
        <v>grep -hSE -A400 "Enforcement Action" "%USERPROFILE%\AppData\Local\Temp\OnboardLogs"\RTDC4064\*4064*201703120*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"%USERPROFILE%\AppData\Local\Temp\OnboardLogs"\RTDC4064\*4064*201703120* &gt;&gt; 2017-03-11-SliceDisagreementCheck.txt</v>
      </c>
      <c r="AE41" s="157" t="str">
        <f t="shared" si="9"/>
        <v>start /low /b %USERPROFILE%\Documents\GitHub\eaglep3\Utilities\DownloadLogsFromS3.py --loco 4064 --day 2017-03-12</v>
      </c>
      <c r="AF41" s="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67">
    <sortState ref="A7:AC67">
      <sortCondition ref="W7:W41"/>
      <sortCondition ref="E7:E41"/>
      <sortCondition ref="K7:K41"/>
      <sortCondition ref="F7:F41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4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1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AA7:AA41</xm:sqref>
        </x14:dataValidation>
        <x14:dataValidation type="list" allowBlank="1" showInputMessage="1" showErrorMessage="1">
          <x14:formula1>
            <xm:f>'Redmine List Values'!$C$2:$C$15</xm:f>
          </x14:formula1>
          <xm:sqref>AB7:AB41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0"/>
  <sheetViews>
    <sheetView workbookViewId="0">
      <selection activeCell="I4" sqref="I4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1" t="str">
        <f>"Trips that did not appear in PTC Data "&amp;TEXT(Variables!$A$2,"YYYY-mm-dd")</f>
        <v>Trips that did not appear in PTC Data 2017-03-11</v>
      </c>
      <c r="C1" s="221"/>
      <c r="D1" s="221"/>
      <c r="E1" s="221"/>
      <c r="F1" s="221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106</v>
      </c>
      <c r="B3" s="43" t="str">
        <f>A3&amp;"-"&amp;IF(DAY(Variables!$A$2)&lt;10,0,"")&amp;DAY(Variables!$A$2)</f>
        <v>106-11</v>
      </c>
      <c r="C3" s="147"/>
      <c r="D3" s="165"/>
      <c r="E3" s="30"/>
      <c r="F3" s="21" t="str">
        <f>VLOOKUP(B3,'Trips&amp;Operators'!$C$2:$E$10000,3,FALSE)</f>
        <v>MAELZER</v>
      </c>
      <c r="G3" s="21" t="str">
        <f>VLOOKUP(B3,'Trips&amp;Operators'!$C$1:$F$10000,4,FALSE)</f>
        <v>KURT</v>
      </c>
      <c r="H3" s="29" t="str">
        <f>VLOOKUP(B3,'Trips&amp;Operators'!$C$1:$H$10000,5,FALSE)</f>
        <v>MAELZER KURT</v>
      </c>
      <c r="I3" s="46" t="str">
        <f t="shared" ref="I3:I1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22106-11%22)),sort:!(Time.ISO8601,asc))</v>
      </c>
      <c r="J3" s="30" t="str">
        <f>VLOOKUP(B3,'Train Runs'!$A$13:$A$99943,1,FALSE)</f>
        <v>106-11</v>
      </c>
    </row>
    <row r="4" spans="1:10" x14ac:dyDescent="0.25">
      <c r="A4" s="185">
        <v>244</v>
      </c>
      <c r="B4" s="43" t="str">
        <f>A4&amp;"-"&amp;IF(DAY(Variables!$A$2)&lt;10,0,"")&amp;DAY(Variables!$A$2)</f>
        <v>244-11</v>
      </c>
      <c r="C4" s="147"/>
      <c r="D4" s="165"/>
      <c r="E4" s="30"/>
      <c r="F4" s="21" t="str">
        <f>VLOOKUP(B4,'Trips&amp;Operators'!$C$2:$E$10000,3,FALSE)</f>
        <v>SWANSON</v>
      </c>
      <c r="G4" s="21" t="str">
        <f>VLOOKUP(B4,'Trips&amp;Operators'!$C$1:$F$10000,4,FALSE)</f>
        <v>BRYCE</v>
      </c>
      <c r="H4" s="29" t="str">
        <f>VLOOKUP(B4,'Trips&amp;Operators'!$C$1:$H$10000,5,FALSE)</f>
        <v>SWANSON BRYCE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22244-11%22)),sort:!(Time.ISO8601,asc))</v>
      </c>
      <c r="J4" s="30" t="str">
        <f>VLOOKUP(B4,'Train Runs'!$A$13:$A$99943,1,FALSE)</f>
        <v>244-11</v>
      </c>
    </row>
    <row r="5" spans="1:10" x14ac:dyDescent="0.25">
      <c r="A5" s="185"/>
      <c r="B5" s="43" t="str">
        <f>A5&amp;"-"&amp;IF(DAY(Variables!$A$2)&lt;10,0,"")&amp;DAY(Variables!$A$2)</f>
        <v>-11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" s="30" t="e">
        <f>VLOOKUP(B5,'Train Runs'!$A$13:$A$99943,1,FALSE)</f>
        <v>#N/A</v>
      </c>
    </row>
    <row r="6" spans="1:10" x14ac:dyDescent="0.25">
      <c r="A6" s="185"/>
      <c r="B6" s="43" t="str">
        <f>A6&amp;"-"&amp;IF(DAY(Variables!$A$2)&lt;10,0,"")&amp;DAY(Variables!$A$2)</f>
        <v>-11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" s="30" t="e">
        <f>VLOOKUP(B6,'Train Runs'!$A$13:$A$99943,1,FALSE)</f>
        <v>#N/A</v>
      </c>
    </row>
    <row r="7" spans="1:10" x14ac:dyDescent="0.25">
      <c r="A7" s="185"/>
      <c r="B7" s="43" t="str">
        <f>A7&amp;"-"&amp;IF(DAY(Variables!$A$2)&lt;10,0,"")&amp;DAY(Variables!$A$2)</f>
        <v>-11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" s="30" t="e">
        <f>VLOOKUP(B7,'Train Runs'!$A$13:$A$99943,1,FALSE)</f>
        <v>#N/A</v>
      </c>
    </row>
    <row r="8" spans="1:10" x14ac:dyDescent="0.25">
      <c r="A8" s="185"/>
      <c r="B8" s="43" t="str">
        <f>A8&amp;"-"&amp;IF(DAY(Variables!$A$2)&lt;10,0,"")&amp;DAY(Variables!$A$2)</f>
        <v>-11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" s="30" t="e">
        <f>VLOOKUP(B8,'Train Runs'!$A$13:$A$99943,1,FALSE)</f>
        <v>#N/A</v>
      </c>
    </row>
    <row r="9" spans="1:10" x14ac:dyDescent="0.25">
      <c r="A9" s="185"/>
      <c r="B9" s="43" t="str">
        <f>A9&amp;"-"&amp;IF(DAY(Variables!$A$2)&lt;10,0,"")&amp;DAY(Variables!$A$2)</f>
        <v>-11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" s="30" t="e">
        <f>VLOOKUP(B9,'Train Runs'!$A$13:$A$99943,1,FALSE)</f>
        <v>#N/A</v>
      </c>
    </row>
    <row r="10" spans="1:10" x14ac:dyDescent="0.25">
      <c r="A10" s="185"/>
      <c r="B10" s="43" t="str">
        <f>A10&amp;"-"&amp;IF(DAY(Variables!$A$2)&lt;10,0,"")&amp;DAY(Variables!$A$2)</f>
        <v>-11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" s="30" t="e">
        <f>VLOOKUP(B10,'Train Runs'!$A$13:$A$99943,1,FALSE)</f>
        <v>#N/A</v>
      </c>
    </row>
    <row r="11" spans="1:10" x14ac:dyDescent="0.25">
      <c r="A11" s="185"/>
      <c r="B11" s="43" t="str">
        <f>A11&amp;"-"&amp;IF(DAY(Variables!$A$2)&lt;10,0,"")&amp;DAY(Variables!$A$2)</f>
        <v>-11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1" s="30" t="e">
        <f>VLOOKUP(B11,'Train Runs'!$A$13:$A$99943,1,FALSE)</f>
        <v>#N/A</v>
      </c>
    </row>
    <row r="12" spans="1:10" x14ac:dyDescent="0.25">
      <c r="A12" s="185"/>
      <c r="B12" s="43" t="str">
        <f>A12&amp;"-"&amp;IF(DAY(Variables!$A$2)&lt;10,0,"")&amp;DAY(Variables!$A$2)</f>
        <v>-11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2" s="30" t="e">
        <f>VLOOKUP(B12,'Train Runs'!$A$13:$A$99943,1,FALSE)</f>
        <v>#N/A</v>
      </c>
    </row>
    <row r="13" spans="1:10" x14ac:dyDescent="0.25">
      <c r="A13" s="185"/>
      <c r="B13" s="43" t="str">
        <f>A13&amp;"-"&amp;IF(DAY(Variables!$A$2)&lt;10,0,"")&amp;DAY(Variables!$A$2)</f>
        <v>-11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3" s="30" t="e">
        <f>VLOOKUP(B13,'Train Runs'!$A$13:$A$99943,1,FALSE)</f>
        <v>#N/A</v>
      </c>
    </row>
    <row r="14" spans="1:10" x14ac:dyDescent="0.25">
      <c r="A14" s="185"/>
      <c r="B14" s="43" t="str">
        <f>A14&amp;"-"&amp;IF(DAY(Variables!$A$2)&lt;10,0,"")&amp;DAY(Variables!$A$2)</f>
        <v>-11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4" s="30" t="e">
        <f>VLOOKUP(B14,'Train Runs'!$A$13:$A$99943,1,FALSE)</f>
        <v>#N/A</v>
      </c>
    </row>
    <row r="15" spans="1:10" x14ac:dyDescent="0.25">
      <c r="A15" s="185"/>
      <c r="B15" s="43" t="str">
        <f>A15&amp;"-"&amp;IF(DAY(Variables!$A$2)&lt;10,0,"")&amp;DAY(Variables!$A$2)</f>
        <v>-11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ref="I15:I46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5" s="30" t="e">
        <f>VLOOKUP(B15,'Train Runs'!$A$13:$A$99943,1,FALSE)</f>
        <v>#N/A</v>
      </c>
    </row>
    <row r="16" spans="1:10" x14ac:dyDescent="0.25">
      <c r="A16" s="185"/>
      <c r="B16" s="43" t="str">
        <f>A16&amp;"-"&amp;IF(DAY(Variables!$A$2)&lt;10,0,"")&amp;DAY(Variables!$A$2)</f>
        <v>-11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6" s="30" t="e">
        <f>VLOOKUP(B16,'Train Runs'!$A$13:$A$99943,1,FALSE)</f>
        <v>#N/A</v>
      </c>
    </row>
    <row r="17" spans="1:10" x14ac:dyDescent="0.25">
      <c r="A17" s="185"/>
      <c r="B17" s="43" t="str">
        <f>A17&amp;"-"&amp;IF(DAY(Variables!$A$2)&lt;10,0,"")&amp;DAY(Variables!$A$2)</f>
        <v>-11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7" s="30" t="e">
        <f>VLOOKUP(B17,'Train Runs'!$A$13:$A$99943,1,FALSE)</f>
        <v>#N/A</v>
      </c>
    </row>
    <row r="18" spans="1:10" x14ac:dyDescent="0.25">
      <c r="A18" s="185"/>
      <c r="B18" s="43" t="str">
        <f>A18&amp;"-"&amp;IF(DAY(Variables!$A$2)&lt;10,0,"")&amp;DAY(Variables!$A$2)</f>
        <v>-11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8" s="30" t="e">
        <f>VLOOKUP(B18,'Train Runs'!$A$13:$A$99943,1,FALSE)</f>
        <v>#N/A</v>
      </c>
    </row>
    <row r="19" spans="1:10" x14ac:dyDescent="0.25">
      <c r="A19" s="185"/>
      <c r="B19" s="43" t="str">
        <f>A19&amp;"-"&amp;IF(DAY(Variables!$A$2)&lt;10,0,"")&amp;DAY(Variables!$A$2)</f>
        <v>-11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9" s="30" t="e">
        <f>VLOOKUP(B19,'Train Runs'!$A$13:$A$99943,1,FALSE)</f>
        <v>#N/A</v>
      </c>
    </row>
    <row r="20" spans="1:10" x14ac:dyDescent="0.25">
      <c r="A20" s="185"/>
      <c r="B20" s="43" t="str">
        <f>A20&amp;"-"&amp;IF(DAY(Variables!$A$2)&lt;10,0,"")&amp;DAY(Variables!$A$2)</f>
        <v>-11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0" s="30" t="e">
        <f>VLOOKUP(B20,'Train Runs'!$A$13:$A$99943,1,FALSE)</f>
        <v>#N/A</v>
      </c>
    </row>
    <row r="21" spans="1:10" x14ac:dyDescent="0.25">
      <c r="A21" s="185"/>
      <c r="B21" s="43" t="str">
        <f>A21&amp;"-"&amp;IF(DAY(Variables!$A$2)&lt;10,0,"")&amp;DAY(Variables!$A$2)</f>
        <v>-11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1" s="30" t="e">
        <f>VLOOKUP(B21,'Train Runs'!$A$13:$A$99943,1,FALSE)</f>
        <v>#N/A</v>
      </c>
    </row>
    <row r="22" spans="1:10" x14ac:dyDescent="0.25">
      <c r="A22" s="185"/>
      <c r="B22" s="43" t="str">
        <f>A22&amp;"-"&amp;IF(DAY(Variables!$A$2)&lt;10,0,"")&amp;DAY(Variables!$A$2)</f>
        <v>-11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2" s="30" t="e">
        <f>VLOOKUP(B22,'Train Runs'!$A$13:$A$99943,1,FALSE)</f>
        <v>#N/A</v>
      </c>
    </row>
    <row r="23" spans="1:10" x14ac:dyDescent="0.25">
      <c r="A23" s="185"/>
      <c r="B23" s="43" t="str">
        <f>A23&amp;"-"&amp;IF(DAY(Variables!$A$2)&lt;10,0,"")&amp;DAY(Variables!$A$2)</f>
        <v>-11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3" s="30" t="e">
        <f>VLOOKUP(B23,'Train Runs'!$A$13:$A$99943,1,FALSE)</f>
        <v>#N/A</v>
      </c>
    </row>
    <row r="24" spans="1:10" x14ac:dyDescent="0.25">
      <c r="A24" s="185"/>
      <c r="B24" s="43" t="str">
        <f>A24&amp;"-"&amp;IF(DAY(Variables!$A$2)&lt;10,0,"")&amp;DAY(Variables!$A$2)</f>
        <v>-11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4" s="30" t="e">
        <f>VLOOKUP(B24,'Train Runs'!$A$13:$A$99943,1,FALSE)</f>
        <v>#N/A</v>
      </c>
    </row>
    <row r="25" spans="1:10" x14ac:dyDescent="0.25">
      <c r="A25" s="185"/>
      <c r="B25" s="43" t="str">
        <f>A25&amp;"-"&amp;IF(DAY(Variables!$A$2)&lt;10,0,"")&amp;DAY(Variables!$A$2)</f>
        <v>-11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5" s="30" t="e">
        <f>VLOOKUP(B25,'Train Runs'!$A$13:$A$99943,1,FALSE)</f>
        <v>#N/A</v>
      </c>
    </row>
    <row r="26" spans="1:10" x14ac:dyDescent="0.25">
      <c r="A26" s="185"/>
      <c r="B26" s="43" t="str">
        <f>A26&amp;"-"&amp;IF(DAY(Variables!$A$2)&lt;10,0,"")&amp;DAY(Variables!$A$2)</f>
        <v>-11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6" s="30" t="e">
        <f>VLOOKUP(B26,'Train Runs'!$A$13:$A$99943,1,FALSE)</f>
        <v>#N/A</v>
      </c>
    </row>
    <row r="27" spans="1:10" x14ac:dyDescent="0.25">
      <c r="A27" s="185"/>
      <c r="B27" s="43" t="str">
        <f>A27&amp;"-"&amp;IF(DAY(Variables!$A$2)&lt;10,0,"")&amp;DAY(Variables!$A$2)</f>
        <v>-11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7" s="30" t="e">
        <f>VLOOKUP(B27,'Train Runs'!$A$13:$A$99943,1,FALSE)</f>
        <v>#N/A</v>
      </c>
    </row>
    <row r="28" spans="1:10" x14ac:dyDescent="0.25">
      <c r="A28" s="185"/>
      <c r="B28" s="43" t="str">
        <f>A28&amp;"-"&amp;IF(DAY(Variables!$A$2)&lt;10,0,"")&amp;DAY(Variables!$A$2)</f>
        <v>-11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8" s="30" t="e">
        <f>VLOOKUP(B28,'Train Runs'!$A$13:$A$99943,1,FALSE)</f>
        <v>#N/A</v>
      </c>
    </row>
    <row r="29" spans="1:10" x14ac:dyDescent="0.25">
      <c r="A29" s="185"/>
      <c r="B29" s="43" t="str">
        <f>A29&amp;"-"&amp;IF(DAY(Variables!$A$2)&lt;10,0,"")&amp;DAY(Variables!$A$2)</f>
        <v>-11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9" s="30" t="e">
        <f>VLOOKUP(B29,'Train Runs'!$A$13:$A$99943,1,FALSE)</f>
        <v>#N/A</v>
      </c>
    </row>
    <row r="30" spans="1:10" x14ac:dyDescent="0.25">
      <c r="A30" s="185"/>
      <c r="B30" s="43" t="str">
        <f>A30&amp;"-"&amp;IF(DAY(Variables!$A$2)&lt;10,0,"")&amp;DAY(Variables!$A$2)</f>
        <v>-11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0" s="30" t="e">
        <f>VLOOKUP(B30,'Train Runs'!$A$13:$A$99943,1,FALSE)</f>
        <v>#N/A</v>
      </c>
    </row>
    <row r="31" spans="1:10" x14ac:dyDescent="0.25">
      <c r="A31" s="185"/>
      <c r="B31" s="43" t="str">
        <f>A31&amp;"-"&amp;IF(DAY(Variables!$A$2)&lt;10,0,"")&amp;DAY(Variables!$A$2)</f>
        <v>-11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1" s="30" t="e">
        <f>VLOOKUP(B31,'Train Runs'!$A$13:$A$99943,1,FALSE)</f>
        <v>#N/A</v>
      </c>
    </row>
    <row r="32" spans="1:10" x14ac:dyDescent="0.25">
      <c r="A32" s="185"/>
      <c r="B32" s="43" t="str">
        <f>A32&amp;"-"&amp;IF(DAY(Variables!$A$2)&lt;10,0,"")&amp;DAY(Variables!$A$2)</f>
        <v>-11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2" s="30" t="e">
        <f>VLOOKUP(B32,'Train Runs'!$A$13:$A$99943,1,FALSE)</f>
        <v>#N/A</v>
      </c>
    </row>
    <row r="33" spans="1:10" x14ac:dyDescent="0.25">
      <c r="A33" s="185"/>
      <c r="B33" s="43" t="str">
        <f>A33&amp;"-"&amp;IF(DAY(Variables!$A$2)&lt;10,0,"")&amp;DAY(Variables!$A$2)</f>
        <v>-11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3" s="30" t="e">
        <f>VLOOKUP(B33,'Train Runs'!$A$13:$A$99943,1,FALSE)</f>
        <v>#N/A</v>
      </c>
    </row>
    <row r="34" spans="1:10" x14ac:dyDescent="0.25">
      <c r="A34" s="185"/>
      <c r="B34" s="43" t="str">
        <f>A34&amp;"-"&amp;IF(DAY(Variables!$A$2)&lt;10,0,"")&amp;DAY(Variables!$A$2)</f>
        <v>-11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4" s="30" t="e">
        <f>VLOOKUP(B34,'Train Runs'!$A$13:$A$99943,1,FALSE)</f>
        <v>#N/A</v>
      </c>
    </row>
    <row r="35" spans="1:10" x14ac:dyDescent="0.25">
      <c r="A35" s="185"/>
      <c r="B35" s="43" t="str">
        <f>A35&amp;"-"&amp;IF(DAY(Variables!$A$2)&lt;10,0,"")&amp;DAY(Variables!$A$2)</f>
        <v>-11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5" s="30" t="e">
        <f>VLOOKUP(B35,'Train Runs'!$A$13:$A$99943,1,FALSE)</f>
        <v>#N/A</v>
      </c>
    </row>
    <row r="36" spans="1:10" x14ac:dyDescent="0.25">
      <c r="A36" s="185"/>
      <c r="B36" s="43" t="str">
        <f>A36&amp;"-"&amp;IF(DAY(Variables!$A$2)&lt;10,0,"")&amp;DAY(Variables!$A$2)</f>
        <v>-11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6" s="30" t="e">
        <f>VLOOKUP(B36,'Train Runs'!$A$13:$A$99943,1,FALSE)</f>
        <v>#N/A</v>
      </c>
    </row>
    <row r="37" spans="1:10" x14ac:dyDescent="0.25">
      <c r="A37" s="185"/>
      <c r="B37" s="43" t="str">
        <f>A37&amp;"-"&amp;IF(DAY(Variables!$A$2)&lt;10,0,"")&amp;DAY(Variables!$A$2)</f>
        <v>-11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7" s="30" t="e">
        <f>VLOOKUP(B37,'Train Runs'!$A$13:$A$99943,1,FALSE)</f>
        <v>#N/A</v>
      </c>
    </row>
    <row r="38" spans="1:10" x14ac:dyDescent="0.25">
      <c r="A38" s="185"/>
      <c r="B38" s="43" t="str">
        <f>A38&amp;"-"&amp;IF(DAY(Variables!$A$2)&lt;10,0,"")&amp;DAY(Variables!$A$2)</f>
        <v>-11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8" s="30" t="e">
        <f>VLOOKUP(B38,'Train Runs'!$A$13:$A$99943,1,FALSE)</f>
        <v>#N/A</v>
      </c>
    </row>
    <row r="39" spans="1:10" x14ac:dyDescent="0.25">
      <c r="A39" s="185"/>
      <c r="B39" s="43" t="str">
        <f>A39&amp;"-"&amp;IF(DAY(Variables!$A$2)&lt;10,0,"")&amp;DAY(Variables!$A$2)</f>
        <v>-11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9" s="30" t="e">
        <f>VLOOKUP(B39,'Train Runs'!$A$13:$A$99943,1,FALSE)</f>
        <v>#N/A</v>
      </c>
    </row>
    <row r="40" spans="1:10" x14ac:dyDescent="0.25">
      <c r="A40" s="185"/>
      <c r="B40" s="43" t="str">
        <f>A40&amp;"-"&amp;IF(DAY(Variables!$A$2)&lt;10,0,"")&amp;DAY(Variables!$A$2)</f>
        <v>-11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0" s="30" t="e">
        <f>VLOOKUP(B40,'Train Runs'!$A$13:$A$99943,1,FALSE)</f>
        <v>#N/A</v>
      </c>
    </row>
    <row r="41" spans="1:10" x14ac:dyDescent="0.25">
      <c r="A41" s="185"/>
      <c r="B41" s="43" t="str">
        <f>A41&amp;"-"&amp;IF(DAY(Variables!$A$2)&lt;10,0,"")&amp;DAY(Variables!$A$2)</f>
        <v>-11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1" s="30" t="e">
        <f>VLOOKUP(B41,'Train Runs'!$A$13:$A$99943,1,FALSE)</f>
        <v>#N/A</v>
      </c>
    </row>
    <row r="42" spans="1:10" x14ac:dyDescent="0.25">
      <c r="A42" s="185"/>
      <c r="B42" s="43" t="str">
        <f>A42&amp;"-"&amp;IF(DAY(Variables!$A$2)&lt;10,0,"")&amp;DAY(Variables!$A$2)</f>
        <v>-11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2" s="30" t="e">
        <f>VLOOKUP(B42,'Train Runs'!$A$13:$A$99943,1,FALSE)</f>
        <v>#N/A</v>
      </c>
    </row>
    <row r="43" spans="1:10" x14ac:dyDescent="0.25">
      <c r="A43" s="185"/>
      <c r="B43" s="43" t="str">
        <f>A43&amp;"-"&amp;IF(DAY(Variables!$A$2)&lt;10,0,"")&amp;DAY(Variables!$A$2)</f>
        <v>-11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3" s="30" t="e">
        <f>VLOOKUP(B43,'Train Runs'!$A$13:$A$99943,1,FALSE)</f>
        <v>#N/A</v>
      </c>
    </row>
    <row r="44" spans="1:10" x14ac:dyDescent="0.25">
      <c r="A44" s="185"/>
      <c r="B44" s="43" t="str">
        <f>A44&amp;"-"&amp;IF(DAY(Variables!$A$2)&lt;10,0,"")&amp;DAY(Variables!$A$2)</f>
        <v>-11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4" s="30" t="e">
        <f>VLOOKUP(B44,'Train Runs'!$A$13:$A$99943,1,FALSE)</f>
        <v>#N/A</v>
      </c>
    </row>
    <row r="45" spans="1:10" x14ac:dyDescent="0.25">
      <c r="A45" s="185"/>
      <c r="B45" s="43" t="str">
        <f>A45&amp;"-"&amp;IF(DAY(Variables!$A$2)&lt;10,0,"")&amp;DAY(Variables!$A$2)</f>
        <v>-11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5" s="30" t="e">
        <f>VLOOKUP(B45,'Train Runs'!$A$13:$A$99943,1,FALSE)</f>
        <v>#N/A</v>
      </c>
    </row>
    <row r="46" spans="1:10" x14ac:dyDescent="0.25">
      <c r="A46" s="185"/>
      <c r="B46" s="43" t="str">
        <f>A46&amp;"-"&amp;IF(DAY(Variables!$A$2)&lt;10,0,"")&amp;DAY(Variables!$A$2)</f>
        <v>-11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6" s="30" t="e">
        <f>VLOOKUP(B46,'Train Runs'!$A$13:$A$99943,1,FALSE)</f>
        <v>#N/A</v>
      </c>
    </row>
    <row r="47" spans="1:10" x14ac:dyDescent="0.25">
      <c r="A47" s="185"/>
      <c r="B47" s="43" t="str">
        <f>A47&amp;"-"&amp;IF(DAY(Variables!$A$2)&lt;10,0,"")&amp;DAY(Variables!$A$2)</f>
        <v>-11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ref="I47:I78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7" s="30" t="e">
        <f>VLOOKUP(B47,'Train Runs'!$A$13:$A$99943,1,FALSE)</f>
        <v>#N/A</v>
      </c>
    </row>
    <row r="48" spans="1:10" x14ac:dyDescent="0.25">
      <c r="A48" s="185"/>
      <c r="B48" s="43" t="str">
        <f>A48&amp;"-"&amp;IF(DAY(Variables!$A$2)&lt;10,0,"")&amp;DAY(Variables!$A$2)</f>
        <v>-11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8" s="30" t="e">
        <f>VLOOKUP(B48,'Train Runs'!$A$13:$A$99943,1,FALSE)</f>
        <v>#N/A</v>
      </c>
    </row>
    <row r="49" spans="1:10" x14ac:dyDescent="0.25">
      <c r="A49" s="185"/>
      <c r="B49" s="43" t="str">
        <f>A49&amp;"-"&amp;IF(DAY(Variables!$A$2)&lt;10,0,"")&amp;DAY(Variables!$A$2)</f>
        <v>-11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9" s="30" t="e">
        <f>VLOOKUP(B49,'Train Runs'!$A$13:$A$99943,1,FALSE)</f>
        <v>#N/A</v>
      </c>
    </row>
    <row r="50" spans="1:10" x14ac:dyDescent="0.25">
      <c r="A50" s="185"/>
      <c r="B50" s="43" t="str">
        <f>A50&amp;"-"&amp;IF(DAY(Variables!$A$2)&lt;10,0,"")&amp;DAY(Variables!$A$2)</f>
        <v>-11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0" s="30" t="e">
        <f>VLOOKUP(B50,'Train Runs'!$A$13:$A$99943,1,FALSE)</f>
        <v>#N/A</v>
      </c>
    </row>
    <row r="51" spans="1:10" x14ac:dyDescent="0.25">
      <c r="A51" s="185"/>
      <c r="B51" s="43" t="str">
        <f>A51&amp;"-"&amp;IF(DAY(Variables!$A$2)&lt;10,0,"")&amp;DAY(Variables!$A$2)</f>
        <v>-11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1" s="30" t="e">
        <f>VLOOKUP(B51,'Train Runs'!$A$13:$A$99943,1,FALSE)</f>
        <v>#N/A</v>
      </c>
    </row>
    <row r="52" spans="1:10" x14ac:dyDescent="0.25">
      <c r="A52" s="185"/>
      <c r="B52" s="43" t="str">
        <f>A52&amp;"-"&amp;IF(DAY(Variables!$A$2)&lt;10,0,"")&amp;DAY(Variables!$A$2)</f>
        <v>-11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2" s="30" t="e">
        <f>VLOOKUP(B52,'Train Runs'!$A$13:$A$99943,1,FALSE)</f>
        <v>#N/A</v>
      </c>
    </row>
    <row r="53" spans="1:10" x14ac:dyDescent="0.25">
      <c r="A53" s="185"/>
      <c r="B53" s="43" t="str">
        <f>A53&amp;"-"&amp;IF(DAY(Variables!$A$2)&lt;10,0,"")&amp;DAY(Variables!$A$2)</f>
        <v>-11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3" s="30" t="e">
        <f>VLOOKUP(B53,'Train Runs'!$A$13:$A$99943,1,FALSE)</f>
        <v>#N/A</v>
      </c>
    </row>
    <row r="54" spans="1:10" x14ac:dyDescent="0.25">
      <c r="A54" s="185"/>
      <c r="B54" s="43" t="str">
        <f>A54&amp;"-"&amp;IF(DAY(Variables!$A$2)&lt;10,0,"")&amp;DAY(Variables!$A$2)</f>
        <v>-11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4" s="30" t="e">
        <f>VLOOKUP(B54,'Train Runs'!$A$13:$A$99943,1,FALSE)</f>
        <v>#N/A</v>
      </c>
    </row>
    <row r="55" spans="1:10" x14ac:dyDescent="0.25">
      <c r="A55" s="185"/>
      <c r="B55" s="43" t="str">
        <f>A55&amp;"-"&amp;IF(DAY(Variables!$A$2)&lt;10,0,"")&amp;DAY(Variables!$A$2)</f>
        <v>-11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5" s="30" t="e">
        <f>VLOOKUP(B55,'Train Runs'!$A$13:$A$99943,1,FALSE)</f>
        <v>#N/A</v>
      </c>
    </row>
    <row r="56" spans="1:10" x14ac:dyDescent="0.25">
      <c r="A56" s="185"/>
      <c r="B56" s="43" t="str">
        <f>A56&amp;"-"&amp;IF(DAY(Variables!$A$2)&lt;10,0,"")&amp;DAY(Variables!$A$2)</f>
        <v>-11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6" s="30" t="e">
        <f>VLOOKUP(B56,'Train Runs'!$A$13:$A$99943,1,FALSE)</f>
        <v>#N/A</v>
      </c>
    </row>
    <row r="57" spans="1:10" x14ac:dyDescent="0.25">
      <c r="A57" s="185"/>
      <c r="B57" s="43" t="str">
        <f>A57&amp;"-"&amp;IF(DAY(Variables!$A$2)&lt;10,0,"")&amp;DAY(Variables!$A$2)</f>
        <v>-11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7" s="30" t="e">
        <f>VLOOKUP(B57,'Train Runs'!$A$13:$A$99943,1,FALSE)</f>
        <v>#N/A</v>
      </c>
    </row>
    <row r="58" spans="1:10" x14ac:dyDescent="0.25">
      <c r="A58" s="185"/>
      <c r="B58" s="43" t="str">
        <f>A58&amp;"-"&amp;IF(DAY(Variables!$A$2)&lt;10,0,"")&amp;DAY(Variables!$A$2)</f>
        <v>-11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8" s="30" t="e">
        <f>VLOOKUP(B58,'Train Runs'!$A$13:$A$99943,1,FALSE)</f>
        <v>#N/A</v>
      </c>
    </row>
    <row r="59" spans="1:10" x14ac:dyDescent="0.25">
      <c r="A59" s="185"/>
      <c r="B59" s="43" t="str">
        <f>A59&amp;"-"&amp;IF(DAY(Variables!$A$2)&lt;10,0,"")&amp;DAY(Variables!$A$2)</f>
        <v>-11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9" s="30" t="e">
        <f>VLOOKUP(B59,'Train Runs'!$A$13:$A$99943,1,FALSE)</f>
        <v>#N/A</v>
      </c>
    </row>
    <row r="60" spans="1:10" x14ac:dyDescent="0.25">
      <c r="A60" s="185"/>
      <c r="B60" s="43" t="str">
        <f>A60&amp;"-"&amp;IF(DAY(Variables!$A$2)&lt;10,0,"")&amp;DAY(Variables!$A$2)</f>
        <v>-11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0" s="30" t="e">
        <f>VLOOKUP(B60,'Train Runs'!$A$13:$A$99943,1,FALSE)</f>
        <v>#N/A</v>
      </c>
    </row>
    <row r="61" spans="1:10" x14ac:dyDescent="0.25">
      <c r="A61" s="185"/>
      <c r="B61" s="43" t="str">
        <f>A61&amp;"-"&amp;IF(DAY(Variables!$A$2)&lt;10,0,"")&amp;DAY(Variables!$A$2)</f>
        <v>-11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1" s="30" t="e">
        <f>VLOOKUP(B61,'Train Runs'!$A$13:$A$99943,1,FALSE)</f>
        <v>#N/A</v>
      </c>
    </row>
    <row r="62" spans="1:10" x14ac:dyDescent="0.25">
      <c r="A62" s="185"/>
      <c r="B62" s="43" t="str">
        <f>A62&amp;"-"&amp;IF(DAY(Variables!$A$2)&lt;10,0,"")&amp;DAY(Variables!$A$2)</f>
        <v>-11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2" s="30" t="e">
        <f>VLOOKUP(B62,'Train Runs'!$A$13:$A$99943,1,FALSE)</f>
        <v>#N/A</v>
      </c>
    </row>
    <row r="63" spans="1:10" x14ac:dyDescent="0.25">
      <c r="A63" s="185"/>
      <c r="B63" s="43" t="str">
        <f>A63&amp;"-"&amp;IF(DAY(Variables!$A$2)&lt;10,0,"")&amp;DAY(Variables!$A$2)</f>
        <v>-11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3" s="30" t="e">
        <f>VLOOKUP(B63,'Train Runs'!$A$13:$A$99943,1,FALSE)</f>
        <v>#N/A</v>
      </c>
    </row>
    <row r="64" spans="1:10" x14ac:dyDescent="0.25">
      <c r="A64" s="185"/>
      <c r="B64" s="43" t="str">
        <f>A64&amp;"-"&amp;IF(DAY(Variables!$A$2)&lt;10,0,"")&amp;DAY(Variables!$A$2)</f>
        <v>-11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4" s="30" t="e">
        <f>VLOOKUP(B64,'Train Runs'!$A$13:$A$99943,1,FALSE)</f>
        <v>#N/A</v>
      </c>
    </row>
    <row r="65" spans="1:10" x14ac:dyDescent="0.25">
      <c r="A65" s="185"/>
      <c r="B65" s="43" t="str">
        <f>A65&amp;"-"&amp;IF(DAY(Variables!$A$2)&lt;10,0,"")&amp;DAY(Variables!$A$2)</f>
        <v>-11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5" s="30" t="e">
        <f>VLOOKUP(B65,'Train Runs'!$A$13:$A$99943,1,FALSE)</f>
        <v>#N/A</v>
      </c>
    </row>
    <row r="66" spans="1:10" x14ac:dyDescent="0.25">
      <c r="A66" s="185"/>
      <c r="B66" s="43" t="str">
        <f>A66&amp;"-"&amp;IF(DAY(Variables!$A$2)&lt;10,0,"")&amp;DAY(Variables!$A$2)</f>
        <v>-11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6" s="30" t="e">
        <f>VLOOKUP(B66,'Train Runs'!$A$13:$A$99943,1,FALSE)</f>
        <v>#N/A</v>
      </c>
    </row>
    <row r="67" spans="1:10" x14ac:dyDescent="0.25">
      <c r="A67" s="185"/>
      <c r="B67" s="43" t="str">
        <f>A67&amp;"-"&amp;IF(DAY(Variables!$A$2)&lt;10,0,"")&amp;DAY(Variables!$A$2)</f>
        <v>-11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7" s="30" t="e">
        <f>VLOOKUP(B67,'Train Runs'!$A$13:$A$99943,1,FALSE)</f>
        <v>#N/A</v>
      </c>
    </row>
    <row r="68" spans="1:10" x14ac:dyDescent="0.25">
      <c r="A68" s="185"/>
      <c r="B68" s="43" t="str">
        <f>A68&amp;"-"&amp;IF(DAY(Variables!$A$2)&lt;10,0,"")&amp;DAY(Variables!$A$2)</f>
        <v>-11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8" s="30" t="e">
        <f>VLOOKUP(B68,'Train Runs'!$A$13:$A$99943,1,FALSE)</f>
        <v>#N/A</v>
      </c>
    </row>
    <row r="69" spans="1:10" x14ac:dyDescent="0.25">
      <c r="A69" s="185"/>
      <c r="B69" s="43" t="str">
        <f>A69&amp;"-"&amp;IF(DAY(Variables!$A$2)&lt;10,0,"")&amp;DAY(Variables!$A$2)</f>
        <v>-11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9" s="30" t="e">
        <f>VLOOKUP(B69,'Train Runs'!$A$13:$A$99943,1,FALSE)</f>
        <v>#N/A</v>
      </c>
    </row>
    <row r="70" spans="1:10" x14ac:dyDescent="0.25">
      <c r="A70" s="185"/>
      <c r="B70" s="43" t="str">
        <f>A70&amp;"-"&amp;IF(DAY(Variables!$A$2)&lt;10,0,"")&amp;DAY(Variables!$A$2)</f>
        <v>-11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0" s="30" t="e">
        <f>VLOOKUP(B70,'Train Runs'!$A$13:$A$99943,1,FALSE)</f>
        <v>#N/A</v>
      </c>
    </row>
    <row r="71" spans="1:10" x14ac:dyDescent="0.25">
      <c r="A71" s="185"/>
      <c r="B71" s="43" t="str">
        <f>A71&amp;"-"&amp;IF(DAY(Variables!$A$2)&lt;10,0,"")&amp;DAY(Variables!$A$2)</f>
        <v>-11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1" s="30" t="e">
        <f>VLOOKUP(B71,'Train Runs'!$A$13:$A$99943,1,FALSE)</f>
        <v>#N/A</v>
      </c>
    </row>
    <row r="72" spans="1:10" x14ac:dyDescent="0.25">
      <c r="A72" s="185"/>
      <c r="B72" s="43" t="str">
        <f>A72&amp;"-"&amp;IF(DAY(Variables!$A$2)&lt;10,0,"")&amp;DAY(Variables!$A$2)</f>
        <v>-11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2" s="30" t="e">
        <f>VLOOKUP(B72,'Train Runs'!$A$13:$A$99943,1,FALSE)</f>
        <v>#N/A</v>
      </c>
    </row>
    <row r="73" spans="1:10" x14ac:dyDescent="0.25">
      <c r="A73" s="185"/>
      <c r="B73" s="43" t="str">
        <f>A73&amp;"-"&amp;IF(DAY(Variables!$A$2)&lt;10,0,"")&amp;DAY(Variables!$A$2)</f>
        <v>-11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3" s="30" t="e">
        <f>VLOOKUP(B73,'Train Runs'!$A$13:$A$99943,1,FALSE)</f>
        <v>#N/A</v>
      </c>
    </row>
    <row r="74" spans="1:10" x14ac:dyDescent="0.25">
      <c r="A74" s="185"/>
      <c r="B74" s="43" t="str">
        <f>A74&amp;"-"&amp;IF(DAY(Variables!$A$2)&lt;10,0,"")&amp;DAY(Variables!$A$2)</f>
        <v>-11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4" s="30" t="e">
        <f>VLOOKUP(B74,'Train Runs'!$A$13:$A$99943,1,FALSE)</f>
        <v>#N/A</v>
      </c>
    </row>
    <row r="75" spans="1:10" x14ac:dyDescent="0.25">
      <c r="A75" s="185"/>
      <c r="B75" s="43" t="str">
        <f>A75&amp;"-"&amp;IF(DAY(Variables!$A$2)&lt;10,0,"")&amp;DAY(Variables!$A$2)</f>
        <v>-11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5" s="30" t="e">
        <f>VLOOKUP(B75,'Train Runs'!$A$13:$A$99943,1,FALSE)</f>
        <v>#N/A</v>
      </c>
    </row>
    <row r="76" spans="1:10" x14ac:dyDescent="0.25">
      <c r="A76" s="185"/>
      <c r="B76" s="43" t="str">
        <f>A76&amp;"-"&amp;IF(DAY(Variables!$A$2)&lt;10,0,"")&amp;DAY(Variables!$A$2)</f>
        <v>-11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6" s="30" t="e">
        <f>VLOOKUP(B76,'Train Runs'!$A$13:$A$99943,1,FALSE)</f>
        <v>#N/A</v>
      </c>
    </row>
    <row r="77" spans="1:10" x14ac:dyDescent="0.25">
      <c r="A77" s="185"/>
      <c r="B77" s="43" t="str">
        <f>A77&amp;"-"&amp;IF(DAY(Variables!$A$2)&lt;10,0,"")&amp;DAY(Variables!$A$2)</f>
        <v>-11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7" s="30" t="e">
        <f>VLOOKUP(B77,'Train Runs'!$A$13:$A$99943,1,FALSE)</f>
        <v>#N/A</v>
      </c>
    </row>
    <row r="78" spans="1:10" x14ac:dyDescent="0.25">
      <c r="A78" s="185"/>
      <c r="B78" s="43" t="str">
        <f>A78&amp;"-"&amp;IF(DAY(Variables!$A$2)&lt;10,0,"")&amp;DAY(Variables!$A$2)</f>
        <v>-11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8" s="30" t="e">
        <f>VLOOKUP(B78,'Train Runs'!$A$13:$A$99943,1,FALSE)</f>
        <v>#N/A</v>
      </c>
    </row>
    <row r="79" spans="1:10" x14ac:dyDescent="0.25">
      <c r="A79" s="185"/>
      <c r="B79" s="43" t="str">
        <f>A79&amp;"-"&amp;IF(DAY(Variables!$A$2)&lt;10,0,"")&amp;DAY(Variables!$A$2)</f>
        <v>-11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ref="I79:I100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9" s="30" t="e">
        <f>VLOOKUP(B79,'Train Runs'!$A$13:$A$99943,1,FALSE)</f>
        <v>#N/A</v>
      </c>
    </row>
    <row r="80" spans="1:10" x14ac:dyDescent="0.25">
      <c r="A80" s="185"/>
      <c r="B80" s="43" t="str">
        <f>A80&amp;"-"&amp;IF(DAY(Variables!$A$2)&lt;10,0,"")&amp;DAY(Variables!$A$2)</f>
        <v>-11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0" s="30" t="e">
        <f>VLOOKUP(B80,'Train Runs'!$A$13:$A$99943,1,FALSE)</f>
        <v>#N/A</v>
      </c>
    </row>
    <row r="81" spans="1:10" x14ac:dyDescent="0.25">
      <c r="A81" s="185"/>
      <c r="B81" s="43" t="str">
        <f>A81&amp;"-"&amp;IF(DAY(Variables!$A$2)&lt;10,0,"")&amp;DAY(Variables!$A$2)</f>
        <v>-11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1" s="30" t="e">
        <f>VLOOKUP(B81,'Train Runs'!$A$13:$A$99943,1,FALSE)</f>
        <v>#N/A</v>
      </c>
    </row>
    <row r="82" spans="1:10" x14ac:dyDescent="0.25">
      <c r="A82" s="185"/>
      <c r="B82" s="43" t="str">
        <f>A82&amp;"-"&amp;IF(DAY(Variables!$A$2)&lt;10,0,"")&amp;DAY(Variables!$A$2)</f>
        <v>-11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2" s="30" t="e">
        <f>VLOOKUP(B82,'Train Runs'!$A$13:$A$99943,1,FALSE)</f>
        <v>#N/A</v>
      </c>
    </row>
    <row r="83" spans="1:10" x14ac:dyDescent="0.25">
      <c r="A83" s="185"/>
      <c r="B83" s="43" t="str">
        <f>A83&amp;"-"&amp;IF(DAY(Variables!$A$2)&lt;10,0,"")&amp;DAY(Variables!$A$2)</f>
        <v>-11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3" s="30" t="e">
        <f>VLOOKUP(B83,'Train Runs'!$A$13:$A$99943,1,FALSE)</f>
        <v>#N/A</v>
      </c>
    </row>
    <row r="84" spans="1:10" x14ac:dyDescent="0.25">
      <c r="A84" s="185"/>
      <c r="B84" s="43" t="str">
        <f>A84&amp;"-"&amp;IF(DAY(Variables!$A$2)&lt;10,0,"")&amp;DAY(Variables!$A$2)</f>
        <v>-11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4" s="30" t="e">
        <f>VLOOKUP(B84,'Train Runs'!$A$13:$A$99943,1,FALSE)</f>
        <v>#N/A</v>
      </c>
    </row>
    <row r="85" spans="1:10" x14ac:dyDescent="0.25">
      <c r="A85" s="185"/>
      <c r="B85" s="43" t="str">
        <f>A85&amp;"-"&amp;IF(DAY(Variables!$A$2)&lt;10,0,"")&amp;DAY(Variables!$A$2)</f>
        <v>-11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5" s="30" t="e">
        <f>VLOOKUP(B85,'Train Runs'!$A$13:$A$99943,1,FALSE)</f>
        <v>#N/A</v>
      </c>
    </row>
    <row r="86" spans="1:10" x14ac:dyDescent="0.25">
      <c r="A86" s="185"/>
      <c r="B86" s="43" t="str">
        <f>A86&amp;"-"&amp;IF(DAY(Variables!$A$2)&lt;10,0,"")&amp;DAY(Variables!$A$2)</f>
        <v>-11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6" s="30" t="e">
        <f>VLOOKUP(B86,'Train Runs'!$A$13:$A$99943,1,FALSE)</f>
        <v>#N/A</v>
      </c>
    </row>
    <row r="87" spans="1:10" x14ac:dyDescent="0.25">
      <c r="A87" s="185"/>
      <c r="B87" s="43" t="str">
        <f>A87&amp;"-"&amp;IF(DAY(Variables!$A$2)&lt;10,0,"")&amp;DAY(Variables!$A$2)</f>
        <v>-11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7" s="30" t="e">
        <f>VLOOKUP(B87,'Train Runs'!$A$13:$A$99943,1,FALSE)</f>
        <v>#N/A</v>
      </c>
    </row>
    <row r="88" spans="1:10" x14ac:dyDescent="0.25">
      <c r="A88" s="185"/>
      <c r="B88" s="43" t="str">
        <f>A88&amp;"-"&amp;IF(DAY(Variables!$A$2)&lt;10,0,"")&amp;DAY(Variables!$A$2)</f>
        <v>-11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8" s="30" t="e">
        <f>VLOOKUP(B88,'Train Runs'!$A$13:$A$99943,1,FALSE)</f>
        <v>#N/A</v>
      </c>
    </row>
    <row r="89" spans="1:10" x14ac:dyDescent="0.25">
      <c r="A89" s="185"/>
      <c r="B89" s="43" t="str">
        <f>A89&amp;"-"&amp;IF(DAY(Variables!$A$2)&lt;10,0,"")&amp;DAY(Variables!$A$2)</f>
        <v>-11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9" s="30" t="e">
        <f>VLOOKUP(B89,'Train Runs'!$A$13:$A$99943,1,FALSE)</f>
        <v>#N/A</v>
      </c>
    </row>
    <row r="90" spans="1:10" x14ac:dyDescent="0.25">
      <c r="A90" s="185"/>
      <c r="B90" s="43" t="str">
        <f>A90&amp;"-"&amp;IF(DAY(Variables!$A$2)&lt;10,0,"")&amp;DAY(Variables!$A$2)</f>
        <v>-11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0" s="30" t="e">
        <f>VLOOKUP(B90,'Train Runs'!$A$13:$A$99943,1,FALSE)</f>
        <v>#N/A</v>
      </c>
    </row>
    <row r="91" spans="1:10" x14ac:dyDescent="0.25">
      <c r="A91" s="185"/>
      <c r="B91" s="43" t="str">
        <f>A91&amp;"-"&amp;IF(DAY(Variables!$A$2)&lt;10,0,"")&amp;DAY(Variables!$A$2)</f>
        <v>-11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1" s="30" t="e">
        <f>VLOOKUP(B91,'Train Runs'!$A$13:$A$99943,1,FALSE)</f>
        <v>#N/A</v>
      </c>
    </row>
    <row r="92" spans="1:10" x14ac:dyDescent="0.25">
      <c r="A92" s="185"/>
      <c r="B92" s="43" t="str">
        <f>A92&amp;"-"&amp;IF(DAY(Variables!$A$2)&lt;10,0,"")&amp;DAY(Variables!$A$2)</f>
        <v>-11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2" s="30" t="e">
        <f>VLOOKUP(B92,'Train Runs'!$A$13:$A$99943,1,FALSE)</f>
        <v>#N/A</v>
      </c>
    </row>
    <row r="93" spans="1:10" x14ac:dyDescent="0.25">
      <c r="A93" s="185"/>
      <c r="B93" s="43" t="str">
        <f>A93&amp;"-"&amp;IF(DAY(Variables!$A$2)&lt;10,0,"")&amp;DAY(Variables!$A$2)</f>
        <v>-11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3" s="30" t="e">
        <f>VLOOKUP(B93,'Train Runs'!$A$13:$A$99943,1,FALSE)</f>
        <v>#N/A</v>
      </c>
    </row>
    <row r="94" spans="1:10" x14ac:dyDescent="0.25">
      <c r="A94" s="185"/>
      <c r="B94" s="43" t="str">
        <f>A94&amp;"-"&amp;IF(DAY(Variables!$A$2)&lt;10,0,"")&amp;DAY(Variables!$A$2)</f>
        <v>-11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4" s="30" t="e">
        <f>VLOOKUP(B94,'Train Runs'!$A$13:$A$99943,1,FALSE)</f>
        <v>#N/A</v>
      </c>
    </row>
    <row r="95" spans="1:10" x14ac:dyDescent="0.25">
      <c r="A95" s="185"/>
      <c r="B95" s="43" t="str">
        <f>A95&amp;"-"&amp;IF(DAY(Variables!$A$2)&lt;10,0,"")&amp;DAY(Variables!$A$2)</f>
        <v>-11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5" s="30" t="e">
        <f>VLOOKUP(B95,'Train Runs'!$A$13:$A$99943,1,FALSE)</f>
        <v>#N/A</v>
      </c>
    </row>
    <row r="96" spans="1:10" x14ac:dyDescent="0.25">
      <c r="A96" s="185"/>
      <c r="B96" s="43" t="str">
        <f>A96&amp;"-"&amp;IF(DAY(Variables!$A$2)&lt;10,0,"")&amp;DAY(Variables!$A$2)</f>
        <v>-11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6" s="30" t="e">
        <f>VLOOKUP(B96,'Train Runs'!$A$13:$A$99943,1,FALSE)</f>
        <v>#N/A</v>
      </c>
    </row>
    <row r="97" spans="1:10" x14ac:dyDescent="0.25">
      <c r="A97" s="185"/>
      <c r="B97" s="43" t="str">
        <f>A97&amp;"-"&amp;IF(DAY(Variables!$A$2)&lt;10,0,"")&amp;DAY(Variables!$A$2)</f>
        <v>-11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7" s="30" t="e">
        <f>VLOOKUP(B97,'Train Runs'!$A$13:$A$99943,1,FALSE)</f>
        <v>#N/A</v>
      </c>
    </row>
    <row r="98" spans="1:10" x14ac:dyDescent="0.25">
      <c r="A98" s="185"/>
      <c r="B98" s="43" t="str">
        <f>A98&amp;"-"&amp;IF(DAY(Variables!$A$2)&lt;10,0,"")&amp;DAY(Variables!$A$2)</f>
        <v>-11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8" s="30" t="e">
        <f>VLOOKUP(B98,'Train Runs'!$A$13:$A$99943,1,FALSE)</f>
        <v>#N/A</v>
      </c>
    </row>
    <row r="99" spans="1:10" x14ac:dyDescent="0.25">
      <c r="A99" s="185"/>
      <c r="B99" s="43" t="str">
        <f>A99&amp;"-"&amp;IF(DAY(Variables!$A$2)&lt;10,0,"")&amp;DAY(Variables!$A$2)</f>
        <v>-11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9" s="30" t="e">
        <f>VLOOKUP(B99,'Train Runs'!$A$13:$A$99943,1,FALSE)</f>
        <v>#N/A</v>
      </c>
    </row>
    <row r="100" spans="1:10" x14ac:dyDescent="0.25">
      <c r="A100" s="185"/>
      <c r="B100" s="43" t="str">
        <f>A100&amp;"-"&amp;IF(DAY(Variables!$A$2)&lt;10,0,"")&amp;DAY(Variables!$A$2)</f>
        <v>-11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0" s="30" t="e">
        <f>VLOOKUP(B100,'Train Runs'!$A$13:$A$99943,1,FALSE)</f>
        <v>#N/A</v>
      </c>
    </row>
  </sheetData>
  <autoFilter ref="A2:J100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441</v>
      </c>
      <c r="B1" s="207" t="s">
        <v>442</v>
      </c>
      <c r="C1" s="199" t="s">
        <v>450</v>
      </c>
      <c r="D1" s="211" t="s">
        <v>58</v>
      </c>
      <c r="E1" s="196" t="s">
        <v>24</v>
      </c>
      <c r="F1" s="211" t="s">
        <v>456</v>
      </c>
      <c r="G1" s="215" t="s">
        <v>94</v>
      </c>
      <c r="H1" s="217" t="s">
        <v>460</v>
      </c>
      <c r="I1" s="213" t="s">
        <v>459</v>
      </c>
      <c r="J1" s="209" t="s">
        <v>84</v>
      </c>
      <c r="K1" s="209" t="s">
        <v>455</v>
      </c>
      <c r="L1" s="204" t="s">
        <v>452</v>
      </c>
      <c r="M1" s="204" t="s">
        <v>443</v>
      </c>
      <c r="N1" s="204" t="s">
        <v>445</v>
      </c>
      <c r="O1" s="204" t="s">
        <v>446</v>
      </c>
      <c r="P1" s="204" t="s">
        <v>447</v>
      </c>
      <c r="Q1" s="203" t="s">
        <v>444</v>
      </c>
    </row>
    <row r="2" spans="1:17" x14ac:dyDescent="0.25">
      <c r="A2" s="201">
        <v>42800.21875</v>
      </c>
      <c r="B2" s="208" t="s">
        <v>449</v>
      </c>
      <c r="C2" s="198" t="s">
        <v>451</v>
      </c>
      <c r="D2" s="212">
        <v>104</v>
      </c>
      <c r="E2" s="30" t="s">
        <v>454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/stypes="*4010*201703061*" /stext=" 12:.+((SYSTEM_STATE.+slice.+state.+changed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12:.+((\|PRM\|1\|D)|(crossing.((167)|(168)|(199)|(200))))" "%USERPROFILE%\AppData\Local\Temp\OnboardLogs"\RTDC4010\*4010*201703061*</v>
      </c>
      <c r="I2" s="214" t="str">
        <f>IF(VLOOKUP(K2,'Train Runs'!$A$13:$V$999,1,TRUE)=K2,VLOOKUP(K2,'Train Runs'!$A$13:$V$999,22,TRUE),NA())</f>
        <v>https://d0f6bd738d7f1b3e5a7ca70fe4ff75f0.us-east-1.aws.found.io/app/kibana#/discover/Steve-Slow-Train-Analysis-(2080s-and-2083s)?_g=(refreshInterval:(display:Off,pause:!f,section:0,value:0),time:(from:'2017-03-11T03:33:20-0700',mode:absolute,to:'2017-03-11T06:25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2" s="210">
        <f t="shared" ref="J2:J35" si="2">A2-utc_offset/24</f>
        <v>42800.510416666664</v>
      </c>
      <c r="K2" s="210" t="str">
        <f>D2&amp;"-"&amp;IF(DAY(Variables!$A$2)&lt;10,0,"")&amp;DAY(Variables!$A$2)</f>
        <v>104-11</v>
      </c>
      <c r="L2" s="206">
        <f>IF(VLOOKUP(K2,'Train Runs'!$A$12:$B$999,1,TRUE)=K2,VLOOKUP(K2,'Train Runs'!$A$12:$B$999,2,TRUE),NA())</f>
        <v>4010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449</v>
      </c>
      <c r="C3" s="198" t="s">
        <v>451</v>
      </c>
      <c r="D3" s="212">
        <v>126</v>
      </c>
      <c r="E3" s="30" t="s">
        <v>453</v>
      </c>
      <c r="F3" s="212" t="b">
        <v>1</v>
      </c>
      <c r="G3" s="216" t="str">
        <f t="shared" si="0"/>
        <v>"C:\Program Files (x86)\AstroGrep\AstroGrep.exe" /e /r /s /spath="%USERPROFILE%\AppData\Local\Temp\OnboardLogs" /stypes="*4030*201703061*" /stext=" 15:.+((SYSTEM_STATE.+slice.+state.+changed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15:.+((\|PRM\|1\|D)|(crossing.((167)|(168)|(199)|(200))))" "%USERPROFILE%\AppData\Local\Temp\OnboardLogs"\RTDC4030\*4030*201703061*</v>
      </c>
      <c r="I3" s="214" t="str">
        <f>IF(VLOOKUP(K3,'Train Runs'!$A$13:$V$999,1,TRUE)=K3,VLOOKUP(K3,'Train Runs'!$A$13:$V$999,22,TRUE),NA())</f>
        <v>https://d0f6bd738d7f1b3e5a7ca70fe4ff75f0.us-east-1.aws.found.io/app/kibana#/discover/Steve-Slow-Train-Analysis-(2080s-and-2083s)?_g=(refreshInterval:(display:Off,pause:!f,section:0,value:0),time:(from:'2017-03-11T06:36:19-0700',mode:absolute,to:'2017-03-11T09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3" s="210">
        <f t="shared" si="2"/>
        <v>42800.634722222218</v>
      </c>
      <c r="K3" s="210" t="str">
        <f>D3&amp;"-"&amp;IF(DAY(Variables!$A$2)&lt;10,0,"")&amp;DAY(Variables!$A$2)</f>
        <v>126-11</v>
      </c>
      <c r="L3" s="206">
        <f>IF(VLOOKUP(K3,'Train Runs'!$A$12:$B$999,1,TRUE)=K3,VLOOKUP(K3,'Train Runs'!$A$12:$B$999,2,TRUE),NA())</f>
        <v>4030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449</v>
      </c>
      <c r="C4" s="198" t="s">
        <v>451</v>
      </c>
      <c r="D4" s="212">
        <v>128</v>
      </c>
      <c r="E4" s="30" t="s">
        <v>453</v>
      </c>
      <c r="F4" s="212" t="b">
        <v>1</v>
      </c>
      <c r="G4" s="216" t="str">
        <f t="shared" si="0"/>
        <v>"C:\Program Files (x86)\AstroGrep\AstroGrep.exe" /e /r /s /spath="%USERPROFILE%\AppData\Local\Temp\OnboardLogs" /stypes="*4043*201703061*" /stext=" 15:.+((SYSTEM_STATE.+slice.+state.+changed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15:.+((\|PRM\|1\|D)|(crossing.((167)|(168)|(199)|(200))))" "%USERPROFILE%\AppData\Local\Temp\OnboardLogs"\RTDC4043\*4043*201703061*</v>
      </c>
      <c r="I4" s="214" t="str">
        <f>IF(VLOOKUP(K4,'Train Runs'!$A$13:$V$999,1,TRUE)=K4,VLOOKUP(K4,'Train Runs'!$A$13:$V$999,22,TRUE),NA())</f>
        <v>https://d0f6bd738d7f1b3e5a7ca70fe4ff75f0.us-east-1.aws.found.io/app/kibana#/discover/Steve-Slow-Train-Analysis-(2080s-and-2083s)?_g=(refreshInterval:(display:Off,pause:!f,section:0,value:0),time:(from:'2017-03-11T06:52:15-0700',mode:absolute,to:'2017-03-11T09:41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4" s="210">
        <f t="shared" si="2"/>
        <v>42800.646527777775</v>
      </c>
      <c r="K4" s="210" t="str">
        <f>D4&amp;"-"&amp;IF(DAY(Variables!$A$2)&lt;10,0,"")&amp;DAY(Variables!$A$2)</f>
        <v>128-11</v>
      </c>
      <c r="L4" s="206">
        <f>IF(VLOOKUP(K4,'Train Runs'!$A$12:$B$999,1,TRUE)=K4,VLOOKUP(K4,'Train Runs'!$A$12:$B$999,2,TRUE),NA())</f>
        <v>4043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449</v>
      </c>
      <c r="C5" s="198" t="s">
        <v>451</v>
      </c>
      <c r="D5" s="212">
        <f>D4+2</f>
        <v>130</v>
      </c>
      <c r="E5" s="30" t="s">
        <v>453</v>
      </c>
      <c r="F5" s="212" t="b">
        <v>1</v>
      </c>
      <c r="G5" s="216" t="str">
        <f t="shared" si="0"/>
        <v>"C:\Program Files (x86)\AstroGrep\AstroGrep.exe" /e /r /s /spath="%USERPROFILE%\AppData\Local\Temp\OnboardLogs" /stypes="*4013*201703061*" /stext=" 15:.+((SYSTEM_STATE.+slice.+state.+changed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15:.+((\|PRM\|1\|D)|(crossing.((167)|(168)|(199)|(200))))" "%USERPROFILE%\AppData\Local\Temp\OnboardLogs"\RTDC4013\*4013*201703061*</v>
      </c>
      <c r="I5" s="214" t="str">
        <f>IF(VLOOKUP(K5,'Train Runs'!$A$13:$V$999,1,TRUE)=K5,VLOOKUP(K5,'Train Runs'!$A$13:$V$999,22,TRUE),NA())</f>
        <v>https://d0f6bd738d7f1b3e5a7ca70fe4ff75f0.us-east-1.aws.found.io/app/kibana#/discover/Steve-Slow-Train-Analysis-(2080s-and-2083s)?_g=(refreshInterval:(display:Off,pause:!f,section:0,value:0),time:(from:'2017-03-11T07:04:33-0700',mode:absolute,to:'2017-03-11T09:57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5" s="210">
        <f t="shared" si="2"/>
        <v>42800.65625</v>
      </c>
      <c r="K5" s="210" t="str">
        <f>D5&amp;"-"&amp;IF(DAY(Variables!$A$2)&lt;10,0,"")&amp;DAY(Variables!$A$2)</f>
        <v>130-11</v>
      </c>
      <c r="L5" s="206">
        <f>IF(VLOOKUP(K5,'Train Runs'!$A$12:$B$999,1,TRUE)=K5,VLOOKUP(K5,'Train Runs'!$A$12:$B$999,2,TRUE),NA())</f>
        <v>4013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449</v>
      </c>
      <c r="C6" s="198" t="s">
        <v>451</v>
      </c>
      <c r="D6" s="212">
        <f>D5+2</f>
        <v>132</v>
      </c>
      <c r="E6" s="30" t="s">
        <v>453</v>
      </c>
      <c r="F6" s="212" t="b">
        <v>1</v>
      </c>
      <c r="G6" s="216" t="str">
        <f t="shared" si="0"/>
        <v>"C:\Program Files (x86)\AstroGrep\AstroGrep.exe" /e /r /s /spath="%USERPROFILE%\AppData\Local\Temp\OnboardLogs" /stypes="*4010*201703061*" /stext=" 16:.+((SYSTEM_STATE.+slice.+state.+changed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16:.+((\|PRM\|1\|D)|(crossing.((167)|(168)|(199)|(200))))" "%USERPROFILE%\AppData\Local\Temp\OnboardLogs"\RTDC4010\*4010*201703061*</v>
      </c>
      <c r="I6" s="214" t="str">
        <f>IF(VLOOKUP(K6,'Train Runs'!$A$13:$V$999,1,TRUE)=K6,VLOOKUP(K6,'Train Runs'!$A$13:$V$999,22,TRUE),NA())</f>
        <v>https://d0f6bd738d7f1b3e5a7ca70fe4ff75f0.us-east-1.aws.found.io/app/kibana#/discover/Steve-Slow-Train-Analysis-(2080s-and-2083s)?_g=(refreshInterval:(display:Off,pause:!f,section:0,value:0),time:(from:'2017-03-11T07:22:02-0700',mode:absolute,to:'2017-03-11T10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6" s="210">
        <f t="shared" si="2"/>
        <v>42800.666666666664</v>
      </c>
      <c r="K6" s="210" t="str">
        <f>D6&amp;"-"&amp;IF(DAY(Variables!$A$2)&lt;10,0,"")&amp;DAY(Variables!$A$2)</f>
        <v>132-11</v>
      </c>
      <c r="L6" s="206">
        <f>IF(VLOOKUP(K6,'Train Runs'!$A$12:$B$999,1,TRUE)=K6,VLOOKUP(K6,'Train Runs'!$A$12:$B$999,2,TRUE),NA())</f>
        <v>4010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449</v>
      </c>
      <c r="C7" s="198" t="s">
        <v>451</v>
      </c>
      <c r="D7" s="212">
        <f t="shared" ref="D7:D11" si="4">D6+2</f>
        <v>134</v>
      </c>
      <c r="E7" s="30" t="s">
        <v>453</v>
      </c>
      <c r="F7" s="212" t="b">
        <v>1</v>
      </c>
      <c r="G7" s="216" t="str">
        <f t="shared" si="0"/>
        <v>"C:\Program Files (x86)\AstroGrep\AstroGrep.exe" /e /r /s /spath="%USERPROFILE%\AppData\Local\Temp\OnboardLogs" /stypes="*4045*201703061*" /stext=" 16:.+((SYSTEM_STATE.+slice.+state.+changed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16:.+((\|PRM\|1\|D)|(crossing.((167)|(168)|(199)|(200))))" "%USERPROFILE%\AppData\Local\Temp\OnboardLogs"\RTDC4045\*4045*201703061*</v>
      </c>
      <c r="I7" s="214" t="str">
        <f>IF(VLOOKUP(K7,'Train Runs'!$A$13:$V$999,1,TRUE)=K7,VLOOKUP(K7,'Train Runs'!$A$13:$V$999,22,TRUE),NA())</f>
        <v>https://d0f6bd738d7f1b3e5a7ca70fe4ff75f0.us-east-1.aws.found.io/app/kibana#/discover/Steve-Slow-Train-Analysis-(2080s-and-2083s)?_g=(refreshInterval:(display:Off,pause:!f,section:0,value:0),time:(from:'2017-03-11T07:33:00-0700',mode:absolute,to:'2017-03-11T10:22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7" s="210">
        <f t="shared" si="2"/>
        <v>42800.674999999996</v>
      </c>
      <c r="K7" s="210" t="str">
        <f>D7&amp;"-"&amp;IF(DAY(Variables!$A$2)&lt;10,0,"")&amp;DAY(Variables!$A$2)</f>
        <v>134-11</v>
      </c>
      <c r="L7" s="206">
        <f>IF(VLOOKUP(K7,'Train Runs'!$A$12:$B$999,1,TRUE)=K7,VLOOKUP(K7,'Train Runs'!$A$12:$B$999,2,TRUE),NA())</f>
        <v>4045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449</v>
      </c>
      <c r="C8" s="198" t="s">
        <v>451</v>
      </c>
      <c r="D8" s="212">
        <f t="shared" si="4"/>
        <v>136</v>
      </c>
      <c r="E8" s="30" t="s">
        <v>453</v>
      </c>
      <c r="F8" s="212" t="b">
        <v>1</v>
      </c>
      <c r="G8" s="216" t="str">
        <f t="shared" si="0"/>
        <v>"C:\Program Files (x86)\AstroGrep\AstroGrep.exe" /e /r /s /spath="%USERPROFILE%\AppData\Local\Temp\OnboardLogs" /stypes="*4039*201703061*" /stext=" 16:.+((SYSTEM_STATE.+slice.+state.+changed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16:.+((\|PRM\|1\|D)|(crossing.((167)|(168)|(199)|(200))))" "%USERPROFILE%\AppData\Local\Temp\OnboardLogs"\RTDC4039\*4039*201703061*</v>
      </c>
      <c r="I8" s="214" t="str">
        <f>IF(VLOOKUP(K8,'Train Runs'!$A$13:$V$999,1,TRUE)=K8,VLOOKUP(K8,'Train Runs'!$A$13:$V$999,22,TRUE),NA())</f>
        <v>https://d0f6bd738d7f1b3e5a7ca70fe4ff75f0.us-east-1.aws.found.io/app/kibana#/discover/Steve-Slow-Train-Analysis-(2080s-and-2083s)?_g=(refreshInterval:(display:Off,pause:!f,section:0,value:0),time:(from:'2017-03-11T07:49:18-0700',mode:absolute,to:'2017-03-11T10:39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8" s="210">
        <f t="shared" si="2"/>
        <v>42800.685416666667</v>
      </c>
      <c r="K8" s="210" t="str">
        <f>D8&amp;"-"&amp;IF(DAY(Variables!$A$2)&lt;10,0,"")&amp;DAY(Variables!$A$2)</f>
        <v>136-11</v>
      </c>
      <c r="L8" s="206">
        <f>IF(VLOOKUP(K8,'Train Runs'!$A$12:$B$999,1,TRUE)=K8,VLOOKUP(K8,'Train Runs'!$A$12:$B$999,2,TRUE),NA())</f>
        <v>4039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449</v>
      </c>
      <c r="C9" s="198" t="s">
        <v>451</v>
      </c>
      <c r="D9" s="212">
        <f t="shared" si="4"/>
        <v>138</v>
      </c>
      <c r="E9" s="30" t="s">
        <v>453</v>
      </c>
      <c r="F9" s="212" t="b">
        <v>1</v>
      </c>
      <c r="G9" s="216" t="str">
        <f t="shared" si="0"/>
        <v>"C:\Program Files (x86)\AstroGrep\AstroGrep.exe" /e /r /s /spath="%USERPROFILE%\AppData\Local\Temp\OnboardLogs" /stypes="*4005*201703061*" /stext=" 16:.+((SYSTEM_STATE.+slice.+state.+changed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16:.+((\|PRM\|1\|D)|(crossing.((167)|(168)|(199)|(200))))" "%USERPROFILE%\AppData\Local\Temp\OnboardLogs"\RTDC4005\*4005*201703061*</v>
      </c>
      <c r="I9" s="214" t="str">
        <f>IF(VLOOKUP(K9,'Train Runs'!$A$13:$V$999,1,TRUE)=K9,VLOOKUP(K9,'Train Runs'!$A$13:$V$999,22,TRUE),NA())</f>
        <v>https://d0f6bd738d7f1b3e5a7ca70fe4ff75f0.us-east-1.aws.found.io/app/kibana#/discover/Steve-Slow-Train-Analysis-(2080s-and-2083s)?_g=(refreshInterval:(display:Off,pause:!f,section:0,value:0),time:(from:'2017-03-11T07:56:09-0700',mode:absolute,to:'2017-03-11T10:52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9" s="210">
        <f t="shared" si="2"/>
        <v>42800.696527777778</v>
      </c>
      <c r="K9" s="210" t="str">
        <f>D9&amp;"-"&amp;IF(DAY(Variables!$A$2)&lt;10,0,"")&amp;DAY(Variables!$A$2)</f>
        <v>138-11</v>
      </c>
      <c r="L9" s="206">
        <f>IF(VLOOKUP(K9,'Train Runs'!$A$12:$B$999,1,TRUE)=K9,VLOOKUP(K9,'Train Runs'!$A$12:$B$999,2,TRUE),NA())</f>
        <v>4005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449</v>
      </c>
      <c r="C10" s="198" t="s">
        <v>451</v>
      </c>
      <c r="D10" s="212">
        <f t="shared" si="4"/>
        <v>140</v>
      </c>
      <c r="E10" s="30" t="s">
        <v>453</v>
      </c>
      <c r="F10" s="212" t="b">
        <v>1</v>
      </c>
      <c r="G10" s="216" t="str">
        <f t="shared" si="0"/>
        <v>"C:\Program Files (x86)\AstroGrep\AstroGrep.exe" /e /r /s /spath="%USERPROFILE%\AppData\Local\Temp\OnboardLogs" /stypes="*4030*201703061*" /stext=" 16:.+((SYSTEM_STATE.+slice.+state.+changed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16:.+((\|PRM\|1\|D)|(crossing.((167)|(168)|(199)|(200))))" "%USERPROFILE%\AppData\Local\Temp\OnboardLogs"\RTDC4030\*4030*201703061*</v>
      </c>
      <c r="I10" s="214" t="str">
        <f>IF(VLOOKUP(K10,'Train Runs'!$A$13:$V$999,1,TRUE)=K10,VLOOKUP(K10,'Train Runs'!$A$13:$V$999,22,TRUE),NA())</f>
        <v>https://d0f6bd738d7f1b3e5a7ca70fe4ff75f0.us-east-1.aws.found.io/app/kibana#/discover/Steve-Slow-Train-Analysis-(2080s-and-2083s)?_g=(refreshInterval:(display:Off,pause:!f,section:0,value:0),time:(from:'2017-03-11T08:21:43-0700',mode:absolute,to:'2017-03-11T11:06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10" s="210">
        <f t="shared" si="2"/>
        <v>42800.707638888889</v>
      </c>
      <c r="K10" s="210" t="str">
        <f>D10&amp;"-"&amp;IF(DAY(Variables!$A$2)&lt;10,0,"")&amp;DAY(Variables!$A$2)</f>
        <v>140-11</v>
      </c>
      <c r="L10" s="206">
        <f>IF(VLOOKUP(K10,'Train Runs'!$A$12:$B$999,1,TRUE)=K10,VLOOKUP(K10,'Train Runs'!$A$12:$B$999,2,TRUE),NA())</f>
        <v>4030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449</v>
      </c>
      <c r="C11" s="198" t="s">
        <v>451</v>
      </c>
      <c r="D11" s="212">
        <f t="shared" si="4"/>
        <v>142</v>
      </c>
      <c r="E11" s="30" t="s">
        <v>453</v>
      </c>
      <c r="F11" s="212" t="b">
        <v>1</v>
      </c>
      <c r="G11" s="216" t="str">
        <f t="shared" si="0"/>
        <v>"C:\Program Files (x86)\AstroGrep\AstroGrep.exe" /e /r /s /spath="%USERPROFILE%\AppData\Local\Temp\OnboardLogs" /stypes="*4043*201703061*" /stext=" 17:.+((SYSTEM_STATE.+slice.+state.+changed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17:.+((\|PRM\|1\|D)|(crossing.((167)|(168)|(199)|(200))))" "%USERPROFILE%\AppData\Local\Temp\OnboardLogs"\RTDC4043\*4043*201703061*</v>
      </c>
      <c r="I11" s="214" t="str">
        <f>IF(VLOOKUP(K11,'Train Runs'!$A$13:$V$999,1,TRUE)=K11,VLOOKUP(K11,'Train Runs'!$A$13:$V$999,22,TRUE),NA())</f>
        <v>https://d0f6bd738d7f1b3e5a7ca70fe4ff75f0.us-east-1.aws.found.io/app/kibana#/discover/Steve-Slow-Train-Analysis-(2080s-and-2083s)?_g=(refreshInterval:(display:Off,pause:!f,section:0,value:0),time:(from:'2017-03-11T08:33:18-0700',mode:absolute,to:'2017-03-11T11:25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1" s="210">
        <f t="shared" si="2"/>
        <v>42800.716666666667</v>
      </c>
      <c r="K11" s="210" t="str">
        <f>D11&amp;"-"&amp;IF(DAY(Variables!$A$2)&lt;10,0,"")&amp;DAY(Variables!$A$2)</f>
        <v>142-11</v>
      </c>
      <c r="L11" s="206">
        <f>IF(VLOOKUP(K11,'Train Runs'!$A$12:$B$999,1,TRUE)=K11,VLOOKUP(K11,'Train Runs'!$A$12:$B$999,2,TRUE),NA())</f>
        <v>4043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449</v>
      </c>
      <c r="C12" s="198" t="s">
        <v>451</v>
      </c>
      <c r="D12" s="212">
        <v>144</v>
      </c>
      <c r="E12" s="30" t="s">
        <v>453</v>
      </c>
      <c r="F12" s="212" t="b">
        <v>1</v>
      </c>
      <c r="G12" s="216" t="str">
        <f t="shared" si="0"/>
        <v>"C:\Program Files (x86)\AstroGrep\AstroGrep.exe" /e /r /s /spath="%USERPROFILE%\AppData\Local\Temp\OnboardLogs" /stypes="*4013*201703061*" /stext=" 17:.+((SYSTEM_STATE.+slice.+state.+changed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17:.+((\|PRM\|1\|D)|(crossing.((167)|(168)|(199)|(200))))" "%USERPROFILE%\AppData\Local\Temp\OnboardLogs"\RTDC4013\*4013*201703061*</v>
      </c>
      <c r="I12" s="214" t="str">
        <f>IF(VLOOKUP(K12,'Train Runs'!$A$13:$V$999,1,TRUE)=K12,VLOOKUP(K12,'Train Runs'!$A$13:$V$999,22,TRUE),NA())</f>
        <v>https://d0f6bd738d7f1b3e5a7ca70fe4ff75f0.us-east-1.aws.found.io/app/kibana#/discover/Steve-Slow-Train-Analysis-(2080s-and-2083s)?_g=(refreshInterval:(display:Off,pause:!f,section:0,value:0),time:(from:'2017-03-11T08:50:57-0700',mode:absolute,to:'2017-03-11T11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2" s="210">
        <f t="shared" si="2"/>
        <v>42800.727083333331</v>
      </c>
      <c r="K12" s="210" t="str">
        <f>D12&amp;"-"&amp;IF(DAY(Variables!$A$2)&lt;10,0,"")&amp;DAY(Variables!$A$2)</f>
        <v>144-11</v>
      </c>
      <c r="L12" s="206">
        <f>IF(VLOOKUP(K12,'Train Runs'!$A$12:$B$999,1,TRUE)=K12,VLOOKUP(K12,'Train Runs'!$A$12:$B$999,2,TRUE),NA())</f>
        <v>4013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449</v>
      </c>
      <c r="C13" s="198" t="s">
        <v>451</v>
      </c>
      <c r="D13" s="212">
        <v>146</v>
      </c>
      <c r="E13" s="30" t="s">
        <v>453</v>
      </c>
      <c r="F13" s="212" t="b">
        <v>1</v>
      </c>
      <c r="G13" s="216" t="str">
        <f t="shared" si="0"/>
        <v>"C:\Program Files (x86)\AstroGrep\AstroGrep.exe" /e /r /s /spath="%USERPROFILE%\AppData\Local\Temp\OnboardLogs" /stypes="*4010*201703061*" /stext=" 17:.+((SYSTEM_STATE.+slice.+state.+changed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17:.+((\|PRM\|1\|D)|(crossing.((167)|(168)|(199)|(200))))" "%USERPROFILE%\AppData\Local\Temp\OnboardLogs"\RTDC4010\*4010*201703061*</v>
      </c>
      <c r="I13" s="214" t="str">
        <f>IF(VLOOKUP(K13,'Train Runs'!$A$13:$V$999,1,TRUE)=K13,VLOOKUP(K13,'Train Runs'!$A$13:$V$999,22,TRUE),NA())</f>
        <v>https://d0f6bd738d7f1b3e5a7ca70fe4ff75f0.us-east-1.aws.found.io/app/kibana#/discover/Steve-Slow-Train-Analysis-(2080s-and-2083s)?_g=(refreshInterval:(display:Off,pause:!f,section:0,value:0),time:(from:'2017-03-11T09:03:21-0700',mode:absolute,to:'2017-03-11T11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13" s="210">
        <f t="shared" si="2"/>
        <v>42800.737499999996</v>
      </c>
      <c r="K13" s="210" t="str">
        <f>D13&amp;"-"&amp;IF(DAY(Variables!$A$2)&lt;10,0,"")&amp;DAY(Variables!$A$2)</f>
        <v>146-11</v>
      </c>
      <c r="L13" s="206">
        <f>IF(VLOOKUP(K13,'Train Runs'!$A$12:$B$999,1,TRUE)=K13,VLOOKUP(K13,'Train Runs'!$A$12:$B$999,2,TRUE),NA())</f>
        <v>4010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449</v>
      </c>
      <c r="C14" s="198" t="s">
        <v>451</v>
      </c>
      <c r="D14" s="212">
        <v>148</v>
      </c>
      <c r="E14" s="30" t="s">
        <v>457</v>
      </c>
      <c r="F14" s="212" t="b">
        <v>1</v>
      </c>
      <c r="G14" s="216" t="str">
        <f t="shared" si="0"/>
        <v>"C:\Program Files (x86)\AstroGrep\AstroGrep.exe" /e /r /s /spath="%USERPROFILE%\AppData\Local\Temp\OnboardLogs" /stypes="*4045*201703061*" /stext=" 17:.+((SYSTEM_STATE.+slice.+state.+changed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17:.+((\|PRM\|1\|D)|(crossing.((167)|(168)|(199)|(200))))" "%USERPROFILE%\AppData\Local\Temp\OnboardLogs"\RTDC4045\*4045*201703061*</v>
      </c>
      <c r="I14" s="214" t="str">
        <f>IF(VLOOKUP(K14,'Train Runs'!$A$13:$V$999,1,TRUE)=K14,VLOOKUP(K14,'Train Runs'!$A$13:$V$999,22,TRUE),NA())</f>
        <v>https://d0f6bd738d7f1b3e5a7ca70fe4ff75f0.us-east-1.aws.found.io/app/kibana#/discover/Steve-Slow-Train-Analysis-(2080s-and-2083s)?_g=(refreshInterval:(display:Off,pause:!f,section:0,value:0),time:(from:'2017-03-11T09:14:01-0700',mode:absolute,to:'2017-03-11T12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4" s="210">
        <f t="shared" si="2"/>
        <v>42800.748611111107</v>
      </c>
      <c r="K14" s="210" t="str">
        <f>D14&amp;"-"&amp;IF(DAY(Variables!$A$2)&lt;10,0,"")&amp;DAY(Variables!$A$2)</f>
        <v>148-11</v>
      </c>
      <c r="L14" s="206">
        <f>IF(VLOOKUP(K14,'Train Runs'!$A$12:$B$999,1,TRUE)=K14,VLOOKUP(K14,'Train Runs'!$A$12:$B$999,2,TRUE),NA())</f>
        <v>4045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449</v>
      </c>
      <c r="C15" s="198" t="s">
        <v>451</v>
      </c>
      <c r="D15" s="212">
        <v>178</v>
      </c>
      <c r="E15" s="30" t="s">
        <v>458</v>
      </c>
      <c r="F15" s="212" t="b">
        <v>1</v>
      </c>
      <c r="G15" s="216" t="str">
        <f t="shared" si="0"/>
        <v>"C:\Program Files (x86)\AstroGrep\AstroGrep.exe" /e /r /s /spath="%USERPROFILE%\AppData\Local\Temp\OnboardLogs" /stypes="*4039*201703062*" /stext=" 21:.+((SYSTEM_STATE.+slice.+state.+changed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21:.+((\|PRM\|1\|D)|(crossing.((167)|(168)|(199)|(200))))" "%USERPROFILE%\AppData\Local\Temp\OnboardLogs"\RTDC4039\*4039*201703062*</v>
      </c>
      <c r="I15" s="214" t="str">
        <f>IF(VLOOKUP(K15,'Train Runs'!$A$13:$V$999,1,TRUE)=K15,VLOOKUP(K15,'Train Runs'!$A$13:$V$999,22,TRUE),NA())</f>
        <v>https://d0f6bd738d7f1b3e5a7ca70fe4ff75f0.us-east-1.aws.found.io/app/kibana#/discover/Steve-Slow-Train-Analysis-(2080s-and-2083s)?_g=(refreshInterval:(display:Off,pause:!f,section:0,value:0),time:(from:'2017-03-11T13:04:21-0700',mode:absolute,to:'2017-03-11T15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5" s="210">
        <f t="shared" si="2"/>
        <v>42800.90625</v>
      </c>
      <c r="K15" s="210" t="str">
        <f>D15&amp;"-"&amp;IF(DAY(Variables!$A$2)&lt;10,0,"")&amp;DAY(Variables!$A$2)</f>
        <v>178-11</v>
      </c>
      <c r="L15" s="206">
        <f>IF(VLOOKUP(K15,'Train Runs'!$A$12:$B$999,1,TRUE)=K15,VLOOKUP(K15,'Train Runs'!$A$12:$B$999,2,TRUE),NA())</f>
        <v>4039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449</v>
      </c>
      <c r="C16" s="198" t="s">
        <v>451</v>
      </c>
      <c r="D16" s="212">
        <v>194</v>
      </c>
      <c r="E16" s="30" t="s">
        <v>458</v>
      </c>
      <c r="F16" s="212" t="b">
        <v>1</v>
      </c>
      <c r="G16" s="216" t="str">
        <f t="shared" si="0"/>
        <v>"C:\Program Files (x86)\AstroGrep\AstroGrep.exe" /e /r /s /spath="%USERPROFILE%\AppData\Local\Temp\OnboardLogs" /stypes="*4005*201703062*" /stext=" 23:.+((SYSTEM_STATE.+slice.+state.+changed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23:.+((\|PRM\|1\|D)|(crossing.((167)|(168)|(199)|(200))))" "%USERPROFILE%\AppData\Local\Temp\OnboardLogs"\RTDC4005\*4005*201703062*</v>
      </c>
      <c r="I16" s="214" t="str">
        <f>IF(VLOOKUP(K16,'Train Runs'!$A$13:$V$999,1,TRUE)=K16,VLOOKUP(K16,'Train Runs'!$A$13:$V$999,22,TRUE),NA())</f>
        <v>https://d0f6bd738d7f1b3e5a7ca70fe4ff75f0.us-east-1.aws.found.io/app/kibana#/discover/Steve-Slow-Train-Analysis-(2080s-and-2083s)?_g=(refreshInterval:(display:Off,pause:!f,section:0,value:0),time:(from:'2017-03-11T15:05:30-0700',mode:absolute,to:'2017-03-11T17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16" s="210">
        <f t="shared" si="2"/>
        <v>42800.990972222222</v>
      </c>
      <c r="K16" s="210" t="str">
        <f>D16&amp;"-"&amp;IF(DAY(Variables!$A$2)&lt;10,0,"")&amp;DAY(Variables!$A$2)</f>
        <v>194-11</v>
      </c>
      <c r="L16" s="206">
        <f>IF(VLOOKUP(K16,'Train Runs'!$A$12:$B$999,1,TRUE)=K16,VLOOKUP(K16,'Train Runs'!$A$12:$B$999,2,TRUE),NA())</f>
        <v>4005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449</v>
      </c>
      <c r="C17" s="198" t="s">
        <v>451</v>
      </c>
      <c r="D17" s="212">
        <v>206</v>
      </c>
      <c r="E17" s="30" t="s">
        <v>453</v>
      </c>
      <c r="F17" s="212" t="b">
        <v>1</v>
      </c>
      <c r="G17" s="216" t="str">
        <f t="shared" si="0"/>
        <v>"C:\Program Files (x86)\AstroGrep\AstroGrep.exe" /e /r /s /spath="%USERPROFILE%\AppData\Local\Temp\OnboardLogs" /stypes="*4039*201703070*" /stext=" 01:.+((SYSTEM_STATE.+slice.+state.+changed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01:.+((\|PRM\|1\|D)|(crossing.((167)|(168)|(199)|(200))))" "%USERPROFILE%\AppData\Local\Temp\OnboardLogs"\RTDC4039\*4039*201703070*</v>
      </c>
      <c r="I17" s="214" t="str">
        <f>IF(VLOOKUP(K17,'Train Runs'!$A$13:$V$999,1,TRUE)=K17,VLOOKUP(K17,'Train Runs'!$A$13:$V$999,22,TRUE),NA())</f>
        <v>https://d0f6bd738d7f1b3e5a7ca70fe4ff75f0.us-east-1.aws.found.io/app/kibana#/discover/Steve-Slow-Train-Analysis-(2080s-and-2083s)?_g=(refreshInterval:(display:Off,pause:!f,section:0,value:0),time:(from:'2017-03-11T16:34:05-0700',mode:absolute,to:'2017-03-11T19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7" s="210">
        <f t="shared" si="2"/>
        <v>42801.063194444439</v>
      </c>
      <c r="K17" s="210" t="str">
        <f>D17&amp;"-"&amp;IF(DAY(Variables!$A$2)&lt;10,0,"")&amp;DAY(Variables!$A$2)</f>
        <v>206-11</v>
      </c>
      <c r="L17" s="206">
        <f>IF(VLOOKUP(K17,'Train Runs'!$A$12:$B$999,1,TRUE)=K17,VLOOKUP(K17,'Train Runs'!$A$12:$B$999,2,TRUE),NA())</f>
        <v>4039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449</v>
      </c>
      <c r="C18" s="198" t="s">
        <v>451</v>
      </c>
      <c r="D18" s="212">
        <v>210</v>
      </c>
      <c r="E18" s="30" t="s">
        <v>453</v>
      </c>
      <c r="F18" s="212" t="b">
        <v>1</v>
      </c>
      <c r="G18" s="216" t="str">
        <f t="shared" si="0"/>
        <v>"C:\Program Files (x86)\AstroGrep\AstroGrep.exe" /e /r /s /spath="%USERPROFILE%\AppData\Local\Temp\OnboardLogs" /stypes="*4030*201703070*" /stext=" 01:.+((SYSTEM_STATE.+slice.+state.+changed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01:.+((\|PRM\|1\|D)|(crossing.((167)|(168)|(199)|(200))))" "%USERPROFILE%\AppData\Local\Temp\OnboardLogs"\RTDC4030\*4030*201703070*</v>
      </c>
      <c r="I18" s="214" t="str">
        <f>IF(VLOOKUP(K18,'Train Runs'!$A$13:$V$999,1,TRUE)=K18,VLOOKUP(K18,'Train Runs'!$A$13:$V$999,22,TRUE),NA())</f>
        <v>https://d0f6bd738d7f1b3e5a7ca70fe4ff75f0.us-east-1.aws.found.io/app/kibana#/discover/Steve-Slow-Train-Analysis-(2080s-and-2083s)?_g=(refreshInterval:(display:Off,pause:!f,section:0,value:0),time:(from:'2017-03-11T17:05:05-0700',mode:absolute,to:'2017-03-11T19:51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18" s="210">
        <f t="shared" si="2"/>
        <v>42801.076388888883</v>
      </c>
      <c r="K18" s="210" t="str">
        <f>D18&amp;"-"&amp;IF(DAY(Variables!$A$2)&lt;10,0,"")&amp;DAY(Variables!$A$2)</f>
        <v>210-11</v>
      </c>
      <c r="L18" s="206">
        <f>IF(VLOOKUP(K18,'Train Runs'!$A$12:$B$999,1,TRUE)=K18,VLOOKUP(K18,'Train Runs'!$A$12:$B$999,2,TRUE),NA())</f>
        <v>4030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449</v>
      </c>
      <c r="C19" s="198" t="s">
        <v>451</v>
      </c>
      <c r="D19" s="212">
        <f>D18+2</f>
        <v>212</v>
      </c>
      <c r="E19" s="30" t="s">
        <v>453</v>
      </c>
      <c r="F19" s="212" t="b">
        <v>1</v>
      </c>
      <c r="G19" s="216" t="str">
        <f t="shared" si="0"/>
        <v>"C:\Program Files (x86)\AstroGrep\AstroGrep.exe" /e /r /s /spath="%USERPROFILE%\AppData\Local\Temp\OnboardLogs" /stypes="*4043*201703070*" /stext=" 01:.+((SYSTEM_STATE.+slice.+state.+changed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01:.+((\|PRM\|1\|D)|(crossing.((167)|(168)|(199)|(200))))" "%USERPROFILE%\AppData\Local\Temp\OnboardLogs"\RTDC4043\*4043*201703070*</v>
      </c>
      <c r="I19" s="214" t="str">
        <f>IF(VLOOKUP(K19,'Train Runs'!$A$13:$V$999,1,TRUE)=K19,VLOOKUP(K19,'Train Runs'!$A$13:$V$999,22,TRUE),NA())</f>
        <v>https://d0f6bd738d7f1b3e5a7ca70fe4ff75f0.us-east-1.aws.found.io/app/kibana#/discover/Steve-Slow-Train-Analysis-(2080s-and-2083s)?_g=(refreshInterval:(display:Off,pause:!f,section:0,value:0),time:(from:'2017-03-11T17:12:45-0700',mode:absolute,to:'2017-03-11T20:03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9" s="210">
        <f t="shared" si="2"/>
        <v>42801.081944444442</v>
      </c>
      <c r="K19" s="210" t="str">
        <f>D19&amp;"-"&amp;IF(DAY(Variables!$A$2)&lt;10,0,"")&amp;DAY(Variables!$A$2)</f>
        <v>212-11</v>
      </c>
      <c r="L19" s="206">
        <f>IF(VLOOKUP(K19,'Train Runs'!$A$12:$B$999,1,TRUE)=K19,VLOOKUP(K19,'Train Runs'!$A$12:$B$999,2,TRUE),NA())</f>
        <v>4043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449</v>
      </c>
      <c r="C20" s="198" t="s">
        <v>451</v>
      </c>
      <c r="D20" s="212">
        <v>214</v>
      </c>
      <c r="E20" s="30" t="s">
        <v>453</v>
      </c>
      <c r="F20" s="212" t="b">
        <v>1</v>
      </c>
      <c r="G20" s="216" t="str">
        <f t="shared" si="0"/>
        <v>"C:\Program Files (x86)\AstroGrep\AstroGrep.exe" /e /r /s /spath="%USERPROFILE%\AppData\Local\Temp\OnboardLogs" /stypes="*4013*201703070*" /stext=" 02:.+((SYSTEM_STATE.+slice.+state.+changed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02:.+((\|PRM\|1\|D)|(crossing.((167)|(168)|(199)|(200))))" "%USERPROFILE%\AppData\Local\Temp\OnboardLogs"\RTDC4013\*4013*201703070*</v>
      </c>
      <c r="I20" s="214" t="str">
        <f>IF(VLOOKUP(K20,'Train Runs'!$A$13:$V$999,1,TRUE)=K20,VLOOKUP(K20,'Train Runs'!$A$13:$V$999,22,TRUE),NA())</f>
        <v>https://d0f6bd738d7f1b3e5a7ca70fe4ff75f0.us-east-1.aws.found.io/app/kibana#/discover/Steve-Slow-Train-Analysis-(2080s-and-2083s)?_g=(refreshInterval:(display:Off,pause:!f,section:0,value:0),time:(from:'2017-03-11T17:28:13-0700',mode:absolute,to:'2017-03-11T20:22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0" s="210">
        <f t="shared" si="2"/>
        <v>42801.095138888886</v>
      </c>
      <c r="K20" s="210" t="str">
        <f>D20&amp;"-"&amp;IF(DAY(Variables!$A$2)&lt;10,0,"")&amp;DAY(Variables!$A$2)</f>
        <v>214-11</v>
      </c>
      <c r="L20" s="206">
        <f>IF(VLOOKUP(K20,'Train Runs'!$A$12:$B$999,1,TRUE)=K20,VLOOKUP(K20,'Train Runs'!$A$12:$B$999,2,TRUE),NA())</f>
        <v>4013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449</v>
      </c>
      <c r="C21" s="198" t="s">
        <v>451</v>
      </c>
      <c r="D21" s="212">
        <v>216</v>
      </c>
      <c r="E21" s="30" t="s">
        <v>453</v>
      </c>
      <c r="F21" s="212" t="b">
        <v>1</v>
      </c>
      <c r="G21" s="216" t="str">
        <f t="shared" si="0"/>
        <v>"C:\Program Files (x86)\AstroGrep\AstroGrep.exe" /e /r /s /spath="%USERPROFILE%\AppData\Local\Temp\OnboardLogs" /stypes="*4010*201703070*" /stext=" 02:.+((SYSTEM_STATE.+slice.+state.+changed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02:.+((\|PRM\|1\|D)|(crossing.((167)|(168)|(199)|(200))))" "%USERPROFILE%\AppData\Local\Temp\OnboardLogs"\RTDC4010\*4010*201703070*</v>
      </c>
      <c r="I21" s="214" t="str">
        <f>IF(VLOOKUP(K21,'Train Runs'!$A$13:$V$999,1,TRUE)=K21,VLOOKUP(K21,'Train Runs'!$A$13:$V$999,22,TRUE),NA())</f>
        <v>https://d0f6bd738d7f1b3e5a7ca70fe4ff75f0.us-east-1.aws.found.io/app/kibana#/discover/Steve-Slow-Train-Analysis-(2080s-and-2083s)?_g=(refreshInterval:(display:Off,pause:!f,section:0,value:0),time:(from:'2017-03-11T17:38:45-0700',mode:absolute,to:'2017-03-11T20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21" s="210">
        <f t="shared" si="2"/>
        <v>42801.111111111109</v>
      </c>
      <c r="K21" s="210" t="str">
        <f>D21&amp;"-"&amp;IF(DAY(Variables!$A$2)&lt;10,0,"")&amp;DAY(Variables!$A$2)</f>
        <v>216-11</v>
      </c>
      <c r="L21" s="206">
        <f>IF(VLOOKUP(K21,'Train Runs'!$A$12:$B$999,1,TRUE)=K21,VLOOKUP(K21,'Train Runs'!$A$12:$B$999,2,TRUE),NA())</f>
        <v>4010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449</v>
      </c>
      <c r="C22" s="198" t="s">
        <v>451</v>
      </c>
      <c r="D22" s="212">
        <f>D21+2</f>
        <v>218</v>
      </c>
      <c r="E22" s="30" t="s">
        <v>453</v>
      </c>
      <c r="F22" s="212" t="b">
        <v>1</v>
      </c>
      <c r="G22" s="216" t="str">
        <f t="shared" si="0"/>
        <v>"C:\Program Files (x86)\AstroGrep\AstroGrep.exe" /e /r /s /spath="%USERPROFILE%\AppData\Local\Temp\OnboardLogs" /stypes="*4045*201703070*" /stext=" 02:.+((SYSTEM_STATE.+slice.+state.+changed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02:.+((\|PRM\|1\|D)|(crossing.((167)|(168)|(199)|(200))))" "%USERPROFILE%\AppData\Local\Temp\OnboardLogs"\RTDC4045\*4045*201703070*</v>
      </c>
      <c r="I22" s="214" t="str">
        <f>IF(VLOOKUP(K22,'Train Runs'!$A$13:$V$999,1,TRUE)=K22,VLOOKUP(K22,'Train Runs'!$A$13:$V$999,22,TRUE),NA())</f>
        <v>https://d0f6bd738d7f1b3e5a7ca70fe4ff75f0.us-east-1.aws.found.io/app/kibana#/discover/Steve-Slow-Train-Analysis-(2080s-and-2083s)?_g=(refreshInterval:(display:Off,pause:!f,section:0,value:0),time:(from:'2017-03-11T17:56:37-0700',mode:absolute,to:'2017-03-11T20:53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2" s="210">
        <f t="shared" si="2"/>
        <v>42801.120138888888</v>
      </c>
      <c r="K22" s="210" t="str">
        <f>D22&amp;"-"&amp;IF(DAY(Variables!$A$2)&lt;10,0,"")&amp;DAY(Variables!$A$2)</f>
        <v>218-11</v>
      </c>
      <c r="L22" s="206">
        <f>IF(VLOOKUP(K22,'Train Runs'!$A$12:$B$999,1,TRUE)=K22,VLOOKUP(K22,'Train Runs'!$A$12:$B$999,2,TRUE),NA())</f>
        <v>4045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449</v>
      </c>
      <c r="C23" s="198" t="s">
        <v>451</v>
      </c>
      <c r="D23" s="212">
        <f>D22+2</f>
        <v>220</v>
      </c>
      <c r="E23" s="30" t="s">
        <v>453</v>
      </c>
      <c r="F23" s="212" t="b">
        <v>1</v>
      </c>
      <c r="G23" s="216" t="e">
        <f t="shared" si="0"/>
        <v>#N/A</v>
      </c>
      <c r="H23" s="218" t="e">
        <f t="shared" si="1"/>
        <v>#N/A</v>
      </c>
      <c r="I23" s="214" t="e">
        <f>IF(VLOOKUP(K23,'Train Runs'!$A$13:$V$999,1,TRUE)=K23,VLOOKUP(K23,'Train Runs'!$A$13:$V$999,22,TRUE),NA())</f>
        <v>#N/A</v>
      </c>
      <c r="J23" s="210">
        <f t="shared" si="2"/>
        <v>42801.127083333333</v>
      </c>
      <c r="K23" s="210" t="str">
        <f>D23&amp;"-"&amp;IF(DAY(Variables!$A$2)&lt;10,0,"")&amp;DAY(Variables!$A$2)</f>
        <v>220-11</v>
      </c>
      <c r="L23" s="206" t="e">
        <f>IF(VLOOKUP(K23,'Train Runs'!$A$12:$B$999,1,TRUE)=K23,VLOOKUP(K23,'Train Runs'!$A$12:$B$999,2,TRUE),NA())</f>
        <v>#N/A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449</v>
      </c>
      <c r="C24" s="198" t="s">
        <v>451</v>
      </c>
      <c r="D24" s="212">
        <f>D23+2</f>
        <v>222</v>
      </c>
      <c r="E24" s="30" t="s">
        <v>453</v>
      </c>
      <c r="F24" s="212" t="b">
        <v>1</v>
      </c>
      <c r="G24" s="216" t="e">
        <f t="shared" si="0"/>
        <v>#N/A</v>
      </c>
      <c r="H24" s="218" t="e">
        <f t="shared" si="1"/>
        <v>#N/A</v>
      </c>
      <c r="I24" s="214" t="e">
        <f>IF(VLOOKUP(K24,'Train Runs'!$A$13:$V$999,1,TRUE)=K24,VLOOKUP(K24,'Train Runs'!$A$13:$V$999,22,TRUE),NA())</f>
        <v>#N/A</v>
      </c>
      <c r="J24" s="210">
        <f t="shared" si="2"/>
        <v>42801.145833333328</v>
      </c>
      <c r="K24" s="210" t="str">
        <f>D24&amp;"-"&amp;IF(DAY(Variables!$A$2)&lt;10,0,"")&amp;DAY(Variables!$A$2)</f>
        <v>222-11</v>
      </c>
      <c r="L24" s="206" t="e">
        <f>IF(VLOOKUP(K24,'Train Runs'!$A$12:$B$999,1,TRUE)=K24,VLOOKUP(K24,'Train Runs'!$A$12:$B$999,2,TRUE),NA())</f>
        <v>#N/A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449</v>
      </c>
      <c r="C25" s="198" t="s">
        <v>451</v>
      </c>
      <c r="D25" s="212">
        <f>D24+2</f>
        <v>224</v>
      </c>
      <c r="E25" s="30" t="s">
        <v>453</v>
      </c>
      <c r="F25" s="212" t="b">
        <v>1</v>
      </c>
      <c r="G25" s="216" t="e">
        <f t="shared" si="0"/>
        <v>#N/A</v>
      </c>
      <c r="H25" s="218" t="e">
        <f t="shared" si="1"/>
        <v>#N/A</v>
      </c>
      <c r="I25" s="214" t="e">
        <f>IF(VLOOKUP(K25,'Train Runs'!$A$13:$V$999,1,TRUE)=K25,VLOOKUP(K25,'Train Runs'!$A$13:$V$999,22,TRUE),NA())</f>
        <v>#N/A</v>
      </c>
      <c r="J25" s="210">
        <f t="shared" si="2"/>
        <v>42801.164583333331</v>
      </c>
      <c r="K25" s="210" t="str">
        <f>D25&amp;"-"&amp;IF(DAY(Variables!$A$2)&lt;10,0,"")&amp;DAY(Variables!$A$2)</f>
        <v>224-11</v>
      </c>
      <c r="L25" s="206" t="e">
        <f>IF(VLOOKUP(K25,'Train Runs'!$A$12:$B$999,1,TRUE)=K25,VLOOKUP(K25,'Train Runs'!$A$12:$B$999,2,TRUE),NA())</f>
        <v>#N/A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449</v>
      </c>
      <c r="C26" s="198" t="s">
        <v>451</v>
      </c>
      <c r="D26" s="212">
        <f>D25+2</f>
        <v>226</v>
      </c>
      <c r="E26" s="30" t="s">
        <v>453</v>
      </c>
      <c r="F26" s="212" t="b">
        <v>1</v>
      </c>
      <c r="G26" s="216" t="e">
        <f t="shared" si="0"/>
        <v>#N/A</v>
      </c>
      <c r="H26" s="218" t="e">
        <f t="shared" si="1"/>
        <v>#N/A</v>
      </c>
      <c r="I26" s="214" t="e">
        <f>IF(VLOOKUP(K26,'Train Runs'!$A$13:$V$999,1,TRUE)=K26,VLOOKUP(K26,'Train Runs'!$A$13:$V$999,22,TRUE),NA())</f>
        <v>#N/A</v>
      </c>
      <c r="J26" s="210">
        <f t="shared" si="2"/>
        <v>42801.186805555553</v>
      </c>
      <c r="K26" s="210" t="str">
        <f>D26&amp;"-"&amp;IF(DAY(Variables!$A$2)&lt;10,0,"")&amp;DAY(Variables!$A$2)</f>
        <v>226-11</v>
      </c>
      <c r="L26" s="206" t="e">
        <f>IF(VLOOKUP(K26,'Train Runs'!$A$12:$B$999,1,TRUE)=K26,VLOOKUP(K26,'Train Runs'!$A$12:$B$999,2,TRUE),NA())</f>
        <v>#N/A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449</v>
      </c>
      <c r="C27" s="198" t="s">
        <v>451</v>
      </c>
      <c r="D27" s="212">
        <f t="shared" ref="D27:D33" si="5">D26+2</f>
        <v>228</v>
      </c>
      <c r="E27" s="30" t="s">
        <v>453</v>
      </c>
      <c r="F27" s="212" t="b">
        <v>1</v>
      </c>
      <c r="G27" s="216" t="e">
        <f t="shared" si="0"/>
        <v>#N/A</v>
      </c>
      <c r="H27" s="218" t="e">
        <f t="shared" si="1"/>
        <v>#N/A</v>
      </c>
      <c r="I27" s="214" t="e">
        <f>IF(VLOOKUP(K27,'Train Runs'!$A$13:$V$999,1,TRUE)=K27,VLOOKUP(K27,'Train Runs'!$A$13:$V$999,22,TRUE),NA())</f>
        <v>#N/A</v>
      </c>
      <c r="J27" s="210">
        <f t="shared" si="2"/>
        <v>42801.208333333328</v>
      </c>
      <c r="K27" s="210" t="str">
        <f>D27&amp;"-"&amp;IF(DAY(Variables!$A$2)&lt;10,0,"")&amp;DAY(Variables!$A$2)</f>
        <v>228-11</v>
      </c>
      <c r="L27" s="206" t="e">
        <f>IF(VLOOKUP(K27,'Train Runs'!$A$12:$B$999,1,TRUE)=K27,VLOOKUP(K27,'Train Runs'!$A$12:$B$999,2,TRUE),NA())</f>
        <v>#N/A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449</v>
      </c>
      <c r="C28" s="198" t="s">
        <v>451</v>
      </c>
      <c r="D28" s="212">
        <f t="shared" si="5"/>
        <v>230</v>
      </c>
      <c r="E28" s="30" t="s">
        <v>453</v>
      </c>
      <c r="F28" s="212" t="b">
        <v>1</v>
      </c>
      <c r="G28" s="216" t="e">
        <f t="shared" si="0"/>
        <v>#N/A</v>
      </c>
      <c r="H28" s="218" t="e">
        <f t="shared" si="1"/>
        <v>#N/A</v>
      </c>
      <c r="I28" s="214" t="e">
        <f>IF(VLOOKUP(K28,'Train Runs'!$A$13:$V$999,1,TRUE)=K28,VLOOKUP(K28,'Train Runs'!$A$13:$V$999,22,TRUE),NA())</f>
        <v>#N/A</v>
      </c>
      <c r="J28" s="210">
        <f t="shared" si="2"/>
        <v>42801.231249999997</v>
      </c>
      <c r="K28" s="210" t="str">
        <f>D28&amp;"-"&amp;IF(DAY(Variables!$A$2)&lt;10,0,"")&amp;DAY(Variables!$A$2)</f>
        <v>230-11</v>
      </c>
      <c r="L28" s="206" t="e">
        <f>IF(VLOOKUP(K28,'Train Runs'!$A$12:$B$999,1,TRUE)=K28,VLOOKUP(K28,'Train Runs'!$A$12:$B$999,2,TRUE),NA())</f>
        <v>#N/A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449</v>
      </c>
      <c r="C29" s="198" t="s">
        <v>451</v>
      </c>
      <c r="D29" s="212">
        <f t="shared" si="5"/>
        <v>232</v>
      </c>
      <c r="E29" s="30" t="s">
        <v>453</v>
      </c>
      <c r="F29" s="212" t="b">
        <v>1</v>
      </c>
      <c r="G29" s="216" t="e">
        <f t="shared" si="0"/>
        <v>#N/A</v>
      </c>
      <c r="H29" s="218" t="e">
        <f t="shared" si="1"/>
        <v>#N/A</v>
      </c>
      <c r="I29" s="214" t="e">
        <f>IF(VLOOKUP(K29,'Train Runs'!$A$13:$V$999,1,TRUE)=K29,VLOOKUP(K29,'Train Runs'!$A$13:$V$999,22,TRUE),NA())</f>
        <v>#N/A</v>
      </c>
      <c r="J29" s="210">
        <f t="shared" si="2"/>
        <v>42801.249305555553</v>
      </c>
      <c r="K29" s="210" t="str">
        <f>D29&amp;"-"&amp;IF(DAY(Variables!$A$2)&lt;10,0,"")&amp;DAY(Variables!$A$2)</f>
        <v>232-11</v>
      </c>
      <c r="L29" s="206" t="e">
        <f>IF(VLOOKUP(K29,'Train Runs'!$A$12:$B$999,1,TRUE)=K29,VLOOKUP(K29,'Train Runs'!$A$12:$B$999,2,TRUE),NA())</f>
        <v>#N/A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449</v>
      </c>
      <c r="C30" s="198" t="s">
        <v>451</v>
      </c>
      <c r="D30" s="212">
        <f t="shared" si="5"/>
        <v>234</v>
      </c>
      <c r="E30" s="30" t="s">
        <v>453</v>
      </c>
      <c r="F30" s="212" t="b">
        <v>1</v>
      </c>
      <c r="G30" s="216" t="e">
        <f t="shared" si="0"/>
        <v>#N/A</v>
      </c>
      <c r="H30" s="218" t="e">
        <f t="shared" si="1"/>
        <v>#N/A</v>
      </c>
      <c r="I30" s="214" t="e">
        <f>IF(VLOOKUP(K30,'Train Runs'!$A$13:$V$999,1,TRUE)=K30,VLOOKUP(K30,'Train Runs'!$A$13:$V$999,22,TRUE),NA())</f>
        <v>#N/A</v>
      </c>
      <c r="J30" s="210">
        <f t="shared" si="2"/>
        <v>42801.260416666664</v>
      </c>
      <c r="K30" s="210" t="str">
        <f>D30&amp;"-"&amp;IF(DAY(Variables!$A$2)&lt;10,0,"")&amp;DAY(Variables!$A$2)</f>
        <v>234-11</v>
      </c>
      <c r="L30" s="206" t="e">
        <f>IF(VLOOKUP(K30,'Train Runs'!$A$12:$B$999,1,TRUE)=K30,VLOOKUP(K30,'Train Runs'!$A$12:$B$999,2,TRUE),NA())</f>
        <v>#N/A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449</v>
      </c>
      <c r="C31" s="198" t="s">
        <v>451</v>
      </c>
      <c r="D31" s="212">
        <f t="shared" si="5"/>
        <v>236</v>
      </c>
      <c r="E31" s="30" t="s">
        <v>453</v>
      </c>
      <c r="F31" s="212" t="b">
        <v>1</v>
      </c>
      <c r="G31" s="216" t="e">
        <f t="shared" si="0"/>
        <v>#N/A</v>
      </c>
      <c r="H31" s="218" t="e">
        <f t="shared" si="1"/>
        <v>#N/A</v>
      </c>
      <c r="I31" s="214" t="e">
        <f>IF(VLOOKUP(K31,'Train Runs'!$A$13:$V$999,1,TRUE)=K31,VLOOKUP(K31,'Train Runs'!$A$13:$V$999,22,TRUE),NA())</f>
        <v>#N/A</v>
      </c>
      <c r="J31" s="210">
        <f t="shared" si="2"/>
        <v>42801.271527777775</v>
      </c>
      <c r="K31" s="210" t="str">
        <f>D31&amp;"-"&amp;IF(DAY(Variables!$A$2)&lt;10,0,"")&amp;DAY(Variables!$A$2)</f>
        <v>236-11</v>
      </c>
      <c r="L31" s="206" t="e">
        <f>IF(VLOOKUP(K31,'Train Runs'!$A$12:$B$999,1,TRUE)=K31,VLOOKUP(K31,'Train Runs'!$A$12:$B$999,2,TRUE),NA())</f>
        <v>#N/A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449</v>
      </c>
      <c r="C32" s="198" t="s">
        <v>451</v>
      </c>
      <c r="D32" s="212">
        <f t="shared" si="5"/>
        <v>238</v>
      </c>
      <c r="E32" s="30" t="s">
        <v>453</v>
      </c>
      <c r="F32" s="212" t="b">
        <v>1</v>
      </c>
      <c r="G32" s="216" t="e">
        <f t="shared" si="0"/>
        <v>#N/A</v>
      </c>
      <c r="H32" s="218" t="e">
        <f t="shared" si="1"/>
        <v>#N/A</v>
      </c>
      <c r="I32" s="214" t="e">
        <f>IF(VLOOKUP(K32,'Train Runs'!$A$13:$V$999,1,TRUE)=K32,VLOOKUP(K32,'Train Runs'!$A$13:$V$999,22,TRUE),NA())</f>
        <v>#N/A</v>
      </c>
      <c r="J32" s="210">
        <f t="shared" si="2"/>
        <v>42801.290972222218</v>
      </c>
      <c r="K32" s="210" t="str">
        <f>D32&amp;"-"&amp;IF(DAY(Variables!$A$2)&lt;10,0,"")&amp;DAY(Variables!$A$2)</f>
        <v>238-11</v>
      </c>
      <c r="L32" s="206" t="e">
        <f>IF(VLOOKUP(K32,'Train Runs'!$A$12:$B$999,1,TRUE)=K32,VLOOKUP(K32,'Train Runs'!$A$12:$B$999,2,TRUE),NA())</f>
        <v>#N/A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449</v>
      </c>
      <c r="C33" s="198" t="s">
        <v>451</v>
      </c>
      <c r="D33" s="212">
        <f t="shared" si="5"/>
        <v>240</v>
      </c>
      <c r="E33" s="30" t="s">
        <v>453</v>
      </c>
      <c r="F33" s="212" t="b">
        <v>1</v>
      </c>
      <c r="G33" s="216" t="e">
        <f t="shared" si="0"/>
        <v>#N/A</v>
      </c>
      <c r="H33" s="218" t="e">
        <f t="shared" si="1"/>
        <v>#N/A</v>
      </c>
      <c r="I33" s="214" t="e">
        <f>IF(VLOOKUP(K33,'Train Runs'!$A$13:$V$999,1,TRUE)=K33,VLOOKUP(K33,'Train Runs'!$A$13:$V$999,22,TRUE),NA())</f>
        <v>#N/A</v>
      </c>
      <c r="J33" s="210">
        <f t="shared" si="2"/>
        <v>42801.313888888886</v>
      </c>
      <c r="K33" s="210" t="str">
        <f>D33&amp;"-"&amp;IF(DAY(Variables!$A$2)&lt;10,0,"")&amp;DAY(Variables!$A$2)</f>
        <v>240-11</v>
      </c>
      <c r="L33" s="206" t="e">
        <f>IF(VLOOKUP(K33,'Train Runs'!$A$12:$B$999,1,TRUE)=K33,VLOOKUP(K33,'Train Runs'!$A$12:$B$999,2,TRUE),NA())</f>
        <v>#N/A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449</v>
      </c>
      <c r="C34" s="198" t="s">
        <v>451</v>
      </c>
      <c r="D34" s="212">
        <v>240</v>
      </c>
      <c r="E34" s="30" t="s">
        <v>453</v>
      </c>
      <c r="F34" s="212" t="b">
        <v>1</v>
      </c>
      <c r="G34" s="216" t="e">
        <f t="shared" si="0"/>
        <v>#N/A</v>
      </c>
      <c r="H34" s="218" t="e">
        <f t="shared" si="1"/>
        <v>#N/A</v>
      </c>
      <c r="I34" s="214" t="e">
        <f>IF(VLOOKUP(K34,'Train Runs'!$A$13:$V$999,1,TRUE)=K34,VLOOKUP(K34,'Train Runs'!$A$13:$V$999,22,TRUE),NA())</f>
        <v>#N/A</v>
      </c>
      <c r="J34" s="210">
        <f t="shared" si="2"/>
        <v>42801.331944444442</v>
      </c>
      <c r="K34" s="210" t="str">
        <f>D34&amp;"-"&amp;IF(DAY(Variables!$A$2)&lt;10,0,"")&amp;DAY(Variables!$A$2)</f>
        <v>240-11</v>
      </c>
      <c r="L34" s="206" t="e">
        <f>IF(VLOOKUP(K34,'Train Runs'!$A$12:$B$999,1,TRUE)=K34,VLOOKUP(K34,'Train Runs'!$A$12:$B$999,2,TRUE),NA())</f>
        <v>#N/A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449</v>
      </c>
      <c r="C35" s="198" t="s">
        <v>451</v>
      </c>
      <c r="D35" s="212">
        <v>242</v>
      </c>
      <c r="E35" s="30" t="s">
        <v>453</v>
      </c>
      <c r="F35" s="212" t="b">
        <v>1</v>
      </c>
      <c r="G35" s="216" t="e">
        <f t="shared" si="0"/>
        <v>#N/A</v>
      </c>
      <c r="H35" s="218" t="e">
        <f t="shared" si="1"/>
        <v>#N/A</v>
      </c>
      <c r="I35" s="214" t="e">
        <f>IF(VLOOKUP(K35,'Train Runs'!$A$13:$V$999,1,TRUE)=K35,VLOOKUP(K35,'Train Runs'!$A$13:$V$999,22,TRUE),NA())</f>
        <v>#N/A</v>
      </c>
      <c r="J35" s="210">
        <f t="shared" si="2"/>
        <v>42801.353472222218</v>
      </c>
      <c r="K35" s="210" t="str">
        <f>D35&amp;"-"&amp;IF(DAY(Variables!$A$2)&lt;10,0,"")&amp;DAY(Variables!$A$2)</f>
        <v>242-11</v>
      </c>
      <c r="L35" s="206" t="e">
        <f>IF(VLOOKUP(K35,'Train Runs'!$A$12:$B$999,1,TRUE)=K35,VLOOKUP(K35,'Train Runs'!$A$12:$B$999,2,TRUE),NA())</f>
        <v>#N/A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199</v>
      </c>
      <c r="G1" s="8" t="s">
        <v>198</v>
      </c>
    </row>
    <row r="2" spans="1:7" x14ac:dyDescent="0.25">
      <c r="A2" s="8">
        <v>42804.993194444447</v>
      </c>
      <c r="B2" s="20" t="s">
        <v>581</v>
      </c>
      <c r="C2" s="20" t="s">
        <v>613</v>
      </c>
      <c r="D2" s="150">
        <v>2270000</v>
      </c>
      <c r="E2" s="20" t="s">
        <v>219</v>
      </c>
      <c r="F2" s="20" t="s">
        <v>220</v>
      </c>
      <c r="G2" s="8" t="str">
        <f>E2&amp;" "&amp;F2</f>
        <v>BROWN JACOB</v>
      </c>
    </row>
    <row r="3" spans="1:7" x14ac:dyDescent="0.25">
      <c r="A3" s="8">
        <v>42805.000694444447</v>
      </c>
      <c r="B3" s="20" t="s">
        <v>464</v>
      </c>
      <c r="C3" s="20" t="s">
        <v>614</v>
      </c>
      <c r="D3" s="150">
        <v>2680000</v>
      </c>
      <c r="E3" s="20" t="s">
        <v>615</v>
      </c>
      <c r="F3" s="20" t="s">
        <v>616</v>
      </c>
      <c r="G3" s="8" t="str">
        <f t="shared" ref="G3:G66" si="0">E3&amp;" "&amp;F3</f>
        <v>DUNCAN SHEILA</v>
      </c>
    </row>
    <row r="4" spans="1:7" x14ac:dyDescent="0.25">
      <c r="A4" s="8">
        <v>42805.017083333332</v>
      </c>
      <c r="B4" s="20" t="s">
        <v>617</v>
      </c>
      <c r="C4" s="20" t="s">
        <v>618</v>
      </c>
      <c r="D4" s="150">
        <v>1740000</v>
      </c>
      <c r="E4" s="20" t="s">
        <v>432</v>
      </c>
      <c r="F4" s="20" t="s">
        <v>433</v>
      </c>
      <c r="G4" s="8" t="str">
        <f t="shared" si="0"/>
        <v>STORY SAMANTHA</v>
      </c>
    </row>
    <row r="5" spans="1:7" x14ac:dyDescent="0.25">
      <c r="A5" s="8">
        <v>42805.019305555557</v>
      </c>
      <c r="B5" s="20" t="s">
        <v>272</v>
      </c>
      <c r="C5" s="20" t="s">
        <v>619</v>
      </c>
      <c r="D5" s="150">
        <v>2150000</v>
      </c>
      <c r="E5" s="20" t="s">
        <v>481</v>
      </c>
      <c r="F5" s="20" t="s">
        <v>482</v>
      </c>
      <c r="G5" s="8" t="str">
        <f t="shared" si="0"/>
        <v>SWANSON BRYCE</v>
      </c>
    </row>
    <row r="6" spans="1:7" x14ac:dyDescent="0.25">
      <c r="A6" s="8">
        <v>42805.029583333337</v>
      </c>
      <c r="B6" s="20" t="s">
        <v>409</v>
      </c>
      <c r="C6" s="20" t="s">
        <v>620</v>
      </c>
      <c r="D6" s="150">
        <v>2000000</v>
      </c>
      <c r="E6" s="20" t="s">
        <v>621</v>
      </c>
      <c r="F6" s="20" t="s">
        <v>197</v>
      </c>
      <c r="G6" s="8" t="str">
        <f t="shared" si="0"/>
        <v>STAMBAUGH JAMES</v>
      </c>
    </row>
    <row r="7" spans="1:7" x14ac:dyDescent="0.25">
      <c r="A7" s="8">
        <v>42805.03696759259</v>
      </c>
      <c r="B7" s="20" t="s">
        <v>469</v>
      </c>
      <c r="C7" s="20" t="s">
        <v>622</v>
      </c>
      <c r="D7" s="150">
        <v>2680000</v>
      </c>
      <c r="E7" s="20" t="s">
        <v>615</v>
      </c>
      <c r="F7" s="20" t="s">
        <v>616</v>
      </c>
      <c r="G7" s="8" t="str">
        <f t="shared" si="0"/>
        <v>DUNCAN SHEILA</v>
      </c>
    </row>
    <row r="8" spans="1:7" x14ac:dyDescent="0.25">
      <c r="A8" s="8">
        <v>42805.037939814814</v>
      </c>
      <c r="B8" s="20" t="s">
        <v>430</v>
      </c>
      <c r="C8" s="20" t="s">
        <v>623</v>
      </c>
      <c r="D8" s="150">
        <v>2270000</v>
      </c>
      <c r="E8" s="20" t="s">
        <v>219</v>
      </c>
      <c r="F8" s="20" t="s">
        <v>220</v>
      </c>
      <c r="G8" s="8" t="str">
        <f t="shared" si="0"/>
        <v>BROWN JACOB</v>
      </c>
    </row>
    <row r="9" spans="1:7" ht="15.75" thickBot="1" x14ac:dyDescent="0.3">
      <c r="A9" s="24">
        <v>42805.051828703705</v>
      </c>
      <c r="B9" s="20" t="s">
        <v>624</v>
      </c>
      <c r="C9" s="20" t="s">
        <v>625</v>
      </c>
      <c r="D9" s="150">
        <v>1740000</v>
      </c>
      <c r="E9" s="20" t="s">
        <v>432</v>
      </c>
      <c r="F9" s="20" t="s">
        <v>433</v>
      </c>
      <c r="G9" s="8" t="str">
        <f t="shared" si="0"/>
        <v>STORY SAMANTHA</v>
      </c>
    </row>
    <row r="10" spans="1:7" x14ac:dyDescent="0.25">
      <c r="A10" s="8">
        <v>42805.052511574075</v>
      </c>
      <c r="B10" s="20" t="s">
        <v>464</v>
      </c>
      <c r="C10" s="20" t="s">
        <v>614</v>
      </c>
      <c r="D10" s="150">
        <v>2680000</v>
      </c>
      <c r="E10" s="20" t="s">
        <v>615</v>
      </c>
      <c r="F10" s="20" t="s">
        <v>616</v>
      </c>
      <c r="G10" s="8" t="str">
        <f t="shared" si="0"/>
        <v>DUNCAN SHEILA</v>
      </c>
    </row>
    <row r="11" spans="1:7" x14ac:dyDescent="0.25">
      <c r="A11" s="8">
        <v>42805.058472222219</v>
      </c>
      <c r="B11" s="20" t="s">
        <v>408</v>
      </c>
      <c r="C11" s="20" t="s">
        <v>626</v>
      </c>
      <c r="D11" s="150">
        <v>2150000</v>
      </c>
      <c r="E11" s="20" t="s">
        <v>481</v>
      </c>
      <c r="F11" s="20" t="s">
        <v>482</v>
      </c>
      <c r="G11" s="8" t="str">
        <f t="shared" si="0"/>
        <v>SWANSON BRYCE</v>
      </c>
    </row>
    <row r="12" spans="1:7" x14ac:dyDescent="0.25">
      <c r="A12" s="8">
        <v>42805.06517361111</v>
      </c>
      <c r="B12" s="20" t="s">
        <v>469</v>
      </c>
      <c r="C12" s="20" t="s">
        <v>622</v>
      </c>
      <c r="D12" s="150">
        <v>2680000</v>
      </c>
      <c r="E12" s="20" t="s">
        <v>615</v>
      </c>
      <c r="F12" s="20" t="s">
        <v>616</v>
      </c>
      <c r="G12" s="8" t="str">
        <f t="shared" si="0"/>
        <v>DUNCAN SHEILA</v>
      </c>
    </row>
    <row r="13" spans="1:7" x14ac:dyDescent="0.25">
      <c r="A13" s="8">
        <v>42805.068935185183</v>
      </c>
      <c r="B13" s="20" t="s">
        <v>410</v>
      </c>
      <c r="C13" s="20" t="s">
        <v>627</v>
      </c>
      <c r="D13" s="150">
        <v>2000000</v>
      </c>
      <c r="E13" s="20" t="s">
        <v>621</v>
      </c>
      <c r="F13" s="20" t="s">
        <v>197</v>
      </c>
      <c r="G13" s="8" t="str">
        <f t="shared" si="0"/>
        <v>STAMBAUGH JAMES</v>
      </c>
    </row>
    <row r="14" spans="1:7" x14ac:dyDescent="0.25">
      <c r="A14" s="8">
        <v>42805.078634259262</v>
      </c>
      <c r="B14" s="20" t="s">
        <v>581</v>
      </c>
      <c r="C14" s="20" t="s">
        <v>582</v>
      </c>
      <c r="D14" s="150">
        <v>2270000</v>
      </c>
      <c r="E14" s="20" t="s">
        <v>219</v>
      </c>
      <c r="F14" s="20" t="s">
        <v>220</v>
      </c>
      <c r="G14" s="8" t="str">
        <f t="shared" si="0"/>
        <v>BROWN JACOB</v>
      </c>
    </row>
    <row r="15" spans="1:7" x14ac:dyDescent="0.25">
      <c r="A15" s="8">
        <v>42805.080034722225</v>
      </c>
      <c r="B15" s="20" t="s">
        <v>464</v>
      </c>
      <c r="C15" s="20" t="s">
        <v>614</v>
      </c>
      <c r="D15" s="150">
        <v>2680000</v>
      </c>
      <c r="E15" s="20" t="s">
        <v>615</v>
      </c>
      <c r="F15" s="20" t="s">
        <v>616</v>
      </c>
      <c r="G15" s="8" t="str">
        <f t="shared" si="0"/>
        <v>DUNCAN SHEILA</v>
      </c>
    </row>
    <row r="16" spans="1:7" x14ac:dyDescent="0.25">
      <c r="A16" s="8">
        <v>42805.093472222223</v>
      </c>
      <c r="B16" s="20" t="s">
        <v>272</v>
      </c>
      <c r="C16" s="20" t="s">
        <v>628</v>
      </c>
      <c r="D16" s="150">
        <v>2150000</v>
      </c>
      <c r="E16" s="20" t="s">
        <v>481</v>
      </c>
      <c r="F16" s="20" t="s">
        <v>482</v>
      </c>
      <c r="G16" s="8" t="str">
        <f t="shared" si="0"/>
        <v>SWANSON BRYCE</v>
      </c>
    </row>
    <row r="17" spans="1:7" x14ac:dyDescent="0.25">
      <c r="A17" s="8">
        <v>42805.098194444443</v>
      </c>
      <c r="B17" s="20" t="s">
        <v>469</v>
      </c>
      <c r="C17" s="20" t="s">
        <v>622</v>
      </c>
      <c r="D17" s="150">
        <v>2680000</v>
      </c>
      <c r="E17" s="20" t="s">
        <v>615</v>
      </c>
      <c r="F17" s="20" t="s">
        <v>616</v>
      </c>
      <c r="G17" s="8" t="str">
        <f t="shared" si="0"/>
        <v>DUNCAN SHEILA</v>
      </c>
    </row>
    <row r="18" spans="1:7" x14ac:dyDescent="0.25">
      <c r="A18" s="8">
        <v>42805.111944444441</v>
      </c>
      <c r="B18" s="20" t="s">
        <v>430</v>
      </c>
      <c r="C18" s="20" t="s">
        <v>629</v>
      </c>
      <c r="D18" s="150">
        <v>2270000</v>
      </c>
      <c r="E18" s="20" t="s">
        <v>219</v>
      </c>
      <c r="F18" s="20" t="s">
        <v>220</v>
      </c>
      <c r="G18" s="8" t="str">
        <f t="shared" si="0"/>
        <v>BROWN JACOB</v>
      </c>
    </row>
    <row r="19" spans="1:7" x14ac:dyDescent="0.25">
      <c r="A19" s="8">
        <v>42805.119375000002</v>
      </c>
      <c r="B19" s="20" t="s">
        <v>512</v>
      </c>
      <c r="C19" s="20" t="s">
        <v>630</v>
      </c>
      <c r="D19" s="150">
        <v>2550000</v>
      </c>
      <c r="E19" s="20" t="s">
        <v>631</v>
      </c>
      <c r="F19" s="20" t="s">
        <v>632</v>
      </c>
      <c r="G19" s="8" t="str">
        <f t="shared" si="0"/>
        <v>BADERTSCHER DIANE</v>
      </c>
    </row>
    <row r="20" spans="1:7" x14ac:dyDescent="0.25">
      <c r="A20" s="8">
        <v>42805.133414351854</v>
      </c>
      <c r="B20" s="20" t="s">
        <v>415</v>
      </c>
      <c r="C20" s="20" t="s">
        <v>633</v>
      </c>
      <c r="D20" s="150">
        <v>2550000</v>
      </c>
      <c r="E20" s="20" t="s">
        <v>631</v>
      </c>
      <c r="F20" s="20" t="s">
        <v>632</v>
      </c>
      <c r="G20" s="8" t="str">
        <f t="shared" si="0"/>
        <v>BADERTSCHER DIANE</v>
      </c>
    </row>
    <row r="21" spans="1:7" x14ac:dyDescent="0.25">
      <c r="A21" s="8">
        <v>42805.135115740741</v>
      </c>
      <c r="B21" s="20" t="s">
        <v>416</v>
      </c>
      <c r="C21" s="20" t="s">
        <v>634</v>
      </c>
      <c r="D21" s="150">
        <v>2140000</v>
      </c>
      <c r="E21" s="20" t="s">
        <v>515</v>
      </c>
      <c r="F21" s="20" t="s">
        <v>516</v>
      </c>
      <c r="G21" s="8" t="str">
        <f t="shared" si="0"/>
        <v>ROBINSON KADDIBA</v>
      </c>
    </row>
    <row r="22" spans="1:7" x14ac:dyDescent="0.25">
      <c r="A22" s="26">
        <v>42805.147245370368</v>
      </c>
      <c r="B22" s="20" t="s">
        <v>252</v>
      </c>
      <c r="C22" s="20" t="s">
        <v>635</v>
      </c>
      <c r="D22" s="150">
        <v>2140000</v>
      </c>
      <c r="E22" s="20" t="s">
        <v>515</v>
      </c>
      <c r="F22" s="20" t="s">
        <v>516</v>
      </c>
      <c r="G22" s="8" t="str">
        <f t="shared" si="0"/>
        <v>ROBINSON KADDIBA</v>
      </c>
    </row>
    <row r="23" spans="1:7" x14ac:dyDescent="0.25">
      <c r="A23" s="8">
        <v>42805.15892361111</v>
      </c>
      <c r="B23" s="20" t="s">
        <v>636</v>
      </c>
      <c r="C23" s="20" t="s">
        <v>637</v>
      </c>
      <c r="D23" s="150">
        <v>2010000</v>
      </c>
      <c r="E23" s="20" t="s">
        <v>638</v>
      </c>
      <c r="F23" s="20" t="s">
        <v>639</v>
      </c>
      <c r="G23" s="8" t="str">
        <f t="shared" si="0"/>
        <v>MAELZER KURT</v>
      </c>
    </row>
    <row r="24" spans="1:7" x14ac:dyDescent="0.25">
      <c r="A24" s="8">
        <v>42805.171053240738</v>
      </c>
      <c r="B24" s="20" t="s">
        <v>467</v>
      </c>
      <c r="C24" s="20" t="s">
        <v>640</v>
      </c>
      <c r="D24" s="150">
        <v>1990000</v>
      </c>
      <c r="E24" s="20" t="s">
        <v>641</v>
      </c>
      <c r="F24" s="20" t="s">
        <v>642</v>
      </c>
      <c r="G24" s="8" t="str">
        <f t="shared" si="0"/>
        <v>DAVIS WENDY</v>
      </c>
    </row>
    <row r="25" spans="1:7" x14ac:dyDescent="0.25">
      <c r="A25" s="8">
        <v>42805.172326388885</v>
      </c>
      <c r="B25" s="20" t="s">
        <v>266</v>
      </c>
      <c r="C25" s="20" t="s">
        <v>643</v>
      </c>
      <c r="D25" s="150">
        <v>2010000</v>
      </c>
      <c r="E25" s="20" t="s">
        <v>638</v>
      </c>
      <c r="F25" s="20" t="s">
        <v>639</v>
      </c>
      <c r="G25" s="8" t="str">
        <f t="shared" si="0"/>
        <v>MAELZER KURT</v>
      </c>
    </row>
    <row r="26" spans="1:7" x14ac:dyDescent="0.25">
      <c r="A26" s="8">
        <v>42805.173194444447</v>
      </c>
      <c r="B26" s="20" t="s">
        <v>512</v>
      </c>
      <c r="C26" s="20" t="s">
        <v>644</v>
      </c>
      <c r="D26" s="150">
        <v>2550000</v>
      </c>
      <c r="E26" s="20" t="s">
        <v>631</v>
      </c>
      <c r="F26" s="20" t="s">
        <v>632</v>
      </c>
      <c r="G26" s="8" t="str">
        <f t="shared" si="0"/>
        <v>BADERTSCHER DIANE</v>
      </c>
    </row>
    <row r="27" spans="1:7" x14ac:dyDescent="0.25">
      <c r="A27" s="8">
        <v>42805.180069444446</v>
      </c>
      <c r="B27" s="20" t="s">
        <v>591</v>
      </c>
      <c r="C27" s="20" t="s">
        <v>645</v>
      </c>
      <c r="D27" s="150">
        <v>1360000</v>
      </c>
      <c r="E27" s="20" t="s">
        <v>646</v>
      </c>
      <c r="F27" s="20" t="s">
        <v>647</v>
      </c>
      <c r="G27" s="8" t="str">
        <f t="shared" si="0"/>
        <v>SANTIZO D. EDY</v>
      </c>
    </row>
    <row r="28" spans="1:7" x14ac:dyDescent="0.25">
      <c r="A28" s="8">
        <v>42805.181261574071</v>
      </c>
      <c r="B28" s="20" t="s">
        <v>591</v>
      </c>
      <c r="C28" s="20" t="s">
        <v>645</v>
      </c>
      <c r="D28" s="150">
        <v>1360000</v>
      </c>
      <c r="E28" s="20" t="s">
        <v>646</v>
      </c>
      <c r="F28" s="20" t="s">
        <v>647</v>
      </c>
      <c r="G28" s="8" t="str">
        <f t="shared" si="0"/>
        <v>SANTIZO D. EDY</v>
      </c>
    </row>
    <row r="29" spans="1:7" x14ac:dyDescent="0.25">
      <c r="A29" s="8">
        <v>42805.182071759256</v>
      </c>
      <c r="B29" s="20" t="s">
        <v>591</v>
      </c>
      <c r="C29" s="20" t="s">
        <v>645</v>
      </c>
      <c r="D29" s="150">
        <v>1360000</v>
      </c>
      <c r="E29" s="20" t="s">
        <v>646</v>
      </c>
      <c r="F29" s="20" t="s">
        <v>647</v>
      </c>
      <c r="G29" s="8" t="str">
        <f t="shared" si="0"/>
        <v>SANTIZO D. EDY</v>
      </c>
    </row>
    <row r="30" spans="1:7" x14ac:dyDescent="0.25">
      <c r="A30" s="8">
        <v>42805.182800925926</v>
      </c>
      <c r="B30" s="20" t="s">
        <v>473</v>
      </c>
      <c r="C30" s="20" t="s">
        <v>648</v>
      </c>
      <c r="D30" s="150">
        <v>1990000</v>
      </c>
      <c r="E30" s="20" t="s">
        <v>641</v>
      </c>
      <c r="F30" s="20" t="s">
        <v>642</v>
      </c>
      <c r="G30" s="8" t="str">
        <f t="shared" si="0"/>
        <v>DAVIS WENDY</v>
      </c>
    </row>
    <row r="31" spans="1:7" x14ac:dyDescent="0.25">
      <c r="A31" s="8">
        <v>42805.190324074072</v>
      </c>
      <c r="B31" s="20" t="s">
        <v>416</v>
      </c>
      <c r="C31" s="20" t="s">
        <v>649</v>
      </c>
      <c r="D31" s="150">
        <v>2140000</v>
      </c>
      <c r="E31" s="20" t="s">
        <v>515</v>
      </c>
      <c r="F31" s="20" t="s">
        <v>516</v>
      </c>
      <c r="G31" s="8" t="str">
        <f t="shared" si="0"/>
        <v>ROBINSON KADDIBA</v>
      </c>
    </row>
    <row r="32" spans="1:7" x14ac:dyDescent="0.25">
      <c r="A32" s="8">
        <v>42805.195497685185</v>
      </c>
      <c r="B32" s="20" t="s">
        <v>594</v>
      </c>
      <c r="C32" s="20" t="s">
        <v>650</v>
      </c>
      <c r="D32" s="150">
        <v>1360000</v>
      </c>
      <c r="E32" s="20" t="s">
        <v>646</v>
      </c>
      <c r="F32" s="20" t="s">
        <v>647</v>
      </c>
      <c r="G32" s="8" t="str">
        <f t="shared" si="0"/>
        <v>SANTIZO D. EDY</v>
      </c>
    </row>
    <row r="33" spans="1:7" x14ac:dyDescent="0.25">
      <c r="A33" s="8">
        <v>42805.196932870371</v>
      </c>
      <c r="B33" s="20" t="s">
        <v>594</v>
      </c>
      <c r="C33" s="20" t="s">
        <v>650</v>
      </c>
      <c r="D33" s="150">
        <v>1360000</v>
      </c>
      <c r="E33" s="20" t="s">
        <v>646</v>
      </c>
      <c r="F33" s="20" t="s">
        <v>647</v>
      </c>
      <c r="G33" s="8" t="str">
        <f t="shared" si="0"/>
        <v>SANTIZO D. EDY</v>
      </c>
    </row>
    <row r="34" spans="1:7" x14ac:dyDescent="0.25">
      <c r="A34" s="8">
        <v>42805.208749999998</v>
      </c>
      <c r="B34" s="20" t="s">
        <v>415</v>
      </c>
      <c r="C34" s="20" t="s">
        <v>651</v>
      </c>
      <c r="D34" s="150">
        <v>890000</v>
      </c>
      <c r="E34" s="20" t="s">
        <v>474</v>
      </c>
      <c r="F34" s="20" t="s">
        <v>475</v>
      </c>
      <c r="G34" s="8" t="str">
        <f t="shared" si="0"/>
        <v>LOZA FIDEL</v>
      </c>
    </row>
    <row r="35" spans="1:7" x14ac:dyDescent="0.25">
      <c r="A35" s="8">
        <v>42805.210185185184</v>
      </c>
      <c r="B35" s="20" t="s">
        <v>415</v>
      </c>
      <c r="C35" s="20" t="s">
        <v>651</v>
      </c>
      <c r="D35" s="150">
        <v>890000</v>
      </c>
      <c r="E35" s="20" t="s">
        <v>474</v>
      </c>
      <c r="F35" s="20" t="s">
        <v>475</v>
      </c>
      <c r="G35" s="8" t="str">
        <f t="shared" si="0"/>
        <v>LOZA FIDEL</v>
      </c>
    </row>
    <row r="36" spans="1:7" x14ac:dyDescent="0.25">
      <c r="A36" s="8">
        <v>42805.214178240742</v>
      </c>
      <c r="B36" s="20" t="s">
        <v>510</v>
      </c>
      <c r="C36" s="20" t="s">
        <v>652</v>
      </c>
      <c r="D36" s="150">
        <v>2550000</v>
      </c>
      <c r="E36" s="20" t="s">
        <v>631</v>
      </c>
      <c r="F36" s="20" t="s">
        <v>632</v>
      </c>
      <c r="G36" s="8" t="str">
        <f t="shared" si="0"/>
        <v>BADERTSCHER DIANE</v>
      </c>
    </row>
    <row r="37" spans="1:7" x14ac:dyDescent="0.25">
      <c r="A37" s="8">
        <v>42805.214618055557</v>
      </c>
      <c r="B37" s="20" t="s">
        <v>636</v>
      </c>
      <c r="C37" s="20" t="s">
        <v>653</v>
      </c>
      <c r="D37" s="150">
        <v>2010000</v>
      </c>
      <c r="E37" s="20" t="s">
        <v>638</v>
      </c>
      <c r="F37" s="20" t="s">
        <v>639</v>
      </c>
      <c r="G37" s="8" t="str">
        <f t="shared" si="0"/>
        <v>MAELZER KURT</v>
      </c>
    </row>
    <row r="38" spans="1:7" x14ac:dyDescent="0.25">
      <c r="A38" s="8">
        <v>42805.217048611114</v>
      </c>
      <c r="B38" s="20" t="s">
        <v>478</v>
      </c>
      <c r="C38" s="20" t="s">
        <v>654</v>
      </c>
      <c r="D38" s="150">
        <v>2020000</v>
      </c>
      <c r="E38" s="20" t="s">
        <v>517</v>
      </c>
      <c r="F38" s="20" t="s">
        <v>411</v>
      </c>
      <c r="G38" s="8" t="str">
        <f t="shared" si="0"/>
        <v>SHOOK JOHN</v>
      </c>
    </row>
    <row r="39" spans="1:7" x14ac:dyDescent="0.25">
      <c r="A39" s="8">
        <v>42805.22550925926</v>
      </c>
      <c r="B39" s="20" t="s">
        <v>467</v>
      </c>
      <c r="C39" s="20" t="s">
        <v>655</v>
      </c>
      <c r="D39" s="150">
        <v>1990000</v>
      </c>
      <c r="E39" s="20" t="s">
        <v>641</v>
      </c>
      <c r="F39" s="20" t="s">
        <v>642</v>
      </c>
      <c r="G39" s="8" t="str">
        <f t="shared" si="0"/>
        <v>DAVIS WENDY</v>
      </c>
    </row>
    <row r="40" spans="1:7" x14ac:dyDescent="0.25">
      <c r="A40" s="8">
        <v>42805.227824074071</v>
      </c>
      <c r="B40" s="25" t="s">
        <v>591</v>
      </c>
      <c r="C40" s="20" t="s">
        <v>656</v>
      </c>
      <c r="D40" s="150">
        <v>1360000</v>
      </c>
      <c r="E40" s="20" t="s">
        <v>646</v>
      </c>
      <c r="F40" s="20" t="s">
        <v>647</v>
      </c>
      <c r="G40" s="8" t="str">
        <f t="shared" si="0"/>
        <v>SANTIZO D. EDY</v>
      </c>
    </row>
    <row r="41" spans="1:7" x14ac:dyDescent="0.25">
      <c r="A41" s="8">
        <v>42805.228090277778</v>
      </c>
      <c r="B41" s="20" t="s">
        <v>252</v>
      </c>
      <c r="C41" s="20" t="s">
        <v>657</v>
      </c>
      <c r="D41" s="150">
        <v>1100000</v>
      </c>
      <c r="E41" s="20" t="s">
        <v>470</v>
      </c>
      <c r="F41" s="20" t="s">
        <v>471</v>
      </c>
      <c r="G41" s="8" t="str">
        <f t="shared" si="0"/>
        <v>GEBRETEKLE DAGNEW</v>
      </c>
    </row>
    <row r="42" spans="1:7" x14ac:dyDescent="0.25">
      <c r="A42" s="8">
        <v>42805.228587962964</v>
      </c>
      <c r="B42" s="20" t="s">
        <v>591</v>
      </c>
      <c r="C42" s="20" t="s">
        <v>656</v>
      </c>
      <c r="D42" s="150">
        <v>1360000</v>
      </c>
      <c r="E42" s="20" t="s">
        <v>646</v>
      </c>
      <c r="F42" s="20" t="s">
        <v>647</v>
      </c>
      <c r="G42" s="8" t="str">
        <f t="shared" si="0"/>
        <v>SANTIZO D. EDY</v>
      </c>
    </row>
    <row r="43" spans="1:7" x14ac:dyDescent="0.25">
      <c r="A43" s="8">
        <v>42805.229224537034</v>
      </c>
      <c r="B43" s="20" t="s">
        <v>417</v>
      </c>
      <c r="C43" s="20" t="s">
        <v>658</v>
      </c>
      <c r="D43" s="150">
        <v>2140000</v>
      </c>
      <c r="E43" s="20" t="s">
        <v>515</v>
      </c>
      <c r="F43" s="20" t="s">
        <v>516</v>
      </c>
      <c r="G43" s="8" t="str">
        <f t="shared" si="0"/>
        <v>ROBINSON KADDIBA</v>
      </c>
    </row>
    <row r="44" spans="1:7" x14ac:dyDescent="0.25">
      <c r="A44" s="8">
        <v>42805.229826388888</v>
      </c>
      <c r="B44" s="20" t="s">
        <v>591</v>
      </c>
      <c r="C44" s="20" t="s">
        <v>656</v>
      </c>
      <c r="D44" s="150">
        <v>1360000</v>
      </c>
      <c r="E44" s="20" t="s">
        <v>646</v>
      </c>
      <c r="F44" s="20" t="s">
        <v>647</v>
      </c>
      <c r="G44" s="8" t="str">
        <f t="shared" si="0"/>
        <v>SANTIZO D. EDY</v>
      </c>
    </row>
    <row r="45" spans="1:7" x14ac:dyDescent="0.25">
      <c r="A45" s="8">
        <v>42805.231423611112</v>
      </c>
      <c r="B45" s="20" t="s">
        <v>468</v>
      </c>
      <c r="C45" s="20" t="s">
        <v>659</v>
      </c>
      <c r="D45" s="150">
        <v>2020000</v>
      </c>
      <c r="E45" s="20" t="s">
        <v>517</v>
      </c>
      <c r="F45" s="20" t="s">
        <v>411</v>
      </c>
      <c r="G45" s="8" t="str">
        <f t="shared" si="0"/>
        <v>SHOOK JOHN</v>
      </c>
    </row>
    <row r="46" spans="1:7" x14ac:dyDescent="0.25">
      <c r="A46" s="8">
        <v>42805.241840277777</v>
      </c>
      <c r="B46" s="20" t="s">
        <v>211</v>
      </c>
      <c r="C46" s="20" t="s">
        <v>583</v>
      </c>
      <c r="D46" s="150">
        <v>1290000</v>
      </c>
      <c r="E46" s="20" t="s">
        <v>472</v>
      </c>
      <c r="F46" s="20" t="s">
        <v>411</v>
      </c>
      <c r="G46" s="8" t="str">
        <f t="shared" si="0"/>
        <v>COOLAHAN JOHN</v>
      </c>
    </row>
    <row r="47" spans="1:7" x14ac:dyDescent="0.25">
      <c r="A47" s="8">
        <v>42805.245821759258</v>
      </c>
      <c r="B47" s="20" t="s">
        <v>204</v>
      </c>
      <c r="C47" s="20" t="s">
        <v>660</v>
      </c>
      <c r="D47" s="150">
        <v>890000</v>
      </c>
      <c r="E47" s="20" t="s">
        <v>474</v>
      </c>
      <c r="F47" s="20" t="s">
        <v>475</v>
      </c>
      <c r="G47" s="8" t="str">
        <f t="shared" si="0"/>
        <v>LOZA FIDEL</v>
      </c>
    </row>
    <row r="48" spans="1:7" x14ac:dyDescent="0.25">
      <c r="A48" s="8">
        <v>42805.249479166669</v>
      </c>
      <c r="B48" s="20" t="s">
        <v>478</v>
      </c>
      <c r="C48" s="20" t="s">
        <v>661</v>
      </c>
      <c r="D48" s="150">
        <v>2020000</v>
      </c>
      <c r="E48" s="20" t="s">
        <v>517</v>
      </c>
      <c r="F48" s="20" t="s">
        <v>411</v>
      </c>
      <c r="G48" s="8" t="str">
        <f t="shared" si="0"/>
        <v>SHOOK JOHN</v>
      </c>
    </row>
    <row r="49" spans="1:7" x14ac:dyDescent="0.25">
      <c r="A49" s="8">
        <v>42805.254259259258</v>
      </c>
      <c r="B49" s="20" t="s">
        <v>512</v>
      </c>
      <c r="C49" s="20" t="s">
        <v>662</v>
      </c>
      <c r="D49" s="150">
        <v>2550000</v>
      </c>
      <c r="E49" s="20" t="s">
        <v>631</v>
      </c>
      <c r="F49" s="20" t="s">
        <v>632</v>
      </c>
      <c r="G49" s="8" t="str">
        <f t="shared" si="0"/>
        <v>BADERTSCHER DIANE</v>
      </c>
    </row>
    <row r="50" spans="1:7" x14ac:dyDescent="0.25">
      <c r="A50" s="8">
        <v>42805.260416666664</v>
      </c>
      <c r="B50" s="20" t="s">
        <v>473</v>
      </c>
      <c r="C50" s="20" t="s">
        <v>663</v>
      </c>
      <c r="D50" s="150">
        <v>1990000</v>
      </c>
      <c r="E50" s="20" t="s">
        <v>641</v>
      </c>
      <c r="F50" s="20" t="s">
        <v>642</v>
      </c>
      <c r="G50" s="8" t="str">
        <f t="shared" si="0"/>
        <v>DAVIS WENDY</v>
      </c>
    </row>
    <row r="51" spans="1:7" x14ac:dyDescent="0.25">
      <c r="A51" s="8">
        <v>42805.261053240742</v>
      </c>
      <c r="B51" s="20" t="s">
        <v>250</v>
      </c>
      <c r="C51" s="20" t="s">
        <v>664</v>
      </c>
      <c r="D51" s="150">
        <v>1100000</v>
      </c>
      <c r="E51" s="20" t="s">
        <v>470</v>
      </c>
      <c r="F51" s="20" t="s">
        <v>471</v>
      </c>
      <c r="G51" s="8" t="str">
        <f t="shared" si="0"/>
        <v>GEBRETEKLE DAGNEW</v>
      </c>
    </row>
    <row r="52" spans="1:7" x14ac:dyDescent="0.25">
      <c r="A52" s="8">
        <v>42805.269884259258</v>
      </c>
      <c r="B52" s="20" t="s">
        <v>594</v>
      </c>
      <c r="C52" s="20" t="s">
        <v>665</v>
      </c>
      <c r="D52" s="150">
        <v>1360000</v>
      </c>
      <c r="E52" s="20" t="s">
        <v>646</v>
      </c>
      <c r="F52" s="20" t="s">
        <v>647</v>
      </c>
      <c r="G52" s="8" t="str">
        <f t="shared" si="0"/>
        <v>SANTIZO D. EDY</v>
      </c>
    </row>
    <row r="53" spans="1:7" x14ac:dyDescent="0.25">
      <c r="A53" s="8">
        <v>42805.275208333333</v>
      </c>
      <c r="B53" s="20" t="s">
        <v>416</v>
      </c>
      <c r="C53" s="20" t="s">
        <v>584</v>
      </c>
      <c r="D53" s="150">
        <v>2140000</v>
      </c>
      <c r="E53" s="20" t="s">
        <v>515</v>
      </c>
      <c r="F53" s="20" t="s">
        <v>516</v>
      </c>
      <c r="G53" s="8" t="str">
        <f t="shared" si="0"/>
        <v>ROBINSON KADDIBA</v>
      </c>
    </row>
    <row r="54" spans="1:7" x14ac:dyDescent="0.25">
      <c r="A54" s="8">
        <v>42805.277037037034</v>
      </c>
      <c r="B54" s="20" t="s">
        <v>468</v>
      </c>
      <c r="C54" s="20" t="s">
        <v>666</v>
      </c>
      <c r="D54" s="150">
        <v>2020000</v>
      </c>
      <c r="E54" s="20" t="s">
        <v>517</v>
      </c>
      <c r="F54" s="20" t="s">
        <v>411</v>
      </c>
      <c r="G54" s="8" t="str">
        <f t="shared" si="0"/>
        <v>SHOOK JOHN</v>
      </c>
    </row>
    <row r="55" spans="1:7" x14ac:dyDescent="0.25">
      <c r="A55" s="8">
        <v>42805.279016203705</v>
      </c>
      <c r="B55" s="20" t="s">
        <v>415</v>
      </c>
      <c r="C55" s="20" t="s">
        <v>667</v>
      </c>
      <c r="D55" s="150">
        <v>890000</v>
      </c>
      <c r="E55" s="20" t="s">
        <v>474</v>
      </c>
      <c r="F55" s="20" t="s">
        <v>475</v>
      </c>
      <c r="G55" s="8" t="str">
        <f t="shared" si="0"/>
        <v>LOZA FIDEL</v>
      </c>
    </row>
    <row r="56" spans="1:7" x14ac:dyDescent="0.25">
      <c r="A56" s="8">
        <v>42805.285694444443</v>
      </c>
      <c r="B56" s="20" t="s">
        <v>212</v>
      </c>
      <c r="C56" s="20" t="s">
        <v>585</v>
      </c>
      <c r="D56" s="150">
        <v>1290000</v>
      </c>
      <c r="E56" s="20" t="s">
        <v>472</v>
      </c>
      <c r="F56" s="20" t="s">
        <v>411</v>
      </c>
      <c r="G56" s="8" t="str">
        <f t="shared" si="0"/>
        <v>COOLAHAN JOHN</v>
      </c>
    </row>
    <row r="57" spans="1:7" x14ac:dyDescent="0.25">
      <c r="A57" s="8">
        <v>42805.29074074074</v>
      </c>
      <c r="B57" s="20" t="s">
        <v>478</v>
      </c>
      <c r="C57" s="20" t="s">
        <v>668</v>
      </c>
      <c r="D57" s="150">
        <v>2020000</v>
      </c>
      <c r="E57" s="20" t="s">
        <v>517</v>
      </c>
      <c r="F57" s="20" t="s">
        <v>411</v>
      </c>
      <c r="G57" s="8" t="str">
        <f t="shared" si="0"/>
        <v>SHOOK JOHN</v>
      </c>
    </row>
    <row r="58" spans="1:7" x14ac:dyDescent="0.25">
      <c r="A58" s="8">
        <v>42805.297881944447</v>
      </c>
      <c r="B58" s="20" t="s">
        <v>510</v>
      </c>
      <c r="C58" s="20" t="s">
        <v>669</v>
      </c>
      <c r="D58" s="150">
        <v>2550000</v>
      </c>
      <c r="E58" s="20" t="s">
        <v>631</v>
      </c>
      <c r="F58" s="20" t="s">
        <v>632</v>
      </c>
      <c r="G58" s="8" t="str">
        <f t="shared" si="0"/>
        <v>BADERTSCHER DIANE</v>
      </c>
    </row>
    <row r="59" spans="1:7" x14ac:dyDescent="0.25">
      <c r="A59" s="8">
        <v>42805.30060185185</v>
      </c>
      <c r="B59" s="20" t="s">
        <v>252</v>
      </c>
      <c r="C59" s="20" t="s">
        <v>670</v>
      </c>
      <c r="D59" s="150">
        <v>1100000</v>
      </c>
      <c r="E59" s="20" t="s">
        <v>470</v>
      </c>
      <c r="F59" s="20" t="s">
        <v>471</v>
      </c>
      <c r="G59" s="8" t="str">
        <f t="shared" si="0"/>
        <v>GEBRETEKLE DAGNEW</v>
      </c>
    </row>
    <row r="60" spans="1:7" x14ac:dyDescent="0.25">
      <c r="A60" s="8">
        <v>42805.302141203705</v>
      </c>
      <c r="B60" s="20" t="s">
        <v>467</v>
      </c>
      <c r="C60" s="20" t="s">
        <v>671</v>
      </c>
      <c r="D60" s="150">
        <v>1990000</v>
      </c>
      <c r="E60" s="20" t="s">
        <v>641</v>
      </c>
      <c r="F60" s="20" t="s">
        <v>642</v>
      </c>
      <c r="G60" s="8" t="str">
        <f t="shared" si="0"/>
        <v>DAVIS WENDY</v>
      </c>
    </row>
    <row r="61" spans="1:7" x14ac:dyDescent="0.25">
      <c r="A61" s="8">
        <v>42805.307928240742</v>
      </c>
      <c r="B61" s="20" t="s">
        <v>591</v>
      </c>
      <c r="C61" s="20" t="s">
        <v>672</v>
      </c>
      <c r="D61" s="150">
        <v>1360000</v>
      </c>
      <c r="E61" s="20" t="s">
        <v>646</v>
      </c>
      <c r="F61" s="20" t="s">
        <v>647</v>
      </c>
      <c r="G61" s="8" t="str">
        <f t="shared" si="0"/>
        <v>SANTIZO D. EDY</v>
      </c>
    </row>
    <row r="62" spans="1:7" x14ac:dyDescent="0.25">
      <c r="A62" s="8">
        <v>42805.310995370368</v>
      </c>
      <c r="B62" s="20" t="s">
        <v>415</v>
      </c>
      <c r="C62" s="20" t="s">
        <v>667</v>
      </c>
      <c r="D62" s="150">
        <v>890000</v>
      </c>
      <c r="E62" s="20" t="s">
        <v>474</v>
      </c>
      <c r="F62" s="20" t="s">
        <v>475</v>
      </c>
      <c r="G62" s="8" t="str">
        <f t="shared" si="0"/>
        <v>LOZA FIDEL</v>
      </c>
    </row>
    <row r="63" spans="1:7" x14ac:dyDescent="0.25">
      <c r="A63" s="8">
        <v>42805.316979166666</v>
      </c>
      <c r="B63" s="20" t="s">
        <v>416</v>
      </c>
      <c r="C63" s="20" t="s">
        <v>584</v>
      </c>
      <c r="D63" s="150">
        <v>2140000</v>
      </c>
      <c r="E63" s="20" t="s">
        <v>515</v>
      </c>
      <c r="F63" s="20" t="s">
        <v>516</v>
      </c>
      <c r="G63" s="8" t="str">
        <f t="shared" si="0"/>
        <v>ROBINSON KADDIBA</v>
      </c>
    </row>
    <row r="64" spans="1:7" x14ac:dyDescent="0.25">
      <c r="A64" s="26">
        <v>42805.317488425928</v>
      </c>
      <c r="B64" s="20" t="s">
        <v>204</v>
      </c>
      <c r="C64" s="20" t="s">
        <v>673</v>
      </c>
      <c r="D64" s="150">
        <v>890000</v>
      </c>
      <c r="E64" s="20" t="s">
        <v>474</v>
      </c>
      <c r="F64" s="20" t="s">
        <v>475</v>
      </c>
      <c r="G64" s="8" t="str">
        <f t="shared" si="0"/>
        <v>LOZA FIDEL</v>
      </c>
    </row>
    <row r="65" spans="1:7" x14ac:dyDescent="0.25">
      <c r="A65" s="8">
        <v>42805.317962962959</v>
      </c>
      <c r="B65" s="20" t="s">
        <v>417</v>
      </c>
      <c r="C65" s="20" t="s">
        <v>674</v>
      </c>
      <c r="D65" s="150">
        <v>2140000</v>
      </c>
      <c r="E65" s="20" t="s">
        <v>515</v>
      </c>
      <c r="F65" s="20" t="s">
        <v>516</v>
      </c>
      <c r="G65" s="8" t="str">
        <f t="shared" si="0"/>
        <v>ROBINSON KADDIBA</v>
      </c>
    </row>
    <row r="66" spans="1:7" x14ac:dyDescent="0.25">
      <c r="A66" s="8">
        <v>42805.318101851852</v>
      </c>
      <c r="B66" s="20" t="s">
        <v>468</v>
      </c>
      <c r="C66" s="20" t="s">
        <v>675</v>
      </c>
      <c r="D66" s="150">
        <v>2020000</v>
      </c>
      <c r="E66" s="20" t="s">
        <v>517</v>
      </c>
      <c r="F66" s="20" t="s">
        <v>411</v>
      </c>
      <c r="G66" s="8" t="str">
        <f t="shared" si="0"/>
        <v>SHOOK JOHN</v>
      </c>
    </row>
    <row r="67" spans="1:7" x14ac:dyDescent="0.25">
      <c r="A67" s="8">
        <v>42805.323148148149</v>
      </c>
      <c r="B67" s="20" t="s">
        <v>211</v>
      </c>
      <c r="C67" s="20" t="s">
        <v>676</v>
      </c>
      <c r="D67" s="150">
        <v>2010000</v>
      </c>
      <c r="E67" s="20" t="s">
        <v>638</v>
      </c>
      <c r="F67" s="20" t="s">
        <v>639</v>
      </c>
      <c r="G67" s="8" t="str">
        <f t="shared" ref="G67:G130" si="1">E67&amp;" "&amp;F67</f>
        <v>MAELZER KURT</v>
      </c>
    </row>
    <row r="68" spans="1:7" x14ac:dyDescent="0.25">
      <c r="A68" s="8">
        <v>42805.328414351854</v>
      </c>
      <c r="B68" s="20" t="s">
        <v>512</v>
      </c>
      <c r="C68" s="20" t="s">
        <v>586</v>
      </c>
      <c r="D68" s="150">
        <v>2550000</v>
      </c>
      <c r="E68" s="20" t="s">
        <v>631</v>
      </c>
      <c r="F68" s="20" t="s">
        <v>632</v>
      </c>
      <c r="G68" s="8" t="str">
        <f t="shared" si="1"/>
        <v>BADERTSCHER DIANE</v>
      </c>
    </row>
    <row r="69" spans="1:7" x14ac:dyDescent="0.25">
      <c r="A69" s="8">
        <v>42805.332418981481</v>
      </c>
      <c r="B69" s="20" t="s">
        <v>478</v>
      </c>
      <c r="C69" s="20" t="s">
        <v>677</v>
      </c>
      <c r="D69" s="150">
        <v>2020000</v>
      </c>
      <c r="E69" s="20" t="s">
        <v>517</v>
      </c>
      <c r="F69" s="20" t="s">
        <v>411</v>
      </c>
      <c r="G69" s="8" t="str">
        <f t="shared" si="1"/>
        <v>SHOOK JOHN</v>
      </c>
    </row>
    <row r="70" spans="1:7" x14ac:dyDescent="0.25">
      <c r="A70" s="8">
        <v>42805.336875000001</v>
      </c>
      <c r="B70" s="20" t="s">
        <v>250</v>
      </c>
      <c r="C70" s="20" t="s">
        <v>678</v>
      </c>
      <c r="D70" s="150">
        <v>1100000</v>
      </c>
      <c r="E70" s="20" t="s">
        <v>470</v>
      </c>
      <c r="F70" s="20" t="s">
        <v>471</v>
      </c>
      <c r="G70" s="8" t="str">
        <f t="shared" si="1"/>
        <v>GEBRETEKLE DAGNEW</v>
      </c>
    </row>
    <row r="71" spans="1:7" x14ac:dyDescent="0.25">
      <c r="A71" s="8">
        <v>42805.337291666663</v>
      </c>
      <c r="B71" s="20" t="s">
        <v>473</v>
      </c>
      <c r="C71" s="20" t="s">
        <v>679</v>
      </c>
      <c r="D71" s="150">
        <v>1990000</v>
      </c>
      <c r="E71" s="20" t="s">
        <v>641</v>
      </c>
      <c r="F71" s="20" t="s">
        <v>642</v>
      </c>
      <c r="G71" s="8" t="str">
        <f t="shared" si="1"/>
        <v>DAVIS WENDY</v>
      </c>
    </row>
    <row r="72" spans="1:7" x14ac:dyDescent="0.25">
      <c r="A72" s="8">
        <v>42805.34101851852</v>
      </c>
      <c r="B72" s="20" t="s">
        <v>594</v>
      </c>
      <c r="C72" s="20" t="s">
        <v>680</v>
      </c>
      <c r="D72" s="150">
        <v>1360000</v>
      </c>
      <c r="E72" s="20" t="s">
        <v>646</v>
      </c>
      <c r="F72" s="20" t="s">
        <v>647</v>
      </c>
      <c r="G72" s="8" t="str">
        <f t="shared" si="1"/>
        <v>SANTIZO D. EDY</v>
      </c>
    </row>
    <row r="73" spans="1:7" x14ac:dyDescent="0.25">
      <c r="A73" s="8">
        <v>42805.348981481482</v>
      </c>
      <c r="B73" s="20" t="s">
        <v>416</v>
      </c>
      <c r="C73" s="20" t="s">
        <v>681</v>
      </c>
      <c r="D73" s="150">
        <v>2140000</v>
      </c>
      <c r="E73" s="20" t="s">
        <v>515</v>
      </c>
      <c r="F73" s="20" t="s">
        <v>516</v>
      </c>
      <c r="G73" s="8" t="str">
        <f t="shared" si="1"/>
        <v>ROBINSON KADDIBA</v>
      </c>
    </row>
    <row r="74" spans="1:7" x14ac:dyDescent="0.25">
      <c r="A74" s="8">
        <v>42805.350983796299</v>
      </c>
      <c r="B74" s="20" t="s">
        <v>415</v>
      </c>
      <c r="C74" s="20" t="s">
        <v>682</v>
      </c>
      <c r="D74" s="150">
        <v>890000</v>
      </c>
      <c r="E74" s="20" t="s">
        <v>474</v>
      </c>
      <c r="F74" s="20" t="s">
        <v>475</v>
      </c>
      <c r="G74" s="8" t="str">
        <f t="shared" si="1"/>
        <v>LOZA FIDEL</v>
      </c>
    </row>
    <row r="75" spans="1:7" x14ac:dyDescent="0.25">
      <c r="A75" s="8">
        <v>42805.355034722219</v>
      </c>
      <c r="B75" s="20" t="s">
        <v>250</v>
      </c>
      <c r="C75" s="20" t="s">
        <v>678</v>
      </c>
      <c r="D75" s="150">
        <v>1100000</v>
      </c>
      <c r="E75" s="20" t="s">
        <v>470</v>
      </c>
      <c r="F75" s="20" t="s">
        <v>471</v>
      </c>
      <c r="G75" s="8" t="str">
        <f t="shared" si="1"/>
        <v>GEBRETEKLE DAGNEW</v>
      </c>
    </row>
    <row r="76" spans="1:7" x14ac:dyDescent="0.25">
      <c r="A76" s="8">
        <v>42805.356805555559</v>
      </c>
      <c r="B76" s="20" t="s">
        <v>212</v>
      </c>
      <c r="C76" s="20" t="s">
        <v>683</v>
      </c>
      <c r="D76" s="150">
        <v>2010000</v>
      </c>
      <c r="E76" s="20" t="s">
        <v>638</v>
      </c>
      <c r="F76" s="20" t="s">
        <v>639</v>
      </c>
      <c r="G76" s="8" t="str">
        <f t="shared" si="1"/>
        <v>MAELZER KURT</v>
      </c>
    </row>
    <row r="77" spans="1:7" x14ac:dyDescent="0.25">
      <c r="A77" s="8">
        <v>42805.359710648147</v>
      </c>
      <c r="B77" s="20" t="s">
        <v>468</v>
      </c>
      <c r="C77" s="20" t="s">
        <v>684</v>
      </c>
      <c r="D77" s="150">
        <v>2020000</v>
      </c>
      <c r="E77" s="20" t="s">
        <v>517</v>
      </c>
      <c r="F77" s="20" t="s">
        <v>411</v>
      </c>
      <c r="G77" s="8" t="str">
        <f t="shared" si="1"/>
        <v>SHOOK JOHN</v>
      </c>
    </row>
    <row r="78" spans="1:7" x14ac:dyDescent="0.25">
      <c r="A78" s="8">
        <v>42805.364282407405</v>
      </c>
      <c r="B78" s="20" t="s">
        <v>510</v>
      </c>
      <c r="C78" s="20" t="s">
        <v>685</v>
      </c>
      <c r="D78" s="150">
        <v>2550000</v>
      </c>
      <c r="E78" s="20" t="s">
        <v>631</v>
      </c>
      <c r="F78" s="20" t="s">
        <v>632</v>
      </c>
      <c r="G78" s="8" t="str">
        <f t="shared" si="1"/>
        <v>BADERTSCHER DIANE</v>
      </c>
    </row>
    <row r="79" spans="1:7" x14ac:dyDescent="0.25">
      <c r="A79" s="8">
        <v>42805.368090277778</v>
      </c>
      <c r="B79" s="20" t="s">
        <v>467</v>
      </c>
      <c r="C79" s="20" t="s">
        <v>686</v>
      </c>
      <c r="D79" s="150">
        <v>1990000</v>
      </c>
      <c r="E79" s="20" t="s">
        <v>641</v>
      </c>
      <c r="F79" s="20" t="s">
        <v>642</v>
      </c>
      <c r="G79" s="8" t="str">
        <f t="shared" si="1"/>
        <v>DAVIS WENDY</v>
      </c>
    </row>
    <row r="80" spans="1:7" x14ac:dyDescent="0.25">
      <c r="A80" s="8">
        <v>42805.372685185182</v>
      </c>
      <c r="B80" s="20" t="s">
        <v>591</v>
      </c>
      <c r="C80" s="20" t="s">
        <v>687</v>
      </c>
      <c r="D80" s="150">
        <v>1360000</v>
      </c>
      <c r="E80" s="20" t="s">
        <v>646</v>
      </c>
      <c r="F80" s="20" t="s">
        <v>647</v>
      </c>
      <c r="G80" s="8" t="str">
        <f t="shared" si="1"/>
        <v>SANTIZO D. EDY</v>
      </c>
    </row>
    <row r="81" spans="1:7" x14ac:dyDescent="0.25">
      <c r="A81" s="8">
        <v>42805.374814814815</v>
      </c>
      <c r="B81" s="20" t="s">
        <v>252</v>
      </c>
      <c r="C81" s="20" t="s">
        <v>688</v>
      </c>
      <c r="D81" s="150">
        <v>1100000</v>
      </c>
      <c r="E81" s="20" t="s">
        <v>470</v>
      </c>
      <c r="F81" s="20" t="s">
        <v>471</v>
      </c>
      <c r="G81" s="8" t="str">
        <f t="shared" si="1"/>
        <v>GEBRETEKLE DAGNEW</v>
      </c>
    </row>
    <row r="82" spans="1:7" x14ac:dyDescent="0.25">
      <c r="A82" s="8">
        <v>42805.375393518516</v>
      </c>
      <c r="B82" s="20" t="s">
        <v>478</v>
      </c>
      <c r="C82" s="20" t="s">
        <v>689</v>
      </c>
      <c r="D82" s="150">
        <v>2020000</v>
      </c>
      <c r="E82" s="20" t="s">
        <v>517</v>
      </c>
      <c r="F82" s="20" t="s">
        <v>411</v>
      </c>
      <c r="G82" s="8" t="str">
        <f t="shared" si="1"/>
        <v>SHOOK JOHN</v>
      </c>
    </row>
    <row r="83" spans="1:7" x14ac:dyDescent="0.25">
      <c r="A83" s="8">
        <v>42805.382164351853</v>
      </c>
      <c r="B83" s="20" t="s">
        <v>417</v>
      </c>
      <c r="C83" s="20" t="s">
        <v>690</v>
      </c>
      <c r="D83" s="150">
        <v>2140000</v>
      </c>
      <c r="E83" s="20" t="s">
        <v>515</v>
      </c>
      <c r="F83" s="20" t="s">
        <v>516</v>
      </c>
      <c r="G83" s="8" t="str">
        <f t="shared" si="1"/>
        <v>ROBINSON KADDIBA</v>
      </c>
    </row>
    <row r="84" spans="1:7" x14ac:dyDescent="0.25">
      <c r="A84" s="8">
        <v>42805.390405092592</v>
      </c>
      <c r="B84" s="20" t="s">
        <v>204</v>
      </c>
      <c r="C84" s="20" t="s">
        <v>691</v>
      </c>
      <c r="D84" s="150">
        <v>890000</v>
      </c>
      <c r="E84" s="20" t="s">
        <v>474</v>
      </c>
      <c r="F84" s="20" t="s">
        <v>475</v>
      </c>
      <c r="G84" s="8" t="str">
        <f t="shared" si="1"/>
        <v>LOZA FIDEL</v>
      </c>
    </row>
    <row r="85" spans="1:7" x14ac:dyDescent="0.25">
      <c r="A85" s="8">
        <v>42805.393495370372</v>
      </c>
      <c r="B85" s="20" t="s">
        <v>211</v>
      </c>
      <c r="C85" s="20" t="s">
        <v>692</v>
      </c>
      <c r="D85" s="150">
        <v>2010000</v>
      </c>
      <c r="E85" s="20" t="s">
        <v>638</v>
      </c>
      <c r="F85" s="20" t="s">
        <v>639</v>
      </c>
      <c r="G85" s="8" t="str">
        <f t="shared" si="1"/>
        <v>MAELZER KURT</v>
      </c>
    </row>
    <row r="86" spans="1:7" x14ac:dyDescent="0.25">
      <c r="A86" s="8">
        <v>42805.398518518516</v>
      </c>
      <c r="B86" s="20" t="s">
        <v>512</v>
      </c>
      <c r="C86" s="20" t="s">
        <v>587</v>
      </c>
      <c r="D86" s="150">
        <v>2550000</v>
      </c>
      <c r="E86" s="20" t="s">
        <v>631</v>
      </c>
      <c r="F86" s="20" t="s">
        <v>632</v>
      </c>
      <c r="G86" s="8" t="str">
        <f t="shared" si="1"/>
        <v>BADERTSCHER DIANE</v>
      </c>
    </row>
    <row r="87" spans="1:7" x14ac:dyDescent="0.25">
      <c r="A87" s="8">
        <v>42805.40116898148</v>
      </c>
      <c r="B87" s="20" t="s">
        <v>468</v>
      </c>
      <c r="C87" s="20" t="s">
        <v>693</v>
      </c>
      <c r="D87" s="150">
        <v>2020000</v>
      </c>
      <c r="E87" s="20" t="s">
        <v>517</v>
      </c>
      <c r="F87" s="20" t="s">
        <v>411</v>
      </c>
      <c r="G87" s="8" t="str">
        <f t="shared" si="1"/>
        <v>SHOOK JOHN</v>
      </c>
    </row>
    <row r="88" spans="1:7" x14ac:dyDescent="0.25">
      <c r="A88" s="8">
        <v>42805.404918981483</v>
      </c>
      <c r="B88" s="20" t="s">
        <v>473</v>
      </c>
      <c r="C88" s="20" t="s">
        <v>694</v>
      </c>
      <c r="D88" s="150">
        <v>1990000</v>
      </c>
      <c r="E88" s="20" t="s">
        <v>641</v>
      </c>
      <c r="F88" s="20" t="s">
        <v>642</v>
      </c>
      <c r="G88" s="8" t="str">
        <f t="shared" si="1"/>
        <v>DAVIS WENDY</v>
      </c>
    </row>
    <row r="89" spans="1:7" x14ac:dyDescent="0.25">
      <c r="A89" s="8">
        <v>42805.410856481481</v>
      </c>
      <c r="B89" s="20" t="s">
        <v>250</v>
      </c>
      <c r="C89" s="20" t="s">
        <v>695</v>
      </c>
      <c r="D89" s="150">
        <v>1100000</v>
      </c>
      <c r="E89" s="20" t="s">
        <v>470</v>
      </c>
      <c r="F89" s="20" t="s">
        <v>471</v>
      </c>
      <c r="G89" s="8" t="str">
        <f t="shared" si="1"/>
        <v>GEBRETEKLE DAGNEW</v>
      </c>
    </row>
    <row r="90" spans="1:7" x14ac:dyDescent="0.25">
      <c r="A90" s="8">
        <v>42805.413263888891</v>
      </c>
      <c r="B90" s="20" t="s">
        <v>594</v>
      </c>
      <c r="C90" s="20" t="s">
        <v>696</v>
      </c>
      <c r="D90" s="150">
        <v>1360000</v>
      </c>
      <c r="E90" s="20" t="s">
        <v>646</v>
      </c>
      <c r="F90" s="20" t="s">
        <v>647</v>
      </c>
      <c r="G90" s="8" t="str">
        <f t="shared" si="1"/>
        <v>SANTIZO D. EDY</v>
      </c>
    </row>
    <row r="91" spans="1:7" x14ac:dyDescent="0.25">
      <c r="A91" s="8">
        <v>42805.416550925926</v>
      </c>
      <c r="B91" s="20" t="s">
        <v>478</v>
      </c>
      <c r="C91" s="20" t="s">
        <v>697</v>
      </c>
      <c r="D91" s="150">
        <v>2020000</v>
      </c>
      <c r="E91" s="20" t="s">
        <v>517</v>
      </c>
      <c r="F91" s="20" t="s">
        <v>411</v>
      </c>
      <c r="G91" s="8" t="str">
        <f t="shared" si="1"/>
        <v>SHOOK JOHN</v>
      </c>
    </row>
    <row r="92" spans="1:7" x14ac:dyDescent="0.25">
      <c r="A92" s="8">
        <v>42805.41951388889</v>
      </c>
      <c r="B92" s="20" t="s">
        <v>416</v>
      </c>
      <c r="C92" s="20" t="s">
        <v>698</v>
      </c>
      <c r="D92" s="150">
        <v>2140000</v>
      </c>
      <c r="E92" s="20" t="s">
        <v>515</v>
      </c>
      <c r="F92" s="20" t="s">
        <v>516</v>
      </c>
      <c r="G92" s="8" t="str">
        <f t="shared" si="1"/>
        <v>ROBINSON KADDIBA</v>
      </c>
    </row>
    <row r="93" spans="1:7" x14ac:dyDescent="0.25">
      <c r="A93" s="8">
        <v>42805.425324074073</v>
      </c>
      <c r="B93" s="20" t="s">
        <v>415</v>
      </c>
      <c r="C93" s="20" t="s">
        <v>699</v>
      </c>
      <c r="D93" s="150">
        <v>890000</v>
      </c>
      <c r="E93" s="20" t="s">
        <v>474</v>
      </c>
      <c r="F93" s="20" t="s">
        <v>475</v>
      </c>
      <c r="G93" s="8" t="str">
        <f t="shared" si="1"/>
        <v>LOZA FIDEL</v>
      </c>
    </row>
    <row r="94" spans="1:7" x14ac:dyDescent="0.25">
      <c r="A94" s="8">
        <v>42805.426678240743</v>
      </c>
      <c r="B94" s="20" t="s">
        <v>212</v>
      </c>
      <c r="C94" s="20" t="s">
        <v>700</v>
      </c>
      <c r="D94" s="150">
        <v>2010000</v>
      </c>
      <c r="E94" s="20" t="s">
        <v>638</v>
      </c>
      <c r="F94" s="20" t="s">
        <v>639</v>
      </c>
      <c r="G94" s="8" t="str">
        <f t="shared" si="1"/>
        <v>MAELZER KURT</v>
      </c>
    </row>
    <row r="95" spans="1:7" x14ac:dyDescent="0.25">
      <c r="A95" s="8">
        <v>42805.435567129629</v>
      </c>
      <c r="B95" s="20" t="s">
        <v>514</v>
      </c>
      <c r="C95" s="20" t="s">
        <v>701</v>
      </c>
      <c r="D95" s="150">
        <v>880000</v>
      </c>
      <c r="E95" s="20" t="s">
        <v>702</v>
      </c>
      <c r="F95" s="20" t="s">
        <v>200</v>
      </c>
      <c r="G95" s="8" t="str">
        <f t="shared" si="1"/>
        <v>STEWART MICHAEL</v>
      </c>
    </row>
    <row r="96" spans="1:7" x14ac:dyDescent="0.25">
      <c r="A96" s="8">
        <v>42805.435868055552</v>
      </c>
      <c r="B96" s="20" t="s">
        <v>510</v>
      </c>
      <c r="C96" s="20" t="s">
        <v>588</v>
      </c>
      <c r="D96" s="150">
        <v>2470000</v>
      </c>
      <c r="E96" s="20" t="s">
        <v>703</v>
      </c>
      <c r="F96" s="20" t="s">
        <v>704</v>
      </c>
      <c r="G96" s="8" t="str">
        <f t="shared" si="1"/>
        <v>ROMERO CHAD</v>
      </c>
    </row>
    <row r="97" spans="1:7" x14ac:dyDescent="0.25">
      <c r="A97" s="8">
        <v>42805.442685185182</v>
      </c>
      <c r="B97" s="20" t="s">
        <v>467</v>
      </c>
      <c r="C97" s="20" t="s">
        <v>705</v>
      </c>
      <c r="D97" s="150">
        <v>1990000</v>
      </c>
      <c r="E97" s="20" t="s">
        <v>641</v>
      </c>
      <c r="F97" s="20" t="s">
        <v>642</v>
      </c>
      <c r="G97" s="8" t="str">
        <f t="shared" si="1"/>
        <v>DAVIS WENDY</v>
      </c>
    </row>
    <row r="98" spans="1:7" x14ac:dyDescent="0.25">
      <c r="A98" s="8">
        <v>42805.443240740744</v>
      </c>
      <c r="B98" s="20" t="s">
        <v>468</v>
      </c>
      <c r="C98" s="20" t="s">
        <v>706</v>
      </c>
      <c r="D98" s="150">
        <v>2020000</v>
      </c>
      <c r="E98" s="20" t="s">
        <v>517</v>
      </c>
      <c r="F98" s="20" t="s">
        <v>411</v>
      </c>
      <c r="G98" s="8" t="str">
        <f t="shared" si="1"/>
        <v>SHOOK JOHN</v>
      </c>
    </row>
    <row r="99" spans="1:7" x14ac:dyDescent="0.25">
      <c r="A99" s="8">
        <v>42805.443344907406</v>
      </c>
      <c r="B99" s="20" t="s">
        <v>252</v>
      </c>
      <c r="C99" s="20" t="s">
        <v>707</v>
      </c>
      <c r="D99" s="150">
        <v>1100000</v>
      </c>
      <c r="E99" s="20" t="s">
        <v>470</v>
      </c>
      <c r="F99" s="20" t="s">
        <v>471</v>
      </c>
      <c r="G99" s="8" t="str">
        <f t="shared" si="1"/>
        <v>GEBRETEKLE DAGNEW</v>
      </c>
    </row>
    <row r="100" spans="1:7" x14ac:dyDescent="0.25">
      <c r="A100" s="8">
        <v>42805.443877314814</v>
      </c>
      <c r="B100" s="20" t="s">
        <v>591</v>
      </c>
      <c r="C100" s="20" t="s">
        <v>708</v>
      </c>
      <c r="D100" s="150">
        <v>1360000</v>
      </c>
      <c r="E100" s="20" t="s">
        <v>646</v>
      </c>
      <c r="F100" s="20" t="s">
        <v>647</v>
      </c>
      <c r="G100" s="8" t="str">
        <f t="shared" si="1"/>
        <v>SANTIZO D. EDY</v>
      </c>
    </row>
    <row r="101" spans="1:7" x14ac:dyDescent="0.25">
      <c r="A101" s="8">
        <v>42805.449386574073</v>
      </c>
      <c r="B101" s="20" t="s">
        <v>509</v>
      </c>
      <c r="C101" s="20" t="s">
        <v>709</v>
      </c>
      <c r="D101" s="150">
        <v>2370000</v>
      </c>
      <c r="E101" s="20" t="s">
        <v>710</v>
      </c>
      <c r="F101" s="20" t="s">
        <v>711</v>
      </c>
      <c r="G101" s="8" t="str">
        <f t="shared" si="1"/>
        <v>DELGADO DIANAH</v>
      </c>
    </row>
    <row r="102" spans="1:7" x14ac:dyDescent="0.25">
      <c r="A102" s="8">
        <v>42805.454456018517</v>
      </c>
      <c r="B102" s="20" t="s">
        <v>417</v>
      </c>
      <c r="C102" s="20" t="s">
        <v>712</v>
      </c>
      <c r="D102" s="150">
        <v>880000</v>
      </c>
      <c r="E102" s="20" t="s">
        <v>702</v>
      </c>
      <c r="F102" s="20" t="s">
        <v>200</v>
      </c>
      <c r="G102" s="8" t="str">
        <f t="shared" si="1"/>
        <v>STEWART MICHAEL</v>
      </c>
    </row>
    <row r="103" spans="1:7" x14ac:dyDescent="0.25">
      <c r="A103" s="8">
        <v>42805.457627314812</v>
      </c>
      <c r="B103" s="20" t="s">
        <v>478</v>
      </c>
      <c r="C103" s="20" t="s">
        <v>713</v>
      </c>
      <c r="D103" s="150">
        <v>2020000</v>
      </c>
      <c r="E103" s="20" t="s">
        <v>517</v>
      </c>
      <c r="F103" s="20" t="s">
        <v>411</v>
      </c>
      <c r="G103" s="8" t="str">
        <f t="shared" si="1"/>
        <v>SHOOK JOHN</v>
      </c>
    </row>
    <row r="104" spans="1:7" x14ac:dyDescent="0.25">
      <c r="A104" s="8">
        <v>42805.460196759261</v>
      </c>
      <c r="B104" s="20" t="s">
        <v>204</v>
      </c>
      <c r="C104" s="20" t="s">
        <v>714</v>
      </c>
      <c r="D104" s="150">
        <v>890000</v>
      </c>
      <c r="E104" s="20" t="s">
        <v>474</v>
      </c>
      <c r="F104" s="20" t="s">
        <v>475</v>
      </c>
      <c r="G104" s="8" t="str">
        <f t="shared" si="1"/>
        <v>LOZA FIDEL</v>
      </c>
    </row>
    <row r="105" spans="1:7" x14ac:dyDescent="0.25">
      <c r="A105" s="8">
        <v>42805.46601851852</v>
      </c>
      <c r="B105" s="20" t="s">
        <v>508</v>
      </c>
      <c r="C105" s="20" t="s">
        <v>715</v>
      </c>
      <c r="D105" s="150">
        <v>1340000</v>
      </c>
      <c r="E105" s="20" t="s">
        <v>476</v>
      </c>
      <c r="F105" s="20" t="s">
        <v>477</v>
      </c>
      <c r="G105" s="8" t="str">
        <f t="shared" si="1"/>
        <v>BEAM ROSS</v>
      </c>
    </row>
    <row r="106" spans="1:7" x14ac:dyDescent="0.25">
      <c r="A106" s="8">
        <v>42805.466331018521</v>
      </c>
      <c r="B106" s="20" t="s">
        <v>512</v>
      </c>
      <c r="C106" s="20" t="s">
        <v>589</v>
      </c>
      <c r="D106" s="150">
        <v>2470000</v>
      </c>
      <c r="E106" s="20" t="s">
        <v>703</v>
      </c>
      <c r="F106" s="20" t="s">
        <v>704</v>
      </c>
      <c r="G106" s="8" t="str">
        <f t="shared" si="1"/>
        <v>ROMERO CHAD</v>
      </c>
    </row>
    <row r="107" spans="1:7" x14ac:dyDescent="0.25">
      <c r="A107" s="8">
        <v>42805.466365740744</v>
      </c>
      <c r="B107" s="20" t="s">
        <v>211</v>
      </c>
      <c r="C107" s="20" t="s">
        <v>716</v>
      </c>
      <c r="D107" s="150">
        <v>920000</v>
      </c>
      <c r="E107" s="20" t="s">
        <v>641</v>
      </c>
      <c r="F107" s="20" t="s">
        <v>200</v>
      </c>
      <c r="G107" s="8" t="str">
        <f t="shared" si="1"/>
        <v>DAVIS MICHAEL</v>
      </c>
    </row>
    <row r="108" spans="1:7" x14ac:dyDescent="0.25">
      <c r="A108" s="8">
        <v>42805.477824074071</v>
      </c>
      <c r="B108" s="20" t="s">
        <v>473</v>
      </c>
      <c r="C108" s="20" t="s">
        <v>717</v>
      </c>
      <c r="D108" s="150">
        <v>1770000</v>
      </c>
      <c r="E108" s="20" t="s">
        <v>479</v>
      </c>
      <c r="F108" s="20" t="s">
        <v>480</v>
      </c>
      <c r="G108" s="8" t="str">
        <f t="shared" si="1"/>
        <v>BRUDER RICHARD</v>
      </c>
    </row>
    <row r="109" spans="1:7" x14ac:dyDescent="0.25">
      <c r="A109" s="8">
        <v>42805.485034722224</v>
      </c>
      <c r="B109" s="20" t="s">
        <v>250</v>
      </c>
      <c r="C109" s="20" t="s">
        <v>718</v>
      </c>
      <c r="D109" s="150">
        <v>1100000</v>
      </c>
      <c r="E109" s="20" t="s">
        <v>470</v>
      </c>
      <c r="F109" s="20" t="s">
        <v>471</v>
      </c>
      <c r="G109" s="8" t="str">
        <f t="shared" si="1"/>
        <v>GEBRETEKLE DAGNEW</v>
      </c>
    </row>
    <row r="110" spans="1:7" x14ac:dyDescent="0.25">
      <c r="A110" s="8">
        <v>42805.485081018516</v>
      </c>
      <c r="B110" s="20" t="s">
        <v>468</v>
      </c>
      <c r="C110" s="20" t="s">
        <v>719</v>
      </c>
      <c r="D110" s="150">
        <v>2020000</v>
      </c>
      <c r="E110" s="20" t="s">
        <v>517</v>
      </c>
      <c r="F110" s="20" t="s">
        <v>411</v>
      </c>
      <c r="G110" s="8" t="str">
        <f t="shared" si="1"/>
        <v>SHOOK JOHN</v>
      </c>
    </row>
    <row r="111" spans="1:7" x14ac:dyDescent="0.25">
      <c r="A111" s="8">
        <v>42805.485462962963</v>
      </c>
      <c r="B111" s="20" t="s">
        <v>594</v>
      </c>
      <c r="C111" s="20" t="s">
        <v>720</v>
      </c>
      <c r="D111" s="150">
        <v>2420000</v>
      </c>
      <c r="E111" s="20" t="s">
        <v>721</v>
      </c>
      <c r="F111" s="20" t="s">
        <v>722</v>
      </c>
      <c r="G111" s="8" t="str">
        <f t="shared" si="1"/>
        <v>HOLCOMB KAMDEN</v>
      </c>
    </row>
    <row r="112" spans="1:7" x14ac:dyDescent="0.25">
      <c r="A112" s="8">
        <v>42805.49559027778</v>
      </c>
      <c r="B112" s="20" t="s">
        <v>416</v>
      </c>
      <c r="C112" s="20" t="s">
        <v>723</v>
      </c>
      <c r="D112" s="150">
        <v>880000</v>
      </c>
      <c r="E112" s="20" t="s">
        <v>702</v>
      </c>
      <c r="F112" s="20" t="s">
        <v>200</v>
      </c>
      <c r="G112" s="8" t="str">
        <f t="shared" si="1"/>
        <v>STEWART MICHAEL</v>
      </c>
    </row>
    <row r="113" spans="1:7" x14ac:dyDescent="0.25">
      <c r="A113" s="8">
        <v>42805.496736111112</v>
      </c>
      <c r="B113" s="20" t="s">
        <v>415</v>
      </c>
      <c r="C113" s="20" t="s">
        <v>724</v>
      </c>
      <c r="D113" s="150">
        <v>1300000</v>
      </c>
      <c r="E113" s="20" t="s">
        <v>725</v>
      </c>
      <c r="F113" s="20" t="s">
        <v>726</v>
      </c>
      <c r="G113" s="8" t="str">
        <f t="shared" si="1"/>
        <v>LEVIN SCOTT</v>
      </c>
    </row>
    <row r="114" spans="1:7" x14ac:dyDescent="0.25">
      <c r="A114" s="8">
        <v>42805.499282407407</v>
      </c>
      <c r="B114" s="20" t="s">
        <v>478</v>
      </c>
      <c r="C114" s="20" t="s">
        <v>727</v>
      </c>
      <c r="D114" s="150">
        <v>2020000</v>
      </c>
      <c r="E114" s="20" t="s">
        <v>517</v>
      </c>
      <c r="F114" s="20" t="s">
        <v>411</v>
      </c>
      <c r="G114" s="8" t="str">
        <f t="shared" si="1"/>
        <v>SHOOK JOHN</v>
      </c>
    </row>
    <row r="115" spans="1:7" x14ac:dyDescent="0.25">
      <c r="A115" s="8">
        <v>42805.502256944441</v>
      </c>
      <c r="B115" s="20" t="s">
        <v>511</v>
      </c>
      <c r="C115" s="20" t="s">
        <v>728</v>
      </c>
      <c r="D115" s="150">
        <v>890000</v>
      </c>
      <c r="E115" s="20" t="s">
        <v>474</v>
      </c>
      <c r="F115" s="20" t="s">
        <v>475</v>
      </c>
      <c r="G115" s="8" t="str">
        <f t="shared" si="1"/>
        <v>LOZA FIDEL</v>
      </c>
    </row>
    <row r="116" spans="1:7" x14ac:dyDescent="0.25">
      <c r="A116" s="8">
        <v>42805.506157407406</v>
      </c>
      <c r="B116" s="20" t="s">
        <v>212</v>
      </c>
      <c r="C116" s="20" t="s">
        <v>729</v>
      </c>
      <c r="D116" s="150">
        <v>920000</v>
      </c>
      <c r="E116" s="20" t="s">
        <v>641</v>
      </c>
      <c r="F116" s="20" t="s">
        <v>200</v>
      </c>
      <c r="G116" s="8" t="str">
        <f t="shared" si="1"/>
        <v>DAVIS MICHAEL</v>
      </c>
    </row>
    <row r="117" spans="1:7" x14ac:dyDescent="0.25">
      <c r="A117" s="8">
        <v>42805.507534722223</v>
      </c>
      <c r="B117" s="20" t="s">
        <v>510</v>
      </c>
      <c r="C117" s="20" t="s">
        <v>730</v>
      </c>
      <c r="D117" s="150">
        <v>2470000</v>
      </c>
      <c r="E117" s="20" t="s">
        <v>703</v>
      </c>
      <c r="F117" s="20" t="s">
        <v>704</v>
      </c>
      <c r="G117" s="8" t="str">
        <f t="shared" si="1"/>
        <v>ROMERO CHAD</v>
      </c>
    </row>
    <row r="118" spans="1:7" x14ac:dyDescent="0.25">
      <c r="A118" s="8">
        <v>42805.514675925922</v>
      </c>
      <c r="B118" s="20" t="s">
        <v>467</v>
      </c>
      <c r="C118" s="20" t="s">
        <v>590</v>
      </c>
      <c r="D118" s="150">
        <v>1770000</v>
      </c>
      <c r="E118" s="20" t="s">
        <v>479</v>
      </c>
      <c r="F118" s="20" t="s">
        <v>480</v>
      </c>
      <c r="G118" s="8" t="str">
        <f t="shared" si="1"/>
        <v>BRUDER RICHARD</v>
      </c>
    </row>
    <row r="119" spans="1:7" x14ac:dyDescent="0.25">
      <c r="A119" s="8">
        <v>42805.51902777778</v>
      </c>
      <c r="B119" s="20" t="s">
        <v>252</v>
      </c>
      <c r="C119" s="20" t="s">
        <v>731</v>
      </c>
      <c r="D119" s="150">
        <v>2530000</v>
      </c>
      <c r="E119" s="20" t="s">
        <v>732</v>
      </c>
      <c r="F119" s="20" t="s">
        <v>733</v>
      </c>
      <c r="G119" s="8" t="str">
        <f t="shared" si="1"/>
        <v>LALONDE GREGORY</v>
      </c>
    </row>
    <row r="120" spans="1:7" x14ac:dyDescent="0.25">
      <c r="A120" s="8">
        <v>42805.520833333336</v>
      </c>
      <c r="B120" s="20" t="s">
        <v>591</v>
      </c>
      <c r="C120" s="20" t="s">
        <v>592</v>
      </c>
      <c r="D120" s="150">
        <v>2420000</v>
      </c>
      <c r="E120" s="20" t="s">
        <v>721</v>
      </c>
      <c r="F120" s="20" t="s">
        <v>722</v>
      </c>
      <c r="G120" s="8" t="str">
        <f t="shared" si="1"/>
        <v>HOLCOMB KAMDEN</v>
      </c>
    </row>
    <row r="121" spans="1:7" x14ac:dyDescent="0.25">
      <c r="A121" s="8">
        <v>42805.526504629626</v>
      </c>
      <c r="B121" s="20" t="s">
        <v>468</v>
      </c>
      <c r="C121" s="20" t="s">
        <v>734</v>
      </c>
      <c r="D121" s="150">
        <v>2020000</v>
      </c>
      <c r="E121" s="20" t="s">
        <v>517</v>
      </c>
      <c r="F121" s="20" t="s">
        <v>411</v>
      </c>
      <c r="G121" s="8" t="str">
        <f t="shared" si="1"/>
        <v>SHOOK JOHN</v>
      </c>
    </row>
    <row r="122" spans="1:7" x14ac:dyDescent="0.25">
      <c r="A122" s="8">
        <v>42805.528946759259</v>
      </c>
      <c r="B122" s="25" t="s">
        <v>417</v>
      </c>
      <c r="C122" s="20" t="s">
        <v>735</v>
      </c>
      <c r="D122" s="150">
        <v>880000</v>
      </c>
      <c r="E122" s="20" t="s">
        <v>702</v>
      </c>
      <c r="F122" s="20" t="s">
        <v>200</v>
      </c>
      <c r="G122" s="8" t="str">
        <f t="shared" si="1"/>
        <v>STEWART MICHAEL</v>
      </c>
    </row>
    <row r="123" spans="1:7" x14ac:dyDescent="0.25">
      <c r="A123" s="8">
        <v>42805.534247685187</v>
      </c>
      <c r="B123" s="20" t="s">
        <v>204</v>
      </c>
      <c r="C123" s="20" t="s">
        <v>593</v>
      </c>
      <c r="D123" s="150">
        <v>1300000</v>
      </c>
      <c r="E123" s="20" t="s">
        <v>725</v>
      </c>
      <c r="F123" s="20" t="s">
        <v>726</v>
      </c>
      <c r="G123" s="8" t="str">
        <f t="shared" si="1"/>
        <v>LEVIN SCOTT</v>
      </c>
    </row>
    <row r="124" spans="1:7" x14ac:dyDescent="0.25">
      <c r="A124" s="8">
        <v>42805.538553240738</v>
      </c>
      <c r="B124" s="20" t="s">
        <v>512</v>
      </c>
      <c r="C124" s="20" t="s">
        <v>736</v>
      </c>
      <c r="D124" s="150">
        <v>2470000</v>
      </c>
      <c r="E124" s="20" t="s">
        <v>703</v>
      </c>
      <c r="F124" s="20" t="s">
        <v>704</v>
      </c>
      <c r="G124" s="8" t="str">
        <f t="shared" si="1"/>
        <v>ROMERO CHAD</v>
      </c>
    </row>
    <row r="125" spans="1:7" x14ac:dyDescent="0.25">
      <c r="A125" s="8">
        <v>42805.540636574071</v>
      </c>
      <c r="B125" s="20" t="s">
        <v>211</v>
      </c>
      <c r="C125" s="20" t="s">
        <v>737</v>
      </c>
      <c r="D125" s="150">
        <v>920000</v>
      </c>
      <c r="E125" s="20" t="s">
        <v>641</v>
      </c>
      <c r="F125" s="20" t="s">
        <v>200</v>
      </c>
      <c r="G125" s="8" t="str">
        <f t="shared" si="1"/>
        <v>DAVIS MICHAEL</v>
      </c>
    </row>
    <row r="126" spans="1:7" x14ac:dyDescent="0.25">
      <c r="A126" s="8">
        <v>42805.54074074074</v>
      </c>
      <c r="B126" s="20" t="s">
        <v>478</v>
      </c>
      <c r="C126" s="20" t="s">
        <v>738</v>
      </c>
      <c r="D126" s="150">
        <v>2020000</v>
      </c>
      <c r="E126" s="20" t="s">
        <v>517</v>
      </c>
      <c r="F126" s="20" t="s">
        <v>411</v>
      </c>
      <c r="G126" s="8" t="str">
        <f t="shared" si="1"/>
        <v>SHOOK JOHN</v>
      </c>
    </row>
    <row r="127" spans="1:7" x14ac:dyDescent="0.25">
      <c r="A127" s="8">
        <v>42805.548460648148</v>
      </c>
      <c r="B127" s="20" t="s">
        <v>250</v>
      </c>
      <c r="C127" s="20" t="s">
        <v>597</v>
      </c>
      <c r="D127" s="150">
        <v>2530000</v>
      </c>
      <c r="E127" s="20" t="s">
        <v>732</v>
      </c>
      <c r="F127" s="20" t="s">
        <v>733</v>
      </c>
      <c r="G127" s="8" t="str">
        <f t="shared" si="1"/>
        <v>LALONDE GREGORY</v>
      </c>
    </row>
    <row r="128" spans="1:7" x14ac:dyDescent="0.25">
      <c r="A128" s="8">
        <v>42805.549224537041</v>
      </c>
      <c r="B128" s="20" t="s">
        <v>473</v>
      </c>
      <c r="C128" s="20" t="s">
        <v>596</v>
      </c>
      <c r="D128" s="150">
        <v>1770000</v>
      </c>
      <c r="E128" s="20" t="s">
        <v>479</v>
      </c>
      <c r="F128" s="20" t="s">
        <v>480</v>
      </c>
      <c r="G128" s="8" t="str">
        <f t="shared" si="1"/>
        <v>BRUDER RICHARD</v>
      </c>
    </row>
    <row r="129" spans="1:7" x14ac:dyDescent="0.25">
      <c r="A129" s="8">
        <v>42805.558321759258</v>
      </c>
      <c r="B129" s="20" t="s">
        <v>594</v>
      </c>
      <c r="C129" s="20" t="s">
        <v>595</v>
      </c>
      <c r="D129" s="150">
        <v>2420000</v>
      </c>
      <c r="E129" s="20" t="s">
        <v>721</v>
      </c>
      <c r="F129" s="20" t="s">
        <v>722</v>
      </c>
      <c r="G129" s="8" t="str">
        <f t="shared" si="1"/>
        <v>HOLCOMB KAMDEN</v>
      </c>
    </row>
    <row r="130" spans="1:7" x14ac:dyDescent="0.25">
      <c r="A130" s="8">
        <v>42805.56045138889</v>
      </c>
      <c r="B130" s="20" t="s">
        <v>204</v>
      </c>
      <c r="C130" s="20" t="s">
        <v>593</v>
      </c>
      <c r="D130" s="150">
        <v>1300000</v>
      </c>
      <c r="E130" s="20" t="s">
        <v>725</v>
      </c>
      <c r="F130" s="20" t="s">
        <v>726</v>
      </c>
      <c r="G130" s="8" t="str">
        <f t="shared" si="1"/>
        <v>LEVIN SCOTT</v>
      </c>
    </row>
    <row r="131" spans="1:7" x14ac:dyDescent="0.25">
      <c r="A131" s="8">
        <v>42805.566886574074</v>
      </c>
      <c r="B131" s="20" t="s">
        <v>416</v>
      </c>
      <c r="C131" s="20" t="s">
        <v>739</v>
      </c>
      <c r="D131" s="150">
        <v>880000</v>
      </c>
      <c r="E131" s="20" t="s">
        <v>702</v>
      </c>
      <c r="F131" s="20" t="s">
        <v>200</v>
      </c>
      <c r="G131" s="8" t="str">
        <f t="shared" ref="G131:G194" si="2">E131&amp;" "&amp;F131</f>
        <v>STEWART MICHAEL</v>
      </c>
    </row>
    <row r="132" spans="1:7" x14ac:dyDescent="0.25">
      <c r="A132" s="8">
        <v>42805.568240740744</v>
      </c>
      <c r="B132" s="20" t="s">
        <v>468</v>
      </c>
      <c r="C132" s="20" t="s">
        <v>740</v>
      </c>
      <c r="D132" s="150">
        <v>2020000</v>
      </c>
      <c r="E132" s="20" t="s">
        <v>517</v>
      </c>
      <c r="F132" s="20" t="s">
        <v>411</v>
      </c>
      <c r="G132" s="8" t="str">
        <f t="shared" si="2"/>
        <v>SHOOK JOHN</v>
      </c>
    </row>
    <row r="133" spans="1:7" x14ac:dyDescent="0.25">
      <c r="A133" s="8">
        <v>42805.571435185186</v>
      </c>
      <c r="B133" s="20" t="s">
        <v>415</v>
      </c>
      <c r="C133" s="20" t="s">
        <v>741</v>
      </c>
      <c r="D133" s="150">
        <v>1300000</v>
      </c>
      <c r="E133" s="20" t="s">
        <v>725</v>
      </c>
      <c r="F133" s="20" t="s">
        <v>726</v>
      </c>
      <c r="G133" s="8" t="str">
        <f t="shared" si="2"/>
        <v>LEVIN SCOTT</v>
      </c>
    </row>
    <row r="134" spans="1:7" x14ac:dyDescent="0.25">
      <c r="A134" s="8">
        <v>42805.578912037039</v>
      </c>
      <c r="B134" s="20" t="s">
        <v>510</v>
      </c>
      <c r="C134" s="20" t="s">
        <v>742</v>
      </c>
      <c r="D134" s="150">
        <v>2370000</v>
      </c>
      <c r="E134" s="20" t="s">
        <v>710</v>
      </c>
      <c r="F134" s="20" t="s">
        <v>711</v>
      </c>
      <c r="G134" s="8" t="str">
        <f t="shared" si="2"/>
        <v>DELGADO DIANAH</v>
      </c>
    </row>
    <row r="135" spans="1:7" x14ac:dyDescent="0.25">
      <c r="A135" s="8">
        <v>42805.579328703701</v>
      </c>
      <c r="B135" s="20" t="s">
        <v>212</v>
      </c>
      <c r="C135" s="20" t="s">
        <v>743</v>
      </c>
      <c r="D135" s="150">
        <v>920000</v>
      </c>
      <c r="E135" s="20" t="s">
        <v>641</v>
      </c>
      <c r="F135" s="20" t="s">
        <v>200</v>
      </c>
      <c r="G135" s="8" t="str">
        <f t="shared" si="2"/>
        <v>DAVIS MICHAEL</v>
      </c>
    </row>
    <row r="136" spans="1:7" x14ac:dyDescent="0.25">
      <c r="A136" s="8">
        <v>42805.586770833332</v>
      </c>
      <c r="B136" s="20" t="s">
        <v>467</v>
      </c>
      <c r="C136" s="20" t="s">
        <v>744</v>
      </c>
      <c r="D136" s="150">
        <v>1770000</v>
      </c>
      <c r="E136" s="20" t="s">
        <v>479</v>
      </c>
      <c r="F136" s="20" t="s">
        <v>480</v>
      </c>
      <c r="G136" s="8" t="str">
        <f t="shared" si="2"/>
        <v>BRUDER RICHARD</v>
      </c>
    </row>
    <row r="137" spans="1:7" x14ac:dyDescent="0.25">
      <c r="A137" s="8">
        <v>42805.592048611114</v>
      </c>
      <c r="B137" s="20" t="s">
        <v>252</v>
      </c>
      <c r="C137" s="20" t="s">
        <v>598</v>
      </c>
      <c r="D137" s="150">
        <v>2440000</v>
      </c>
      <c r="E137" s="20" t="s">
        <v>523</v>
      </c>
      <c r="F137" s="20" t="s">
        <v>524</v>
      </c>
      <c r="G137" s="8" t="str">
        <f t="shared" si="2"/>
        <v>LOPES KIMBERLY</v>
      </c>
    </row>
    <row r="138" spans="1:7" x14ac:dyDescent="0.25">
      <c r="A138" s="8">
        <v>42805.592847222222</v>
      </c>
      <c r="B138" s="20" t="s">
        <v>591</v>
      </c>
      <c r="C138" s="20" t="s">
        <v>599</v>
      </c>
      <c r="D138" s="150">
        <v>2420000</v>
      </c>
      <c r="E138" s="20" t="s">
        <v>721</v>
      </c>
      <c r="F138" s="20" t="s">
        <v>722</v>
      </c>
      <c r="G138" s="8" t="str">
        <f t="shared" si="2"/>
        <v>HOLCOMB KAMDEN</v>
      </c>
    </row>
    <row r="139" spans="1:7" x14ac:dyDescent="0.25">
      <c r="A139" s="8">
        <v>42805.595046296294</v>
      </c>
      <c r="B139" s="20" t="s">
        <v>478</v>
      </c>
      <c r="C139" s="20" t="s">
        <v>745</v>
      </c>
      <c r="D139" s="150">
        <v>2540000</v>
      </c>
      <c r="E139" s="20" t="s">
        <v>214</v>
      </c>
      <c r="F139" s="20" t="s">
        <v>215</v>
      </c>
      <c r="G139" s="8" t="str">
        <f t="shared" si="2"/>
        <v>MCREYNOLDS KYLE</v>
      </c>
    </row>
    <row r="140" spans="1:7" x14ac:dyDescent="0.25">
      <c r="A140" s="8">
        <v>42805.600439814814</v>
      </c>
      <c r="B140" s="20" t="s">
        <v>467</v>
      </c>
      <c r="C140" s="20" t="s">
        <v>744</v>
      </c>
      <c r="D140" s="150">
        <v>1770000</v>
      </c>
      <c r="E140" s="20" t="s">
        <v>479</v>
      </c>
      <c r="F140" s="20" t="s">
        <v>480</v>
      </c>
      <c r="G140" s="8" t="str">
        <f t="shared" si="2"/>
        <v>BRUDER RICHARD</v>
      </c>
    </row>
    <row r="141" spans="1:7" x14ac:dyDescent="0.25">
      <c r="A141" s="8">
        <v>42805.6015625</v>
      </c>
      <c r="B141" s="20" t="s">
        <v>417</v>
      </c>
      <c r="C141" s="20" t="s">
        <v>600</v>
      </c>
      <c r="D141" s="150">
        <v>880000</v>
      </c>
      <c r="E141" s="20" t="s">
        <v>702</v>
      </c>
      <c r="F141" s="20" t="s">
        <v>200</v>
      </c>
      <c r="G141" s="8" t="str">
        <f t="shared" si="2"/>
        <v>STEWART MICHAEL</v>
      </c>
    </row>
    <row r="142" spans="1:7" x14ac:dyDescent="0.25">
      <c r="A142" s="8">
        <v>42805.609583333331</v>
      </c>
      <c r="B142" s="20" t="s">
        <v>204</v>
      </c>
      <c r="C142" s="20" t="s">
        <v>746</v>
      </c>
      <c r="D142" s="150">
        <v>1300000</v>
      </c>
      <c r="E142" s="20" t="s">
        <v>725</v>
      </c>
      <c r="F142" s="20" t="s">
        <v>726</v>
      </c>
      <c r="G142" s="8" t="str">
        <f t="shared" si="2"/>
        <v>LEVIN SCOTT</v>
      </c>
    </row>
    <row r="143" spans="1:7" x14ac:dyDescent="0.25">
      <c r="A143" s="8">
        <v>42805.61</v>
      </c>
      <c r="B143" s="20" t="s">
        <v>468</v>
      </c>
      <c r="C143" s="20" t="s">
        <v>747</v>
      </c>
      <c r="D143" s="150">
        <v>2540000</v>
      </c>
      <c r="E143" s="20" t="s">
        <v>214</v>
      </c>
      <c r="F143" s="20" t="s">
        <v>215</v>
      </c>
      <c r="G143" s="8" t="str">
        <f t="shared" si="2"/>
        <v>MCREYNOLDS KYLE</v>
      </c>
    </row>
    <row r="144" spans="1:7" x14ac:dyDescent="0.25">
      <c r="A144" s="8">
        <v>42805.61377314815</v>
      </c>
      <c r="B144" s="20" t="s">
        <v>211</v>
      </c>
      <c r="C144" s="20" t="s">
        <v>748</v>
      </c>
      <c r="D144" s="150">
        <v>920000</v>
      </c>
      <c r="E144" s="20" t="s">
        <v>641</v>
      </c>
      <c r="F144" s="20" t="s">
        <v>200</v>
      </c>
      <c r="G144" s="8" t="str">
        <f t="shared" si="2"/>
        <v>DAVIS MICHAEL</v>
      </c>
    </row>
    <row r="145" spans="1:7" x14ac:dyDescent="0.25">
      <c r="A145" s="8">
        <v>42805.614050925928</v>
      </c>
      <c r="B145" s="20" t="s">
        <v>512</v>
      </c>
      <c r="C145" s="20" t="s">
        <v>749</v>
      </c>
      <c r="D145" s="150">
        <v>2370000</v>
      </c>
      <c r="E145" s="20" t="s">
        <v>710</v>
      </c>
      <c r="F145" s="20" t="s">
        <v>711</v>
      </c>
      <c r="G145" s="8" t="str">
        <f t="shared" si="2"/>
        <v>DELGADO DIANAH</v>
      </c>
    </row>
    <row r="146" spans="1:7" x14ac:dyDescent="0.25">
      <c r="A146" s="8">
        <v>42805.623657407406</v>
      </c>
      <c r="B146" s="20" t="s">
        <v>250</v>
      </c>
      <c r="C146" s="20" t="s">
        <v>750</v>
      </c>
      <c r="D146" s="150">
        <v>2440000</v>
      </c>
      <c r="E146" s="20" t="s">
        <v>523</v>
      </c>
      <c r="F146" s="20" t="s">
        <v>524</v>
      </c>
      <c r="G146" s="8" t="str">
        <f t="shared" si="2"/>
        <v>LOPES KIMBERLY</v>
      </c>
    </row>
    <row r="147" spans="1:7" x14ac:dyDescent="0.25">
      <c r="A147" s="8">
        <v>42805.623819444445</v>
      </c>
      <c r="B147" s="20" t="s">
        <v>473</v>
      </c>
      <c r="C147" s="20" t="s">
        <v>751</v>
      </c>
      <c r="D147" s="150">
        <v>1770000</v>
      </c>
      <c r="E147" s="20" t="s">
        <v>479</v>
      </c>
      <c r="F147" s="20" t="s">
        <v>480</v>
      </c>
      <c r="G147" s="8" t="str">
        <f t="shared" si="2"/>
        <v>BRUDER RICHARD</v>
      </c>
    </row>
    <row r="148" spans="1:7" x14ac:dyDescent="0.25">
      <c r="A148" s="8">
        <v>42805.632164351853</v>
      </c>
      <c r="B148" s="20" t="s">
        <v>594</v>
      </c>
      <c r="C148" s="20" t="s">
        <v>601</v>
      </c>
      <c r="D148" s="150">
        <v>2420000</v>
      </c>
      <c r="E148" s="20" t="s">
        <v>721</v>
      </c>
      <c r="F148" s="20" t="s">
        <v>722</v>
      </c>
      <c r="G148" s="8" t="str">
        <f t="shared" si="2"/>
        <v>HOLCOMB KAMDEN</v>
      </c>
    </row>
    <row r="149" spans="1:7" x14ac:dyDescent="0.25">
      <c r="A149" s="8">
        <v>42805.634606481479</v>
      </c>
      <c r="B149" s="20" t="s">
        <v>478</v>
      </c>
      <c r="C149" s="20" t="s">
        <v>752</v>
      </c>
      <c r="D149" s="150">
        <v>2540000</v>
      </c>
      <c r="E149" s="20" t="s">
        <v>214</v>
      </c>
      <c r="F149" s="20" t="s">
        <v>215</v>
      </c>
      <c r="G149" s="8" t="str">
        <f t="shared" si="2"/>
        <v>MCREYNOLDS KYLE</v>
      </c>
    </row>
    <row r="150" spans="1:7" x14ac:dyDescent="0.25">
      <c r="A150" s="8">
        <v>42805.642071759263</v>
      </c>
      <c r="B150" s="20" t="s">
        <v>416</v>
      </c>
      <c r="C150" s="20" t="s">
        <v>753</v>
      </c>
      <c r="D150" s="150">
        <v>880000</v>
      </c>
      <c r="E150" s="20" t="s">
        <v>702</v>
      </c>
      <c r="F150" s="20" t="s">
        <v>200</v>
      </c>
      <c r="G150" s="8" t="str">
        <f t="shared" si="2"/>
        <v>STEWART MICHAEL</v>
      </c>
    </row>
    <row r="151" spans="1:7" x14ac:dyDescent="0.25">
      <c r="A151" s="8">
        <v>42805.643055555556</v>
      </c>
      <c r="B151" s="20" t="s">
        <v>415</v>
      </c>
      <c r="C151" s="20" t="s">
        <v>754</v>
      </c>
      <c r="D151" s="150">
        <v>1300000</v>
      </c>
      <c r="E151" s="20" t="s">
        <v>725</v>
      </c>
      <c r="F151" s="20" t="s">
        <v>726</v>
      </c>
      <c r="G151" s="8" t="str">
        <f t="shared" si="2"/>
        <v>LEVIN SCOTT</v>
      </c>
    </row>
    <row r="152" spans="1:7" x14ac:dyDescent="0.25">
      <c r="A152" s="8">
        <v>42805.651134259257</v>
      </c>
      <c r="B152" s="20" t="s">
        <v>468</v>
      </c>
      <c r="C152" s="20" t="s">
        <v>602</v>
      </c>
      <c r="D152" s="150">
        <v>2540000</v>
      </c>
      <c r="E152" s="20" t="s">
        <v>214</v>
      </c>
      <c r="F152" s="20" t="s">
        <v>215</v>
      </c>
      <c r="G152" s="8" t="str">
        <f t="shared" si="2"/>
        <v>MCREYNOLDS KYLE</v>
      </c>
    </row>
    <row r="153" spans="1:7" x14ac:dyDescent="0.25">
      <c r="A153" s="8">
        <v>42805.651909722219</v>
      </c>
      <c r="B153" s="20" t="s">
        <v>212</v>
      </c>
      <c r="C153" s="20" t="s">
        <v>755</v>
      </c>
      <c r="D153" s="150">
        <v>920000</v>
      </c>
      <c r="E153" s="20" t="s">
        <v>641</v>
      </c>
      <c r="F153" s="20" t="s">
        <v>200</v>
      </c>
      <c r="G153" s="8" t="str">
        <f t="shared" si="2"/>
        <v>DAVIS MICHAEL</v>
      </c>
    </row>
    <row r="154" spans="1:7" x14ac:dyDescent="0.25">
      <c r="A154" s="8">
        <v>42805.655902777777</v>
      </c>
      <c r="B154" s="20" t="s">
        <v>510</v>
      </c>
      <c r="C154" s="20" t="s">
        <v>756</v>
      </c>
      <c r="D154" s="150">
        <v>2370000</v>
      </c>
      <c r="E154" s="20" t="s">
        <v>710</v>
      </c>
      <c r="F154" s="20" t="s">
        <v>711</v>
      </c>
      <c r="G154" s="8" t="str">
        <f t="shared" si="2"/>
        <v>DELGADO DIANAH</v>
      </c>
    </row>
    <row r="155" spans="1:7" x14ac:dyDescent="0.25">
      <c r="A155" s="8">
        <v>42805.659884259258</v>
      </c>
      <c r="B155" s="20" t="s">
        <v>467</v>
      </c>
      <c r="C155" s="20" t="s">
        <v>757</v>
      </c>
      <c r="D155" s="150">
        <v>1770000</v>
      </c>
      <c r="E155" s="20" t="s">
        <v>479</v>
      </c>
      <c r="F155" s="20" t="s">
        <v>480</v>
      </c>
      <c r="G155" s="8" t="str">
        <f t="shared" si="2"/>
        <v>BRUDER RICHARD</v>
      </c>
    </row>
    <row r="156" spans="1:7" x14ac:dyDescent="0.25">
      <c r="A156" s="8">
        <v>42805.662777777776</v>
      </c>
      <c r="B156" s="20" t="s">
        <v>252</v>
      </c>
      <c r="C156" s="20" t="s">
        <v>758</v>
      </c>
      <c r="D156" s="150">
        <v>2530000</v>
      </c>
      <c r="E156" s="20" t="s">
        <v>732</v>
      </c>
      <c r="F156" s="20" t="s">
        <v>733</v>
      </c>
      <c r="G156" s="8" t="str">
        <f t="shared" si="2"/>
        <v>LALONDE GREGORY</v>
      </c>
    </row>
    <row r="157" spans="1:7" x14ac:dyDescent="0.25">
      <c r="A157" s="8">
        <v>42805.670844907407</v>
      </c>
      <c r="B157" s="20" t="s">
        <v>591</v>
      </c>
      <c r="C157" s="20" t="s">
        <v>603</v>
      </c>
      <c r="D157" s="150">
        <v>2420000</v>
      </c>
      <c r="E157" s="20" t="s">
        <v>721</v>
      </c>
      <c r="F157" s="20" t="s">
        <v>722</v>
      </c>
      <c r="G157" s="8" t="str">
        <f t="shared" si="2"/>
        <v>HOLCOMB KAMDEN</v>
      </c>
    </row>
    <row r="158" spans="1:7" x14ac:dyDescent="0.25">
      <c r="A158" s="8">
        <v>42805.673773148148</v>
      </c>
      <c r="B158" s="20" t="s">
        <v>478</v>
      </c>
      <c r="C158" s="20" t="s">
        <v>759</v>
      </c>
      <c r="D158" s="150">
        <v>2540000</v>
      </c>
      <c r="E158" s="20" t="s">
        <v>214</v>
      </c>
      <c r="F158" s="20" t="s">
        <v>215</v>
      </c>
      <c r="G158" s="8" t="str">
        <f t="shared" si="2"/>
        <v>MCREYNOLDS KYLE</v>
      </c>
    </row>
    <row r="159" spans="1:7" x14ac:dyDescent="0.25">
      <c r="A159" s="8">
        <v>42805.675856481481</v>
      </c>
      <c r="B159" s="20" t="s">
        <v>417</v>
      </c>
      <c r="C159" s="20" t="s">
        <v>760</v>
      </c>
      <c r="D159" s="150">
        <v>880000</v>
      </c>
      <c r="E159" s="20" t="s">
        <v>702</v>
      </c>
      <c r="F159" s="20" t="s">
        <v>200</v>
      </c>
      <c r="G159" s="8" t="str">
        <f t="shared" si="2"/>
        <v>STEWART MICHAEL</v>
      </c>
    </row>
    <row r="160" spans="1:7" x14ac:dyDescent="0.25">
      <c r="A160" s="8">
        <v>42805.682141203702</v>
      </c>
      <c r="B160" s="20" t="s">
        <v>204</v>
      </c>
      <c r="C160" s="20" t="s">
        <v>604</v>
      </c>
      <c r="D160" s="150">
        <v>1300000</v>
      </c>
      <c r="E160" s="20" t="s">
        <v>725</v>
      </c>
      <c r="F160" s="20" t="s">
        <v>726</v>
      </c>
      <c r="G160" s="8" t="str">
        <f t="shared" si="2"/>
        <v>LEVIN SCOTT</v>
      </c>
    </row>
    <row r="161" spans="1:7" x14ac:dyDescent="0.25">
      <c r="A161" s="8">
        <v>42805.68681712963</v>
      </c>
      <c r="B161" s="20" t="s">
        <v>512</v>
      </c>
      <c r="C161" s="20" t="s">
        <v>761</v>
      </c>
      <c r="D161" s="150">
        <v>2370000</v>
      </c>
      <c r="E161" s="20" t="s">
        <v>710</v>
      </c>
      <c r="F161" s="20" t="s">
        <v>711</v>
      </c>
      <c r="G161" s="8" t="str">
        <f t="shared" si="2"/>
        <v>DELGADO DIANAH</v>
      </c>
    </row>
    <row r="162" spans="1:7" x14ac:dyDescent="0.25">
      <c r="A162" s="8">
        <v>42805.687106481484</v>
      </c>
      <c r="B162" s="20" t="s">
        <v>211</v>
      </c>
      <c r="C162" s="20" t="s">
        <v>762</v>
      </c>
      <c r="D162" s="150">
        <v>920000</v>
      </c>
      <c r="E162" s="20" t="s">
        <v>641</v>
      </c>
      <c r="F162" s="20" t="s">
        <v>200</v>
      </c>
      <c r="G162" s="8" t="str">
        <f t="shared" si="2"/>
        <v>DAVIS MICHAEL</v>
      </c>
    </row>
    <row r="163" spans="1:7" x14ac:dyDescent="0.25">
      <c r="A163" s="8">
        <v>42805.692928240744</v>
      </c>
      <c r="B163" s="20" t="s">
        <v>468</v>
      </c>
      <c r="C163" s="20" t="s">
        <v>605</v>
      </c>
      <c r="D163" s="150">
        <v>2540000</v>
      </c>
      <c r="E163" s="20" t="s">
        <v>214</v>
      </c>
      <c r="F163" s="20" t="s">
        <v>215</v>
      </c>
      <c r="G163" s="8" t="str">
        <f t="shared" si="2"/>
        <v>MCREYNOLDS KYLE</v>
      </c>
    </row>
    <row r="164" spans="1:7" x14ac:dyDescent="0.25">
      <c r="A164" s="8">
        <v>42805.694432870368</v>
      </c>
      <c r="B164" s="20" t="s">
        <v>473</v>
      </c>
      <c r="C164" s="20" t="s">
        <v>763</v>
      </c>
      <c r="D164" s="150">
        <v>1770000</v>
      </c>
      <c r="E164" s="20" t="s">
        <v>479</v>
      </c>
      <c r="F164" s="20" t="s">
        <v>480</v>
      </c>
      <c r="G164" s="8" t="str">
        <f t="shared" si="2"/>
        <v>BRUDER RICHARD</v>
      </c>
    </row>
    <row r="165" spans="1:7" x14ac:dyDescent="0.25">
      <c r="A165" s="8">
        <v>42805.696423611109</v>
      </c>
      <c r="B165" s="20" t="s">
        <v>250</v>
      </c>
      <c r="C165" s="20" t="s">
        <v>606</v>
      </c>
      <c r="D165" s="150">
        <v>2530000</v>
      </c>
      <c r="E165" s="20" t="s">
        <v>732</v>
      </c>
      <c r="F165" s="20" t="s">
        <v>733</v>
      </c>
      <c r="G165" s="8" t="str">
        <f t="shared" si="2"/>
        <v>LALONDE GREGORY</v>
      </c>
    </row>
    <row r="166" spans="1:7" x14ac:dyDescent="0.25">
      <c r="A166" s="8">
        <v>42805.704907407409</v>
      </c>
      <c r="B166" s="20" t="s">
        <v>594</v>
      </c>
      <c r="C166" s="20" t="s">
        <v>764</v>
      </c>
      <c r="D166" s="150">
        <v>2420000</v>
      </c>
      <c r="E166" s="20" t="s">
        <v>721</v>
      </c>
      <c r="F166" s="20" t="s">
        <v>722</v>
      </c>
      <c r="G166" s="8" t="str">
        <f t="shared" si="2"/>
        <v>HOLCOMB KAMDEN</v>
      </c>
    </row>
    <row r="167" spans="1:7" x14ac:dyDescent="0.25">
      <c r="A167" s="8">
        <v>42805.714803240742</v>
      </c>
      <c r="B167" s="20" t="s">
        <v>415</v>
      </c>
      <c r="C167" s="20" t="s">
        <v>765</v>
      </c>
      <c r="D167" s="150">
        <v>1300000</v>
      </c>
      <c r="E167" s="20" t="s">
        <v>725</v>
      </c>
      <c r="F167" s="20" t="s">
        <v>726</v>
      </c>
      <c r="G167" s="8" t="str">
        <f t="shared" si="2"/>
        <v>LEVIN SCOTT</v>
      </c>
    </row>
    <row r="168" spans="1:7" x14ac:dyDescent="0.25">
      <c r="A168" s="8">
        <v>42805.720763888887</v>
      </c>
      <c r="B168" s="20" t="s">
        <v>478</v>
      </c>
      <c r="C168" s="20" t="s">
        <v>766</v>
      </c>
      <c r="D168" s="150">
        <v>2540000</v>
      </c>
      <c r="E168" s="20" t="s">
        <v>214</v>
      </c>
      <c r="F168" s="20" t="s">
        <v>215</v>
      </c>
      <c r="G168" s="8" t="str">
        <f t="shared" si="2"/>
        <v>MCREYNOLDS KYLE</v>
      </c>
    </row>
    <row r="169" spans="1:7" x14ac:dyDescent="0.25">
      <c r="A169" s="8">
        <v>42805.722662037035</v>
      </c>
      <c r="B169" s="20" t="s">
        <v>266</v>
      </c>
      <c r="C169" s="20" t="s">
        <v>767</v>
      </c>
      <c r="D169" s="150">
        <v>2360000</v>
      </c>
      <c r="E169" s="20" t="s">
        <v>519</v>
      </c>
      <c r="F169" s="20" t="s">
        <v>520</v>
      </c>
      <c r="G169" s="8" t="str">
        <f t="shared" si="2"/>
        <v>BRANDNER MELINDA</v>
      </c>
    </row>
    <row r="170" spans="1:7" x14ac:dyDescent="0.25">
      <c r="A170" s="8">
        <v>42805.725694444445</v>
      </c>
      <c r="B170" s="20" t="s">
        <v>212</v>
      </c>
      <c r="C170" s="20" t="s">
        <v>768</v>
      </c>
      <c r="D170" s="150">
        <v>920000</v>
      </c>
      <c r="E170" s="20" t="s">
        <v>641</v>
      </c>
      <c r="F170" s="20" t="s">
        <v>200</v>
      </c>
      <c r="G170" s="8" t="str">
        <f t="shared" si="2"/>
        <v>DAVIS MICHAEL</v>
      </c>
    </row>
    <row r="171" spans="1:7" x14ac:dyDescent="0.25">
      <c r="A171" s="8">
        <v>42805.726273148146</v>
      </c>
      <c r="B171" s="20" t="s">
        <v>510</v>
      </c>
      <c r="C171" s="20" t="s">
        <v>769</v>
      </c>
      <c r="D171" s="150">
        <v>2470000</v>
      </c>
      <c r="E171" s="20" t="s">
        <v>703</v>
      </c>
      <c r="F171" s="20" t="s">
        <v>704</v>
      </c>
      <c r="G171" s="8" t="str">
        <f t="shared" si="2"/>
        <v>ROMERO CHAD</v>
      </c>
    </row>
    <row r="172" spans="1:7" x14ac:dyDescent="0.25">
      <c r="A172" s="8">
        <v>42805.73233796296</v>
      </c>
      <c r="B172" s="20" t="s">
        <v>467</v>
      </c>
      <c r="C172" s="20" t="s">
        <v>770</v>
      </c>
      <c r="D172" s="150">
        <v>1770000</v>
      </c>
      <c r="E172" s="20" t="s">
        <v>479</v>
      </c>
      <c r="F172" s="20" t="s">
        <v>480</v>
      </c>
      <c r="G172" s="8" t="str">
        <f t="shared" si="2"/>
        <v>BRUDER RICHARD</v>
      </c>
    </row>
    <row r="173" spans="1:7" x14ac:dyDescent="0.25">
      <c r="A173" s="8">
        <v>42805.736458333333</v>
      </c>
      <c r="B173" s="20" t="s">
        <v>468</v>
      </c>
      <c r="C173" s="20" t="s">
        <v>771</v>
      </c>
      <c r="D173" s="150">
        <v>2540000</v>
      </c>
      <c r="E173" s="20" t="s">
        <v>214</v>
      </c>
      <c r="F173" s="20" t="s">
        <v>215</v>
      </c>
      <c r="G173" s="8" t="str">
        <f t="shared" si="2"/>
        <v>MCREYNOLDS KYLE</v>
      </c>
    </row>
    <row r="174" spans="1:7" x14ac:dyDescent="0.25">
      <c r="A174" s="8">
        <v>42805.738449074073</v>
      </c>
      <c r="B174" s="20" t="s">
        <v>252</v>
      </c>
      <c r="C174" s="20" t="s">
        <v>772</v>
      </c>
      <c r="D174" s="150">
        <v>2230000</v>
      </c>
      <c r="E174" s="20" t="s">
        <v>518</v>
      </c>
      <c r="F174" s="20" t="s">
        <v>200</v>
      </c>
      <c r="G174" s="8" t="str">
        <f t="shared" si="2"/>
        <v>SMITH MICHAEL</v>
      </c>
    </row>
    <row r="175" spans="1:7" x14ac:dyDescent="0.25">
      <c r="A175" s="8">
        <v>42805.743750000001</v>
      </c>
      <c r="B175" s="20" t="s">
        <v>591</v>
      </c>
      <c r="C175" s="20" t="s">
        <v>773</v>
      </c>
      <c r="D175" s="150">
        <v>2420000</v>
      </c>
      <c r="E175" s="20" t="s">
        <v>721</v>
      </c>
      <c r="F175" s="20" t="s">
        <v>722</v>
      </c>
      <c r="G175" s="8" t="str">
        <f t="shared" si="2"/>
        <v>HOLCOMB KAMDEN</v>
      </c>
    </row>
    <row r="176" spans="1:7" x14ac:dyDescent="0.25">
      <c r="A176" s="8">
        <v>42805.745810185188</v>
      </c>
      <c r="B176" s="20" t="s">
        <v>408</v>
      </c>
      <c r="C176" s="20" t="s">
        <v>774</v>
      </c>
      <c r="D176" s="150">
        <v>2630000</v>
      </c>
      <c r="E176" s="20" t="s">
        <v>775</v>
      </c>
      <c r="F176" s="20" t="s">
        <v>776</v>
      </c>
      <c r="G176" s="8" t="str">
        <f t="shared" si="2"/>
        <v>SAFIEF AEIMEN</v>
      </c>
    </row>
    <row r="177" spans="1:7" x14ac:dyDescent="0.25">
      <c r="A177" s="8">
        <v>42805.746701388889</v>
      </c>
      <c r="B177" s="20" t="s">
        <v>417</v>
      </c>
      <c r="C177" s="20" t="s">
        <v>777</v>
      </c>
      <c r="D177" s="150">
        <v>2530000</v>
      </c>
      <c r="E177" s="20" t="s">
        <v>732</v>
      </c>
      <c r="F177" s="20" t="s">
        <v>733</v>
      </c>
      <c r="G177" s="8" t="str">
        <f t="shared" si="2"/>
        <v>LALONDE GREGORY</v>
      </c>
    </row>
    <row r="178" spans="1:7" x14ac:dyDescent="0.25">
      <c r="A178" s="8">
        <v>42805.747881944444</v>
      </c>
      <c r="B178" s="20" t="s">
        <v>408</v>
      </c>
      <c r="C178" s="20" t="s">
        <v>774</v>
      </c>
      <c r="D178" s="150">
        <v>2630000</v>
      </c>
      <c r="E178" s="20" t="s">
        <v>775</v>
      </c>
      <c r="F178" s="20" t="s">
        <v>776</v>
      </c>
      <c r="G178" s="8" t="str">
        <f t="shared" si="2"/>
        <v>SAFIEF AEIMEN</v>
      </c>
    </row>
    <row r="179" spans="1:7" x14ac:dyDescent="0.25">
      <c r="A179" s="8">
        <v>42805.754560185182</v>
      </c>
      <c r="B179" s="20" t="s">
        <v>204</v>
      </c>
      <c r="C179" s="20" t="s">
        <v>607</v>
      </c>
      <c r="D179" s="150">
        <v>1300000</v>
      </c>
      <c r="E179" s="20" t="s">
        <v>725</v>
      </c>
      <c r="F179" s="20" t="s">
        <v>726</v>
      </c>
      <c r="G179" s="8" t="str">
        <f t="shared" si="2"/>
        <v>LEVIN SCOTT</v>
      </c>
    </row>
    <row r="180" spans="1:7" x14ac:dyDescent="0.25">
      <c r="A180" s="8">
        <v>42805.757233796299</v>
      </c>
      <c r="B180" s="20" t="s">
        <v>478</v>
      </c>
      <c r="C180" s="20" t="s">
        <v>778</v>
      </c>
      <c r="D180" s="150">
        <v>2540000</v>
      </c>
      <c r="E180" s="20" t="s">
        <v>214</v>
      </c>
      <c r="F180" s="20" t="s">
        <v>215</v>
      </c>
      <c r="G180" s="8" t="str">
        <f t="shared" si="2"/>
        <v>MCREYNOLDS KYLE</v>
      </c>
    </row>
    <row r="181" spans="1:7" x14ac:dyDescent="0.25">
      <c r="A181" s="8">
        <v>42805.758310185185</v>
      </c>
      <c r="B181" s="20" t="s">
        <v>211</v>
      </c>
      <c r="C181" s="20" t="s">
        <v>779</v>
      </c>
      <c r="D181" s="150">
        <v>2620000</v>
      </c>
      <c r="E181" s="20" t="s">
        <v>521</v>
      </c>
      <c r="F181" s="20" t="s">
        <v>522</v>
      </c>
      <c r="G181" s="8" t="str">
        <f t="shared" si="2"/>
        <v>PERKINS DARREN</v>
      </c>
    </row>
    <row r="182" spans="1:7" x14ac:dyDescent="0.25">
      <c r="A182" s="8">
        <v>42805.759444444448</v>
      </c>
      <c r="B182" s="20" t="s">
        <v>512</v>
      </c>
      <c r="C182" s="20" t="s">
        <v>780</v>
      </c>
      <c r="D182" s="150">
        <v>2470000</v>
      </c>
      <c r="E182" s="20" t="s">
        <v>703</v>
      </c>
      <c r="F182" s="20" t="s">
        <v>704</v>
      </c>
      <c r="G182" s="8" t="str">
        <f t="shared" si="2"/>
        <v>ROMERO CHAD</v>
      </c>
    </row>
    <row r="183" spans="1:7" x14ac:dyDescent="0.25">
      <c r="A183" s="8">
        <v>42805.766782407409</v>
      </c>
      <c r="B183" s="20" t="s">
        <v>473</v>
      </c>
      <c r="C183" s="20" t="s">
        <v>781</v>
      </c>
      <c r="D183" s="150">
        <v>2150000</v>
      </c>
      <c r="E183" s="20" t="s">
        <v>481</v>
      </c>
      <c r="F183" s="20" t="s">
        <v>482</v>
      </c>
      <c r="G183" s="8" t="str">
        <f t="shared" si="2"/>
        <v>SWANSON BRYCE</v>
      </c>
    </row>
    <row r="184" spans="1:7" x14ac:dyDescent="0.25">
      <c r="A184" s="8">
        <v>42805.770254629628</v>
      </c>
      <c r="B184" s="20" t="s">
        <v>250</v>
      </c>
      <c r="C184" s="20" t="s">
        <v>782</v>
      </c>
      <c r="D184" s="150">
        <v>2230000</v>
      </c>
      <c r="E184" s="20" t="s">
        <v>518</v>
      </c>
      <c r="F184" s="20" t="s">
        <v>200</v>
      </c>
      <c r="G184" s="8" t="str">
        <f t="shared" si="2"/>
        <v>SMITH MICHAEL</v>
      </c>
    </row>
    <row r="185" spans="1:7" x14ac:dyDescent="0.25">
      <c r="A185" s="8">
        <v>42805.776400462964</v>
      </c>
      <c r="B185" s="20" t="s">
        <v>468</v>
      </c>
      <c r="C185" s="20" t="s">
        <v>783</v>
      </c>
      <c r="D185" s="150">
        <v>2540000</v>
      </c>
      <c r="E185" s="20" t="s">
        <v>214</v>
      </c>
      <c r="F185" s="20" t="s">
        <v>215</v>
      </c>
      <c r="G185" s="8" t="str">
        <f t="shared" si="2"/>
        <v>MCREYNOLDS KYLE</v>
      </c>
    </row>
    <row r="186" spans="1:7" x14ac:dyDescent="0.25">
      <c r="A186" s="8">
        <v>42805.776446759257</v>
      </c>
      <c r="B186" s="20" t="s">
        <v>594</v>
      </c>
      <c r="C186" s="20" t="s">
        <v>784</v>
      </c>
      <c r="D186" s="150">
        <v>2420000</v>
      </c>
      <c r="E186" s="20" t="s">
        <v>721</v>
      </c>
      <c r="F186" s="20" t="s">
        <v>722</v>
      </c>
      <c r="G186" s="8" t="str">
        <f t="shared" si="2"/>
        <v>HOLCOMB KAMDEN</v>
      </c>
    </row>
    <row r="187" spans="1:7" x14ac:dyDescent="0.25">
      <c r="A187" s="8">
        <v>42805.777361111112</v>
      </c>
      <c r="B187" s="20" t="s">
        <v>416</v>
      </c>
      <c r="C187" s="20" t="s">
        <v>785</v>
      </c>
      <c r="D187" s="150">
        <v>2530000</v>
      </c>
      <c r="E187" s="20" t="s">
        <v>732</v>
      </c>
      <c r="F187" s="20" t="s">
        <v>733</v>
      </c>
      <c r="G187" s="8" t="str">
        <f t="shared" si="2"/>
        <v>LALONDE GREGORY</v>
      </c>
    </row>
    <row r="188" spans="1:7" x14ac:dyDescent="0.25">
      <c r="A188" s="8">
        <v>42805.788217592592</v>
      </c>
      <c r="B188" s="20" t="s">
        <v>415</v>
      </c>
      <c r="C188" s="20" t="s">
        <v>786</v>
      </c>
      <c r="D188" s="150">
        <v>2270000</v>
      </c>
      <c r="E188" s="20" t="s">
        <v>219</v>
      </c>
      <c r="F188" s="20" t="s">
        <v>220</v>
      </c>
      <c r="G188" s="8" t="str">
        <f t="shared" si="2"/>
        <v>BROWN JACOB</v>
      </c>
    </row>
    <row r="189" spans="1:7" x14ac:dyDescent="0.25">
      <c r="A189" s="8">
        <v>42805.790092592593</v>
      </c>
      <c r="B189" s="20" t="s">
        <v>212</v>
      </c>
      <c r="C189" s="20" t="s">
        <v>787</v>
      </c>
      <c r="D189" s="150">
        <v>2620000</v>
      </c>
      <c r="E189" s="20" t="s">
        <v>521</v>
      </c>
      <c r="F189" s="20" t="s">
        <v>522</v>
      </c>
      <c r="G189" s="8" t="str">
        <f t="shared" si="2"/>
        <v>PERKINS DARREN</v>
      </c>
    </row>
    <row r="190" spans="1:7" x14ac:dyDescent="0.25">
      <c r="A190" s="8">
        <v>42805.796134259261</v>
      </c>
      <c r="B190" s="20" t="s">
        <v>510</v>
      </c>
      <c r="C190" s="20" t="s">
        <v>788</v>
      </c>
      <c r="D190" s="150">
        <v>2470000</v>
      </c>
      <c r="E190" s="20" t="s">
        <v>703</v>
      </c>
      <c r="F190" s="20" t="s">
        <v>704</v>
      </c>
      <c r="G190" s="8" t="str">
        <f t="shared" si="2"/>
        <v>ROMERO CHAD</v>
      </c>
    </row>
    <row r="191" spans="1:7" x14ac:dyDescent="0.25">
      <c r="A191" s="8">
        <v>42805.802002314813</v>
      </c>
      <c r="B191" s="20" t="s">
        <v>467</v>
      </c>
      <c r="C191" s="20" t="s">
        <v>789</v>
      </c>
      <c r="D191" s="150">
        <v>2150000</v>
      </c>
      <c r="E191" s="20" t="s">
        <v>481</v>
      </c>
      <c r="F191" s="20" t="s">
        <v>482</v>
      </c>
      <c r="G191" s="8" t="str">
        <f t="shared" si="2"/>
        <v>SWANSON BRYCE</v>
      </c>
    </row>
    <row r="192" spans="1:7" x14ac:dyDescent="0.25">
      <c r="A192" s="8">
        <v>42805.802997685183</v>
      </c>
      <c r="B192" s="20" t="s">
        <v>478</v>
      </c>
      <c r="C192" s="20" t="s">
        <v>790</v>
      </c>
      <c r="D192" s="150">
        <v>2560000</v>
      </c>
      <c r="E192" s="20" t="s">
        <v>791</v>
      </c>
      <c r="F192" s="20" t="s">
        <v>792</v>
      </c>
      <c r="G192" s="8" t="str">
        <f t="shared" si="2"/>
        <v>MACDONALD THOMAS</v>
      </c>
    </row>
    <row r="193" spans="1:7" x14ac:dyDescent="0.25">
      <c r="A193" s="8">
        <v>42805.809039351851</v>
      </c>
      <c r="B193" s="20" t="s">
        <v>252</v>
      </c>
      <c r="C193" s="20" t="s">
        <v>793</v>
      </c>
      <c r="D193" s="150">
        <v>2230000</v>
      </c>
      <c r="E193" s="20" t="s">
        <v>518</v>
      </c>
      <c r="F193" s="20" t="s">
        <v>200</v>
      </c>
      <c r="G193" s="8" t="str">
        <f t="shared" si="2"/>
        <v>SMITH MICHAEL</v>
      </c>
    </row>
    <row r="194" spans="1:7" x14ac:dyDescent="0.25">
      <c r="A194" s="8">
        <v>42805.817847222221</v>
      </c>
      <c r="B194" s="20" t="s">
        <v>468</v>
      </c>
      <c r="C194" s="20" t="s">
        <v>794</v>
      </c>
      <c r="D194" s="150">
        <v>2560000</v>
      </c>
      <c r="E194" s="20" t="s">
        <v>791</v>
      </c>
      <c r="F194" s="20" t="s">
        <v>792</v>
      </c>
      <c r="G194" s="8" t="str">
        <f t="shared" si="2"/>
        <v>MACDONALD THOMAS</v>
      </c>
    </row>
    <row r="195" spans="1:7" x14ac:dyDescent="0.25">
      <c r="A195" s="8">
        <v>42805.81927083333</v>
      </c>
      <c r="B195" s="20" t="s">
        <v>417</v>
      </c>
      <c r="C195" s="20" t="s">
        <v>795</v>
      </c>
      <c r="D195" s="150">
        <v>2530000</v>
      </c>
      <c r="E195" s="20" t="s">
        <v>732</v>
      </c>
      <c r="F195" s="20" t="s">
        <v>733</v>
      </c>
      <c r="G195" s="8" t="str">
        <f t="shared" ref="G195:G258" si="3">E195&amp;" "&amp;F195</f>
        <v>LALONDE GREGORY</v>
      </c>
    </row>
    <row r="196" spans="1:7" x14ac:dyDescent="0.25">
      <c r="A196" s="8">
        <v>42805.829814814817</v>
      </c>
      <c r="B196" s="20" t="s">
        <v>204</v>
      </c>
      <c r="C196" s="20" t="s">
        <v>610</v>
      </c>
      <c r="D196" s="150">
        <v>2270000</v>
      </c>
      <c r="E196" s="20" t="s">
        <v>219</v>
      </c>
      <c r="F196" s="20" t="s">
        <v>220</v>
      </c>
      <c r="G196" s="8" t="str">
        <f t="shared" si="3"/>
        <v>BROWN JACOB</v>
      </c>
    </row>
    <row r="197" spans="1:7" x14ac:dyDescent="0.25">
      <c r="A197" s="8">
        <v>42805.830995370372</v>
      </c>
      <c r="B197" s="20" t="s">
        <v>211</v>
      </c>
      <c r="C197" s="20" t="s">
        <v>608</v>
      </c>
      <c r="D197" s="150">
        <v>2620000</v>
      </c>
      <c r="E197" s="20" t="s">
        <v>521</v>
      </c>
      <c r="F197" s="20" t="s">
        <v>522</v>
      </c>
      <c r="G197" s="8" t="str">
        <f t="shared" si="3"/>
        <v>PERKINS DARREN</v>
      </c>
    </row>
    <row r="198" spans="1:7" x14ac:dyDescent="0.25">
      <c r="A198" s="8">
        <v>42805.837592592594</v>
      </c>
      <c r="B198" s="20" t="s">
        <v>464</v>
      </c>
      <c r="C198" s="20" t="s">
        <v>609</v>
      </c>
      <c r="D198" s="150">
        <v>2610000</v>
      </c>
      <c r="E198" s="20" t="s">
        <v>796</v>
      </c>
      <c r="F198" s="20" t="s">
        <v>797</v>
      </c>
      <c r="G198" s="8" t="str">
        <f t="shared" si="3"/>
        <v>MAGEE KENYA</v>
      </c>
    </row>
    <row r="199" spans="1:7" x14ac:dyDescent="0.25">
      <c r="A199" s="8">
        <v>42805.841585648152</v>
      </c>
      <c r="B199" s="20" t="s">
        <v>478</v>
      </c>
      <c r="C199" s="20" t="s">
        <v>798</v>
      </c>
      <c r="D199" s="150">
        <v>2540000</v>
      </c>
      <c r="E199" s="20" t="s">
        <v>214</v>
      </c>
      <c r="F199" s="20" t="s">
        <v>215</v>
      </c>
      <c r="G199" s="8" t="str">
        <f t="shared" si="3"/>
        <v>MCREYNOLDS KYLE</v>
      </c>
    </row>
    <row r="200" spans="1:7" x14ac:dyDescent="0.25">
      <c r="A200" s="8">
        <v>42805.843587962961</v>
      </c>
      <c r="B200" s="20" t="s">
        <v>250</v>
      </c>
      <c r="C200" s="20" t="s">
        <v>799</v>
      </c>
      <c r="D200" s="150">
        <v>2230000</v>
      </c>
      <c r="E200" s="20" t="s">
        <v>518</v>
      </c>
      <c r="F200" s="20" t="s">
        <v>200</v>
      </c>
      <c r="G200" s="8" t="str">
        <f t="shared" si="3"/>
        <v>SMITH MICHAEL</v>
      </c>
    </row>
    <row r="201" spans="1:7" x14ac:dyDescent="0.25">
      <c r="A201" s="8">
        <v>42805.852187500001</v>
      </c>
      <c r="B201" s="20" t="s">
        <v>473</v>
      </c>
      <c r="C201" s="20" t="s">
        <v>800</v>
      </c>
      <c r="D201" s="150">
        <v>2150000</v>
      </c>
      <c r="E201" s="20" t="s">
        <v>481</v>
      </c>
      <c r="F201" s="20" t="s">
        <v>482</v>
      </c>
      <c r="G201" s="8" t="str">
        <f t="shared" si="3"/>
        <v>SWANSON BRYCE</v>
      </c>
    </row>
    <row r="202" spans="1:7" x14ac:dyDescent="0.25">
      <c r="A202" s="26">
        <v>42805.859942129631</v>
      </c>
      <c r="B202" s="20" t="s">
        <v>468</v>
      </c>
      <c r="C202" s="20" t="s">
        <v>801</v>
      </c>
      <c r="D202" s="150">
        <v>2540000</v>
      </c>
      <c r="E202" s="20" t="s">
        <v>214</v>
      </c>
      <c r="F202" s="20" t="s">
        <v>215</v>
      </c>
      <c r="G202" s="8" t="str">
        <f t="shared" si="3"/>
        <v>MCREYNOLDS KYLE</v>
      </c>
    </row>
    <row r="203" spans="1:7" x14ac:dyDescent="0.25">
      <c r="A203" s="8">
        <v>42805.86614583333</v>
      </c>
      <c r="B203" s="20" t="s">
        <v>212</v>
      </c>
      <c r="C203" s="20" t="s">
        <v>802</v>
      </c>
      <c r="D203" s="150">
        <v>2620000</v>
      </c>
      <c r="E203" s="20" t="s">
        <v>521</v>
      </c>
      <c r="F203" s="20" t="s">
        <v>522</v>
      </c>
      <c r="G203" s="8" t="str">
        <f t="shared" si="3"/>
        <v>PERKINS DARREN</v>
      </c>
    </row>
    <row r="204" spans="1:7" x14ac:dyDescent="0.25">
      <c r="A204" s="8">
        <v>42805.871307870373</v>
      </c>
      <c r="B204" s="20" t="s">
        <v>415</v>
      </c>
      <c r="C204" s="20" t="s">
        <v>803</v>
      </c>
      <c r="D204" s="150">
        <v>2270000</v>
      </c>
      <c r="E204" s="20" t="s">
        <v>219</v>
      </c>
      <c r="F204" s="20" t="s">
        <v>220</v>
      </c>
      <c r="G204" s="8" t="str">
        <f t="shared" si="3"/>
        <v>BROWN JACOB</v>
      </c>
    </row>
    <row r="205" spans="1:7" x14ac:dyDescent="0.25">
      <c r="A205" s="8">
        <v>42805.882210648146</v>
      </c>
      <c r="B205" s="20" t="s">
        <v>469</v>
      </c>
      <c r="C205" s="20" t="s">
        <v>611</v>
      </c>
      <c r="D205" s="150">
        <v>2610000</v>
      </c>
      <c r="E205" s="20" t="s">
        <v>796</v>
      </c>
      <c r="F205" s="20" t="s">
        <v>797</v>
      </c>
      <c r="G205" s="8" t="str">
        <f t="shared" si="3"/>
        <v>MAGEE KENYA</v>
      </c>
    </row>
    <row r="206" spans="1:7" x14ac:dyDescent="0.25">
      <c r="A206" s="8">
        <v>42805.883310185185</v>
      </c>
      <c r="B206" s="20" t="s">
        <v>467</v>
      </c>
      <c r="C206" s="20" t="s">
        <v>804</v>
      </c>
      <c r="D206" s="150">
        <v>2150000</v>
      </c>
      <c r="E206" s="20" t="s">
        <v>481</v>
      </c>
      <c r="F206" s="20" t="s">
        <v>482</v>
      </c>
      <c r="G206" s="8" t="str">
        <f t="shared" si="3"/>
        <v>SWANSON BRYCE</v>
      </c>
    </row>
    <row r="207" spans="1:7" x14ac:dyDescent="0.25">
      <c r="A207" s="8">
        <v>42805.885960648149</v>
      </c>
      <c r="B207" s="20" t="s">
        <v>478</v>
      </c>
      <c r="C207" s="20" t="s">
        <v>805</v>
      </c>
      <c r="D207" s="150">
        <v>2540000</v>
      </c>
      <c r="E207" s="20" t="s">
        <v>214</v>
      </c>
      <c r="F207" s="20" t="s">
        <v>215</v>
      </c>
      <c r="G207" s="8" t="str">
        <f t="shared" si="3"/>
        <v>MCREYNOLDS KYLE</v>
      </c>
    </row>
    <row r="208" spans="1:7" x14ac:dyDescent="0.25">
      <c r="A208" s="8">
        <v>42805.889525462961</v>
      </c>
      <c r="B208" s="20" t="s">
        <v>252</v>
      </c>
      <c r="C208" s="20" t="s">
        <v>806</v>
      </c>
      <c r="D208" s="150">
        <v>2630000</v>
      </c>
      <c r="E208" s="20" t="s">
        <v>775</v>
      </c>
      <c r="F208" s="20" t="s">
        <v>776</v>
      </c>
      <c r="G208" s="8" t="str">
        <f t="shared" si="3"/>
        <v>SAFIEF AEIMEN</v>
      </c>
    </row>
    <row r="209" spans="1:7" x14ac:dyDescent="0.25">
      <c r="A209" s="8">
        <v>42805.901087962964</v>
      </c>
      <c r="B209" s="20" t="s">
        <v>468</v>
      </c>
      <c r="C209" s="20" t="s">
        <v>807</v>
      </c>
      <c r="D209" s="150">
        <v>2540000</v>
      </c>
      <c r="E209" s="20" t="s">
        <v>214</v>
      </c>
      <c r="F209" s="20" t="s">
        <v>215</v>
      </c>
      <c r="G209" s="8" t="str">
        <f t="shared" si="3"/>
        <v>MCREYNOLDS KYLE</v>
      </c>
    </row>
    <row r="210" spans="1:7" x14ac:dyDescent="0.25">
      <c r="A210" s="8">
        <v>42805.908599537041</v>
      </c>
      <c r="B210" s="20" t="s">
        <v>211</v>
      </c>
      <c r="C210" s="20" t="s">
        <v>808</v>
      </c>
      <c r="D210" s="150">
        <v>2620000</v>
      </c>
      <c r="E210" s="20" t="s">
        <v>521</v>
      </c>
      <c r="F210" s="20" t="s">
        <v>522</v>
      </c>
      <c r="G210" s="8" t="str">
        <f t="shared" si="3"/>
        <v>PERKINS DARREN</v>
      </c>
    </row>
    <row r="211" spans="1:7" x14ac:dyDescent="0.25">
      <c r="A211" s="8">
        <v>42805.911111111112</v>
      </c>
      <c r="B211" s="20" t="s">
        <v>204</v>
      </c>
      <c r="C211" s="20" t="s">
        <v>809</v>
      </c>
      <c r="D211" s="150">
        <v>2270000</v>
      </c>
      <c r="E211" s="20" t="s">
        <v>219</v>
      </c>
      <c r="F211" s="20" t="s">
        <v>220</v>
      </c>
      <c r="G211" s="8" t="str">
        <f t="shared" si="3"/>
        <v>BROWN JACOB</v>
      </c>
    </row>
    <row r="212" spans="1:7" x14ac:dyDescent="0.25">
      <c r="A212" s="8">
        <v>42805.923900462964</v>
      </c>
      <c r="B212" s="20" t="s">
        <v>464</v>
      </c>
      <c r="C212" s="20" t="s">
        <v>609</v>
      </c>
      <c r="D212" s="150">
        <v>2610000</v>
      </c>
      <c r="E212" s="20" t="s">
        <v>796</v>
      </c>
      <c r="F212" s="20" t="s">
        <v>797</v>
      </c>
      <c r="G212" s="8" t="str">
        <f t="shared" si="3"/>
        <v>MAGEE KENYA</v>
      </c>
    </row>
    <row r="213" spans="1:7" x14ac:dyDescent="0.25">
      <c r="A213" s="8">
        <v>42805.926539351851</v>
      </c>
      <c r="B213" s="20" t="s">
        <v>478</v>
      </c>
      <c r="C213" s="20" t="s">
        <v>810</v>
      </c>
      <c r="D213" s="150">
        <v>2540000</v>
      </c>
      <c r="E213" s="20" t="s">
        <v>214</v>
      </c>
      <c r="F213" s="20" t="s">
        <v>215</v>
      </c>
      <c r="G213" s="8" t="str">
        <f t="shared" si="3"/>
        <v>MCREYNOLDS KYLE</v>
      </c>
    </row>
    <row r="214" spans="1:7" x14ac:dyDescent="0.25">
      <c r="A214" s="8">
        <v>42805.927060185182</v>
      </c>
      <c r="B214" s="20" t="s">
        <v>250</v>
      </c>
      <c r="C214" s="20" t="s">
        <v>811</v>
      </c>
      <c r="D214" s="150">
        <v>2630000</v>
      </c>
      <c r="E214" s="20" t="s">
        <v>775</v>
      </c>
      <c r="F214" s="20" t="s">
        <v>776</v>
      </c>
      <c r="G214" s="8" t="str">
        <f t="shared" si="3"/>
        <v>SAFIEF AEIMEN</v>
      </c>
    </row>
    <row r="215" spans="1:7" x14ac:dyDescent="0.25">
      <c r="A215" s="8">
        <v>42805.936365740738</v>
      </c>
      <c r="B215" s="20" t="s">
        <v>473</v>
      </c>
      <c r="C215" s="20" t="s">
        <v>812</v>
      </c>
      <c r="D215" s="150">
        <v>2150000</v>
      </c>
      <c r="E215" s="20" t="s">
        <v>481</v>
      </c>
      <c r="F215" s="20" t="s">
        <v>482</v>
      </c>
      <c r="G215" s="8" t="str">
        <f t="shared" si="3"/>
        <v>SWANSON BRYCE</v>
      </c>
    </row>
    <row r="216" spans="1:7" x14ac:dyDescent="0.25">
      <c r="A216" s="8">
        <v>42805.943148148152</v>
      </c>
      <c r="B216" s="20" t="s">
        <v>468</v>
      </c>
      <c r="C216" s="20" t="s">
        <v>813</v>
      </c>
      <c r="D216" s="150">
        <v>2540000</v>
      </c>
      <c r="E216" s="20" t="s">
        <v>214</v>
      </c>
      <c r="F216" s="20" t="s">
        <v>215</v>
      </c>
      <c r="G216" s="8" t="str">
        <f t="shared" si="3"/>
        <v>MCREYNOLDS KYLE</v>
      </c>
    </row>
    <row r="217" spans="1:7" x14ac:dyDescent="0.25">
      <c r="A217" s="8">
        <v>42805.949583333335</v>
      </c>
      <c r="B217" s="20" t="s">
        <v>415</v>
      </c>
      <c r="C217" s="20" t="s">
        <v>814</v>
      </c>
      <c r="D217" s="150">
        <v>2270000</v>
      </c>
      <c r="E217" s="20" t="s">
        <v>219</v>
      </c>
      <c r="F217" s="20" t="s">
        <v>220</v>
      </c>
      <c r="G217" s="8" t="str">
        <f t="shared" si="3"/>
        <v>BROWN JACOB</v>
      </c>
    </row>
    <row r="218" spans="1:7" x14ac:dyDescent="0.25">
      <c r="A218" s="8">
        <v>42805.951655092591</v>
      </c>
      <c r="B218" s="20" t="s">
        <v>212</v>
      </c>
      <c r="C218" s="20" t="s">
        <v>815</v>
      </c>
      <c r="D218" s="150">
        <v>2620000</v>
      </c>
      <c r="E218" s="20" t="s">
        <v>521</v>
      </c>
      <c r="F218" s="20" t="s">
        <v>522</v>
      </c>
      <c r="G218" s="8" t="str">
        <f t="shared" si="3"/>
        <v>PERKINS DARREN</v>
      </c>
    </row>
    <row r="219" spans="1:7" x14ac:dyDescent="0.25">
      <c r="A219" s="8">
        <v>42805.960682870369</v>
      </c>
      <c r="B219" s="20" t="s">
        <v>469</v>
      </c>
      <c r="C219" s="20" t="s">
        <v>611</v>
      </c>
      <c r="D219" s="150">
        <v>2610000</v>
      </c>
      <c r="E219" s="20" t="s">
        <v>796</v>
      </c>
      <c r="F219" s="20" t="s">
        <v>797</v>
      </c>
      <c r="G219" s="8" t="str">
        <f t="shared" si="3"/>
        <v>MAGEE KENYA</v>
      </c>
    </row>
    <row r="220" spans="1:7" x14ac:dyDescent="0.25">
      <c r="A220" s="8">
        <v>42805.967488425929</v>
      </c>
      <c r="B220" s="20" t="s">
        <v>252</v>
      </c>
      <c r="C220" s="20" t="s">
        <v>816</v>
      </c>
      <c r="D220" s="150">
        <v>2230000</v>
      </c>
      <c r="E220" s="20" t="s">
        <v>518</v>
      </c>
      <c r="F220" s="20" t="s">
        <v>200</v>
      </c>
      <c r="G220" s="8" t="str">
        <f t="shared" si="3"/>
        <v>SMITH MICHAEL</v>
      </c>
    </row>
    <row r="221" spans="1:7" x14ac:dyDescent="0.25">
      <c r="A221" s="8">
        <v>42805.975104166668</v>
      </c>
      <c r="B221" s="20" t="s">
        <v>467</v>
      </c>
      <c r="C221" s="20" t="s">
        <v>817</v>
      </c>
      <c r="D221" s="150">
        <v>2150000</v>
      </c>
      <c r="E221" s="20" t="s">
        <v>481</v>
      </c>
      <c r="F221" s="20" t="s">
        <v>482</v>
      </c>
      <c r="G221" s="8" t="str">
        <f t="shared" si="3"/>
        <v>SWANSON BRYCE</v>
      </c>
    </row>
    <row r="222" spans="1:7" x14ac:dyDescent="0.25">
      <c r="A222" s="8">
        <v>42805.989374999997</v>
      </c>
      <c r="B222" s="20" t="s">
        <v>211</v>
      </c>
      <c r="C222" s="20" t="s">
        <v>612</v>
      </c>
      <c r="D222" s="150">
        <v>2620000</v>
      </c>
      <c r="E222" s="20" t="s">
        <v>521</v>
      </c>
      <c r="F222" s="20" t="s">
        <v>522</v>
      </c>
      <c r="G222" s="8" t="str">
        <f t="shared" si="3"/>
        <v>PERKINS DARREN</v>
      </c>
    </row>
    <row r="223" spans="1:7" x14ac:dyDescent="0.25">
      <c r="A223" s="8">
        <v>42805.995810185188</v>
      </c>
      <c r="B223" s="20" t="s">
        <v>204</v>
      </c>
      <c r="C223" s="20" t="s">
        <v>818</v>
      </c>
      <c r="D223" s="150">
        <v>2270000</v>
      </c>
      <c r="E223" s="20" t="s">
        <v>219</v>
      </c>
      <c r="F223" s="20" t="s">
        <v>220</v>
      </c>
      <c r="G223" s="8" t="str">
        <f t="shared" si="3"/>
        <v>BROWN JACOB</v>
      </c>
    </row>
    <row r="224" spans="1:7" x14ac:dyDescent="0.25">
      <c r="A224" s="8">
        <v>42806.0003125</v>
      </c>
      <c r="B224" t="s">
        <v>464</v>
      </c>
      <c r="C224" t="s">
        <v>609</v>
      </c>
      <c r="D224" s="150">
        <v>2610000</v>
      </c>
      <c r="E224" t="s">
        <v>796</v>
      </c>
      <c r="F224" s="20" t="s">
        <v>797</v>
      </c>
      <c r="G224" s="8" t="str">
        <f t="shared" si="3"/>
        <v>MAGEE KENYA</v>
      </c>
    </row>
    <row r="225" spans="1:7" x14ac:dyDescent="0.25">
      <c r="A225" s="8">
        <v>42806.009421296294</v>
      </c>
      <c r="B225" t="s">
        <v>473</v>
      </c>
      <c r="C225" t="s">
        <v>819</v>
      </c>
      <c r="D225" s="150">
        <v>2150000</v>
      </c>
      <c r="E225" t="s">
        <v>481</v>
      </c>
      <c r="F225" s="20" t="s">
        <v>482</v>
      </c>
      <c r="G225" s="8" t="str">
        <f t="shared" si="3"/>
        <v>SWANSON BRYCE</v>
      </c>
    </row>
    <row r="226" spans="1:7" x14ac:dyDescent="0.25">
      <c r="A226" s="8">
        <v>42806.009942129633</v>
      </c>
      <c r="B226" t="s">
        <v>250</v>
      </c>
      <c r="C226" t="s">
        <v>820</v>
      </c>
      <c r="D226" s="150">
        <v>2230000</v>
      </c>
      <c r="E226" t="s">
        <v>518</v>
      </c>
      <c r="F226" s="20" t="s">
        <v>200</v>
      </c>
      <c r="G226" s="8" t="str">
        <f t="shared" si="3"/>
        <v>SMITH MICHAEL</v>
      </c>
    </row>
    <row r="227" spans="1:7" x14ac:dyDescent="0.25">
      <c r="A227" s="8">
        <v>42806.034490740742</v>
      </c>
      <c r="B227" t="s">
        <v>212</v>
      </c>
      <c r="C227" t="s">
        <v>821</v>
      </c>
      <c r="D227" s="150">
        <v>2620000</v>
      </c>
      <c r="E227" t="s">
        <v>521</v>
      </c>
      <c r="F227" s="20" t="s">
        <v>522</v>
      </c>
      <c r="G227" s="8" t="str">
        <f t="shared" si="3"/>
        <v>PERKINS DARREN</v>
      </c>
    </row>
    <row r="228" spans="1:7" x14ac:dyDescent="0.25">
      <c r="A228" s="8">
        <v>42806.039768518516</v>
      </c>
      <c r="B228" t="s">
        <v>415</v>
      </c>
      <c r="C228" t="s">
        <v>822</v>
      </c>
      <c r="D228" s="150">
        <v>2270000</v>
      </c>
      <c r="E228" t="s">
        <v>219</v>
      </c>
      <c r="F228" s="20" t="s">
        <v>220</v>
      </c>
      <c r="G228" s="8" t="str">
        <f t="shared" si="3"/>
        <v>BROWN JACOB</v>
      </c>
    </row>
    <row r="229" spans="1:7" x14ac:dyDescent="0.25">
      <c r="A229" s="8">
        <v>42806.047384259262</v>
      </c>
      <c r="B229" t="s">
        <v>469</v>
      </c>
      <c r="C229" t="s">
        <v>611</v>
      </c>
      <c r="D229" s="150">
        <v>2610000</v>
      </c>
      <c r="E229" t="s">
        <v>796</v>
      </c>
      <c r="F229" s="20" t="s">
        <v>797</v>
      </c>
      <c r="G229" s="8" t="str">
        <f t="shared" si="3"/>
        <v>MAGEE KENYA</v>
      </c>
    </row>
    <row r="230" spans="1:7" x14ac:dyDescent="0.25">
      <c r="A230" s="8">
        <v>42806.048703703702</v>
      </c>
      <c r="B230" t="s">
        <v>252</v>
      </c>
      <c r="C230" t="s">
        <v>823</v>
      </c>
      <c r="D230" s="150">
        <v>2230000</v>
      </c>
      <c r="E230" t="s">
        <v>518</v>
      </c>
      <c r="F230" s="20" t="s">
        <v>200</v>
      </c>
      <c r="G230" s="8" t="str">
        <f t="shared" si="3"/>
        <v>SMITH MICHAEL</v>
      </c>
    </row>
    <row r="231" spans="1:7" x14ac:dyDescent="0.25">
      <c r="A231" s="8">
        <v>42806.050462962965</v>
      </c>
      <c r="B231" t="s">
        <v>467</v>
      </c>
      <c r="C231" t="s">
        <v>824</v>
      </c>
      <c r="D231" s="150">
        <v>2150000</v>
      </c>
      <c r="E231" t="s">
        <v>481</v>
      </c>
      <c r="F231" s="20" t="s">
        <v>482</v>
      </c>
      <c r="G231" s="8" t="str">
        <f t="shared" si="3"/>
        <v>SWANSON BRYCE</v>
      </c>
    </row>
    <row r="232" spans="1:7" x14ac:dyDescent="0.25">
      <c r="A232" s="8">
        <v>42806.059895833336</v>
      </c>
      <c r="B232" t="s">
        <v>464</v>
      </c>
      <c r="C232" t="s">
        <v>609</v>
      </c>
      <c r="D232" s="150">
        <v>2610000</v>
      </c>
      <c r="E232" t="s">
        <v>796</v>
      </c>
      <c r="F232" s="20" t="s">
        <v>797</v>
      </c>
      <c r="G232" s="8" t="str">
        <f t="shared" si="3"/>
        <v>MAGEE KENYA</v>
      </c>
    </row>
    <row r="233" spans="1:7" x14ac:dyDescent="0.25">
      <c r="A233" s="8">
        <v>42806.070740740739</v>
      </c>
      <c r="B233" t="s">
        <v>211</v>
      </c>
      <c r="C233" t="s">
        <v>825</v>
      </c>
      <c r="D233" s="150">
        <v>2620000</v>
      </c>
      <c r="E233" t="s">
        <v>521</v>
      </c>
      <c r="F233" s="20" t="s">
        <v>522</v>
      </c>
      <c r="G233" s="8" t="str">
        <f t="shared" si="3"/>
        <v>PERKINS DARREN</v>
      </c>
    </row>
    <row r="234" spans="1:7" x14ac:dyDescent="0.25">
      <c r="A234" s="8">
        <v>42803.95511574074</v>
      </c>
      <c r="B234" t="s">
        <v>469</v>
      </c>
      <c r="C234" t="s">
        <v>526</v>
      </c>
      <c r="D234" s="150">
        <v>2730000</v>
      </c>
      <c r="E234" t="s">
        <v>238</v>
      </c>
      <c r="F234" s="20" t="s">
        <v>239</v>
      </c>
      <c r="G234" s="8" t="str">
        <f t="shared" si="3"/>
        <v>YANG JAN</v>
      </c>
    </row>
    <row r="235" spans="1:7" x14ac:dyDescent="0.25">
      <c r="A235" s="8">
        <v>42803.966319444444</v>
      </c>
      <c r="B235" t="s">
        <v>514</v>
      </c>
      <c r="C235" t="s">
        <v>527</v>
      </c>
      <c r="D235" s="150">
        <v>2150000</v>
      </c>
      <c r="E235" t="s">
        <v>481</v>
      </c>
      <c r="F235" s="20" t="s">
        <v>482</v>
      </c>
      <c r="G235" s="8" t="str">
        <f t="shared" si="3"/>
        <v>SWANSON BRYCE</v>
      </c>
    </row>
    <row r="236" spans="1:7" x14ac:dyDescent="0.25">
      <c r="A236" s="8">
        <v>42803.97760416667</v>
      </c>
      <c r="B236" t="s">
        <v>272</v>
      </c>
      <c r="C236" t="s">
        <v>528</v>
      </c>
      <c r="D236" s="150">
        <v>1810000</v>
      </c>
      <c r="E236" t="s">
        <v>201</v>
      </c>
      <c r="F236" s="20" t="s">
        <v>197</v>
      </c>
      <c r="G236" s="8" t="str">
        <f t="shared" si="3"/>
        <v>NEWELL JAMES</v>
      </c>
    </row>
    <row r="237" spans="1:7" x14ac:dyDescent="0.25">
      <c r="A237" s="8">
        <v>42803.991446759261</v>
      </c>
      <c r="B237" t="s">
        <v>410</v>
      </c>
      <c r="C237" t="s">
        <v>529</v>
      </c>
      <c r="D237" s="150">
        <v>2540000</v>
      </c>
      <c r="E237" t="s">
        <v>214</v>
      </c>
      <c r="F237" s="20" t="s">
        <v>215</v>
      </c>
      <c r="G237" s="8" t="str">
        <f t="shared" si="3"/>
        <v>MCREYNOLDS KYLE</v>
      </c>
    </row>
    <row r="238" spans="1:7" x14ac:dyDescent="0.25">
      <c r="A238" s="8">
        <v>42803.996504629627</v>
      </c>
      <c r="B238" t="s">
        <v>512</v>
      </c>
      <c r="C238" t="s">
        <v>513</v>
      </c>
      <c r="D238" s="150">
        <v>1800000</v>
      </c>
      <c r="E238" t="s">
        <v>224</v>
      </c>
      <c r="F238" s="20" t="s">
        <v>225</v>
      </c>
      <c r="G238" s="8" t="str">
        <f t="shared" si="3"/>
        <v>CHANDLER KELVIN</v>
      </c>
    </row>
    <row r="239" spans="1:7" x14ac:dyDescent="0.25">
      <c r="A239" s="8">
        <v>42803.996979166666</v>
      </c>
      <c r="B239" t="s">
        <v>464</v>
      </c>
      <c r="C239" t="s">
        <v>525</v>
      </c>
      <c r="D239" s="150">
        <v>2730000</v>
      </c>
      <c r="E239" t="s">
        <v>238</v>
      </c>
      <c r="F239" s="20" t="s">
        <v>239</v>
      </c>
      <c r="G239" s="8" t="str">
        <f t="shared" si="3"/>
        <v>YANG JAN</v>
      </c>
    </row>
    <row r="240" spans="1:7" x14ac:dyDescent="0.25">
      <c r="A240" s="8">
        <v>42804.015717592592</v>
      </c>
      <c r="B240" t="s">
        <v>408</v>
      </c>
      <c r="C240" t="s">
        <v>530</v>
      </c>
      <c r="D240" s="150">
        <v>1810000</v>
      </c>
      <c r="E240" t="s">
        <v>201</v>
      </c>
      <c r="F240" s="20" t="s">
        <v>197</v>
      </c>
      <c r="G240" s="8" t="str">
        <f t="shared" si="3"/>
        <v>NEWELL JAMES</v>
      </c>
    </row>
    <row r="241" spans="1:7" x14ac:dyDescent="0.25">
      <c r="A241" s="8">
        <v>42804.018888888888</v>
      </c>
      <c r="B241" t="s">
        <v>508</v>
      </c>
      <c r="C241" t="s">
        <v>531</v>
      </c>
      <c r="D241" s="150">
        <v>2150000</v>
      </c>
      <c r="E241" t="s">
        <v>481</v>
      </c>
      <c r="F241" s="20" t="s">
        <v>482</v>
      </c>
      <c r="G241" s="8" t="str">
        <f t="shared" si="3"/>
        <v>SWANSON BRYCE</v>
      </c>
    </row>
    <row r="242" spans="1:7" x14ac:dyDescent="0.25">
      <c r="A242" s="8">
        <v>42804.033171296294</v>
      </c>
      <c r="B242" t="s">
        <v>409</v>
      </c>
      <c r="C242" t="s">
        <v>532</v>
      </c>
      <c r="D242" s="150">
        <v>2540000</v>
      </c>
      <c r="E242" t="s">
        <v>214</v>
      </c>
      <c r="F242" s="20" t="s">
        <v>215</v>
      </c>
      <c r="G242" s="8" t="str">
        <f t="shared" si="3"/>
        <v>MCREYNOLDS KYLE</v>
      </c>
    </row>
    <row r="243" spans="1:7" x14ac:dyDescent="0.25">
      <c r="A243" s="8">
        <v>42804.042881944442</v>
      </c>
      <c r="B243" t="s">
        <v>469</v>
      </c>
      <c r="C243" t="s">
        <v>526</v>
      </c>
      <c r="D243" s="150">
        <v>2730000</v>
      </c>
      <c r="E243" t="s">
        <v>238</v>
      </c>
      <c r="F243" s="20" t="s">
        <v>239</v>
      </c>
      <c r="G243" s="8" t="str">
        <f t="shared" si="3"/>
        <v>YANG JAN</v>
      </c>
    </row>
    <row r="244" spans="1:7" x14ac:dyDescent="0.25">
      <c r="A244" s="8">
        <v>42804.04996527778</v>
      </c>
      <c r="B244" t="s">
        <v>272</v>
      </c>
      <c r="C244" t="s">
        <v>533</v>
      </c>
      <c r="D244" s="150">
        <v>1810000</v>
      </c>
      <c r="E244" t="s">
        <v>201</v>
      </c>
      <c r="F244" s="20" t="s">
        <v>197</v>
      </c>
      <c r="G244" s="8" t="str">
        <f t="shared" si="3"/>
        <v>NEWELL JAMES</v>
      </c>
    </row>
    <row r="245" spans="1:7" x14ac:dyDescent="0.25">
      <c r="A245" s="8">
        <v>42804.052256944444</v>
      </c>
      <c r="B245" t="s">
        <v>514</v>
      </c>
      <c r="C245" t="s">
        <v>534</v>
      </c>
      <c r="D245" s="150">
        <v>2150000</v>
      </c>
      <c r="E245" t="s">
        <v>481</v>
      </c>
      <c r="F245" s="20" t="s">
        <v>482</v>
      </c>
      <c r="G245" s="8" t="str">
        <f t="shared" si="3"/>
        <v>SWANSON BRYCE</v>
      </c>
    </row>
    <row r="246" spans="1:7" x14ac:dyDescent="0.25">
      <c r="A246" s="8">
        <v>42804.060740740744</v>
      </c>
      <c r="B246" t="s">
        <v>464</v>
      </c>
      <c r="C246" t="s">
        <v>525</v>
      </c>
      <c r="D246" s="150">
        <v>2730000</v>
      </c>
      <c r="E246" t="s">
        <v>238</v>
      </c>
      <c r="F246" s="20" t="s">
        <v>239</v>
      </c>
      <c r="G246" s="8" t="str">
        <f t="shared" si="3"/>
        <v>YANG JAN</v>
      </c>
    </row>
    <row r="247" spans="1:7" x14ac:dyDescent="0.25">
      <c r="A247" s="8">
        <v>42804.071018518516</v>
      </c>
      <c r="B247" t="s">
        <v>410</v>
      </c>
      <c r="C247" t="s">
        <v>535</v>
      </c>
      <c r="D247" s="150">
        <v>2540000</v>
      </c>
      <c r="E247" t="s">
        <v>214</v>
      </c>
      <c r="F247" s="20" t="s">
        <v>215</v>
      </c>
      <c r="G247" s="8" t="str">
        <f t="shared" si="3"/>
        <v>MCREYNOLDS KYLE</v>
      </c>
    </row>
    <row r="248" spans="1:7" x14ac:dyDescent="0.25">
      <c r="A248" s="8">
        <v>42804.073368055557</v>
      </c>
      <c r="B248" t="s">
        <v>469</v>
      </c>
      <c r="C248" t="s">
        <v>526</v>
      </c>
      <c r="D248" s="150">
        <v>2730000</v>
      </c>
      <c r="E248" t="s">
        <v>238</v>
      </c>
      <c r="F248" s="20" t="s">
        <v>239</v>
      </c>
      <c r="G248" s="8" t="str">
        <f t="shared" si="3"/>
        <v>YANG JAN</v>
      </c>
    </row>
    <row r="249" spans="1:7" x14ac:dyDescent="0.25">
      <c r="A249" s="8">
        <v>42804.085752314815</v>
      </c>
      <c r="B249" t="s">
        <v>464</v>
      </c>
      <c r="C249" t="s">
        <v>525</v>
      </c>
      <c r="D249" s="150">
        <v>2730000</v>
      </c>
      <c r="E249" t="s">
        <v>238</v>
      </c>
      <c r="F249" s="20" t="s">
        <v>239</v>
      </c>
      <c r="G249" s="8" t="str">
        <f t="shared" si="3"/>
        <v>YANG JAN</v>
      </c>
    </row>
    <row r="250" spans="1:7" x14ac:dyDescent="0.25">
      <c r="A250" s="8">
        <v>42804.091979166667</v>
      </c>
      <c r="B250" t="s">
        <v>508</v>
      </c>
      <c r="C250" t="s">
        <v>536</v>
      </c>
      <c r="D250" s="150">
        <v>2150000</v>
      </c>
      <c r="E250" t="s">
        <v>481</v>
      </c>
      <c r="F250" s="20" t="s">
        <v>482</v>
      </c>
      <c r="G250" s="8" t="str">
        <f t="shared" si="3"/>
        <v>SWANSON BRYCE</v>
      </c>
    </row>
    <row r="251" spans="1:7" x14ac:dyDescent="0.25">
      <c r="A251" s="8">
        <v>42804.100902777776</v>
      </c>
      <c r="B251" t="s">
        <v>469</v>
      </c>
      <c r="C251" t="s">
        <v>526</v>
      </c>
      <c r="D251" s="150">
        <v>2730000</v>
      </c>
      <c r="E251" t="s">
        <v>238</v>
      </c>
      <c r="F251" s="20" t="s">
        <v>239</v>
      </c>
      <c r="G251" s="8" t="str">
        <f t="shared" si="3"/>
        <v>YANG JAN</v>
      </c>
    </row>
    <row r="252" spans="1:7" x14ac:dyDescent="0.25">
      <c r="A252" s="8">
        <v>42804.11314814815</v>
      </c>
      <c r="B252" t="s">
        <v>464</v>
      </c>
      <c r="C252" t="s">
        <v>525</v>
      </c>
      <c r="D252" s="150">
        <v>2730000</v>
      </c>
      <c r="E252" t="s">
        <v>238</v>
      </c>
      <c r="F252" s="20" t="s">
        <v>239</v>
      </c>
      <c r="G252" s="8" t="str">
        <f t="shared" si="3"/>
        <v>YANG JAN</v>
      </c>
    </row>
    <row r="253" spans="1:7" x14ac:dyDescent="0.25">
      <c r="A253" s="8">
        <v>42803.033553240741</v>
      </c>
      <c r="B253" t="s">
        <v>430</v>
      </c>
      <c r="C253" t="s">
        <v>487</v>
      </c>
      <c r="D253" s="150">
        <v>2150000</v>
      </c>
      <c r="E253" t="s">
        <v>481</v>
      </c>
      <c r="F253" s="20" t="s">
        <v>482</v>
      </c>
      <c r="G253" s="8" t="str">
        <f t="shared" si="3"/>
        <v>SWANSON BRYCE</v>
      </c>
    </row>
    <row r="254" spans="1:7" x14ac:dyDescent="0.25">
      <c r="A254" s="8">
        <v>42803.036689814813</v>
      </c>
      <c r="B254" t="s">
        <v>465</v>
      </c>
      <c r="C254" t="s">
        <v>488</v>
      </c>
      <c r="D254" s="150">
        <v>2450000</v>
      </c>
      <c r="E254" t="s">
        <v>483</v>
      </c>
      <c r="F254" s="20" t="s">
        <v>484</v>
      </c>
      <c r="G254" s="8" t="str">
        <f t="shared" si="3"/>
        <v>NELSON ARIANE</v>
      </c>
    </row>
    <row r="255" spans="1:7" x14ac:dyDescent="0.25">
      <c r="A255" s="8">
        <v>42803.048831018517</v>
      </c>
      <c r="B255" t="s">
        <v>464</v>
      </c>
      <c r="C255" t="s">
        <v>485</v>
      </c>
      <c r="D255" s="150">
        <v>2730000</v>
      </c>
      <c r="E255" t="s">
        <v>238</v>
      </c>
      <c r="F255" s="20" t="s">
        <v>239</v>
      </c>
      <c r="G255" s="8" t="str">
        <f t="shared" si="3"/>
        <v>YANG JAN</v>
      </c>
    </row>
    <row r="256" spans="1:7" x14ac:dyDescent="0.25">
      <c r="A256" s="8">
        <v>42803.05740740741</v>
      </c>
      <c r="B256" t="s">
        <v>212</v>
      </c>
      <c r="C256" t="s">
        <v>489</v>
      </c>
      <c r="D256" s="150">
        <v>1810000</v>
      </c>
      <c r="E256" t="s">
        <v>201</v>
      </c>
      <c r="F256" s="20" t="s">
        <v>197</v>
      </c>
      <c r="G256" s="8" t="str">
        <f t="shared" si="3"/>
        <v>NEWELL JAMES</v>
      </c>
    </row>
    <row r="257" spans="1:7" x14ac:dyDescent="0.25">
      <c r="A257" s="8">
        <v>42803.069062499999</v>
      </c>
      <c r="B257" t="s">
        <v>417</v>
      </c>
      <c r="C257" t="s">
        <v>490</v>
      </c>
      <c r="D257" s="150">
        <v>1740000</v>
      </c>
      <c r="E257" t="s">
        <v>432</v>
      </c>
      <c r="F257" s="20" t="s">
        <v>433</v>
      </c>
      <c r="G257" s="8" t="str">
        <f t="shared" si="3"/>
        <v>STORY SAMANTHA</v>
      </c>
    </row>
    <row r="258" spans="1:7" x14ac:dyDescent="0.25">
      <c r="A258" s="8">
        <v>42803.07240740741</v>
      </c>
      <c r="B258" t="s">
        <v>466</v>
      </c>
      <c r="C258" t="s">
        <v>491</v>
      </c>
      <c r="D258" s="150">
        <v>2450000</v>
      </c>
      <c r="E258" t="s">
        <v>483</v>
      </c>
      <c r="F258" s="20" t="s">
        <v>484</v>
      </c>
      <c r="G258" s="8" t="str">
        <f t="shared" si="3"/>
        <v>NELSON ARIANE</v>
      </c>
    </row>
    <row r="259" spans="1:7" x14ac:dyDescent="0.25">
      <c r="A259" s="8">
        <v>42803.076689814814</v>
      </c>
      <c r="B259" t="s">
        <v>469</v>
      </c>
      <c r="C259" t="s">
        <v>486</v>
      </c>
      <c r="D259" s="150">
        <v>2730000</v>
      </c>
      <c r="E259" t="s">
        <v>238</v>
      </c>
      <c r="F259" s="20" t="s">
        <v>239</v>
      </c>
      <c r="G259" s="8" t="str">
        <f t="shared" ref="G259:G322" si="4">E259&amp;" "&amp;F259</f>
        <v>YANG JAN</v>
      </c>
    </row>
    <row r="260" spans="1:7" x14ac:dyDescent="0.25">
      <c r="A260" s="8">
        <v>42803.090300925927</v>
      </c>
      <c r="B260" t="s">
        <v>211</v>
      </c>
      <c r="C260" t="s">
        <v>492</v>
      </c>
      <c r="D260" s="150">
        <v>1810000</v>
      </c>
      <c r="E260" t="s">
        <v>201</v>
      </c>
      <c r="F260" s="20" t="s">
        <v>197</v>
      </c>
      <c r="G260" s="8" t="str">
        <f t="shared" si="4"/>
        <v>NEWELL JAMES</v>
      </c>
    </row>
    <row r="261" spans="1:7" x14ac:dyDescent="0.25">
      <c r="A261" s="8">
        <v>42790.038599537038</v>
      </c>
      <c r="B261" t="s">
        <v>250</v>
      </c>
      <c r="C261" t="s">
        <v>251</v>
      </c>
      <c r="D261" s="150">
        <v>2270000</v>
      </c>
      <c r="E261" t="s">
        <v>219</v>
      </c>
      <c r="F261" s="20" t="s">
        <v>220</v>
      </c>
      <c r="G261" s="8" t="str">
        <f t="shared" si="4"/>
        <v>BROWN JACOB</v>
      </c>
    </row>
    <row r="262" spans="1:7" x14ac:dyDescent="0.25">
      <c r="A262" s="8">
        <v>42790.045081018521</v>
      </c>
      <c r="B262" t="s">
        <v>243</v>
      </c>
      <c r="C262" t="s">
        <v>253</v>
      </c>
      <c r="D262" s="150">
        <v>2670000</v>
      </c>
      <c r="E262" t="s">
        <v>221</v>
      </c>
      <c r="F262" s="20" t="s">
        <v>222</v>
      </c>
      <c r="G262" s="8" t="str">
        <f t="shared" si="4"/>
        <v>COMELLA JUSTIN</v>
      </c>
    </row>
    <row r="263" spans="1:7" x14ac:dyDescent="0.25">
      <c r="A263" s="8">
        <v>42790.052789351852</v>
      </c>
      <c r="B263" t="s">
        <v>211</v>
      </c>
      <c r="C263" t="s">
        <v>255</v>
      </c>
      <c r="D263" s="150">
        <v>2540000</v>
      </c>
      <c r="E263" t="s">
        <v>214</v>
      </c>
      <c r="F263" s="20" t="s">
        <v>215</v>
      </c>
      <c r="G263" s="8" t="str">
        <f t="shared" si="4"/>
        <v>MCREYNOLDS KYLE</v>
      </c>
    </row>
    <row r="264" spans="1:7" x14ac:dyDescent="0.25">
      <c r="A264" s="8">
        <v>42790.054884259262</v>
      </c>
      <c r="B264" t="s">
        <v>244</v>
      </c>
      <c r="C264" t="s">
        <v>254</v>
      </c>
      <c r="D264" s="150">
        <v>2730000</v>
      </c>
      <c r="E264" t="s">
        <v>238</v>
      </c>
      <c r="F264" s="20" t="s">
        <v>239</v>
      </c>
      <c r="G264" s="8" t="str">
        <f t="shared" si="4"/>
        <v>YANG JAN</v>
      </c>
    </row>
    <row r="265" spans="1:7" x14ac:dyDescent="0.25">
      <c r="A265" s="8">
        <v>42790.058622685188</v>
      </c>
      <c r="B265" t="s">
        <v>230</v>
      </c>
      <c r="C265" t="s">
        <v>256</v>
      </c>
      <c r="D265" s="150">
        <v>2220000</v>
      </c>
      <c r="E265" t="s">
        <v>209</v>
      </c>
      <c r="F265" s="20" t="s">
        <v>210</v>
      </c>
      <c r="G265" s="8" t="str">
        <f t="shared" si="4"/>
        <v>HILLS DUSTIN</v>
      </c>
    </row>
    <row r="266" spans="1:7" x14ac:dyDescent="0.25">
      <c r="A266" s="8">
        <v>42790.063483796293</v>
      </c>
      <c r="B266" t="s">
        <v>243</v>
      </c>
      <c r="C266" t="s">
        <v>253</v>
      </c>
      <c r="D266" s="150">
        <v>2670000</v>
      </c>
      <c r="E266" t="s">
        <v>221</v>
      </c>
      <c r="F266" s="20" t="s">
        <v>222</v>
      </c>
      <c r="G266" s="8" t="str">
        <f t="shared" si="4"/>
        <v>COMELLA JUSTIN</v>
      </c>
    </row>
    <row r="267" spans="1:7" x14ac:dyDescent="0.25">
      <c r="A267" s="8">
        <v>42790.070821759262</v>
      </c>
      <c r="B267" t="s">
        <v>244</v>
      </c>
      <c r="C267" t="s">
        <v>254</v>
      </c>
      <c r="D267" s="150">
        <v>2730000</v>
      </c>
      <c r="E267" t="s">
        <v>238</v>
      </c>
      <c r="F267" s="20" t="s">
        <v>239</v>
      </c>
      <c r="G267" s="8" t="str">
        <f t="shared" si="4"/>
        <v>YANG JAN</v>
      </c>
    </row>
    <row r="268" spans="1:7" x14ac:dyDescent="0.25">
      <c r="A268" s="8">
        <v>42790.072557870371</v>
      </c>
      <c r="B268" t="s">
        <v>252</v>
      </c>
      <c r="C268" t="s">
        <v>257</v>
      </c>
      <c r="D268" s="150">
        <v>2270000</v>
      </c>
      <c r="E268" t="s">
        <v>219</v>
      </c>
      <c r="F268" s="20" t="s">
        <v>220</v>
      </c>
      <c r="G268" s="8" t="str">
        <f t="shared" si="4"/>
        <v>BROWN JACOB</v>
      </c>
    </row>
    <row r="269" spans="1:7" x14ac:dyDescent="0.25">
      <c r="A269" s="8">
        <v>42790.077002314814</v>
      </c>
      <c r="B269" t="s">
        <v>243</v>
      </c>
      <c r="C269" t="s">
        <v>253</v>
      </c>
      <c r="D269" s="150">
        <v>2670000</v>
      </c>
      <c r="E269" t="s">
        <v>221</v>
      </c>
      <c r="F269" s="20" t="s">
        <v>222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244</v>
      </c>
      <c r="C270" t="s">
        <v>254</v>
      </c>
      <c r="D270" s="150">
        <v>2730000</v>
      </c>
      <c r="E270" t="s">
        <v>238</v>
      </c>
      <c r="F270" s="20" t="s">
        <v>239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190</v>
      </c>
      <c r="C271" t="s">
        <v>258</v>
      </c>
      <c r="D271" s="150">
        <v>2220000</v>
      </c>
      <c r="E271" t="s">
        <v>209</v>
      </c>
      <c r="F271" s="20" t="s">
        <v>210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243</v>
      </c>
      <c r="C272" t="s">
        <v>253</v>
      </c>
      <c r="D272" s="150">
        <v>2670000</v>
      </c>
      <c r="E272" t="s">
        <v>221</v>
      </c>
      <c r="F272" s="20" t="s">
        <v>222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244</v>
      </c>
      <c r="C273" t="s">
        <v>254</v>
      </c>
      <c r="D273" s="150">
        <v>2730000</v>
      </c>
      <c r="E273" t="s">
        <v>238</v>
      </c>
      <c r="F273" s="20" t="s">
        <v>239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826</v>
      </c>
      <c r="K1" s="190" t="s">
        <v>163</v>
      </c>
      <c r="L1" s="190" t="s">
        <v>161</v>
      </c>
      <c r="M1" s="190" t="s">
        <v>156</v>
      </c>
      <c r="N1" s="190" t="s">
        <v>166</v>
      </c>
      <c r="O1" s="190" t="s">
        <v>160</v>
      </c>
      <c r="P1" s="190" t="s">
        <v>167</v>
      </c>
      <c r="Q1" s="190" t="s">
        <v>164</v>
      </c>
      <c r="R1"/>
    </row>
    <row r="2" spans="1:18" x14ac:dyDescent="0.25">
      <c r="A2" s="168">
        <v>45.04</v>
      </c>
      <c r="B2" s="168">
        <v>0.57999999999999996</v>
      </c>
      <c r="C2" s="168">
        <v>25.81</v>
      </c>
      <c r="D2" s="8">
        <v>42805</v>
      </c>
      <c r="E2" s="168">
        <v>0.47</v>
      </c>
      <c r="F2" s="168" t="s">
        <v>418</v>
      </c>
      <c r="G2" s="168">
        <v>308.82</v>
      </c>
      <c r="H2" s="168">
        <v>0</v>
      </c>
      <c r="I2" s="168">
        <v>0</v>
      </c>
      <c r="J2" s="168"/>
      <c r="K2" s="168">
        <v>1017.03</v>
      </c>
      <c r="L2" s="168" t="s">
        <v>419</v>
      </c>
      <c r="M2" s="168">
        <v>45.04</v>
      </c>
      <c r="N2" s="168">
        <v>1489215600</v>
      </c>
      <c r="O2" s="168">
        <v>6.44</v>
      </c>
      <c r="P2" s="168">
        <v>318</v>
      </c>
      <c r="Q2" s="168">
        <v>1.34</v>
      </c>
      <c r="R2"/>
    </row>
    <row r="3" spans="1:18" x14ac:dyDescent="0.25">
      <c r="A3" s="168">
        <v>43.65</v>
      </c>
      <c r="B3" s="168">
        <v>0.56999999999999995</v>
      </c>
      <c r="C3" s="168">
        <v>26.01</v>
      </c>
      <c r="D3" s="8">
        <v>42805.041666666664</v>
      </c>
      <c r="E3" s="168">
        <v>0.5</v>
      </c>
      <c r="F3" s="168" t="s">
        <v>418</v>
      </c>
      <c r="G3" s="168">
        <v>309.7</v>
      </c>
      <c r="H3" s="168">
        <v>0</v>
      </c>
      <c r="I3" s="168">
        <v>0</v>
      </c>
      <c r="J3" s="168"/>
      <c r="K3" s="168">
        <v>1017.33</v>
      </c>
      <c r="L3" s="168" t="s">
        <v>419</v>
      </c>
      <c r="M3" s="168">
        <v>43.65</v>
      </c>
      <c r="N3" s="168">
        <v>1489219200</v>
      </c>
      <c r="O3" s="168">
        <v>6.34</v>
      </c>
      <c r="P3" s="168">
        <v>272</v>
      </c>
      <c r="Q3" s="168">
        <v>1.48</v>
      </c>
      <c r="R3"/>
    </row>
    <row r="4" spans="1:18" x14ac:dyDescent="0.25">
      <c r="A4" s="168">
        <v>43.18</v>
      </c>
      <c r="B4" s="168">
        <v>0.5</v>
      </c>
      <c r="C4" s="168">
        <v>25.05</v>
      </c>
      <c r="D4" s="8">
        <v>42805.083333333336</v>
      </c>
      <c r="E4" s="168">
        <v>0.48</v>
      </c>
      <c r="F4" s="168" t="s">
        <v>418</v>
      </c>
      <c r="G4" s="168">
        <v>310.58</v>
      </c>
      <c r="H4" s="168">
        <v>0</v>
      </c>
      <c r="I4" s="168">
        <v>0</v>
      </c>
      <c r="J4" s="168"/>
      <c r="K4" s="168">
        <v>1017.63</v>
      </c>
      <c r="L4" s="168" t="s">
        <v>419</v>
      </c>
      <c r="M4" s="168">
        <v>43.18</v>
      </c>
      <c r="N4" s="168">
        <v>1489222800</v>
      </c>
      <c r="O4" s="168">
        <v>10</v>
      </c>
      <c r="P4" s="168">
        <v>179</v>
      </c>
      <c r="Q4" s="168">
        <v>1.1499999999999999</v>
      </c>
      <c r="R4"/>
    </row>
    <row r="5" spans="1:18" x14ac:dyDescent="0.25">
      <c r="A5" s="168">
        <v>41.79</v>
      </c>
      <c r="B5" s="168">
        <v>0.66</v>
      </c>
      <c r="C5" s="168">
        <v>24.02</v>
      </c>
      <c r="D5" s="8">
        <v>42805.125</v>
      </c>
      <c r="E5" s="168">
        <v>0.49</v>
      </c>
      <c r="F5" s="168" t="s">
        <v>418</v>
      </c>
      <c r="G5" s="168">
        <v>312.08999999999997</v>
      </c>
      <c r="H5" s="168">
        <v>0</v>
      </c>
      <c r="I5" s="168">
        <v>0</v>
      </c>
      <c r="J5" s="168"/>
      <c r="K5" s="168">
        <v>1018.35</v>
      </c>
      <c r="L5" s="168" t="s">
        <v>537</v>
      </c>
      <c r="M5" s="168">
        <v>41.79</v>
      </c>
      <c r="N5" s="168">
        <v>1489226400</v>
      </c>
      <c r="O5" s="168">
        <v>5.94</v>
      </c>
      <c r="P5" s="168">
        <v>228</v>
      </c>
      <c r="Q5" s="168">
        <v>1.46</v>
      </c>
      <c r="R5"/>
    </row>
    <row r="6" spans="1:18" x14ac:dyDescent="0.25">
      <c r="A6" s="168">
        <v>41.95</v>
      </c>
      <c r="B6" s="168">
        <v>0.82</v>
      </c>
      <c r="C6" s="168">
        <v>23.93</v>
      </c>
      <c r="D6" s="8">
        <v>42805.166666666664</v>
      </c>
      <c r="E6" s="168">
        <v>0.48</v>
      </c>
      <c r="F6" s="168" t="s">
        <v>418</v>
      </c>
      <c r="G6" s="168">
        <v>313.95999999999998</v>
      </c>
      <c r="H6" s="168">
        <v>0</v>
      </c>
      <c r="I6" s="168">
        <v>0</v>
      </c>
      <c r="J6" s="168"/>
      <c r="K6" s="168">
        <v>1019.25</v>
      </c>
      <c r="L6" s="168" t="s">
        <v>537</v>
      </c>
      <c r="M6" s="168">
        <v>41.95</v>
      </c>
      <c r="N6" s="168">
        <v>1489230000</v>
      </c>
      <c r="O6" s="168">
        <v>6.28</v>
      </c>
      <c r="P6" s="168">
        <v>346</v>
      </c>
      <c r="Q6" s="168">
        <v>1.1399999999999999</v>
      </c>
      <c r="R6"/>
    </row>
    <row r="7" spans="1:18" x14ac:dyDescent="0.25">
      <c r="A7" s="168">
        <v>41.53</v>
      </c>
      <c r="B7" s="168">
        <v>0.91</v>
      </c>
      <c r="C7" s="168">
        <v>26.58</v>
      </c>
      <c r="D7" s="8">
        <v>42805.208333333336</v>
      </c>
      <c r="E7" s="168">
        <v>0.55000000000000004</v>
      </c>
      <c r="F7" s="168" t="s">
        <v>418</v>
      </c>
      <c r="G7" s="168">
        <v>316.64999999999998</v>
      </c>
      <c r="H7" s="168">
        <v>3.8E-3</v>
      </c>
      <c r="I7" s="168">
        <v>0.14000000000000001</v>
      </c>
      <c r="J7" s="168" t="s">
        <v>827</v>
      </c>
      <c r="K7" s="168">
        <v>1020.49</v>
      </c>
      <c r="L7" s="168" t="s">
        <v>537</v>
      </c>
      <c r="M7" s="168">
        <v>41.53</v>
      </c>
      <c r="N7" s="168">
        <v>1489233600</v>
      </c>
      <c r="O7" s="168">
        <v>7.47</v>
      </c>
      <c r="P7" s="168">
        <v>356</v>
      </c>
      <c r="Q7" s="168">
        <v>2.3199999999999998</v>
      </c>
      <c r="R7"/>
    </row>
    <row r="8" spans="1:18" x14ac:dyDescent="0.25">
      <c r="A8" s="168">
        <v>39.229999999999997</v>
      </c>
      <c r="B8" s="168">
        <v>0.85</v>
      </c>
      <c r="C8" s="168">
        <v>26.94</v>
      </c>
      <c r="D8" s="8">
        <v>42805.25</v>
      </c>
      <c r="E8" s="168">
        <v>0.56000000000000005</v>
      </c>
      <c r="F8" s="168" t="s">
        <v>827</v>
      </c>
      <c r="G8" s="168">
        <v>321.20999999999998</v>
      </c>
      <c r="H8" s="168">
        <v>1.0800000000000001E-2</v>
      </c>
      <c r="I8" s="168">
        <v>0.52</v>
      </c>
      <c r="J8" s="168" t="s">
        <v>827</v>
      </c>
      <c r="K8" s="168">
        <v>1022.39</v>
      </c>
      <c r="L8" s="168" t="s">
        <v>828</v>
      </c>
      <c r="M8" s="168">
        <v>41.56</v>
      </c>
      <c r="N8" s="168">
        <v>1489237200</v>
      </c>
      <c r="O8" s="168">
        <v>6.27</v>
      </c>
      <c r="P8" s="168">
        <v>358</v>
      </c>
      <c r="Q8" s="168">
        <v>3.88</v>
      </c>
      <c r="R8"/>
    </row>
    <row r="9" spans="1:18" x14ac:dyDescent="0.25">
      <c r="A9" s="168">
        <v>38.159999999999997</v>
      </c>
      <c r="B9" s="168">
        <v>0.81</v>
      </c>
      <c r="C9" s="168">
        <v>29.78</v>
      </c>
      <c r="D9" s="8">
        <v>42805.291666666664</v>
      </c>
      <c r="E9" s="168">
        <v>0.65</v>
      </c>
      <c r="F9" s="168" t="s">
        <v>827</v>
      </c>
      <c r="G9" s="168">
        <v>326.58999999999997</v>
      </c>
      <c r="H9" s="168">
        <v>2.3800000000000002E-2</v>
      </c>
      <c r="I9" s="168">
        <v>0.63</v>
      </c>
      <c r="J9" s="168" t="s">
        <v>827</v>
      </c>
      <c r="K9" s="168">
        <v>1024.06</v>
      </c>
      <c r="L9" s="168" t="s">
        <v>828</v>
      </c>
      <c r="M9" s="168">
        <v>40.76</v>
      </c>
      <c r="N9" s="168">
        <v>1489240800</v>
      </c>
      <c r="O9" s="168">
        <v>4.6900000000000004</v>
      </c>
      <c r="P9" s="168">
        <v>359</v>
      </c>
      <c r="Q9" s="168">
        <v>4.04</v>
      </c>
      <c r="R9"/>
    </row>
    <row r="10" spans="1:18" x14ac:dyDescent="0.25">
      <c r="A10" s="168">
        <v>37.33</v>
      </c>
      <c r="B10" s="168">
        <v>0.76</v>
      </c>
      <c r="C10" s="168">
        <v>32.799999999999997</v>
      </c>
      <c r="D10" s="8">
        <v>42805.333333333336</v>
      </c>
      <c r="E10" s="168">
        <v>0.76</v>
      </c>
      <c r="F10" s="168" t="s">
        <v>827</v>
      </c>
      <c r="G10" s="168">
        <v>329.95</v>
      </c>
      <c r="H10" s="168">
        <v>2.1499999999999998E-2</v>
      </c>
      <c r="I10" s="168">
        <v>0.62</v>
      </c>
      <c r="J10" s="168" t="s">
        <v>827</v>
      </c>
      <c r="K10" s="168">
        <v>1025.05</v>
      </c>
      <c r="L10" s="168" t="s">
        <v>828</v>
      </c>
      <c r="M10" s="168">
        <v>39.83</v>
      </c>
      <c r="N10" s="168">
        <v>1489244400</v>
      </c>
      <c r="O10" s="168">
        <v>4.08</v>
      </c>
      <c r="P10" s="168">
        <v>355</v>
      </c>
      <c r="Q10" s="168">
        <v>3.77</v>
      </c>
      <c r="R10"/>
    </row>
    <row r="11" spans="1:18" x14ac:dyDescent="0.25">
      <c r="A11" s="168">
        <v>39.92</v>
      </c>
      <c r="B11" s="168">
        <v>0.79</v>
      </c>
      <c r="C11" s="168">
        <v>35.5</v>
      </c>
      <c r="D11" s="8">
        <v>42805.375</v>
      </c>
      <c r="E11" s="168">
        <v>0.84</v>
      </c>
      <c r="F11" s="168" t="s">
        <v>827</v>
      </c>
      <c r="G11" s="168">
        <v>329.64</v>
      </c>
      <c r="H11" s="168">
        <v>1.55E-2</v>
      </c>
      <c r="I11" s="168">
        <v>0.56999999999999995</v>
      </c>
      <c r="J11" s="168" t="s">
        <v>827</v>
      </c>
      <c r="K11" s="168">
        <v>1025.57</v>
      </c>
      <c r="L11" s="168" t="s">
        <v>828</v>
      </c>
      <c r="M11" s="168">
        <v>39.92</v>
      </c>
      <c r="N11" s="168">
        <v>1489248000</v>
      </c>
      <c r="O11" s="168">
        <v>3.87</v>
      </c>
      <c r="P11" s="168">
        <v>4</v>
      </c>
      <c r="Q11" s="168">
        <v>2.23</v>
      </c>
      <c r="R11"/>
    </row>
    <row r="12" spans="1:18" x14ac:dyDescent="0.25">
      <c r="A12" s="168">
        <v>41.28</v>
      </c>
      <c r="B12" s="168">
        <v>0.78</v>
      </c>
      <c r="C12" s="168">
        <v>37.08</v>
      </c>
      <c r="D12" s="8">
        <v>42805.416666666664</v>
      </c>
      <c r="E12" s="168">
        <v>0.85</v>
      </c>
      <c r="F12" s="168" t="s">
        <v>827</v>
      </c>
      <c r="G12" s="168">
        <v>327.33</v>
      </c>
      <c r="H12" s="168">
        <v>7.7000000000000002E-3</v>
      </c>
      <c r="I12" s="168">
        <v>0.39</v>
      </c>
      <c r="J12" s="168" t="s">
        <v>827</v>
      </c>
      <c r="K12" s="168">
        <v>1025.69</v>
      </c>
      <c r="L12" s="168" t="s">
        <v>829</v>
      </c>
      <c r="M12" s="168">
        <v>41.28</v>
      </c>
      <c r="N12" s="168">
        <v>1489251600</v>
      </c>
      <c r="O12" s="168">
        <v>3.9</v>
      </c>
      <c r="P12" s="168">
        <v>9</v>
      </c>
      <c r="Q12" s="168">
        <v>2.0099999999999998</v>
      </c>
      <c r="R12"/>
    </row>
    <row r="13" spans="1:18" x14ac:dyDescent="0.25">
      <c r="A13" s="168">
        <v>42.84</v>
      </c>
      <c r="B13" s="168">
        <v>0.77</v>
      </c>
      <c r="C13" s="168">
        <v>38.21</v>
      </c>
      <c r="D13" s="8">
        <v>42805.458333333336</v>
      </c>
      <c r="E13" s="168">
        <v>0.84</v>
      </c>
      <c r="F13" s="168" t="s">
        <v>420</v>
      </c>
      <c r="G13" s="168">
        <v>325.20999999999998</v>
      </c>
      <c r="H13" s="168">
        <v>1.6000000000000001E-3</v>
      </c>
      <c r="I13" s="168">
        <v>0.03</v>
      </c>
      <c r="J13" s="168" t="s">
        <v>827</v>
      </c>
      <c r="K13" s="168">
        <v>1025.4000000000001</v>
      </c>
      <c r="L13" s="168" t="s">
        <v>537</v>
      </c>
      <c r="M13" s="168">
        <v>42.84</v>
      </c>
      <c r="N13" s="168">
        <v>1489255200</v>
      </c>
      <c r="O13" s="168">
        <v>4.0999999999999996</v>
      </c>
      <c r="P13" s="168">
        <v>23</v>
      </c>
      <c r="Q13" s="168">
        <v>2.42</v>
      </c>
      <c r="R13"/>
    </row>
    <row r="14" spans="1:18" x14ac:dyDescent="0.25">
      <c r="A14" s="168">
        <v>44.68</v>
      </c>
      <c r="B14" s="168">
        <v>0.63</v>
      </c>
      <c r="C14" s="168">
        <v>38.15</v>
      </c>
      <c r="D14" s="8">
        <v>42805.5</v>
      </c>
      <c r="E14" s="168">
        <v>0.78</v>
      </c>
      <c r="F14" s="168" t="s">
        <v>420</v>
      </c>
      <c r="G14" s="168">
        <v>324.08</v>
      </c>
      <c r="H14" s="168">
        <v>0</v>
      </c>
      <c r="I14" s="168">
        <v>0</v>
      </c>
      <c r="J14" s="168"/>
      <c r="K14" s="168">
        <v>1024.49</v>
      </c>
      <c r="L14" s="168" t="s">
        <v>537</v>
      </c>
      <c r="M14" s="168">
        <v>44.68</v>
      </c>
      <c r="N14" s="168">
        <v>1489258800</v>
      </c>
      <c r="O14" s="168">
        <v>4.1900000000000004</v>
      </c>
      <c r="P14" s="168">
        <v>31</v>
      </c>
      <c r="Q14" s="168">
        <v>2.19</v>
      </c>
      <c r="R14"/>
    </row>
    <row r="15" spans="1:18" x14ac:dyDescent="0.25">
      <c r="A15" s="168">
        <v>45.57</v>
      </c>
      <c r="B15" s="168">
        <v>0.46</v>
      </c>
      <c r="C15" s="168">
        <v>38.799999999999997</v>
      </c>
      <c r="D15" s="8">
        <v>42805.541666666664</v>
      </c>
      <c r="E15" s="168">
        <v>0.73</v>
      </c>
      <c r="F15" s="168" t="s">
        <v>420</v>
      </c>
      <c r="G15" s="168">
        <v>323.16000000000003</v>
      </c>
      <c r="H15" s="168">
        <v>0</v>
      </c>
      <c r="I15" s="168">
        <v>0</v>
      </c>
      <c r="J15" s="168"/>
      <c r="K15" s="168">
        <v>1023.07</v>
      </c>
      <c r="L15" s="168" t="s">
        <v>419</v>
      </c>
      <c r="M15" s="168">
        <v>46.98</v>
      </c>
      <c r="N15" s="168">
        <v>1489262400</v>
      </c>
      <c r="O15" s="168">
        <v>9</v>
      </c>
      <c r="P15" s="168">
        <v>65</v>
      </c>
      <c r="Q15" s="168">
        <v>3.76</v>
      </c>
      <c r="R15"/>
    </row>
    <row r="16" spans="1:18" x14ac:dyDescent="0.25">
      <c r="A16" s="168">
        <v>47.92</v>
      </c>
      <c r="B16" s="168">
        <v>0.3</v>
      </c>
      <c r="C16" s="168">
        <v>37.770000000000003</v>
      </c>
      <c r="D16" s="8">
        <v>42805.583333333336</v>
      </c>
      <c r="E16" s="168">
        <v>0.66</v>
      </c>
      <c r="F16" s="168" t="s">
        <v>420</v>
      </c>
      <c r="G16" s="168">
        <v>322.22000000000003</v>
      </c>
      <c r="H16" s="168">
        <v>0</v>
      </c>
      <c r="I16" s="168">
        <v>0</v>
      </c>
      <c r="J16" s="168"/>
      <c r="K16" s="168">
        <v>1021.87</v>
      </c>
      <c r="L16" s="168" t="s">
        <v>419</v>
      </c>
      <c r="M16" s="168">
        <v>48.64</v>
      </c>
      <c r="N16" s="168">
        <v>1489266000</v>
      </c>
      <c r="O16" s="168">
        <v>5.16</v>
      </c>
      <c r="P16" s="168">
        <v>29</v>
      </c>
      <c r="Q16" s="168">
        <v>3.23</v>
      </c>
      <c r="R16"/>
    </row>
    <row r="17" spans="1:18" x14ac:dyDescent="0.25">
      <c r="A17" s="168">
        <v>49</v>
      </c>
      <c r="B17" s="168">
        <v>0.31</v>
      </c>
      <c r="C17" s="168">
        <v>37.94</v>
      </c>
      <c r="D17" s="8">
        <v>42805.625</v>
      </c>
      <c r="E17" s="168">
        <v>0.65</v>
      </c>
      <c r="F17" s="168" t="s">
        <v>420</v>
      </c>
      <c r="G17" s="168">
        <v>321.04000000000002</v>
      </c>
      <c r="H17" s="168">
        <v>0</v>
      </c>
      <c r="I17" s="168">
        <v>0</v>
      </c>
      <c r="J17" s="168"/>
      <c r="K17" s="168">
        <v>1021.3</v>
      </c>
      <c r="L17" s="168" t="s">
        <v>419</v>
      </c>
      <c r="M17" s="168">
        <v>49</v>
      </c>
      <c r="N17" s="168">
        <v>1489269600</v>
      </c>
      <c r="O17" s="168">
        <v>5.27</v>
      </c>
      <c r="P17" s="168">
        <v>64</v>
      </c>
      <c r="Q17" s="168">
        <v>1.83</v>
      </c>
      <c r="R17"/>
    </row>
    <row r="18" spans="1:18" x14ac:dyDescent="0.25">
      <c r="A18" s="168">
        <v>48.99</v>
      </c>
      <c r="B18" s="168">
        <v>0.3</v>
      </c>
      <c r="C18" s="168">
        <v>36.4</v>
      </c>
      <c r="D18" s="8">
        <v>42805.666666666664</v>
      </c>
      <c r="E18" s="168">
        <v>0.62</v>
      </c>
      <c r="F18" s="168" t="s">
        <v>420</v>
      </c>
      <c r="G18" s="168">
        <v>319.86</v>
      </c>
      <c r="H18" s="168">
        <v>0</v>
      </c>
      <c r="I18" s="168">
        <v>0</v>
      </c>
      <c r="J18" s="168"/>
      <c r="K18" s="168">
        <v>1021.12</v>
      </c>
      <c r="L18" s="168" t="s">
        <v>419</v>
      </c>
      <c r="M18" s="168">
        <v>48.99</v>
      </c>
      <c r="N18" s="168">
        <v>1489273200</v>
      </c>
      <c r="O18" s="168">
        <v>5.43</v>
      </c>
      <c r="P18" s="168">
        <v>93</v>
      </c>
      <c r="Q18" s="168">
        <v>1.71</v>
      </c>
      <c r="R18"/>
    </row>
    <row r="19" spans="1:18" x14ac:dyDescent="0.25">
      <c r="A19" s="168">
        <v>48.61</v>
      </c>
      <c r="B19" s="168">
        <v>0.38</v>
      </c>
      <c r="C19" s="168">
        <v>35.96</v>
      </c>
      <c r="D19" s="8">
        <v>42805.708333333336</v>
      </c>
      <c r="E19" s="168">
        <v>0.61</v>
      </c>
      <c r="F19" s="168" t="s">
        <v>420</v>
      </c>
      <c r="G19" s="168">
        <v>319.12</v>
      </c>
      <c r="H19" s="168">
        <v>0</v>
      </c>
      <c r="I19" s="168">
        <v>0</v>
      </c>
      <c r="J19" s="168"/>
      <c r="K19" s="168">
        <v>1021.23</v>
      </c>
      <c r="L19" s="168" t="s">
        <v>419</v>
      </c>
      <c r="M19" s="168">
        <v>48.61</v>
      </c>
      <c r="N19" s="168">
        <v>1489276800</v>
      </c>
      <c r="O19" s="168">
        <v>5.77</v>
      </c>
      <c r="P19" s="168">
        <v>93</v>
      </c>
      <c r="Q19" s="168">
        <v>2.35</v>
      </c>
      <c r="R19"/>
    </row>
    <row r="20" spans="1:18" x14ac:dyDescent="0.25">
      <c r="A20" s="168">
        <v>47.22</v>
      </c>
      <c r="B20" s="168">
        <v>0.39</v>
      </c>
      <c r="C20" s="168">
        <v>34.25</v>
      </c>
      <c r="D20" s="8">
        <v>42805.75</v>
      </c>
      <c r="E20" s="168">
        <v>0.6</v>
      </c>
      <c r="F20" s="168" t="s">
        <v>418</v>
      </c>
      <c r="G20" s="168">
        <v>319.05</v>
      </c>
      <c r="H20" s="168">
        <v>0</v>
      </c>
      <c r="I20" s="168">
        <v>0</v>
      </c>
      <c r="J20" s="168"/>
      <c r="K20" s="168">
        <v>1021.76</v>
      </c>
      <c r="L20" s="168" t="s">
        <v>419</v>
      </c>
      <c r="M20" s="168">
        <v>47.22</v>
      </c>
      <c r="N20" s="168">
        <v>1489280400</v>
      </c>
      <c r="O20" s="168">
        <v>9.93</v>
      </c>
      <c r="P20" s="168">
        <v>98</v>
      </c>
      <c r="Q20" s="168">
        <v>1.84</v>
      </c>
      <c r="R20"/>
    </row>
    <row r="21" spans="1:18" x14ac:dyDescent="0.25">
      <c r="A21" s="168">
        <v>44.85</v>
      </c>
      <c r="B21" s="168">
        <v>0.28999999999999998</v>
      </c>
      <c r="C21" s="168">
        <v>32.68</v>
      </c>
      <c r="D21" s="8">
        <v>42805.791666666664</v>
      </c>
      <c r="E21" s="168">
        <v>0.62</v>
      </c>
      <c r="F21" s="168" t="s">
        <v>418</v>
      </c>
      <c r="G21" s="168">
        <v>319.42</v>
      </c>
      <c r="H21" s="168">
        <v>0</v>
      </c>
      <c r="I21" s="168">
        <v>0</v>
      </c>
      <c r="J21" s="168"/>
      <c r="K21" s="168">
        <v>1022.67</v>
      </c>
      <c r="L21" s="168" t="s">
        <v>419</v>
      </c>
      <c r="M21" s="168">
        <v>44.85</v>
      </c>
      <c r="N21" s="168">
        <v>1489284000</v>
      </c>
      <c r="O21" s="168">
        <v>7.44</v>
      </c>
      <c r="P21" s="168">
        <v>59</v>
      </c>
      <c r="Q21" s="168">
        <v>0.39</v>
      </c>
      <c r="R21"/>
    </row>
    <row r="22" spans="1:18" x14ac:dyDescent="0.25">
      <c r="A22" s="168">
        <v>42.28</v>
      </c>
      <c r="B22" s="168">
        <v>0.28999999999999998</v>
      </c>
      <c r="C22" s="168">
        <v>33.090000000000003</v>
      </c>
      <c r="D22" s="8">
        <v>42805.833333333336</v>
      </c>
      <c r="E22" s="168">
        <v>0.7</v>
      </c>
      <c r="F22" s="168" t="s">
        <v>418</v>
      </c>
      <c r="G22" s="168">
        <v>320.02999999999997</v>
      </c>
      <c r="H22" s="168">
        <v>0</v>
      </c>
      <c r="I22" s="168">
        <v>0</v>
      </c>
      <c r="J22" s="168"/>
      <c r="K22" s="168">
        <v>1023.07</v>
      </c>
      <c r="L22" s="168" t="s">
        <v>419</v>
      </c>
      <c r="M22" s="168">
        <v>42.28</v>
      </c>
      <c r="N22" s="168">
        <v>1489287600</v>
      </c>
      <c r="O22" s="168">
        <v>6.73</v>
      </c>
      <c r="P22" s="168">
        <v>38</v>
      </c>
      <c r="Q22" s="168">
        <v>0.38</v>
      </c>
      <c r="R22"/>
    </row>
    <row r="23" spans="1:18" x14ac:dyDescent="0.25">
      <c r="A23" s="168">
        <v>40.770000000000003</v>
      </c>
      <c r="B23" s="168">
        <v>0.52</v>
      </c>
      <c r="C23" s="168">
        <v>32.74</v>
      </c>
      <c r="D23" s="8">
        <v>42805.875</v>
      </c>
      <c r="E23" s="168">
        <v>0.73</v>
      </c>
      <c r="F23" s="168" t="s">
        <v>418</v>
      </c>
      <c r="G23" s="168">
        <v>321.10000000000002</v>
      </c>
      <c r="H23" s="168">
        <v>0</v>
      </c>
      <c r="I23" s="168">
        <v>0</v>
      </c>
      <c r="J23" s="168"/>
      <c r="K23" s="168">
        <v>1022.43</v>
      </c>
      <c r="L23" s="168" t="s">
        <v>419</v>
      </c>
      <c r="M23" s="168">
        <v>40.770000000000003</v>
      </c>
      <c r="N23" s="168">
        <v>1489291200</v>
      </c>
      <c r="O23" s="168">
        <v>5.78</v>
      </c>
      <c r="P23" s="168">
        <v>178</v>
      </c>
      <c r="Q23" s="168">
        <v>1.03</v>
      </c>
      <c r="R23"/>
    </row>
    <row r="24" spans="1:18" x14ac:dyDescent="0.25">
      <c r="A24" s="168">
        <v>39.869999999999997</v>
      </c>
      <c r="B24" s="168">
        <v>0.68</v>
      </c>
      <c r="C24" s="168">
        <v>32.32</v>
      </c>
      <c r="D24" s="8">
        <v>42805.916666666664</v>
      </c>
      <c r="E24" s="168">
        <v>0.74</v>
      </c>
      <c r="F24" s="168" t="s">
        <v>418</v>
      </c>
      <c r="G24" s="168">
        <v>322.41000000000003</v>
      </c>
      <c r="H24" s="168">
        <v>0</v>
      </c>
      <c r="I24" s="168">
        <v>0</v>
      </c>
      <c r="J24" s="168"/>
      <c r="K24" s="168">
        <v>1021.12</v>
      </c>
      <c r="L24" s="168" t="s">
        <v>537</v>
      </c>
      <c r="M24" s="168">
        <v>39.869999999999997</v>
      </c>
      <c r="N24" s="168">
        <v>1489294800</v>
      </c>
      <c r="O24" s="168">
        <v>5.55</v>
      </c>
      <c r="P24" s="168">
        <v>200</v>
      </c>
      <c r="Q24" s="168">
        <v>1.06</v>
      </c>
      <c r="R24"/>
    </row>
    <row r="25" spans="1:18" x14ac:dyDescent="0.25">
      <c r="A25" s="168">
        <v>38.950000000000003</v>
      </c>
      <c r="B25" s="168">
        <v>0.79</v>
      </c>
      <c r="C25" s="168">
        <v>31.44</v>
      </c>
      <c r="D25" s="8">
        <v>42805.958333333336</v>
      </c>
      <c r="E25" s="168">
        <v>0.74</v>
      </c>
      <c r="F25" s="168" t="s">
        <v>418</v>
      </c>
      <c r="G25" s="168">
        <v>323.08999999999997</v>
      </c>
      <c r="H25" s="168">
        <v>0</v>
      </c>
      <c r="I25" s="168">
        <v>0</v>
      </c>
      <c r="J25" s="168"/>
      <c r="K25" s="168">
        <v>1019.95</v>
      </c>
      <c r="L25" s="168" t="s">
        <v>537</v>
      </c>
      <c r="M25" s="168">
        <v>38.950000000000003</v>
      </c>
      <c r="N25" s="168">
        <v>1489298400</v>
      </c>
      <c r="O25" s="168">
        <v>5.76</v>
      </c>
      <c r="P25" s="168">
        <v>196</v>
      </c>
      <c r="Q25" s="168">
        <v>1.97</v>
      </c>
      <c r="R25"/>
    </row>
    <row r="26" spans="1:18" x14ac:dyDescent="0.25">
      <c r="A26" s="168">
        <v>37.19</v>
      </c>
      <c r="B26" s="168">
        <v>0.76</v>
      </c>
      <c r="C26" s="168">
        <v>29.98</v>
      </c>
      <c r="D26" s="8">
        <v>42806</v>
      </c>
      <c r="E26" s="168">
        <v>0.75</v>
      </c>
      <c r="F26" s="168" t="s">
        <v>418</v>
      </c>
      <c r="G26" s="168">
        <v>322.22000000000003</v>
      </c>
      <c r="H26" s="168">
        <v>0</v>
      </c>
      <c r="I26" s="168">
        <v>0</v>
      </c>
      <c r="J26" s="168"/>
      <c r="K26" s="168">
        <v>1019.18</v>
      </c>
      <c r="L26" s="168" t="s">
        <v>537</v>
      </c>
      <c r="M26" s="168">
        <v>37.19</v>
      </c>
      <c r="N26" s="168">
        <v>1489302000</v>
      </c>
      <c r="O26" s="168">
        <v>5.69</v>
      </c>
      <c r="P26" s="168">
        <v>230</v>
      </c>
      <c r="Q26" s="168">
        <v>2.09</v>
      </c>
      <c r="R26"/>
    </row>
    <row r="27" spans="1:18" x14ac:dyDescent="0.25">
      <c r="A27" s="168">
        <v>36.94</v>
      </c>
      <c r="B27" s="168">
        <v>0.75</v>
      </c>
      <c r="C27" s="168">
        <v>30.25</v>
      </c>
      <c r="D27" s="8">
        <v>42806.041666666664</v>
      </c>
      <c r="E27" s="168">
        <v>0.76</v>
      </c>
      <c r="F27" s="168" t="s">
        <v>418</v>
      </c>
      <c r="G27" s="168">
        <v>321.35000000000002</v>
      </c>
      <c r="H27" s="168">
        <v>0</v>
      </c>
      <c r="I27" s="168">
        <v>0</v>
      </c>
      <c r="J27" s="168"/>
      <c r="K27" s="168">
        <v>1018.43</v>
      </c>
      <c r="L27" s="168" t="s">
        <v>537</v>
      </c>
      <c r="M27" s="168">
        <v>36.94</v>
      </c>
      <c r="N27" s="168">
        <v>1489305600</v>
      </c>
      <c r="O27" s="168">
        <v>5.58</v>
      </c>
      <c r="P27" s="168">
        <v>228</v>
      </c>
      <c r="Q27" s="168">
        <v>1.7</v>
      </c>
      <c r="R27"/>
    </row>
    <row r="28" spans="1:18" x14ac:dyDescent="0.25">
      <c r="A28" s="168">
        <v>33.619999999999997</v>
      </c>
      <c r="B28" s="168">
        <v>0.81</v>
      </c>
      <c r="C28" s="168">
        <v>29.01</v>
      </c>
      <c r="D28" s="8">
        <v>42806.125</v>
      </c>
      <c r="E28" s="168">
        <v>0.76</v>
      </c>
      <c r="F28" s="168" t="s">
        <v>418</v>
      </c>
      <c r="G28" s="168">
        <v>320.48</v>
      </c>
      <c r="H28" s="168">
        <v>0</v>
      </c>
      <c r="I28" s="168">
        <v>0</v>
      </c>
      <c r="J28" s="168"/>
      <c r="K28" s="168">
        <v>1017.69</v>
      </c>
      <c r="L28" s="168" t="s">
        <v>537</v>
      </c>
      <c r="M28" s="168">
        <v>35.89</v>
      </c>
      <c r="N28" s="168">
        <v>1489309200</v>
      </c>
      <c r="O28" s="168">
        <v>3.94</v>
      </c>
      <c r="P28" s="168">
        <v>220</v>
      </c>
      <c r="Q28" s="168">
        <v>3.07</v>
      </c>
      <c r="R28"/>
    </row>
    <row r="29" spans="1:18" x14ac:dyDescent="0.25">
      <c r="A29" s="168">
        <v>32.25</v>
      </c>
      <c r="B29" s="168">
        <v>0.74</v>
      </c>
      <c r="C29" s="168">
        <v>28.37</v>
      </c>
      <c r="D29" s="8">
        <v>42806.166666666664</v>
      </c>
      <c r="E29" s="168">
        <v>0.71</v>
      </c>
      <c r="F29" s="168" t="s">
        <v>418</v>
      </c>
      <c r="G29" s="168">
        <v>319.99</v>
      </c>
      <c r="H29" s="168">
        <v>0</v>
      </c>
      <c r="I29" s="168">
        <v>0</v>
      </c>
      <c r="J29" s="168"/>
      <c r="K29" s="168">
        <v>1017.04</v>
      </c>
      <c r="L29" s="168" t="s">
        <v>537</v>
      </c>
      <c r="M29" s="168">
        <v>36.979999999999997</v>
      </c>
      <c r="N29" s="168">
        <v>1489312800</v>
      </c>
      <c r="O29" s="168">
        <v>6.66</v>
      </c>
      <c r="P29" s="168">
        <v>212</v>
      </c>
      <c r="Q29" s="168">
        <v>5.88</v>
      </c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448</v>
      </c>
      <c r="U1" s="219"/>
      <c r="V1" s="219"/>
      <c r="W1" s="219"/>
      <c r="X1" s="219"/>
    </row>
    <row r="2" spans="1:24" ht="15.75" thickBot="1" x14ac:dyDescent="0.3">
      <c r="A2" s="12">
        <v>42805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449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461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462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463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981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982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983</v>
      </c>
      <c r="J20" s="152" t="s">
        <v>87</v>
      </c>
      <c r="M20" s="168" t="s">
        <v>440</v>
      </c>
      <c r="N20" s="168" t="s">
        <v>440</v>
      </c>
      <c r="T20" s="197"/>
      <c r="U20" s="197"/>
      <c r="V20" s="197"/>
      <c r="W20" s="197"/>
      <c r="X20" s="197"/>
    </row>
    <row r="21" spans="3:24" x14ac:dyDescent="0.25">
      <c r="C21" t="s">
        <v>984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985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986</v>
      </c>
      <c r="J23" s="162" t="s">
        <v>95</v>
      </c>
      <c r="M23" s="168" t="str">
        <f>"-07"</f>
        <v>-07</v>
      </c>
      <c r="T23" s="197"/>
      <c r="U23" s="197"/>
      <c r="V23" s="197"/>
      <c r="W23" s="197"/>
      <c r="X23" s="197"/>
    </row>
    <row r="24" spans="3:24" x14ac:dyDescent="0.25">
      <c r="C24" t="s">
        <v>987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988</v>
      </c>
      <c r="J25" s="152" t="s">
        <v>150</v>
      </c>
      <c r="M25" s="168" t="b">
        <v>1</v>
      </c>
    </row>
    <row r="26" spans="3:24" x14ac:dyDescent="0.25">
      <c r="C26" t="s">
        <v>989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C:\Users\stu\Documents\GitHub\eaglep3-reporting\EC\2017-03-11-refined-times.txt</v>
      </c>
    </row>
    <row r="27" spans="3:24" x14ac:dyDescent="0.25">
      <c r="C27" t="s">
        <v>990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C:\Users\stu\Documents\GitHub\eaglep3-reporting\EC\2017-03-11-Enforcements.txt</v>
      </c>
    </row>
    <row r="28" spans="3:24" x14ac:dyDescent="0.25">
      <c r="C28" t="s">
        <v>991</v>
      </c>
      <c r="J28" s="152" t="s">
        <v>181</v>
      </c>
      <c r="M28" s="168" t="str">
        <f>"C:\Users\stu\Documents\GitHub\eaglep3-reporting\EC\"&amp;TEXT(A2,"YYYY-MM-DD")&amp;"-Runs.txt"</f>
        <v>C:\Users\stu\Documents\GitHub\eaglep3-reporting\EC\2017-03-11-Runs.txt</v>
      </c>
    </row>
    <row r="29" spans="3:24" x14ac:dyDescent="0.25">
      <c r="C29" t="s">
        <v>992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C:\Users\stu\Documents\GitHub\eaglep3-reporting\EC\2017-03-11-Trips.txt</v>
      </c>
    </row>
    <row r="30" spans="3:24" x14ac:dyDescent="0.25">
      <c r="C30" t="s">
        <v>993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C:\Users\stu\Documents\GitHub\eaglep3-reporting\EC\2017-03-11-Weather.txt</v>
      </c>
    </row>
    <row r="31" spans="3:24" x14ac:dyDescent="0.25">
      <c r="C31" t="s">
        <v>994</v>
      </c>
      <c r="J31" s="152" t="s">
        <v>206</v>
      </c>
      <c r="M31" s="168" t="s">
        <v>207</v>
      </c>
    </row>
    <row r="32" spans="3:24" x14ac:dyDescent="0.25">
      <c r="C32" t="s">
        <v>995</v>
      </c>
    </row>
    <row r="33" spans="3:3" x14ac:dyDescent="0.25">
      <c r="C33" t="s">
        <v>996</v>
      </c>
    </row>
    <row r="34" spans="3:3" x14ac:dyDescent="0.25">
      <c r="C34" t="s">
        <v>997</v>
      </c>
    </row>
    <row r="35" spans="3:3" x14ac:dyDescent="0.25">
      <c r="C35" t="s">
        <v>998</v>
      </c>
    </row>
    <row r="36" spans="3:3" x14ac:dyDescent="0.25">
      <c r="C36" t="s">
        <v>999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191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278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279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280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281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282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283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284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285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286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287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288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289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290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291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292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293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294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295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296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297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298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299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300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301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302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303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304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305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306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307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308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309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310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311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312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313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314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315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316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317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318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319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320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321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322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323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324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325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326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327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328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329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330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331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332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333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334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335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336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337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338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339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340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341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342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343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344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345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346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347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348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349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350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351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352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353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354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355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356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357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358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359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360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361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362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363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364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365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366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367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368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369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370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371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372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373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374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375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376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377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378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379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380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381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382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383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384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385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386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387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388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389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390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391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392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393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394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395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396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397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398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399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400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401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402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403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404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405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406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407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2017-03-13T19:54:26Z</dcterms:modified>
</cp:coreProperties>
</file>