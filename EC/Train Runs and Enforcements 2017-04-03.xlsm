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Runs'!$A$12:$J$63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AE14" i="1"/>
  <c r="AF14" i="1"/>
  <c r="AH225" i="1"/>
  <c r="AM225" i="1"/>
  <c r="AN225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205" i="1"/>
  <c r="AM205" i="1"/>
  <c r="AN20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3" i="1"/>
  <c r="AM13" i="1"/>
  <c r="AN13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207" i="1"/>
  <c r="AM207" i="1"/>
  <c r="AN207" i="1"/>
  <c r="K18" i="1"/>
  <c r="L18" i="1"/>
  <c r="M18" i="1"/>
  <c r="N18" i="1" s="1"/>
  <c r="V18" i="1"/>
  <c r="Y18" i="1"/>
  <c r="AB18" i="1"/>
  <c r="AC18" i="1"/>
  <c r="AD18" i="1"/>
  <c r="AE18" i="1"/>
  <c r="R17" i="3" s="1"/>
  <c r="AF18" i="1"/>
  <c r="AH224" i="1"/>
  <c r="AM224" i="1"/>
  <c r="AN224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5" i="1"/>
  <c r="AM15" i="1"/>
  <c r="AN15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9" i="1"/>
  <c r="AM209" i="1"/>
  <c r="AN209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1" i="1"/>
  <c r="AM211" i="1"/>
  <c r="AN21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14" i="1"/>
  <c r="AM14" i="1"/>
  <c r="AN14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17" i="1"/>
  <c r="AM17" i="1"/>
  <c r="AN17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13" i="1"/>
  <c r="AM213" i="1"/>
  <c r="AN213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19" i="1"/>
  <c r="AM19" i="1"/>
  <c r="AN19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16" i="1"/>
  <c r="AM16" i="1"/>
  <c r="AN1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1" i="1"/>
  <c r="AM21" i="1"/>
  <c r="AN21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18" i="1"/>
  <c r="AM218" i="1"/>
  <c r="AN21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3" i="1"/>
  <c r="AM23" i="1"/>
  <c r="AN23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158" i="1"/>
  <c r="AM158" i="1"/>
  <c r="AN158" i="1"/>
  <c r="K31" i="1"/>
  <c r="L31" i="1"/>
  <c r="M31" i="1"/>
  <c r="N31" i="1" s="1"/>
  <c r="V31" i="1"/>
  <c r="Y31" i="1"/>
  <c r="Z31" i="1"/>
  <c r="AB31" i="1"/>
  <c r="AC31" i="1"/>
  <c r="AD31" i="1"/>
  <c r="AE31" i="1"/>
  <c r="R25" i="3" s="1"/>
  <c r="AF31" i="1"/>
  <c r="AH18" i="1"/>
  <c r="AM18" i="1"/>
  <c r="AN18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25" i="1"/>
  <c r="AM25" i="1"/>
  <c r="AN25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20" i="1"/>
  <c r="AM20" i="1"/>
  <c r="AN20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27" i="1"/>
  <c r="AM27" i="1"/>
  <c r="AN27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22" i="1"/>
  <c r="AM22" i="1"/>
  <c r="AN22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29" i="1"/>
  <c r="AM29" i="1"/>
  <c r="AN29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159" i="1"/>
  <c r="AM159" i="1"/>
  <c r="AN159" i="1"/>
  <c r="K38" i="1"/>
  <c r="L38" i="1"/>
  <c r="M38" i="1"/>
  <c r="N38" i="1" s="1"/>
  <c r="V38" i="1"/>
  <c r="S33" i="3" s="1"/>
  <c r="Y38" i="1"/>
  <c r="Z38" i="1"/>
  <c r="AB38" i="1"/>
  <c r="AC38" i="1"/>
  <c r="AD38" i="1"/>
  <c r="AG38" i="1" s="1"/>
  <c r="AE38" i="1"/>
  <c r="R33" i="3" s="1"/>
  <c r="AF38" i="1"/>
  <c r="AH24" i="1"/>
  <c r="AM24" i="1"/>
  <c r="AN24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42" i="3" s="1"/>
  <c r="AF39" i="1"/>
  <c r="AH160" i="1"/>
  <c r="AM160" i="1"/>
  <c r="AN160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219" i="1"/>
  <c r="AM219" i="1"/>
  <c r="AN219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26" i="1"/>
  <c r="AM26" i="1"/>
  <c r="AN26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31" i="1"/>
  <c r="AM31" i="1"/>
  <c r="AN31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33" i="1"/>
  <c r="AM33" i="1"/>
  <c r="AN33" i="1"/>
  <c r="K44" i="1"/>
  <c r="L44" i="1"/>
  <c r="M44" i="1"/>
  <c r="N44" i="1" s="1"/>
  <c r="V44" i="1"/>
  <c r="S11" i="3" s="1"/>
  <c r="Y44" i="1"/>
  <c r="Z44" i="1"/>
  <c r="AB44" i="1"/>
  <c r="AC44" i="1"/>
  <c r="AD44" i="1"/>
  <c r="AE44" i="1"/>
  <c r="AF44" i="1"/>
  <c r="AH161" i="1"/>
  <c r="AM161" i="1"/>
  <c r="AN161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28" i="1"/>
  <c r="AM28" i="1"/>
  <c r="AN28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35" i="1"/>
  <c r="AM35" i="1"/>
  <c r="AN35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162" i="1"/>
  <c r="AM162" i="1"/>
  <c r="AN162" i="1"/>
  <c r="K48" i="1"/>
  <c r="L48" i="1"/>
  <c r="M48" i="1"/>
  <c r="N48" i="1" s="1"/>
  <c r="V48" i="1"/>
  <c r="S15" i="3" s="1"/>
  <c r="Y48" i="1"/>
  <c r="Z48" i="1"/>
  <c r="AB48" i="1"/>
  <c r="AC48" i="1"/>
  <c r="AD48" i="1"/>
  <c r="AG48" i="1" s="1"/>
  <c r="AE48" i="1"/>
  <c r="AF48" i="1"/>
  <c r="AH30" i="1"/>
  <c r="AM30" i="1"/>
  <c r="AN30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37" i="1"/>
  <c r="AM37" i="1"/>
  <c r="AN37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163" i="1"/>
  <c r="AM163" i="1"/>
  <c r="AN163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32" i="1"/>
  <c r="AM32" i="1"/>
  <c r="AN32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39" i="1"/>
  <c r="AM39" i="1"/>
  <c r="AN39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164" i="1"/>
  <c r="AM164" i="1"/>
  <c r="AN164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34" i="1"/>
  <c r="AM34" i="1"/>
  <c r="AN3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41" i="1"/>
  <c r="AM41" i="1"/>
  <c r="AN41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165" i="1"/>
  <c r="AM165" i="1"/>
  <c r="AN165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36" i="1"/>
  <c r="AM36" i="1"/>
  <c r="AN36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43" i="1"/>
  <c r="AM43" i="1"/>
  <c r="AN43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166" i="1"/>
  <c r="AM166" i="1"/>
  <c r="AN166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38" i="1"/>
  <c r="AM38" i="1"/>
  <c r="AN38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45" i="1"/>
  <c r="AM45" i="1"/>
  <c r="AN45" i="1"/>
  <c r="K62" i="1"/>
  <c r="L62" i="1"/>
  <c r="M62" i="1"/>
  <c r="N62" i="1" s="1"/>
  <c r="V62" i="1"/>
  <c r="S16" i="3" s="1"/>
  <c r="Y62" i="1"/>
  <c r="Z62" i="1"/>
  <c r="AB62" i="1"/>
  <c r="AC62" i="1"/>
  <c r="AD62" i="1"/>
  <c r="AE62" i="1"/>
  <c r="R16" i="3" s="1"/>
  <c r="AF62" i="1"/>
  <c r="AH167" i="1"/>
  <c r="AM167" i="1"/>
  <c r="AN167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40" i="1"/>
  <c r="AM40" i="1"/>
  <c r="AN40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47" i="1"/>
  <c r="AM47" i="1"/>
  <c r="AN47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168" i="1"/>
  <c r="AM168" i="1"/>
  <c r="AN168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42" i="1"/>
  <c r="AM42" i="1"/>
  <c r="AN42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49" i="1"/>
  <c r="AM49" i="1"/>
  <c r="AN49" i="1"/>
  <c r="K68" i="1"/>
  <c r="L68" i="1"/>
  <c r="M68" i="1"/>
  <c r="N68" i="1" s="1"/>
  <c r="V68" i="1"/>
  <c r="S18" i="3" s="1"/>
  <c r="Y68" i="1"/>
  <c r="Z68" i="1"/>
  <c r="AB68" i="1"/>
  <c r="AC68" i="1"/>
  <c r="AD68" i="1"/>
  <c r="AE68" i="1"/>
  <c r="AF68" i="1"/>
  <c r="AH169" i="1"/>
  <c r="AM169" i="1"/>
  <c r="AN169" i="1"/>
  <c r="K69" i="1"/>
  <c r="L69" i="1"/>
  <c r="M69" i="1"/>
  <c r="N69" i="1" s="1"/>
  <c r="V69" i="1"/>
  <c r="S12" i="3" s="1"/>
  <c r="Y69" i="1"/>
  <c r="Z69" i="1"/>
  <c r="AB69" i="1"/>
  <c r="AC69" i="1"/>
  <c r="AD69" i="1"/>
  <c r="AG69" i="1" s="1"/>
  <c r="AE69" i="1"/>
  <c r="AF69" i="1"/>
  <c r="AH44" i="1"/>
  <c r="AM44" i="1"/>
  <c r="AN44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220" i="1"/>
  <c r="AM220" i="1"/>
  <c r="AN22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51" i="1"/>
  <c r="AM51" i="1"/>
  <c r="AN5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170" i="1"/>
  <c r="AM170" i="1"/>
  <c r="AN170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46" i="1"/>
  <c r="AM46" i="1"/>
  <c r="AN46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53" i="1"/>
  <c r="AM53" i="1"/>
  <c r="AN53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48" i="1"/>
  <c r="AM48" i="1"/>
  <c r="AN48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55" i="1"/>
  <c r="AM55" i="1"/>
  <c r="AN55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50" i="1"/>
  <c r="AM50" i="1"/>
  <c r="AN50" i="1"/>
  <c r="K78" i="1"/>
  <c r="L78" i="1"/>
  <c r="M78" i="1"/>
  <c r="N78" i="1" s="1"/>
  <c r="V78" i="1"/>
  <c r="S27" i="3" s="1"/>
  <c r="Y78" i="1"/>
  <c r="Z78" i="1"/>
  <c r="AB78" i="1"/>
  <c r="AC78" i="1"/>
  <c r="AD78" i="1"/>
  <c r="AG78" i="1" s="1"/>
  <c r="AE78" i="1"/>
  <c r="R27" i="3" s="1"/>
  <c r="AF78" i="1"/>
  <c r="AH57" i="1"/>
  <c r="AM57" i="1"/>
  <c r="AN57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171" i="1"/>
  <c r="AM171" i="1"/>
  <c r="AN171" i="1"/>
  <c r="K80" i="1"/>
  <c r="L80" i="1"/>
  <c r="M80" i="1"/>
  <c r="N80" i="1" s="1"/>
  <c r="V80" i="1"/>
  <c r="S19" i="3" s="1"/>
  <c r="Y80" i="1"/>
  <c r="Z80" i="1"/>
  <c r="AB80" i="1"/>
  <c r="AC80" i="1"/>
  <c r="AD80" i="1"/>
  <c r="AE80" i="1"/>
  <c r="AF80" i="1"/>
  <c r="AH52" i="1"/>
  <c r="AM52" i="1"/>
  <c r="AN52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R43" i="3" s="1"/>
  <c r="AF81" i="1"/>
  <c r="AH59" i="1"/>
  <c r="AM59" i="1"/>
  <c r="AN59" i="1"/>
  <c r="K82" i="1"/>
  <c r="L82" i="1"/>
  <c r="M82" i="1"/>
  <c r="N82" i="1" s="1"/>
  <c r="V82" i="1"/>
  <c r="S23" i="3" s="1"/>
  <c r="Y82" i="1"/>
  <c r="Z82" i="1"/>
  <c r="AB82" i="1"/>
  <c r="AC82" i="1"/>
  <c r="AD82" i="1"/>
  <c r="AG82" i="1" s="1"/>
  <c r="AE82" i="1"/>
  <c r="R23" i="3" s="1"/>
  <c r="AF82" i="1"/>
  <c r="AH172" i="1"/>
  <c r="AM172" i="1"/>
  <c r="AN17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54" i="1"/>
  <c r="AM54" i="1"/>
  <c r="AN54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61" i="1"/>
  <c r="AM61" i="1"/>
  <c r="AN61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56" i="1"/>
  <c r="AM56" i="1"/>
  <c r="AN56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63" i="1"/>
  <c r="AM63" i="1"/>
  <c r="AN63" i="1"/>
  <c r="K87" i="1"/>
  <c r="L87" i="1"/>
  <c r="M87" i="1"/>
  <c r="N87" i="1" s="1"/>
  <c r="V87" i="1"/>
  <c r="Y87" i="1"/>
  <c r="Z87" i="1"/>
  <c r="AB87" i="1"/>
  <c r="AC87" i="1"/>
  <c r="AD87" i="1"/>
  <c r="AE87" i="1"/>
  <c r="R30" i="3" s="1"/>
  <c r="AF87" i="1"/>
  <c r="AH58" i="1"/>
  <c r="AM58" i="1"/>
  <c r="AN58" i="1"/>
  <c r="K88" i="1"/>
  <c r="L88" i="1"/>
  <c r="M88" i="1"/>
  <c r="N88" i="1" s="1"/>
  <c r="V88" i="1"/>
  <c r="S32" i="3" s="1"/>
  <c r="Y88" i="1"/>
  <c r="Z88" i="1"/>
  <c r="AB88" i="1"/>
  <c r="AC88" i="1"/>
  <c r="AD88" i="1"/>
  <c r="AE88" i="1"/>
  <c r="R32" i="3" s="1"/>
  <c r="AF88" i="1"/>
  <c r="AH65" i="1"/>
  <c r="AM65" i="1"/>
  <c r="AN65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173" i="1"/>
  <c r="AM173" i="1"/>
  <c r="AN173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60" i="1"/>
  <c r="AM60" i="1"/>
  <c r="AN6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226" i="1"/>
  <c r="AM226" i="1"/>
  <c r="AN226" i="1"/>
  <c r="K92" i="1"/>
  <c r="L92" i="1"/>
  <c r="M92" i="1"/>
  <c r="N92" i="1" s="1"/>
  <c r="V92" i="1"/>
  <c r="S20" i="3" s="1"/>
  <c r="Y92" i="1"/>
  <c r="Z92" i="1"/>
  <c r="AB92" i="1"/>
  <c r="AC92" i="1"/>
  <c r="AD92" i="1"/>
  <c r="AE92" i="1"/>
  <c r="AF92" i="1"/>
  <c r="AH67" i="1"/>
  <c r="AM67" i="1"/>
  <c r="AN67" i="1"/>
  <c r="K93" i="1"/>
  <c r="L93" i="1"/>
  <c r="M93" i="1"/>
  <c r="N93" i="1" s="1"/>
  <c r="V93" i="1"/>
  <c r="S13" i="3" s="1"/>
  <c r="Y93" i="1"/>
  <c r="Z93" i="1"/>
  <c r="AB93" i="1"/>
  <c r="AC93" i="1"/>
  <c r="AD93" i="1"/>
  <c r="T93" i="1" s="1"/>
  <c r="AE93" i="1"/>
  <c r="R13" i="3" s="1"/>
  <c r="AF93" i="1"/>
  <c r="AH174" i="1"/>
  <c r="AM174" i="1"/>
  <c r="AN174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62" i="1"/>
  <c r="AM62" i="1"/>
  <c r="AN62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69" i="1"/>
  <c r="AM69" i="1"/>
  <c r="AN69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64" i="1"/>
  <c r="AM64" i="1"/>
  <c r="AN64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71" i="1"/>
  <c r="AM71" i="1"/>
  <c r="AN71" i="1"/>
  <c r="K98" i="1"/>
  <c r="L98" i="1"/>
  <c r="M98" i="1"/>
  <c r="N98" i="1" s="1"/>
  <c r="V98" i="1"/>
  <c r="S36" i="3" s="1"/>
  <c r="Y98" i="1"/>
  <c r="Z98" i="1"/>
  <c r="AB98" i="1"/>
  <c r="AC98" i="1"/>
  <c r="AD98" i="1"/>
  <c r="AG98" i="1" s="1"/>
  <c r="AE98" i="1"/>
  <c r="AF98" i="1"/>
  <c r="AH66" i="1"/>
  <c r="AM66" i="1"/>
  <c r="AN66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73" i="1"/>
  <c r="AM73" i="1"/>
  <c r="AN7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227" i="1"/>
  <c r="AM227" i="1"/>
  <c r="AN227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75" i="1"/>
  <c r="AM175" i="1"/>
  <c r="AN175" i="1"/>
  <c r="K102" i="1"/>
  <c r="L102" i="1"/>
  <c r="M102" i="1"/>
  <c r="N102" i="1" s="1"/>
  <c r="V102" i="1"/>
  <c r="S38" i="3" s="1"/>
  <c r="Y102" i="1"/>
  <c r="Z102" i="1"/>
  <c r="AB102" i="1"/>
  <c r="AC102" i="1"/>
  <c r="AD102" i="1"/>
  <c r="AG102" i="1" s="1"/>
  <c r="AE102" i="1"/>
  <c r="R39" i="3" s="1"/>
  <c r="AF102" i="1"/>
  <c r="AH68" i="1"/>
  <c r="AM68" i="1"/>
  <c r="AN68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75" i="1"/>
  <c r="AM75" i="1"/>
  <c r="AN75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76" i="1"/>
  <c r="AM176" i="1"/>
  <c r="AN176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70" i="1"/>
  <c r="AM70" i="1"/>
  <c r="AN7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77" i="1"/>
  <c r="AM77" i="1"/>
  <c r="AN77" i="1"/>
  <c r="K107" i="1"/>
  <c r="L107" i="1"/>
  <c r="M107" i="1"/>
  <c r="P107" i="1" s="1"/>
  <c r="V107" i="1"/>
  <c r="Y107" i="1"/>
  <c r="Z107" i="1"/>
  <c r="AB107" i="1"/>
  <c r="AC107" i="1"/>
  <c r="AD107" i="1"/>
  <c r="AE107" i="1"/>
  <c r="AF107" i="1"/>
  <c r="AH72" i="1"/>
  <c r="AM72" i="1"/>
  <c r="AN72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79" i="1"/>
  <c r="AM79" i="1"/>
  <c r="AN79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74" i="1"/>
  <c r="AM74" i="1"/>
  <c r="AN7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81" i="1"/>
  <c r="AM81" i="1"/>
  <c r="AN81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77" i="1"/>
  <c r="AM177" i="1"/>
  <c r="AN17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76" i="1"/>
  <c r="AM76" i="1"/>
  <c r="AN76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83" i="1"/>
  <c r="AM83" i="1"/>
  <c r="AN8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78" i="1"/>
  <c r="AM178" i="1"/>
  <c r="AN178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78" i="1"/>
  <c r="AM78" i="1"/>
  <c r="AN78" i="1"/>
  <c r="K116" i="1"/>
  <c r="L116" i="1"/>
  <c r="M116" i="1"/>
  <c r="N116" i="1" s="1"/>
  <c r="V116" i="1"/>
  <c r="S41" i="3" s="1"/>
  <c r="Y116" i="1"/>
  <c r="Z116" i="1"/>
  <c r="AB116" i="1"/>
  <c r="AC116" i="1"/>
  <c r="AD116" i="1"/>
  <c r="AG116" i="1" s="1"/>
  <c r="AE116" i="1"/>
  <c r="R40" i="3" s="1"/>
  <c r="AF116" i="1"/>
  <c r="AH85" i="1"/>
  <c r="AM85" i="1"/>
  <c r="AN85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80" i="1"/>
  <c r="AM80" i="1"/>
  <c r="AN80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87" i="1"/>
  <c r="AM87" i="1"/>
  <c r="AN87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82" i="1"/>
  <c r="AM82" i="1"/>
  <c r="AN82" i="1"/>
  <c r="K120" i="1"/>
  <c r="L120" i="1"/>
  <c r="M120" i="1"/>
  <c r="N120" i="1" s="1"/>
  <c r="V120" i="1"/>
  <c r="S8" i="3" s="1"/>
  <c r="Y120" i="1"/>
  <c r="Z120" i="1"/>
  <c r="AB120" i="1"/>
  <c r="AC120" i="1"/>
  <c r="AD120" i="1"/>
  <c r="AG120" i="1" s="1"/>
  <c r="AE120" i="1"/>
  <c r="R8" i="3" s="1"/>
  <c r="AF120" i="1"/>
  <c r="AH89" i="1"/>
  <c r="AM89" i="1"/>
  <c r="AN89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79" i="1"/>
  <c r="AM179" i="1"/>
  <c r="AN179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84" i="1"/>
  <c r="AM84" i="1"/>
  <c r="AN84" i="1"/>
  <c r="K123" i="1"/>
  <c r="L123" i="1"/>
  <c r="M123" i="1"/>
  <c r="N123" i="1" s="1"/>
  <c r="V123" i="1"/>
  <c r="S9" i="3" s="1"/>
  <c r="Y123" i="1"/>
  <c r="Z123" i="1"/>
  <c r="AB123" i="1"/>
  <c r="AC123" i="1"/>
  <c r="AD123" i="1"/>
  <c r="T123" i="1" s="1"/>
  <c r="AE123" i="1"/>
  <c r="R45" i="3" s="1"/>
  <c r="AF123" i="1"/>
  <c r="AH91" i="1"/>
  <c r="AM91" i="1"/>
  <c r="AN91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80" i="1"/>
  <c r="AM180" i="1"/>
  <c r="AN180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86" i="1"/>
  <c r="AM86" i="1"/>
  <c r="AN86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93" i="1"/>
  <c r="AM93" i="1"/>
  <c r="AN93" i="1"/>
  <c r="K127" i="1"/>
  <c r="L127" i="1"/>
  <c r="M127" i="1"/>
  <c r="N127" i="1" s="1"/>
  <c r="V127" i="1"/>
  <c r="S21" i="3" s="1"/>
  <c r="Y127" i="1"/>
  <c r="Z127" i="1"/>
  <c r="AB127" i="1"/>
  <c r="AC127" i="1"/>
  <c r="AD127" i="1"/>
  <c r="AE127" i="1"/>
  <c r="R21" i="3" s="1"/>
  <c r="AF127" i="1"/>
  <c r="AH88" i="1"/>
  <c r="AM88" i="1"/>
  <c r="AN88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95" i="1"/>
  <c r="AM95" i="1"/>
  <c r="AN95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90" i="1"/>
  <c r="AM90" i="1"/>
  <c r="AN90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H97" i="1"/>
  <c r="AM97" i="1"/>
  <c r="AN97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81" i="1"/>
  <c r="AM181" i="1"/>
  <c r="AN18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92" i="1"/>
  <c r="AM92" i="1"/>
  <c r="AN9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99" i="1"/>
  <c r="AM99" i="1"/>
  <c r="AN99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82" i="1"/>
  <c r="AM182" i="1"/>
  <c r="AN182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94" i="1"/>
  <c r="AM94" i="1"/>
  <c r="AN94" i="1"/>
  <c r="K136" i="1"/>
  <c r="L136" i="1"/>
  <c r="M136" i="1"/>
  <c r="N136" i="1" s="1"/>
  <c r="V136" i="1"/>
  <c r="Y136" i="1"/>
  <c r="Z136" i="1"/>
  <c r="AB136" i="1"/>
  <c r="AC136" i="1"/>
  <c r="AD136" i="1"/>
  <c r="AG136" i="1" s="1"/>
  <c r="AE136" i="1"/>
  <c r="AF136" i="1"/>
  <c r="AH101" i="1"/>
  <c r="AM101" i="1"/>
  <c r="AN101" i="1"/>
  <c r="K137" i="1"/>
  <c r="L137" i="1"/>
  <c r="M137" i="1"/>
  <c r="P137" i="1" s="1"/>
  <c r="V137" i="1"/>
  <c r="Y137" i="1"/>
  <c r="Z137" i="1"/>
  <c r="AB137" i="1"/>
  <c r="AC137" i="1"/>
  <c r="AD137" i="1"/>
  <c r="T137" i="1" s="1"/>
  <c r="AE137" i="1"/>
  <c r="AF137" i="1"/>
  <c r="AH96" i="1"/>
  <c r="AM96" i="1"/>
  <c r="AN96" i="1"/>
  <c r="K138" i="1"/>
  <c r="L138" i="1"/>
  <c r="M138" i="1"/>
  <c r="N138" i="1" s="1"/>
  <c r="V138" i="1"/>
  <c r="S31" i="3" s="1"/>
  <c r="Y138" i="1"/>
  <c r="Z138" i="1"/>
  <c r="AB138" i="1"/>
  <c r="AC138" i="1"/>
  <c r="AD138" i="1"/>
  <c r="AE138" i="1"/>
  <c r="R31" i="3" s="1"/>
  <c r="AF138" i="1"/>
  <c r="AH103" i="1"/>
  <c r="AM103" i="1"/>
  <c r="AN10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98" i="1"/>
  <c r="AM98" i="1"/>
  <c r="AN98" i="1"/>
  <c r="K140" i="1"/>
  <c r="L140" i="1"/>
  <c r="M140" i="1"/>
  <c r="N140" i="1" s="1"/>
  <c r="V140" i="1"/>
  <c r="S28" i="3" s="1"/>
  <c r="Y140" i="1"/>
  <c r="Z140" i="1"/>
  <c r="AB140" i="1"/>
  <c r="AC140" i="1"/>
  <c r="AD140" i="1"/>
  <c r="AG140" i="1" s="1"/>
  <c r="AE140" i="1"/>
  <c r="R10" i="3" s="1"/>
  <c r="AF140" i="1"/>
  <c r="AH105" i="1"/>
  <c r="AM105" i="1"/>
  <c r="AN105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221" i="1"/>
  <c r="AM221" i="1"/>
  <c r="AN22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83" i="1"/>
  <c r="AM183" i="1"/>
  <c r="AN183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00" i="1"/>
  <c r="AM100" i="1"/>
  <c r="AN100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4" i="1"/>
  <c r="AM184" i="1"/>
  <c r="AN184" i="1"/>
  <c r="K145" i="1"/>
  <c r="L145" i="1"/>
  <c r="M145" i="1"/>
  <c r="N145" i="1" s="1"/>
  <c r="V145" i="1"/>
  <c r="S46" i="3" s="1"/>
  <c r="Y145" i="1"/>
  <c r="Z145" i="1"/>
  <c r="AB145" i="1"/>
  <c r="AC145" i="1"/>
  <c r="AD145" i="1"/>
  <c r="AG145" i="1" s="1"/>
  <c r="AE145" i="1"/>
  <c r="R46" i="3" s="1"/>
  <c r="AF145" i="1"/>
  <c r="AH107" i="1"/>
  <c r="AM107" i="1"/>
  <c r="AN107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02" i="1"/>
  <c r="AM102" i="1"/>
  <c r="AN102" i="1"/>
  <c r="K147" i="1"/>
  <c r="L147" i="1"/>
  <c r="M147" i="1"/>
  <c r="N147" i="1" s="1"/>
  <c r="V147" i="1"/>
  <c r="S47" i="3" s="1"/>
  <c r="Y147" i="1"/>
  <c r="Z147" i="1"/>
  <c r="AB147" i="1"/>
  <c r="AC147" i="1"/>
  <c r="AD147" i="1"/>
  <c r="T147" i="1" s="1"/>
  <c r="AE147" i="1"/>
  <c r="R47" i="3" s="1"/>
  <c r="AF147" i="1"/>
  <c r="AH109" i="1"/>
  <c r="AM109" i="1"/>
  <c r="AN109" i="1"/>
  <c r="K148" i="1"/>
  <c r="L148" i="1"/>
  <c r="M148" i="1"/>
  <c r="N148" i="1" s="1"/>
  <c r="V148" i="1"/>
  <c r="S24" i="3" s="1"/>
  <c r="Y148" i="1"/>
  <c r="Z148" i="1"/>
  <c r="AB148" i="1"/>
  <c r="AC148" i="1"/>
  <c r="AD148" i="1"/>
  <c r="AG148" i="1" s="1"/>
  <c r="AE148" i="1"/>
  <c r="R24" i="3" s="1"/>
  <c r="AF148" i="1"/>
  <c r="AH185" i="1"/>
  <c r="AM185" i="1"/>
  <c r="AN185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04" i="1"/>
  <c r="AM104" i="1"/>
  <c r="AN104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11" i="1"/>
  <c r="AM111" i="1"/>
  <c r="AN11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AM186" i="1"/>
  <c r="AN186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06" i="1"/>
  <c r="AM106" i="1"/>
  <c r="AN106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13" i="1"/>
  <c r="AM113" i="1"/>
  <c r="AN11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87" i="1"/>
  <c r="AM187" i="1"/>
  <c r="AN187" i="1"/>
  <c r="K156" i="1"/>
  <c r="L156" i="1"/>
  <c r="M156" i="1"/>
  <c r="V156" i="1"/>
  <c r="Y156" i="1"/>
  <c r="Z156" i="1"/>
  <c r="AB156" i="1"/>
  <c r="AC156" i="1"/>
  <c r="AD156" i="1"/>
  <c r="T156" i="1" s="1"/>
  <c r="AE156" i="1"/>
  <c r="AF156" i="1"/>
  <c r="AH108" i="1"/>
  <c r="AM108" i="1"/>
  <c r="AN108" i="1"/>
  <c r="K155" i="1"/>
  <c r="L155" i="1"/>
  <c r="M155" i="1"/>
  <c r="V155" i="1"/>
  <c r="Y155" i="1"/>
  <c r="Z155" i="1"/>
  <c r="AB155" i="1"/>
  <c r="AC155" i="1"/>
  <c r="AD155" i="1"/>
  <c r="AG155" i="1" s="1"/>
  <c r="AE155" i="1"/>
  <c r="AF155" i="1"/>
  <c r="AH115" i="1"/>
  <c r="AM115" i="1"/>
  <c r="AN115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88" i="1"/>
  <c r="AM188" i="1"/>
  <c r="AN188" i="1"/>
  <c r="K205" i="1"/>
  <c r="L205" i="1"/>
  <c r="M205" i="1"/>
  <c r="N205" i="1" s="1"/>
  <c r="V205" i="1"/>
  <c r="Y205" i="1"/>
  <c r="Z205" i="1"/>
  <c r="AB205" i="1"/>
  <c r="AC205" i="1"/>
  <c r="AD205" i="1"/>
  <c r="AE205" i="1"/>
  <c r="AF205" i="1"/>
  <c r="AH110" i="1"/>
  <c r="AM110" i="1"/>
  <c r="AN110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17" i="1"/>
  <c r="AM117" i="1"/>
  <c r="AN117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89" i="1"/>
  <c r="AM189" i="1"/>
  <c r="AN189" i="1"/>
  <c r="K208" i="1"/>
  <c r="L208" i="1"/>
  <c r="M208" i="1"/>
  <c r="N208" i="1" s="1"/>
  <c r="V208" i="1"/>
  <c r="Y208" i="1"/>
  <c r="Z208" i="1"/>
  <c r="AB208" i="1"/>
  <c r="AC208" i="1"/>
  <c r="AD208" i="1"/>
  <c r="AG208" i="1" s="1"/>
  <c r="AE208" i="1"/>
  <c r="AF208" i="1"/>
  <c r="AH112" i="1"/>
  <c r="AM112" i="1"/>
  <c r="AN112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19" i="1"/>
  <c r="AM119" i="1"/>
  <c r="AN11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G210" i="1"/>
  <c r="AH190" i="1"/>
  <c r="AM190" i="1"/>
  <c r="AN19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14" i="1"/>
  <c r="AM114" i="1"/>
  <c r="AN11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21" i="1"/>
  <c r="AM121" i="1"/>
  <c r="AN121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91" i="1"/>
  <c r="AM191" i="1"/>
  <c r="AN191" i="1"/>
  <c r="K214" i="1"/>
  <c r="L214" i="1"/>
  <c r="M214" i="1"/>
  <c r="N214" i="1" s="1"/>
  <c r="V214" i="1"/>
  <c r="Y214" i="1"/>
  <c r="Z214" i="1"/>
  <c r="AB214" i="1"/>
  <c r="AC214" i="1"/>
  <c r="AD214" i="1"/>
  <c r="AE214" i="1"/>
  <c r="AF214" i="1"/>
  <c r="AH116" i="1"/>
  <c r="AM116" i="1"/>
  <c r="AN11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23" i="1"/>
  <c r="AM123" i="1"/>
  <c r="AN123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92" i="1"/>
  <c r="AM192" i="1"/>
  <c r="AN192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18" i="1"/>
  <c r="AM118" i="1"/>
  <c r="AN118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231" i="1"/>
  <c r="AM231" i="1"/>
  <c r="AN231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125" i="1"/>
  <c r="AM125" i="1"/>
  <c r="AN125" i="1"/>
  <c r="K226" i="1"/>
  <c r="L226" i="1"/>
  <c r="M226" i="1"/>
  <c r="N226" i="1" s="1"/>
  <c r="V226" i="1"/>
  <c r="S62" i="3" s="1"/>
  <c r="Y226" i="1"/>
  <c r="Z226" i="1"/>
  <c r="AB226" i="1"/>
  <c r="AC226" i="1"/>
  <c r="AD226" i="1"/>
  <c r="T226" i="1" s="1"/>
  <c r="AE226" i="1"/>
  <c r="R62" i="3" s="1"/>
  <c r="AF226" i="1"/>
  <c r="AH193" i="1"/>
  <c r="AM193" i="1"/>
  <c r="AN193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AH228" i="1"/>
  <c r="AM228" i="1"/>
  <c r="AN228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20" i="1"/>
  <c r="AM120" i="1"/>
  <c r="AN120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27" i="1"/>
  <c r="AM127" i="1"/>
  <c r="AN12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230" i="1"/>
  <c r="AM230" i="1"/>
  <c r="AN230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94" i="1"/>
  <c r="AM194" i="1"/>
  <c r="AN194" i="1"/>
  <c r="K241" i="1"/>
  <c r="L241" i="1"/>
  <c r="M241" i="1"/>
  <c r="N241" i="1" s="1"/>
  <c r="V241" i="1"/>
  <c r="Y241" i="1"/>
  <c r="Z241" i="1"/>
  <c r="AB241" i="1"/>
  <c r="AC241" i="1"/>
  <c r="AD241" i="1"/>
  <c r="AG241" i="1" s="1"/>
  <c r="AE241" i="1"/>
  <c r="R59" i="3" s="1"/>
  <c r="AF241" i="1"/>
  <c r="AH122" i="1"/>
  <c r="AM122" i="1"/>
  <c r="AN122" i="1"/>
  <c r="K239" i="1"/>
  <c r="L239" i="1"/>
  <c r="M239" i="1"/>
  <c r="N239" i="1" s="1"/>
  <c r="V239" i="1"/>
  <c r="Y239" i="1"/>
  <c r="Z239" i="1"/>
  <c r="AB239" i="1"/>
  <c r="AC239" i="1"/>
  <c r="AD239" i="1"/>
  <c r="T239" i="1" s="1"/>
  <c r="AE239" i="1"/>
  <c r="AF239" i="1"/>
  <c r="AH129" i="1"/>
  <c r="AM129" i="1"/>
  <c r="AN129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95" i="1"/>
  <c r="AM195" i="1"/>
  <c r="AN195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229" i="1"/>
  <c r="AM229" i="1"/>
  <c r="AN229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24" i="1"/>
  <c r="AM124" i="1"/>
  <c r="AN124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31" i="1"/>
  <c r="AM131" i="1"/>
  <c r="AN13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96" i="1"/>
  <c r="AM196" i="1"/>
  <c r="AN19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26" i="1"/>
  <c r="AM126" i="1"/>
  <c r="AN126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206" i="1"/>
  <c r="AM206" i="1"/>
  <c r="AN206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97" i="1"/>
  <c r="AM197" i="1"/>
  <c r="AN19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28" i="1"/>
  <c r="AM128" i="1"/>
  <c r="AN128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33" i="1"/>
  <c r="AM133" i="1"/>
  <c r="AN133" i="1"/>
  <c r="K160" i="1"/>
  <c r="L160" i="1"/>
  <c r="M160" i="1"/>
  <c r="N160" i="1" s="1"/>
  <c r="V160" i="1"/>
  <c r="S49" i="3" s="1"/>
  <c r="Y160" i="1"/>
  <c r="Z160" i="1"/>
  <c r="AB160" i="1"/>
  <c r="AC160" i="1"/>
  <c r="AD160" i="1"/>
  <c r="AG160" i="1" s="1"/>
  <c r="AE160" i="1"/>
  <c r="R49" i="3" s="1"/>
  <c r="AF160" i="1"/>
  <c r="AH222" i="1"/>
  <c r="AM222" i="1"/>
  <c r="AN222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208" i="1"/>
  <c r="AM208" i="1"/>
  <c r="AN208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30" i="1"/>
  <c r="AM130" i="1"/>
  <c r="AN130" i="1"/>
  <c r="K163" i="1"/>
  <c r="L163" i="1"/>
  <c r="M163" i="1"/>
  <c r="N163" i="1" s="1"/>
  <c r="V163" i="1"/>
  <c r="S54" i="3" s="1"/>
  <c r="Y163" i="1"/>
  <c r="Z163" i="1"/>
  <c r="AB163" i="1"/>
  <c r="AC163" i="1"/>
  <c r="AD163" i="1"/>
  <c r="AE163" i="1"/>
  <c r="R54" i="3" s="1"/>
  <c r="AF163" i="1"/>
  <c r="AH199" i="1"/>
  <c r="AM199" i="1"/>
  <c r="AN199" i="1"/>
  <c r="K164" i="1"/>
  <c r="L164" i="1"/>
  <c r="M164" i="1"/>
  <c r="N164" i="1" s="1"/>
  <c r="V164" i="1"/>
  <c r="S50" i="3" s="1"/>
  <c r="Y164" i="1"/>
  <c r="Z164" i="1"/>
  <c r="AB164" i="1"/>
  <c r="AC164" i="1"/>
  <c r="AD164" i="1"/>
  <c r="AG164" i="1" s="1"/>
  <c r="AE164" i="1"/>
  <c r="R50" i="3" s="1"/>
  <c r="AF164" i="1"/>
  <c r="AH132" i="1"/>
  <c r="AM132" i="1"/>
  <c r="AN13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35" i="1"/>
  <c r="AM135" i="1"/>
  <c r="AN13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8" i="1"/>
  <c r="AM198" i="1"/>
  <c r="AN1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10" i="1"/>
  <c r="AM210" i="1"/>
  <c r="AN210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34" i="1"/>
  <c r="AM134" i="1"/>
  <c r="AN134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37" i="1"/>
  <c r="AM137" i="1"/>
  <c r="AN137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1" i="1"/>
  <c r="AM201" i="1"/>
  <c r="AN201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AH136" i="1"/>
  <c r="AM136" i="1"/>
  <c r="AN136" i="1"/>
  <c r="K246" i="1"/>
  <c r="L246" i="1"/>
  <c r="M246" i="1"/>
  <c r="N246" i="1" s="1"/>
  <c r="V246" i="1"/>
  <c r="Y246" i="1"/>
  <c r="Z246" i="1"/>
  <c r="AB246" i="1"/>
  <c r="AC246" i="1"/>
  <c r="AD246" i="1"/>
  <c r="AE246" i="1"/>
  <c r="AF246" i="1"/>
  <c r="AH139" i="1"/>
  <c r="AM139" i="1"/>
  <c r="AN139" i="1"/>
  <c r="K247" i="1"/>
  <c r="L247" i="1"/>
  <c r="M247" i="1"/>
  <c r="N247" i="1" s="1"/>
  <c r="V247" i="1"/>
  <c r="Y247" i="1"/>
  <c r="Z247" i="1"/>
  <c r="AB247" i="1"/>
  <c r="AC247" i="1"/>
  <c r="AD247" i="1"/>
  <c r="T247" i="1" s="1"/>
  <c r="AE247" i="1"/>
  <c r="AF247" i="1"/>
  <c r="AH200" i="1"/>
  <c r="AM200" i="1"/>
  <c r="AN200" i="1"/>
  <c r="K168" i="1"/>
  <c r="L168" i="1"/>
  <c r="M168" i="1"/>
  <c r="N168" i="1" s="1"/>
  <c r="V168" i="1"/>
  <c r="S51" i="3" s="1"/>
  <c r="Y168" i="1"/>
  <c r="Z168" i="1"/>
  <c r="AB168" i="1"/>
  <c r="AC168" i="1"/>
  <c r="AD168" i="1"/>
  <c r="AG168" i="1" s="1"/>
  <c r="AE168" i="1"/>
  <c r="R51" i="3" s="1"/>
  <c r="AF168" i="1"/>
  <c r="AH138" i="1"/>
  <c r="AM138" i="1"/>
  <c r="AN138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41" i="1"/>
  <c r="AM141" i="1"/>
  <c r="AN141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03" i="1"/>
  <c r="AM203" i="1"/>
  <c r="AN203" i="1"/>
  <c r="K171" i="1"/>
  <c r="L171" i="1"/>
  <c r="M171" i="1"/>
  <c r="N171" i="1" s="1"/>
  <c r="V171" i="1"/>
  <c r="S55" i="3" s="1"/>
  <c r="Y171" i="1"/>
  <c r="Z171" i="1"/>
  <c r="AB171" i="1"/>
  <c r="AC171" i="1"/>
  <c r="AD171" i="1"/>
  <c r="AE171" i="1"/>
  <c r="AF171" i="1"/>
  <c r="AH140" i="1"/>
  <c r="AM140" i="1"/>
  <c r="AN140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43" i="1"/>
  <c r="AM143" i="1"/>
  <c r="AN143" i="1"/>
  <c r="K173" i="1"/>
  <c r="L173" i="1"/>
  <c r="M173" i="1"/>
  <c r="N173" i="1" s="1"/>
  <c r="V173" i="1"/>
  <c r="S56" i="3" s="1"/>
  <c r="Y173" i="1"/>
  <c r="Z173" i="1"/>
  <c r="AB173" i="1"/>
  <c r="AC173" i="1"/>
  <c r="AD173" i="1"/>
  <c r="AE173" i="1"/>
  <c r="AF173" i="1"/>
  <c r="AH242" i="1"/>
  <c r="AM242" i="1"/>
  <c r="AN242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2" i="1"/>
  <c r="AM202" i="1"/>
  <c r="AN202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42" i="1"/>
  <c r="AM142" i="1"/>
  <c r="AN142" i="1"/>
  <c r="K176" i="1"/>
  <c r="L176" i="1"/>
  <c r="M176" i="1"/>
  <c r="N176" i="1" s="1"/>
  <c r="V176" i="1"/>
  <c r="S52" i="3" s="1"/>
  <c r="Y176" i="1"/>
  <c r="Z176" i="1"/>
  <c r="AB176" i="1"/>
  <c r="AC176" i="1"/>
  <c r="AD176" i="1"/>
  <c r="AE176" i="1"/>
  <c r="AF176" i="1"/>
  <c r="AH145" i="1"/>
  <c r="AM145" i="1"/>
  <c r="AN145" i="1"/>
  <c r="K177" i="1"/>
  <c r="L177" i="1"/>
  <c r="M177" i="1"/>
  <c r="N177" i="1" s="1"/>
  <c r="V177" i="1"/>
  <c r="S57" i="3" s="1"/>
  <c r="Y177" i="1"/>
  <c r="Z177" i="1"/>
  <c r="AB177" i="1"/>
  <c r="AC177" i="1"/>
  <c r="AD177" i="1"/>
  <c r="AE177" i="1"/>
  <c r="AF177" i="1"/>
  <c r="AH204" i="1"/>
  <c r="AM204" i="1"/>
  <c r="AN204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44" i="1"/>
  <c r="AM144" i="1"/>
  <c r="AN14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47" i="1"/>
  <c r="AM147" i="1"/>
  <c r="AN147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32" i="1"/>
  <c r="AM232" i="1"/>
  <c r="AN232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23" i="1"/>
  <c r="AM223" i="1"/>
  <c r="AN223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43" i="1"/>
  <c r="AM243" i="1"/>
  <c r="AN243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44" i="1"/>
  <c r="AM244" i="1"/>
  <c r="AN244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146" i="1"/>
  <c r="AM146" i="1"/>
  <c r="AN146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149" i="1"/>
  <c r="AM149" i="1"/>
  <c r="AN14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33" i="1"/>
  <c r="AM233" i="1"/>
  <c r="AN233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45" i="1"/>
  <c r="AM245" i="1"/>
  <c r="AN245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46" i="1"/>
  <c r="AM246" i="1"/>
  <c r="AN24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48" i="1"/>
  <c r="AM148" i="1"/>
  <c r="AN148" i="1"/>
  <c r="K190" i="1"/>
  <c r="L190" i="1"/>
  <c r="M190" i="1"/>
  <c r="N190" i="1" s="1"/>
  <c r="V190" i="1"/>
  <c r="S53" i="3" s="1"/>
  <c r="Y190" i="1"/>
  <c r="Z190" i="1"/>
  <c r="AB190" i="1"/>
  <c r="AC190" i="1"/>
  <c r="AD190" i="1"/>
  <c r="T190" i="1" s="1"/>
  <c r="AE190" i="1"/>
  <c r="R53" i="3" s="1"/>
  <c r="AF190" i="1"/>
  <c r="AH151" i="1"/>
  <c r="AM151" i="1"/>
  <c r="AN15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34" i="1"/>
  <c r="AM234" i="1"/>
  <c r="AN234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150" i="1"/>
  <c r="AM150" i="1"/>
  <c r="AN150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153" i="1"/>
  <c r="AM153" i="1"/>
  <c r="AN15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47" i="1"/>
  <c r="AM247" i="1"/>
  <c r="AN247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55" i="1"/>
  <c r="AM155" i="1"/>
  <c r="AN15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52" i="1"/>
  <c r="AM152" i="1"/>
  <c r="AN152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35" i="1"/>
  <c r="AM235" i="1"/>
  <c r="AN235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154" i="1"/>
  <c r="AM154" i="1"/>
  <c r="AN154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156" i="1"/>
  <c r="AM156" i="1"/>
  <c r="AN156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12" i="1"/>
  <c r="AM212" i="1"/>
  <c r="AN212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157" i="1"/>
  <c r="AM157" i="1"/>
  <c r="AN157" i="1"/>
  <c r="K203" i="1"/>
  <c r="L203" i="1"/>
  <c r="M203" i="1"/>
  <c r="N203" i="1" s="1"/>
  <c r="V203" i="1"/>
  <c r="S58" i="3" s="1"/>
  <c r="Y203" i="1"/>
  <c r="Z203" i="1"/>
  <c r="AB203" i="1"/>
  <c r="AC203" i="1"/>
  <c r="AD203" i="1"/>
  <c r="T203" i="1" s="1"/>
  <c r="AE203" i="1"/>
  <c r="AF203" i="1"/>
  <c r="AH214" i="1"/>
  <c r="AM214" i="1"/>
  <c r="AN214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236" i="1"/>
  <c r="AM236" i="1"/>
  <c r="AN236" i="1"/>
  <c r="K218" i="1"/>
  <c r="L218" i="1"/>
  <c r="M218" i="1"/>
  <c r="N218" i="1" s="1"/>
  <c r="V218" i="1"/>
  <c r="S63" i="3" s="1"/>
  <c r="Y218" i="1"/>
  <c r="Z218" i="1"/>
  <c r="AB218" i="1"/>
  <c r="AC218" i="1"/>
  <c r="AD218" i="1"/>
  <c r="AG218" i="1" s="1"/>
  <c r="AE218" i="1"/>
  <c r="AF218" i="1"/>
  <c r="AH237" i="1"/>
  <c r="AM237" i="1"/>
  <c r="AN237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16" i="1"/>
  <c r="AM216" i="1"/>
  <c r="AN216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38" i="1"/>
  <c r="AM238" i="1"/>
  <c r="AN238" i="1"/>
  <c r="K221" i="1"/>
  <c r="L221" i="1"/>
  <c r="M221" i="1"/>
  <c r="N221" i="1" s="1"/>
  <c r="V221" i="1"/>
  <c r="S61" i="3" s="1"/>
  <c r="Y221" i="1"/>
  <c r="Z221" i="1"/>
  <c r="AB221" i="1"/>
  <c r="AC221" i="1"/>
  <c r="AD221" i="1"/>
  <c r="AE221" i="1"/>
  <c r="AF221" i="1"/>
  <c r="AH239" i="1"/>
  <c r="AM239" i="1"/>
  <c r="AN239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240" i="1"/>
  <c r="AM240" i="1"/>
  <c r="AN240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1" i="1"/>
  <c r="AM241" i="1"/>
  <c r="AN241" i="1"/>
  <c r="M63" i="3"/>
  <c r="R63" i="3"/>
  <c r="U63" i="3"/>
  <c r="T63" i="3" s="1"/>
  <c r="V63" i="3"/>
  <c r="W63" i="3"/>
  <c r="X63" i="3"/>
  <c r="M17" i="3"/>
  <c r="S17" i="3"/>
  <c r="U17" i="3"/>
  <c r="T17" i="3" s="1"/>
  <c r="V17" i="3"/>
  <c r="W17" i="3"/>
  <c r="Y17" i="3" s="1"/>
  <c r="X17" i="3"/>
  <c r="AC17" i="3"/>
  <c r="M49" i="3"/>
  <c r="U49" i="3"/>
  <c r="AC49" i="3" s="1"/>
  <c r="V49" i="3"/>
  <c r="W49" i="3"/>
  <c r="X49" i="3"/>
  <c r="M25" i="3"/>
  <c r="S25" i="3"/>
  <c r="U25" i="3"/>
  <c r="AC25" i="3" s="1"/>
  <c r="V25" i="3"/>
  <c r="W25" i="3"/>
  <c r="Y25" i="3" s="1"/>
  <c r="X25" i="3"/>
  <c r="M54" i="3"/>
  <c r="U54" i="3"/>
  <c r="AC54" i="3" s="1"/>
  <c r="V54" i="3"/>
  <c r="W54" i="3"/>
  <c r="X54" i="3"/>
  <c r="M50" i="3"/>
  <c r="U50" i="3"/>
  <c r="T50" i="3" s="1"/>
  <c r="V50" i="3"/>
  <c r="W50" i="3"/>
  <c r="X50" i="3"/>
  <c r="AC50" i="3"/>
  <c r="M42" i="3"/>
  <c r="S42" i="3"/>
  <c r="U42" i="3"/>
  <c r="AC42" i="3" s="1"/>
  <c r="V42" i="3"/>
  <c r="W42" i="3"/>
  <c r="X42" i="3"/>
  <c r="Y42" i="3"/>
  <c r="M26" i="3"/>
  <c r="R26" i="3"/>
  <c r="S26" i="3"/>
  <c r="U26" i="3"/>
  <c r="AC26" i="3" s="1"/>
  <c r="V26" i="3"/>
  <c r="W26" i="3"/>
  <c r="X26" i="3"/>
  <c r="M33" i="3"/>
  <c r="U33" i="3"/>
  <c r="AC33" i="3" s="1"/>
  <c r="V33" i="3"/>
  <c r="W33" i="3"/>
  <c r="X33" i="3"/>
  <c r="M51" i="3"/>
  <c r="U51" i="3"/>
  <c r="AD17" i="3" s="1"/>
  <c r="V51" i="3"/>
  <c r="W51" i="3"/>
  <c r="X51" i="3"/>
  <c r="AC51" i="3"/>
  <c r="M7" i="3"/>
  <c r="R7" i="3"/>
  <c r="S7" i="3"/>
  <c r="U7" i="3"/>
  <c r="AC7" i="3" s="1"/>
  <c r="V7" i="3"/>
  <c r="W7" i="3"/>
  <c r="X7" i="3"/>
  <c r="M11" i="3"/>
  <c r="R11" i="3"/>
  <c r="U11" i="3"/>
  <c r="AC11" i="3" s="1"/>
  <c r="V11" i="3"/>
  <c r="W11" i="3"/>
  <c r="Y11" i="3" s="1"/>
  <c r="X11" i="3"/>
  <c r="M15" i="3"/>
  <c r="R15" i="3"/>
  <c r="U15" i="3"/>
  <c r="AC15" i="3" s="1"/>
  <c r="V15" i="3"/>
  <c r="W15" i="3"/>
  <c r="X15" i="3"/>
  <c r="M55" i="3"/>
  <c r="R55" i="3"/>
  <c r="U55" i="3"/>
  <c r="T55" i="3" s="1"/>
  <c r="V55" i="3"/>
  <c r="W55" i="3"/>
  <c r="X55" i="3"/>
  <c r="AC55" i="3"/>
  <c r="M14" i="3"/>
  <c r="R14" i="3"/>
  <c r="S14" i="3"/>
  <c r="U14" i="3"/>
  <c r="AC14" i="3" s="1"/>
  <c r="V14" i="3"/>
  <c r="W14" i="3"/>
  <c r="X14" i="3"/>
  <c r="M48" i="3"/>
  <c r="R48" i="3"/>
  <c r="U48" i="3"/>
  <c r="AC48" i="3" s="1"/>
  <c r="V48" i="3"/>
  <c r="W48" i="3"/>
  <c r="X48" i="3"/>
  <c r="M56" i="3"/>
  <c r="R56" i="3"/>
  <c r="U56" i="3"/>
  <c r="AC56" i="3" s="1"/>
  <c r="V56" i="3"/>
  <c r="AE56" i="3" s="1"/>
  <c r="W56" i="3"/>
  <c r="X56" i="3"/>
  <c r="M62" i="3"/>
  <c r="U62" i="3"/>
  <c r="AD25" i="3" s="1"/>
  <c r="V62" i="3"/>
  <c r="W62" i="3"/>
  <c r="X62" i="3"/>
  <c r="AC62" i="3"/>
  <c r="M22" i="3"/>
  <c r="R22" i="3"/>
  <c r="S22" i="3"/>
  <c r="U22" i="3"/>
  <c r="AD26" i="3" s="1"/>
  <c r="V22" i="3"/>
  <c r="W22" i="3"/>
  <c r="X22" i="3"/>
  <c r="M12" i="3"/>
  <c r="R12" i="3"/>
  <c r="U12" i="3"/>
  <c r="AC12" i="3" s="1"/>
  <c r="V12" i="3"/>
  <c r="W12" i="3"/>
  <c r="Y12" i="3" s="1"/>
  <c r="X12" i="3"/>
  <c r="M16" i="3"/>
  <c r="U16" i="3"/>
  <c r="AC16" i="3" s="1"/>
  <c r="V16" i="3"/>
  <c r="W16" i="3"/>
  <c r="X16" i="3"/>
  <c r="M18" i="3"/>
  <c r="R18" i="3"/>
  <c r="U18" i="3"/>
  <c r="T18" i="3" s="1"/>
  <c r="V18" i="3"/>
  <c r="W18" i="3"/>
  <c r="X18" i="3"/>
  <c r="AC18" i="3"/>
  <c r="M52" i="3"/>
  <c r="R52" i="3"/>
  <c r="U52" i="3"/>
  <c r="AD30" i="3" s="1"/>
  <c r="V52" i="3"/>
  <c r="W52" i="3"/>
  <c r="X52" i="3"/>
  <c r="AC52" i="3"/>
  <c r="M57" i="3"/>
  <c r="R57" i="3"/>
  <c r="U57" i="3"/>
  <c r="AC57" i="3" s="1"/>
  <c r="V57" i="3"/>
  <c r="W57" i="3"/>
  <c r="Y57" i="3" s="1"/>
  <c r="X57" i="3"/>
  <c r="M43" i="3"/>
  <c r="S43" i="3"/>
  <c r="U43" i="3"/>
  <c r="AC43" i="3" s="1"/>
  <c r="V43" i="3"/>
  <c r="W43" i="3"/>
  <c r="X43" i="3"/>
  <c r="M27" i="3"/>
  <c r="U27" i="3"/>
  <c r="T27" i="3" s="1"/>
  <c r="V27" i="3"/>
  <c r="W27" i="3"/>
  <c r="Y27" i="3" s="1"/>
  <c r="X27" i="3"/>
  <c r="AC27" i="3"/>
  <c r="M30" i="3"/>
  <c r="S30" i="3"/>
  <c r="U30" i="3"/>
  <c r="V30" i="3"/>
  <c r="W30" i="3"/>
  <c r="Y30" i="3" s="1"/>
  <c r="X30" i="3"/>
  <c r="M19" i="3"/>
  <c r="R19" i="3"/>
  <c r="U19" i="3"/>
  <c r="AC19" i="3" s="1"/>
  <c r="V19" i="3"/>
  <c r="W19" i="3"/>
  <c r="X19" i="3"/>
  <c r="M23" i="3"/>
  <c r="U23" i="3"/>
  <c r="AC23" i="3" s="1"/>
  <c r="V23" i="3"/>
  <c r="W23" i="3"/>
  <c r="X23" i="3"/>
  <c r="AD36" i="3"/>
  <c r="M32" i="3"/>
  <c r="T32" i="3"/>
  <c r="U32" i="3"/>
  <c r="AE32" i="3" s="1"/>
  <c r="V32" i="3"/>
  <c r="W32" i="3"/>
  <c r="X32" i="3"/>
  <c r="AC32" i="3"/>
  <c r="M13" i="3"/>
  <c r="U13" i="3"/>
  <c r="V13" i="3"/>
  <c r="W13" i="3"/>
  <c r="X13" i="3"/>
  <c r="Y13" i="3"/>
  <c r="M34" i="3"/>
  <c r="S34" i="3"/>
  <c r="U34" i="3"/>
  <c r="AC34" i="3" s="1"/>
  <c r="V34" i="3"/>
  <c r="W34" i="3"/>
  <c r="X34" i="3"/>
  <c r="M20" i="3"/>
  <c r="R20" i="3"/>
  <c r="T20" i="3"/>
  <c r="U20" i="3"/>
  <c r="AC20" i="3" s="1"/>
  <c r="V20" i="3"/>
  <c r="W20" i="3"/>
  <c r="X20" i="3"/>
  <c r="M44" i="3"/>
  <c r="R44" i="3"/>
  <c r="S44" i="3"/>
  <c r="U44" i="3"/>
  <c r="AD44" i="3" s="1"/>
  <c r="V44" i="3"/>
  <c r="W44" i="3"/>
  <c r="X44" i="3"/>
  <c r="AC44" i="3"/>
  <c r="M35" i="3"/>
  <c r="R35" i="3"/>
  <c r="U35" i="3"/>
  <c r="AD42" i="3" s="1"/>
  <c r="V35" i="3"/>
  <c r="W35" i="3"/>
  <c r="X35" i="3"/>
  <c r="M61" i="3"/>
  <c r="R61" i="3"/>
  <c r="U61" i="3"/>
  <c r="AC61" i="3" s="1"/>
  <c r="V61" i="3"/>
  <c r="W61" i="3"/>
  <c r="X61" i="3"/>
  <c r="M36" i="3"/>
  <c r="R36" i="3"/>
  <c r="U36" i="3"/>
  <c r="AC36" i="3" s="1"/>
  <c r="V36" i="3"/>
  <c r="W36" i="3"/>
  <c r="Y36" i="3" s="1"/>
  <c r="X36" i="3"/>
  <c r="M37" i="3"/>
  <c r="R37" i="3"/>
  <c r="T37" i="3"/>
  <c r="U37" i="3"/>
  <c r="AD37" i="3" s="1"/>
  <c r="V37" i="3"/>
  <c r="W37" i="3"/>
  <c r="X37" i="3"/>
  <c r="AC37" i="3"/>
  <c r="M38" i="3"/>
  <c r="R38" i="3"/>
  <c r="U38" i="3"/>
  <c r="V38" i="3"/>
  <c r="W38" i="3"/>
  <c r="Y38" i="3" s="1"/>
  <c r="X38" i="3"/>
  <c r="AC38" i="3"/>
  <c r="M39" i="3"/>
  <c r="U39" i="3"/>
  <c r="AC39" i="3" s="1"/>
  <c r="V39" i="3"/>
  <c r="W39" i="3"/>
  <c r="Y39" i="3" s="1"/>
  <c r="X39" i="3"/>
  <c r="M53" i="3"/>
  <c r="U53" i="3"/>
  <c r="AC53" i="3" s="1"/>
  <c r="V53" i="3"/>
  <c r="W53" i="3"/>
  <c r="Y53" i="3" s="1"/>
  <c r="X53" i="3"/>
  <c r="AD48" i="3"/>
  <c r="AE48" i="3"/>
  <c r="M29" i="3"/>
  <c r="S29" i="3"/>
  <c r="U29" i="3"/>
  <c r="T29" i="3" s="1"/>
  <c r="V29" i="3"/>
  <c r="W29" i="3"/>
  <c r="X29" i="3"/>
  <c r="AC29" i="3"/>
  <c r="M9" i="3"/>
  <c r="U9" i="3"/>
  <c r="AD50" i="3" s="1"/>
  <c r="V9" i="3"/>
  <c r="W9" i="3"/>
  <c r="X9" i="3"/>
  <c r="M21" i="3"/>
  <c r="U21" i="3"/>
  <c r="AC21" i="3" s="1"/>
  <c r="V21" i="3"/>
  <c r="W21" i="3"/>
  <c r="Y21" i="3" s="1"/>
  <c r="X21" i="3"/>
  <c r="M40" i="3"/>
  <c r="U40" i="3"/>
  <c r="AC40" i="3" s="1"/>
  <c r="V40" i="3"/>
  <c r="W40" i="3"/>
  <c r="Y40" i="3" s="1"/>
  <c r="X40" i="3"/>
  <c r="M41" i="3"/>
  <c r="U41" i="3"/>
  <c r="T41" i="3" s="1"/>
  <c r="V41" i="3"/>
  <c r="AE53" i="3" s="1"/>
  <c r="W41" i="3"/>
  <c r="X41" i="3"/>
  <c r="AC41" i="3"/>
  <c r="AD53" i="3"/>
  <c r="M45" i="3"/>
  <c r="U45" i="3"/>
  <c r="AD54" i="3" s="1"/>
  <c r="V45" i="3"/>
  <c r="W45" i="3"/>
  <c r="X45" i="3"/>
  <c r="M8" i="3"/>
  <c r="U8" i="3"/>
  <c r="AC8" i="3" s="1"/>
  <c r="V8" i="3"/>
  <c r="W8" i="3"/>
  <c r="X8" i="3"/>
  <c r="M31" i="3"/>
  <c r="U31" i="3"/>
  <c r="AC31" i="3" s="1"/>
  <c r="V31" i="3"/>
  <c r="W31" i="3"/>
  <c r="X31" i="3"/>
  <c r="AD56" i="3"/>
  <c r="M28" i="3"/>
  <c r="U28" i="3"/>
  <c r="AD57" i="3" s="1"/>
  <c r="V28" i="3"/>
  <c r="W28" i="3"/>
  <c r="X28" i="3"/>
  <c r="AC28" i="3"/>
  <c r="M58" i="3"/>
  <c r="R58" i="3"/>
  <c r="U58" i="3"/>
  <c r="AD58" i="3" s="1"/>
  <c r="V58" i="3"/>
  <c r="W58" i="3"/>
  <c r="Y58" i="3" s="1"/>
  <c r="X58" i="3"/>
  <c r="M10" i="3"/>
  <c r="U10" i="3"/>
  <c r="AC10" i="3" s="1"/>
  <c r="V10" i="3"/>
  <c r="W10" i="3"/>
  <c r="X10" i="3"/>
  <c r="M59" i="3"/>
  <c r="U59" i="3"/>
  <c r="AC59" i="3" s="1"/>
  <c r="V59" i="3"/>
  <c r="W59" i="3"/>
  <c r="X59" i="3"/>
  <c r="M46" i="3"/>
  <c r="T46" i="3"/>
  <c r="U46" i="3"/>
  <c r="V46" i="3"/>
  <c r="W46" i="3"/>
  <c r="X46" i="3"/>
  <c r="AC46" i="3"/>
  <c r="M47" i="3"/>
  <c r="U47" i="3"/>
  <c r="AD62" i="3" s="1"/>
  <c r="V47" i="3"/>
  <c r="W47" i="3"/>
  <c r="X47" i="3"/>
  <c r="AC47" i="3"/>
  <c r="M24" i="3"/>
  <c r="U24" i="3"/>
  <c r="AC24" i="3" s="1"/>
  <c r="V24" i="3"/>
  <c r="W24" i="3"/>
  <c r="Y24" i="3" s="1"/>
  <c r="X24" i="3"/>
  <c r="X87" i="1" l="1"/>
  <c r="X25" i="1"/>
  <c r="AA154" i="1"/>
  <c r="S59" i="3"/>
  <c r="S40" i="3"/>
  <c r="S10" i="3"/>
  <c r="AA41" i="1"/>
  <c r="AA27" i="1"/>
  <c r="N156" i="1"/>
  <c r="R41" i="3"/>
  <c r="X70" i="1"/>
  <c r="AA40" i="1"/>
  <c r="AA23" i="1"/>
  <c r="AA15" i="1"/>
  <c r="S45" i="3"/>
  <c r="R28" i="3"/>
  <c r="AA182" i="1"/>
  <c r="AG235" i="1"/>
  <c r="AI235" i="1" s="1"/>
  <c r="X235" i="1"/>
  <c r="T233" i="1"/>
  <c r="AA57" i="1"/>
  <c r="AA53" i="1"/>
  <c r="X118" i="1"/>
  <c r="AG99" i="1"/>
  <c r="AA78" i="1"/>
  <c r="W78" i="1" s="1"/>
  <c r="AA177" i="1"/>
  <c r="AG119" i="1"/>
  <c r="X119" i="1"/>
  <c r="AG117" i="1"/>
  <c r="X117" i="1"/>
  <c r="AG106" i="1"/>
  <c r="AI106" i="1" s="1"/>
  <c r="T87" i="1"/>
  <c r="T58" i="1"/>
  <c r="U58" i="1" s="1"/>
  <c r="S58" i="1" s="1"/>
  <c r="X32" i="1"/>
  <c r="AA146" i="1"/>
  <c r="AA130" i="1"/>
  <c r="AA16" i="1"/>
  <c r="AG182" i="1"/>
  <c r="AA196" i="1"/>
  <c r="AA210" i="1"/>
  <c r="X148" i="1"/>
  <c r="T70" i="1"/>
  <c r="T34" i="1"/>
  <c r="X34" i="1"/>
  <c r="X29" i="1"/>
  <c r="AA199" i="1"/>
  <c r="AA228" i="1"/>
  <c r="U210" i="1"/>
  <c r="AA209" i="1"/>
  <c r="AA123" i="1"/>
  <c r="AA90" i="1"/>
  <c r="AA85" i="1"/>
  <c r="X82" i="1"/>
  <c r="T30" i="1"/>
  <c r="X30" i="1"/>
  <c r="AA30" i="1"/>
  <c r="T35" i="1"/>
  <c r="X35" i="1"/>
  <c r="T33" i="1"/>
  <c r="X33" i="1"/>
  <c r="AA221" i="1"/>
  <c r="AA82" i="1"/>
  <c r="W82" i="1" s="1"/>
  <c r="AA75" i="1"/>
  <c r="AA60" i="1"/>
  <c r="X36" i="1"/>
  <c r="T31" i="1"/>
  <c r="X31" i="1"/>
  <c r="X155" i="1"/>
  <c r="AG139" i="1"/>
  <c r="AI98" i="1" s="1"/>
  <c r="X132" i="1"/>
  <c r="AA116" i="1"/>
  <c r="W116" i="1" s="1"/>
  <c r="AG50" i="1"/>
  <c r="U50" i="1" s="1"/>
  <c r="S50" i="1" s="1"/>
  <c r="X50" i="1"/>
  <c r="X42" i="1"/>
  <c r="T23" i="1"/>
  <c r="X23" i="1"/>
  <c r="R34" i="3"/>
  <c r="AA200" i="1"/>
  <c r="AA186" i="1"/>
  <c r="X179" i="1"/>
  <c r="X171" i="1"/>
  <c r="X243" i="1"/>
  <c r="AG242" i="1"/>
  <c r="X240" i="1"/>
  <c r="AA235" i="1"/>
  <c r="X209" i="1"/>
  <c r="T153" i="1"/>
  <c r="AA148" i="1"/>
  <c r="W148" i="1" s="1"/>
  <c r="T148" i="1"/>
  <c r="U148" i="1" s="1"/>
  <c r="S148" i="1" s="1"/>
  <c r="AA147" i="1"/>
  <c r="AG135" i="1"/>
  <c r="U135" i="1" s="1"/>
  <c r="S135" i="1" s="1"/>
  <c r="T129" i="1"/>
  <c r="U129" i="1" s="1"/>
  <c r="S129" i="1" s="1"/>
  <c r="AA108" i="1"/>
  <c r="AG87" i="1"/>
  <c r="U87" i="1" s="1"/>
  <c r="S87" i="1" s="1"/>
  <c r="X86" i="1"/>
  <c r="AA81" i="1"/>
  <c r="X78" i="1"/>
  <c r="AA76" i="1"/>
  <c r="AA56" i="1"/>
  <c r="AG47" i="1"/>
  <c r="U47" i="1" s="1"/>
  <c r="S47" i="1" s="1"/>
  <c r="T26" i="1"/>
  <c r="X26" i="1"/>
  <c r="AG161" i="1"/>
  <c r="X161" i="1"/>
  <c r="S37" i="3"/>
  <c r="T204" i="1"/>
  <c r="U204" i="1" s="1"/>
  <c r="S204" i="1" s="1"/>
  <c r="T192" i="1"/>
  <c r="U192" i="1" s="1"/>
  <c r="S192" i="1" s="1"/>
  <c r="AA185" i="1"/>
  <c r="W185" i="1" s="1"/>
  <c r="AA180" i="1"/>
  <c r="W180" i="1" s="1"/>
  <c r="AA178" i="1"/>
  <c r="AA161" i="1"/>
  <c r="AA160" i="1"/>
  <c r="W210" i="1"/>
  <c r="T157" i="1"/>
  <c r="AA155" i="1"/>
  <c r="W155" i="1" s="1"/>
  <c r="T155" i="1"/>
  <c r="AA156" i="1"/>
  <c r="T133" i="1"/>
  <c r="U133" i="1" s="1"/>
  <c r="S133" i="1" s="1"/>
  <c r="AA132" i="1"/>
  <c r="W132" i="1" s="1"/>
  <c r="T132" i="1"/>
  <c r="AA131" i="1"/>
  <c r="T116" i="1"/>
  <c r="U116" i="1" s="1"/>
  <c r="S116" i="1" s="1"/>
  <c r="AA115" i="1"/>
  <c r="X99" i="1"/>
  <c r="AA93" i="1"/>
  <c r="X74" i="1"/>
  <c r="AA65" i="1"/>
  <c r="W65" i="1" s="1"/>
  <c r="AA61" i="1"/>
  <c r="W61" i="1" s="1"/>
  <c r="AA49" i="1"/>
  <c r="AA42" i="1"/>
  <c r="T27" i="1"/>
  <c r="X27" i="1"/>
  <c r="X24" i="1"/>
  <c r="R9" i="3"/>
  <c r="R29" i="3"/>
  <c r="S35" i="3"/>
  <c r="AG223" i="1"/>
  <c r="AI233" i="1" s="1"/>
  <c r="AA222" i="1"/>
  <c r="W222" i="1" s="1"/>
  <c r="AG196" i="1"/>
  <c r="AA172" i="1"/>
  <c r="W172" i="1" s="1"/>
  <c r="AA166" i="1"/>
  <c r="AA164" i="1"/>
  <c r="W164" i="1" s="1"/>
  <c r="AA158" i="1"/>
  <c r="AA238" i="1"/>
  <c r="U233" i="1"/>
  <c r="S233" i="1" s="1"/>
  <c r="AA233" i="1"/>
  <c r="W233" i="1" s="1"/>
  <c r="AG228" i="1"/>
  <c r="AA213" i="1"/>
  <c r="T208" i="1"/>
  <c r="U208" i="1" s="1"/>
  <c r="S208" i="1" s="1"/>
  <c r="AA207" i="1"/>
  <c r="W207" i="1" s="1"/>
  <c r="T207" i="1"/>
  <c r="U207" i="1" s="1"/>
  <c r="S207" i="1" s="1"/>
  <c r="AA206" i="1"/>
  <c r="U153" i="1"/>
  <c r="S153" i="1" s="1"/>
  <c r="X152" i="1"/>
  <c r="AA150" i="1"/>
  <c r="T145" i="1"/>
  <c r="U145" i="1" s="1"/>
  <c r="S145" i="1" s="1"/>
  <c r="AA144" i="1"/>
  <c r="W144" i="1" s="1"/>
  <c r="T144" i="1"/>
  <c r="U144" i="1" s="1"/>
  <c r="S144" i="1" s="1"/>
  <c r="AA143" i="1"/>
  <c r="AA135" i="1"/>
  <c r="X128" i="1"/>
  <c r="AA126" i="1"/>
  <c r="AA121" i="1"/>
  <c r="AG110" i="1"/>
  <c r="AA98" i="1"/>
  <c r="W98" i="1" s="1"/>
  <c r="X91" i="1"/>
  <c r="AA91" i="1"/>
  <c r="AA89" i="1"/>
  <c r="X79" i="1"/>
  <c r="AA79" i="1"/>
  <c r="AA77" i="1"/>
  <c r="W77" i="1" s="1"/>
  <c r="T74" i="1"/>
  <c r="AA72" i="1"/>
  <c r="AA69" i="1"/>
  <c r="W69" i="1" s="1"/>
  <c r="X62" i="1"/>
  <c r="AG59" i="1"/>
  <c r="U59" i="1" s="1"/>
  <c r="S59" i="1" s="1"/>
  <c r="AG54" i="1"/>
  <c r="U54" i="1" s="1"/>
  <c r="S54" i="1" s="1"/>
  <c r="X54" i="1"/>
  <c r="AA45" i="1"/>
  <c r="AG43" i="1"/>
  <c r="X43" i="1"/>
  <c r="AG39" i="1"/>
  <c r="U39" i="1" s="1"/>
  <c r="X39" i="1"/>
  <c r="AA37" i="1"/>
  <c r="AG21" i="1"/>
  <c r="U21" i="1" s="1"/>
  <c r="S21" i="1" s="1"/>
  <c r="X21" i="1"/>
  <c r="T125" i="1"/>
  <c r="X47" i="1"/>
  <c r="S48" i="3"/>
  <c r="U157" i="1"/>
  <c r="S157" i="1" s="1"/>
  <c r="T149" i="1"/>
  <c r="U149" i="1" s="1"/>
  <c r="S149" i="1" s="1"/>
  <c r="S39" i="3"/>
  <c r="AG219" i="1"/>
  <c r="AA218" i="1"/>
  <c r="W218" i="1" s="1"/>
  <c r="AA191" i="1"/>
  <c r="AA170" i="1"/>
  <c r="AG166" i="1"/>
  <c r="AI166" i="1" s="1"/>
  <c r="AG158" i="1"/>
  <c r="U158" i="1" s="1"/>
  <c r="S158" i="1" s="1"/>
  <c r="AA232" i="1"/>
  <c r="AA227" i="1"/>
  <c r="AA214" i="1"/>
  <c r="X213" i="1"/>
  <c r="AA205" i="1"/>
  <c r="AA152" i="1"/>
  <c r="W152" i="1" s="1"/>
  <c r="T152" i="1"/>
  <c r="U152" i="1" s="1"/>
  <c r="S152" i="1" s="1"/>
  <c r="AA151" i="1"/>
  <c r="X144" i="1"/>
  <c r="AA137" i="1"/>
  <c r="AA128" i="1"/>
  <c r="W128" i="1" s="1"/>
  <c r="T128" i="1"/>
  <c r="AA127" i="1"/>
  <c r="AA112" i="1"/>
  <c r="AA102" i="1"/>
  <c r="W102" i="1" s="1"/>
  <c r="AA97" i="1"/>
  <c r="AA88" i="1"/>
  <c r="AI57" i="1"/>
  <c r="AG74" i="1"/>
  <c r="AA71" i="1"/>
  <c r="AA46" i="1"/>
  <c r="AA38" i="1"/>
  <c r="W38" i="1" s="1"/>
  <c r="AG34" i="1"/>
  <c r="AI34" i="1" s="1"/>
  <c r="AA21" i="1"/>
  <c r="Y28" i="3"/>
  <c r="AE40" i="3"/>
  <c r="AD38" i="3"/>
  <c r="AD32" i="3"/>
  <c r="Y7" i="3"/>
  <c r="T25" i="3"/>
  <c r="Y63" i="3"/>
  <c r="AD52" i="3"/>
  <c r="Y35" i="3"/>
  <c r="Y34" i="3"/>
  <c r="Y32" i="3"/>
  <c r="Y26" i="3"/>
  <c r="AD61" i="3"/>
  <c r="AE61" i="3"/>
  <c r="Y45" i="3"/>
  <c r="T53" i="3"/>
  <c r="Y61" i="3"/>
  <c r="T56" i="3"/>
  <c r="Y14" i="3"/>
  <c r="Y55" i="3"/>
  <c r="W160" i="1"/>
  <c r="AG66" i="1"/>
  <c r="U66" i="1" s="1"/>
  <c r="S66" i="1" s="1"/>
  <c r="X66" i="1"/>
  <c r="AI168" i="1"/>
  <c r="AA34" i="1"/>
  <c r="AG27" i="1"/>
  <c r="AA219" i="1"/>
  <c r="AA201" i="1"/>
  <c r="W201" i="1" s="1"/>
  <c r="T201" i="1"/>
  <c r="U201" i="1" s="1"/>
  <c r="S201" i="1" s="1"/>
  <c r="AA198" i="1"/>
  <c r="AA194" i="1"/>
  <c r="AA184" i="1"/>
  <c r="W184" i="1" s="1"/>
  <c r="AG183" i="1"/>
  <c r="AI124" i="1" s="1"/>
  <c r="X183" i="1"/>
  <c r="T179" i="1"/>
  <c r="AG178" i="1"/>
  <c r="AG175" i="1"/>
  <c r="AI120" i="1" s="1"/>
  <c r="AA174" i="1"/>
  <c r="T171" i="1"/>
  <c r="AG170" i="1"/>
  <c r="U170" i="1" s="1"/>
  <c r="S170" i="1" s="1"/>
  <c r="AA246" i="1"/>
  <c r="AA243" i="1"/>
  <c r="T243" i="1"/>
  <c r="AA167" i="1"/>
  <c r="T160" i="1"/>
  <c r="U160" i="1" s="1"/>
  <c r="S160" i="1" s="1"/>
  <c r="AA159" i="1"/>
  <c r="AG234" i="1"/>
  <c r="U234" i="1" s="1"/>
  <c r="AG229" i="1"/>
  <c r="X229" i="1"/>
  <c r="AG226" i="1"/>
  <c r="U226" i="1" s="1"/>
  <c r="S226" i="1" s="1"/>
  <c r="AG215" i="1"/>
  <c r="AI144" i="1" s="1"/>
  <c r="X215" i="1"/>
  <c r="AA141" i="1"/>
  <c r="AA120" i="1"/>
  <c r="W120" i="1" s="1"/>
  <c r="T120" i="1"/>
  <c r="U120" i="1" s="1"/>
  <c r="S120" i="1" s="1"/>
  <c r="AA119" i="1"/>
  <c r="AG114" i="1"/>
  <c r="U114" i="1" s="1"/>
  <c r="S114" i="1" s="1"/>
  <c r="AG112" i="1"/>
  <c r="AA111" i="1"/>
  <c r="AG108" i="1"/>
  <c r="AA107" i="1"/>
  <c r="AA103" i="1"/>
  <c r="AA96" i="1"/>
  <c r="X95" i="1"/>
  <c r="X94" i="1"/>
  <c r="AA86" i="1"/>
  <c r="W86" i="1" s="1"/>
  <c r="AA83" i="1"/>
  <c r="AA73" i="1"/>
  <c r="W73" i="1" s="1"/>
  <c r="AA64" i="1"/>
  <c r="AA58" i="1"/>
  <c r="W58" i="1" s="1"/>
  <c r="AA33" i="1"/>
  <c r="AA20" i="1"/>
  <c r="AA19" i="1"/>
  <c r="AG17" i="1"/>
  <c r="U17" i="1" s="1"/>
  <c r="S17" i="1" s="1"/>
  <c r="X17" i="1"/>
  <c r="X175" i="1"/>
  <c r="X246" i="1"/>
  <c r="X225" i="1"/>
  <c r="T102" i="1"/>
  <c r="U102" i="1" s="1"/>
  <c r="S102" i="1" s="1"/>
  <c r="AG53" i="1"/>
  <c r="AI164" i="1" s="1"/>
  <c r="AG51" i="1"/>
  <c r="U51" i="1" s="1"/>
  <c r="S51" i="1" s="1"/>
  <c r="AA26" i="1"/>
  <c r="AI149" i="1"/>
  <c r="AA202" i="1"/>
  <c r="X201" i="1"/>
  <c r="U196" i="1"/>
  <c r="AA190" i="1"/>
  <c r="AG186" i="1"/>
  <c r="X186" i="1"/>
  <c r="AA183" i="1"/>
  <c r="W183" i="1" s="1"/>
  <c r="AA181" i="1"/>
  <c r="AG179" i="1"/>
  <c r="AA175" i="1"/>
  <c r="AA173" i="1"/>
  <c r="AG171" i="1"/>
  <c r="U171" i="1" s="1"/>
  <c r="S171" i="1" s="1"/>
  <c r="AA169" i="1"/>
  <c r="AG243" i="1"/>
  <c r="AA242" i="1"/>
  <c r="AA234" i="1"/>
  <c r="W234" i="1" s="1"/>
  <c r="AA241" i="1"/>
  <c r="W241" i="1" s="1"/>
  <c r="AA229" i="1"/>
  <c r="AA226" i="1"/>
  <c r="AA224" i="1"/>
  <c r="AA215" i="1"/>
  <c r="AA212" i="1"/>
  <c r="AA139" i="1"/>
  <c r="W139" i="1" s="1"/>
  <c r="AG123" i="1"/>
  <c r="U123" i="1" s="1"/>
  <c r="S123" i="1" s="1"/>
  <c r="X120" i="1"/>
  <c r="AA117" i="1"/>
  <c r="AA99" i="1"/>
  <c r="W99" i="1" s="1"/>
  <c r="T95" i="1"/>
  <c r="AA94" i="1"/>
  <c r="AI50" i="1"/>
  <c r="AG28" i="1"/>
  <c r="AI218" i="1" s="1"/>
  <c r="X28" i="1"/>
  <c r="AA22" i="1"/>
  <c r="X20" i="1"/>
  <c r="AA18" i="1"/>
  <c r="AG16" i="1"/>
  <c r="T202" i="1"/>
  <c r="AG202" i="1"/>
  <c r="X220" i="1"/>
  <c r="T220" i="1"/>
  <c r="AG221" i="1"/>
  <c r="T221" i="1"/>
  <c r="AA220" i="1"/>
  <c r="AA204" i="1"/>
  <c r="W204" i="1" s="1"/>
  <c r="AG200" i="1"/>
  <c r="AG198" i="1"/>
  <c r="U198" i="1" s="1"/>
  <c r="AA197" i="1"/>
  <c r="W197" i="1" s="1"/>
  <c r="AG194" i="1"/>
  <c r="U194" i="1" s="1"/>
  <c r="S194" i="1" s="1"/>
  <c r="AA193" i="1"/>
  <c r="W193" i="1" s="1"/>
  <c r="AA189" i="1"/>
  <c r="AA188" i="1"/>
  <c r="X185" i="1"/>
  <c r="X182" i="1"/>
  <c r="X178" i="1"/>
  <c r="T174" i="1"/>
  <c r="AG247" i="1"/>
  <c r="AI241" i="1" s="1"/>
  <c r="X247" i="1"/>
  <c r="AG244" i="1"/>
  <c r="U244" i="1" s="1"/>
  <c r="S244" i="1" s="1"/>
  <c r="AG165" i="1"/>
  <c r="U165" i="1" s="1"/>
  <c r="S165" i="1" s="1"/>
  <c r="X165" i="1"/>
  <c r="T164" i="1"/>
  <c r="U164" i="1" s="1"/>
  <c r="S164" i="1" s="1"/>
  <c r="AA163" i="1"/>
  <c r="AA162" i="1"/>
  <c r="AA240" i="1"/>
  <c r="T240" i="1"/>
  <c r="AG238" i="1"/>
  <c r="U238" i="1" s="1"/>
  <c r="S238" i="1" s="1"/>
  <c r="AG236" i="1"/>
  <c r="U236" i="1" s="1"/>
  <c r="S236" i="1" s="1"/>
  <c r="AG239" i="1"/>
  <c r="AI152" i="1" s="1"/>
  <c r="X239" i="1"/>
  <c r="T241" i="1"/>
  <c r="U241" i="1" s="1"/>
  <c r="S241" i="1" s="1"/>
  <c r="AA231" i="1"/>
  <c r="AA230" i="1"/>
  <c r="AA225" i="1"/>
  <c r="T225" i="1"/>
  <c r="AG224" i="1"/>
  <c r="U224" i="1" s="1"/>
  <c r="S224" i="1" s="1"/>
  <c r="AG216" i="1"/>
  <c r="U216" i="1" s="1"/>
  <c r="AG212" i="1"/>
  <c r="U212" i="1" s="1"/>
  <c r="S212" i="1" s="1"/>
  <c r="X211" i="1"/>
  <c r="AA208" i="1"/>
  <c r="W208" i="1" s="1"/>
  <c r="AG206" i="1"/>
  <c r="W206" i="1" s="1"/>
  <c r="AA153" i="1"/>
  <c r="W153" i="1" s="1"/>
  <c r="AG151" i="1"/>
  <c r="AI186" i="1" s="1"/>
  <c r="AA145" i="1"/>
  <c r="W145" i="1" s="1"/>
  <c r="AG143" i="1"/>
  <c r="AI100" i="1" s="1"/>
  <c r="W57" i="1"/>
  <c r="T246" i="1"/>
  <c r="AA142" i="1"/>
  <c r="T141" i="1"/>
  <c r="U141" i="1" s="1"/>
  <c r="S141" i="1" s="1"/>
  <c r="AA140" i="1"/>
  <c r="W140" i="1" s="1"/>
  <c r="T140" i="1"/>
  <c r="U140" i="1" s="1"/>
  <c r="S140" i="1" s="1"/>
  <c r="AG137" i="1"/>
  <c r="U137" i="1" s="1"/>
  <c r="S137" i="1" s="1"/>
  <c r="X136" i="1"/>
  <c r="AA134" i="1"/>
  <c r="T131" i="1"/>
  <c r="AG131" i="1"/>
  <c r="AI131" i="1" s="1"/>
  <c r="T127" i="1"/>
  <c r="AG127" i="1"/>
  <c r="U186" i="1"/>
  <c r="S186" i="1" s="1"/>
  <c r="AA223" i="1"/>
  <c r="T222" i="1"/>
  <c r="U222" i="1" s="1"/>
  <c r="S222" i="1" s="1"/>
  <c r="AA203" i="1"/>
  <c r="AA195" i="1"/>
  <c r="AA192" i="1"/>
  <c r="W192" i="1" s="1"/>
  <c r="AG190" i="1"/>
  <c r="X189" i="1"/>
  <c r="T185" i="1"/>
  <c r="U185" i="1" s="1"/>
  <c r="S185" i="1" s="1"/>
  <c r="AG174" i="1"/>
  <c r="AA247" i="1"/>
  <c r="AG246" i="1"/>
  <c r="AA245" i="1"/>
  <c r="AA244" i="1"/>
  <c r="AA165" i="1"/>
  <c r="AG162" i="1"/>
  <c r="U162" i="1" s="1"/>
  <c r="S162" i="1" s="1"/>
  <c r="AG240" i="1"/>
  <c r="AI236" i="1" s="1"/>
  <c r="AA237" i="1"/>
  <c r="AA236" i="1"/>
  <c r="AA239" i="1"/>
  <c r="AG230" i="1"/>
  <c r="U230" i="1" s="1"/>
  <c r="S230" i="1" s="1"/>
  <c r="AG225" i="1"/>
  <c r="AA217" i="1"/>
  <c r="AA216" i="1"/>
  <c r="AA211" i="1"/>
  <c r="AA157" i="1"/>
  <c r="W157" i="1" s="1"/>
  <c r="AG156" i="1"/>
  <c r="AA149" i="1"/>
  <c r="AG147" i="1"/>
  <c r="AI109" i="1" s="1"/>
  <c r="AI82" i="1"/>
  <c r="X203" i="1"/>
  <c r="T193" i="1"/>
  <c r="U193" i="1" s="1"/>
  <c r="S193" i="1" s="1"/>
  <c r="X191" i="1"/>
  <c r="W229" i="1"/>
  <c r="S210" i="1"/>
  <c r="X140" i="1"/>
  <c r="AA138" i="1"/>
  <c r="AA136" i="1"/>
  <c r="W136" i="1" s="1"/>
  <c r="T136" i="1"/>
  <c r="U136" i="1" s="1"/>
  <c r="S136" i="1" s="1"/>
  <c r="AA129" i="1"/>
  <c r="W129" i="1" s="1"/>
  <c r="AA124" i="1"/>
  <c r="W124" i="1" s="1"/>
  <c r="T124" i="1"/>
  <c r="U124" i="1" s="1"/>
  <c r="S124" i="1" s="1"/>
  <c r="AG121" i="1"/>
  <c r="U121" i="1" s="1"/>
  <c r="S121" i="1" s="1"/>
  <c r="T119" i="1"/>
  <c r="AA118" i="1"/>
  <c r="T117" i="1"/>
  <c r="AA114" i="1"/>
  <c r="W114" i="1" s="1"/>
  <c r="X113" i="1"/>
  <c r="AA109" i="1"/>
  <c r="T109" i="1"/>
  <c r="U109" i="1" s="1"/>
  <c r="S109" i="1" s="1"/>
  <c r="AA106" i="1"/>
  <c r="X105" i="1"/>
  <c r="AG103" i="1"/>
  <c r="U103" i="1" s="1"/>
  <c r="S103" i="1" s="1"/>
  <c r="X103" i="1"/>
  <c r="AA100" i="1"/>
  <c r="W100" i="1" s="1"/>
  <c r="X98" i="1"/>
  <c r="AA95" i="1"/>
  <c r="T94" i="1"/>
  <c r="U94" i="1" s="1"/>
  <c r="S94" i="1" s="1"/>
  <c r="AG83" i="1"/>
  <c r="U83" i="1" s="1"/>
  <c r="X83" i="1"/>
  <c r="T82" i="1"/>
  <c r="U82" i="1" s="1"/>
  <c r="S82" i="1" s="1"/>
  <c r="T78" i="1"/>
  <c r="U78" i="1" s="1"/>
  <c r="S78" i="1" s="1"/>
  <c r="X77" i="1"/>
  <c r="AG71" i="1"/>
  <c r="U71" i="1" s="1"/>
  <c r="AG70" i="1"/>
  <c r="T69" i="1"/>
  <c r="U69" i="1" s="1"/>
  <c r="S69" i="1" s="1"/>
  <c r="AG63" i="1"/>
  <c r="T61" i="1"/>
  <c r="U61" i="1" s="1"/>
  <c r="S61" i="1" s="1"/>
  <c r="AG55" i="1"/>
  <c r="U55" i="1" s="1"/>
  <c r="S55" i="1" s="1"/>
  <c r="AA52" i="1"/>
  <c r="AA50" i="1"/>
  <c r="AA48" i="1"/>
  <c r="W48" i="1" s="1"/>
  <c r="AG46" i="1"/>
  <c r="AI46" i="1" s="1"/>
  <c r="AA44" i="1"/>
  <c r="AG42" i="1"/>
  <c r="X38" i="1"/>
  <c r="AG35" i="1"/>
  <c r="AG31" i="1"/>
  <c r="U31" i="1" s="1"/>
  <c r="S31" i="1" s="1"/>
  <c r="AA25" i="1"/>
  <c r="T24" i="1"/>
  <c r="AG20" i="1"/>
  <c r="AI209" i="1" s="1"/>
  <c r="X16" i="1"/>
  <c r="AG95" i="1"/>
  <c r="AI69" i="1" s="1"/>
  <c r="AA92" i="1"/>
  <c r="X90" i="1"/>
  <c r="AA87" i="1"/>
  <c r="T86" i="1"/>
  <c r="U86" i="1" s="1"/>
  <c r="S86" i="1" s="1"/>
  <c r="AA80" i="1"/>
  <c r="T79" i="1"/>
  <c r="AA74" i="1"/>
  <c r="T73" i="1"/>
  <c r="U73" i="1" s="1"/>
  <c r="S73" i="1" s="1"/>
  <c r="AA68" i="1"/>
  <c r="AA67" i="1"/>
  <c r="AA66" i="1"/>
  <c r="AA62" i="1"/>
  <c r="T62" i="1"/>
  <c r="X58" i="1"/>
  <c r="AA54" i="1"/>
  <c r="X46" i="1"/>
  <c r="AA29" i="1"/>
  <c r="AA14" i="1"/>
  <c r="AA133" i="1"/>
  <c r="W133" i="1" s="1"/>
  <c r="AA125" i="1"/>
  <c r="W125" i="1" s="1"/>
  <c r="X124" i="1"/>
  <c r="AA122" i="1"/>
  <c r="AA113" i="1"/>
  <c r="W113" i="1" s="1"/>
  <c r="T113" i="1"/>
  <c r="U113" i="1" s="1"/>
  <c r="S113" i="1" s="1"/>
  <c r="AA110" i="1"/>
  <c r="X109" i="1"/>
  <c r="AA105" i="1"/>
  <c r="W105" i="1" s="1"/>
  <c r="T105" i="1"/>
  <c r="U105" i="1" s="1"/>
  <c r="S105" i="1" s="1"/>
  <c r="AA101" i="1"/>
  <c r="W101" i="1" s="1"/>
  <c r="T98" i="1"/>
  <c r="U98" i="1" s="1"/>
  <c r="S98" i="1" s="1"/>
  <c r="T91" i="1"/>
  <c r="AA84" i="1"/>
  <c r="T77" i="1"/>
  <c r="U77" i="1" s="1"/>
  <c r="S77" i="1" s="1"/>
  <c r="T65" i="1"/>
  <c r="U65" i="1" s="1"/>
  <c r="S65" i="1" s="1"/>
  <c r="T57" i="1"/>
  <c r="U57" i="1" s="1"/>
  <c r="S57" i="1" s="1"/>
  <c r="T38" i="1"/>
  <c r="U38" i="1" s="1"/>
  <c r="S38" i="1" s="1"/>
  <c r="AA36" i="1"/>
  <c r="AA35" i="1"/>
  <c r="AA32" i="1"/>
  <c r="AG24" i="1"/>
  <c r="AI213" i="1" s="1"/>
  <c r="AG91" i="1"/>
  <c r="T90" i="1"/>
  <c r="U90" i="1" s="1"/>
  <c r="S90" i="1" s="1"/>
  <c r="AG79" i="1"/>
  <c r="AA70" i="1"/>
  <c r="AG67" i="1"/>
  <c r="U67" i="1" s="1"/>
  <c r="S67" i="1" s="1"/>
  <c r="AG62" i="1"/>
  <c r="AI62" i="1" s="1"/>
  <c r="T173" i="1"/>
  <c r="X173" i="1"/>
  <c r="AG173" i="1"/>
  <c r="AI193" i="1" s="1"/>
  <c r="X174" i="1"/>
  <c r="AI178" i="1"/>
  <c r="X222" i="1"/>
  <c r="AG220" i="1"/>
  <c r="X221" i="1"/>
  <c r="T218" i="1"/>
  <c r="U218" i="1" s="1"/>
  <c r="S218" i="1" s="1"/>
  <c r="X197" i="1"/>
  <c r="AG191" i="1"/>
  <c r="AI222" i="1" s="1"/>
  <c r="X192" i="1"/>
  <c r="AG195" i="1"/>
  <c r="AI132" i="1" s="1"/>
  <c r="X196" i="1"/>
  <c r="X187" i="1"/>
  <c r="AG187" i="1"/>
  <c r="X218" i="1"/>
  <c r="AG199" i="1"/>
  <c r="X200" i="1"/>
  <c r="T197" i="1"/>
  <c r="U197" i="1" s="1"/>
  <c r="S197" i="1" s="1"/>
  <c r="X195" i="1"/>
  <c r="T188" i="1"/>
  <c r="X188" i="1"/>
  <c r="AG188" i="1"/>
  <c r="T176" i="1"/>
  <c r="X176" i="1"/>
  <c r="AG176" i="1"/>
  <c r="AI200" i="1"/>
  <c r="AG203" i="1"/>
  <c r="AI203" i="1" s="1"/>
  <c r="X204" i="1"/>
  <c r="X199" i="1"/>
  <c r="X193" i="1"/>
  <c r="T187" i="1"/>
  <c r="AG189" i="1"/>
  <c r="AI128" i="1" s="1"/>
  <c r="AA187" i="1"/>
  <c r="T184" i="1"/>
  <c r="U184" i="1" s="1"/>
  <c r="S184" i="1" s="1"/>
  <c r="X184" i="1"/>
  <c r="AA176" i="1"/>
  <c r="T172" i="1"/>
  <c r="U172" i="1" s="1"/>
  <c r="S172" i="1" s="1"/>
  <c r="X172" i="1"/>
  <c r="AA171" i="1"/>
  <c r="T169" i="1"/>
  <c r="X169" i="1"/>
  <c r="AG169" i="1"/>
  <c r="W169" i="1" s="1"/>
  <c r="T214" i="1"/>
  <c r="X214" i="1"/>
  <c r="AG214" i="1"/>
  <c r="X104" i="1"/>
  <c r="AG104" i="1"/>
  <c r="AI104" i="1" s="1"/>
  <c r="T104" i="1"/>
  <c r="AI77" i="1"/>
  <c r="U106" i="1"/>
  <c r="S106" i="1" s="1"/>
  <c r="X223" i="1"/>
  <c r="X219" i="1"/>
  <c r="X202" i="1"/>
  <c r="X198" i="1"/>
  <c r="X194" i="1"/>
  <c r="X190" i="1"/>
  <c r="T180" i="1"/>
  <c r="U180" i="1" s="1"/>
  <c r="S180" i="1" s="1"/>
  <c r="X180" i="1"/>
  <c r="AA179" i="1"/>
  <c r="T177" i="1"/>
  <c r="X177" i="1"/>
  <c r="AG177" i="1"/>
  <c r="AI230" i="1" s="1"/>
  <c r="AI140" i="1"/>
  <c r="X170" i="1"/>
  <c r="AA168" i="1"/>
  <c r="W168" i="1" s="1"/>
  <c r="T167" i="1"/>
  <c r="X167" i="1"/>
  <c r="AG167" i="1"/>
  <c r="X242" i="1"/>
  <c r="T163" i="1"/>
  <c r="X163" i="1"/>
  <c r="AG163" i="1"/>
  <c r="AI190" i="1" s="1"/>
  <c r="X164" i="1"/>
  <c r="T159" i="1"/>
  <c r="X159" i="1"/>
  <c r="AG159" i="1"/>
  <c r="AI117" i="1" s="1"/>
  <c r="X160" i="1"/>
  <c r="T237" i="1"/>
  <c r="X237" i="1"/>
  <c r="AG237" i="1"/>
  <c r="AI157" i="1" s="1"/>
  <c r="X238" i="1"/>
  <c r="T232" i="1"/>
  <c r="X232" i="1"/>
  <c r="AG232" i="1"/>
  <c r="W232" i="1" s="1"/>
  <c r="X233" i="1"/>
  <c r="T231" i="1"/>
  <c r="X231" i="1"/>
  <c r="AG231" i="1"/>
  <c r="X241" i="1"/>
  <c r="T227" i="1"/>
  <c r="X227" i="1"/>
  <c r="AG227" i="1"/>
  <c r="AI151" i="1" s="1"/>
  <c r="X228" i="1"/>
  <c r="T217" i="1"/>
  <c r="X217" i="1"/>
  <c r="AG217" i="1"/>
  <c r="X224" i="1"/>
  <c r="T181" i="1"/>
  <c r="X181" i="1"/>
  <c r="AG181" i="1"/>
  <c r="T168" i="1"/>
  <c r="U168" i="1" s="1"/>
  <c r="S168" i="1" s="1"/>
  <c r="X168" i="1"/>
  <c r="T245" i="1"/>
  <c r="X245" i="1"/>
  <c r="AG245" i="1"/>
  <c r="AI201" i="1"/>
  <c r="AI198" i="1"/>
  <c r="AI195" i="1"/>
  <c r="U110" i="1"/>
  <c r="S110" i="1" s="1"/>
  <c r="U243" i="1"/>
  <c r="S243" i="1" s="1"/>
  <c r="U125" i="1"/>
  <c r="S125" i="1" s="1"/>
  <c r="X116" i="1"/>
  <c r="T115" i="1"/>
  <c r="X115" i="1"/>
  <c r="AG115" i="1"/>
  <c r="T111" i="1"/>
  <c r="X111" i="1"/>
  <c r="AG111" i="1"/>
  <c r="W110" i="1"/>
  <c r="AI74" i="1"/>
  <c r="T107" i="1"/>
  <c r="X107" i="1"/>
  <c r="AG107" i="1"/>
  <c r="AI70" i="1"/>
  <c r="T18" i="1"/>
  <c r="X18" i="1"/>
  <c r="AG18" i="1"/>
  <c r="W18" i="1" s="1"/>
  <c r="X244" i="1"/>
  <c r="X166" i="1"/>
  <c r="X162" i="1"/>
  <c r="AI208" i="1"/>
  <c r="X158" i="1"/>
  <c r="X236" i="1"/>
  <c r="X234" i="1"/>
  <c r="AI129" i="1"/>
  <c r="X230" i="1"/>
  <c r="AI127" i="1"/>
  <c r="X226" i="1"/>
  <c r="AI125" i="1"/>
  <c r="X216" i="1"/>
  <c r="AG211" i="1"/>
  <c r="AI211" i="1" s="1"/>
  <c r="X212" i="1"/>
  <c r="W209" i="1"/>
  <c r="T209" i="1"/>
  <c r="U209" i="1" s="1"/>
  <c r="S209" i="1" s="1"/>
  <c r="T205" i="1"/>
  <c r="X205" i="1"/>
  <c r="AG205" i="1"/>
  <c r="U155" i="1"/>
  <c r="AI115" i="1"/>
  <c r="T154" i="1"/>
  <c r="X154" i="1"/>
  <c r="AG154" i="1"/>
  <c r="W154" i="1" s="1"/>
  <c r="T150" i="1"/>
  <c r="X150" i="1"/>
  <c r="AG150" i="1"/>
  <c r="W149" i="1"/>
  <c r="AI185" i="1"/>
  <c r="T146" i="1"/>
  <c r="X146" i="1"/>
  <c r="AG146" i="1"/>
  <c r="AI184" i="1"/>
  <c r="T142" i="1"/>
  <c r="X142" i="1"/>
  <c r="AG142" i="1"/>
  <c r="AI142" i="1" s="1"/>
  <c r="W141" i="1"/>
  <c r="AI105" i="1"/>
  <c r="T138" i="1"/>
  <c r="X138" i="1"/>
  <c r="AG138" i="1"/>
  <c r="AI101" i="1"/>
  <c r="T134" i="1"/>
  <c r="X134" i="1"/>
  <c r="AG134" i="1"/>
  <c r="U132" i="1"/>
  <c r="S132" i="1" s="1"/>
  <c r="T130" i="1"/>
  <c r="X130" i="1"/>
  <c r="AG130" i="1"/>
  <c r="AI130" i="1" s="1"/>
  <c r="U128" i="1"/>
  <c r="S128" i="1" s="1"/>
  <c r="T126" i="1"/>
  <c r="X126" i="1"/>
  <c r="AG126" i="1"/>
  <c r="AI180" i="1"/>
  <c r="T122" i="1"/>
  <c r="X122" i="1"/>
  <c r="AG122" i="1"/>
  <c r="AI175" i="1"/>
  <c r="AI58" i="1"/>
  <c r="W213" i="1"/>
  <c r="T213" i="1"/>
  <c r="U213" i="1" s="1"/>
  <c r="S213" i="1" s="1"/>
  <c r="AI119" i="1"/>
  <c r="AI188" i="1"/>
  <c r="AI113" i="1"/>
  <c r="AI107" i="1"/>
  <c r="AI221" i="1"/>
  <c r="AI99" i="1"/>
  <c r="AI90" i="1"/>
  <c r="AI86" i="1"/>
  <c r="T118" i="1"/>
  <c r="AG118" i="1"/>
  <c r="W109" i="1"/>
  <c r="X208" i="1"/>
  <c r="X157" i="1"/>
  <c r="X153" i="1"/>
  <c r="X149" i="1"/>
  <c r="X145" i="1"/>
  <c r="X141" i="1"/>
  <c r="X137" i="1"/>
  <c r="X133" i="1"/>
  <c r="X129" i="1"/>
  <c r="X125" i="1"/>
  <c r="X121" i="1"/>
  <c r="X114" i="1"/>
  <c r="X110" i="1"/>
  <c r="X106" i="1"/>
  <c r="AI73" i="1"/>
  <c r="T92" i="1"/>
  <c r="X92" i="1"/>
  <c r="AG92" i="1"/>
  <c r="AI92" i="1" s="1"/>
  <c r="W90" i="1"/>
  <c r="T84" i="1"/>
  <c r="X84" i="1"/>
  <c r="AG84" i="1"/>
  <c r="U74" i="1"/>
  <c r="S74" i="1" s="1"/>
  <c r="X61" i="1"/>
  <c r="T60" i="1"/>
  <c r="X60" i="1"/>
  <c r="AG60" i="1"/>
  <c r="AI60" i="1" s="1"/>
  <c r="X53" i="1"/>
  <c r="T52" i="1"/>
  <c r="X52" i="1"/>
  <c r="AG52" i="1"/>
  <c r="W52" i="1" s="1"/>
  <c r="AI172" i="1"/>
  <c r="U43" i="1"/>
  <c r="S43" i="1" s="1"/>
  <c r="X210" i="1"/>
  <c r="X206" i="1"/>
  <c r="X156" i="1"/>
  <c r="X151" i="1"/>
  <c r="X147" i="1"/>
  <c r="X143" i="1"/>
  <c r="X139" i="1"/>
  <c r="X135" i="1"/>
  <c r="X131" i="1"/>
  <c r="X127" i="1"/>
  <c r="X123" i="1"/>
  <c r="X112" i="1"/>
  <c r="X108" i="1"/>
  <c r="AA104" i="1"/>
  <c r="X102" i="1"/>
  <c r="T101" i="1"/>
  <c r="U101" i="1" s="1"/>
  <c r="S101" i="1" s="1"/>
  <c r="X101" i="1"/>
  <c r="T100" i="1"/>
  <c r="U100" i="1" s="1"/>
  <c r="S100" i="1" s="1"/>
  <c r="X100" i="1"/>
  <c r="U99" i="1"/>
  <c r="S99" i="1" s="1"/>
  <c r="T96" i="1"/>
  <c r="X96" i="1"/>
  <c r="AG96" i="1"/>
  <c r="AI96" i="1" s="1"/>
  <c r="W94" i="1"/>
  <c r="T88" i="1"/>
  <c r="X88" i="1"/>
  <c r="AG88" i="1"/>
  <c r="W88" i="1" s="1"/>
  <c r="T80" i="1"/>
  <c r="X80" i="1"/>
  <c r="AG80" i="1"/>
  <c r="W80" i="1" s="1"/>
  <c r="X65" i="1"/>
  <c r="T64" i="1"/>
  <c r="X64" i="1"/>
  <c r="AG64" i="1"/>
  <c r="X57" i="1"/>
  <c r="T56" i="1"/>
  <c r="X56" i="1"/>
  <c r="AG56" i="1"/>
  <c r="T32" i="1"/>
  <c r="AG32" i="1"/>
  <c r="AI32" i="1" s="1"/>
  <c r="U28" i="1"/>
  <c r="S28" i="1" s="1"/>
  <c r="X69" i="1"/>
  <c r="T68" i="1"/>
  <c r="X68" i="1"/>
  <c r="AG68" i="1"/>
  <c r="AI68" i="1" s="1"/>
  <c r="AG49" i="1"/>
  <c r="AI49" i="1" s="1"/>
  <c r="X49" i="1"/>
  <c r="T49" i="1"/>
  <c r="AG97" i="1"/>
  <c r="AG93" i="1"/>
  <c r="AG89" i="1"/>
  <c r="AI89" i="1" s="1"/>
  <c r="AG85" i="1"/>
  <c r="AI85" i="1" s="1"/>
  <c r="AG81" i="1"/>
  <c r="T75" i="1"/>
  <c r="X75" i="1"/>
  <c r="T72" i="1"/>
  <c r="X72" i="1"/>
  <c r="AG72" i="1"/>
  <c r="X97" i="1"/>
  <c r="X93" i="1"/>
  <c r="X89" i="1"/>
  <c r="X85" i="1"/>
  <c r="X81" i="1"/>
  <c r="T76" i="1"/>
  <c r="X76" i="1"/>
  <c r="AG76" i="1"/>
  <c r="AG75" i="1"/>
  <c r="W75" i="1" s="1"/>
  <c r="X73" i="1"/>
  <c r="S71" i="1"/>
  <c r="AA63" i="1"/>
  <c r="AA59" i="1"/>
  <c r="W59" i="1" s="1"/>
  <c r="AA55" i="1"/>
  <c r="W55" i="1" s="1"/>
  <c r="AA51" i="1"/>
  <c r="W51" i="1" s="1"/>
  <c r="X71" i="1"/>
  <c r="AI220" i="1"/>
  <c r="X67" i="1"/>
  <c r="X63" i="1"/>
  <c r="X59" i="1"/>
  <c r="AI43" i="1"/>
  <c r="X55" i="1"/>
  <c r="X51" i="1"/>
  <c r="AA47" i="1"/>
  <c r="AA39" i="1"/>
  <c r="T36" i="1"/>
  <c r="AG36" i="1"/>
  <c r="AI36" i="1" s="1"/>
  <c r="AA24" i="1"/>
  <c r="T22" i="1"/>
  <c r="X22" i="1"/>
  <c r="AG22" i="1"/>
  <c r="AI22" i="1" s="1"/>
  <c r="U20" i="1"/>
  <c r="S20" i="1" s="1"/>
  <c r="AI207" i="1"/>
  <c r="T48" i="1"/>
  <c r="U48" i="1" s="1"/>
  <c r="S48" i="1" s="1"/>
  <c r="X48" i="1"/>
  <c r="AA43" i="1"/>
  <c r="W43" i="1" s="1"/>
  <c r="T40" i="1"/>
  <c r="X40" i="1"/>
  <c r="AG40" i="1"/>
  <c r="AA28" i="1"/>
  <c r="T25" i="1"/>
  <c r="AG25" i="1"/>
  <c r="T14" i="1"/>
  <c r="AG14" i="1"/>
  <c r="T44" i="1"/>
  <c r="X44" i="1"/>
  <c r="AG44" i="1"/>
  <c r="AA31" i="1"/>
  <c r="T29" i="1"/>
  <c r="AG29" i="1"/>
  <c r="AA17" i="1"/>
  <c r="AG45" i="1"/>
  <c r="AG41" i="1"/>
  <c r="AI41" i="1" s="1"/>
  <c r="AG37" i="1"/>
  <c r="AG33" i="1"/>
  <c r="AI33" i="1" s="1"/>
  <c r="AG30" i="1"/>
  <c r="AI30" i="1" s="1"/>
  <c r="AG26" i="1"/>
  <c r="AG23" i="1"/>
  <c r="AG19" i="1"/>
  <c r="AG15" i="1"/>
  <c r="X45" i="1"/>
  <c r="X41" i="1"/>
  <c r="X37" i="1"/>
  <c r="X19" i="1"/>
  <c r="X15" i="1"/>
  <c r="T31" i="3"/>
  <c r="AD29" i="3"/>
  <c r="AE29" i="3"/>
  <c r="AD20" i="3"/>
  <c r="AE16" i="3"/>
  <c r="Y47" i="3"/>
  <c r="Y10" i="3"/>
  <c r="AC45" i="3"/>
  <c r="Y9" i="3"/>
  <c r="AD46" i="3"/>
  <c r="AD40" i="3"/>
  <c r="AE37" i="3"/>
  <c r="AD34" i="3"/>
  <c r="T43" i="3"/>
  <c r="Y52" i="3"/>
  <c r="Y16" i="3"/>
  <c r="T15" i="3"/>
  <c r="AD16" i="3"/>
  <c r="AD12" i="3"/>
  <c r="AD9" i="3"/>
  <c r="Y8" i="3"/>
  <c r="Y41" i="3"/>
  <c r="AD45" i="3"/>
  <c r="AE45" i="3"/>
  <c r="Y19" i="3"/>
  <c r="Y43" i="3"/>
  <c r="Y22" i="3"/>
  <c r="AE24" i="3"/>
  <c r="Y48" i="3"/>
  <c r="Y15" i="3"/>
  <c r="T33" i="3"/>
  <c r="Y50" i="3"/>
  <c r="AE11" i="3"/>
  <c r="Y49" i="3"/>
  <c r="AD41" i="3"/>
  <c r="AC13" i="3"/>
  <c r="AD28" i="3"/>
  <c r="AD24" i="3"/>
  <c r="AE20" i="3"/>
  <c r="AD8" i="3"/>
  <c r="Y59" i="3"/>
  <c r="Y29" i="3"/>
  <c r="Y46" i="3"/>
  <c r="AC58" i="3"/>
  <c r="T28" i="3"/>
  <c r="Y31" i="3"/>
  <c r="T40" i="3"/>
  <c r="AD49" i="3"/>
  <c r="AE49" i="3"/>
  <c r="Y37" i="3"/>
  <c r="AE44" i="3"/>
  <c r="AC35" i="3"/>
  <c r="T44" i="3"/>
  <c r="Y20" i="3"/>
  <c r="T23" i="3"/>
  <c r="AD33" i="3"/>
  <c r="AE33" i="3"/>
  <c r="Y18" i="3"/>
  <c r="AE28" i="3"/>
  <c r="AC22" i="3"/>
  <c r="T62" i="3"/>
  <c r="Y56" i="3"/>
  <c r="AE23" i="3"/>
  <c r="AD21" i="3"/>
  <c r="AE21" i="3"/>
  <c r="T11" i="3"/>
  <c r="T51" i="3"/>
  <c r="Y33" i="3"/>
  <c r="AE15" i="3"/>
  <c r="AD13" i="3"/>
  <c r="AE13" i="3"/>
  <c r="T54" i="3"/>
  <c r="Y44" i="3"/>
  <c r="Y23" i="3"/>
  <c r="Y62" i="3"/>
  <c r="Y51" i="3"/>
  <c r="Y54" i="3"/>
  <c r="T59" i="3"/>
  <c r="AE57" i="3"/>
  <c r="AE52" i="3"/>
  <c r="AC9" i="3"/>
  <c r="T36" i="3"/>
  <c r="AE41" i="3"/>
  <c r="AE36" i="3"/>
  <c r="AC30" i="3"/>
  <c r="T16" i="3"/>
  <c r="AE25" i="3"/>
  <c r="T48" i="3"/>
  <c r="AE19" i="3"/>
  <c r="AE17" i="3"/>
  <c r="T26" i="3"/>
  <c r="AE12" i="3"/>
  <c r="AE55" i="3"/>
  <c r="T8" i="3"/>
  <c r="AE47" i="3"/>
  <c r="T39" i="3"/>
  <c r="AE43" i="3"/>
  <c r="T61" i="3"/>
  <c r="AE39" i="3"/>
  <c r="T34" i="3"/>
  <c r="AE35" i="3"/>
  <c r="T19" i="3"/>
  <c r="AE31" i="3"/>
  <c r="T57" i="3"/>
  <c r="AE63" i="3"/>
  <c r="T24" i="3"/>
  <c r="AE27" i="3"/>
  <c r="T12" i="3"/>
  <c r="AD63" i="3"/>
  <c r="AE62" i="3"/>
  <c r="T47" i="3"/>
  <c r="AD59" i="3"/>
  <c r="AE58" i="3"/>
  <c r="T58" i="3"/>
  <c r="AD55" i="3"/>
  <c r="AE54" i="3"/>
  <c r="T45" i="3"/>
  <c r="AD51" i="3"/>
  <c r="AE50" i="3"/>
  <c r="T9" i="3"/>
  <c r="AD47" i="3"/>
  <c r="AE46" i="3"/>
  <c r="T38" i="3"/>
  <c r="AD43" i="3"/>
  <c r="AE42" i="3"/>
  <c r="T35" i="3"/>
  <c r="AD39" i="3"/>
  <c r="AE38" i="3"/>
  <c r="T13" i="3"/>
  <c r="AD35" i="3"/>
  <c r="AE34" i="3"/>
  <c r="T30" i="3"/>
  <c r="AD31" i="3"/>
  <c r="AE30" i="3"/>
  <c r="T52" i="3"/>
  <c r="AD27" i="3"/>
  <c r="AE26" i="3"/>
  <c r="T22" i="3"/>
  <c r="AD23" i="3"/>
  <c r="AE22" i="3"/>
  <c r="T14" i="3"/>
  <c r="AD19" i="3"/>
  <c r="AE18" i="3"/>
  <c r="T7" i="3"/>
  <c r="AD15" i="3"/>
  <c r="AE14" i="3"/>
  <c r="T42" i="3"/>
  <c r="AD11" i="3"/>
  <c r="AE10" i="3"/>
  <c r="T49" i="3"/>
  <c r="AC63" i="3"/>
  <c r="AE59" i="3"/>
  <c r="T10" i="3"/>
  <c r="AE51" i="3"/>
  <c r="T21" i="3"/>
  <c r="AD22" i="3"/>
  <c r="AD18" i="3"/>
  <c r="AD14" i="3"/>
  <c r="AD10" i="3"/>
  <c r="AE9" i="3"/>
  <c r="AE8" i="3"/>
  <c r="S60" i="3"/>
  <c r="M60" i="3"/>
  <c r="R60" i="3"/>
  <c r="U60" i="3"/>
  <c r="V60" i="3"/>
  <c r="W60" i="3"/>
  <c r="X60" i="3"/>
  <c r="W24" i="1" l="1"/>
  <c r="AI21" i="1"/>
  <c r="W182" i="1"/>
  <c r="AI189" i="1"/>
  <c r="W31" i="1"/>
  <c r="W146" i="1"/>
  <c r="U70" i="1"/>
  <c r="S70" i="1" s="1"/>
  <c r="AI18" i="1"/>
  <c r="W122" i="1"/>
  <c r="U206" i="1"/>
  <c r="S206" i="1" s="1"/>
  <c r="W111" i="1"/>
  <c r="U239" i="1"/>
  <c r="S239" i="1" s="1"/>
  <c r="W171" i="1"/>
  <c r="AI147" i="1"/>
  <c r="AI206" i="1"/>
  <c r="AI171" i="1"/>
  <c r="W46" i="1"/>
  <c r="W106" i="1"/>
  <c r="W190" i="1"/>
  <c r="W200" i="1"/>
  <c r="W119" i="1"/>
  <c r="W178" i="1"/>
  <c r="W228" i="1"/>
  <c r="W196" i="1"/>
  <c r="AI123" i="1"/>
  <c r="W44" i="1"/>
  <c r="U247" i="1"/>
  <c r="S247" i="1" s="1"/>
  <c r="U119" i="1"/>
  <c r="S119" i="1" s="1"/>
  <c r="W216" i="1"/>
  <c r="W239" i="1"/>
  <c r="AI240" i="1"/>
  <c r="AI42" i="1"/>
  <c r="W45" i="1"/>
  <c r="W56" i="1"/>
  <c r="AI95" i="1"/>
  <c r="AI83" i="1"/>
  <c r="W91" i="1"/>
  <c r="AI75" i="1"/>
  <c r="AI121" i="1"/>
  <c r="W115" i="1"/>
  <c r="AI80" i="1"/>
  <c r="AI143" i="1"/>
  <c r="W70" i="1"/>
  <c r="U182" i="1"/>
  <c r="S182" i="1" s="1"/>
  <c r="AI24" i="1"/>
  <c r="W247" i="1"/>
  <c r="AI88" i="1"/>
  <c r="AI66" i="1"/>
  <c r="AI91" i="1"/>
  <c r="AI231" i="1"/>
  <c r="U179" i="1"/>
  <c r="S179" i="1" s="1"/>
  <c r="W194" i="1"/>
  <c r="AI81" i="1"/>
  <c r="AI27" i="1"/>
  <c r="AI138" i="1"/>
  <c r="AI167" i="1"/>
  <c r="U228" i="1"/>
  <c r="S228" i="1" s="1"/>
  <c r="AI181" i="1"/>
  <c r="AI45" i="1"/>
  <c r="AI146" i="1"/>
  <c r="AI216" i="1"/>
  <c r="AI237" i="1"/>
  <c r="AI156" i="1"/>
  <c r="AI40" i="1"/>
  <c r="W161" i="1"/>
  <c r="W17" i="1"/>
  <c r="AI227" i="1"/>
  <c r="U161" i="1"/>
  <c r="S161" i="1" s="1"/>
  <c r="AI196" i="1"/>
  <c r="AI63" i="1"/>
  <c r="AI134" i="1"/>
  <c r="AI244" i="1"/>
  <c r="AI122" i="1"/>
  <c r="AI150" i="1"/>
  <c r="AI243" i="1"/>
  <c r="AI44" i="1"/>
  <c r="W50" i="1"/>
  <c r="W72" i="1"/>
  <c r="W49" i="1"/>
  <c r="W87" i="1"/>
  <c r="U117" i="1"/>
  <c r="S117" i="1" s="1"/>
  <c r="W117" i="1"/>
  <c r="AI112" i="1"/>
  <c r="W103" i="1"/>
  <c r="W198" i="1"/>
  <c r="U242" i="1"/>
  <c r="S242" i="1" s="1"/>
  <c r="W21" i="1"/>
  <c r="W138" i="1"/>
  <c r="U225" i="1"/>
  <c r="S225" i="1" s="1"/>
  <c r="W60" i="1"/>
  <c r="W28" i="1"/>
  <c r="AI163" i="1"/>
  <c r="AI51" i="1"/>
  <c r="U235" i="1"/>
  <c r="S235" i="1" s="1"/>
  <c r="W235" i="1"/>
  <c r="W135" i="1"/>
  <c r="AI108" i="1"/>
  <c r="U127" i="1"/>
  <c r="S127" i="1" s="1"/>
  <c r="S234" i="1"/>
  <c r="U215" i="1"/>
  <c r="S215" i="1" s="1"/>
  <c r="U219" i="1"/>
  <c r="S219" i="1" s="1"/>
  <c r="U95" i="1"/>
  <c r="S95" i="1" s="1"/>
  <c r="W186" i="1"/>
  <c r="W104" i="1"/>
  <c r="U143" i="1"/>
  <c r="S143" i="1" s="1"/>
  <c r="AI137" i="1"/>
  <c r="S216" i="1"/>
  <c r="W121" i="1"/>
  <c r="W220" i="1"/>
  <c r="AI179" i="1"/>
  <c r="W179" i="1"/>
  <c r="U223" i="1"/>
  <c r="S223" i="1" s="1"/>
  <c r="U16" i="1"/>
  <c r="S16" i="1" s="1"/>
  <c r="U53" i="1"/>
  <c r="S53" i="1" s="1"/>
  <c r="W107" i="1"/>
  <c r="AI94" i="1"/>
  <c r="W191" i="1"/>
  <c r="W32" i="1"/>
  <c r="U35" i="1"/>
  <c r="S35" i="1" s="1"/>
  <c r="W226" i="1"/>
  <c r="W242" i="1"/>
  <c r="W25" i="1"/>
  <c r="U151" i="1"/>
  <c r="S151" i="1" s="1"/>
  <c r="W189" i="1"/>
  <c r="W35" i="1"/>
  <c r="W174" i="1"/>
  <c r="W223" i="1"/>
  <c r="W221" i="1"/>
  <c r="W166" i="1"/>
  <c r="W79" i="1"/>
  <c r="W95" i="1"/>
  <c r="W142" i="1"/>
  <c r="U139" i="1"/>
  <c r="S139" i="1" s="1"/>
  <c r="AI191" i="1"/>
  <c r="U240" i="1"/>
  <c r="S240" i="1" s="1"/>
  <c r="W188" i="1"/>
  <c r="U79" i="1"/>
  <c r="S79" i="1" s="1"/>
  <c r="W236" i="1"/>
  <c r="W165" i="1"/>
  <c r="W219" i="1"/>
  <c r="W112" i="1"/>
  <c r="AI162" i="1"/>
  <c r="U147" i="1"/>
  <c r="S147" i="1" s="1"/>
  <c r="AI226" i="1"/>
  <c r="W47" i="1"/>
  <c r="W97" i="1"/>
  <c r="W64" i="1"/>
  <c r="AI54" i="1"/>
  <c r="W126" i="1"/>
  <c r="W214" i="1"/>
  <c r="AI153" i="1"/>
  <c r="U24" i="1"/>
  <c r="S24" i="1" s="1"/>
  <c r="W54" i="1"/>
  <c r="W244" i="1"/>
  <c r="U166" i="1"/>
  <c r="S166" i="1" s="1"/>
  <c r="U183" i="1"/>
  <c r="S183" i="1" s="1"/>
  <c r="W66" i="1"/>
  <c r="U131" i="1"/>
  <c r="S131" i="1" s="1"/>
  <c r="W175" i="1"/>
  <c r="W108" i="1"/>
  <c r="W74" i="1"/>
  <c r="S83" i="1"/>
  <c r="AI53" i="1"/>
  <c r="U156" i="1"/>
  <c r="S156" i="1" s="1"/>
  <c r="U229" i="1"/>
  <c r="S229" i="1" s="1"/>
  <c r="W27" i="1"/>
  <c r="AI160" i="1"/>
  <c r="U34" i="1"/>
  <c r="S34" i="1" s="1"/>
  <c r="W39" i="1"/>
  <c r="S39" i="1"/>
  <c r="U63" i="1"/>
  <c r="S63" i="1" s="1"/>
  <c r="W217" i="1"/>
  <c r="W173" i="1"/>
  <c r="U62" i="1"/>
  <c r="S62" i="1" s="1"/>
  <c r="U178" i="1"/>
  <c r="S178" i="1" s="1"/>
  <c r="S196" i="1"/>
  <c r="W215" i="1"/>
  <c r="W34" i="1"/>
  <c r="W63" i="1"/>
  <c r="AI197" i="1"/>
  <c r="AI135" i="1"/>
  <c r="AI212" i="1"/>
  <c r="U27" i="1"/>
  <c r="S27" i="1" s="1"/>
  <c r="W158" i="1"/>
  <c r="AE60" i="3"/>
  <c r="AI192" i="1"/>
  <c r="W176" i="1"/>
  <c r="W202" i="1"/>
  <c r="U112" i="1"/>
  <c r="S112" i="1" s="1"/>
  <c r="AI76" i="1"/>
  <c r="W243" i="1"/>
  <c r="U175" i="1"/>
  <c r="S175" i="1" s="1"/>
  <c r="W16" i="1"/>
  <c r="W62" i="1"/>
  <c r="W20" i="1"/>
  <c r="W225" i="1"/>
  <c r="W53" i="1"/>
  <c r="W123" i="1"/>
  <c r="U108" i="1"/>
  <c r="S108" i="1" s="1"/>
  <c r="AI79" i="1"/>
  <c r="AI232" i="1"/>
  <c r="W83" i="1"/>
  <c r="W170" i="1"/>
  <c r="U42" i="1"/>
  <c r="S42" i="1" s="1"/>
  <c r="AI31" i="1"/>
  <c r="W230" i="1"/>
  <c r="W240" i="1"/>
  <c r="AI247" i="1"/>
  <c r="W212" i="1"/>
  <c r="W147" i="1"/>
  <c r="W187" i="1"/>
  <c r="W203" i="1"/>
  <c r="AI139" i="1"/>
  <c r="U91" i="1"/>
  <c r="S91" i="1" s="1"/>
  <c r="W42" i="1"/>
  <c r="U174" i="1"/>
  <c r="S174" i="1" s="1"/>
  <c r="W127" i="1"/>
  <c r="W162" i="1"/>
  <c r="W224" i="1"/>
  <c r="W151" i="1"/>
  <c r="W238" i="1"/>
  <c r="W211" i="1"/>
  <c r="AI202" i="1"/>
  <c r="AI217" i="1"/>
  <c r="W67" i="1"/>
  <c r="U46" i="1"/>
  <c r="S46" i="1" s="1"/>
  <c r="AI35" i="1"/>
  <c r="W131" i="1"/>
  <c r="S198" i="1"/>
  <c r="W156" i="1"/>
  <c r="W71" i="1"/>
  <c r="U246" i="1"/>
  <c r="S246" i="1" s="1"/>
  <c r="U190" i="1"/>
  <c r="S190" i="1" s="1"/>
  <c r="W137" i="1"/>
  <c r="U200" i="1"/>
  <c r="S200" i="1" s="1"/>
  <c r="AI239" i="1"/>
  <c r="U221" i="1"/>
  <c r="S221" i="1" s="1"/>
  <c r="W246" i="1"/>
  <c r="W143" i="1"/>
  <c r="U202" i="1"/>
  <c r="S202" i="1" s="1"/>
  <c r="U26" i="1"/>
  <c r="S26" i="1" s="1"/>
  <c r="AI16" i="1"/>
  <c r="U41" i="1"/>
  <c r="S41" i="1" s="1"/>
  <c r="AI26" i="1"/>
  <c r="U76" i="1"/>
  <c r="S76" i="1" s="1"/>
  <c r="AI55" i="1"/>
  <c r="W76" i="1"/>
  <c r="W26" i="1"/>
  <c r="U15" i="1"/>
  <c r="S15" i="1" s="1"/>
  <c r="AI205" i="1"/>
  <c r="U30" i="1"/>
  <c r="S30" i="1" s="1"/>
  <c r="AI158" i="1"/>
  <c r="U45" i="1"/>
  <c r="S45" i="1" s="1"/>
  <c r="AI28" i="1"/>
  <c r="AI161" i="1"/>
  <c r="U44" i="1"/>
  <c r="S44" i="1" s="1"/>
  <c r="W30" i="1"/>
  <c r="U89" i="1"/>
  <c r="S89" i="1" s="1"/>
  <c r="AI173" i="1"/>
  <c r="AI169" i="1"/>
  <c r="U68" i="1"/>
  <c r="S68" i="1" s="1"/>
  <c r="AI64" i="1"/>
  <c r="U96" i="1"/>
  <c r="S96" i="1" s="1"/>
  <c r="W96" i="1"/>
  <c r="AI39" i="1"/>
  <c r="U52" i="1"/>
  <c r="S52" i="1" s="1"/>
  <c r="AI38" i="1"/>
  <c r="U60" i="1"/>
  <c r="S60" i="1" s="1"/>
  <c r="W68" i="1"/>
  <c r="AI61" i="1"/>
  <c r="U84" i="1"/>
  <c r="S84" i="1" s="1"/>
  <c r="AI182" i="1"/>
  <c r="U134" i="1"/>
  <c r="S134" i="1" s="1"/>
  <c r="AI177" i="1"/>
  <c r="U111" i="1"/>
  <c r="S111" i="1" s="1"/>
  <c r="U177" i="1"/>
  <c r="S177" i="1" s="1"/>
  <c r="AI204" i="1"/>
  <c r="U169" i="1"/>
  <c r="S169" i="1" s="1"/>
  <c r="AI141" i="1"/>
  <c r="U189" i="1"/>
  <c r="S189" i="1" s="1"/>
  <c r="AI148" i="1"/>
  <c r="AI145" i="1"/>
  <c r="U176" i="1"/>
  <c r="S176" i="1" s="1"/>
  <c r="AI245" i="1"/>
  <c r="U187" i="1"/>
  <c r="S187" i="1" s="1"/>
  <c r="U191" i="1"/>
  <c r="S191" i="1" s="1"/>
  <c r="AI234" i="1"/>
  <c r="U19" i="1"/>
  <c r="S19" i="1" s="1"/>
  <c r="AI15" i="1"/>
  <c r="W19" i="1"/>
  <c r="U33" i="1"/>
  <c r="S33" i="1" s="1"/>
  <c r="AI20" i="1"/>
  <c r="W33" i="1"/>
  <c r="AI23" i="1"/>
  <c r="U29" i="1"/>
  <c r="S29" i="1" s="1"/>
  <c r="AI225" i="1"/>
  <c r="U14" i="1"/>
  <c r="S14" i="1" s="1"/>
  <c r="AI219" i="1"/>
  <c r="U40" i="1"/>
  <c r="S40" i="1" s="1"/>
  <c r="W14" i="1"/>
  <c r="AI14" i="1"/>
  <c r="U22" i="1"/>
  <c r="S22" i="1" s="1"/>
  <c r="AI29" i="1"/>
  <c r="U36" i="1"/>
  <c r="S36" i="1" s="1"/>
  <c r="W40" i="1"/>
  <c r="W15" i="1"/>
  <c r="W36" i="1"/>
  <c r="U72" i="1"/>
  <c r="S72" i="1" s="1"/>
  <c r="AI170" i="1"/>
  <c r="U93" i="1"/>
  <c r="S93" i="1" s="1"/>
  <c r="AI174" i="1"/>
  <c r="U49" i="1"/>
  <c r="S49" i="1" s="1"/>
  <c r="AI37" i="1"/>
  <c r="AI25" i="1"/>
  <c r="U32" i="1"/>
  <c r="S32" i="1" s="1"/>
  <c r="AI165" i="1"/>
  <c r="U56" i="1"/>
  <c r="S56" i="1" s="1"/>
  <c r="AI47" i="1"/>
  <c r="U64" i="1"/>
  <c r="S64" i="1" s="1"/>
  <c r="AI67" i="1"/>
  <c r="U92" i="1"/>
  <c r="S92" i="1" s="1"/>
  <c r="W84" i="1"/>
  <c r="AI97" i="1"/>
  <c r="U130" i="1"/>
  <c r="S130" i="1" s="1"/>
  <c r="W89" i="1"/>
  <c r="AI72" i="1"/>
  <c r="U107" i="1"/>
  <c r="S107" i="1" s="1"/>
  <c r="U181" i="1"/>
  <c r="S181" i="1" s="1"/>
  <c r="AI223" i="1"/>
  <c r="W181" i="1"/>
  <c r="U217" i="1"/>
  <c r="S217" i="1" s="1"/>
  <c r="AI118" i="1"/>
  <c r="U227" i="1"/>
  <c r="S227" i="1" s="1"/>
  <c r="AI228" i="1"/>
  <c r="U231" i="1"/>
  <c r="S231" i="1" s="1"/>
  <c r="AI194" i="1"/>
  <c r="U232" i="1"/>
  <c r="S232" i="1" s="1"/>
  <c r="AI229" i="1"/>
  <c r="U237" i="1"/>
  <c r="S237" i="1" s="1"/>
  <c r="AI126" i="1"/>
  <c r="U159" i="1"/>
  <c r="S159" i="1" s="1"/>
  <c r="AI133" i="1"/>
  <c r="U163" i="1"/>
  <c r="S163" i="1" s="1"/>
  <c r="AI199" i="1"/>
  <c r="U167" i="1"/>
  <c r="S167" i="1" s="1"/>
  <c r="AI210" i="1"/>
  <c r="AI116" i="1"/>
  <c r="U214" i="1"/>
  <c r="S214" i="1" s="1"/>
  <c r="W130" i="1"/>
  <c r="W159" i="1"/>
  <c r="U199" i="1"/>
  <c r="S199" i="1" s="1"/>
  <c r="AI154" i="1"/>
  <c r="W231" i="1"/>
  <c r="U220" i="1"/>
  <c r="S220" i="1" s="1"/>
  <c r="AI238" i="1"/>
  <c r="U173" i="1"/>
  <c r="S173" i="1" s="1"/>
  <c r="AI242" i="1"/>
  <c r="U23" i="1"/>
  <c r="S23" i="1" s="1"/>
  <c r="AI17" i="1"/>
  <c r="W23" i="1"/>
  <c r="U37" i="1"/>
  <c r="S37" i="1" s="1"/>
  <c r="AI159" i="1"/>
  <c r="W37" i="1"/>
  <c r="AI19" i="1"/>
  <c r="U25" i="1"/>
  <c r="S25" i="1" s="1"/>
  <c r="W29" i="1"/>
  <c r="AI48" i="1"/>
  <c r="U75" i="1"/>
  <c r="S75" i="1" s="1"/>
  <c r="W22" i="1"/>
  <c r="W41" i="1"/>
  <c r="U81" i="1"/>
  <c r="S81" i="1" s="1"/>
  <c r="AI59" i="1"/>
  <c r="U97" i="1"/>
  <c r="S97" i="1" s="1"/>
  <c r="AI71" i="1"/>
  <c r="AI52" i="1"/>
  <c r="U80" i="1"/>
  <c r="S80" i="1" s="1"/>
  <c r="AI93" i="1"/>
  <c r="U126" i="1"/>
  <c r="S126" i="1" s="1"/>
  <c r="U211" i="1"/>
  <c r="S211" i="1" s="1"/>
  <c r="AI114" i="1"/>
  <c r="AI224" i="1"/>
  <c r="U18" i="1"/>
  <c r="S18" i="1" s="1"/>
  <c r="U245" i="1"/>
  <c r="S245" i="1" s="1"/>
  <c r="AI136" i="1"/>
  <c r="W245" i="1"/>
  <c r="W134" i="1"/>
  <c r="W81" i="1"/>
  <c r="W92" i="1"/>
  <c r="AI246" i="1"/>
  <c r="U188" i="1"/>
  <c r="S188" i="1" s="1"/>
  <c r="W167" i="1"/>
  <c r="W237" i="1"/>
  <c r="W199" i="1"/>
  <c r="U85" i="1"/>
  <c r="S85" i="1" s="1"/>
  <c r="AI56" i="1"/>
  <c r="W85" i="1"/>
  <c r="AI65" i="1"/>
  <c r="U88" i="1"/>
  <c r="S88" i="1" s="1"/>
  <c r="AI87" i="1"/>
  <c r="U118" i="1"/>
  <c r="S118" i="1" s="1"/>
  <c r="W118" i="1"/>
  <c r="AI84" i="1"/>
  <c r="U122" i="1"/>
  <c r="S122" i="1" s="1"/>
  <c r="AI103" i="1"/>
  <c r="U138" i="1"/>
  <c r="S138" i="1" s="1"/>
  <c r="AI183" i="1"/>
  <c r="U142" i="1"/>
  <c r="S142" i="1" s="1"/>
  <c r="AI102" i="1"/>
  <c r="U146" i="1"/>
  <c r="S146" i="1" s="1"/>
  <c r="AI111" i="1"/>
  <c r="U150" i="1"/>
  <c r="S150" i="1" s="1"/>
  <c r="AI187" i="1"/>
  <c r="U154" i="1"/>
  <c r="S154" i="1" s="1"/>
  <c r="AI110" i="1"/>
  <c r="U205" i="1"/>
  <c r="S205" i="1" s="1"/>
  <c r="AI78" i="1"/>
  <c r="U115" i="1"/>
  <c r="S115" i="1" s="1"/>
  <c r="W150" i="1"/>
  <c r="W93" i="1"/>
  <c r="AI176" i="1"/>
  <c r="U104" i="1"/>
  <c r="S104" i="1" s="1"/>
  <c r="W205" i="1"/>
  <c r="U203" i="1"/>
  <c r="S203" i="1" s="1"/>
  <c r="AI214" i="1"/>
  <c r="W227" i="1"/>
  <c r="U195" i="1"/>
  <c r="S195" i="1" s="1"/>
  <c r="AI155" i="1"/>
  <c r="W163" i="1"/>
  <c r="W177" i="1"/>
  <c r="W195" i="1"/>
  <c r="AC60" i="3"/>
  <c r="AD60" i="3"/>
  <c r="T60" i="3"/>
  <c r="Y60" i="3"/>
  <c r="M28" i="5" l="1"/>
  <c r="M23" i="5" l="1"/>
  <c r="AN215" i="1" l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AE13" i="1"/>
  <c r="AM215" i="1"/>
  <c r="X14" i="1" l="1"/>
  <c r="X207" i="1"/>
  <c r="I7" i="10"/>
  <c r="H24" i="10"/>
  <c r="I24" i="10"/>
  <c r="K25" i="10"/>
  <c r="D26" i="10"/>
  <c r="D9" i="10"/>
  <c r="K8" i="10"/>
  <c r="AG13" i="1"/>
  <c r="X13" i="1"/>
  <c r="AA13" i="1"/>
  <c r="T13" i="1"/>
  <c r="AI215" i="1" l="1"/>
  <c r="AI13" i="1"/>
  <c r="L8" i="10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N63" i="3" s="1"/>
  <c r="G22" i="4"/>
  <c r="G23" i="4"/>
  <c r="G24" i="4"/>
  <c r="G25" i="4"/>
  <c r="N17" i="3" s="1"/>
  <c r="G26" i="4"/>
  <c r="G27" i="4"/>
  <c r="G28" i="4"/>
  <c r="G29" i="4"/>
  <c r="G30" i="4"/>
  <c r="G31" i="4"/>
  <c r="G32" i="4"/>
  <c r="G33" i="4"/>
  <c r="G34" i="4"/>
  <c r="N25" i="3" s="1"/>
  <c r="G35" i="4"/>
  <c r="G36" i="4"/>
  <c r="N49" i="3" s="1"/>
  <c r="G37" i="4"/>
  <c r="G38" i="4"/>
  <c r="G39" i="4"/>
  <c r="G40" i="4"/>
  <c r="G41" i="4"/>
  <c r="G42" i="4"/>
  <c r="G43" i="4"/>
  <c r="G44" i="4"/>
  <c r="G45" i="4"/>
  <c r="G46" i="4"/>
  <c r="N54" i="3" s="1"/>
  <c r="G47" i="4"/>
  <c r="N42" i="3" s="1"/>
  <c r="G48" i="4"/>
  <c r="G49" i="4"/>
  <c r="G50" i="4"/>
  <c r="N50" i="3" s="1"/>
  <c r="G51" i="4"/>
  <c r="G52" i="4"/>
  <c r="G53" i="4"/>
  <c r="G54" i="4"/>
  <c r="N33" i="3" s="1"/>
  <c r="G55" i="4"/>
  <c r="G56" i="4"/>
  <c r="G57" i="4"/>
  <c r="G58" i="4"/>
  <c r="N26" i="3" s="1"/>
  <c r="G59" i="4"/>
  <c r="G60" i="4"/>
  <c r="G61" i="4"/>
  <c r="G62" i="4"/>
  <c r="N51" i="3" s="1"/>
  <c r="G63" i="4"/>
  <c r="G64" i="4"/>
  <c r="G65" i="4"/>
  <c r="N11" i="3" s="1"/>
  <c r="G66" i="4"/>
  <c r="N7" i="3" s="1"/>
  <c r="G67" i="4"/>
  <c r="G68" i="4"/>
  <c r="G69" i="4"/>
  <c r="G70" i="4"/>
  <c r="G71" i="4"/>
  <c r="N15" i="3" s="1"/>
  <c r="G72" i="4"/>
  <c r="G73" i="4"/>
  <c r="G74" i="4"/>
  <c r="G75" i="4"/>
  <c r="G76" i="4"/>
  <c r="N55" i="3" s="1"/>
  <c r="G77" i="4"/>
  <c r="G78" i="4"/>
  <c r="N14" i="3" s="1"/>
  <c r="G79" i="4"/>
  <c r="G80" i="4"/>
  <c r="G81" i="4"/>
  <c r="G82" i="4"/>
  <c r="G83" i="4"/>
  <c r="G84" i="4"/>
  <c r="G85" i="4"/>
  <c r="G86" i="4"/>
  <c r="G87" i="4"/>
  <c r="G88" i="4"/>
  <c r="N62" i="3" s="1"/>
  <c r="G89" i="4"/>
  <c r="G90" i="4"/>
  <c r="G91" i="4"/>
  <c r="N16" i="3" s="1"/>
  <c r="G92" i="4"/>
  <c r="G93" i="4"/>
  <c r="G94" i="4"/>
  <c r="G95" i="4"/>
  <c r="G96" i="4"/>
  <c r="G97" i="4"/>
  <c r="G98" i="4"/>
  <c r="G99" i="4"/>
  <c r="G100" i="4"/>
  <c r="G101" i="4"/>
  <c r="N18" i="3" s="1"/>
  <c r="G102" i="4"/>
  <c r="G103" i="4"/>
  <c r="G104" i="4"/>
  <c r="N52" i="3" s="1"/>
  <c r="G105" i="4"/>
  <c r="G106" i="4"/>
  <c r="G107" i="4"/>
  <c r="G108" i="4"/>
  <c r="G109" i="4"/>
  <c r="N43" i="3" s="1"/>
  <c r="G110" i="4"/>
  <c r="N57" i="3" s="1"/>
  <c r="G111" i="4"/>
  <c r="G112" i="4"/>
  <c r="G113" i="4"/>
  <c r="N27" i="3" s="1"/>
  <c r="G114" i="4"/>
  <c r="G115" i="4"/>
  <c r="G116" i="4"/>
  <c r="N19" i="3" s="1"/>
  <c r="G117" i="4"/>
  <c r="N30" i="3" s="1"/>
  <c r="G118" i="4"/>
  <c r="N23" i="3" s="1"/>
  <c r="G119" i="4"/>
  <c r="G120" i="4"/>
  <c r="G121" i="4"/>
  <c r="G122" i="4"/>
  <c r="G123" i="4"/>
  <c r="G124" i="4"/>
  <c r="G125" i="4"/>
  <c r="N13" i="3" s="1"/>
  <c r="G126" i="4"/>
  <c r="G127" i="4"/>
  <c r="G128" i="4"/>
  <c r="G129" i="4"/>
  <c r="G130" i="4"/>
  <c r="G131" i="4"/>
  <c r="G132" i="4"/>
  <c r="N44" i="3" s="1"/>
  <c r="G133" i="4"/>
  <c r="G134" i="4"/>
  <c r="G135" i="4"/>
  <c r="G136" i="4"/>
  <c r="G137" i="4"/>
  <c r="G138" i="4"/>
  <c r="N36" i="3" s="1"/>
  <c r="G139" i="4"/>
  <c r="G140" i="4"/>
  <c r="N61" i="3" s="1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N53" i="3" s="1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8" i="3" s="1"/>
  <c r="G178" i="4"/>
  <c r="G179" i="4"/>
  <c r="G180" i="4"/>
  <c r="G181" i="4"/>
  <c r="N2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N59" i="3" s="1"/>
  <c r="G208" i="4"/>
  <c r="G209" i="4"/>
  <c r="G210" i="4"/>
  <c r="G211" i="4"/>
  <c r="G212" i="4"/>
  <c r="G213" i="4"/>
  <c r="G214" i="4"/>
  <c r="N31" i="3" s="1"/>
  <c r="G215" i="4"/>
  <c r="G216" i="4"/>
  <c r="N58" i="3" s="1"/>
  <c r="G217" i="4"/>
  <c r="G218" i="4"/>
  <c r="G219" i="4"/>
  <c r="G220" i="4"/>
  <c r="G221" i="4"/>
  <c r="G222" i="4"/>
  <c r="G223" i="4"/>
  <c r="N46" i="3" s="1"/>
  <c r="G224" i="4"/>
  <c r="G225" i="4"/>
  <c r="G226" i="4"/>
  <c r="G227" i="4"/>
  <c r="G228" i="4"/>
  <c r="G229" i="4"/>
  <c r="N47" i="3" s="1"/>
  <c r="G230" i="4"/>
  <c r="G231" i="4"/>
  <c r="G232" i="4"/>
  <c r="G233" i="4"/>
  <c r="G234" i="4"/>
  <c r="G235" i="4"/>
  <c r="G236" i="4"/>
  <c r="G237" i="4"/>
  <c r="G238" i="4"/>
  <c r="N24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8" i="3" l="1"/>
  <c r="N10" i="3"/>
  <c r="N20" i="3"/>
  <c r="N35" i="3"/>
  <c r="N34" i="3"/>
  <c r="N32" i="3"/>
  <c r="N22" i="3"/>
  <c r="N12" i="3"/>
  <c r="N40" i="3"/>
  <c r="N41" i="3"/>
  <c r="N29" i="3"/>
  <c r="N9" i="3"/>
  <c r="N45" i="3"/>
  <c r="N39" i="3"/>
  <c r="N37" i="3"/>
  <c r="N38" i="3"/>
  <c r="N48" i="3"/>
  <c r="N56" i="3"/>
  <c r="N60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215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<sst xmlns="http://schemas.openxmlformats.org/spreadsheetml/2006/main" count="3140" uniqueCount="1050">
  <si>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</si>
  <si>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</si>
  <si>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</si>
  <si>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</si>
  <si>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</si>
  <si>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</si>
  <si>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</si>
  <si>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</si>
  <si>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</si>
  <si>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</si>
  <si>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</si>
  <si>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</si>
  <si>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</si>
  <si>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</si>
  <si>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</si>
  <si>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</si>
  <si>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</si>
  <si>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</si>
  <si>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</si>
  <si>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</si>
  <si>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</si>
  <si>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</si>
  <si>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</si>
  <si>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</si>
  <si>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</si>
  <si>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</si>
  <si>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</si>
  <si>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</si>
  <si>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</si>
  <si>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</si>
  <si>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</si>
  <si>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</si>
  <si>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</si>
  <si>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</si>
  <si>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</si>
  <si>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</si>
  <si>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</si>
  <si>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</si>
  <si>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</si>
  <si>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</si>
  <si>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</si>
  <si>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</si>
  <si>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</si>
  <si>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</si>
  <si>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</si>
  <si>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</si>
  <si>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</si>
  <si>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</si>
  <si>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</si>
  <si>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</si>
  <si>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</si>
  <si>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</si>
  <si>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</si>
  <si>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</si>
  <si>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</si>
  <si>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</si>
  <si>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</si>
  <si>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</si>
  <si>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</si>
  <si>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</si>
  <si>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</si>
  <si>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</si>
  <si>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</si>
  <si>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</si>
  <si>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</si>
  <si>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</si>
  <si>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</si>
  <si>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</si>
  <si>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</si>
  <si>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</si>
  <si>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</si>
  <si>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</si>
  <si>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</si>
  <si>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</si>
  <si>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</si>
  <si>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</si>
  <si>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</si>
  <si>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</si>
  <si>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</si>
  <si>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</si>
  <si>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</si>
  <si>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</si>
  <si>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</si>
  <si>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</si>
  <si>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</si>
  <si>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</si>
  <si>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</si>
  <si>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</si>
  <si>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</si>
  <si>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</si>
  <si>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</si>
  <si>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</si>
  <si>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</si>
  <si>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</si>
  <si>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</si>
  <si>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</si>
  <si>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</si>
  <si>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</si>
  <si>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</si>
  <si>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</si>
  <si>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</si>
  <si>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</si>
  <si>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</si>
  <si>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</si>
  <si>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</si>
  <si>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</si>
  <si>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</si>
  <si>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</si>
  <si>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</si>
  <si>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</si>
  <si>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</si>
  <si>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</si>
  <si>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</si>
  <si>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</si>
  <si>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</si>
  <si>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</si>
  <si>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</si>
  <si>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</si>
  <si>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</si>
  <si>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</si>
  <si>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</si>
  <si>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</si>
  <si>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</si>
  <si>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</si>
  <si>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</si>
  <si>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</si>
  <si>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</si>
  <si>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</si>
  <si>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</si>
  <si>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</si>
  <si>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</si>
  <si>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</si>
  <si>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</si>
  <si>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</si>
  <si>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</si>
  <si>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</si>
  <si>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</si>
  <si>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</si>
  <si>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</si>
  <si>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</si>
  <si>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</si>
  <si>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</si>
  <si>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</si>
  <si>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</si>
  <si>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</si>
  <si>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</si>
  <si>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</si>
  <si>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</si>
  <si>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</si>
  <si>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</si>
  <si>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</si>
  <si>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</si>
  <si>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</si>
  <si>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</si>
  <si>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</si>
  <si>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</si>
  <si>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</si>
  <si>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</si>
  <si>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</si>
  <si>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</si>
  <si>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</si>
  <si>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</si>
  <si>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</si>
  <si>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</si>
  <si>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</si>
  <si>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</si>
  <si>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</si>
  <si>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</si>
  <si>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</si>
  <si>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</si>
  <si>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</si>
  <si>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</si>
  <si>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</si>
  <si>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</si>
  <si>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</si>
  <si>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</si>
  <si>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</si>
  <si>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</si>
  <si>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</si>
  <si>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</si>
  <si>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</si>
  <si>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</si>
  <si>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</si>
  <si>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</si>
  <si>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</si>
  <si>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</si>
  <si>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</si>
  <si>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</si>
  <si>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</si>
  <si>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</si>
  <si>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</si>
  <si>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</si>
  <si>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</si>
  <si>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</si>
  <si>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</si>
  <si>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</si>
  <si>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</si>
  <si>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</si>
  <si>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</si>
  <si>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</si>
  <si>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</si>
  <si>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</si>
  <si>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</si>
  <si>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</si>
  <si>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</si>
  <si>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</si>
  <si>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</si>
  <si>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</si>
  <si>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</si>
  <si>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</si>
  <si>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</si>
  <si>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</si>
  <si>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</si>
  <si>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</si>
  <si>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</si>
  <si>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</si>
  <si>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</si>
  <si>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</si>
  <si>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</si>
  <si>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</si>
  <si>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</si>
  <si>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</si>
  <si>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</si>
  <si>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</si>
  <si>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</si>
  <si>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</si>
  <si>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</si>
  <si>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</si>
  <si>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</si>
  <si>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</si>
  <si>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</si>
  <si>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</si>
  <si>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</si>
  <si>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</si>
  <si>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</si>
  <si>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</si>
  <si>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</si>
  <si>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</si>
  <si>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</si>
  <si>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</si>
  <si>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</si>
  <si>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</si>
  <si>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</si>
  <si>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</si>
  <si>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</si>
  <si>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</si>
  <si>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</si>
  <si>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</si>
  <si>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</si>
  <si>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</si>
  <si>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</si>
  <si>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</si>
  <si>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</si>
  <si>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</si>
  <si>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</si>
  <si>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</si>
  <si>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</si>
  <si>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</si>
  <si>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</si>
  <si>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</si>
  <si>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</si>
  <si>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</si>
  <si>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</si>
  <si>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</si>
  <si>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</si>
  <si>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</si>
  <si>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</si>
  <si>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</si>
  <si>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</si>
  <si>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</si>
  <si>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</si>
  <si>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</si>
  <si>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</si>
  <si>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</si>
  <si>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</si>
  <si>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</si>
  <si>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</si>
  <si>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</si>
  <si>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</si>
  <si>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</si>
  <si>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</si>
  <si>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</si>
  <si>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</si>
  <si>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</si>
  <si>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</si>
  <si>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</si>
  <si>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</si>
  <si>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</si>
  <si>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</si>
  <si>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</si>
  <si>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</si>
  <si>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</si>
  <si>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</si>
  <si>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</si>
  <si>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</si>
  <si>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</si>
  <si>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</si>
  <si>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</si>
  <si>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</si>
  <si>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</si>
  <si>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</si>
  <si>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</si>
  <si>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</si>
  <si>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</si>
  <si>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</si>
  <si>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</si>
  <si>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</si>
  <si>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</si>
  <si>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</si>
  <si>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</si>
  <si>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</si>
  <si>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</si>
  <si>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</si>
  <si>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</si>
  <si>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</si>
  <si>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</si>
  <si>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</si>
  <si>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</si>
  <si>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</si>
  <si>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</si>
  <si>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</si>
  <si>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</si>
  <si>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</si>
  <si>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</si>
  <si>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</si>
  <si>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</si>
  <si>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</si>
  <si>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</si>
  <si>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</si>
  <si>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</si>
  <si>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</si>
  <si>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</si>
  <si>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</si>
  <si>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</si>
  <si>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</si>
  <si>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</si>
  <si>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</si>
  <si>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</si>
  <si>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</si>
  <si>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</si>
  <si>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</si>
  <si>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</si>
  <si>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</si>
  <si>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</si>
  <si>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</si>
  <si>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</si>
  <si>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</si>
  <si>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</si>
  <si>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</si>
  <si>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</si>
  <si>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</si>
  <si>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</si>
  <si>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</si>
  <si>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</si>
  <si>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</si>
  <si>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</si>
  <si>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</si>
  <si>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</si>
  <si>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</si>
  <si>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</si>
  <si>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</si>
  <si>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</si>
  <si>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</si>
  <si>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</si>
  <si>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</si>
  <si>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</si>
  <si>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</si>
  <si>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</si>
  <si>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</si>
  <si>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</si>
  <si>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</si>
  <si>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</si>
  <si>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</si>
  <si>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</si>
  <si>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</si>
  <si>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</si>
  <si>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</si>
  <si>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</si>
  <si>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</si>
  <si>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</si>
  <si>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</si>
  <si>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</si>
  <si>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</si>
  <si>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</si>
  <si>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</si>
  <si>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</si>
  <si>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</si>
  <si>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</si>
  <si>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</si>
  <si>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</si>
  <si>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</si>
  <si>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</si>
  <si>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</si>
  <si>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</si>
  <si>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</si>
  <si>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</si>
  <si>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</si>
  <si>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</si>
  <si>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</si>
  <si>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</si>
  <si>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</si>
  <si>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</si>
  <si>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230-18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</si>
  <si>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</si>
  <si>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</si>
  <si>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</si>
  <si>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</si>
  <si>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</si>
  <si>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</si>
  <si>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</si>
  <si>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</si>
  <si>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</si>
  <si>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</si>
  <si>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</si>
  <si>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</si>
  <si>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</si>
  <si>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</si>
  <si>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</si>
  <si>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</si>
  <si>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</si>
  <si>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</si>
  <si>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</si>
  <si>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</si>
  <si>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LOCKLEAR</t>
  </si>
  <si>
    <t>TRAVIS</t>
  </si>
  <si>
    <t>CHANDLER</t>
  </si>
  <si>
    <t>KELVIN</t>
  </si>
  <si>
    <t>NEWELL</t>
  </si>
  <si>
    <t>Mostly Cloudy</t>
  </si>
  <si>
    <t>204:161</t>
  </si>
  <si>
    <t>204:464</t>
  </si>
  <si>
    <t>STORY</t>
  </si>
  <si>
    <t>SAMANTHA</t>
  </si>
  <si>
    <t>204:232977</t>
  </si>
  <si>
    <t>204:232994</t>
  </si>
  <si>
    <t>rtdc.l.rtdc.4014:itc</t>
  </si>
  <si>
    <t>rtdc.l.rtdc.4013:itc</t>
  </si>
  <si>
    <t>204:233289</t>
  </si>
  <si>
    <t>204:233301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</si>
  <si>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</si>
  <si>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</si>
  <si>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</si>
  <si>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</si>
  <si>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</si>
  <si>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</si>
  <si>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</si>
  <si>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</si>
  <si>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precipType</t>
  </si>
  <si>
    <t>rain</t>
  </si>
  <si>
    <t>204:447</t>
  </si>
  <si>
    <t>204:141</t>
  </si>
  <si>
    <t>rtdc.l.rtdc.4051:itc</t>
  </si>
  <si>
    <t>204:163</t>
  </si>
  <si>
    <t>204:134</t>
  </si>
  <si>
    <t>204:233303</t>
  </si>
  <si>
    <t>300:58941</t>
  </si>
  <si>
    <t>WCR Redmine cURL</t>
  </si>
  <si>
    <t>27f4683f8c668ceb395ce0223286e38dfe180cf8</t>
  </si>
  <si>
    <t>https://ptcsupport.wabtec.com/issues.json</t>
  </si>
  <si>
    <t>rtdc.l.rtdc.4010:itc</t>
  </si>
  <si>
    <t>Light Rain</t>
  </si>
  <si>
    <t>204:232976</t>
  </si>
  <si>
    <t>204:233304</t>
  </si>
  <si>
    <t>204:462</t>
  </si>
  <si>
    <t>204:232973</t>
  </si>
  <si>
    <t>204:232961</t>
  </si>
  <si>
    <t>Cancelled due to signaling system failure</t>
  </si>
  <si>
    <t>JOHN</t>
  </si>
  <si>
    <t>SULLIVAN</t>
  </si>
  <si>
    <t>BRANDON</t>
  </si>
  <si>
    <t>204:232993</t>
  </si>
  <si>
    <t>204:232978</t>
  </si>
  <si>
    <t>204:440</t>
  </si>
  <si>
    <t>204:232979</t>
  </si>
  <si>
    <t>204:232992</t>
  </si>
  <si>
    <t>204:232989</t>
  </si>
  <si>
    <t>204:233308</t>
  </si>
  <si>
    <t>300:23346</t>
  </si>
  <si>
    <t>300:58939</t>
  </si>
  <si>
    <t>204:761</t>
  </si>
  <si>
    <t>rtdc.l.rtdc.4052:itc</t>
  </si>
  <si>
    <t>YORK</t>
  </si>
  <si>
    <t>EDGAR</t>
  </si>
  <si>
    <t>LALONDE</t>
  </si>
  <si>
    <t>GREGORY</t>
  </si>
  <si>
    <t>204:232986</t>
  </si>
  <si>
    <t>204:233302</t>
  </si>
  <si>
    <t>204:233310</t>
  </si>
  <si>
    <t>204:233315</t>
  </si>
  <si>
    <t>204:446</t>
  </si>
  <si>
    <t>204:233025</t>
  </si>
  <si>
    <t>204:233000</t>
  </si>
  <si>
    <t>300:58960</t>
  </si>
  <si>
    <t>300:58623</t>
  </si>
  <si>
    <t>rtdc.l.rtdc.4009:itc</t>
  </si>
  <si>
    <t>rtdc.l.rtdc.4001:itc</t>
  </si>
  <si>
    <t>rtdc.l.rtdc.4045:itc</t>
  </si>
  <si>
    <t>ROBINSON</t>
  </si>
  <si>
    <t>KADDIBA</t>
  </si>
  <si>
    <t>rtdc.l.rtdc.4002:itc</t>
  </si>
  <si>
    <t>SHOOK</t>
  </si>
  <si>
    <t>BRANDNER</t>
  </si>
  <si>
    <t>MELINDA</t>
  </si>
  <si>
    <t>partly-cloudy-night</t>
  </si>
  <si>
    <t>204:232974</t>
  </si>
  <si>
    <t>204:752</t>
  </si>
  <si>
    <t>204:233291</t>
  </si>
  <si>
    <t>204:233002</t>
  </si>
  <si>
    <t>204:471</t>
  </si>
  <si>
    <t>204:232988</t>
  </si>
  <si>
    <t>204:233282</t>
  </si>
  <si>
    <t>204:233297</t>
  </si>
  <si>
    <t>204:145</t>
  </si>
  <si>
    <t>204:466</t>
  </si>
  <si>
    <t>204:233284</t>
  </si>
  <si>
    <t>204:482</t>
  </si>
  <si>
    <t>204:160</t>
  </si>
  <si>
    <t>204:233280</t>
  </si>
  <si>
    <t>204:232998</t>
  </si>
  <si>
    <t>204:170</t>
  </si>
  <si>
    <t>204:442</t>
  </si>
  <si>
    <t>300:58950</t>
  </si>
  <si>
    <t>rtdc.l.rtdc.4054:itc</t>
  </si>
  <si>
    <t>rtdc.l.rtdc.4017:itc</t>
  </si>
  <si>
    <t>rtdc.l.rtdc.4018:itc</t>
  </si>
  <si>
    <t>SANTIZO</t>
  </si>
  <si>
    <t>D. EDY</t>
  </si>
  <si>
    <t>MAELZER</t>
  </si>
  <si>
    <t>KURT</t>
  </si>
  <si>
    <t>DAVIS</t>
  </si>
  <si>
    <t>WENDY</t>
  </si>
  <si>
    <t>STEWART</t>
  </si>
  <si>
    <t>LEVIN</t>
  </si>
  <si>
    <t>SCOTT</t>
  </si>
  <si>
    <t>DUNCAN</t>
  </si>
  <si>
    <t>SHEILA</t>
  </si>
  <si>
    <t>YANG</t>
  </si>
  <si>
    <t>JAN</t>
  </si>
  <si>
    <t>309-02</t>
  </si>
  <si>
    <t>244-02</t>
  </si>
  <si>
    <t>311-02</t>
  </si>
  <si>
    <t>313-02</t>
  </si>
  <si>
    <t>51-03</t>
  </si>
  <si>
    <t>204:233305</t>
  </si>
  <si>
    <t>204:233325</t>
  </si>
  <si>
    <t>204:130</t>
  </si>
  <si>
    <t>204:458</t>
  </si>
  <si>
    <t>204:233360</t>
  </si>
  <si>
    <t>204:233013</t>
  </si>
  <si>
    <t>204:233346</t>
  </si>
  <si>
    <t>204:232985</t>
  </si>
  <si>
    <t>300:58935</t>
  </si>
  <si>
    <t>300:58617</t>
  </si>
  <si>
    <t>300:58619</t>
  </si>
  <si>
    <t>300:58928</t>
  </si>
  <si>
    <t>300:58946</t>
  </si>
  <si>
    <t>300:58926</t>
  </si>
  <si>
    <t>300:58933</t>
  </si>
  <si>
    <t>204:232991</t>
  </si>
  <si>
    <t>204:233015</t>
  </si>
  <si>
    <t>204:233306</t>
  </si>
  <si>
    <t>204:233298</t>
  </si>
  <si>
    <t>204:232983</t>
  </si>
  <si>
    <t>204:233287</t>
  </si>
  <si>
    <t>204:233372</t>
  </si>
  <si>
    <t>300:23306</t>
  </si>
  <si>
    <t>204:125</t>
  </si>
  <si>
    <t>300:23302</t>
  </si>
  <si>
    <t>204:1158</t>
  </si>
  <si>
    <t>204:107249</t>
  </si>
  <si>
    <t>308-03</t>
  </si>
  <si>
    <t>901-03</t>
  </si>
  <si>
    <t>rtdc.l.rtdc.4041:itc</t>
  </si>
  <si>
    <t>106-03</t>
  </si>
  <si>
    <t>802-03</t>
  </si>
  <si>
    <t>119-03</t>
  </si>
  <si>
    <t>805-03</t>
  </si>
  <si>
    <t>806-03</t>
  </si>
  <si>
    <t>rtdc.l.rtdc.4004:itc</t>
  </si>
  <si>
    <t>127-03</t>
  </si>
  <si>
    <t>133-03</t>
  </si>
  <si>
    <t>126-03</t>
  </si>
  <si>
    <t>810-03</t>
  </si>
  <si>
    <t>139-03</t>
  </si>
  <si>
    <t>132-03</t>
  </si>
  <si>
    <t>136-03</t>
  </si>
  <si>
    <t>rtdc.l.rtdc.4006:itc</t>
  </si>
  <si>
    <t>813-03</t>
  </si>
  <si>
    <t>147-03</t>
  </si>
  <si>
    <t>815-03</t>
  </si>
  <si>
    <t>52-03</t>
  </si>
  <si>
    <t>157-03</t>
  </si>
  <si>
    <t>150-03</t>
  </si>
  <si>
    <t>rtdc.l.rtdc.4003:itc</t>
  </si>
  <si>
    <t>156-03</t>
  </si>
  <si>
    <t>rtdc.l.rtdc.4005:itc</t>
  </si>
  <si>
    <t>818-03</t>
  </si>
  <si>
    <t>819-03</t>
  </si>
  <si>
    <t>169-03</t>
  </si>
  <si>
    <t>rtdc.l.rtdc.4007:itc</t>
  </si>
  <si>
    <t>166-03</t>
  </si>
  <si>
    <t>175-03</t>
  </si>
  <si>
    <t>SIGNAL</t>
  </si>
  <si>
    <t>Signal based authority (5)</t>
  </si>
  <si>
    <t>168-03</t>
  </si>
  <si>
    <t>170-03</t>
  </si>
  <si>
    <t>176-03</t>
  </si>
  <si>
    <t>181-03</t>
  </si>
  <si>
    <t>180-03</t>
  </si>
  <si>
    <t>187-03</t>
  </si>
  <si>
    <t>904-03</t>
  </si>
  <si>
    <t>186-03</t>
  </si>
  <si>
    <t>190-03</t>
  </si>
  <si>
    <t>832-03</t>
  </si>
  <si>
    <t>211-03</t>
  </si>
  <si>
    <t>215-03</t>
  </si>
  <si>
    <t>204-03</t>
  </si>
  <si>
    <t>208-03</t>
  </si>
  <si>
    <t>226-03</t>
  </si>
  <si>
    <t>228-03</t>
  </si>
  <si>
    <t>845-03</t>
  </si>
  <si>
    <t>80-03</t>
  </si>
  <si>
    <t>233-03</t>
  </si>
  <si>
    <t>235-03</t>
  </si>
  <si>
    <t>236-03</t>
  </si>
  <si>
    <t>Y</t>
  </si>
  <si>
    <t>302-03</t>
  </si>
  <si>
    <t>101-03</t>
  </si>
  <si>
    <t>304-03</t>
  </si>
  <si>
    <t>50-03</t>
  </si>
  <si>
    <t>103-03</t>
  </si>
  <si>
    <t>306-03</t>
  </si>
  <si>
    <t>STARKS</t>
  </si>
  <si>
    <t>ANGELINA</t>
  </si>
  <si>
    <t>102-03</t>
  </si>
  <si>
    <t>FORTUNATO</t>
  </si>
  <si>
    <t>FRANK</t>
  </si>
  <si>
    <t>105-03</t>
  </si>
  <si>
    <t>310-03</t>
  </si>
  <si>
    <t>107-03</t>
  </si>
  <si>
    <t>104-03</t>
  </si>
  <si>
    <t>rtdc.l.rtdc.4008:itc</t>
  </si>
  <si>
    <t>109-03</t>
  </si>
  <si>
    <t>111-03</t>
  </si>
  <si>
    <t>113-03</t>
  </si>
  <si>
    <t>800-03</t>
  </si>
  <si>
    <t>108-03</t>
  </si>
  <si>
    <t>115-03</t>
  </si>
  <si>
    <t>110-03</t>
  </si>
  <si>
    <t>117-03</t>
  </si>
  <si>
    <t>112-03</t>
  </si>
  <si>
    <t>801-03</t>
  </si>
  <si>
    <t>114-03</t>
  </si>
  <si>
    <t>902-03</t>
  </si>
  <si>
    <t>MENGES</t>
  </si>
  <si>
    <t>BRAD</t>
  </si>
  <si>
    <t>116-03</t>
  </si>
  <si>
    <t>121-03</t>
  </si>
  <si>
    <t>803-03</t>
  </si>
  <si>
    <t>123-03</t>
  </si>
  <si>
    <t>118-03</t>
  </si>
  <si>
    <t>804-03</t>
  </si>
  <si>
    <t>125-03</t>
  </si>
  <si>
    <t>120-03</t>
  </si>
  <si>
    <t>122-03</t>
  </si>
  <si>
    <t>129-03</t>
  </si>
  <si>
    <t>124-03</t>
  </si>
  <si>
    <t>807-03</t>
  </si>
  <si>
    <t>131-03</t>
  </si>
  <si>
    <t>808-03</t>
  </si>
  <si>
    <t>128-03</t>
  </si>
  <si>
    <t>809-03</t>
  </si>
  <si>
    <t>135-03</t>
  </si>
  <si>
    <t>130-03</t>
  </si>
  <si>
    <t>137-03</t>
  </si>
  <si>
    <t>811-03</t>
  </si>
  <si>
    <t>903-03</t>
  </si>
  <si>
    <t>812-03</t>
  </si>
  <si>
    <t>134-03</t>
  </si>
  <si>
    <t>141-03</t>
  </si>
  <si>
    <t>138-03</t>
  </si>
  <si>
    <t>143-03</t>
  </si>
  <si>
    <t>140-03</t>
  </si>
  <si>
    <t>145-03</t>
  </si>
  <si>
    <t>142-03</t>
  </si>
  <si>
    <t>814-03</t>
  </si>
  <si>
    <t>149-03</t>
  </si>
  <si>
    <t>144-03</t>
  </si>
  <si>
    <t>151-03</t>
  </si>
  <si>
    <t>146-03</t>
  </si>
  <si>
    <t>153-03</t>
  </si>
  <si>
    <t>MOSES</t>
  </si>
  <si>
    <t>BRADLEY</t>
  </si>
  <si>
    <t>148-03</t>
  </si>
  <si>
    <t>155-03</t>
  </si>
  <si>
    <t>816-03</t>
  </si>
  <si>
    <t>152-03</t>
  </si>
  <si>
    <t>154-03</t>
  </si>
  <si>
    <t>159-03</t>
  </si>
  <si>
    <t>CLAIBORNE</t>
  </si>
  <si>
    <t>MIKE</t>
  </si>
  <si>
    <t>53-03</t>
  </si>
  <si>
    <t>161-03</t>
  </si>
  <si>
    <t>817-03</t>
  </si>
  <si>
    <t>163-03</t>
  </si>
  <si>
    <t>CLARK</t>
  </si>
  <si>
    <t>KATHLEEN</t>
  </si>
  <si>
    <t>158-03</t>
  </si>
  <si>
    <t>165-03</t>
  </si>
  <si>
    <t>WILLIAMS</t>
  </si>
  <si>
    <t>DONTE</t>
  </si>
  <si>
    <t>160-03</t>
  </si>
  <si>
    <t>167-03</t>
  </si>
  <si>
    <t>162-03</t>
  </si>
  <si>
    <t>164-03</t>
  </si>
  <si>
    <t>171-03</t>
  </si>
  <si>
    <t>820-03</t>
  </si>
  <si>
    <t>173-03</t>
  </si>
  <si>
    <t>177-03</t>
  </si>
  <si>
    <t>821-03</t>
  </si>
  <si>
    <t>172-03</t>
  </si>
  <si>
    <t>179-03</t>
  </si>
  <si>
    <t>822-03</t>
  </si>
  <si>
    <t>174-03</t>
  </si>
  <si>
    <t>183-03</t>
  </si>
  <si>
    <t>178-03</t>
  </si>
  <si>
    <t>185-03</t>
  </si>
  <si>
    <t>823-03</t>
  </si>
  <si>
    <t>182-03</t>
  </si>
  <si>
    <t>824-03</t>
  </si>
  <si>
    <t>189-03</t>
  </si>
  <si>
    <t>184-03</t>
  </si>
  <si>
    <t>191-03</t>
  </si>
  <si>
    <t>193-03</t>
  </si>
  <si>
    <t>825-03</t>
  </si>
  <si>
    <t>188-03</t>
  </si>
  <si>
    <t>826-03</t>
  </si>
  <si>
    <t>195-03</t>
  </si>
  <si>
    <t>197-03</t>
  </si>
  <si>
    <t>827-03</t>
  </si>
  <si>
    <t>192-03</t>
  </si>
  <si>
    <t>199-03</t>
  </si>
  <si>
    <t>194-03</t>
  </si>
  <si>
    <t>828-03</t>
  </si>
  <si>
    <t>201-03</t>
  </si>
  <si>
    <t>829-03</t>
  </si>
  <si>
    <t>196-03</t>
  </si>
  <si>
    <t>831-03</t>
  </si>
  <si>
    <t>203-03</t>
  </si>
  <si>
    <t>198-03</t>
  </si>
  <si>
    <t>830-03</t>
  </si>
  <si>
    <t>205-03</t>
  </si>
  <si>
    <t>200-03</t>
  </si>
  <si>
    <t>207-03</t>
  </si>
  <si>
    <t>202-03</t>
  </si>
  <si>
    <t>209-03</t>
  </si>
  <si>
    <t>833-03</t>
  </si>
  <si>
    <t>834-03</t>
  </si>
  <si>
    <t>206-03</t>
  </si>
  <si>
    <t>rtdc.l.rtdc.4042:itc</t>
  </si>
  <si>
    <t>65-03</t>
  </si>
  <si>
    <t>835-03</t>
  </si>
  <si>
    <t>213-03</t>
  </si>
  <si>
    <t>54-03</t>
  </si>
  <si>
    <t>GUZMAN</t>
  </si>
  <si>
    <t>DANNY</t>
  </si>
  <si>
    <t>56-03</t>
  </si>
  <si>
    <t>MAGEE</t>
  </si>
  <si>
    <t>KENYA</t>
  </si>
  <si>
    <t>836-03</t>
  </si>
  <si>
    <t>210-03</t>
  </si>
  <si>
    <t>217-03</t>
  </si>
  <si>
    <t>837-03</t>
  </si>
  <si>
    <t>55-03</t>
  </si>
  <si>
    <t>212-03</t>
  </si>
  <si>
    <t>214-03</t>
  </si>
  <si>
    <t>839-03</t>
  </si>
  <si>
    <t>219-03</t>
  </si>
  <si>
    <t>838-03</t>
  </si>
  <si>
    <t>303-03</t>
  </si>
  <si>
    <t>216-03</t>
  </si>
  <si>
    <t>221-03</t>
  </si>
  <si>
    <t>218-03</t>
  </si>
  <si>
    <t>906-03</t>
  </si>
  <si>
    <t>305-03</t>
  </si>
  <si>
    <t>841-03</t>
  </si>
  <si>
    <t>220-03</t>
  </si>
  <si>
    <t>223-03</t>
  </si>
  <si>
    <t>DAVIDSON</t>
  </si>
  <si>
    <t>DAVID</t>
  </si>
  <si>
    <t>840-03</t>
  </si>
  <si>
    <t>307-03</t>
  </si>
  <si>
    <t>222-03</t>
  </si>
  <si>
    <t>225-03</t>
  </si>
  <si>
    <t>224-03</t>
  </si>
  <si>
    <t>843-03</t>
  </si>
  <si>
    <t>227-03</t>
  </si>
  <si>
    <t>81-03</t>
  </si>
  <si>
    <t>842-03</t>
  </si>
  <si>
    <t>229-03</t>
  </si>
  <si>
    <t>231-03</t>
  </si>
  <si>
    <t>844-03</t>
  </si>
  <si>
    <t>230-03</t>
  </si>
  <si>
    <t>847-03</t>
  </si>
  <si>
    <t>232-03</t>
  </si>
  <si>
    <t>908-03</t>
  </si>
  <si>
    <t>234-03</t>
  </si>
  <si>
    <t>237-03</t>
  </si>
  <si>
    <t>239-03</t>
  </si>
  <si>
    <t>241-03</t>
  </si>
  <si>
    <t>238-03</t>
  </si>
  <si>
    <t>240-03</t>
  </si>
  <si>
    <t>243-03</t>
  </si>
  <si>
    <t>242-03</t>
  </si>
  <si>
    <t>315-03</t>
  </si>
  <si>
    <t>309-03</t>
  </si>
  <si>
    <t>244-03</t>
  </si>
  <si>
    <t>311-03</t>
  </si>
  <si>
    <t>313-03</t>
  </si>
  <si>
    <t>Drizzle</t>
  </si>
  <si>
    <t>sleet</t>
  </si>
  <si>
    <t>Light Sleet</t>
  </si>
  <si>
    <t>204:724</t>
  </si>
  <si>
    <t>204:232654</t>
  </si>
  <si>
    <t>204:746</t>
  </si>
  <si>
    <t>204:233329</t>
  </si>
  <si>
    <t>204:232696</t>
  </si>
  <si>
    <t>204:768</t>
  </si>
  <si>
    <t>204:233311</t>
  </si>
  <si>
    <t>204:232652</t>
  </si>
  <si>
    <t>204:77560</t>
  </si>
  <si>
    <t>204:493</t>
  </si>
  <si>
    <t>204:233286</t>
  </si>
  <si>
    <t>204:232971</t>
  </si>
  <si>
    <t>204:345</t>
  </si>
  <si>
    <t>204:750</t>
  </si>
  <si>
    <t>204:233345</t>
  </si>
  <si>
    <t>204:766</t>
  </si>
  <si>
    <t>204:426</t>
  </si>
  <si>
    <t>204:174</t>
  </si>
  <si>
    <t>204:633</t>
  </si>
  <si>
    <t>204:233323</t>
  </si>
  <si>
    <t>204:233288</t>
  </si>
  <si>
    <t>204:433</t>
  </si>
  <si>
    <t>204:233268</t>
  </si>
  <si>
    <t>204:475</t>
  </si>
  <si>
    <t>204:119</t>
  </si>
  <si>
    <t>204:232980</t>
  </si>
  <si>
    <t>204:233319</t>
  </si>
  <si>
    <t>204:231603</t>
  </si>
  <si>
    <t>204:232959</t>
  </si>
  <si>
    <t>204:233316</t>
  </si>
  <si>
    <t>204:233032</t>
  </si>
  <si>
    <t>204:233272</t>
  </si>
  <si>
    <t>204:221</t>
  </si>
  <si>
    <t>204:233285</t>
  </si>
  <si>
    <t>204:232964</t>
  </si>
  <si>
    <t>204:247</t>
  </si>
  <si>
    <t>204:233353</t>
  </si>
  <si>
    <t>204:233044</t>
  </si>
  <si>
    <t>204:165</t>
  </si>
  <si>
    <t>204:232944</t>
  </si>
  <si>
    <t>204:526</t>
  </si>
  <si>
    <t>204:233055</t>
  </si>
  <si>
    <t>204:358</t>
  </si>
  <si>
    <t>204:570</t>
  </si>
  <si>
    <t>204:232953</t>
  </si>
  <si>
    <t>204:169</t>
  </si>
  <si>
    <t>204:233040</t>
  </si>
  <si>
    <t>204:1337</t>
  </si>
  <si>
    <t>204:233030</t>
  </si>
  <si>
    <t>204:232967</t>
  </si>
  <si>
    <t>204:320</t>
  </si>
  <si>
    <t>204:172</t>
  </si>
  <si>
    <t>204:233003</t>
  </si>
  <si>
    <t>204:519</t>
  </si>
  <si>
    <t>204:486</t>
  </si>
  <si>
    <t>204:232966</t>
  </si>
  <si>
    <t>204:491</t>
  </si>
  <si>
    <t>204:176</t>
  </si>
  <si>
    <t>204:19132</t>
  </si>
  <si>
    <t>204:233334</t>
  </si>
  <si>
    <t>204:706</t>
  </si>
  <si>
    <t>204:232969</t>
  </si>
  <si>
    <t>204:520</t>
  </si>
  <si>
    <t>204:232957</t>
  </si>
  <si>
    <t>204:489</t>
  </si>
  <si>
    <t>204:233059</t>
  </si>
  <si>
    <t>204:232963</t>
  </si>
  <si>
    <t>204:232975</t>
  </si>
  <si>
    <t>204:480</t>
  </si>
  <si>
    <t>204:232962</t>
  </si>
  <si>
    <t>204:232987</t>
  </si>
  <si>
    <t>204:19114</t>
  </si>
  <si>
    <t>204:232972</t>
  </si>
  <si>
    <t>204:233415</t>
  </si>
  <si>
    <t>204:233104</t>
  </si>
  <si>
    <t>204:233338</t>
  </si>
  <si>
    <t>204:233068</t>
  </si>
  <si>
    <t>204:154426</t>
  </si>
  <si>
    <t>204:154445</t>
  </si>
  <si>
    <t>300:19778</t>
  </si>
  <si>
    <t>300:23625</t>
  </si>
  <si>
    <t>300:23308</t>
  </si>
  <si>
    <t>300:23050</t>
  </si>
  <si>
    <t>300:22983</t>
  </si>
  <si>
    <t>300:23705</t>
  </si>
  <si>
    <t>204:183</t>
  </si>
  <si>
    <t>300:23299</t>
  </si>
  <si>
    <t>300:22927</t>
  </si>
  <si>
    <t>300:23312</t>
  </si>
  <si>
    <t>204:106928</t>
  </si>
  <si>
    <t>204:1111</t>
  </si>
  <si>
    <t>300:22289</t>
  </si>
  <si>
    <t>204:950</t>
  </si>
  <si>
    <t>204:1244</t>
  </si>
  <si>
    <t>300:24210</t>
  </si>
  <si>
    <t>300:23629</t>
  </si>
  <si>
    <t>204:468</t>
  </si>
  <si>
    <t>300:23396</t>
  </si>
  <si>
    <t>204:2026</t>
  </si>
  <si>
    <t>204:1479</t>
  </si>
  <si>
    <t>204:232310</t>
  </si>
  <si>
    <t>204:190082</t>
  </si>
  <si>
    <t>204:232416</t>
  </si>
  <si>
    <t>204:190062</t>
  </si>
  <si>
    <t>204:232952</t>
  </si>
  <si>
    <t>204:189711</t>
  </si>
  <si>
    <t>204:153991</t>
  </si>
  <si>
    <t>204:189822</t>
  </si>
  <si>
    <t>204:232965</t>
  </si>
  <si>
    <t>204:190134</t>
  </si>
  <si>
    <t>204:189796</t>
  </si>
  <si>
    <t>204:190098</t>
  </si>
  <si>
    <t>204:232737</t>
  </si>
  <si>
    <t>204:190363</t>
  </si>
  <si>
    <t>204:232631</t>
  </si>
  <si>
    <t>300:58692</t>
  </si>
  <si>
    <t>204:659</t>
  </si>
  <si>
    <t>204:925</t>
  </si>
  <si>
    <t>300:59010</t>
  </si>
  <si>
    <t>300:58700</t>
  </si>
  <si>
    <t>204:955</t>
  </si>
  <si>
    <t>300:58628</t>
  </si>
  <si>
    <t>204:678</t>
  </si>
  <si>
    <t>204:932</t>
  </si>
  <si>
    <t>300:58698</t>
  </si>
  <si>
    <t>204:698</t>
  </si>
  <si>
    <t>204:958</t>
  </si>
  <si>
    <t>300:58634</t>
  </si>
  <si>
    <t>204:657</t>
  </si>
  <si>
    <t>204:978</t>
  </si>
  <si>
    <t>300:59014</t>
  </si>
  <si>
    <t>204:1201</t>
  </si>
  <si>
    <t>204:233263</t>
  </si>
  <si>
    <t>204:154257</t>
  </si>
  <si>
    <t>204:155363</t>
  </si>
  <si>
    <t>204:190029</t>
  </si>
  <si>
    <t>204:190123</t>
  </si>
  <si>
    <t>204:190444</t>
  </si>
  <si>
    <t>300:58705</t>
  </si>
  <si>
    <t>204:946</t>
  </si>
  <si>
    <t>300:58636</t>
  </si>
  <si>
    <t>204:670</t>
  </si>
  <si>
    <t>204:976</t>
  </si>
  <si>
    <t>300:58924</t>
  </si>
  <si>
    <t>204:652</t>
  </si>
  <si>
    <t>204:969</t>
  </si>
  <si>
    <t>300:58632</t>
  </si>
  <si>
    <t>204:684</t>
  </si>
  <si>
    <t>204:974</t>
  </si>
  <si>
    <t>204:631</t>
  </si>
  <si>
    <t>204:937</t>
  </si>
  <si>
    <t>204:645</t>
  </si>
  <si>
    <t>300:58948</t>
  </si>
  <si>
    <t>300:58611</t>
  </si>
  <si>
    <t>204:654</t>
  </si>
  <si>
    <t>204:929</t>
  </si>
  <si>
    <t>300:58929</t>
  </si>
  <si>
    <t>204:642</t>
  </si>
  <si>
    <t>300:58922</t>
  </si>
  <si>
    <t>204:983</t>
  </si>
  <si>
    <t>300:58604</t>
  </si>
  <si>
    <t>204:640</t>
  </si>
  <si>
    <t>204:943</t>
  </si>
  <si>
    <t>204:656</t>
  </si>
  <si>
    <t>204:636</t>
  </si>
  <si>
    <t>204:944</t>
  </si>
  <si>
    <t>300:58613</t>
  </si>
  <si>
    <t>204:647</t>
  </si>
  <si>
    <t>204:934</t>
  </si>
  <si>
    <t>204:650</t>
  </si>
  <si>
    <t>300:58931</t>
  </si>
  <si>
    <t>204:930</t>
  </si>
  <si>
    <t>300:58656</t>
  </si>
  <si>
    <t>204:710</t>
  </si>
  <si>
    <t>204:941</t>
  </si>
  <si>
    <t>300:58978</t>
  </si>
  <si>
    <t>204:661</t>
  </si>
  <si>
    <t>204:992</t>
  </si>
  <si>
    <t>300:29691</t>
  </si>
  <si>
    <t>300:59008</t>
  </si>
  <si>
    <t>300:23368</t>
  </si>
  <si>
    <t>204:666</t>
  </si>
  <si>
    <t>204:1048</t>
  </si>
  <si>
    <t>300:25433</t>
  </si>
  <si>
    <t>300:23124</t>
  </si>
  <si>
    <t>204:694</t>
  </si>
  <si>
    <t>300:28778</t>
  </si>
  <si>
    <t>300:21736</t>
  </si>
  <si>
    <t>start /low /b %USERPROFILE%\Documents\GitHub\eaglep3\Utilities\DownloadLogsFromS3.py --loco 4041 --day 2017-04-03</t>
  </si>
  <si>
    <t>start /low /b %USERPROFILE%\Documents\GitHub\eaglep3\Utilities\DownloadLogsFromS3.py --loco 4051 --day 2017-04-03</t>
  </si>
  <si>
    <t>start /low /b %USERPROFILE%\Documents\GitHub\eaglep3\Utilities\DownloadLogsFromS3.py --loco 4028 --day 2017-04-03</t>
  </si>
  <si>
    <t>start /low /b %USERPROFILE%\Documents\GitHub\eaglep3\Utilities\DownloadLogsFromS3.py --loco 4052 --day 2017-04-03</t>
  </si>
  <si>
    <t>start /low /b %USERPROFILE%\Documents\GitHub\eaglep3\Utilities\DownloadLogsFromS3.py --loco 4018 --day 2017-04-04</t>
  </si>
  <si>
    <t>start /low /b %USERPROFILE%\Documents\GitHub\eaglep3\Utilities\DownloadLogsFromS3.py --loco 4007 --day 2017-04-04</t>
  </si>
  <si>
    <t>start /low /b %USERPROFILE%\Documents\GitHub\eaglep3\Utilities\DownloadLogsFromS3.py --loco 4004 --day 2017-04-03</t>
  </si>
  <si>
    <t>start /low /b %USERPROFILE%\Documents\GitHub\eaglep3\Utilities\DownloadLogsFromS3.py --loco 4017 --day 2017-04-04</t>
  </si>
  <si>
    <t>start /low /b %USERPROFILE%\Documents\GitHub\eaglep3\Utilities\DownloadLogsFromS3.py --loco 4043 --day 2017-04-03</t>
  </si>
  <si>
    <t>start /low /b %USERPROFILE%\Documents\GitHub\eaglep3\Utilities\DownloadLogsFromS3.py --loco 4030 --day 2017-04-03</t>
  </si>
  <si>
    <t>start /low /b %USERPROFILE%\Documents\GitHub\eaglep3\Utilities\DownloadLogsFromS3.py --loco 4017 --day 2017-04-03</t>
  </si>
  <si>
    <t>start /low /b %USERPROFILE%\Documents\GitHub\eaglep3\Utilities\DownloadLogsFromS3.py --loco 4003 --day 2017-04-03</t>
  </si>
  <si>
    <t>start /low /b %USERPROFILE%\Documents\GitHub\eaglep3\Utilities\DownloadLogsFromS3.py --loco 4007 --day 2017-04-03</t>
  </si>
  <si>
    <t>start /low /b %USERPROFILE%\Documents\GitHub\eaglep3\Utilities\DownloadLogsFromS3.py --loco 4044 --day 2017-04-04</t>
  </si>
  <si>
    <t>start /low /b %USERPROFILE%\Documents\GitHub\eaglep3\Utilities\DownloadLogsFromS3.py --loco 4027 --day 2017-04-04</t>
  </si>
  <si>
    <t>start /low /b %USERPROFILE%\Documents\GitHub\eaglep3\Utilities\DownloadLogsFromS3.py --loco 4027 --day 2017-04-03</t>
  </si>
  <si>
    <t>start /low /b %USERPROFILE%\Documents\GitHub\eaglep3\Utilities\DownloadLogsFromS3.py --loco 4029 --day 2017-04-03</t>
  </si>
  <si>
    <t>start /low /b %USERPROFILE%\Documents\GitHub\eaglep3\Utilities\DownloadLogsFromS3.py --loco 4044 --day 2017-04-03</t>
  </si>
  <si>
    <t>start /low /b %USERPROFILE%\Documents\GitHub\eaglep3\Utilities\DownloadLogsFromS3.py --loco 4004 --day 2017-04-04</t>
  </si>
  <si>
    <t>start /low /b %USERPROFILE%\Documents\GitHub\eaglep3\Utilities\DownloadLogsFromS3.py --loco 4028 --day 2017-04-04</t>
  </si>
  <si>
    <t>start /low /b %USERPROFILE%\Documents\GitHub\eaglep3\Utilities\DownloadLogsFromS3.py --loco 4006 --day 2017-04-03</t>
  </si>
  <si>
    <t>start /low /b %USERPROFILE%\Documents\GitHub\eaglep3\Utilities\DownloadLogsFromS3.py --loco 4013 --day 2017-04-03</t>
  </si>
  <si>
    <t>start /low /b %USERPROFILE%\Documents\GitHub\eaglep3\Utilities\DownloadLogsFromS3.py --loco 4005 --day 2017-04-03</t>
  </si>
  <si>
    <t>start /low /b %USERPROFILE%\Documents\GitHub\eaglep3\Utilities\DownloadLogsFromS3.py --loco 4014 --day 2017-04-03</t>
  </si>
  <si>
    <t>start /low /b %USERPROFILE%\Documents\GitHub\eaglep3\Utilities\DownloadLogsFromS3.py --loco 4006 --day 2017-04-04</t>
  </si>
  <si>
    <t>No unknown status enforcements found (only speed warnings and early arrivals)</t>
  </si>
  <si>
    <t>Extended onboard Wi-MAX outage</t>
  </si>
  <si>
    <t>Delayed by poor GPS at DIA</t>
  </si>
  <si>
    <t>Wheel slip at 2017-04-04 00:52:00</t>
  </si>
  <si>
    <t>Early arrival</t>
  </si>
  <si>
    <t>Form C</t>
  </si>
  <si>
    <t>Selected wrong track</t>
  </si>
  <si>
    <t>Premature downgrade at DUS 20N</t>
  </si>
  <si>
    <t>at 13:01:28, DUS 20N dropped to STOP while the train was approaching, do logs tell of anything unusual?</t>
  </si>
  <si>
    <t>40th 4S STOP</t>
  </si>
  <si>
    <t>Minor onboard in-route failure</t>
  </si>
  <si>
    <t>Poor GPS signal as train pulled into DUS</t>
  </si>
  <si>
    <t>Delayed due to depart test required</t>
  </si>
  <si>
    <t>Wi-MAX data drop, no enforcement</t>
  </si>
  <si>
    <t>http://stevetu21.github.io/eaglep3/load_kml.html?kml=http://rtdc.gmaps-snips.s3.amazonaws.com/91420618-fc13-4474-820d-8b3e308ed661.kml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</si>
</sst>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topLeftCell="A139" zoomScaleNormal="100" workbookViewId="0">
      <selection activeCell="R24" sqref="R2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42828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42828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142</v>
      </c>
      <c r="K5" s="40"/>
      <c r="L5" s="40"/>
      <c r="M5" s="41">
        <f>AVERAGEIFS($N$13:$N$9327,$AG$13:$AG$9327,I1)</f>
        <v>39.478638497899404</v>
      </c>
      <c r="N5" s="39">
        <f t="array" ref="N5">MIN(IF($AG$13:$AG$9327=I1,IF(ISNUMBER($N$13:$N$9327),IF($N$13:$N$9327&gt;0,$N$13:$N$9327))))</f>
        <v>34.083333337912336</v>
      </c>
      <c r="O5" s="3">
        <f t="array" ref="O5">MAX(IF($AG$13:$AG$9327=I1,IF(ISNUMBER($N$13:$N$9327),IF($N$13:$N$9327&gt;0,$N$13:$N$9327))))</f>
        <v>53.199999999487773</v>
      </c>
      <c r="P5" s="2"/>
      <c r="R5" s="74" t="s">
        <v>17</v>
      </c>
      <c r="S5" s="50">
        <f>COUNTIFS($N$13:$N$9327,"&gt;0",$AG$13:$AG$9327,R1)</f>
        <v>47</v>
      </c>
      <c r="T5" s="40"/>
      <c r="U5" s="173"/>
      <c r="V5" s="170">
        <f>AVERAGEIFS($N$13:$N$9327,$AG$13:$AG$9327,R1)</f>
        <v>15.126950353374109</v>
      </c>
      <c r="W5" s="171">
        <f t="array" ref="W5">MIN(IF($AG$13:$AG$9327=R1,IF(ISNUMBER($N$13:$N$9327),IF($N$13:$N$9327&gt;0,$N$13:$N$9327))))</f>
        <v>12.466666668187827</v>
      </c>
      <c r="X5" s="172">
        <f t="array" ref="X5">MAX(IF($AG$13:$AG$9327=R1,IF(ISNUMBER($N$13:$N$9327),IF($N$13:$N$9327&gt;0,$N$13:$N$9327))))</f>
        <v>20.049999993061647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COUNT($O$13:$O$114)</f>
        <v>0</v>
      </c>
      <c r="K6" s="40"/>
      <c r="L6" s="40"/>
      <c r="M6" s="41">
        <f>IFERROR(AVERAGE($O$13:$O$114),0)</f>
        <v>0</v>
      </c>
      <c r="N6" s="39">
        <f>MIN($O$13:$O$114)</f>
        <v>0</v>
      </c>
      <c r="O6" s="3">
        <f>MAX($O$13:$O$114)</f>
        <v>0</v>
      </c>
      <c r="P6" s="2"/>
      <c r="R6" s="75" t="s">
        <v>43</v>
      </c>
      <c r="S6" s="50">
        <f>COUNT($O$13:$O$114)</f>
        <v>0</v>
      </c>
      <c r="T6" s="40"/>
      <c r="U6" s="173"/>
      <c r="V6" s="170">
        <f>IFERROR(AVERAGE($O$13:$O$114),0)</f>
        <v>0</v>
      </c>
      <c r="W6" s="171">
        <f>MIN($O$13:$O$114)</f>
        <v>0</v>
      </c>
      <c r="X6" s="172">
        <f>MAX($O$13:$O$114)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39.478638497899404</v>
      </c>
      <c r="N8" s="39">
        <f>N5</f>
        <v>34.083333337912336</v>
      </c>
      <c r="O8" s="3">
        <f>O5</f>
        <v>53.199999999487773</v>
      </c>
      <c r="P8" s="2"/>
      <c r="R8" s="74" t="s">
        <v>16</v>
      </c>
      <c r="S8" s="50">
        <f>S5</f>
        <v>47</v>
      </c>
      <c r="T8" s="40"/>
      <c r="U8" s="173"/>
      <c r="V8" s="170">
        <f>V5</f>
        <v>15.126950353374109</v>
      </c>
      <c r="W8" s="171">
        <f>W5</f>
        <v>12.466666668187827</v>
      </c>
      <c r="X8" s="172">
        <f>X5</f>
        <v>20.049999993061647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- 2017-04-03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AVERAGE(S13:S86)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202</v>
      </c>
      <c r="AN12" s="47" t="s">
        <v>456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627</v>
      </c>
      <c r="B13" s="7">
        <v>4052</v>
      </c>
      <c r="C13" s="21" t="s">
        <v>217</v>
      </c>
      <c r="D13" s="21" t="s">
        <v>822</v>
      </c>
      <c r="E13" s="13">
        <v>42828.129664351851</v>
      </c>
      <c r="F13" s="13">
        <v>42828.135763888888</v>
      </c>
      <c r="G13" s="7">
        <v>2</v>
      </c>
      <c r="H13" s="21" t="s">
        <v>454</v>
      </c>
      <c r="I13" s="13">
        <v>42828.160428240742</v>
      </c>
      <c r="J13" s="7">
        <v>0</v>
      </c>
      <c r="K13" s="97" t="str">
        <f>IF(ISEVEN(B13),(B13-1)&amp;"/"&amp;B13,B13&amp;"/"&amp;(B13+1))</f>
        <v>4051/4052</v>
      </c>
      <c r="L13" s="21" t="str">
        <f>VLOOKUP(A13,'Trips&amp;Operators'!$C$1:$G$99999,5,FALSE)</f>
        <v>SANTIZO D. EDY</v>
      </c>
      <c r="M13" s="6">
        <f>I13-F13</f>
        <v>2.4664351854880806E-2</v>
      </c>
      <c r="N13" s="7">
        <f>24*60*SUM($M13:$M13)</f>
        <v>35.516666671028361</v>
      </c>
      <c r="O13" s="7"/>
      <c r="P13" s="7"/>
      <c r="Q13" s="22"/>
      <c r="R13" s="22"/>
      <c r="S13" s="31">
        <f>SUM(U13:U13)/IF(AG13="EC",12,1)</f>
        <v>1</v>
      </c>
      <c r="T13" s="46" t="str">
        <f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-03T02:06:43-0600',mode:absolute,to:'2017-04-03T04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183" t="str">
        <f>IF(AA13&lt;IF(AG13="EC",23,5.65),"Y","N")</f>
        <v>N</v>
      </c>
      <c r="X13" s="183" t="e">
        <f>VALUE(LEFT(AD13,4))-VALUE(LEFT(AD12,4))</f>
        <v>#VALUE!</v>
      </c>
      <c r="Y13" s="62">
        <f>RIGHT(D13,LEN(D13)-4)/10000</f>
        <v>7.2400000000000006E-2</v>
      </c>
      <c r="Z13" s="62">
        <f>RIGHT(H13,LEN(H13)-4)/10000</f>
        <v>23.330300000000001</v>
      </c>
      <c r="AA13" s="62">
        <f>ABS(Z13-Y13)</f>
        <v>23.257900000000003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>IF(LEN(A13)=6,"0"&amp;A13,A13)</f>
        <v>0101-03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3" s="82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/stypes="app*4052*20170403*" /stext=" 09:.+((SYSTEM_STATE.+slice.+state.+changed )|(ment ac)|(multiple cpu faults)|(system.+state.+changed )|(\[timeout)|(PRM\|1\|D)|(kpr)|(kdp)|(\|lc)|(penalty))"</v>
      </c>
      <c r="AG13" s="1" t="str">
        <f>IFERROR(IF(VALUE(LEFT(AD13,2))&lt;=2,"EC",IF(OR(VALUE(LEFT(AD13,2))=8,VALUE(LEFT(AD13,2))=18),"NW","Other")),"Other")</f>
        <v>EC</v>
      </c>
      <c r="AH13" s="86" t="str">
        <f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4052 --swversion DE.1.0.9.0 --startMP 204:724 --initTime 2017-04-03T03:06:43 --startdatetime 2017-04-03T03:15:30 --delay 2 --endMP 204:233303 --enddatetime 2017-04-03T03:51:01 --enforcementcount 0 &gt;&gt;C:\Users\stu\Documents\GitHub\eaglep3-reporting\EC\2017-04-03-refined-times.txt</v>
      </c>
      <c r="AI13" s="104" t="str">
        <f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ID","value":"101-03"},{"id":16,"name":"Locomotive ID","value":"4052"},{"id":130,"name":"Impact","value":""},{"id":150,"name":"Time of Event (Mountain Time)","value":"03:51:01"},{"id":151,"name":"Denver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>"start /low /b "&amp;dls3logs&amp;" --loco "&amp;B13&amp;" --day "&amp;TEXT(F13,"YYYY-MM-DD")</f>
        <v>start /low /b %USERPROFILE%\Documents\GitHub\eaglep3\Utilities\DownloadLogsFromS3.py --loco 4052 --day 2017-04-03</v>
      </c>
      <c r="AN13" s="159" t="str">
        <f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634</v>
      </c>
      <c r="B14" s="7">
        <v>4003</v>
      </c>
      <c r="C14" s="21" t="s">
        <v>217</v>
      </c>
      <c r="D14" s="21" t="s">
        <v>823</v>
      </c>
      <c r="E14" s="13">
        <v>42828.165752314817</v>
      </c>
      <c r="F14" s="13">
        <v>42828.174490740741</v>
      </c>
      <c r="G14" s="7">
        <v>1</v>
      </c>
      <c r="H14" s="21" t="s">
        <v>184</v>
      </c>
      <c r="I14" s="13">
        <v>42828.200624999998</v>
      </c>
      <c r="J14" s="7">
        <v>0</v>
      </c>
      <c r="K14" s="97" t="str">
        <f>IF(ISEVEN(B14),(B14-1)&amp;"/"&amp;B14,B14&amp;"/"&amp;(B14+1))</f>
        <v>4003/4004</v>
      </c>
      <c r="L14" s="21" t="str">
        <f>VLOOKUP(A14,'Trips&amp;Operators'!$C$1:$G$99999,5,FALSE)</f>
        <v>SANTIZO D. EDY</v>
      </c>
      <c r="M14" s="6">
        <f>I14-F14</f>
        <v>2.6134259256650694E-2</v>
      </c>
      <c r="N14" s="7">
        <f>24*60*SUM($M14:$M14)</f>
        <v>37.633333329576999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-04-03T02:58:41-0600',mode:absolute,to:'2017-04-03T05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" s="183" t="str">
        <f>IF(AA14&lt;IF(AG14="EC",23,5.65),"Y","N")</f>
        <v>N</v>
      </c>
      <c r="X14" s="183">
        <f>VALUE(LEFT(AD14,4))-VALUE(LEFT(AD13,4))</f>
        <v>1</v>
      </c>
      <c r="Y14" s="62">
        <f>RIGHT(D14,LEN(D14)-4)/10000</f>
        <v>23.2654</v>
      </c>
      <c r="Z14" s="62">
        <f>RIGHT(H14,LEN(H14)-4)/10000</f>
        <v>1.49E-2</v>
      </c>
      <c r="AA14" s="62">
        <f>ABS(Z14-Y14)</f>
        <v>23.250499999999999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>IF(LEN(A14)=6,"0"&amp;A14,A14)</f>
        <v>0102-03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4" s="82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/stypes="app*4003*20170403*" /stext=" 10:.+((SYSTEM_STATE.+slice.+state.+changed )|(ment ac)|(multiple cpu faults)|(system.+state.+changed )|(\[timeout)|(PRM\|1\|D)|(kpr)|(kdp)|(\|lc)|(penalty))"</v>
      </c>
      <c r="AG14" s="1" t="str">
        <f>IFERROR(IF(VALUE(LEFT(AD14,2))&lt;=2,"EC",IF(OR(VALUE(LEFT(AD14,2))=8,VALUE(LEFT(AD14,2))=18),"NW","Other")),"Other")</f>
        <v>EC</v>
      </c>
      <c r="AH14" s="86" t="str">
        <f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4003 --swversion DE.1.0.9.0 --startMP 204:232654 --initTime 2017-04-03T03:58:41 --startdatetime 2017-04-03T04:11:16 --delay 1 --endMP 204:149 --enddatetime 2017-04-03T04:48:54 --enforcementcount 0 &gt;&gt;C:\Users\stu\Documents\GitHub\eaglep3-reporting\EC\2017-04-03-refined-times.txt</v>
      </c>
      <c r="AI14" s="104" t="str">
        <f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ID","value":"102-03"},{"id":16,"name":"Locomotive ID","value":"4003"},{"id":130,"name":"Impact","value":""},{"id":150,"name":"Time of Event (Mountain Time)","value":"04:48:54"},{"id":151,"name":"Denver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>"start /low /b "&amp;dls3logs&amp;" --loco "&amp;B14&amp;" --day "&amp;TEXT(F14,"YYYY-MM-DD")</f>
        <v>start /low /b %USERPROFILE%\Documents\GitHub\eaglep3\Utilities\DownloadLogsFromS3.py --loco 4003 --day 2017-04-03</v>
      </c>
      <c r="AN14" s="159" t="str">
        <f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630</v>
      </c>
      <c r="B15" s="7">
        <v>4030</v>
      </c>
      <c r="C15" s="21" t="s">
        <v>217</v>
      </c>
      <c r="D15" s="21" t="s">
        <v>824</v>
      </c>
      <c r="E15" s="13">
        <v>42828.150694444441</v>
      </c>
      <c r="F15" s="13">
        <v>42828.156527777777</v>
      </c>
      <c r="G15" s="7">
        <v>1</v>
      </c>
      <c r="H15" s="21" t="s">
        <v>825</v>
      </c>
      <c r="I15" s="13">
        <v>42828.181655092594</v>
      </c>
      <c r="J15" s="7">
        <v>0</v>
      </c>
      <c r="K15" s="97" t="str">
        <f>IF(ISEVEN(B15),(B15-1)&amp;"/"&amp;B15,B15&amp;"/"&amp;(B15+1))</f>
        <v>4029/4030</v>
      </c>
      <c r="L15" s="21" t="str">
        <f>VLOOKUP(A15,'Trips&amp;Operators'!$C$1:$G$99999,5,FALSE)</f>
        <v>MAELZER KURT</v>
      </c>
      <c r="M15" s="6">
        <f>I15-F15</f>
        <v>2.5127314816927537E-2</v>
      </c>
      <c r="N15" s="7">
        <f>24*60*SUM($M15:$M15)</f>
        <v>36.183333336375654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-04-03T02:37:00-0600',mode:absolute,to:'2017-04-03T05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" s="183" t="str">
        <f>IF(AA15&lt;IF(AG15="EC",23,5.65),"Y","N")</f>
        <v>N</v>
      </c>
      <c r="X15" s="183">
        <f>VALUE(LEFT(AD15,4))-VALUE(LEFT(AD14,4))</f>
        <v>1</v>
      </c>
      <c r="Y15" s="62">
        <f>RIGHT(D15,LEN(D15)-4)/10000</f>
        <v>7.46E-2</v>
      </c>
      <c r="Z15" s="62">
        <f>RIGHT(H15,LEN(H15)-4)/10000</f>
        <v>23.332899999999999</v>
      </c>
      <c r="AA15" s="62">
        <f>ABS(Z15-Y15)</f>
        <v>23.258299999999998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>IF(LEN(A15)=6,"0"&amp;A15,A15)</f>
        <v>0103-03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5" s="82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/stypes="app*4030*20170403*" /stext=" 10:.+((SYSTEM_STATE.+slice.+state.+changed )|(ment ac)|(multiple cpu faults)|(system.+state.+changed )|(\[timeout)|(PRM\|1\|D)|(kpr)|(kdp)|(\|lc)|(penalty))"</v>
      </c>
      <c r="AG15" s="1" t="str">
        <f>IFERROR(IF(VALUE(LEFT(AD15,2))&lt;=2,"EC",IF(OR(VALUE(LEFT(AD15,2))=8,VALUE(LEFT(AD15,2))=18),"NW","Other")),"Other")</f>
        <v>EC</v>
      </c>
      <c r="AH15" s="86" t="str">
        <f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103-03 --locoid 4030 --swversion DE.1.0.9.0 --startMP 204:746 --initTime 2017-04-03T03:37:00 --startdatetime 2017-04-03T03:45:24 --delay 1 --endMP 204:233329 --enddatetime 2017-04-03T04:21:35 --enforcementcount 0 &gt;&gt;C:\Users\stu\Documents\GitHub\eaglep3-reporting\EC\2017-04-03-refined-times.txt</v>
      </c>
      <c r="AI15" s="104" t="str">
        <f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{"issue":{"subject":"","project_id":79,"tracker_id":40,"status_id":1,"priority_id":2,"assigned_to_id":23,"start_date":"2017-04-03","description":"","custom_fields":[{"id":1,"name":"Subdivision","value":"EC"},{"id":4,"name":"Milepost","value":"23.3329"},{"id":17,"name":"Train ID","value":"103-03"},{"id":16,"name":"Locomotive ID","value":"4030"},{"id":130,"name":"Impact","value":""},{"id":150,"name":"Time of Event (Mountain Time)","value":"04:21:35"},{"id":151,"name":"Denver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>"start /low /b "&amp;dls3logs&amp;" --loco "&amp;B15&amp;" --day "&amp;TEXT(F15,"YYYY-MM-DD")</f>
        <v>start /low /b %USERPROFILE%\Documents\GitHub\eaglep3\Utilities\DownloadLogsFromS3.py --loco 4030 --day 2017-04-03</v>
      </c>
      <c r="AN15" s="159" t="str">
        <f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640</v>
      </c>
      <c r="B16" s="7">
        <v>4043</v>
      </c>
      <c r="C16" s="21" t="s">
        <v>217</v>
      </c>
      <c r="D16" s="21" t="s">
        <v>826</v>
      </c>
      <c r="E16" s="13">
        <v>42828.188854166663</v>
      </c>
      <c r="F16" s="13">
        <v>42828.195405092592</v>
      </c>
      <c r="G16" s="7">
        <v>1</v>
      </c>
      <c r="H16" s="21" t="s">
        <v>386</v>
      </c>
      <c r="I16" s="13">
        <v>42828.222766203704</v>
      </c>
      <c r="J16" s="7">
        <v>0</v>
      </c>
      <c r="K16" s="97" t="str">
        <f>IF(ISEVEN(B16),(B16-1)&amp;"/"&amp;B16,B16&amp;"/"&amp;(B16+1))</f>
        <v>4043/4044</v>
      </c>
      <c r="L16" s="21" t="str">
        <f>VLOOKUP(A16,'Trips&amp;Operators'!$C$1:$G$99999,5,FALSE)</f>
        <v>MAELZER KURT</v>
      </c>
      <c r="M16" s="6">
        <f>I16-F16</f>
        <v>2.73611111115315E-2</v>
      </c>
      <c r="N16" s="7">
        <f>24*60*SUM($M16:$M16)</f>
        <v>39.40000000060536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-04-03T03:31:57-0600',mode:absolute,to:'2017-04-03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" s="183" t="str">
        <f>IF(AA16&lt;IF(AG16="EC",23,5.65),"Y","N")</f>
        <v>N</v>
      </c>
      <c r="X16" s="183">
        <f>VALUE(LEFT(AD16,4))-VALUE(LEFT(AD15,4))</f>
        <v>1</v>
      </c>
      <c r="Y16" s="62">
        <f>RIGHT(D16,LEN(D16)-4)/10000</f>
        <v>23.269600000000001</v>
      </c>
      <c r="Z16" s="62">
        <f>RIGHT(H16,LEN(H16)-4)/10000</f>
        <v>1.43E-2</v>
      </c>
      <c r="AA16" s="62">
        <f>ABS(Z16-Y16)</f>
        <v>23.255300000000002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>IF(LEN(A16)=6,"0"&amp;A16,A16)</f>
        <v>0104-03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6" s="82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/stypes="app*4043*20170403*" /stext=" 11:.+((SYSTEM_STATE.+slice.+state.+changed )|(ment ac)|(multiple cpu faults)|(system.+state.+changed )|(\[timeout)|(PRM\|1\|D)|(kpr)|(kdp)|(\|lc)|(penalty))"</v>
      </c>
      <c r="AG16" s="1" t="str">
        <f>IFERROR(IF(VALUE(LEFT(AD16,2))&lt;=2,"EC",IF(OR(VALUE(LEFT(AD16,2))=8,VALUE(LEFT(AD16,2))=18),"NW","Other")),"Other")</f>
        <v>EC</v>
      </c>
      <c r="AH16" s="86" t="str">
        <f>refinertdcruntimes&amp;" --tripid "&amp;A16&amp;" --locoid "&amp;B16&amp;" --swversion "&amp;C16&amp;" --startMP "&amp;D16&amp;" --initTime "&amp;TEXT(E16,"yyyy-mm-ddTHH:MM:SS")&amp;" --startdatetime "&amp;TEXT(F16,"yyyy-mm-ddTHH:MM:SS")&amp;" --delay "&amp;G16&amp;" --endMP "&amp;H16&amp;" --enddatetime "&amp;TEXT(I16,"yyyy-mm-ddTHH:MM:SS")&amp;" --enforcementcount "&amp;J16&amp;IF(outputrefinedruntimes," &gt;&gt;"&amp;RefinedRTDCRunTimesOutputFile,"")</f>
        <v>"%USERPROFILE%\Documents\GitHub\eaglep3\Utilities\RefineRTDCRunTimes.py" --tripid 104-03 --locoid 4043 --swversion DE.1.0.9.0 --startMP 204:232696 --initTime 2017-04-03T04:31:57 --startdatetime 2017-04-03T04:41:23 --delay 1 --endMP 204:143 --enddatetime 2017-04-03T05:20:47 --enforcementcount 0 &gt;&gt;C:\Users\stu\Documents\GitHub\eaglep3-reporting\EC\2017-04-03-refined-times.txt</v>
      </c>
      <c r="AI16" s="104" t="str">
        <f>"echo {""issue"":{""subject"":"""&amp;R16&amp;""",""project_id"":79,""tracker_id"":40,""status_id"":"&amp;redmine_status&amp;",""priority_id"":"&amp;redmine_priority&amp;",""assigned_to_id"":"&amp;redmine_assignee&amp;",""start_date"":"""&amp;TEXT(I16,"YYYY-mm-dd")&amp;""",""description"":"""&amp;AJ16&amp;""",""custom_fields"":[{""id"":1,""name"":""Subdivision"",""value"":"""&amp;AG16&amp;"""},{""id"":4,""name"":""Milepost"",""value"":"""&amp;Z16&amp;"""},{""id"":17,""name"":""Train ID"",""value"":"""&amp;A16&amp;"""},{""id"":16,""name"":""Locomotive ID"",""value"":"""&amp;B16&amp;"""},{""id"":130,""name"":""Impact"",""value"":"""&amp;AK16&amp;"""},{""id"":150,""name"":""Time of Event (Mountain Time)"",""value"":"""&amp;TEXT(I16,"hh:mm:ss")&amp;"""},{""id"":151,""name"":""Denver Issue ID"",""value"":"""&amp;"""},{""id"":178,""name"":""Operational Impact"",""value"":"""&amp;redmine_op_impact&amp;"""},{""id"":179,""name"":""Denver Segment Assigned"",""value"":"""&amp;AL16&amp;"""}]}}"&amp;"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ID","value":"104-03"},{"id":16,"name":"Locomotive ID","value":"4043"},{"id":130,"name":"Impact","value":""},{"id":150,"name":"Time of Event (Mountain Time)","value":"05:20:47"},{"id":151,"name":"Denver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>"start /low /b "&amp;dls3logs&amp;" --loco "&amp;B16&amp;" --day "&amp;TEXT(F16,"YYYY-MM-DD")</f>
        <v>start /low /b %USERPROFILE%\Documents\GitHub\eaglep3\Utilities\DownloadLogsFromS3.py --loco 4043 --day 2017-04-03</v>
      </c>
      <c r="AN16" s="159" t="str">
        <f>"echo {""issue"":{""subject"":"""&amp;R16&amp;""",""project_id"":30,""tracker_id"":4,""status_id"":"&amp;redmine_status_wcr&amp;",""priority_id"":"&amp;redmine_priority_wcr&amp;",""assigned_to_id"":"&amp;redmine_assignee_wcr&amp;",""start_date"":"""&amp;TEXT(I16-utc_offset/24,"YYYY-mm-dd")&amp;""",""description"":"""&amp;AJ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637</v>
      </c>
      <c r="B17" s="7">
        <v>4028</v>
      </c>
      <c r="C17" s="21" t="s">
        <v>217</v>
      </c>
      <c r="D17" s="21" t="s">
        <v>827</v>
      </c>
      <c r="E17" s="13">
        <v>42828.174409722225</v>
      </c>
      <c r="F17" s="13">
        <v>42828.17728009259</v>
      </c>
      <c r="G17" s="7">
        <v>1</v>
      </c>
      <c r="H17" s="21" t="s">
        <v>828</v>
      </c>
      <c r="I17" s="13">
        <v>42828.202777777777</v>
      </c>
      <c r="J17" s="7">
        <v>0</v>
      </c>
      <c r="K17" s="97" t="str">
        <f>IF(ISEVEN(B17),(B17-1)&amp;"/"&amp;B17,B17&amp;"/"&amp;(B17+1))</f>
        <v>4027/4028</v>
      </c>
      <c r="L17" s="21" t="str">
        <f>VLOOKUP(A17,'Trips&amp;Operators'!$C$1:$G$99999,5,FALSE)</f>
        <v>STARKS ANGELINA</v>
      </c>
      <c r="M17" s="6">
        <f>I17-F17</f>
        <v>2.5497685186564922E-2</v>
      </c>
      <c r="N17" s="7">
        <f>24*60*SUM($M17:$M17)</f>
        <v>36.716666668653488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-04-03T03:11:09-0600',mode:absolute,to:'2017-04-03T05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83" t="str">
        <f>IF(AA17&lt;IF(AG17="EC",23,5.65),"Y","N")</f>
        <v>N</v>
      </c>
      <c r="X17" s="183">
        <f>VALUE(LEFT(AD17,4))-VALUE(LEFT(AD16,4))</f>
        <v>1</v>
      </c>
      <c r="Y17" s="62">
        <f>RIGHT(D17,LEN(D17)-4)/10000</f>
        <v>7.6799999999999993E-2</v>
      </c>
      <c r="Z17" s="62">
        <f>RIGHT(H17,LEN(H17)-4)/10000</f>
        <v>23.331099999999999</v>
      </c>
      <c r="AA17" s="62">
        <f>ABS(Z17-Y17)</f>
        <v>23.254300000000001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>IF(LEN(A17)=6,"0"&amp;A17,A17)</f>
        <v>0105-03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7" s="82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/stypes="app*4028*20170403*" /stext=" 10:.+((SYSTEM_STATE.+slice.+state.+changed )|(ment ac)|(multiple cpu faults)|(system.+state.+changed )|(\[timeout)|(PRM\|1\|D)|(kpr)|(kdp)|(\|lc)|(penalty))"</v>
      </c>
      <c r="AG17" s="1" t="str">
        <f>IFERROR(IF(VALUE(LEFT(AD17,2))&lt;=2,"EC",IF(OR(VALUE(LEFT(AD17,2))=8,VALUE(LEFT(AD17,2))=18),"NW","Other")),"Other")</f>
        <v>EC</v>
      </c>
      <c r="AH17" s="86" t="str">
        <f>refinertdcruntimes&amp;" --tripid "&amp;A17&amp;" --locoid "&amp;B17&amp;" --swversion "&amp;C17&amp;" --startMP "&amp;D17&amp;" --initTime "&amp;TEXT(E17,"yyyy-mm-ddTHH:MM:SS")&amp;" --startdatetime "&amp;TEXT(F17,"yyyy-mm-ddTHH:MM:SS")&amp;" --delay "&amp;G17&amp;" --endMP "&amp;H17&amp;" --enddatetime "&amp;TEXT(I17,"yyyy-mm-ddTHH:MM:SS")&amp;" --enforcementcount "&amp;J17&amp;IF(outputrefinedruntimes," &gt;&gt;"&amp;RefinedRTDCRunTimesOutputFile,"")</f>
        <v>"%USERPROFILE%\Documents\GitHub\eaglep3\Utilities\RefineRTDCRunTimes.py" --tripid 105-03 --locoid 4028 --swversion DE.1.0.9.0 --startMP 204:768 --initTime 2017-04-03T04:11:09 --startdatetime 2017-04-03T04:15:17 --delay 1 --endMP 204:233311 --enddatetime 2017-04-03T04:52:00 --enforcementcount 0 &gt;&gt;C:\Users\stu\Documents\GitHub\eaglep3-reporting\EC\2017-04-03-refined-times.txt</v>
      </c>
      <c r="AI17" s="104" t="str">
        <f>"echo {""issue"":{""subject"":"""&amp;R17&amp;""",""project_id"":79,""tracker_id"":40,""status_id"":"&amp;redmine_status&amp;",""priority_id"":"&amp;redmine_priority&amp;",""assigned_to_id"":"&amp;redmine_assignee&amp;",""start_date"":"""&amp;TEXT(I17,"YYYY-mm-dd")&amp;""",""description"":"""&amp;AJ17&amp;""",""custom_fields"":[{""id"":1,""name"":""Subdivision"",""value"":"""&amp;AG17&amp;"""},{""id"":4,""name"":""Milepost"",""value"":"""&amp;Z17&amp;"""},{""id"":17,""name"":""Train ID"",""value"":"""&amp;A17&amp;"""},{""id"":16,""name"":""Locomotive ID"",""value"":"""&amp;B17&amp;"""},{""id"":130,""name"":""Impact"",""value"":"""&amp;AK17&amp;"""},{""id"":150,""name"":""Time of Event (Mountain Time)"",""value"":"""&amp;TEXT(I17,"hh:mm:ss")&amp;"""},{""id"":151,""name"":""Denver Issue ID"",""value"":"""&amp;"""},{""id"":178,""name"":""Operational Impact"",""value"":"""&amp;redmine_op_impact&amp;"""},{""id"":179,""name"":""Denver Segment Assigned"",""value"":"""&amp;AL17&amp;"""}]}}"&amp;"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{"issue":{"subject":"","project_id":79,"tracker_id":40,"status_id":1,"priority_id":2,"assigned_to_id":23,"start_date":"2017-04-03","description":"","custom_fields":[{"id":1,"name":"Subdivision","value":"EC"},{"id":4,"name":"Milepost","value":"23.3311"},{"id":17,"name":"Train ID","value":"105-03"},{"id":16,"name":"Locomotive ID","value":"4028"},{"id":130,"name":"Impact","value":""},{"id":150,"name":"Time of Event (Mountain Time)","value":"04:52:00"},{"id":151,"name":"Denver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>"start /low /b "&amp;dls3logs&amp;" --loco "&amp;B17&amp;" --day "&amp;TEXT(F17,"YYYY-MM-DD")</f>
        <v>start /low /b %USERPROFILE%\Documents\GitHub\eaglep3\Utilities\DownloadLogsFromS3.py --loco 4028 --day 2017-04-03</v>
      </c>
      <c r="AN17" s="159" t="str">
        <f>"echo {""issue"":{""subject"":"""&amp;R17&amp;""",""project_id"":30,""tracker_id"":4,""status_id"":"&amp;redmine_status_wcr&amp;",""priority_id"":"&amp;redmine_priority_wcr&amp;",""assigned_to_id"":"&amp;redmine_assignee_wcr&amp;",""start_date"":"""&amp;TEXT(I17-utc_offset/24,"YYYY-mm-dd")&amp;""",""description"":"""&amp;AJ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573</v>
      </c>
      <c r="B18" s="7">
        <v>4041</v>
      </c>
      <c r="C18" s="21" t="s">
        <v>217</v>
      </c>
      <c r="D18" s="21" t="s">
        <v>829</v>
      </c>
      <c r="E18" s="13">
        <v>42828.213090277779</v>
      </c>
      <c r="F18" s="13">
        <v>42828.216157407405</v>
      </c>
      <c r="G18" s="7">
        <v>1</v>
      </c>
      <c r="H18" s="21" t="s">
        <v>830</v>
      </c>
      <c r="I18" s="13">
        <v>42828.246689814812</v>
      </c>
      <c r="J18" s="7">
        <v>0</v>
      </c>
      <c r="K18" s="97" t="str">
        <f>IF(ISEVEN(B18),(B18-1)&amp;"/"&amp;B18,B18&amp;"/"&amp;(B18+1))</f>
        <v>4041/4042</v>
      </c>
      <c r="L18" s="21" t="str">
        <f>VLOOKUP(A18,'Trips&amp;Operators'!$C$1:$G$99999,5,FALSE)</f>
        <v>STARKS ANGELINA</v>
      </c>
      <c r="M18" s="6">
        <f>I18-F18</f>
        <v>3.0532407407008577E-2</v>
      </c>
      <c r="N18" s="7">
        <f>24*60*SUM($M18:$M18)</f>
        <v>43.966666666092351</v>
      </c>
      <c r="O18" s="7"/>
      <c r="P18" s="7"/>
      <c r="Q18" s="22"/>
      <c r="R18" s="22" t="s">
        <v>1035</v>
      </c>
      <c r="S18" s="31">
        <f>SUM(U18:U18)/IF(AG18="EC",12,1)</f>
        <v>1</v>
      </c>
      <c r="T18" s="46" t="str">
        <f>IF(ISEVEN(LEFT(AD18,4)),"Southbound","NorthBound")</f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-04-03T04:06:51-0600',mode:absolute,to:'2017-04-03T06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83" t="str">
        <f>IF(AA18&lt;IF(AG18="EC",23,5.65),"Y","N")</f>
        <v>N</v>
      </c>
      <c r="X18" s="183">
        <f>VALUE(LEFT(AD18,4))-VALUE(LEFT(AD17,4))</f>
        <v>1</v>
      </c>
      <c r="Y18" s="62">
        <f>RIGHT(D18,LEN(D18)-4)/10000</f>
        <v>23.2652</v>
      </c>
      <c r="Z18" s="62">
        <v>0.01</v>
      </c>
      <c r="AA18" s="62">
        <f>ABS(Z18-Y18)</f>
        <v>23.255199999999999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>IF(LEN(A18)=6,"0"&amp;A18,A18)</f>
        <v>0106-03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AF18" s="82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/stypes="app*4041*20170403*" /stext=" 11:.+((SYSTEM_STATE.+slice.+state.+changed )|(ment ac)|(multiple cpu faults)|(system.+state.+changed )|(\[timeout)|(PRM\|1\|D)|(kpr)|(kdp)|(\|lc)|(penalty))"</v>
      </c>
      <c r="AG18" s="1" t="str">
        <f>IFERROR(IF(VALUE(LEFT(AD18,2))&lt;=2,"EC",IF(OR(VALUE(LEFT(AD18,2))=8,VALUE(LEFT(AD18,2))=18),"NW","Other")),"Other")</f>
        <v>EC</v>
      </c>
      <c r="AH18" s="86" t="str">
        <f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106-03 --locoid 4041 --swversion DE.1.0.9.0 --startMP 204:232652 --initTime 2017-04-03T05:06:51 --startdatetime 2017-04-03T05:11:16 --delay 1 --endMP 204:77560 --enddatetime 2017-04-03T05:55:14 --enforcementcount 0 &gt;&gt;C:\Users\stu\Documents\GitHub\eaglep3-reporting\EC\2017-04-03-refined-times.txt</v>
      </c>
      <c r="AI18" s="104" t="str">
        <f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{"issue":{"subject":"No unknown status enforcements found (only speed warnings and early arrivals)","project_id":79,"tracker_id":40,"status_id":1,"priority_id":2,"assigned_to_id":23,"start_date":"2017-04-03","description":"","custom_fields":[{"id":1,"name":"Subdivision","value":"EC"},{"id":4,"name":"Milepost","value":"0.01"},{"id":17,"name":"Train ID","value":"106-03"},{"id":16,"name":"Locomotive ID","value":"4041"},{"id":130,"name":"Impact","value":""},{"id":150,"name":"Time of Event (Mountain Time)","value":"05:55:14"},{"id":151,"name":"Denver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>"start /low /b "&amp;dls3logs&amp;" --loco "&amp;B18&amp;" --day "&amp;TEXT(F18,"YYYY-MM-DD")</f>
        <v>start /low /b %USERPROFILE%\Documents\GitHub\eaglep3\Utilities\DownloadLogsFromS3.py --loco 4041 --day 2017-04-03</v>
      </c>
      <c r="AN18" s="159" t="str">
        <f>"echo {""issue"":{""subject"":"""&amp;R18&amp;""",""project_id"":30,""tracker_id"":4,""status_id"":"&amp;redmine_status_wcr&amp;",""priority_id"":"&amp;redmine_priority_wcr&amp;",""assigned_to_id"":"&amp;redmine_assignee_wcr&amp;",""start_date"":"""&amp;TEXT(I18-utc_offset/24,"YYYY-mm-dd")&amp;""",""description"":"""&amp;AJ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{"issue":{"subject":"No unknown status enforcements found (only speed warnings and early arrivals)","project_id":30,"tracker_id":4,"status_id":1,"priority_id":1,"assigned_to_id":10,"start_date":"2017-04-03","description":"","custom_fields":[{"id":30,"name":"Category","value":"Issue"},{"id":3,"name":"Functional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639</v>
      </c>
      <c r="B19" s="7">
        <v>4018</v>
      </c>
      <c r="C19" s="21" t="s">
        <v>217</v>
      </c>
      <c r="D19" s="21" t="s">
        <v>831</v>
      </c>
      <c r="E19" s="13">
        <v>42828.178888888891</v>
      </c>
      <c r="F19" s="13">
        <v>42828.187951388885</v>
      </c>
      <c r="G19" s="7">
        <v>2</v>
      </c>
      <c r="H19" s="21" t="s">
        <v>476</v>
      </c>
      <c r="I19" s="13">
        <v>42828.214953703704</v>
      </c>
      <c r="J19" s="7">
        <v>0</v>
      </c>
      <c r="K19" s="97" t="str">
        <f>IF(ISEVEN(B19),(B19-1)&amp;"/"&amp;B19,B19&amp;"/"&amp;(B19+1))</f>
        <v>4017/4018</v>
      </c>
      <c r="L19" s="21" t="str">
        <f>VLOOKUP(A19,'Trips&amp;Operators'!$C$1:$G$99999,5,FALSE)</f>
        <v>FORTUNATO FRANK</v>
      </c>
      <c r="M19" s="6">
        <f>I19-F19</f>
        <v>2.7002314818673767E-2</v>
      </c>
      <c r="N19" s="7">
        <f>24*60*SUM($M19:$M19)</f>
        <v>38.883333338890225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-04-03T03:17:36-0600',mode:absolute,to:'2017-04-03T06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3" t="str">
        <f>IF(AA19&lt;IF(AG19="EC",23,5.65),"Y","N")</f>
        <v>N</v>
      </c>
      <c r="X19" s="183">
        <f>VALUE(LEFT(AD19,4))-VALUE(LEFT(AD18,4))</f>
        <v>1</v>
      </c>
      <c r="Y19" s="62">
        <f>RIGHT(D19,LEN(D19)-4)/10000</f>
        <v>4.9299999999999997E-2</v>
      </c>
      <c r="Z19" s="62">
        <f>RIGHT(H19,LEN(H19)-4)/10000</f>
        <v>23.3308</v>
      </c>
      <c r="AA19" s="62">
        <f>ABS(Z19-Y19)</f>
        <v>23.281500000000001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>IF(LEN(A19)=6,"0"&amp;A19,A19)</f>
        <v>0107-03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9" s="82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/stypes="app*4018*20170403*" /stext=" 11:.+((SYSTEM_STATE.+slice.+state.+changed )|(ment ac)|(multiple cpu faults)|(system.+state.+changed )|(\[timeout)|(PRM\|1\|D)|(kpr)|(kdp)|(\|lc)|(penalty))"</v>
      </c>
      <c r="AG19" s="1" t="str">
        <f>IFERROR(IF(VALUE(LEFT(AD19,2))&lt;=2,"EC",IF(OR(VALUE(LEFT(AD19,2))=8,VALUE(LEFT(AD19,2))=18),"NW","Other")),"Other")</f>
        <v>EC</v>
      </c>
      <c r="AH19" s="86" t="str">
        <f>refinertdcruntimes&amp;" --tripid "&amp;A19&amp;" --locoid "&amp;B19&amp;" --swversion "&amp;C19&amp;" --startMP "&amp;D19&amp;" --initTime "&amp;TEXT(E19,"yyyy-mm-ddTHH:MM:SS")&amp;" --startdatetime "&amp;TEXT(F19,"yyyy-mm-ddTHH:MM:SS")&amp;" --delay "&amp;G19&amp;" --endMP "&amp;H19&amp;" --enddatetime "&amp;TEXT(I19,"yyyy-mm-ddTHH:MM:SS")&amp;" --enforcementcount "&amp;J19&amp;IF(outputrefinedruntimes," &gt;&gt;"&amp;RefinedRTDCRunTimesOutputFile,"")</f>
        <v>"%USERPROFILE%\Documents\GitHub\eaglep3\Utilities\RefineRTDCRunTimes.py" --tripid 107-03 --locoid 4018 --swversion DE.1.0.9.0 --startMP 204:493 --initTime 2017-04-03T04:17:36 --startdatetime 2017-04-03T04:30:39 --delay 2 --endMP 204:233308 --enddatetime 2017-04-03T05:09:32 --enforcementcount 0 &gt;&gt;C:\Users\stu\Documents\GitHub\eaglep3-reporting\EC\2017-04-03-refined-times.txt</v>
      </c>
      <c r="AI19" s="104" t="str">
        <f>"echo {""issue"":{""subject"":"""&amp;R19&amp;""",""project_id"":79,""tracker_id"":40,""status_id"":"&amp;redmine_status&amp;",""priority_id"":"&amp;redmine_priority&amp;",""assigned_to_id"":"&amp;redmine_assignee&amp;",""start_date"":"""&amp;TEXT(I19,"YYYY-mm-dd")&amp;""",""description"":"""&amp;AJ19&amp;""",""custom_fields"":[{""id"":1,""name"":""Subdivision"",""value"":"""&amp;AG19&amp;"""},{""id"":4,""name"":""Milepost"",""value"":"""&amp;Z19&amp;"""},{""id"":17,""name"":""Train ID"",""value"":"""&amp;A19&amp;"""},{""id"":16,""name"":""Locomotive ID"",""value"":"""&amp;B19&amp;"""},{""id"":130,""name"":""Impact"",""value"":"""&amp;AK19&amp;"""},{""id"":150,""name"":""Time of Event (Mountain Time)"",""value"":"""&amp;TEXT(I19,"hh:mm:ss")&amp;"""},{""id"":151,""name"":""Denver Issue ID"",""value"":"""&amp;"""},{""id"":178,""name"":""Operational Impact"",""value"":"""&amp;redmine_op_impact&amp;"""},{""id"":179,""name"":""Denver Segment Assigned"",""value"":"""&amp;AL19&amp;"""}]}}"&amp;"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{"issue":{"subject":"","project_id":79,"tracker_id":40,"status_id":1,"priority_id":2,"assigned_to_id":23,"start_date":"2017-04-03","description":"","custom_fields":[{"id":1,"name":"Subdivision","value":"EC"},{"id":4,"name":"Milepost","value":"23.3308"},{"id":17,"name":"Train ID","value":"107-03"},{"id":16,"name":"Locomotive ID","value":"4018"},{"id":130,"name":"Impact","value":""},{"id":150,"name":"Time of Event (Mountain Time)","value":"05:09:32"},{"id":151,"name":"Denver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>"start /low /b "&amp;dls3logs&amp;" --loco "&amp;B19&amp;" --day "&amp;TEXT(F19,"YYYY-MM-DD")</f>
        <v>start /low /b %USERPROFILE%\Documents\GitHub\eaglep3\Utilities\DownloadLogsFromS3.py --loco 4018 --day 2017-04-03</v>
      </c>
      <c r="AN19" s="159" t="str">
        <f>"echo {""issue"":{""subject"":"""&amp;R19&amp;""",""project_id"":30,""tracker_id"":4,""status_id"":"&amp;redmine_status_wcr&amp;",""priority_id"":"&amp;redmine_priority_wcr&amp;",""assigned_to_id"":"&amp;redmine_assignee_wcr&amp;",""start_date"":"""&amp;TEXT(I19-utc_offset/24,"YYYY-mm-dd")&amp;""",""description"":"""&amp;AJ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646</v>
      </c>
      <c r="B20" s="7">
        <v>4017</v>
      </c>
      <c r="C20" s="21" t="s">
        <v>217</v>
      </c>
      <c r="D20" s="21" t="s">
        <v>550</v>
      </c>
      <c r="E20" s="13">
        <v>42828.22042824074</v>
      </c>
      <c r="F20" s="13">
        <v>42828.2265625</v>
      </c>
      <c r="G20" s="7">
        <v>1</v>
      </c>
      <c r="H20" s="21" t="s">
        <v>386</v>
      </c>
      <c r="I20" s="13">
        <v>42828.258935185186</v>
      </c>
      <c r="J20" s="7">
        <v>0</v>
      </c>
      <c r="K20" s="97" t="str">
        <f>IF(ISEVEN(B20),(B20-1)&amp;"/"&amp;B20,B20&amp;"/"&amp;(B20+1))</f>
        <v>4017/4018</v>
      </c>
      <c r="L20" s="21" t="str">
        <f>VLOOKUP(A20,'Trips&amp;Operators'!$C$1:$G$99999,5,FALSE)</f>
        <v>FORTUNATO FRANK</v>
      </c>
      <c r="M20" s="6">
        <f>I20-F20</f>
        <v>3.2372685185691807E-2</v>
      </c>
      <c r="N20" s="7">
        <f>24*60*SUM($M20:$M20)</f>
        <v>46.616666667396203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-04-03T04:17:25-0600',mode:absolute,to:'2017-04-03T07:12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83" t="str">
        <f>IF(AA20&lt;IF(AG20="EC",23,5.65),"Y","N")</f>
        <v>N</v>
      </c>
      <c r="X20" s="183">
        <f>VALUE(LEFT(AD20,4))-VALUE(LEFT(AD19,4))</f>
        <v>1</v>
      </c>
      <c r="Y20" s="62">
        <f>RIGHT(D20,LEN(D20)-4)/10000</f>
        <v>23.298500000000001</v>
      </c>
      <c r="Z20" s="62">
        <f>RIGHT(H20,LEN(H20)-4)/10000</f>
        <v>1.43E-2</v>
      </c>
      <c r="AA20" s="62">
        <f>ABS(Z20-Y20)</f>
        <v>23.284200000000002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>IF(LEN(A20)=6,"0"&amp;A20,A20)</f>
        <v>0108-03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20" s="82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/stypes="app*4017*20170403*" /stext=" 12:.+((SYSTEM_STATE.+slice.+state.+changed )|(ment ac)|(multiple cpu faults)|(system.+state.+changed )|(\[timeout)|(PRM\|1\|D)|(kpr)|(kdp)|(\|lc)|(penalty))"</v>
      </c>
      <c r="AG20" s="1" t="str">
        <f>IFERROR(IF(VALUE(LEFT(AD20,2))&lt;=2,"EC",IF(OR(VALUE(LEFT(AD20,2))=8,VALUE(LEFT(AD20,2))=18),"NW","Other")),"Other")</f>
        <v>EC</v>
      </c>
      <c r="AH20" s="86" t="str">
        <f>refinertdcruntimes&amp;" --tripid "&amp;A20&amp;" --locoid "&amp;B20&amp;" --swversion "&amp;C20&amp;" --startMP "&amp;D20&amp;" --initTime "&amp;TEXT(E20,"yyyy-mm-ddTHH:MM:SS")&amp;" --startdatetime "&amp;TEXT(F20,"yyyy-mm-ddTHH:MM:SS")&amp;" --delay "&amp;G20&amp;" --endMP "&amp;H20&amp;" --enddatetime "&amp;TEXT(I20,"yyyy-mm-ddTHH:MM:SS")&amp;" --enforcementcount "&amp;J20&amp;IF(outputrefinedruntimes," &gt;&gt;"&amp;RefinedRTDCRunTimesOutputFile,"")</f>
        <v>"%USERPROFILE%\Documents\GitHub\eaglep3\Utilities\RefineRTDCRunTimes.py" --tripid 108-03 --locoid 4017 --swversion DE.1.0.9.0 --startMP 204:232985 --initTime 2017-04-03T05:17:25 --startdatetime 2017-04-03T05:26:15 --delay 1 --endMP 204:143 --enddatetime 2017-04-03T06:12:52 --enforcementcount 0 &gt;&gt;C:\Users\stu\Documents\GitHub\eaglep3-reporting\EC\2017-04-03-refined-times.txt</v>
      </c>
      <c r="AI20" s="104" t="str">
        <f>"echo {""issue"":{""subject"":"""&amp;R20&amp;""",""project_id"":79,""tracker_id"":40,""status_id"":"&amp;redmine_status&amp;",""priority_id"":"&amp;redmine_priority&amp;",""assigned_to_id"":"&amp;redmine_assignee&amp;",""start_date"":"""&amp;TEXT(I20,"YYYY-mm-dd")&amp;""",""description"":"""&amp;AJ20&amp;""",""custom_fields"":[{""id"":1,""name"":""Subdivision"",""value"":"""&amp;AG20&amp;"""},{""id"":4,""name"":""Milepost"",""value"":"""&amp;Z20&amp;"""},{""id"":17,""name"":""Train ID"",""value"":"""&amp;A20&amp;"""},{""id"":16,""name"":""Locomotive ID"",""value"":"""&amp;B20&amp;"""},{""id"":130,""name"":""Impact"",""value"":"""&amp;AK20&amp;"""},{""id"":150,""name"":""Time of Event (Mountain Time)"",""value"":"""&amp;TEXT(I20,"hh:mm:ss")&amp;"""},{""id"":151,""name"":""Denver Issue ID"",""value"":"""&amp;"""},{""id"":178,""name"":""Operational Impact"",""value"":"""&amp;redmine_op_impact&amp;"""},{""id"":179,""name"":""Denver Segment Assigned"",""value"":"""&amp;AL20&amp;"""}]}}"&amp;"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ID","value":"108-03"},{"id":16,"name":"Locomotive ID","value":"4017"},{"id":130,"name":"Impact","value":""},{"id":150,"name":"Time of Event (Mountain Time)","value":"06:12:52"},{"id":151,"name":"Denver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>"start /low /b "&amp;dls3logs&amp;" --loco "&amp;B20&amp;" --day "&amp;TEXT(F20,"YYYY-MM-DD")</f>
        <v>start /low /b %USERPROFILE%\Documents\GitHub\eaglep3\Utilities\DownloadLogsFromS3.py --loco 4017 --day 2017-04-03</v>
      </c>
      <c r="AN20" s="159" t="str">
        <f>"echo {""issue"":{""subject"":"""&amp;R20&amp;""",""project_id"":30,""tracker_id"":4,""status_id"":"&amp;redmine_status_wcr&amp;",""priority_id"":"&amp;redmine_priority_wcr&amp;",""assigned_to_id"":"&amp;redmine_assignee_wcr&amp;",""start_date"":"""&amp;TEXT(I20-utc_offset/24,"YYYY-mm-dd")&amp;""",""description"":"""&amp;AJ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12:12:52"},{"id":29,"name":"Sharepoint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642</v>
      </c>
      <c r="B21" s="7">
        <v>4008</v>
      </c>
      <c r="C21" s="21" t="s">
        <v>217</v>
      </c>
      <c r="D21" s="21" t="s">
        <v>212</v>
      </c>
      <c r="E21" s="13">
        <v>42828.190613425926</v>
      </c>
      <c r="F21" s="13">
        <v>42828.19809027778</v>
      </c>
      <c r="G21" s="7">
        <v>1</v>
      </c>
      <c r="H21" s="21" t="s">
        <v>832</v>
      </c>
      <c r="I21" s="13">
        <v>42828.225115740737</v>
      </c>
      <c r="J21" s="7">
        <v>0</v>
      </c>
      <c r="K21" s="97" t="str">
        <f>IF(ISEVEN(B21),(B21-1)&amp;"/"&amp;B21,B21&amp;"/"&amp;(B21+1))</f>
        <v>4007/4008</v>
      </c>
      <c r="L21" s="21" t="str">
        <f>VLOOKUP(A21,'Trips&amp;Operators'!$C$1:$G$99999,5,FALSE)</f>
        <v>SHOOK JOHN</v>
      </c>
      <c r="M21" s="6">
        <f>I21-F21</f>
        <v>2.7025462957681157E-2</v>
      </c>
      <c r="N21" s="7">
        <f>24*60*SUM($M21:$M21)</f>
        <v>38.916666659060866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-04-03T03:34:29-0600',mode:absolute,to:'2017-04-03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" s="183" t="str">
        <f>IF(AA21&lt;IF(AG21="EC",23,5.65),"Y","N")</f>
        <v>N</v>
      </c>
      <c r="X21" s="183">
        <f>VALUE(LEFT(AD21,4))-VALUE(LEFT(AD20,4))</f>
        <v>1</v>
      </c>
      <c r="Y21" s="62">
        <f>RIGHT(D21,LEN(D21)-4)/10000</f>
        <v>4.5499999999999999E-2</v>
      </c>
      <c r="Z21" s="62">
        <f>RIGHT(H21,LEN(H21)-4)/10000</f>
        <v>23.328600000000002</v>
      </c>
      <c r="AA21" s="62">
        <f>ABS(Z21-Y21)</f>
        <v>23.283100000000001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>IF(LEN(A21)=6,"0"&amp;A21,A21)</f>
        <v>0109-03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21" s="82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/stypes="app*4008*20170403*" /stext=" 11:.+((SYSTEM_STATE.+slice.+state.+changed )|(ment ac)|(multiple cpu faults)|(system.+state.+changed )|(\[timeout)|(PRM\|1\|D)|(kpr)|(kdp)|(\|lc)|(penalty))"</v>
      </c>
      <c r="AG21" s="1" t="str">
        <f>IFERROR(IF(VALUE(LEFT(AD21,2))&lt;=2,"EC",IF(OR(VALUE(LEFT(AD21,2))=8,VALUE(LEFT(AD21,2))=18),"NW","Other")),"Other")</f>
        <v>EC</v>
      </c>
      <c r="AH21" s="86" t="str">
        <f>refinertdcruntimes&amp;" --tripid "&amp;A21&amp;" --locoid "&amp;B21&amp;" --swversion "&amp;C21&amp;" --startMP "&amp;D21&amp;" --initTime "&amp;TEXT(E21,"yyyy-mm-ddTHH:MM:SS")&amp;" --startdatetime "&amp;TEXT(F21,"yyyy-mm-ddTHH:MM:SS")&amp;" --delay "&amp;G21&amp;" --endMP "&amp;H21&amp;" --enddatetime "&amp;TEXT(I21,"yyyy-mm-ddTHH:MM:SS")&amp;" --enforcementcount "&amp;J21&amp;IF(outputrefinedruntimes," &gt;&gt;"&amp;RefinedRTDCRunTimesOutputFile,"")</f>
        <v>"%USERPROFILE%\Documents\GitHub\eaglep3\Utilities\RefineRTDCRunTimes.py" --tripid 109-03 --locoid 4008 --swversion DE.1.0.9.0 --startMP 204:455 --initTime 2017-04-03T04:34:29 --startdatetime 2017-04-03T04:45:15 --delay 1 --endMP 204:233286 --enddatetime 2017-04-03T05:24:10 --enforcementcount 0 &gt;&gt;C:\Users\stu\Documents\GitHub\eaglep3-reporting\EC\2017-04-03-refined-times.txt</v>
      </c>
      <c r="AI21" s="104" t="str">
        <f>"echo {""issue"":{""subject"":"""&amp;R21&amp;""",""project_id"":79,""tracker_id"":40,""status_id"":"&amp;redmine_status&amp;",""priority_id"":"&amp;redmine_priority&amp;",""assigned_to_id"":"&amp;redmine_assignee&amp;",""start_date"":"""&amp;TEXT(I21,"YYYY-mm-dd")&amp;""",""description"":"""&amp;AJ21&amp;""",""custom_fields"":[{""id"":1,""name"":""Subdivision"",""value"":"""&amp;AG21&amp;"""},{""id"":4,""name"":""Milepost"",""value"":"""&amp;Z21&amp;"""},{""id"":17,""name"":""Train ID"",""value"":"""&amp;A21&amp;"""},{""id"":16,""name"":""Locomotive ID"",""value"":"""&amp;B21&amp;"""},{""id"":130,""name"":""Impact"",""value"":"""&amp;AK21&amp;"""},{""id"":150,""name"":""Time of Event (Mountain Time)"",""value"":"""&amp;TEXT(I21,"hh:mm:ss")&amp;"""},{""id"":151,""name"":""Denver Issue ID"",""value"":"""&amp;"""},{""id"":178,""name"":""Operational Impact"",""value"":"""&amp;redmine_op_impact&amp;"""},{""id"":179,""name"":""Denver Segment Assigned"",""value"":"""&amp;AL21&amp;"""}]}}"&amp;"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{"issue":{"subject":"","project_id":79,"tracker_id":40,"status_id":1,"priority_id":2,"assigned_to_id":23,"start_date":"2017-04-03","description":"","custom_fields":[{"id":1,"name":"Subdivision","value":"EC"},{"id":4,"name":"Milepost","value":"23.3286"},{"id":17,"name":"Train ID","value":"109-03"},{"id":16,"name":"Locomotive ID","value":"4008"},{"id":130,"name":"Impact","value":""},{"id":150,"name":"Time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>"start /low /b "&amp;dls3logs&amp;" --loco "&amp;B21&amp;" --day "&amp;TEXT(F21,"YYYY-MM-DD")</f>
        <v>start /low /b %USERPROFILE%\Documents\GitHub\eaglep3\Utilities\DownloadLogsFromS3.py --loco 4008 --day 2017-04-03</v>
      </c>
      <c r="AN21" s="159" t="str">
        <f>"echo {""issue"":{""subject"":"""&amp;R21&amp;""",""project_id"":30,""tracker_id"":4,""status_id"":"&amp;redmine_status_wcr&amp;",""priority_id"":"&amp;redmine_priority_wcr&amp;",""assigned_to_id"":"&amp;redmine_assignee_wcr&amp;",""start_date"":"""&amp;TEXT(I21-utc_offset/24,"YYYY-mm-dd")&amp;""",""description"":"""&amp;AJ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648</v>
      </c>
      <c r="B22" s="7">
        <v>4007</v>
      </c>
      <c r="C22" s="21" t="s">
        <v>217</v>
      </c>
      <c r="D22" s="21" t="s">
        <v>833</v>
      </c>
      <c r="E22" s="13">
        <v>42828.226770833331</v>
      </c>
      <c r="F22" s="13">
        <v>42828.236979166664</v>
      </c>
      <c r="G22" s="7">
        <v>1</v>
      </c>
      <c r="H22" s="21" t="s">
        <v>834</v>
      </c>
      <c r="I22" s="13">
        <v>42828.266192129631</v>
      </c>
      <c r="J22" s="7">
        <v>0</v>
      </c>
      <c r="K22" s="97" t="str">
        <f>IF(ISEVEN(B22),(B22-1)&amp;"/"&amp;B22,B22&amp;"/"&amp;(B22+1))</f>
        <v>4007/4008</v>
      </c>
      <c r="L22" s="21" t="str">
        <f>VLOOKUP(A22,'Trips&amp;Operators'!$C$1:$G$99999,5,FALSE)</f>
        <v>SHOOK JOHN</v>
      </c>
      <c r="M22" s="6">
        <f>I22-F22</f>
        <v>2.9212962966994382E-2</v>
      </c>
      <c r="N22" s="7">
        <f>24*60*SUM($M22:$M22)</f>
        <v>42.066666672471911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-04-03T04:26:33-0600',mode:absolute,to:'2017-04-03T07:23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" s="183" t="str">
        <f>IF(AA22&lt;IF(AG22="EC",23,5.65),"Y","N")</f>
        <v>N</v>
      </c>
      <c r="X22" s="183">
        <f>VALUE(LEFT(AD22,4))-VALUE(LEFT(AD21,4))</f>
        <v>1</v>
      </c>
      <c r="Y22" s="62">
        <f>RIGHT(D22,LEN(D22)-4)/10000</f>
        <v>23.2971</v>
      </c>
      <c r="Z22" s="62">
        <f>RIGHT(H22,LEN(H22)-4)/10000</f>
        <v>3.4500000000000003E-2</v>
      </c>
      <c r="AA22" s="62">
        <f>ABS(Z22-Y22)</f>
        <v>23.262599999999999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>IF(LEN(A22)=6,"0"&amp;A22,A22)</f>
        <v>0110-03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22" s="82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/stypes="app*4007*20170403*" /stext=" 12:.+((SYSTEM_STATE.+slice.+state.+changed )|(ment ac)|(multiple cpu faults)|(system.+state.+changed )|(\[timeout)|(PRM\|1\|D)|(kpr)|(kdp)|(\|lc)|(penalty))"</v>
      </c>
      <c r="AG22" s="1" t="str">
        <f>IFERROR(IF(VALUE(LEFT(AD22,2))&lt;=2,"EC",IF(OR(VALUE(LEFT(AD22,2))=8,VALUE(LEFT(AD22,2))=18),"NW","Other")),"Other")</f>
        <v>EC</v>
      </c>
      <c r="AH22" s="86" t="str">
        <f>refinertdcruntimes&amp;" --tripid "&amp;A22&amp;" --locoid "&amp;B22&amp;" --swversion "&amp;C22&amp;" --startMP "&amp;D22&amp;" --initTime "&amp;TEXT(E22,"yyyy-mm-ddTHH:MM:SS")&amp;" --startdatetime "&amp;TEXT(F22,"yyyy-mm-ddTHH:MM:SS")&amp;" --delay "&amp;G22&amp;" --endMP "&amp;H22&amp;" --enddatetime "&amp;TEXT(I22,"yyyy-mm-ddTHH:MM:SS")&amp;" --enforcementcount "&amp;J22&amp;IF(outputrefinedruntimes," &gt;&gt;"&amp;RefinedRTDCRunTimesOutputFile,"")</f>
        <v>"%USERPROFILE%\Documents\GitHub\eaglep3\Utilities\RefineRTDCRunTimes.py" --tripid 110-03 --locoid 4007 --swversion DE.1.0.9.0 --startMP 204:232971 --initTime 2017-04-03T05:26:33 --startdatetime 2017-04-03T05:41:15 --delay 1 --endMP 204:345 --enddatetime 2017-04-03T06:23:19 --enforcementcount 0 &gt;&gt;C:\Users\stu\Documents\GitHub\eaglep3-reporting\EC\2017-04-03-refined-times.txt</v>
      </c>
      <c r="AI22" s="104" t="str">
        <f>"echo {""issue"":{""subject"":"""&amp;R22&amp;""",""project_id"":79,""tracker_id"":40,""status_id"":"&amp;redmine_status&amp;",""priority_id"":"&amp;redmine_priority&amp;",""assigned_to_id"":"&amp;redmine_assignee&amp;",""start_date"":"""&amp;TEXT(I22,"YYYY-mm-dd")&amp;""",""description"":"""&amp;AJ22&amp;""",""custom_fields"":[{""id"":1,""name"":""Subdivision"",""value"":"""&amp;AG22&amp;"""},{""id"":4,""name"":""Milepost"",""value"":"""&amp;Z22&amp;"""},{""id"":17,""name"":""Train ID"",""value"":"""&amp;A22&amp;"""},{""id"":16,""name"":""Locomotive ID"",""value"":"""&amp;B22&amp;"""},{""id"":130,""name"":""Impact"",""value"":"""&amp;AK22&amp;"""},{""id"":150,""name"":""Time of Event (Mountain Time)"",""value"":"""&amp;TEXT(I22,"hh:mm:ss")&amp;"""},{""id"":151,""name"":""Denver Issue ID"",""value"":"""&amp;"""},{""id"":178,""name"":""Operational Impact"",""value"":"""&amp;redmine_op_impact&amp;"""},{""id"":179,""name"":""Denver Segment Assigned"",""value"":"""&amp;AL22&amp;"""}]}}"&amp;"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{"issue":{"subject":"","project_id":79,"tracker_id":40,"status_id":1,"priority_id":2,"assigned_to_id":23,"start_date":"2017-04-03","description":"","custom_fields":[{"id":1,"name":"Subdivision","value":"EC"},{"id":4,"name":"Milepost","value":"0.0345"},{"id":17,"name":"Train ID","value":"110-03"},{"id":16,"name":"Locomotive ID","value":"4007"},{"id":130,"name":"Impact","value":""},{"id":150,"name":"Time of Event (Mountain Time)","value":"06:23:19"},{"id":151,"name":"Denver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>"start /low /b "&amp;dls3logs&amp;" --loco "&amp;B22&amp;" --day "&amp;TEXT(F22,"YYYY-MM-DD")</f>
        <v>start /low /b %USERPROFILE%\Documents\GitHub\eaglep3\Utilities\DownloadLogsFromS3.py --loco 4007 --day 2017-04-03</v>
      </c>
      <c r="AN22" s="159" t="str">
        <f>"echo {""issue"":{""subject"":"""&amp;R22&amp;""",""project_id"":30,""tracker_id"":4,""status_id"":"&amp;redmine_status_wcr&amp;",""priority_id"":"&amp;redmine_priority_wcr&amp;",""assigned_to_id"":"&amp;redmine_assignee_wcr&amp;",""start_date"":"""&amp;TEXT(I22-utc_offset/24,"YYYY-mm-dd")&amp;""",""description"":"""&amp;AJ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643</v>
      </c>
      <c r="B23" s="7">
        <v>4052</v>
      </c>
      <c r="C23" s="21" t="s">
        <v>217</v>
      </c>
      <c r="D23" s="21" t="s">
        <v>835</v>
      </c>
      <c r="E23" s="13">
        <v>42828.202997685185</v>
      </c>
      <c r="F23" s="13">
        <v>42828.208599537036</v>
      </c>
      <c r="G23" s="7">
        <v>1</v>
      </c>
      <c r="H23" s="21" t="s">
        <v>561</v>
      </c>
      <c r="I23" s="13">
        <v>42828.233148148145</v>
      </c>
      <c r="J23" s="7">
        <v>0</v>
      </c>
      <c r="K23" s="97" t="str">
        <f>IF(ISEVEN(B23),(B23-1)&amp;"/"&amp;B23,B23&amp;"/"&amp;(B23+1))</f>
        <v>4051/4052</v>
      </c>
      <c r="L23" s="21" t="str">
        <f>VLOOKUP(A23,'Trips&amp;Operators'!$C$1:$G$99999,5,FALSE)</f>
        <v>YORK EDGAR</v>
      </c>
      <c r="M23" s="6">
        <f>I23-F23</f>
        <v>2.4548611108912155E-2</v>
      </c>
      <c r="N23" s="7">
        <f>24*60*SUM($M23:$M23)</f>
        <v>35.349999996833503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-04-03T03:52:19-0600',mode:absolute,to:'2017-04-03T06:35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" s="183" t="str">
        <f>IF(AA23&lt;IF(AG23="EC",23,5.65),"Y","N")</f>
        <v>N</v>
      </c>
      <c r="X23" s="183">
        <f>VALUE(LEFT(AD23,4))-VALUE(LEFT(AD22,4))</f>
        <v>1</v>
      </c>
      <c r="Y23" s="62">
        <f>RIGHT(D23,LEN(D23)-4)/10000</f>
        <v>7.4999999999999997E-2</v>
      </c>
      <c r="Z23" s="62">
        <f>RIGHT(H23,LEN(H23)-4)/10000</f>
        <v>23.329799999999999</v>
      </c>
      <c r="AA23" s="62">
        <f>ABS(Z23-Y23)</f>
        <v>23.254799999999999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>IF(LEN(A23)=6,"0"&amp;A23,A23)</f>
        <v>0111-03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23" s="82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/stypes="app*4052*20170403*" /stext=" 11:.+((SYSTEM_STATE.+slice.+state.+changed )|(ment ac)|(multiple cpu faults)|(system.+state.+changed )|(\[timeout)|(PRM\|1\|D)|(kpr)|(kdp)|(\|lc)|(penalty))"</v>
      </c>
      <c r="AG23" s="1" t="str">
        <f>IFERROR(IF(VALUE(LEFT(AD23,2))&lt;=2,"EC",IF(OR(VALUE(LEFT(AD23,2))=8,VALUE(LEFT(AD23,2))=18),"NW","Other")),"Other")</f>
        <v>EC</v>
      </c>
      <c r="AH23" s="86" t="str">
        <f>refinertdcruntimes&amp;" --tripid "&amp;A23&amp;" --locoid "&amp;B23&amp;" --swversion "&amp;C23&amp;" --startMP "&amp;D23&amp;" --initTime "&amp;TEXT(E23,"yyyy-mm-ddTHH:MM:SS")&amp;" --startdatetime "&amp;TEXT(F23,"yyyy-mm-ddTHH:MM:SS")&amp;" --delay "&amp;G23&amp;" --endMP "&amp;H23&amp;" --enddatetime "&amp;TEXT(I23,"yyyy-mm-ddTHH:MM:SS")&amp;" --enforcementcount "&amp;J23&amp;IF(outputrefinedruntimes," &gt;&gt;"&amp;RefinedRTDCRunTimesOutputFile,"")</f>
        <v>"%USERPROFILE%\Documents\GitHub\eaglep3\Utilities\RefineRTDCRunTimes.py" --tripid 111-03 --locoid 4052 --swversion DE.1.0.9.0 --startMP 204:750 --initTime 2017-04-03T04:52:19 --startdatetime 2017-04-03T05:00:23 --delay 1 --endMP 204:233298 --enddatetime 2017-04-03T05:35:44 --enforcementcount 0 &gt;&gt;C:\Users\stu\Documents\GitHub\eaglep3-reporting\EC\2017-04-03-refined-times.txt</v>
      </c>
      <c r="AI23" s="104" t="str">
        <f>"echo {""issue"":{""subject"":"""&amp;R23&amp;""",""project_id"":79,""tracker_id"":40,""status_id"":"&amp;redmine_status&amp;",""priority_id"":"&amp;redmine_priority&amp;",""assigned_to_id"":"&amp;redmine_assignee&amp;",""start_date"":"""&amp;TEXT(I23,"YYYY-mm-dd")&amp;""",""description"":"""&amp;AJ23&amp;""",""custom_fields"":[{""id"":1,""name"":""Subdivision"",""value"":"""&amp;AG23&amp;"""},{""id"":4,""name"":""Milepost"",""value"":"""&amp;Z23&amp;"""},{""id"":17,""name"":""Train ID"",""value"":"""&amp;A23&amp;"""},{""id"":16,""name"":""Locomotive ID"",""value"":"""&amp;B23&amp;"""},{""id"":130,""name"":""Impact"",""value"":"""&amp;AK23&amp;"""},{""id"":150,""name"":""Time of Event (Mountain Time)"",""value"":"""&amp;TEXT(I23,"hh:mm:ss")&amp;"""},{""id"":151,""name"":""Denver Issue ID"",""value"":"""&amp;"""},{""id"":178,""name"":""Operational Impact"",""value"":"""&amp;redmine_op_impact&amp;"""},{""id"":179,""name"":""Denver Segment Assigned"",""value"":"""&amp;AL23&amp;"""}]}}"&amp;"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{"issue":{"subject":"","project_id":79,"tracker_id":40,"status_id":1,"priority_id":2,"assigned_to_id":23,"start_date":"2017-04-03","description":"","custom_fields":[{"id":1,"name":"Subdivision","value":"EC"},{"id":4,"name":"Milepost","value":"23.3298"},{"id":17,"name":"Train ID","value":"111-03"},{"id":16,"name":"Locomotive ID","value":"4052"},{"id":130,"name":"Impact","value":""},{"id":150,"name":"Time of Event (Mountain Time)","value":"05:35:44"},{"id":151,"name":"Denver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>"start /low /b "&amp;dls3logs&amp;" --loco "&amp;B23&amp;" --day "&amp;TEXT(F23,"YYYY-MM-DD")</f>
        <v>start /low /b %USERPROFILE%\Documents\GitHub\eaglep3\Utilities\DownloadLogsFromS3.py --loco 4052 --day 2017-04-03</v>
      </c>
      <c r="AN23" s="159" t="str">
        <f>"echo {""issue"":{""subject"":"""&amp;R23&amp;""",""project_id"":30,""tracker_id"":4,""status_id"":"&amp;redmine_status_wcr&amp;",""priority_id"":"&amp;redmine_priority_wcr&amp;",""assigned_to_id"":"&amp;redmine_assignee_wcr&amp;",""start_date"":"""&amp;TEXT(I23-utc_offset/24,"YYYY-mm-dd")&amp;""",""description"":"""&amp;AJ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11:35:44"},{"id":29,"name":"Sharepoint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650</v>
      </c>
      <c r="B24" s="7">
        <v>4051</v>
      </c>
      <c r="C24" s="21" t="s">
        <v>217</v>
      </c>
      <c r="D24" s="21" t="s">
        <v>420</v>
      </c>
      <c r="E24" s="13">
        <v>42828.246261574073</v>
      </c>
      <c r="F24" s="13">
        <v>42828.24796296296</v>
      </c>
      <c r="G24" s="7">
        <v>1</v>
      </c>
      <c r="H24" s="21" t="s">
        <v>191</v>
      </c>
      <c r="I24" s="13">
        <v>42828.274560185186</v>
      </c>
      <c r="J24" s="7">
        <v>0</v>
      </c>
      <c r="K24" s="97" t="str">
        <f>IF(ISEVEN(B24),(B24-1)&amp;"/"&amp;B24,B24&amp;"/"&amp;(B24+1))</f>
        <v>4051/4052</v>
      </c>
      <c r="L24" s="21" t="str">
        <f>VLOOKUP(A24,'Trips&amp;Operators'!$C$1:$G$99999,5,FALSE)</f>
        <v>YORK EDGAR</v>
      </c>
      <c r="M24" s="6">
        <f>I24-F24</f>
        <v>2.6597222225973383E-2</v>
      </c>
      <c r="N24" s="7">
        <f>24*60*SUM($M24:$M24)</f>
        <v>38.300000005401671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-04-03T04:54:37-0600',mode:absolute,to:'2017-04-03T07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4" s="183" t="str">
        <f>IF(AA24&lt;IF(AG24="EC",23,5.65),"Y","N")</f>
        <v>N</v>
      </c>
      <c r="X24" s="183">
        <f>VALUE(LEFT(AD24,4))-VALUE(LEFT(AD23,4))</f>
        <v>1</v>
      </c>
      <c r="Y24" s="62">
        <f>RIGHT(D24,LEN(D24)-4)/10000</f>
        <v>23.298100000000002</v>
      </c>
      <c r="Z24" s="62">
        <f>RIGHT(H24,LEN(H24)-4)/10000</f>
        <v>1.4999999999999999E-2</v>
      </c>
      <c r="AA24" s="62">
        <f>ABS(Z24-Y24)</f>
        <v>23.283100000000001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>IF(LEN(A24)=6,"0"&amp;A24,A24)</f>
        <v>0112-03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24" s="82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/stypes="app*4051*20170403*" /stext=" 12:.+((SYSTEM_STATE.+slice.+state.+changed )|(ment ac)|(multiple cpu faults)|(system.+state.+changed )|(\[timeout)|(PRM\|1\|D)|(kpr)|(kdp)|(\|lc)|(penalty))"</v>
      </c>
      <c r="AG24" s="1" t="str">
        <f>IFERROR(IF(VALUE(LEFT(AD24,2))&lt;=2,"EC",IF(OR(VALUE(LEFT(AD24,2))=8,VALUE(LEFT(AD24,2))=18),"NW","Other")),"Other")</f>
        <v>EC</v>
      </c>
      <c r="AH24" s="86" t="str">
        <f>refinertdcruntimes&amp;" --tripid "&amp;A24&amp;" --locoid "&amp;B24&amp;" --swversion "&amp;C24&amp;" --startMP "&amp;D24&amp;" --initTime "&amp;TEXT(E24,"yyyy-mm-ddTHH:MM:SS")&amp;" --startdatetime "&amp;TEXT(F24,"yyyy-mm-ddTHH:MM:SS")&amp;" --delay "&amp;G24&amp;" --endMP "&amp;H24&amp;" --enddatetime "&amp;TEXT(I24,"yyyy-mm-ddTHH:MM:SS")&amp;" --enforcementcount "&amp;J24&amp;IF(outputrefinedruntimes," &gt;&gt;"&amp;RefinedRTDCRunTimesOutputFile,"")</f>
        <v>"%USERPROFILE%\Documents\GitHub\eaglep3\Utilities\RefineRTDCRunTimes.py" --tripid 112-03 --locoid 4051 --swversion DE.1.0.9.0 --startMP 204:232981 --initTime 2017-04-03T05:54:37 --startdatetime 2017-04-03T05:57:04 --delay 1 --endMP 204:150 --enddatetime 2017-04-03T06:35:22 --enforcementcount 0 &gt;&gt;C:\Users\stu\Documents\GitHub\eaglep3-reporting\EC\2017-04-03-refined-times.txt</v>
      </c>
      <c r="AI24" s="104" t="str">
        <f>"echo {""issue"":{""subject"":"""&amp;R24&amp;""",""project_id"":79,""tracker_id"":40,""status_id"":"&amp;redmine_status&amp;",""priority_id"":"&amp;redmine_priority&amp;",""assigned_to_id"":"&amp;redmine_assignee&amp;",""start_date"":"""&amp;TEXT(I24,"YYYY-mm-dd")&amp;""",""description"":"""&amp;AJ24&amp;""",""custom_fields"":[{""id"":1,""name"":""Subdivision"",""value"":"""&amp;AG24&amp;"""},{""id"":4,""name"":""Milepost"",""value"":"""&amp;Z24&amp;"""},{""id"":17,""name"":""Train ID"",""value"":"""&amp;A24&amp;"""},{""id"":16,""name"":""Locomotive ID"",""value"":"""&amp;B24&amp;"""},{""id"":130,""name"":""Impact"",""value"":"""&amp;AK24&amp;"""},{""id"":150,""name"":""Time of Event (Mountain Time)"",""value"":"""&amp;TEXT(I24,"hh:mm:ss")&amp;"""},{""id"":151,""name"":""Denver Issue ID"",""value"":"""&amp;"""},{""id"":178,""name"":""Operational Impact"",""value"":"""&amp;redmine_op_impact&amp;"""},{""id"":179,""name"":""Denver Segment Assigned"",""value"":"""&amp;AL24&amp;"""}]}}"&amp;"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ID","value":"112-03"},{"id":16,"name":"Locomotive ID","value":"4051"},{"id":130,"name":"Impact","value":""},{"id":150,"name":"Time of Event (Mountain Time)","value":"06:35:22"},{"id":151,"name":"Denver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>"start /low /b "&amp;dls3logs&amp;" --loco "&amp;B24&amp;" --day "&amp;TEXT(F24,"YYYY-MM-DD")</f>
        <v>start /low /b %USERPROFILE%\Documents\GitHub\eaglep3\Utilities\DownloadLogsFromS3.py --loco 4051 --day 2017-04-03</v>
      </c>
      <c r="AN24" s="159" t="str">
        <f>"echo {""issue"":{""subject"":"""&amp;R24&amp;""",""project_id"":30,""tracker_id"":4,""status_id"":"&amp;redmine_status_wcr&amp;",""priority_id"":"&amp;redmine_priority_wcr&amp;",""assigned_to_id"":"&amp;redmine_assignee_wcr&amp;",""start_date"":"""&amp;TEXT(I24-utc_offset/24,"YYYY-mm-dd")&amp;""",""description"":"""&amp;AJ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644</v>
      </c>
      <c r="B25" s="7">
        <v>4004</v>
      </c>
      <c r="C25" s="21" t="s">
        <v>217</v>
      </c>
      <c r="D25" s="21" t="s">
        <v>419</v>
      </c>
      <c r="E25" s="13">
        <v>42828.20884259259</v>
      </c>
      <c r="F25" s="13">
        <v>42828.218888888892</v>
      </c>
      <c r="G25" s="7">
        <v>1</v>
      </c>
      <c r="H25" s="21" t="s">
        <v>836</v>
      </c>
      <c r="I25" s="13">
        <v>42828.243877314817</v>
      </c>
      <c r="J25" s="7">
        <v>0</v>
      </c>
      <c r="K25" s="97" t="str">
        <f>IF(ISEVEN(B25),(B25-1)&amp;"/"&amp;B25,B25&amp;"/"&amp;(B25+1))</f>
        <v>4003/4004</v>
      </c>
      <c r="L25" s="21" t="str">
        <f>VLOOKUP(A25,'Trips&amp;Operators'!$C$1:$G$99999,5,FALSE)</f>
        <v>SANTIZO D. EDY</v>
      </c>
      <c r="M25" s="6">
        <f>I25-F25</f>
        <v>2.4988425924675539E-2</v>
      </c>
      <c r="N25" s="7">
        <f>24*60*SUM($M25:$M25)</f>
        <v>35.983333331532776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-04-03T04:00:44-0600',mode:absolute,to:'2017-04-03T06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5" s="183" t="str">
        <f>IF(AA25&lt;IF(AG25="EC",23,5.65),"Y","N")</f>
        <v>N</v>
      </c>
      <c r="X25" s="183">
        <f>VALUE(LEFT(AD25,4))-VALUE(LEFT(AD24,4))</f>
        <v>1</v>
      </c>
      <c r="Y25" s="62">
        <f>RIGHT(D25,LEN(D25)-4)/10000</f>
        <v>4.4900000000000002E-2</v>
      </c>
      <c r="Z25" s="62">
        <f>RIGHT(H25,LEN(H25)-4)/10000</f>
        <v>23.334499999999998</v>
      </c>
      <c r="AA25" s="62">
        <f>ABS(Z25-Y25)</f>
        <v>23.2896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>IF(LEN(A25)=6,"0"&amp;A25,A25)</f>
        <v>0113-03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25" s="82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/stypes="app*4004*20170403*" /stext=" 11:.+((SYSTEM_STATE.+slice.+state.+changed )|(ment ac)|(multiple cpu faults)|(system.+state.+changed )|(\[timeout)|(PRM\|1\|D)|(kpr)|(kdp)|(\|lc)|(penalty))"</v>
      </c>
      <c r="AG25" s="1" t="str">
        <f>IFERROR(IF(VALUE(LEFT(AD25,2))&lt;=2,"EC",IF(OR(VALUE(LEFT(AD25,2))=8,VALUE(LEFT(AD25,2))=18),"NW","Other")),"Other")</f>
        <v>EC</v>
      </c>
      <c r="AH25" s="86" t="str">
        <f>refinertdcruntimes&amp;" --tripid "&amp;A25&amp;" --locoid "&amp;B25&amp;" --swversion "&amp;C25&amp;" --startMP "&amp;D25&amp;" --initTime "&amp;TEXT(E25,"yyyy-mm-ddTHH:MM:SS")&amp;" --startdatetime "&amp;TEXT(F25,"yyyy-mm-ddTHH:MM:SS")&amp;" --delay "&amp;G25&amp;" --endMP "&amp;H25&amp;" --enddatetime "&amp;TEXT(I25,"yyyy-mm-ddTHH:MM:SS")&amp;" --enforcementcount "&amp;J25&amp;IF(outputrefinedruntimes," &gt;&gt;"&amp;RefinedRTDCRunTimesOutputFile,"")</f>
        <v>"%USERPROFILE%\Documents\GitHub\eaglep3\Utilities\RefineRTDCRunTimes.py" --tripid 113-03 --locoid 4004 --swversion DE.1.0.9.0 --startMP 204:449 --initTime 2017-04-03T05:00:44 --startdatetime 2017-04-03T05:15:12 --delay 1 --endMP 204:233345 --enddatetime 2017-04-03T05:51:11 --enforcementcount 0 &gt;&gt;C:\Users\stu\Documents\GitHub\eaglep3-reporting\EC\2017-04-03-refined-times.txt</v>
      </c>
      <c r="AI25" s="104" t="str">
        <f>"echo {""issue"":{""subject"":"""&amp;R25&amp;""",""project_id"":79,""tracker_id"":40,""status_id"":"&amp;redmine_status&amp;",""priority_id"":"&amp;redmine_priority&amp;",""assigned_to_id"":"&amp;redmine_assignee&amp;",""start_date"":"""&amp;TEXT(I25,"YYYY-mm-dd")&amp;""",""description"":"""&amp;AJ25&amp;""",""custom_fields"":[{""id"":1,""name"":""Subdivision"",""value"":"""&amp;AG25&amp;"""},{""id"":4,""name"":""Milepost"",""value"":"""&amp;Z25&amp;"""},{""id"":17,""name"":""Train ID"",""value"":"""&amp;A25&amp;"""},{""id"":16,""name"":""Locomotive ID"",""value"":"""&amp;B25&amp;"""},{""id"":130,""name"":""Impact"",""value"":"""&amp;AK25&amp;"""},{""id"":150,""name"":""Time of Event (Mountain Time)"",""value"":"""&amp;TEXT(I25,"hh:mm:ss")&amp;"""},{""id"":151,""name"":""Denver Issue ID"",""value"":"""&amp;"""},{""id"":178,""name"":""Operational Impact"",""value"":"""&amp;redmine_op_impact&amp;"""},{""id"":179,""name"":""Denver Segment Assigned"",""value"":"""&amp;AL25&amp;"""}]}}"&amp;"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{"issue":{"subject":"","project_id":79,"tracker_id":40,"status_id":1,"priority_id":2,"assigned_to_id":23,"start_date":"2017-04-03","description":"","custom_fields":[{"id":1,"name":"Subdivision","value":"EC"},{"id":4,"name":"Milepost","value":"23.3345"},{"id":17,"name":"Train ID","value":"113-03"},{"id":16,"name":"Locomotive ID","value":"4004"},{"id":130,"name":"Impact","value":""},{"id":150,"name":"Time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>"start /low /b "&amp;dls3logs&amp;" --loco "&amp;B25&amp;" --day "&amp;TEXT(F25,"YYYY-MM-DD")</f>
        <v>start /low /b %USERPROFILE%\Documents\GitHub\eaglep3\Utilities\DownloadLogsFromS3.py --loco 4004 --day 2017-04-03</v>
      </c>
      <c r="AN25" s="159" t="str">
        <f>"echo {""issue"":{""subject"":"""&amp;R25&amp;""",""project_id"":30,""tracker_id"":4,""status_id"":"&amp;redmine_status_wcr&amp;",""priority_id"":"&amp;redmine_priority_wcr&amp;",""assigned_to_id"":"&amp;redmine_assignee_wcr&amp;",""start_date"":"""&amp;TEXT(I25-utc_offset/24,"YYYY-mm-dd")&amp;""",""description"":"""&amp;AJ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652</v>
      </c>
      <c r="B26" s="7">
        <v>4003</v>
      </c>
      <c r="C26" s="21" t="s">
        <v>217</v>
      </c>
      <c r="D26" s="21" t="s">
        <v>559</v>
      </c>
      <c r="E26" s="13">
        <v>42828.245949074073</v>
      </c>
      <c r="F26" s="13">
        <v>42828.25849537037</v>
      </c>
      <c r="G26" s="7">
        <v>1</v>
      </c>
      <c r="H26" s="21" t="s">
        <v>200</v>
      </c>
      <c r="I26" s="13">
        <v>42828.284861111111</v>
      </c>
      <c r="J26" s="7">
        <v>0</v>
      </c>
      <c r="K26" s="97" t="str">
        <f>IF(ISEVEN(B26),(B26-1)&amp;"/"&amp;B26,B26&amp;"/"&amp;(B26+1))</f>
        <v>4003/4004</v>
      </c>
      <c r="L26" s="21" t="str">
        <f>VLOOKUP(A26,'Trips&amp;Operators'!$C$1:$G$99999,5,FALSE)</f>
        <v>SANTIZO D. EDY</v>
      </c>
      <c r="M26" s="6">
        <f>I26-F26</f>
        <v>2.6365740741312038E-2</v>
      </c>
      <c r="N26" s="7">
        <f>24*60*SUM($M26:$M26)</f>
        <v>37.966666667489335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-04-03T04:54:10-0600',mode:absolute,to:'2017-04-03T07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6" s="183" t="str">
        <f>IF(AA26&lt;IF(AG26="EC",23,5.65),"Y","N")</f>
        <v>N</v>
      </c>
      <c r="X26" s="183">
        <f>VALUE(LEFT(AD26,4))-VALUE(LEFT(AD25,4))</f>
        <v>1</v>
      </c>
      <c r="Y26" s="62">
        <f>RIGHT(D26,LEN(D26)-4)/10000</f>
        <v>23.301500000000001</v>
      </c>
      <c r="Z26" s="62">
        <f>RIGHT(H26,LEN(H26)-4)/10000</f>
        <v>1.5800000000000002E-2</v>
      </c>
      <c r="AA26" s="62">
        <f>ABS(Z26-Y26)</f>
        <v>23.285700000000002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>IF(LEN(A26)=6,"0"&amp;A26,A26)</f>
        <v>0114-03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26" s="82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/stypes="app*4003*20170403*" /stext=" 12:.+((SYSTEM_STATE.+slice.+state.+changed )|(ment ac)|(multiple cpu faults)|(system.+state.+changed )|(\[timeout)|(PRM\|1\|D)|(kpr)|(kdp)|(\|lc)|(penalty))"</v>
      </c>
      <c r="AG26" s="1" t="str">
        <f>IFERROR(IF(VALUE(LEFT(AD26,2))&lt;=2,"EC",IF(OR(VALUE(LEFT(AD26,2))=8,VALUE(LEFT(AD26,2))=18),"NW","Other")),"Other")</f>
        <v>EC</v>
      </c>
      <c r="AH26" s="86" t="str">
        <f>refinertdcruntimes&amp;" --tripid "&amp;A26&amp;" --locoid "&amp;B26&amp;" --swversion "&amp;C26&amp;" --startMP "&amp;D26&amp;" --initTime "&amp;TEXT(E26,"yyyy-mm-ddTHH:MM:SS")&amp;" --startdatetime "&amp;TEXT(F26,"yyyy-mm-ddTHH:MM:SS")&amp;" --delay "&amp;G26&amp;" --endMP "&amp;H26&amp;" --enddatetime "&amp;TEXT(I26,"yyyy-mm-ddTHH:MM:SS")&amp;" --enforcementcount "&amp;J26&amp;IF(outputrefinedruntimes," &gt;&gt;"&amp;RefinedRTDCRunTimesOutputFile,"")</f>
        <v>"%USERPROFILE%\Documents\GitHub\eaglep3\Utilities\RefineRTDCRunTimes.py" --tripid 114-03 --locoid 4003 --swversion DE.1.0.9.0 --startMP 204:233015 --initTime 2017-04-03T05:54:10 --startdatetime 2017-04-03T06:12:14 --delay 1 --endMP 204:158 --enddatetime 2017-04-03T06:50:12 --enforcementcount 0 &gt;&gt;C:\Users\stu\Documents\GitHub\eaglep3-reporting\EC\2017-04-03-refined-times.txt</v>
      </c>
      <c r="AI26" s="104" t="str">
        <f>"echo {""issue"":{""subject"":"""&amp;R26&amp;""",""project_id"":79,""tracker_id"":40,""status_id"":"&amp;redmine_status&amp;",""priority_id"":"&amp;redmine_priority&amp;",""assigned_to_id"":"&amp;redmine_assignee&amp;",""start_date"":"""&amp;TEXT(I26,"YYYY-mm-dd")&amp;""",""description"":"""&amp;AJ26&amp;""",""custom_fields"":[{""id"":1,""name"":""Subdivision"",""value"":"""&amp;AG26&amp;"""},{""id"":4,""name"":""Milepost"",""value"":"""&amp;Z26&amp;"""},{""id"":17,""name"":""Train ID"",""value"":"""&amp;A26&amp;"""},{""id"":16,""name"":""Locomotive ID"",""value"":"""&amp;B26&amp;"""},{""id"":130,""name"":""Impact"",""value"":"""&amp;AK26&amp;"""},{""id"":150,""name"":""Time of Event (Mountain Time)"",""value"":"""&amp;TEXT(I26,"hh:mm:ss")&amp;"""},{""id"":151,""name"":""Denver Issue ID"",""value"":"""&amp;"""},{""id"":178,""name"":""Operational Impact"",""value"":"""&amp;redmine_op_impact&amp;"""},{""id"":179,""name"":""Denver Segment Assigned"",""value"":"""&amp;AL26&amp;"""}]}}"&amp;"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{"issue":{"subject":"","project_id":79,"tracker_id":40,"status_id":1,"priority_id":2,"assigned_to_id":23,"start_date":"2017-04-03","description":"","custom_fields":[{"id":1,"name":"Subdivision","value":"EC"},{"id":4,"name":"Milepost","value":"0.0158"},{"id":17,"name":"Train ID","value":"114-03"},{"id":16,"name":"Locomotive ID","value":"4003"},{"id":130,"name":"Impact","value":""},{"id":150,"name":"Time of Event (Mountain Time)","value":"06:50:12"},{"id":151,"name":"Denver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>"start /low /b "&amp;dls3logs&amp;" --loco "&amp;B26&amp;" --day "&amp;TEXT(F26,"YYYY-MM-DD")</f>
        <v>start /low /b %USERPROFILE%\Documents\GitHub\eaglep3\Utilities\DownloadLogsFromS3.py --loco 4003 --day 2017-04-03</v>
      </c>
      <c r="AN26" s="159" t="str">
        <f>"echo {""issue"":{""subject"":"""&amp;R26&amp;""",""project_id"":30,""tracker_id"":4,""status_id"":"&amp;redmine_status_wcr&amp;",""priority_id"":"&amp;redmine_priority_wcr&amp;",""assigned_to_id"":"&amp;redmine_assignee_wcr&amp;",""start_date"":"""&amp;TEXT(I26-utc_offset/24,"YYYY-mm-dd")&amp;""",""description"":"""&amp;AJ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647</v>
      </c>
      <c r="B27" s="7">
        <v>4030</v>
      </c>
      <c r="C27" s="21" t="s">
        <v>217</v>
      </c>
      <c r="D27" s="21" t="s">
        <v>837</v>
      </c>
      <c r="E27" s="13">
        <v>42828.224548611113</v>
      </c>
      <c r="F27" s="13">
        <v>42828.229328703703</v>
      </c>
      <c r="G27" s="7">
        <v>2</v>
      </c>
      <c r="H27" s="21" t="s">
        <v>544</v>
      </c>
      <c r="I27" s="13">
        <v>42828.255543981482</v>
      </c>
      <c r="J27" s="7">
        <v>0</v>
      </c>
      <c r="K27" s="97" t="str">
        <f>IF(ISEVEN(B27),(B27-1)&amp;"/"&amp;B27,B27&amp;"/"&amp;(B27+1))</f>
        <v>4029/4030</v>
      </c>
      <c r="L27" s="21" t="str">
        <f>VLOOKUP(A27,'Trips&amp;Operators'!$C$1:$G$99999,5,FALSE)</f>
        <v>ROBINSON KADDIBA</v>
      </c>
      <c r="M27" s="6">
        <f>I27-F27</f>
        <v>2.6215277779556345E-2</v>
      </c>
      <c r="N27" s="7">
        <f>24*60*SUM($M27:$M27)</f>
        <v>37.750000002561137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-04-03T04:23:21-0600',mode:absolute,to:'2017-04-03T07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7" s="183" t="str">
        <f>IF(AA27&lt;IF(AG27="EC",23,5.65),"Y","N")</f>
        <v>N</v>
      </c>
      <c r="X27" s="183">
        <f>VALUE(LEFT(AD27,4))-VALUE(LEFT(AD26,4))</f>
        <v>1</v>
      </c>
      <c r="Y27" s="62">
        <f>RIGHT(D27,LEN(D27)-4)/10000</f>
        <v>7.6600000000000001E-2</v>
      </c>
      <c r="Z27" s="62">
        <f>RIGHT(H27,LEN(H27)-4)/10000</f>
        <v>23.3325</v>
      </c>
      <c r="AA27" s="62">
        <f>ABS(Z27-Y27)</f>
        <v>23.2559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>IF(LEN(A27)=6,"0"&amp;A27,A27)</f>
        <v>0115-03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27" s="82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/stypes="app*4030*20170403*" /stext=" 12:.+((SYSTEM_STATE.+slice.+state.+changed )|(ment ac)|(multiple cpu faults)|(system.+state.+changed )|(\[timeout)|(PRM\|1\|D)|(kpr)|(kdp)|(\|lc)|(penalty))"</v>
      </c>
      <c r="AG27" s="1" t="str">
        <f>IFERROR(IF(VALUE(LEFT(AD27,2))&lt;=2,"EC",IF(OR(VALUE(LEFT(AD27,2))=8,VALUE(LEFT(AD27,2))=18),"NW","Other")),"Other")</f>
        <v>EC</v>
      </c>
      <c r="AH27" s="86" t="str">
        <f>refinertdcruntimes&amp;" --tripid "&amp;A27&amp;" --locoid "&amp;B27&amp;" --swversion "&amp;C27&amp;" --startMP "&amp;D27&amp;" --initTime "&amp;TEXT(E27,"yyyy-mm-ddTHH:MM:SS")&amp;" --startdatetime "&amp;TEXT(F27,"yyyy-mm-ddTHH:MM:SS")&amp;" --delay "&amp;G27&amp;" --endMP "&amp;H27&amp;" --enddatetime "&amp;TEXT(I27,"yyyy-mm-ddTHH:MM:SS")&amp;" --enforcementcount "&amp;J27&amp;IF(outputrefinedruntimes," &gt;&gt;"&amp;RefinedRTDCRunTimesOutputFile,"")</f>
        <v>"%USERPROFILE%\Documents\GitHub\eaglep3\Utilities\RefineRTDCRunTimes.py" --tripid 115-03 --locoid 4030 --swversion DE.1.0.9.0 --startMP 204:766 --initTime 2017-04-03T05:23:21 --startdatetime 2017-04-03T05:30:14 --delay 2 --endMP 204:233325 --enddatetime 2017-04-03T06:07:59 --enforcementcount 0 &gt;&gt;C:\Users\stu\Documents\GitHub\eaglep3-reporting\EC\2017-04-03-refined-times.txt</v>
      </c>
      <c r="AI27" s="104" t="str">
        <f>"echo {""issue"":{""subject"":"""&amp;R27&amp;""",""project_id"":79,""tracker_id"":40,""status_id"":"&amp;redmine_status&amp;",""priority_id"":"&amp;redmine_priority&amp;",""assigned_to_id"":"&amp;redmine_assignee&amp;",""start_date"":"""&amp;TEXT(I27,"YYYY-mm-dd")&amp;""",""description"":"""&amp;AJ27&amp;""",""custom_fields"":[{""id"":1,""name"":""Subdivision"",""value"":"""&amp;AG27&amp;"""},{""id"":4,""name"":""Milepost"",""value"":"""&amp;Z27&amp;"""},{""id"":17,""name"":""Train ID"",""value"":"""&amp;A27&amp;"""},{""id"":16,""name"":""Locomotive ID"",""value"":"""&amp;B27&amp;"""},{""id"":130,""name"":""Impact"",""value"":"""&amp;AK27&amp;"""},{""id"":150,""name"":""Time of Event (Mountain Time)"",""value"":"""&amp;TEXT(I27,"hh:mm:ss")&amp;"""},{""id"":151,""name"":""Denver Issue ID"",""value"":"""&amp;"""},{""id"":178,""name"":""Operational Impact"",""value"":"""&amp;redmine_op_impact&amp;"""},{""id"":179,""name"":""Denver Segment Assigned"",""value"":"""&amp;AL27&amp;"""}]}}"&amp;"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{"issue":{"subject":"","project_id":79,"tracker_id":40,"status_id":1,"priority_id":2,"assigned_to_id":23,"start_date":"2017-04-03","description":"","custom_fields":[{"id":1,"name":"Subdivision","value":"EC"},{"id":4,"name":"Milepost","value":"23.3325"},{"id":17,"name":"Train ID","value":"115-03"},{"id":16,"name":"Locomotive ID","value":"4030"},{"id":130,"name":"Impact","value":""},{"id":150,"name":"Time of Event (Mountain Time)","value":"06:07:59"},{"id":151,"name":"Denver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>"start /low /b "&amp;dls3logs&amp;" --loco "&amp;B27&amp;" --day "&amp;TEXT(F27,"YYYY-MM-DD")</f>
        <v>start /low /b %USERPROFILE%\Documents\GitHub\eaglep3\Utilities\DownloadLogsFromS3.py --loco 4030 --day 2017-04-03</v>
      </c>
      <c r="AN27" s="159" t="str">
        <f>"echo {""issue"":{""subject"":"""&amp;R27&amp;""",""project_id"":30,""tracker_id"":4,""status_id"":"&amp;redmine_status_wcr&amp;",""priority_id"":"&amp;redmine_priority_wcr&amp;",""assigned_to_id"":"&amp;redmine_assignee_wcr&amp;",""start_date"":"""&amp;TEXT(I27-utc_offset/24,"YYYY-mm-dd")&amp;""",""description"":"""&amp;AJ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656</v>
      </c>
      <c r="B28" s="7">
        <v>4029</v>
      </c>
      <c r="C28" s="21" t="s">
        <v>217</v>
      </c>
      <c r="D28" s="21" t="s">
        <v>470</v>
      </c>
      <c r="E28" s="13">
        <v>42828.258645833332</v>
      </c>
      <c r="F28" s="13">
        <v>42828.268229166664</v>
      </c>
      <c r="G28" s="7">
        <v>1</v>
      </c>
      <c r="H28" s="21" t="s">
        <v>444</v>
      </c>
      <c r="I28" s="13">
        <v>42828.295127314814</v>
      </c>
      <c r="J28" s="7">
        <v>0</v>
      </c>
      <c r="K28" s="97" t="str">
        <f>IF(ISEVEN(B28),(B28-1)&amp;"/"&amp;B28,B28&amp;"/"&amp;(B28+1))</f>
        <v>4029/4030</v>
      </c>
      <c r="L28" s="21" t="str">
        <f>VLOOKUP(A28,'Trips&amp;Operators'!$C$1:$G$99999,5,FALSE)</f>
        <v>ROBINSON KADDIBA</v>
      </c>
      <c r="M28" s="6">
        <f>I28-F28</f>
        <v>2.6898148149484769E-2</v>
      </c>
      <c r="N28" s="7">
        <f>24*60*SUM($M28:$M28)</f>
        <v>38.733333335258067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-04-03T05:12:27-0600',mode:absolute,to:'2017-04-03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8" s="183" t="str">
        <f>IF(AA28&lt;IF(AG28="EC",23,5.65),"Y","N")</f>
        <v>N</v>
      </c>
      <c r="X28" s="183">
        <f>VALUE(LEFT(AD28,4))-VALUE(LEFT(AD27,4))</f>
        <v>1</v>
      </c>
      <c r="Y28" s="62">
        <f>RIGHT(D28,LEN(D28)-4)/10000</f>
        <v>23.299299999999999</v>
      </c>
      <c r="Z28" s="62">
        <f>RIGHT(H28,LEN(H28)-4)/10000</f>
        <v>1.38E-2</v>
      </c>
      <c r="AA28" s="62">
        <f>ABS(Z28-Y28)</f>
        <v>23.285499999999999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>IF(LEN(A28)=6,"0"&amp;A28,A28)</f>
        <v>0116-03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28" s="82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/stypes="app*4029*20170403*" /stext=" 13:.+((SYSTEM_STATE.+slice.+state.+changed )|(ment ac)|(multiple cpu faults)|(system.+state.+changed )|(\[timeout)|(PRM\|1\|D)|(kpr)|(kdp)|(\|lc)|(penalty))"</v>
      </c>
      <c r="AG28" s="1" t="str">
        <f>IFERROR(IF(VALUE(LEFT(AD28,2))&lt;=2,"EC",IF(OR(VALUE(LEFT(AD28,2))=8,VALUE(LEFT(AD28,2))=18),"NW","Other")),"Other")</f>
        <v>EC</v>
      </c>
      <c r="AH28" s="86" t="str">
        <f>refinertdcruntimes&amp;" --tripid "&amp;A28&amp;" --locoid "&amp;B28&amp;" --swversion "&amp;C28&amp;" --startMP "&amp;D28&amp;" --initTime "&amp;TEXT(E28,"yyyy-mm-ddTHH:MM:SS")&amp;" --startdatetime "&amp;TEXT(F28,"yyyy-mm-ddTHH:MM:SS")&amp;" --delay "&amp;G28&amp;" --endMP "&amp;H28&amp;" --enddatetime "&amp;TEXT(I28,"yyyy-mm-ddTHH:MM:SS")&amp;" --enforcementcount "&amp;J28&amp;IF(outputrefinedruntimes," &gt;&gt;"&amp;RefinedRTDCRunTimesOutputFile,"")</f>
        <v>"%USERPROFILE%\Documents\GitHub\eaglep3\Utilities\RefineRTDCRunTimes.py" --tripid 116-03 --locoid 4029 --swversion DE.1.0.9.0 --startMP 204:232993 --initTime 2017-04-03T06:12:27 --startdatetime 2017-04-03T06:26:15 --delay 1 --endMP 204:138 --enddatetime 2017-04-03T07:04:59 --enforcementcount 0 &gt;&gt;C:\Users\stu\Documents\GitHub\eaglep3-reporting\EC\2017-04-03-refined-times.txt</v>
      </c>
      <c r="AI28" s="104" t="str">
        <f>"echo {""issue"":{""subject"":"""&amp;R28&amp;""",""project_id"":79,""tracker_id"":40,""status_id"":"&amp;redmine_status&amp;",""priority_id"":"&amp;redmine_priority&amp;",""assigned_to_id"":"&amp;redmine_assignee&amp;",""start_date"":"""&amp;TEXT(I28,"YYYY-mm-dd")&amp;""",""description"":"""&amp;AJ28&amp;""",""custom_fields"":[{""id"":1,""name"":""Subdivision"",""value"":"""&amp;AG28&amp;"""},{""id"":4,""name"":""Milepost"",""value"":"""&amp;Z28&amp;"""},{""id"":17,""name"":""Train ID"",""value"":"""&amp;A28&amp;"""},{""id"":16,""name"":""Locomotive ID"",""value"":"""&amp;B28&amp;"""},{""id"":130,""name"":""Impact"",""value"":"""&amp;AK28&amp;"""},{""id"":150,""name"":""Time of Event (Mountain Time)"",""value"":"""&amp;TEXT(I28,"hh:mm:ss")&amp;"""},{""id"":151,""name"":""Denver Issue ID"",""value"":"""&amp;"""},{""id"":178,""name"":""Operational Impact"",""value"":"""&amp;redmine_op_impact&amp;"""},{""id"":179,""name"":""Denver Segment Assigned"",""value"":"""&amp;AL28&amp;"""}]}}"&amp;"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ID","value":"116-03"},{"id":16,"name":"Locomotive ID","value":"4029"},{"id":130,"name":"Impact","value":""},{"id":150,"name":"Time of Event (Mountain Time)","value":"07:04:59"},{"id":151,"name":"Denver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>"start /low /b "&amp;dls3logs&amp;" --loco "&amp;B28&amp;" --day "&amp;TEXT(F28,"YYYY-MM-DD")</f>
        <v>start /low /b %USERPROFILE%\Documents\GitHub\eaglep3\Utilities\DownloadLogsFromS3.py --loco 4029 --day 2017-04-03</v>
      </c>
      <c r="AN28" s="159" t="str">
        <f>"echo {""issue"":{""subject"":"""&amp;R28&amp;""",""project_id"":30,""tracker_id"":4,""status_id"":"&amp;redmine_status_wcr&amp;",""priority_id"":"&amp;redmine_priority_wcr&amp;",""assigned_to_id"":"&amp;redmine_assignee_wcr&amp;",""start_date"":"""&amp;TEXT(I28-utc_offset/24,"YYYY-mm-dd")&amp;""",""description"":"""&amp;AJ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649</v>
      </c>
      <c r="B29" s="7">
        <v>4044</v>
      </c>
      <c r="C29" s="21" t="s">
        <v>217</v>
      </c>
      <c r="D29" s="21" t="s">
        <v>838</v>
      </c>
      <c r="E29" s="13">
        <v>42828.227013888885</v>
      </c>
      <c r="F29" s="13">
        <v>42828.239976851852</v>
      </c>
      <c r="G29" s="7">
        <v>1</v>
      </c>
      <c r="H29" s="21" t="s">
        <v>543</v>
      </c>
      <c r="I29" s="13">
        <v>42828.264467592591</v>
      </c>
      <c r="J29" s="7">
        <v>0</v>
      </c>
      <c r="K29" s="97" t="str">
        <f>IF(ISEVEN(B29),(B29-1)&amp;"/"&amp;B29,B29&amp;"/"&amp;(B29+1))</f>
        <v>4043/4044</v>
      </c>
      <c r="L29" s="21" t="str">
        <f>VLOOKUP(A29,'Trips&amp;Operators'!$C$1:$G$99999,5,FALSE)</f>
        <v>MAELZER KURT</v>
      </c>
      <c r="M29" s="6">
        <f>I29-F29</f>
        <v>2.4490740739565808E-2</v>
      </c>
      <c r="N29" s="7">
        <f>24*60*SUM($M29:$M29)</f>
        <v>35.266666664974764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-04-03T04:26:54-0600',mode:absolute,to:'2017-04-03T07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9" s="183" t="str">
        <f>IF(AA29&lt;IF(AG29="EC",23,5.65),"Y","N")</f>
        <v>N</v>
      </c>
      <c r="X29" s="183">
        <f>VALUE(LEFT(AD29,4))-VALUE(LEFT(AD28,4))</f>
        <v>1</v>
      </c>
      <c r="Y29" s="62">
        <f>RIGHT(D29,LEN(D29)-4)/10000</f>
        <v>4.2599999999999999E-2</v>
      </c>
      <c r="Z29" s="62">
        <f>RIGHT(H29,LEN(H29)-4)/10000</f>
        <v>23.330500000000001</v>
      </c>
      <c r="AA29" s="62">
        <f>ABS(Z29-Y29)</f>
        <v>23.2879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>IF(LEN(A29)=6,"0"&amp;A29,A29)</f>
        <v>0117-03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29" s="82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/stypes="app*4044*20170403*" /stext=" 12:.+((SYSTEM_STATE.+slice.+state.+changed )|(ment ac)|(multiple cpu faults)|(system.+state.+changed )|(\[timeout)|(PRM\|1\|D)|(kpr)|(kdp)|(\|lc)|(penalty))"</v>
      </c>
      <c r="AG29" s="1" t="str">
        <f>IFERROR(IF(VALUE(LEFT(AD29,2))&lt;=2,"EC",IF(OR(VALUE(LEFT(AD29,2))=8,VALUE(LEFT(AD29,2))=18),"NW","Other")),"Other")</f>
        <v>EC</v>
      </c>
      <c r="AH29" s="86" t="str">
        <f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117-03 --locoid 4044 --swversion DE.1.0.9.0 --startMP 204:426 --initTime 2017-04-03T05:26:54 --startdatetime 2017-04-03T05:45:34 --delay 1 --endMP 204:233305 --enddatetime 2017-04-03T06:20:50 --enforcementcount 0 &gt;&gt;C:\Users\stu\Documents\GitHub\eaglep3-reporting\EC\2017-04-03-refined-times.txt</v>
      </c>
      <c r="AI29" s="104" t="str">
        <f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Z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{"issue":{"subject":"","project_id":79,"tracker_id":40,"status_id":1,"priority_id":2,"assigned_to_id":23,"start_date":"2017-04-03","description":"","custom_fields":[{"id":1,"name":"Subdivision","value":"EC"},{"id":4,"name":"Milepost","value":"23.3305"},{"id":17,"name":"Train ID","value":"117-03"},{"id":16,"name":"Locomotive ID","value":"4044"},{"id":130,"name":"Impact","value":""},{"id":150,"name":"Time of Event (Mountain Time)","value":"06:20:50"},{"id":151,"name":"Denver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>"start /low /b "&amp;dls3logs&amp;" --loco "&amp;B29&amp;" --day "&amp;TEXT(F29,"YYYY-MM-DD")</f>
        <v>start /low /b %USERPROFILE%\Documents\GitHub\eaglep3\Utilities\DownloadLogsFromS3.py --loco 4044 --day 2017-04-03</v>
      </c>
      <c r="AN29" s="159" t="str">
        <f>"echo {""issue"":{""subject"":"""&amp;R29&amp;""",""project_id"":30,""tracker_id"":4,""status_id"":"&amp;redmine_status_wcr&amp;",""priority_id"":"&amp;redmine_priority_wcr&amp;",""assigned_to_id"":"&amp;redmine_assignee_wcr&amp;",""start_date"":"""&amp;TEXT(I29-utc_offset/24,"YYYY-mm-dd")&amp;""",""description"":"""&amp;AJ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660</v>
      </c>
      <c r="B30" s="7">
        <v>4043</v>
      </c>
      <c r="C30" s="21" t="s">
        <v>217</v>
      </c>
      <c r="D30" s="21" t="s">
        <v>509</v>
      </c>
      <c r="E30" s="13">
        <v>42828.273842592593</v>
      </c>
      <c r="F30" s="13">
        <v>42828.278761574074</v>
      </c>
      <c r="G30" s="7">
        <v>1</v>
      </c>
      <c r="H30" s="21" t="s">
        <v>213</v>
      </c>
      <c r="I30" s="13">
        <v>42828.306030092594</v>
      </c>
      <c r="J30" s="7">
        <v>0</v>
      </c>
      <c r="K30" s="97" t="str">
        <f>IF(ISEVEN(B30),(B30-1)&amp;"/"&amp;B30,B30&amp;"/"&amp;(B30+1))</f>
        <v>4043/4044</v>
      </c>
      <c r="L30" s="21" t="str">
        <f>VLOOKUP(A30,'Trips&amp;Operators'!$C$1:$G$99999,5,FALSE)</f>
        <v>MAELZER KURT</v>
      </c>
      <c r="M30" s="6">
        <f>I30-F30</f>
        <v>2.7268518519122154E-2</v>
      </c>
      <c r="N30" s="7">
        <f>24*60*SUM($M30:$M30)</f>
        <v>39.266666667535901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-04-03T05:34:20-0600',mode:absolute,to:'2017-04-03T08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0" s="183" t="str">
        <f>IF(AA30&lt;IF(AG30="EC",23,5.65),"Y","N")</f>
        <v>N</v>
      </c>
      <c r="X30" s="183">
        <f>VALUE(LEFT(AD30,4))-VALUE(LEFT(AD29,4))</f>
        <v>1</v>
      </c>
      <c r="Y30" s="62">
        <f>RIGHT(D30,LEN(D30)-4)/10000</f>
        <v>23.2988</v>
      </c>
      <c r="Z30" s="62">
        <f>RIGHT(H30,LEN(H30)-4)/10000</f>
        <v>1.5599999999999999E-2</v>
      </c>
      <c r="AA30" s="62">
        <f>ABS(Z30-Y30)</f>
        <v>23.283200000000001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>IF(LEN(A30)=6,"0"&amp;A30,A30)</f>
        <v>0118-03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30" s="82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/stypes="app*4043*20170403*" /stext=" 13:.+((SYSTEM_STATE.+slice.+state.+changed )|(ment ac)|(multiple cpu faults)|(system.+state.+changed )|(\[timeout)|(PRM\|1\|D)|(kpr)|(kdp)|(\|lc)|(penalty))"</v>
      </c>
      <c r="AG30" s="1" t="str">
        <f>IFERROR(IF(VALUE(LEFT(AD30,2))&lt;=2,"EC",IF(OR(VALUE(LEFT(AD30,2))=8,VALUE(LEFT(AD30,2))=18),"NW","Other")),"Other")</f>
        <v>EC</v>
      </c>
      <c r="AH30" s="86" t="str">
        <f>refinertdcruntimes&amp;" --tripid "&amp;A30&amp;" --locoid "&amp;B30&amp;" --swversion "&amp;C30&amp;" --startMP "&amp;D30&amp;" --initTime "&amp;TEXT(E30,"yyyy-mm-ddTHH:MM:SS")&amp;" --startdatetime "&amp;TEXT(F30,"yyyy-mm-ddTHH:MM:SS")&amp;" --delay "&amp;G30&amp;" --endMP "&amp;H30&amp;" --enddatetime "&amp;TEXT(I30,"yyyy-mm-ddTHH:MM:SS")&amp;" --enforcementcount "&amp;J30&amp;IF(outputrefinedruntimes," &gt;&gt;"&amp;RefinedRTDCRunTimesOutputFile,"")</f>
        <v>"%USERPROFILE%\Documents\GitHub\eaglep3\Utilities\RefineRTDCRunTimes.py" --tripid 118-03 --locoid 4043 --swversion DE.1.0.9.0 --startMP 204:232988 --initTime 2017-04-03T06:34:20 --startdatetime 2017-04-03T06:41:25 --delay 1 --endMP 204:156 --enddatetime 2017-04-03T07:20:41 --enforcementcount 0 &gt;&gt;C:\Users\stu\Documents\GitHub\eaglep3-reporting\EC\2017-04-03-refined-times.txt</v>
      </c>
      <c r="AI30" s="104" t="str">
        <f>"echo {""issue"":{""subject"":"""&amp;R30&amp;""",""project_id"":79,""tracker_id"":40,""status_id"":"&amp;redmine_status&amp;",""priority_id"":"&amp;redmine_priority&amp;",""assigned_to_id"":"&amp;redmine_assignee&amp;",""start_date"":"""&amp;TEXT(I30,"YYYY-mm-dd")&amp;""",""description"":"""&amp;AJ30&amp;""",""custom_fields"":[{""id"":1,""name"":""Subdivision"",""value"":"""&amp;AG30&amp;"""},{""id"":4,""name"":""Milepost"",""value"":"""&amp;Z30&amp;"""},{""id"":17,""name"":""Train ID"",""value"":"""&amp;A30&amp;"""},{""id"":16,""name"":""Locomotive ID"",""value"":"""&amp;B30&amp;"""},{""id"":130,""name"":""Impact"",""value"":"""&amp;AK30&amp;"""},{""id"":150,""name"":""Time of Event (Mountain Time)"",""value"":"""&amp;TEXT(I30,"hh:mm:ss")&amp;"""},{""id"":151,""name"":""Denver Issue ID"",""value"":"""&amp;"""},{""id"":178,""name"":""Operational Impact"",""value"":"""&amp;redmine_op_impact&amp;"""},{""id"":179,""name"":""Denver Segment Assigned"",""value"":"""&amp;AL30&amp;"""}]}}"&amp;"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{"issue":{"subject":"","project_id":79,"tracker_id":40,"status_id":1,"priority_id":2,"assigned_to_id":23,"start_date":"2017-04-03","description":"","custom_fields":[{"id":1,"name":"Subdivision","value":"EC"},{"id":4,"name":"Milepost","value":"0.0156"},{"id":17,"name":"Train ID","value":"118-03"},{"id":16,"name":"Locomotive ID","value":"4043"},{"id":130,"name":"Impact","value":""},{"id":150,"name":"Time of Event (Mountain Time)","value":"07:20:41"},{"id":151,"name":"Denver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>"start /low /b "&amp;dls3logs&amp;" --loco "&amp;B30&amp;" --day "&amp;TEXT(F30,"YYYY-MM-DD")</f>
        <v>start /low /b %USERPROFILE%\Documents\GitHub\eaglep3\Utilities\DownloadLogsFromS3.py --loco 4043 --day 2017-04-03</v>
      </c>
      <c r="AN30" s="159" t="str">
        <f>"echo {""issue"":{""subject"":"""&amp;R30&amp;""",""project_id"":30,""tracker_id"":4,""status_id"":"&amp;redmine_status_wcr&amp;",""priority_id"":"&amp;redmine_priority_wcr&amp;",""assigned_to_id"":"&amp;redmine_assignee_wcr&amp;",""start_date"":"""&amp;TEXT(I30-utc_offset/24,"YYYY-mm-dd")&amp;""",""description"":"""&amp;AJ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575</v>
      </c>
      <c r="B31" s="7">
        <v>4028</v>
      </c>
      <c r="C31" s="21" t="s">
        <v>217</v>
      </c>
      <c r="D31" s="21" t="s">
        <v>505</v>
      </c>
      <c r="E31" s="13">
        <v>42828.255023148151</v>
      </c>
      <c r="F31" s="13">
        <v>42828.258877314816</v>
      </c>
      <c r="G31" s="7">
        <v>1</v>
      </c>
      <c r="H31" s="21" t="s">
        <v>487</v>
      </c>
      <c r="I31" s="13">
        <v>42828.284548611111</v>
      </c>
      <c r="J31" s="7">
        <v>0</v>
      </c>
      <c r="K31" s="97" t="str">
        <f>IF(ISEVEN(B31),(B31-1)&amp;"/"&amp;B31,B31&amp;"/"&amp;(B31+1))</f>
        <v>4027/4028</v>
      </c>
      <c r="L31" s="21" t="str">
        <f>VLOOKUP(A31,'Trips&amp;Operators'!$C$1:$G$99999,5,FALSE)</f>
        <v>STARKS ANGELINA</v>
      </c>
      <c r="M31" s="6">
        <f>I31-F31</f>
        <v>2.5671296294603962E-2</v>
      </c>
      <c r="N31" s="7">
        <f>24*60*SUM($M31:$M31)</f>
        <v>36.966666664229706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-04-03T05:07:14-0600',mode:absolute,to:'2017-04-03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1" s="183" t="str">
        <f>IF(AA31&lt;IF(AG31="EC",23,5.65),"Y","N")</f>
        <v>N</v>
      </c>
      <c r="X31" s="183">
        <f>VALUE(LEFT(AD31,4))-VALUE(LEFT(AD30,4))</f>
        <v>1</v>
      </c>
      <c r="Y31" s="62">
        <f>RIGHT(D31,LEN(D31)-4)/10000</f>
        <v>7.5200000000000003E-2</v>
      </c>
      <c r="Z31" s="62">
        <f>RIGHT(H31,LEN(H31)-4)/10000</f>
        <v>23.331</v>
      </c>
      <c r="AA31" s="62">
        <f>ABS(Z31-Y31)</f>
        <v>23.255800000000001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>IF(LEN(A31)=6,"0"&amp;A31,A31)</f>
        <v>0119-03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31" s="82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/stypes="app*4028*20170403*" /stext=" 12:.+((SYSTEM_STATE.+slice.+state.+changed )|(ment ac)|(multiple cpu faults)|(system.+state.+changed )|(\[timeout)|(PRM\|1\|D)|(kpr)|(kdp)|(\|lc)|(penalty))"</v>
      </c>
      <c r="AG31" s="1" t="str">
        <f>IFERROR(IF(VALUE(LEFT(AD31,2))&lt;=2,"EC",IF(OR(VALUE(LEFT(AD31,2))=8,VALUE(LEFT(AD31,2))=18),"NW","Other")),"Other")</f>
        <v>EC</v>
      </c>
      <c r="AH31" s="86" t="str">
        <f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119-03 --locoid 4028 --swversion DE.1.0.9.0 --startMP 204:752 --initTime 2017-04-03T06:07:14 --startdatetime 2017-04-03T06:12:47 --delay 1 --endMP 204:233310 --enddatetime 2017-04-03T06:49:45 --enforcementcount 0 &gt;&gt;C:\Users\stu\Documents\GitHub\eaglep3-reporting\EC\2017-04-03-refined-times.txt</v>
      </c>
      <c r="AI31" s="104" t="str">
        <f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{"issue":{"subject":"","project_id":79,"tracker_id":40,"status_id":1,"priority_id":2,"assigned_to_id":23,"start_date":"2017-04-03","description":"","custom_fields":[{"id":1,"name":"Subdivision","value":"EC"},{"id":4,"name":"Milepost","value":"23.331"},{"id":17,"name":"Train ID","value":"119-03"},{"id":16,"name":"Locomotive ID","value":"4028"},{"id":130,"name":"Impact","value":""},{"id":150,"name":"Time of Event (Mountain Time)","value":"06:49:45"},{"id":151,"name":"Denver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>"start /low /b "&amp;dls3logs&amp;" --loco "&amp;B31&amp;" --day "&amp;TEXT(F31,"YYYY-MM-DD")</f>
        <v>start /low /b %USERPROFILE%\Documents\GitHub\eaglep3\Utilities\DownloadLogsFromS3.py --loco 4028 --day 2017-04-03</v>
      </c>
      <c r="AN31" s="159" t="str">
        <f>"echo {""issue"":{""subject"":"""&amp;R31&amp;""",""project_id"":30,""tracker_id"":4,""status_id"":"&amp;redmine_status_wcr&amp;",""priority_id"":"&amp;redmine_priority_wcr&amp;",""assigned_to_id"":"&amp;redmine_assignee_wcr&amp;",""start_date"":"""&amp;TEXT(I31-utc_offset/24,"YYYY-mm-dd")&amp;""",""description"":"""&amp;AJ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663</v>
      </c>
      <c r="B32" s="7">
        <v>4027</v>
      </c>
      <c r="C32" s="21" t="s">
        <v>217</v>
      </c>
      <c r="D32" s="21" t="s">
        <v>518</v>
      </c>
      <c r="E32" s="13">
        <v>42828.286631944444</v>
      </c>
      <c r="F32" s="13">
        <v>42828.2890625</v>
      </c>
      <c r="G32" s="7">
        <v>1</v>
      </c>
      <c r="H32" s="21" t="s">
        <v>184</v>
      </c>
      <c r="I32" s="13">
        <v>42828.317430555559</v>
      </c>
      <c r="J32" s="7">
        <v>0</v>
      </c>
      <c r="K32" s="97" t="str">
        <f>IF(ISEVEN(B32),(B32-1)&amp;"/"&amp;B32,B32&amp;"/"&amp;(B32+1))</f>
        <v>4027/4028</v>
      </c>
      <c r="L32" s="21" t="str">
        <f>VLOOKUP(A32,'Trips&amp;Operators'!$C$1:$G$99999,5,FALSE)</f>
        <v>STARKS ANGELINA</v>
      </c>
      <c r="M32" s="6">
        <f>I32-F32</f>
        <v>2.8368055558530614E-2</v>
      </c>
      <c r="N32" s="7">
        <f>24*60*SUM($M32:$M32)</f>
        <v>40.850000004284084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-04-03T05:52:45-0600',mode:absolute,to:'2017-04-03T08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2" s="183" t="str">
        <f>IF(AA32&lt;IF(AG32="EC",23,5.65),"Y","N")</f>
        <v>N</v>
      </c>
      <c r="X32" s="183">
        <f>VALUE(LEFT(AD32,4))-VALUE(LEFT(AD31,4))</f>
        <v>1</v>
      </c>
      <c r="Y32" s="62">
        <f>RIGHT(D32,LEN(D32)-4)/10000</f>
        <v>23.299800000000001</v>
      </c>
      <c r="Z32" s="62">
        <f>RIGHT(H32,LEN(H32)-4)/10000</f>
        <v>1.49E-2</v>
      </c>
      <c r="AA32" s="62">
        <f>ABS(Z32-Y32)</f>
        <v>23.2849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>IF(LEN(A32)=6,"0"&amp;A32,A32)</f>
        <v>0120-03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32" s="82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/stypes="app*4027*20170403*" /stext=" 13:.+((SYSTEM_STATE.+slice.+state.+changed )|(ment ac)|(multiple cpu faults)|(system.+state.+changed )|(\[timeout)|(PRM\|1\|D)|(kpr)|(kdp)|(\|lc)|(penalty))"</v>
      </c>
      <c r="AG32" s="1" t="str">
        <f>IFERROR(IF(VALUE(LEFT(AD32,2))&lt;=2,"EC",IF(OR(VALUE(LEFT(AD32,2))=8,VALUE(LEFT(AD32,2))=18),"NW","Other")),"Other")</f>
        <v>EC</v>
      </c>
      <c r="AH32" s="86" t="str">
        <f>refinertdcruntimes&amp;" --tripid "&amp;A32&amp;" --locoid "&amp;B32&amp;" --swversion "&amp;C32&amp;" --startMP "&amp;D32&amp;" --initTime "&amp;TEXT(E32,"yyyy-mm-ddTHH:MM:SS")&amp;" --startdatetime "&amp;TEXT(F32,"yyyy-mm-ddTHH:MM:SS")&amp;" --delay "&amp;G32&amp;" --endMP "&amp;H32&amp;" --enddatetime "&amp;TEXT(I32,"yyyy-mm-ddTHH:MM:SS")&amp;" --enforcementcount "&amp;J32&amp;IF(outputrefinedruntimes," &gt;&gt;"&amp;RefinedRTDCRunTimesOutputFile,"")</f>
        <v>"%USERPROFILE%\Documents\GitHub\eaglep3\Utilities\RefineRTDCRunTimes.py" --tripid 120-03 --locoid 4027 --swversion DE.1.0.9.0 --startMP 204:232998 --initTime 2017-04-03T06:52:45 --startdatetime 2017-04-03T06:56:15 --delay 1 --endMP 204:149 --enddatetime 2017-04-03T07:37:06 --enforcementcount 0 &gt;&gt;C:\Users\stu\Documents\GitHub\eaglep3-reporting\EC\2017-04-03-refined-times.txt</v>
      </c>
      <c r="AI32" s="104" t="str">
        <f>"echo {""issue"":{""subject"":"""&amp;R32&amp;""",""project_id"":79,""tracker_id"":40,""status_id"":"&amp;redmine_status&amp;",""priority_id"":"&amp;redmine_priority&amp;",""assigned_to_id"":"&amp;redmine_assignee&amp;",""start_date"":"""&amp;TEXT(I32,"YYYY-mm-dd")&amp;""",""description"":"""&amp;AJ32&amp;""",""custom_fields"":[{""id"":1,""name"":""Subdivision"",""value"":"""&amp;AG32&amp;"""},{""id"":4,""name"":""Milepost"",""value"":"""&amp;Z32&amp;"""},{""id"":17,""name"":""Train ID"",""value"":"""&amp;A32&amp;"""},{""id"":16,""name"":""Locomotive ID"",""value"":"""&amp;B32&amp;"""},{""id"":130,""name"":""Impact"",""value"":"""&amp;AK32&amp;"""},{""id"":150,""name"":""Time of Event (Mountain Time)"",""value"":"""&amp;TEXT(I32,"hh:mm:ss")&amp;"""},{""id"":151,""name"":""Denver Issue ID"",""value"":"""&amp;"""},{""id"":178,""name"":""Operational Impact"",""value"":"""&amp;redmine_op_impact&amp;"""},{""id"":179,""name"":""Denver Segment Assigned"",""value"":"""&amp;AL32&amp;"""}]}}"&amp;"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ID","value":"120-03"},{"id":16,"name":"Locomotive ID","value":"4027"},{"id":130,"name":"Impact","value":""},{"id":150,"name":"Time of Event (Mountain Time)","value":"07:37:06"},{"id":151,"name":"Denver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>"start /low /b "&amp;dls3logs&amp;" --loco "&amp;B32&amp;" --day "&amp;TEXT(F32,"YYYY-MM-DD")</f>
        <v>start /low /b %USERPROFILE%\Documents\GitHub\eaglep3\Utilities\DownloadLogsFromS3.py --loco 4027 --day 2017-04-03</v>
      </c>
      <c r="AN32" s="159" t="str">
        <f>"echo {""issue"":{""subject"":"""&amp;R32&amp;""",""project_id"":30,""tracker_id"":4,""status_id"":"&amp;redmine_status_wcr&amp;",""priority_id"":"&amp;redmine_priority_wcr&amp;",""assigned_to_id"":"&amp;redmine_assignee_wcr&amp;",""start_date"":"""&amp;TEXT(I32-utc_offset/24,"YYYY-mm-dd")&amp;""",""description"":"""&amp;AJ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657</v>
      </c>
      <c r="B33" s="7">
        <v>4018</v>
      </c>
      <c r="C33" s="21" t="s">
        <v>217</v>
      </c>
      <c r="D33" s="21" t="s">
        <v>449</v>
      </c>
      <c r="E33" s="13">
        <v>42828.26017361111</v>
      </c>
      <c r="F33" s="13">
        <v>42828.265011574076</v>
      </c>
      <c r="G33" s="7">
        <v>1</v>
      </c>
      <c r="H33" s="21" t="s">
        <v>514</v>
      </c>
      <c r="I33" s="13">
        <v>42828.293368055558</v>
      </c>
      <c r="J33" s="7">
        <v>0</v>
      </c>
      <c r="K33" s="97" t="str">
        <f>IF(ISEVEN(B33),(B33-1)&amp;"/"&amp;B33,B33&amp;"/"&amp;(B33+1))</f>
        <v>4017/4018</v>
      </c>
      <c r="L33" s="21" t="str">
        <f>VLOOKUP(A33,'Trips&amp;Operators'!$C$1:$G$99999,5,FALSE)</f>
        <v>FORTUNATO FRANK</v>
      </c>
      <c r="M33" s="6">
        <f>I33-F33</f>
        <v>2.8356481481750961E-2</v>
      </c>
      <c r="N33" s="7">
        <f>24*60*SUM($M33:$M33)</f>
        <v>40.833333333721384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-04-03T05:14:39-0600',mode:absolute,to:'2017-04-03T08:02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3" s="183" t="str">
        <f>IF(AA33&lt;IF(AG33="EC",23,5.65),"Y","N")</f>
        <v>N</v>
      </c>
      <c r="X33" s="183">
        <f>VALUE(LEFT(AD33,4))-VALUE(LEFT(AD32,4))</f>
        <v>1</v>
      </c>
      <c r="Y33" s="62">
        <f>RIGHT(D33,LEN(D33)-4)/10000</f>
        <v>4.4699999999999997E-2</v>
      </c>
      <c r="Z33" s="62">
        <f>RIGHT(H33,LEN(H33)-4)/10000</f>
        <v>23.328399999999998</v>
      </c>
      <c r="AA33" s="62">
        <f>ABS(Z33-Y33)</f>
        <v>23.2837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>IF(LEN(A33)=6,"0"&amp;A33,A33)</f>
        <v>0121-03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33" s="82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/stypes="app*4018*20170403*" /stext=" 13:.+((SYSTEM_STATE.+slice.+state.+changed )|(ment ac)|(multiple cpu faults)|(system.+state.+changed )|(\[timeout)|(PRM\|1\|D)|(kpr)|(kdp)|(\|lc)|(penalty))"</v>
      </c>
      <c r="AG33" s="1" t="str">
        <f>IFERROR(IF(VALUE(LEFT(AD33,2))&lt;=2,"EC",IF(OR(VALUE(LEFT(AD33,2))=8,VALUE(LEFT(AD33,2))=18),"NW","Other")),"Other")</f>
        <v>EC</v>
      </c>
      <c r="AH33" s="86" t="str">
        <f>refinertdcruntimes&amp;" --tripid "&amp;A33&amp;" --locoid "&amp;B33&amp;" --swversion "&amp;C33&amp;" --startMP "&amp;D33&amp;" --initTime "&amp;TEXT(E33,"yyyy-mm-ddTHH:MM:SS")&amp;" --startdatetime "&amp;TEXT(F33,"yyyy-mm-ddTHH:MM:SS")&amp;" --delay "&amp;G33&amp;" --endMP "&amp;H33&amp;" --enddatetime "&amp;TEXT(I33,"yyyy-mm-ddTHH:MM:SS")&amp;" --enforcementcount "&amp;J33&amp;IF(outputrefinedruntimes," &gt;&gt;"&amp;RefinedRTDCRunTimesOutputFile,"")</f>
        <v>"%USERPROFILE%\Documents\GitHub\eaglep3\Utilities\RefineRTDCRunTimes.py" --tripid 121-03 --locoid 4018 --swversion DE.1.0.9.0 --startMP 204:447 --initTime 2017-04-03T06:14:39 --startdatetime 2017-04-03T06:21:37 --delay 1 --endMP 204:233284 --enddatetime 2017-04-03T07:02:27 --enforcementcount 0 &gt;&gt;C:\Users\stu\Documents\GitHub\eaglep3-reporting\EC\2017-04-03-refined-times.txt</v>
      </c>
      <c r="AI33" s="104" t="str">
        <f>"echo {""issue"":{""subject"":"""&amp;R33&amp;""",""project_id"":79,""tracker_id"":40,""status_id"":"&amp;redmine_status&amp;",""priority_id"":"&amp;redmine_priority&amp;",""assigned_to_id"":"&amp;redmine_assignee&amp;",""start_date"":"""&amp;TEXT(I33,"YYYY-mm-dd")&amp;""",""description"":"""&amp;AJ33&amp;""",""custom_fields"":[{""id"":1,""name"":""Subdivision"",""value"":"""&amp;AG33&amp;"""},{""id"":4,""name"":""Milepost"",""value"":"""&amp;Z33&amp;"""},{""id"":17,""name"":""Train ID"",""value"":"""&amp;A33&amp;"""},{""id"":16,""name"":""Locomotive ID"",""value"":"""&amp;B33&amp;"""},{""id"":130,""name"":""Impact"",""value"":"""&amp;AK33&amp;"""},{""id"":150,""name"":""Time of Event (Mountain Time)"",""value"":"""&amp;TEXT(I33,"hh:mm:ss")&amp;"""},{""id"":151,""name"":""Denver Issue ID"",""value"":"""&amp;"""},{""id"":178,""name"":""Operational Impact"",""value"":"""&amp;redmine_op_impact&amp;"""},{""id"":179,""name"":""Denver Segment Assigned"",""value"":"""&amp;AL33&amp;"""}]}}"&amp;"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ID","value":"121-03"},{"id":16,"name":"Locomotive ID","value":"4018"},{"id":130,"name":"Impact","value":""},{"id":150,"name":"Time of Event (Mountain Time)","value":"07:02:27"},{"id":151,"name":"Denver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>"start /low /b "&amp;dls3logs&amp;" --loco "&amp;B33&amp;" --day "&amp;TEXT(F33,"YYYY-MM-DD")</f>
        <v>start /low /b %USERPROFILE%\Documents\GitHub\eaglep3\Utilities\DownloadLogsFromS3.py --loco 4018 --day 2017-04-03</v>
      </c>
      <c r="AN33" s="159" t="str">
        <f>"echo {""issue"":{""subject"":"""&amp;R33&amp;""",""project_id"":30,""tracker_id"":4,""status_id"":"&amp;redmine_status_wcr&amp;",""priority_id"":"&amp;redmine_priority_wcr&amp;",""assigned_to_id"":"&amp;redmine_assignee_wcr&amp;",""start_date"":"""&amp;TEXT(I33-utc_offset/24,"YYYY-mm-dd")&amp;""",""description"":"""&amp;AJ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664</v>
      </c>
      <c r="B34" s="7">
        <v>4017</v>
      </c>
      <c r="C34" s="21" t="s">
        <v>217</v>
      </c>
      <c r="D34" s="21" t="s">
        <v>465</v>
      </c>
      <c r="E34" s="13">
        <v>42828.294803240744</v>
      </c>
      <c r="F34" s="13">
        <v>42828.29960648148</v>
      </c>
      <c r="G34" s="7">
        <v>1</v>
      </c>
      <c r="H34" s="21" t="s">
        <v>839</v>
      </c>
      <c r="I34" s="13">
        <v>42828.327685185184</v>
      </c>
      <c r="J34" s="7">
        <v>0</v>
      </c>
      <c r="K34" s="97" t="str">
        <f>IF(ISEVEN(B34),(B34-1)&amp;"/"&amp;B34,B34&amp;"/"&amp;(B34+1))</f>
        <v>4017/4018</v>
      </c>
      <c r="L34" s="21" t="str">
        <f>VLOOKUP(A34,'Trips&amp;Operators'!$C$1:$G$99999,5,FALSE)</f>
        <v>FORTUNATO FRANK</v>
      </c>
      <c r="M34" s="6">
        <f>I34-F34</f>
        <v>2.8078703704522923E-2</v>
      </c>
      <c r="N34" s="7">
        <f>24*60*SUM($M34:$M34)</f>
        <v>40.433333334513009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-04-03T06:04:31-0600',mode:absolute,to:'2017-04-03T08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4" s="183" t="str">
        <f>IF(AA34&lt;IF(AG34="EC",23,5.65),"Y","N")</f>
        <v>N</v>
      </c>
      <c r="X34" s="183">
        <f>VALUE(LEFT(AD34,4))-VALUE(LEFT(AD33,4))</f>
        <v>1</v>
      </c>
      <c r="Y34" s="62">
        <f>RIGHT(D34,LEN(D34)-4)/10000</f>
        <v>23.296099999999999</v>
      </c>
      <c r="Z34" s="62">
        <f>RIGHT(H34,LEN(H34)-4)/10000</f>
        <v>1.7399999999999999E-2</v>
      </c>
      <c r="AA34" s="62">
        <f>ABS(Z34-Y34)</f>
        <v>23.278700000000001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>IF(LEN(A34)=6,"0"&amp;A34,A34)</f>
        <v>0122-03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34" s="82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/stypes="app*4017*20170403*" /stext=" 13:.+((SYSTEM_STATE.+slice.+state.+changed )|(ment ac)|(multiple cpu faults)|(system.+state.+changed )|(\[timeout)|(PRM\|1\|D)|(kpr)|(kdp)|(\|lc)|(penalty))"</v>
      </c>
      <c r="AG34" s="1" t="str">
        <f>IFERROR(IF(VALUE(LEFT(AD34,2))&lt;=2,"EC",IF(OR(VALUE(LEFT(AD34,2))=8,VALUE(LEFT(AD34,2))=18),"NW","Other")),"Other")</f>
        <v>EC</v>
      </c>
      <c r="AH34" s="86" t="str">
        <f>refinertdcruntimes&amp;" --tripid "&amp;A34&amp;" --locoid "&amp;B34&amp;" --swversion "&amp;C34&amp;" --startMP "&amp;D34&amp;" --initTime "&amp;TEXT(E34,"yyyy-mm-ddTHH:MM:SS")&amp;" --startdatetime "&amp;TEXT(F34,"yyyy-mm-ddTHH:MM:SS")&amp;" --delay "&amp;G34&amp;" --endMP "&amp;H34&amp;" --enddatetime "&amp;TEXT(I34,"yyyy-mm-ddTHH:MM:SS")&amp;" --enforcementcount "&amp;J34&amp;IF(outputrefinedruntimes," &gt;&gt;"&amp;RefinedRTDCRunTimesOutputFile,"")</f>
        <v>"%USERPROFILE%\Documents\GitHub\eaglep3\Utilities\RefineRTDCRunTimes.py" --tripid 122-03 --locoid 4017 --swversion DE.1.0.9.0 --startMP 204:232961 --initTime 2017-04-03T07:04:31 --startdatetime 2017-04-03T07:11:26 --delay 1 --endMP 204:174 --enddatetime 2017-04-03T07:51:52 --enforcementcount 0 &gt;&gt;C:\Users\stu\Documents\GitHub\eaglep3-reporting\EC\2017-04-03-refined-times.txt</v>
      </c>
      <c r="AI34" s="104" t="str">
        <f>"echo {""issue"":{""subject"":"""&amp;R34&amp;""",""project_id"":79,""tracker_id"":40,""status_id"":"&amp;redmine_status&amp;",""priority_id"":"&amp;redmine_priority&amp;",""assigned_to_id"":"&amp;redmine_assignee&amp;",""start_date"":"""&amp;TEXT(I34,"YYYY-mm-dd")&amp;""",""description"":"""&amp;AJ34&amp;""",""custom_fields"":[{""id"":1,""name"":""Subdivision"",""value"":"""&amp;AG34&amp;"""},{""id"":4,""name"":""Milepost"",""value"":"""&amp;Z34&amp;"""},{""id"":17,""name"":""Train ID"",""value"":"""&amp;A34&amp;"""},{""id"":16,""name"":""Locomotive ID"",""value"":"""&amp;B34&amp;"""},{""id"":130,""name"":""Impact"",""value"":"""&amp;AK34&amp;"""},{""id"":150,""name"":""Time of Event (Mountain Time)"",""value"":"""&amp;TEXT(I34,"hh:mm:ss")&amp;"""},{""id"":151,""name"":""Denver Issue ID"",""value"":"""&amp;"""},{""id"":178,""name"":""Operational Impact"",""value"":"""&amp;redmine_op_impact&amp;"""},{""id"":179,""name"":""Denver Segment Assigned"",""value"":"""&amp;AL34&amp;"""}]}}"&amp;"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ID","value":"122-03"},{"id":16,"name":"Locomotive ID","value":"4017"},{"id":130,"name":"Impact","value":""},{"id":150,"name":"Time of Event (Mountain Time)","value":"07:51:52"},{"id":151,"name":"Denver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>"start /low /b "&amp;dls3logs&amp;" --loco "&amp;B34&amp;" --day "&amp;TEXT(F34,"YYYY-MM-DD")</f>
        <v>start /low /b %USERPROFILE%\Documents\GitHub\eaglep3\Utilities\DownloadLogsFromS3.py --loco 4017 --day 2017-04-03</v>
      </c>
      <c r="AN34" s="159" t="str">
        <f>"echo {""issue"":{""subject"":"""&amp;R34&amp;""",""project_id"":30,""tracker_id"":4,""status_id"":"&amp;redmine_status_wcr&amp;",""priority_id"":"&amp;redmine_priority_wcr&amp;",""assigned_to_id"":"&amp;redmine_assignee_wcr&amp;",""start_date"":"""&amp;TEXT(I34-utc_offset/24,"YYYY-mm-dd")&amp;""",""description"":"""&amp;AJ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659</v>
      </c>
      <c r="B35" s="7">
        <v>4008</v>
      </c>
      <c r="C35" s="21" t="s">
        <v>217</v>
      </c>
      <c r="D35" s="21" t="s">
        <v>840</v>
      </c>
      <c r="E35" s="13">
        <v>42828.267453703702</v>
      </c>
      <c r="F35" s="13">
        <v>42828.270995370367</v>
      </c>
      <c r="G35" s="7">
        <v>1</v>
      </c>
      <c r="H35" s="21" t="s">
        <v>488</v>
      </c>
      <c r="I35" s="13">
        <v>42828.297546296293</v>
      </c>
      <c r="J35" s="7">
        <v>0</v>
      </c>
      <c r="K35" s="97" t="str">
        <f>IF(ISEVEN(B35),(B35-1)&amp;"/"&amp;B35,B35&amp;"/"&amp;(B35+1))</f>
        <v>4007/4008</v>
      </c>
      <c r="L35" s="21" t="str">
        <f>VLOOKUP(A35,'Trips&amp;Operators'!$C$1:$G$99999,5,FALSE)</f>
        <v>SHOOK JOHN</v>
      </c>
      <c r="M35" s="6">
        <f>I35-F35</f>
        <v>2.6550925926130731E-2</v>
      </c>
      <c r="N35" s="7">
        <f>24*60*SUM($M35:$M35)</f>
        <v>38.233333333628252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-04-03T05:25:08-0600',mode:absolute,to:'2017-04-03T08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5" s="183" t="str">
        <f>IF(AA35&lt;IF(AG35="EC",23,5.65),"Y","N")</f>
        <v>N</v>
      </c>
      <c r="X35" s="183">
        <f>VALUE(LEFT(AD35,4))-VALUE(LEFT(AD34,4))</f>
        <v>1</v>
      </c>
      <c r="Y35" s="62">
        <f>RIGHT(D35,LEN(D35)-4)/10000</f>
        <v>6.3299999999999995E-2</v>
      </c>
      <c r="Z35" s="62">
        <f>RIGHT(H35,LEN(H35)-4)/10000</f>
        <v>23.331499999999998</v>
      </c>
      <c r="AA35" s="62">
        <f>ABS(Z35-Y35)</f>
        <v>23.268199999999997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>IF(LEN(A35)=6,"0"&amp;A35,A35)</f>
        <v>0123-03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35" s="82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/stypes="app*4008*20170403*" /stext=" 13:.+((SYSTEM_STATE.+slice.+state.+changed )|(ment ac)|(multiple cpu faults)|(system.+state.+changed )|(\[timeout)|(PRM\|1\|D)|(kpr)|(kdp)|(\|lc)|(penalty))"</v>
      </c>
      <c r="AG35" s="1" t="str">
        <f>IFERROR(IF(VALUE(LEFT(AD35,2))&lt;=2,"EC",IF(OR(VALUE(LEFT(AD35,2))=8,VALUE(LEFT(AD35,2))=18),"NW","Other")),"Other")</f>
        <v>EC</v>
      </c>
      <c r="AH35" s="86" t="str">
        <f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123-03 --locoid 4008 --swversion DE.1.0.9.0 --startMP 204:633 --initTime 2017-04-03T06:25:08 --startdatetime 2017-04-03T06:30:14 --delay 1 --endMP 204:233315 --enddatetime 2017-04-03T07:08:28 --enforcementcount 0 &gt;&gt;C:\Users\stu\Documents\GitHub\eaglep3-reporting\EC\2017-04-03-refined-times.txt</v>
      </c>
      <c r="AI35" s="104" t="str">
        <f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{"issue":{"subject":"","project_id":79,"tracker_id":40,"status_id":1,"priority_id":2,"assigned_to_id":23,"start_date":"2017-04-03","description":"","custom_fields":[{"id":1,"name":"Subdivision","value":"EC"},{"id":4,"name":"Milepost","value":"23.3315"},{"id":17,"name":"Train ID","value":"123-03"},{"id":16,"name":"Locomotive ID","value":"4008"},{"id":130,"name":"Impact","value":""},{"id":150,"name":"Time of Event (Mountain Time)","value":"07:08:28"},{"id":151,"name":"Denver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>"start /low /b "&amp;dls3logs&amp;" --loco "&amp;B35&amp;" --day "&amp;TEXT(F35,"YYYY-MM-DD")</f>
        <v>start /low /b %USERPROFILE%\Documents\GitHub\eaglep3\Utilities\DownloadLogsFromS3.py --loco 4008 --day 2017-04-03</v>
      </c>
      <c r="AN35" s="159" t="str">
        <f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666</v>
      </c>
      <c r="B36" s="7">
        <v>4007</v>
      </c>
      <c r="C36" s="21" t="s">
        <v>217</v>
      </c>
      <c r="D36" s="21" t="s">
        <v>420</v>
      </c>
      <c r="E36" s="13">
        <v>42828.299675925926</v>
      </c>
      <c r="F36" s="13">
        <v>42828.309942129628</v>
      </c>
      <c r="G36" s="7">
        <v>1</v>
      </c>
      <c r="H36" s="21" t="s">
        <v>214</v>
      </c>
      <c r="I36" s="13">
        <v>42828.337800925925</v>
      </c>
      <c r="J36" s="7">
        <v>0</v>
      </c>
      <c r="K36" s="97" t="str">
        <f>IF(ISEVEN(B36),(B36-1)&amp;"/"&amp;B36,B36&amp;"/"&amp;(B36+1))</f>
        <v>4007/4008</v>
      </c>
      <c r="L36" s="21" t="str">
        <f>VLOOKUP(A36,'Trips&amp;Operators'!$C$1:$G$99999,5,FALSE)</f>
        <v>SHOOK JOHN</v>
      </c>
      <c r="M36" s="6">
        <f>I36-F36</f>
        <v>2.7858796296641231E-2</v>
      </c>
      <c r="N36" s="7">
        <f>24*60*SUM($M36:$M36)</f>
        <v>40.116666667163372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-04-03T06:11:32-0600',mode:absolute,to:'2017-04-03T09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6" s="183" t="str">
        <f>IF(AA36&lt;IF(AG36="EC",23,5.65),"Y","N")</f>
        <v>N</v>
      </c>
      <c r="X36" s="183">
        <f>VALUE(LEFT(AD36,4))-VALUE(LEFT(AD35,4))</f>
        <v>1</v>
      </c>
      <c r="Y36" s="62">
        <f>RIGHT(D36,LEN(D36)-4)/10000</f>
        <v>23.298100000000002</v>
      </c>
      <c r="Z36" s="62">
        <f>RIGHT(H36,LEN(H36)-4)/10000</f>
        <v>1.47E-2</v>
      </c>
      <c r="AA36" s="62">
        <f>ABS(Z36-Y36)</f>
        <v>23.2834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>IF(LEN(A36)=6,"0"&amp;A36,A36)</f>
        <v>0124-03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36" s="82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/stypes="app*4007*20170403*" /stext=" 14:.+((SYSTEM_STATE.+slice.+state.+changed )|(ment ac)|(multiple cpu faults)|(system.+state.+changed )|(\[timeout)|(PRM\|1\|D)|(kpr)|(kdp)|(\|lc)|(penalty))"</v>
      </c>
      <c r="AG36" s="1" t="str">
        <f>IFERROR(IF(VALUE(LEFT(AD36,2))&lt;=2,"EC",IF(OR(VALUE(LEFT(AD36,2))=8,VALUE(LEFT(AD36,2))=18),"NW","Other")),"Other")</f>
        <v>EC</v>
      </c>
      <c r="AH36" s="86" t="str">
        <f>refinertdcruntimes&amp;" --tripid "&amp;A36&amp;" --locoid "&amp;B36&amp;" --swversion "&amp;C36&amp;" --startMP "&amp;D36&amp;" --initTime "&amp;TEXT(E36,"yyyy-mm-ddTHH:MM:SS")&amp;" --startdatetime "&amp;TEXT(F36,"yyyy-mm-ddTHH:MM:SS")&amp;" --delay "&amp;G36&amp;" --endMP "&amp;H36&amp;" --enddatetime "&amp;TEXT(I36,"yyyy-mm-ddTHH:MM:SS")&amp;" --enforcementcount "&amp;J36&amp;IF(outputrefinedruntimes," &gt;&gt;"&amp;RefinedRTDCRunTimesOutputFile,"")</f>
        <v>"%USERPROFILE%\Documents\GitHub\eaglep3\Utilities\RefineRTDCRunTimes.py" --tripid 124-03 --locoid 4007 --swversion DE.1.0.9.0 --startMP 204:232981 --initTime 2017-04-03T07:11:32 --startdatetime 2017-04-03T07:26:19 --delay 1 --endMP 204:147 --enddatetime 2017-04-03T08:06:26 --enforcementcount 0 &gt;&gt;C:\Users\stu\Documents\GitHub\eaglep3-reporting\EC\2017-04-03-refined-times.txt</v>
      </c>
      <c r="AI36" s="104" t="str">
        <f>"echo {""issue"":{""subject"":"""&amp;R36&amp;""",""project_id"":79,""tracker_id"":40,""status_id"":"&amp;redmine_status&amp;",""priority_id"":"&amp;redmine_priority&amp;",""assigned_to_id"":"&amp;redmine_assignee&amp;",""start_date"":"""&amp;TEXT(I36,"YYYY-mm-dd")&amp;""",""description"":"""&amp;AJ36&amp;""",""custom_fields"":[{""id"":1,""name"":""Subdivision"",""value"":"""&amp;AG36&amp;"""},{""id"":4,""name"":""Milepost"",""value"":"""&amp;Z36&amp;"""},{""id"":17,""name"":""Train ID"",""value"":"""&amp;A36&amp;"""},{""id"":16,""name"":""Locomotive ID"",""value"":"""&amp;B36&amp;"""},{""id"":130,""name"":""Impact"",""value"":"""&amp;AK36&amp;"""},{""id"":150,""name"":""Time of Event (Mountain Time)"",""value"":"""&amp;TEXT(I36,"hh:mm:ss")&amp;"""},{""id"":151,""name"":""Denver Issue ID"",""value"":"""&amp;"""},{""id"":178,""name"":""Operational Impact"",""value"":"""&amp;redmine_op_impact&amp;"""},{""id"":179,""name"":""Denver Segment Assigned"",""value"":"""&amp;AL36&amp;"""}]}}"&amp;"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ID","value":"124-03"},{"id":16,"name":"Locomotive ID","value":"4007"},{"id":130,"name":"Impact","value":""},{"id":150,"name":"Time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>"start /low /b "&amp;dls3logs&amp;" --loco "&amp;B36&amp;" --day "&amp;TEXT(F36,"YYYY-MM-DD")</f>
        <v>start /low /b %USERPROFILE%\Documents\GitHub\eaglep3\Utilities\DownloadLogsFromS3.py --loco 4007 --day 2017-04-03</v>
      </c>
      <c r="AN36" s="159" t="str">
        <f>"echo {""issue"":{""subject"":"""&amp;R36&amp;""",""project_id"":30,""tracker_id"":4,""status_id"":"&amp;redmine_status_wcr&amp;",""priority_id"":"&amp;redmine_priority_wcr&amp;",""assigned_to_id"":"&amp;redmine_assignee_wcr&amp;",""start_date"":"""&amp;TEXT(I36-utc_offset/24,"YYYY-mm-dd")&amp;""",""description"":"""&amp;AJ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662</v>
      </c>
      <c r="B37" s="7">
        <v>4052</v>
      </c>
      <c r="C37" s="21" t="s">
        <v>217</v>
      </c>
      <c r="D37" s="21" t="s">
        <v>513</v>
      </c>
      <c r="E37" s="13">
        <v>42828.276805555557</v>
      </c>
      <c r="F37" s="13">
        <v>42828.281956018516</v>
      </c>
      <c r="G37" s="7">
        <v>1</v>
      </c>
      <c r="H37" s="21" t="s">
        <v>377</v>
      </c>
      <c r="I37" s="13">
        <v>42828.305625000001</v>
      </c>
      <c r="J37" s="7">
        <v>0</v>
      </c>
      <c r="K37" s="97" t="str">
        <f>IF(ISEVEN(B37),(B37-1)&amp;"/"&amp;B37,B37&amp;"/"&amp;(B37+1))</f>
        <v>4051/4052</v>
      </c>
      <c r="L37" s="21" t="str">
        <f>VLOOKUP(A37,'Trips&amp;Operators'!$C$1:$G$99999,5,FALSE)</f>
        <v>YORK EDGAR</v>
      </c>
      <c r="M37" s="6">
        <f>I37-F37</f>
        <v>2.3668981484661344E-2</v>
      </c>
      <c r="N37" s="7">
        <f>24*60*SUM($M37:$M37)</f>
        <v>34.083333337912336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-04-03T05:38:36-0600',mode:absolute,to:'2017-04-03T08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3" t="str">
        <f>IF(AA37&lt;IF(AG37="EC",23,5.65),"Y","N")</f>
        <v>N</v>
      </c>
      <c r="X37" s="183">
        <f>VALUE(LEFT(AD37,4))-VALUE(LEFT(AD36,4))</f>
        <v>1</v>
      </c>
      <c r="Y37" s="62">
        <f>RIGHT(D37,LEN(D37)-4)/10000</f>
        <v>4.6600000000000003E-2</v>
      </c>
      <c r="Z37" s="62">
        <f>RIGHT(H37,LEN(H37)-4)/10000</f>
        <v>23.3293</v>
      </c>
      <c r="AA37" s="62">
        <f>ABS(Z37-Y37)</f>
        <v>23.282699999999998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>IF(LEN(A37)=6,"0"&amp;A37,A37)</f>
        <v>0125-03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37" s="82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/stypes="app*4052*20170403*" /stext=" 13:.+((SYSTEM_STATE.+slice.+state.+changed )|(ment ac)|(multiple cpu faults)|(system.+state.+changed )|(\[timeout)|(PRM\|1\|D)|(kpr)|(kdp)|(\|lc)|(penalty))"</v>
      </c>
      <c r="AG37" s="1" t="str">
        <f>IFERROR(IF(VALUE(LEFT(AD37,2))&lt;=2,"EC",IF(OR(VALUE(LEFT(AD37,2))=8,VALUE(LEFT(AD37,2))=18),"NW","Other")),"Other")</f>
        <v>EC</v>
      </c>
      <c r="AH37" s="86" t="str">
        <f>refinertdcruntimes&amp;" --tripid "&amp;A37&amp;" --locoid "&amp;B37&amp;" --swversion "&amp;C37&amp;" --startMP "&amp;D37&amp;" --initTime "&amp;TEXT(E37,"yyyy-mm-ddTHH:MM:SS")&amp;" --startdatetime "&amp;TEXT(F37,"yyyy-mm-ddTHH:MM:SS")&amp;" --delay "&amp;G37&amp;" --endMP "&amp;H37&amp;" --enddatetime "&amp;TEXT(I37,"yyyy-mm-ddTHH:MM:SS")&amp;" --enforcementcount "&amp;J37&amp;IF(outputrefinedruntimes," &gt;&gt;"&amp;RefinedRTDCRunTimesOutputFile,"")</f>
        <v>"%USERPROFILE%\Documents\GitHub\eaglep3\Utilities\RefineRTDCRunTimes.py" --tripid 125-03 --locoid 4052 --swversion DE.1.0.9.0 --startMP 204:466 --initTime 2017-04-03T06:38:36 --startdatetime 2017-04-03T06:46:01 --delay 1 --endMP 204:233293 --enddatetime 2017-04-03T07:20:06 --enforcementcount 0 &gt;&gt;C:\Users\stu\Documents\GitHub\eaglep3-reporting\EC\2017-04-03-refined-times.txt</v>
      </c>
      <c r="AI37" s="104" t="str">
        <f>"echo {""issue"":{""subject"":"""&amp;R37&amp;""",""project_id"":79,""tracker_id"":40,""status_id"":"&amp;redmine_status&amp;",""priority_id"":"&amp;redmine_priority&amp;",""assigned_to_id"":"&amp;redmine_assignee&amp;",""start_date"":"""&amp;TEXT(I37,"YYYY-mm-dd")&amp;""",""description"":"""&amp;AJ37&amp;""",""custom_fields"":[{""id"":1,""name"":""Subdivision"",""value"":"""&amp;AG37&amp;"""},{""id"":4,""name"":""Milepost"",""value"":"""&amp;Z37&amp;"""},{""id"":17,""name"":""Train ID"",""value"":"""&amp;A37&amp;"""},{""id"":16,""name"":""Locomotive ID"",""value"":"""&amp;B37&amp;"""},{""id"":130,""name"":""Impact"",""value"":"""&amp;AK37&amp;"""},{""id"":150,""name"":""Time of Event (Mountain Time)"",""value"":"""&amp;TEXT(I37,"hh:mm:ss")&amp;"""},{""id"":151,""name"":""Denver Issue ID"",""value"":"""&amp;"""},{""id"":178,""name"":""Operational Impact"",""value"":"""&amp;redmine_op_impact&amp;"""},{""id"":179,""name"":""Denver Segment Assigned"",""value"":"""&amp;AL37&amp;"""}]}}"&amp;"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ID","value":"125-03"},{"id":16,"name":"Locomotive ID","value":"4052"},{"id":130,"name":"Impact","value":""},{"id":150,"name":"Time of Event (Mountain Time)","value":"07:20:06"},{"id":151,"name":"Denver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>"start /low /b "&amp;dls3logs&amp;" --loco "&amp;B37&amp;" --day "&amp;TEXT(F37,"YYYY-MM-DD")</f>
        <v>start /low /b %USERPROFILE%\Documents\GitHub\eaglep3\Utilities\DownloadLogsFromS3.py --loco 4052 --day 2017-04-03</v>
      </c>
      <c r="AN37" s="159" t="str">
        <f>"echo {""issue"":{""subject"":"""&amp;R37&amp;""",""project_id"":30,""tracker_id"":4,""status_id"":"&amp;redmine_status_wcr&amp;",""priority_id"":"&amp;redmine_priority_wcr&amp;",""assigned_to_id"":"&amp;redmine_assignee_wcr&amp;",""start_date"":"""&amp;TEXT(I37-utc_offset/24,"YYYY-mm-dd")&amp;""",""description"":"""&amp;AJ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581</v>
      </c>
      <c r="B38" s="7">
        <v>4051</v>
      </c>
      <c r="C38" s="21" t="s">
        <v>217</v>
      </c>
      <c r="D38" s="21" t="s">
        <v>464</v>
      </c>
      <c r="E38" s="13">
        <v>42828.306481481479</v>
      </c>
      <c r="F38" s="13">
        <v>42828.320821759262</v>
      </c>
      <c r="G38" s="7">
        <v>1</v>
      </c>
      <c r="H38" s="21" t="s">
        <v>452</v>
      </c>
      <c r="I38" s="13">
        <v>42828.346782407411</v>
      </c>
      <c r="J38" s="7">
        <v>0</v>
      </c>
      <c r="K38" s="97" t="str">
        <f>IF(ISEVEN(B38),(B38-1)&amp;"/"&amp;B38,B38&amp;"/"&amp;(B38+1))</f>
        <v>4051/4052</v>
      </c>
      <c r="L38" s="21" t="str">
        <f>VLOOKUP(A38,'Trips&amp;Operators'!$C$1:$G$99999,5,FALSE)</f>
        <v>YORK EDGAR</v>
      </c>
      <c r="M38" s="6">
        <f>I38-F38</f>
        <v>2.5960648148611654E-2</v>
      </c>
      <c r="N38" s="7">
        <f>24*60*SUM($M38:$M38)</f>
        <v>37.383333334000781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83" t="str">
        <f>IF(AA38&lt;IF(AG38="EC",23,5.65),"Y","N")</f>
        <v>N</v>
      </c>
      <c r="X38" s="183">
        <f>VALUE(LEFT(AD38,4))-VALUE(LEFT(AD37,4))</f>
        <v>1</v>
      </c>
      <c r="Y38" s="62">
        <f>RIGHT(D38,LEN(D38)-4)/10000</f>
        <v>23.2973</v>
      </c>
      <c r="Z38" s="62">
        <f>RIGHT(H38,LEN(H38)-4)/10000</f>
        <v>1.6299999999999999E-2</v>
      </c>
      <c r="AA38" s="62">
        <f>ABS(Z38-Y38)</f>
        <v>23.280999999999999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>IF(LEN(A38)=6,"0"&amp;A38,A38)</f>
        <v>0126-03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38" s="82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/stypes="app*4051*20170403*" /stext=" 14:.+((SYSTEM_STATE.+slice.+state.+changed )|(ment ac)|(multiple cpu faults)|(system.+state.+changed )|(\[timeout)|(PRM\|1\|D)|(kpr)|(kdp)|(\|lc)|(penalty))"</v>
      </c>
      <c r="AG38" s="1" t="str">
        <f>IFERROR(IF(VALUE(LEFT(AD38,2))&lt;=2,"EC",IF(OR(VALUE(LEFT(AD38,2))=8,VALUE(LEFT(AD38,2))=18),"NW","Other")),"Other")</f>
        <v>EC</v>
      </c>
      <c r="AH38" s="86" t="str">
        <f>refinertdcruntimes&amp;" --tripid "&amp;A38&amp;" --locoid "&amp;B38&amp;" --swversion "&amp;C38&amp;" --startMP "&amp;D38&amp;" --initTime "&amp;TEXT(E38,"yyyy-mm-ddTHH:MM:SS")&amp;" --startdatetime "&amp;TEXT(F38,"yyyy-mm-ddTHH:MM:SS")&amp;" --delay "&amp;G38&amp;" --endMP "&amp;H38&amp;" --enddatetime "&amp;TEXT(I38,"yyyy-mm-ddTHH:MM:SS")&amp;" --enforcementcount "&amp;J38&amp;IF(outputrefinedruntimes," &gt;&gt;"&amp;RefinedRTDCRunTimesOutputFile,"")</f>
        <v>"%USERPROFILE%\Documents\GitHub\eaglep3\Utilities\RefineRTDCRunTimes.py" --tripid 126-03 --locoid 4051 --swversion DE.1.0.9.0 --startMP 204:232973 --initTime 2017-04-03T07:21:20 --startdatetime 2017-04-03T07:41:59 --delay 1 --endMP 204:163 --enddatetime 2017-04-03T08:19:22 --enforcementcount 0 &gt;&gt;C:\Users\stu\Documents\GitHub\eaglep3-reporting\EC\2017-04-03-refined-times.txt</v>
      </c>
      <c r="AI38" s="104" t="str">
        <f>"echo {""issue"":{""subject"":"""&amp;R38&amp;""",""project_id"":79,""tracker_id"":40,""status_id"":"&amp;redmine_status&amp;",""priority_id"":"&amp;redmine_priority&amp;",""assigned_to_id"":"&amp;redmine_assignee&amp;",""start_date"":"""&amp;TEXT(I38,"YYYY-mm-dd")&amp;""",""description"":"""&amp;AJ38&amp;""",""custom_fields"":[{""id"":1,""name"":""Subdivision"",""value"":"""&amp;AG38&amp;"""},{""id"":4,""name"":""Milepost"",""value"":"""&amp;Z38&amp;"""},{""id"":17,""name"":""Train ID"",""value"":"""&amp;A38&amp;"""},{""id"":16,""name"":""Locomotive ID"",""value"":"""&amp;B38&amp;"""},{""id"":130,""name"":""Impact"",""value"":"""&amp;AK38&amp;"""},{""id"":150,""name"":""Time of Event (Mountain Time)"",""value"":"""&amp;TEXT(I38,"hh:mm:ss")&amp;"""},{""id"":151,""name"":""Denver Issue ID"",""value"":"""&amp;"""},{""id"":178,""name"":""Operational Impact"",""value"":"""&amp;redmine_op_impact&amp;"""},{""id"":179,""name"":""Denver Segment Assigned"",""value"":"""&amp;AL38&amp;"""}]}}"&amp;"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ID","value":"126-03"},{"id":16,"name":"Locomotive ID","value":"4051"},{"id":130,"name":"Impact","value":""},{"id":150,"name":"Time of Event (Mountain Time)","value":"08:19:22"},{"id":151,"name":"Denver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>"start /low /b "&amp;dls3logs&amp;" --loco "&amp;B38&amp;" --day "&amp;TEXT(F38,"YYYY-MM-DD")</f>
        <v>start /low /b %USERPROFILE%\Documents\GitHub\eaglep3\Utilities\DownloadLogsFromS3.py --loco 4051 --day 2017-04-03</v>
      </c>
      <c r="AN38" s="159" t="str">
        <f>"echo {""issue"":{""subject"":"""&amp;R38&amp;""",""project_id"":30,""tracker_id"":4,""status_id"":"&amp;redmine_status_wcr&amp;",""priority_id"":"&amp;redmine_priority_wcr&amp;",""assigned_to_id"":"&amp;redmine_assignee_wcr&amp;",""start_date"":"""&amp;TEXT(I38-utc_offset/24,"YYYY-mm-dd")&amp;""",""description"":"""&amp;AJ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579</v>
      </c>
      <c r="B39" s="7">
        <v>4004</v>
      </c>
      <c r="C39" s="21" t="s">
        <v>217</v>
      </c>
      <c r="D39" s="21" t="s">
        <v>449</v>
      </c>
      <c r="E39" s="13">
        <v>42828.286215277774</v>
      </c>
      <c r="F39" s="13">
        <v>42828.291851851849</v>
      </c>
      <c r="G39" s="7">
        <v>1</v>
      </c>
      <c r="H39" s="21" t="s">
        <v>560</v>
      </c>
      <c r="I39" s="13">
        <v>42828.316805555558</v>
      </c>
      <c r="J39" s="7">
        <v>0</v>
      </c>
      <c r="K39" s="97" t="str">
        <f>IF(ISEVEN(B39),(B39-1)&amp;"/"&amp;B39,B39&amp;"/"&amp;(B39+1))</f>
        <v>4003/4004</v>
      </c>
      <c r="L39" s="21" t="str">
        <f>VLOOKUP(A39,'Trips&amp;Operators'!$C$1:$G$99999,5,FALSE)</f>
        <v>SANTIZO D. EDY</v>
      </c>
      <c r="M39" s="6">
        <f>I39-F39</f>
        <v>2.4953703708888497E-2</v>
      </c>
      <c r="N39" s="7">
        <f>24*60*SUM($M39:$M39)</f>
        <v>35.933333340799436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-04-03T05:52:09-0600',mode:absolute,to:'2017-04-03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9" s="183" t="str">
        <f>IF(AA39&lt;IF(AG39="EC",23,5.65),"Y","N")</f>
        <v>N</v>
      </c>
      <c r="X39" s="183">
        <f>VALUE(LEFT(AD39,4))-VALUE(LEFT(AD38,4))</f>
        <v>1</v>
      </c>
      <c r="Y39" s="62">
        <f>RIGHT(D39,LEN(D39)-4)/10000</f>
        <v>4.4699999999999997E-2</v>
      </c>
      <c r="Z39" s="62">
        <f>RIGHT(H39,LEN(H39)-4)/10000</f>
        <v>23.3306</v>
      </c>
      <c r="AA39" s="62">
        <f>ABS(Z39-Y39)</f>
        <v>23.285900000000002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>IF(LEN(A39)=6,"0"&amp;A39,A39)</f>
        <v>0127-03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39" s="82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/stypes="app*4004*20170403*" /stext=" 13:.+((SYSTEM_STATE.+slice.+state.+changed )|(ment ac)|(multiple cpu faults)|(system.+state.+changed )|(\[timeout)|(PRM\|1\|D)|(kpr)|(kdp)|(\|lc)|(penalty))"</v>
      </c>
      <c r="AG39" s="1" t="str">
        <f>IFERROR(IF(VALUE(LEFT(AD39,2))&lt;=2,"EC",IF(OR(VALUE(LEFT(AD39,2))=8,VALUE(LEFT(AD39,2))=18),"NW","Other")),"Other")</f>
        <v>EC</v>
      </c>
      <c r="AH39" s="86" t="str">
        <f>refinertdcruntimes&amp;" --tripid "&amp;A39&amp;" --locoid "&amp;B39&amp;" --swversion "&amp;C39&amp;" --startMP "&amp;D39&amp;" --initTime "&amp;TEXT(E39,"yyyy-mm-ddTHH:MM:SS")&amp;" --startdatetime "&amp;TEXT(F39,"yyyy-mm-ddTHH:MM:SS")&amp;" --delay "&amp;G39&amp;" --endMP "&amp;H39&amp;" --enddatetime "&amp;TEXT(I39,"yyyy-mm-ddTHH:MM:SS")&amp;" --enforcementcount "&amp;J39&amp;IF(outputrefinedruntimes," &gt;&gt;"&amp;RefinedRTDCRunTimesOutputFile,"")</f>
        <v>"%USERPROFILE%\Documents\GitHub\eaglep3\Utilities\RefineRTDCRunTimes.py" --tripid 127-03 --locoid 4004 --swversion DE.1.0.9.0 --startMP 204:447 --initTime 2017-04-03T06:52:09 --startdatetime 2017-04-03T07:00:16 --delay 1 --endMP 204:233306 --enddatetime 2017-04-03T07:36:12 --enforcementcount 0 &gt;&gt;C:\Users\stu\Documents\GitHub\eaglep3-reporting\EC\2017-04-03-refined-times.txt</v>
      </c>
      <c r="AI39" s="104" t="str">
        <f>"echo {""issue"":{""subject"":"""&amp;R39&amp;""",""project_id"":79,""tracker_id"":40,""status_id"":"&amp;redmine_status&amp;",""priority_id"":"&amp;redmine_priority&amp;",""assigned_to_id"":"&amp;redmine_assignee&amp;",""start_date"":"""&amp;TEXT(I39,"YYYY-mm-dd")&amp;""",""description"":"""&amp;AJ39&amp;""",""custom_fields"":[{""id"":1,""name"":""Subdivision"",""value"":"""&amp;AG39&amp;"""},{""id"":4,""name"":""Milepost"",""value"":"""&amp;Z39&amp;"""},{""id"":17,""name"":""Train ID"",""value"":"""&amp;A39&amp;"""},{""id"":16,""name"":""Locomotive ID"",""value"":"""&amp;B39&amp;"""},{""id"":130,""name"":""Impact"",""value"":"""&amp;AK39&amp;"""},{""id"":150,""name"":""Time of Event (Mountain Time)"",""value"":"""&amp;TEXT(I39,"hh:mm:ss")&amp;"""},{""id"":151,""name"":""Denver Issue ID"",""value"":"""&amp;"""},{""id"":178,""name"":""Operational Impact"",""value"":"""&amp;redmine_op_impact&amp;"""},{""id"":179,""name"":""Denver Segment Assigned"",""value"":"""&amp;AL39&amp;"""}]}}"&amp;"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{"issue":{"subject":"","project_id":79,"tracker_id":40,"status_id":1,"priority_id":2,"assigned_to_id":23,"start_date":"2017-04-03","description":"","custom_fields":[{"id":1,"name":"Subdivision","value":"EC"},{"id":4,"name":"Milepost","value":"23.3306"},{"id":17,"name":"Train ID","value":"127-03"},{"id":16,"name":"Locomotive ID","value":"4004"},{"id":130,"name":"Impact","value":""},{"id":150,"name":"Time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>"start /low /b "&amp;dls3logs&amp;" --loco "&amp;B39&amp;" --day "&amp;TEXT(F39,"YYYY-MM-DD")</f>
        <v>start /low /b %USERPROFILE%\Documents\GitHub\eaglep3\Utilities\DownloadLogsFromS3.py --loco 4004 --day 2017-04-03</v>
      </c>
      <c r="AN39" s="159" t="str">
        <f>"echo {""issue"":{""subject"":"""&amp;R39&amp;""",""project_id"":30,""tracker_id"":4,""status_id"":"&amp;redmine_status_wcr&amp;",""priority_id"":"&amp;redmine_priority_wcr&amp;",""assigned_to_id"":"&amp;redmine_assignee_wcr&amp;",""start_date"":"""&amp;TEXT(I39-utc_offset/24,"YYYY-mm-dd")&amp;""",""description"":"""&amp;AJ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670</v>
      </c>
      <c r="B40" s="7">
        <v>4003</v>
      </c>
      <c r="C40" s="21" t="s">
        <v>217</v>
      </c>
      <c r="D40" s="21" t="s">
        <v>433</v>
      </c>
      <c r="E40" s="13">
        <v>42828.317835648151</v>
      </c>
      <c r="F40" s="13">
        <v>42828.330821759257</v>
      </c>
      <c r="G40" s="7">
        <v>1</v>
      </c>
      <c r="H40" s="21" t="s">
        <v>444</v>
      </c>
      <c r="I40" s="13">
        <v>42828.357083333336</v>
      </c>
      <c r="J40" s="7">
        <v>0</v>
      </c>
      <c r="K40" s="97" t="str">
        <f>IF(ISEVEN(B40),(B40-1)&amp;"/"&amp;B40,B40&amp;"/"&amp;(B40+1))</f>
        <v>4003/4004</v>
      </c>
      <c r="L40" s="21" t="str">
        <f>VLOOKUP(A40,'Trips&amp;Operators'!$C$1:$G$99999,5,FALSE)</f>
        <v>SANTIZO D. EDY</v>
      </c>
      <c r="M40" s="6">
        <f>I40-F40</f>
        <v>2.6261574079398997E-2</v>
      </c>
      <c r="N40" s="7">
        <f>24*60*SUM($M40:$M40)</f>
        <v>37.816666674334556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-04-03T06:37:41-0600',mode:absolute,to:'2017-04-03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0" s="183" t="str">
        <f>IF(AA40&lt;IF(AG40="EC",23,5.65),"Y","N")</f>
        <v>N</v>
      </c>
      <c r="X40" s="183">
        <f>VALUE(LEFT(AD40,4))-VALUE(LEFT(AD39,4))</f>
        <v>1</v>
      </c>
      <c r="Y40" s="62">
        <f>RIGHT(D40,LEN(D40)-4)/10000</f>
        <v>23.297699999999999</v>
      </c>
      <c r="Z40" s="62">
        <f>RIGHT(H40,LEN(H40)-4)/10000</f>
        <v>1.38E-2</v>
      </c>
      <c r="AA40" s="62">
        <f>ABS(Z40-Y40)</f>
        <v>23.283899999999999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>IF(LEN(A40)=6,"0"&amp;A40,A40)</f>
        <v>0128-03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40" s="82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/stypes="app*4003*20170403*" /stext=" 14:.+((SYSTEM_STATE.+slice.+state.+changed )|(ment ac)|(multiple cpu faults)|(system.+state.+changed )|(\[timeout)|(PRM\|1\|D)|(kpr)|(kdp)|(\|lc)|(penalty))"</v>
      </c>
      <c r="AG40" s="1" t="str">
        <f>IFERROR(IF(VALUE(LEFT(AD40,2))&lt;=2,"EC",IF(OR(VALUE(LEFT(AD40,2))=8,VALUE(LEFT(AD40,2))=18),"NW","Other")),"Other")</f>
        <v>EC</v>
      </c>
      <c r="AH40" s="86" t="str">
        <f>refinertdcruntimes&amp;" --tripid "&amp;A40&amp;" --locoid "&amp;B40&amp;" --swversion "&amp;C40&amp;" --startMP "&amp;D40&amp;" --initTime "&amp;TEXT(E40,"yyyy-mm-ddTHH:MM:SS")&amp;" --startdatetime "&amp;TEXT(F40,"yyyy-mm-ddTHH:MM:SS")&amp;" --delay "&amp;G40&amp;" --endMP "&amp;H40&amp;" --enddatetime "&amp;TEXT(I40,"yyyy-mm-ddTHH:MM:SS")&amp;" --enforcementcount "&amp;J40&amp;IF(outputrefinedruntimes," &gt;&gt;"&amp;RefinedRTDCRunTimesOutputFile,"")</f>
        <v>"%USERPROFILE%\Documents\GitHub\eaglep3\Utilities\RefineRTDCRunTimes.py" --tripid 128-03 --locoid 4003 --swversion DE.1.0.9.0 --startMP 204:232977 --initTime 2017-04-03T07:37:41 --startdatetime 2017-04-03T07:56:23 --delay 1 --endMP 204:138 --enddatetime 2017-04-03T08:34:12 --enforcementcount 0 &gt;&gt;C:\Users\stu\Documents\GitHub\eaglep3-reporting\EC\2017-04-03-refined-times.txt</v>
      </c>
      <c r="AI40" s="104" t="str">
        <f>"echo {""issue"":{""subject"":"""&amp;R40&amp;""",""project_id"":79,""tracker_id"":40,""status_id"":"&amp;redmine_status&amp;",""priority_id"":"&amp;redmine_priority&amp;",""assigned_to_id"":"&amp;redmine_assignee&amp;",""start_date"":"""&amp;TEXT(I40,"YYYY-mm-dd")&amp;""",""description"":"""&amp;AJ40&amp;""",""custom_fields"":[{""id"":1,""name"":""Subdivision"",""value"":"""&amp;AG40&amp;"""},{""id"":4,""name"":""Milepost"",""value"":"""&amp;Z40&amp;"""},{""id"":17,""name"":""Train ID"",""value"":"""&amp;A40&amp;"""},{""id"":16,""name"":""Locomotive ID"",""value"":"""&amp;B40&amp;"""},{""id"":130,""name"":""Impact"",""value"":"""&amp;AK40&amp;"""},{""id"":150,""name"":""Time of Event (Mountain Time)"",""value"":"""&amp;TEXT(I40,"hh:mm:ss")&amp;"""},{""id"":151,""name"":""Denver Issue ID"",""value"":"""&amp;"""},{""id"":178,""name"":""Operational Impact"",""value"":"""&amp;redmine_op_impact&amp;"""},{""id"":179,""name"":""Denver Segment Assigned"",""value"":"""&amp;AL40&amp;"""}]}}"&amp;"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ID","value":"128-03"},{"id":16,"name":"Locomotive ID","value":"4003"},{"id":130,"name":"Impact","value":""},{"id":150,"name":"Time of Event (Mountain Time)","value":"08:34:12"},{"id":151,"name":"Denver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>"start /low /b "&amp;dls3logs&amp;" --loco "&amp;B40&amp;" --day "&amp;TEXT(F40,"YYYY-MM-DD")</f>
        <v>start /low /b %USERPROFILE%\Documents\GitHub\eaglep3\Utilities\DownloadLogsFromS3.py --loco 4003 --day 2017-04-03</v>
      </c>
      <c r="AN40" s="159" t="str">
        <f>"echo {""issue"":{""subject"":"""&amp;R40&amp;""",""project_id"":30,""tracker_id"":4,""status_id"":"&amp;redmine_status_wcr&amp;",""priority_id"":"&amp;redmine_priority_wcr&amp;",""assigned_to_id"":"&amp;redmine_assignee_wcr&amp;",""start_date"":"""&amp;TEXT(I40-utc_offset/24,"YYYY-mm-dd")&amp;""",""description"":"""&amp;AJ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665</v>
      </c>
      <c r="B41" s="7">
        <v>4030</v>
      </c>
      <c r="C41" s="21" t="s">
        <v>217</v>
      </c>
      <c r="D41" s="21" t="s">
        <v>208</v>
      </c>
      <c r="E41" s="13">
        <v>42828.296909722223</v>
      </c>
      <c r="F41" s="13">
        <v>42828.302233796298</v>
      </c>
      <c r="G41" s="7">
        <v>1</v>
      </c>
      <c r="H41" s="21" t="s">
        <v>443</v>
      </c>
      <c r="I41" s="13">
        <v>42828.327048611114</v>
      </c>
      <c r="J41" s="7">
        <v>0</v>
      </c>
      <c r="K41" s="97" t="str">
        <f>IF(ISEVEN(B41),(B41-1)&amp;"/"&amp;B41,B41&amp;"/"&amp;(B41+1))</f>
        <v>4029/4030</v>
      </c>
      <c r="L41" s="21" t="str">
        <f>VLOOKUP(A41,'Trips&amp;Operators'!$C$1:$G$99999,5,FALSE)</f>
        <v>ROBINSON KADDIBA</v>
      </c>
      <c r="M41" s="6">
        <f>I41-F41</f>
        <v>2.4814814816636499E-2</v>
      </c>
      <c r="N41" s="7">
        <f>24*60*SUM($M41:$M41)</f>
        <v>35.733333335956559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-04-03T06:07:33-0600',mode:absolute,to:'2017-04-03T08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1" s="183" t="str">
        <f>IF(AA41&lt;IF(AG41="EC",23,5.65),"Y","N")</f>
        <v>N</v>
      </c>
      <c r="X41" s="183">
        <f>VALUE(LEFT(AD41,4))-VALUE(LEFT(AD40,4))</f>
        <v>1</v>
      </c>
      <c r="Y41" s="62">
        <f>RIGHT(D41,LEN(D41)-4)/10000</f>
        <v>4.5999999999999999E-2</v>
      </c>
      <c r="Z41" s="62">
        <f>RIGHT(H41,LEN(H41)-4)/10000</f>
        <v>23.329499999999999</v>
      </c>
      <c r="AA41" s="62">
        <f>ABS(Z41-Y41)</f>
        <v>23.2835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>IF(LEN(A41)=6,"0"&amp;A41,A41)</f>
        <v>0129-03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41" s="82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/stypes="app*4030*20170403*" /stext=" 13:.+((SYSTEM_STATE.+slice.+state.+changed )|(ment ac)|(multiple cpu faults)|(system.+state.+changed )|(\[timeout)|(PRM\|1\|D)|(kpr)|(kdp)|(\|lc)|(penalty))"</v>
      </c>
      <c r="AG41" s="1" t="str">
        <f>IFERROR(IF(VALUE(LEFT(AD41,2))&lt;=2,"EC",IF(OR(VALUE(LEFT(AD41,2))=8,VALUE(LEFT(AD41,2))=18),"NW","Other")),"Other")</f>
        <v>EC</v>
      </c>
      <c r="AH41" s="86" t="str">
        <f>refinertdcruntimes&amp;" --tripid "&amp;A41&amp;" --locoid "&amp;B41&amp;" --swversion "&amp;C41&amp;" --startMP "&amp;D41&amp;" --initTime "&amp;TEXT(E41,"yyyy-mm-ddTHH:MM:SS")&amp;" --startdatetime "&amp;TEXT(F41,"yyyy-mm-ddTHH:MM:SS")&amp;" --delay "&amp;G41&amp;" --endMP "&amp;H41&amp;" --enddatetime "&amp;TEXT(I41,"yyyy-mm-ddTHH:MM:SS")&amp;" --enforcementcount "&amp;J41&amp;IF(outputrefinedruntimes," &gt;&gt;"&amp;RefinedRTDCRunTimesOutputFile,"")</f>
        <v>"%USERPROFILE%\Documents\GitHub\eaglep3\Utilities\RefineRTDCRunTimes.py" --tripid 129-03 --locoid 4030 --swversion DE.1.0.9.0 --startMP 204:460 --initTime 2017-04-03T07:07:33 --startdatetime 2017-04-03T07:15:13 --delay 1 --endMP 204:233295 --enddatetime 2017-04-03T07:50:57 --enforcementcount 0 &gt;&gt;C:\Users\stu\Documents\GitHub\eaglep3-reporting\EC\2017-04-03-refined-times.txt</v>
      </c>
      <c r="AI41" s="104" t="str">
        <f>"echo {""issue"":{""subject"":"""&amp;R41&amp;""",""project_id"":79,""tracker_id"":40,""status_id"":"&amp;redmine_status&amp;",""priority_id"":"&amp;redmine_priority&amp;",""assigned_to_id"":"&amp;redmine_assignee&amp;",""start_date"":"""&amp;TEXT(I41,"YYYY-mm-dd")&amp;""",""description"":"""&amp;AJ41&amp;""",""custom_fields"":[{""id"":1,""name"":""Subdivision"",""value"":"""&amp;AG41&amp;"""},{""id"":4,""name"":""Milepost"",""value"":"""&amp;Z41&amp;"""},{""id"":17,""name"":""Train ID"",""value"":"""&amp;A41&amp;"""},{""id"":16,""name"":""Locomotive ID"",""value"":"""&amp;B41&amp;"""},{""id"":130,""name"":""Impact"",""value"":"""&amp;AK41&amp;"""},{""id"":150,""name"":""Time of Event (Mountain Time)"",""value"":"""&amp;TEXT(I41,"hh:mm:ss")&amp;"""},{""id"":151,""name"":""Denver Issue ID"",""value"":"""&amp;"""},{""id"":178,""name"":""Operational Impact"",""value"":"""&amp;redmine_op_impact&amp;"""},{""id"":179,""name"":""Denver Segment Assigned"",""value"":"""&amp;AL41&amp;"""}]}}"&amp;"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ID","value":"129-03"},{"id":16,"name":"Locomotive ID","value":"4030"},{"id":130,"name":"Impact","value":""},{"id":150,"name":"Time of Event (Mountain Time)","value":"07:50:57"},{"id":151,"name":"Denver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>"start /low /b "&amp;dls3logs&amp;" --loco "&amp;B41&amp;" --day "&amp;TEXT(F41,"YYYY-MM-DD")</f>
        <v>start /low /b %USERPROFILE%\Documents\GitHub\eaglep3\Utilities\DownloadLogsFromS3.py --loco 4030 --day 2017-04-03</v>
      </c>
      <c r="AN41" s="159" t="str">
        <f>"echo {""issue"":{""subject"":"""&amp;R41&amp;""",""project_id"":30,""tracker_id"":4,""status_id"":"&amp;redmine_status_wcr&amp;",""priority_id"":"&amp;redmine_priority_wcr&amp;",""assigned_to_id"":"&amp;redmine_assignee_wcr&amp;",""start_date"":"""&amp;TEXT(I41-utc_offset/24,"YYYY-mm-dd")&amp;""",""description"":"""&amp;AJ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673</v>
      </c>
      <c r="B42" s="7">
        <v>4029</v>
      </c>
      <c r="C42" s="21" t="s">
        <v>217</v>
      </c>
      <c r="D42" s="21" t="s">
        <v>442</v>
      </c>
      <c r="E42" s="13">
        <v>42828.333472222221</v>
      </c>
      <c r="F42" s="13">
        <v>42828.341157407405</v>
      </c>
      <c r="G42" s="7">
        <v>0</v>
      </c>
      <c r="H42" s="21" t="s">
        <v>191</v>
      </c>
      <c r="I42" s="13">
        <v>42828.368518518517</v>
      </c>
      <c r="J42" s="7">
        <v>0</v>
      </c>
      <c r="K42" s="97" t="str">
        <f>IF(ISEVEN(B42),(B42-1)&amp;"/"&amp;B42,B42&amp;"/"&amp;(B42+1))</f>
        <v>4029/4030</v>
      </c>
      <c r="L42" s="21" t="str">
        <f>VLOOKUP(A42,'Trips&amp;Operators'!$C$1:$G$99999,5,FALSE)</f>
        <v>ROBINSON KADDIBA</v>
      </c>
      <c r="M42" s="6">
        <f>I42-F42</f>
        <v>2.73611111115315E-2</v>
      </c>
      <c r="N42" s="7">
        <f>24*60*SUM($M42:$M42)</f>
        <v>39.40000000060536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-04-03T07:00:12-0600',mode:absolute,to:'2017-04-03T09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2" s="183" t="str">
        <f>IF(AA42&lt;IF(AG42="EC",23,5.65),"Y","N")</f>
        <v>N</v>
      </c>
      <c r="X42" s="183">
        <f>VALUE(LEFT(AD42,4))-VALUE(LEFT(AD41,4))</f>
        <v>1</v>
      </c>
      <c r="Y42" s="62">
        <f>RIGHT(D42,LEN(D42)-4)/10000</f>
        <v>23.298200000000001</v>
      </c>
      <c r="Z42" s="62">
        <f>RIGHT(H42,LEN(H42)-4)/10000</f>
        <v>1.4999999999999999E-2</v>
      </c>
      <c r="AA42" s="62">
        <f>ABS(Z42-Y42)</f>
        <v>23.283200000000001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>IF(LEN(A42)=6,"0"&amp;A42,A42)</f>
        <v>0130-03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42" s="82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/stypes="app*4029*20170403*" /stext=" 14:.+((SYSTEM_STATE.+slice.+state.+changed )|(ment ac)|(multiple cpu faults)|(system.+state.+changed )|(\[timeout)|(PRM\|1\|D)|(kpr)|(kdp)|(\|lc)|(penalty))"</v>
      </c>
      <c r="AG42" s="1" t="str">
        <f>IFERROR(IF(VALUE(LEFT(AD42,2))&lt;=2,"EC",IF(OR(VALUE(LEFT(AD42,2))=8,VALUE(LEFT(AD42,2))=18),"NW","Other")),"Other")</f>
        <v>EC</v>
      </c>
      <c r="AH42" s="86" t="str">
        <f>refinertdcruntimes&amp;" --tripid "&amp;A42&amp;" --locoid "&amp;B42&amp;" --swversion "&amp;C42&amp;" --startMP "&amp;D42&amp;" --initTime "&amp;TEXT(E42,"yyyy-mm-ddTHH:MM:SS")&amp;" --startdatetime "&amp;TEXT(F42,"yyyy-mm-ddTHH:MM:SS")&amp;" --delay "&amp;G42&amp;" --endMP "&amp;H42&amp;" --enddatetime "&amp;TEXT(I42,"yyyy-mm-ddTHH:MM:SS")&amp;" --enforcementcount "&amp;J42&amp;IF(outputrefinedruntimes," &gt;&gt;"&amp;RefinedRTDCRunTimesOutputFile,"")</f>
        <v>"%USERPROFILE%\Documents\GitHub\eaglep3\Utilities\RefineRTDCRunTimes.py" --tripid 130-03 --locoid 4029 --swversion DE.1.0.9.0 --startMP 204:232982 --initTime 2017-04-03T08:00:12 --startdatetime 2017-04-03T08:11:16 --delay 0 --endMP 204:150 --enddatetime 2017-04-03T08:50:40 --enforcementcount 0 &gt;&gt;C:\Users\stu\Documents\GitHub\eaglep3-reporting\EC\2017-04-03-refined-times.txt</v>
      </c>
      <c r="AI42" s="104" t="str">
        <f>"echo {""issue"":{""subject"":"""&amp;R42&amp;""",""project_id"":79,""tracker_id"":40,""status_id"":"&amp;redmine_status&amp;",""priority_id"":"&amp;redmine_priority&amp;",""assigned_to_id"":"&amp;redmine_assignee&amp;",""start_date"":"""&amp;TEXT(I42,"YYYY-mm-dd")&amp;""",""description"":"""&amp;AJ42&amp;""",""custom_fields"":[{""id"":1,""name"":""Subdivision"",""value"":"""&amp;AG42&amp;"""},{""id"":4,""name"":""Milepost"",""value"":"""&amp;Z42&amp;"""},{""id"":17,""name"":""Train ID"",""value"":"""&amp;A42&amp;"""},{""id"":16,""name"":""Locomotive ID"",""value"":"""&amp;B42&amp;"""},{""id"":130,""name"":""Impact"",""value"":"""&amp;AK42&amp;"""},{""id"":150,""name"":""Time of Event (Mountain Time)"",""value"":"""&amp;TEXT(I42,"hh:mm:ss")&amp;"""},{""id"":151,""name"":""Denver Issue ID"",""value"":"""&amp;"""},{""id"":178,""name"":""Operational Impact"",""value"":"""&amp;redmine_op_impact&amp;"""},{""id"":179,""name"":""Denver Segment Assigned"",""value"":"""&amp;AL42&amp;"""}]}}"&amp;"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ID","value":"130-03"},{"id":16,"name":"Locomotive ID","value":"4029"},{"id":130,"name":"Impact","value":""},{"id":150,"name":"Time of Event (Mountain Time)","value":"08:50:40"},{"id":151,"name":"Denver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>"start /low /b "&amp;dls3logs&amp;" --loco "&amp;B42&amp;" --day "&amp;TEXT(F42,"YYYY-MM-DD")</f>
        <v>start /low /b %USERPROFILE%\Documents\GitHub\eaglep3\Utilities\DownloadLogsFromS3.py --loco 4029 --day 2017-04-03</v>
      </c>
      <c r="AN42" s="159" t="str">
        <f>"echo {""issue"":{""subject"":"""&amp;R42&amp;""",""project_id"":30,""tracker_id"":4,""status_id"":"&amp;redmine_status_wcr&amp;",""priority_id"":"&amp;redmine_priority_wcr&amp;",""assigned_to_id"":"&amp;redmine_assignee_wcr&amp;",""start_date"":"""&amp;TEXT(I42-utc_offset/24,"YYYY-mm-dd")&amp;""",""description"":"""&amp;AJ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668</v>
      </c>
      <c r="B43" s="7">
        <v>4044</v>
      </c>
      <c r="C43" s="21" t="s">
        <v>217</v>
      </c>
      <c r="D43" s="21" t="s">
        <v>211</v>
      </c>
      <c r="E43" s="13">
        <v>42828.308310185188</v>
      </c>
      <c r="F43" s="13">
        <v>42828.31287037037</v>
      </c>
      <c r="G43" s="7">
        <v>1</v>
      </c>
      <c r="H43" s="21" t="s">
        <v>841</v>
      </c>
      <c r="I43" s="13">
        <v>42828.338958333334</v>
      </c>
      <c r="J43" s="7">
        <v>0</v>
      </c>
      <c r="K43" s="97" t="str">
        <f>IF(ISEVEN(B43),(B43-1)&amp;"/"&amp;B43,B43&amp;"/"&amp;(B43+1))</f>
        <v>4043/4044</v>
      </c>
      <c r="L43" s="21" t="str">
        <f>VLOOKUP(A43,'Trips&amp;Operators'!$C$1:$G$99999,5,FALSE)</f>
        <v>MAELZER KURT</v>
      </c>
      <c r="M43" s="6">
        <f>I43-F43</f>
        <v>2.6087962964083999E-2</v>
      </c>
      <c r="N43" s="7">
        <f>24*60*SUM($M43:$M43)</f>
        <v>37.566666668280959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-04-03T06:23:58-0600',mode:absolute,to:'2017-04-03T09:08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3" s="183" t="str">
        <f>IF(AA43&lt;IF(AG43="EC",23,5.65),"Y","N")</f>
        <v>N</v>
      </c>
      <c r="X43" s="183">
        <f>VALUE(LEFT(AD43,4))-VALUE(LEFT(AD42,4))</f>
        <v>1</v>
      </c>
      <c r="Y43" s="62">
        <f>RIGHT(D43,LEN(D43)-4)/10000</f>
        <v>4.53E-2</v>
      </c>
      <c r="Z43" s="62">
        <f>RIGHT(H43,LEN(H43)-4)/10000</f>
        <v>23.3323</v>
      </c>
      <c r="AA43" s="62">
        <f>ABS(Z43-Y43)</f>
        <v>23.286999999999999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>IF(LEN(A43)=6,"0"&amp;A43,A43)</f>
        <v>0131-03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43" s="82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/stypes="app*4044*20170403*" /stext=" 14:.+((SYSTEM_STATE.+slice.+state.+changed )|(ment ac)|(multiple cpu faults)|(system.+state.+changed )|(\[timeout)|(PRM\|1\|D)|(kpr)|(kdp)|(\|lc)|(penalty))"</v>
      </c>
      <c r="AG43" s="1" t="str">
        <f>IFERROR(IF(VALUE(LEFT(AD43,2))&lt;=2,"EC",IF(OR(VALUE(LEFT(AD43,2))=8,VALUE(LEFT(AD43,2))=18),"NW","Other")),"Other")</f>
        <v>EC</v>
      </c>
      <c r="AH43" s="86" t="str">
        <f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131-03 --locoid 4044 --swversion DE.1.0.9.0 --startMP 204:453 --initTime 2017-04-03T07:23:58 --startdatetime 2017-04-03T07:30:32 --delay 1 --endMP 204:233323 --enddatetime 2017-04-03T08:08:06 --enforcementcount 0 &gt;&gt;C:\Users\stu\Documents\GitHub\eaglep3-reporting\EC\2017-04-03-refined-times.txt</v>
      </c>
      <c r="AI43" s="104" t="str">
        <f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Z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{"issue":{"subject":"","project_id":79,"tracker_id":40,"status_id":1,"priority_id":2,"assigned_to_id":23,"start_date":"2017-04-03","description":"","custom_fields":[{"id":1,"name":"Subdivision","value":"EC"},{"id":4,"name":"Milepost","value":"23.3323"},{"id":17,"name":"Train ID","value":"131-03"},{"id":16,"name":"Locomotive ID","value":"4044"},{"id":130,"name":"Impact","value":""},{"id":150,"name":"Time of Event (Mountain Time)","value":"08:08:06"},{"id":151,"name":"Denver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>"start /low /b "&amp;dls3logs&amp;" --loco "&amp;B43&amp;" --day "&amp;TEXT(F43,"YYYY-MM-DD")</f>
        <v>start /low /b %USERPROFILE%\Documents\GitHub\eaglep3\Utilities\DownloadLogsFromS3.py --loco 4044 --day 2017-04-03</v>
      </c>
      <c r="AN43" s="159" t="str">
        <f>"echo {""issue"":{""subject"":"""&amp;R43&amp;""",""project_id"":30,""tracker_id"":4,""status_id"":"&amp;redmine_status_wcr&amp;",""priority_id"":"&amp;redmine_priority_wcr&amp;",""assigned_to_id"":"&amp;redmine_assignee_wcr&amp;",""start_date"":"""&amp;TEXT(I43-utc_offset/24,"YYYY-mm-dd")&amp;""",""description"":"""&amp;AJ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584</v>
      </c>
      <c r="B44" s="7">
        <v>4043</v>
      </c>
      <c r="C44" s="21" t="s">
        <v>217</v>
      </c>
      <c r="D44" s="21" t="s">
        <v>559</v>
      </c>
      <c r="E44" s="13">
        <v>42828.347175925926</v>
      </c>
      <c r="F44" s="13">
        <v>42828.351585648146</v>
      </c>
      <c r="G44" s="7">
        <v>1</v>
      </c>
      <c r="H44" s="21" t="s">
        <v>205</v>
      </c>
      <c r="I44" s="13">
        <v>42828.380358796298</v>
      </c>
      <c r="J44" s="7">
        <v>0</v>
      </c>
      <c r="K44" s="97" t="str">
        <f>IF(ISEVEN(B44),(B44-1)&amp;"/"&amp;B44,B44&amp;"/"&amp;(B44+1))</f>
        <v>4043/4044</v>
      </c>
      <c r="L44" s="21" t="str">
        <f>VLOOKUP(A44,'Trips&amp;Operators'!$C$1:$G$99999,5,FALSE)</f>
        <v>MAELZER KURT</v>
      </c>
      <c r="M44" s="6">
        <f>I44-F44</f>
        <v>2.8773148151230998E-2</v>
      </c>
      <c r="N44" s="7">
        <f>24*60*SUM($M44:$M44)</f>
        <v>41.433333337772638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4" s="183" t="str">
        <f>IF(AA44&lt;IF(AG44="EC",23,5.65),"Y","N")</f>
        <v>N</v>
      </c>
      <c r="X44" s="183">
        <f>VALUE(LEFT(AD44,4))-VALUE(LEFT(AD43,4))</f>
        <v>1</v>
      </c>
      <c r="Y44" s="62">
        <f>RIGHT(D44,LEN(D44)-4)/10000</f>
        <v>23.301500000000001</v>
      </c>
      <c r="Z44" s="62">
        <f>RIGHT(H44,LEN(H44)-4)/10000</f>
        <v>1.54E-2</v>
      </c>
      <c r="AA44" s="62">
        <f>ABS(Z44-Y44)</f>
        <v>23.286100000000001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>IF(LEN(A44)=6,"0"&amp;A44,A44)</f>
        <v>0132-03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44" s="82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/stypes="app*4043*20170403*" /stext=" 15:.+((SYSTEM_STATE.+slice.+state.+changed )|(ment ac)|(multiple cpu faults)|(system.+state.+changed )|(\[timeout)|(PRM\|1\|D)|(kpr)|(kdp)|(\|lc)|(penalty))"</v>
      </c>
      <c r="AG44" s="1" t="str">
        <f>IFERROR(IF(VALUE(LEFT(AD44,2))&lt;=2,"EC",IF(OR(VALUE(LEFT(AD44,2))=8,VALUE(LEFT(AD44,2))=18),"NW","Other")),"Other")</f>
        <v>EC</v>
      </c>
      <c r="AH44" s="86" t="str">
        <f>refinertdcruntimes&amp;" --tripid "&amp;A44&amp;" --locoid "&amp;B44&amp;" --swversion "&amp;C44&amp;" --startMP "&amp;D44&amp;" --initTime "&amp;TEXT(E44,"yyyy-mm-ddTHH:MM:SS")&amp;" --startdatetime "&amp;TEXT(F44,"yyyy-mm-ddTHH:MM:SS")&amp;" --delay "&amp;G44&amp;" --endMP "&amp;H44&amp;" --enddatetime "&amp;TEXT(I44,"yyyy-mm-ddTHH:MM:SS")&amp;" --enforcementcount "&amp;J44&amp;IF(outputrefinedruntimes," &gt;&gt;"&amp;RefinedRTDCRunTimesOutputFile,"")</f>
        <v>"%USERPROFILE%\Documents\GitHub\eaglep3\Utilities\RefineRTDCRunTimes.py" --tripid 132-03 --locoid 4043 --swversion DE.1.0.9.0 --startMP 204:233015 --initTime 2017-04-03T08:19:56 --startdatetime 2017-04-03T08:26:17 --delay 1 --endMP 204:154 --enddatetime 2017-04-03T09:07:43 --enforcementcount 0 &gt;&gt;C:\Users\stu\Documents\GitHub\eaglep3-reporting\EC\2017-04-03-refined-times.txt</v>
      </c>
      <c r="AI44" s="104" t="str">
        <f>"echo {""issue"":{""subject"":"""&amp;R44&amp;""",""project_id"":79,""tracker_id"":40,""status_id"":"&amp;redmine_status&amp;",""priority_id"":"&amp;redmine_priority&amp;",""assigned_to_id"":"&amp;redmine_assignee&amp;",""start_date"":"""&amp;TEXT(I44,"YYYY-mm-dd")&amp;""",""description"":"""&amp;AJ44&amp;""",""custom_fields"":[{""id"":1,""name"":""Subdivision"",""value"":"""&amp;AG44&amp;"""},{""id"":4,""name"":""Milepost"",""value"":"""&amp;Z44&amp;"""},{""id"":17,""name"":""Train ID"",""value"":"""&amp;A44&amp;"""},{""id"":16,""name"":""Locomotive ID"",""value"":"""&amp;B44&amp;"""},{""id"":130,""name"":""Impact"",""value"":"""&amp;AK44&amp;"""},{""id"":150,""name"":""Time of Event (Mountain Time)"",""value"":"""&amp;TEXT(I44,"hh:mm:ss")&amp;"""},{""id"":151,""name"":""Denver Issue ID"",""value"":"""&amp;"""},{""id"":178,""name"":""Operational Impact"",""value"":"""&amp;redmine_op_impact&amp;"""},{""id"":179,""name"":""Denver Segment Assigned"",""value"":"""&amp;AL44&amp;"""}]}}"&amp;"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{"issue":{"subject":"","project_id":79,"tracker_id":40,"status_id":1,"priority_id":2,"assigned_to_id":23,"start_date":"2017-04-03","description":"","custom_fields":[{"id":1,"name":"Subdivision","value":"EC"},{"id":4,"name":"Milepost","value":"0.0154"},{"id":17,"name":"Train ID","value":"132-03"},{"id":16,"name":"Locomotive ID","value":"4043"},{"id":130,"name":"Impact","value":""},{"id":150,"name":"Time of Event (Mountain Time)","value":"09:07:43"},{"id":151,"name":"Denver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>"start /low /b "&amp;dls3logs&amp;" --loco "&amp;B44&amp;" --day "&amp;TEXT(F44,"YYYY-MM-DD")</f>
        <v>start /low /b %USERPROFILE%\Documents\GitHub\eaglep3\Utilities\DownloadLogsFromS3.py --loco 4043 --day 2017-04-03</v>
      </c>
      <c r="AN44" s="159" t="str">
        <f>"echo {""issue"":{""subject"":"""&amp;R44&amp;""",""project_id"":30,""tracker_id"":4,""status_id"":"&amp;redmine_status_wcr&amp;",""priority_id"":"&amp;redmine_priority_wcr&amp;",""assigned_to_id"":"&amp;redmine_assignee_wcr&amp;",""start_date"":"""&amp;TEXT(I44-utc_offset/24,"YYYY-mm-dd")&amp;""",""description"":"""&amp;AJ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580</v>
      </c>
      <c r="B45" s="7">
        <v>4028</v>
      </c>
      <c r="C45" s="21" t="s">
        <v>217</v>
      </c>
      <c r="D45" s="21" t="s">
        <v>207</v>
      </c>
      <c r="E45" s="13">
        <v>42828.319027777776</v>
      </c>
      <c r="F45" s="13">
        <v>42828.323078703703</v>
      </c>
      <c r="G45" s="7">
        <v>1</v>
      </c>
      <c r="H45" s="21" t="s">
        <v>842</v>
      </c>
      <c r="I45" s="13">
        <v>42828.348495370374</v>
      </c>
      <c r="J45" s="7">
        <v>0</v>
      </c>
      <c r="K45" s="97" t="str">
        <f>IF(ISEVEN(B45),(B45-1)&amp;"/"&amp;B45,B45&amp;"/"&amp;(B45+1))</f>
        <v>4027/4028</v>
      </c>
      <c r="L45" s="21" t="str">
        <f>VLOOKUP(A45,'Trips&amp;Operators'!$C$1:$G$99999,5,FALSE)</f>
        <v>STARKS ANGELINA</v>
      </c>
      <c r="M45" s="6">
        <f>I45-F45</f>
        <v>2.5416666670935228E-2</v>
      </c>
      <c r="N45" s="7">
        <f>24*60*SUM($M45:$M45)</f>
        <v>36.600000006146729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-04-03T06:39:24-0600',mode:absolute,to:'2017-04-03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5" s="183" t="str">
        <f>IF(AA45&lt;IF(AG45="EC",23,5.65),"Y","N")</f>
        <v>N</v>
      </c>
      <c r="X45" s="183">
        <f>VALUE(LEFT(AD45,4))-VALUE(LEFT(AD44,4))</f>
        <v>1</v>
      </c>
      <c r="Y45" s="62">
        <f>RIGHT(D45,LEN(D45)-4)/10000</f>
        <v>4.5699999999999998E-2</v>
      </c>
      <c r="Z45" s="62">
        <f>RIGHT(H45,LEN(H45)-4)/10000</f>
        <v>23.328800000000001</v>
      </c>
      <c r="AA45" s="62">
        <f>ABS(Z45-Y45)</f>
        <v>23.283100000000001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>IF(LEN(A45)=6,"0"&amp;A45,A45)</f>
        <v>0133-03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45" s="82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/stypes="app*4028*20170403*" /stext=" 14:.+((SYSTEM_STATE.+slice.+state.+changed )|(ment ac)|(multiple cpu faults)|(system.+state.+changed )|(\[timeout)|(PRM\|1\|D)|(kpr)|(kdp)|(\|lc)|(penalty))"</v>
      </c>
      <c r="AG45" s="1" t="str">
        <f>IFERROR(IF(VALUE(LEFT(AD45,2))&lt;=2,"EC",IF(OR(VALUE(LEFT(AD45,2))=8,VALUE(LEFT(AD45,2))=18),"NW","Other")),"Other")</f>
        <v>EC</v>
      </c>
      <c r="AH45" s="86" t="str">
        <f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133-03 --locoid 4028 --swversion DE.1.0.9.0 --startMP 204:457 --initTime 2017-04-03T07:39:24 --startdatetime 2017-04-03T07:45:14 --delay 1 --endMP 204:233288 --enddatetime 2017-04-03T08:21:50 --enforcementcount 0 &gt;&gt;C:\Users\stu\Documents\GitHub\eaglep3-reporting\EC\2017-04-03-refined-times.txt</v>
      </c>
      <c r="AI45" s="104" t="str">
        <f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{"issue":{"subject":"","project_id":79,"tracker_id":40,"status_id":1,"priority_id":2,"assigned_to_id":23,"start_date":"2017-04-03","description":"","custom_fields":[{"id":1,"name":"Subdivision","value":"EC"},{"id":4,"name":"Milepost","value":"23.3288"},{"id":17,"name":"Train ID","value":"133-03"},{"id":16,"name":"Locomotive ID","value":"4028"},{"id":130,"name":"Impact","value":""},{"id":150,"name":"Time of Event (Mountain Time)","value":"08:21:50"},{"id":151,"name":"Denver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>"start /low /b "&amp;dls3logs&amp;" --loco "&amp;B45&amp;" --day "&amp;TEXT(F45,"YYYY-MM-DD")</f>
        <v>start /low /b %USERPROFILE%\Documents\GitHub\eaglep3\Utilities\DownloadLogsFromS3.py --loco 4028 --day 2017-04-03</v>
      </c>
      <c r="AN45" s="159" t="str">
        <f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678</v>
      </c>
      <c r="B46" s="7">
        <v>4027</v>
      </c>
      <c r="C46" s="21" t="s">
        <v>217</v>
      </c>
      <c r="D46" s="21" t="s">
        <v>471</v>
      </c>
      <c r="E46" s="13">
        <v>42828.359432870369</v>
      </c>
      <c r="F46" s="13">
        <v>42828.36209490741</v>
      </c>
      <c r="G46" s="7">
        <v>1</v>
      </c>
      <c r="H46" s="21" t="s">
        <v>200</v>
      </c>
      <c r="I46" s="13">
        <v>42828.389525462961</v>
      </c>
      <c r="J46" s="7">
        <v>0</v>
      </c>
      <c r="K46" s="97" t="str">
        <f>IF(ISEVEN(B46),(B46-1)&amp;"/"&amp;B46,B46&amp;"/"&amp;(B46+1))</f>
        <v>4027/4028</v>
      </c>
      <c r="L46" s="21" t="str">
        <f>VLOOKUP(A46,'Trips&amp;Operators'!$C$1:$G$99999,5,FALSE)</f>
        <v>STARKS ANGELINA</v>
      </c>
      <c r="M46" s="6">
        <f>I46-F46</f>
        <v>2.7430555550381541E-2</v>
      </c>
      <c r="N46" s="7">
        <f>24*60*SUM($M46:$M46)</f>
        <v>39.499999992549419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-04-03T07:37:35-0600',mode:absolute,to:'2017-04-03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6" s="183" t="str">
        <f>IF(AA46&lt;IF(AG46="EC",23,5.65),"Y","N")</f>
        <v>N</v>
      </c>
      <c r="X46" s="183">
        <f>VALUE(LEFT(AD46,4))-VALUE(LEFT(AD45,4))</f>
        <v>1</v>
      </c>
      <c r="Y46" s="62">
        <f>RIGHT(D46,LEN(D46)-4)/10000</f>
        <v>23.297799999999999</v>
      </c>
      <c r="Z46" s="62">
        <f>RIGHT(H46,LEN(H46)-4)/10000</f>
        <v>1.5800000000000002E-2</v>
      </c>
      <c r="AA46" s="62">
        <f>ABS(Z46-Y46)</f>
        <v>23.282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>IF(LEN(A46)=6,"0"&amp;A46,A46)</f>
        <v>0134-03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46" s="82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/stypes="app*4027*20170403*" /stext=" 15:.+((SYSTEM_STATE.+slice.+state.+changed )|(ment ac)|(multiple cpu faults)|(system.+state.+changed )|(\[timeout)|(PRM\|1\|D)|(kpr)|(kdp)|(\|lc)|(penalty))"</v>
      </c>
      <c r="AG46" s="1" t="str">
        <f>IFERROR(IF(VALUE(LEFT(AD46,2))&lt;=2,"EC",IF(OR(VALUE(LEFT(AD46,2))=8,VALUE(LEFT(AD46,2))=18),"NW","Other")),"Other")</f>
        <v>EC</v>
      </c>
      <c r="AH46" s="86" t="str">
        <f>refinertdcruntimes&amp;" --tripid "&amp;A46&amp;" --locoid "&amp;B46&amp;" --swversion "&amp;C46&amp;" --startMP "&amp;D46&amp;" --initTime "&amp;TEXT(E46,"yyyy-mm-ddTHH:MM:SS")&amp;" --startdatetime "&amp;TEXT(F46,"yyyy-mm-ddTHH:MM:SS")&amp;" --delay "&amp;G46&amp;" --endMP "&amp;H46&amp;" --enddatetime "&amp;TEXT(I46,"yyyy-mm-ddTHH:MM:SS")&amp;" --enforcementcount "&amp;J46&amp;IF(outputrefinedruntimes," &gt;&gt;"&amp;RefinedRTDCRunTimesOutputFile,"")</f>
        <v>"%USERPROFILE%\Documents\GitHub\eaglep3\Utilities\RefineRTDCRunTimes.py" --tripid 134-03 --locoid 4027 --swversion DE.1.0.9.0 --startMP 204:232978 --initTime 2017-04-03T08:37:35 --startdatetime 2017-04-03T08:41:25 --delay 1 --endMP 204:158 --enddatetime 2017-04-03T09:20:55 --enforcementcount 0 &gt;&gt;C:\Users\stu\Documents\GitHub\eaglep3-reporting\EC\2017-04-03-refined-times.txt</v>
      </c>
      <c r="AI46" s="104" t="str">
        <f>"echo {""issue"":{""subject"":"""&amp;R46&amp;""",""project_id"":79,""tracker_id"":40,""status_id"":"&amp;redmine_status&amp;",""priority_id"":"&amp;redmine_priority&amp;",""assigned_to_id"":"&amp;redmine_assignee&amp;",""start_date"":"""&amp;TEXT(I46,"YYYY-mm-dd")&amp;""",""description"":"""&amp;AJ46&amp;""",""custom_fields"":[{""id"":1,""name"":""Subdivision"",""value"":"""&amp;AG46&amp;"""},{""id"":4,""name"":""Milepost"",""value"":"""&amp;Z46&amp;"""},{""id"":17,""name"":""Train ID"",""value"":"""&amp;A46&amp;"""},{""id"":16,""name"":""Locomotive ID"",""value"":"""&amp;B46&amp;"""},{""id"":130,""name"":""Impact"",""value"":"""&amp;AK46&amp;"""},{""id"":150,""name"":""Time of Event (Mountain Time)"",""value"":"""&amp;TEXT(I46,"hh:mm:ss")&amp;"""},{""id"":151,""name"":""Denver Issue ID"",""value"":"""&amp;"""},{""id"":178,""name"":""Operational Impact"",""value"":"""&amp;redmine_op_impact&amp;"""},{""id"":179,""name"":""Denver Segment Assigned"",""value"":"""&amp;AL46&amp;"""}]}}"&amp;"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{"issue":{"subject":"","project_id":79,"tracker_id":40,"status_id":1,"priority_id":2,"assigned_to_id":23,"start_date":"2017-04-03","description":"","custom_fields":[{"id":1,"name":"Subdivision","value":"EC"},{"id":4,"name":"Milepost","value":"0.0158"},{"id":17,"name":"Train ID","value":"134-03"},{"id":16,"name":"Locomotive ID","value":"4027"},{"id":130,"name":"Impact","value":""},{"id":150,"name":"Time of Event (Mountain Time)","value":"09:20:55"},{"id":151,"name":"Denver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>"start /low /b "&amp;dls3logs&amp;" --loco "&amp;B46&amp;" --day "&amp;TEXT(F46,"YYYY-MM-DD")</f>
        <v>start /low /b %USERPROFILE%\Documents\GitHub\eaglep3\Utilities\DownloadLogsFromS3.py --loco 4027 --day 2017-04-03</v>
      </c>
      <c r="AN46" s="159" t="str">
        <f>"echo {""issue"":{""subject"":"""&amp;R46&amp;""",""project_id"":30,""tracker_id"":4,""status_id"":"&amp;redmine_status_wcr&amp;",""priority_id"":"&amp;redmine_priority_wcr&amp;",""assigned_to_id"":"&amp;redmine_assignee_wcr&amp;",""start_date"":"""&amp;TEXT(I46-utc_offset/24,"YYYY-mm-dd")&amp;""",""description"":"""&amp;AJ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15:20:55"},{"id":29,"name":"Sharepoint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672</v>
      </c>
      <c r="B47" s="7">
        <v>4018</v>
      </c>
      <c r="C47" s="21" t="s">
        <v>217</v>
      </c>
      <c r="D47" s="21" t="s">
        <v>546</v>
      </c>
      <c r="E47" s="13">
        <v>42828.329016203701</v>
      </c>
      <c r="F47" s="13">
        <v>42828.333784722221</v>
      </c>
      <c r="G47" s="7">
        <v>1</v>
      </c>
      <c r="H47" s="21" t="s">
        <v>377</v>
      </c>
      <c r="I47" s="13">
        <v>42828.360312500001</v>
      </c>
      <c r="J47" s="7">
        <v>0</v>
      </c>
      <c r="K47" s="97" t="str">
        <f>IF(ISEVEN(B47),(B47-1)&amp;"/"&amp;B47,B47&amp;"/"&amp;(B47+1))</f>
        <v>4017/4018</v>
      </c>
      <c r="L47" s="21" t="str">
        <f>VLOOKUP(A47,'Trips&amp;Operators'!$C$1:$G$99999,5,FALSE)</f>
        <v>FORTUNATO FRANK</v>
      </c>
      <c r="M47" s="6">
        <f>I47-F47</f>
        <v>2.6527777779847383E-2</v>
      </c>
      <c r="N47" s="7">
        <f>24*60*SUM($M47:$M47)</f>
        <v>38.200000002980232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-04-03T06:53:47-0600',mode:absolute,to:'2017-04-03T09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7" s="183" t="str">
        <f>IF(AA47&lt;IF(AG47="EC",23,5.65),"Y","N")</f>
        <v>N</v>
      </c>
      <c r="X47" s="183">
        <f>VALUE(LEFT(AD47,4))-VALUE(LEFT(AD46,4))</f>
        <v>1</v>
      </c>
      <c r="Y47" s="62">
        <f>RIGHT(D47,LEN(D47)-4)/10000</f>
        <v>4.58E-2</v>
      </c>
      <c r="Z47" s="62">
        <f>RIGHT(H47,LEN(H47)-4)/10000</f>
        <v>23.3293</v>
      </c>
      <c r="AA47" s="62">
        <f>ABS(Z47-Y47)</f>
        <v>23.2835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>IF(LEN(A47)=6,"0"&amp;A47,A47)</f>
        <v>0135-03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47" s="82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/stypes="app*4018*20170403*" /stext=" 14:.+((SYSTEM_STATE.+slice.+state.+changed )|(ment ac)|(multiple cpu faults)|(system.+state.+changed )|(\[timeout)|(PRM\|1\|D)|(kpr)|(kdp)|(\|lc)|(penalty))"</v>
      </c>
      <c r="AG47" s="1" t="str">
        <f>IFERROR(IF(VALUE(LEFT(AD47,2))&lt;=2,"EC",IF(OR(VALUE(LEFT(AD47,2))=8,VALUE(LEFT(AD47,2))=18),"NW","Other")),"Other")</f>
        <v>EC</v>
      </c>
      <c r="AH47" s="86" t="str">
        <f>refinertdcruntimes&amp;" --tripid "&amp;A47&amp;" --locoid "&amp;B47&amp;" --swversion "&amp;C47&amp;" --startMP "&amp;D47&amp;" --initTime "&amp;TEXT(E47,"yyyy-mm-ddTHH:MM:SS")&amp;" --startdatetime "&amp;TEXT(F47,"yyyy-mm-ddTHH:MM:SS")&amp;" --delay "&amp;G47&amp;" --endMP "&amp;H47&amp;" --enddatetime "&amp;TEXT(I47,"yyyy-mm-ddTHH:MM:SS")&amp;" --enforcementcount "&amp;J47&amp;IF(outputrefinedruntimes," &gt;&gt;"&amp;RefinedRTDCRunTimesOutputFile,"")</f>
        <v>"%USERPROFILE%\Documents\GitHub\eaglep3\Utilities\RefineRTDCRunTimes.py" --tripid 135-03 --locoid 4018 --swversion DE.1.0.9.0 --startMP 204:458 --initTime 2017-04-03T07:53:47 --startdatetime 2017-04-03T08:00:39 --delay 1 --endMP 204:233293 --enddatetime 2017-04-03T08:38:51 --enforcementcount 0 &gt;&gt;C:\Users\stu\Documents\GitHub\eaglep3-reporting\EC\2017-04-03-refined-times.txt</v>
      </c>
      <c r="AI47" s="104" t="str">
        <f>"echo {""issue"":{""subject"":"""&amp;R47&amp;""",""project_id"":79,""tracker_id"":40,""status_id"":"&amp;redmine_status&amp;",""priority_id"":"&amp;redmine_priority&amp;",""assigned_to_id"":"&amp;redmine_assignee&amp;",""start_date"":"""&amp;TEXT(I47,"YYYY-mm-dd")&amp;""",""description"":"""&amp;AJ47&amp;""",""custom_fields"":[{""id"":1,""name"":""Subdivision"",""value"":"""&amp;AG47&amp;"""},{""id"":4,""name"":""Milepost"",""value"":"""&amp;Z47&amp;"""},{""id"":17,""name"":""Train ID"",""value"":"""&amp;A47&amp;"""},{""id"":16,""name"":""Locomotive ID"",""value"":"""&amp;B47&amp;"""},{""id"":130,""name"":""Impact"",""value"":"""&amp;AK47&amp;"""},{""id"":150,""name"":""Time of Event (Mountain Time)"",""value"":"""&amp;TEXT(I47,"hh:mm:ss")&amp;"""},{""id"":151,""name"":""Denver Issue ID"",""value"":"""&amp;"""},{""id"":178,""name"":""Operational Impact"",""value"":"""&amp;redmine_op_impact&amp;"""},{""id"":179,""name"":""Denver Segment Assigned"",""value"":"""&amp;AL47&amp;"""}]}}"&amp;"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ID","value":"135-03"},{"id":16,"name":"Locomotive ID","value":"4018"},{"id":130,"name":"Impact","value":""},{"id":150,"name":"Time of Event (Mountain Time)","value":"08:38:51"},{"id":151,"name":"Denver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>"start /low /b "&amp;dls3logs&amp;" --loco "&amp;B47&amp;" --day "&amp;TEXT(F47,"YYYY-MM-DD")</f>
        <v>start /low /b %USERPROFILE%\Documents\GitHub\eaglep3\Utilities\DownloadLogsFromS3.py --loco 4018 --day 2017-04-03</v>
      </c>
      <c r="AN47" s="159" t="str">
        <f>"echo {""issue"":{""subject"":"""&amp;R47&amp;""",""project_id"":30,""tracker_id"":4,""status_id"":"&amp;redmine_status_wcr&amp;",""priority_id"":"&amp;redmine_priority_wcr&amp;",""assigned_to_id"":"&amp;redmine_assignee_wcr&amp;",""start_date"":"""&amp;TEXT(I47-utc_offset/24,"YYYY-mm-dd")&amp;""",""description"":"""&amp;AJ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585</v>
      </c>
      <c r="B48" s="7">
        <v>4017</v>
      </c>
      <c r="C48" s="21" t="s">
        <v>217</v>
      </c>
      <c r="D48" s="21" t="s">
        <v>504</v>
      </c>
      <c r="E48" s="13">
        <v>42828.366793981484</v>
      </c>
      <c r="F48" s="13">
        <v>42828.372407407405</v>
      </c>
      <c r="G48" s="7">
        <v>1</v>
      </c>
      <c r="H48" s="21" t="s">
        <v>184</v>
      </c>
      <c r="I48" s="13">
        <v>42828.402581018519</v>
      </c>
      <c r="J48" s="7">
        <v>0</v>
      </c>
      <c r="K48" s="97" t="str">
        <f>IF(ISEVEN(B48),(B48-1)&amp;"/"&amp;B48,B48&amp;"/"&amp;(B48+1))</f>
        <v>4017/4018</v>
      </c>
      <c r="L48" s="21" t="str">
        <f>VLOOKUP(A48,'Trips&amp;Operators'!$C$1:$G$99999,5,FALSE)</f>
        <v>FORTUNATO FRANK</v>
      </c>
      <c r="M48" s="6">
        <f>I48-F48</f>
        <v>3.0173611114150845E-2</v>
      </c>
      <c r="N48" s="7">
        <f>24*60*SUM($M48:$M48)</f>
        <v>43.450000004377216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8" s="183" t="str">
        <f>IF(AA48&lt;IF(AG48="EC",23,5.65),"Y","N")</f>
        <v>N</v>
      </c>
      <c r="X48" s="183">
        <f>VALUE(LEFT(AD48,4))-VALUE(LEFT(AD47,4))</f>
        <v>1</v>
      </c>
      <c r="Y48" s="62">
        <f>RIGHT(D48,LEN(D48)-4)/10000</f>
        <v>23.2974</v>
      </c>
      <c r="Z48" s="62">
        <f>RIGHT(H48,LEN(H48)-4)/10000</f>
        <v>1.49E-2</v>
      </c>
      <c r="AA48" s="62">
        <f>ABS(Z48-Y48)</f>
        <v>23.282499999999999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>IF(LEN(A48)=6,"0"&amp;A48,A48)</f>
        <v>0136-03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48" s="82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/stypes="app*4017*20170403*" /stext=" 15:.+((SYSTEM_STATE.+slice.+state.+changed )|(ment ac)|(multiple cpu faults)|(system.+state.+changed )|(\[timeout)|(PRM\|1\|D)|(kpr)|(kdp)|(\|lc)|(penalty))"</v>
      </c>
      <c r="AG48" s="1" t="str">
        <f>IFERROR(IF(VALUE(LEFT(AD48,2))&lt;=2,"EC",IF(OR(VALUE(LEFT(AD48,2))=8,VALUE(LEFT(AD48,2))=18),"NW","Other")),"Other")</f>
        <v>EC</v>
      </c>
      <c r="AH48" s="86" t="str">
        <f>refinertdcruntimes&amp;" --tripid "&amp;A48&amp;" --locoid "&amp;B48&amp;" --swversion "&amp;C48&amp;" --startMP "&amp;D48&amp;" --initTime "&amp;TEXT(E48,"yyyy-mm-ddTHH:MM:SS")&amp;" --startdatetime "&amp;TEXT(F48,"yyyy-mm-ddTHH:MM:SS")&amp;" --delay "&amp;G48&amp;" --endMP "&amp;H48&amp;" --enddatetime "&amp;TEXT(I48,"yyyy-mm-ddTHH:MM:SS")&amp;" --enforcementcount "&amp;J48&amp;IF(outputrefinedruntimes," &gt;&gt;"&amp;RefinedRTDCRunTimesOutputFile,"")</f>
        <v>"%USERPROFILE%\Documents\GitHub\eaglep3\Utilities\RefineRTDCRunTimes.py" --tripid 136-03 --locoid 4017 --swversion DE.1.0.9.0 --startMP 204:232974 --initTime 2017-04-03T08:48:11 --startdatetime 2017-04-03T08:56:16 --delay 1 --endMP 204:149 --enddatetime 2017-04-03T09:39:43 --enforcementcount 0 &gt;&gt;C:\Users\stu\Documents\GitHub\eaglep3-reporting\EC\2017-04-03-refined-times.txt</v>
      </c>
      <c r="AI48" s="104" t="str">
        <f>"echo {""issue"":{""subject"":"""&amp;R48&amp;""",""project_id"":79,""tracker_id"":40,""status_id"":"&amp;redmine_status&amp;",""priority_id"":"&amp;redmine_priority&amp;",""assigned_to_id"":"&amp;redmine_assignee&amp;",""start_date"":"""&amp;TEXT(I48,"YYYY-mm-dd")&amp;""",""description"":"""&amp;AJ48&amp;""",""custom_fields"":[{""id"":1,""name"":""Subdivision"",""value"":"""&amp;AG48&amp;"""},{""id"":4,""name"":""Milepost"",""value"":"""&amp;Z48&amp;"""},{""id"":17,""name"":""Train ID"",""value"":"""&amp;A48&amp;"""},{""id"":16,""name"":""Locomotive ID"",""value"":"""&amp;B48&amp;"""},{""id"":130,""name"":""Impact"",""value"":"""&amp;AK48&amp;"""},{""id"":150,""name"":""Time of Event (Mountain Time)"",""value"":"""&amp;TEXT(I48,"hh:mm:ss")&amp;"""},{""id"":151,""name"":""Denver Issue ID"",""value"":"""&amp;"""},{""id"":178,""name"":""Operational Impact"",""value"":"""&amp;redmine_op_impact&amp;"""},{""id"":179,""name"":""Denver Segment Assigned"",""value"":"""&amp;AL48&amp;"""}]}}"&amp;"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ID","value":"136-03"},{"id":16,"name":"Locomotive ID","value":"4017"},{"id":130,"name":"Impact","value":""},{"id":150,"name":"Time of Event (Mountain Time)","value":"09:39:43"},{"id":151,"name":"Denver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>"start /low /b "&amp;dls3logs&amp;" --loco "&amp;B48&amp;" --day "&amp;TEXT(F48,"YYYY-MM-DD")</f>
        <v>start /low /b %USERPROFILE%\Documents\GitHub\eaglep3\Utilities\DownloadLogsFromS3.py --loco 4017 --day 2017-04-03</v>
      </c>
      <c r="AN48" s="159" t="str">
        <f>"echo {""issue"":{""subject"":"""&amp;R48&amp;""",""project_id"":30,""tracker_id"":4,""status_id"":"&amp;redmine_status_wcr&amp;",""priority_id"":"&amp;redmine_priority_wcr&amp;",""assigned_to_id"":"&amp;redmine_assignee_wcr&amp;",""start_date"":"""&amp;TEXT(I48-utc_offset/24,"YYYY-mm-dd")&amp;""",""description"":"""&amp;AJ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674</v>
      </c>
      <c r="B49" s="7">
        <v>4008</v>
      </c>
      <c r="C49" s="21" t="s">
        <v>217</v>
      </c>
      <c r="D49" s="21" t="s">
        <v>843</v>
      </c>
      <c r="E49" s="13">
        <v>42828.339826388888</v>
      </c>
      <c r="F49" s="13">
        <v>42828.343993055554</v>
      </c>
      <c r="G49" s="7">
        <v>1</v>
      </c>
      <c r="H49" s="21" t="s">
        <v>844</v>
      </c>
      <c r="I49" s="13">
        <v>42828.368935185186</v>
      </c>
      <c r="J49" s="7">
        <v>0</v>
      </c>
      <c r="K49" s="97" t="str">
        <f>IF(ISEVEN(B49),(B49-1)&amp;"/"&amp;B49,B49&amp;"/"&amp;(B49+1))</f>
        <v>4007/4008</v>
      </c>
      <c r="L49" s="21" t="str">
        <f>VLOOKUP(A49,'Trips&amp;Operators'!$C$1:$G$99999,5,FALSE)</f>
        <v>SHOOK JOHN</v>
      </c>
      <c r="M49" s="6">
        <f>I49-F49</f>
        <v>2.4942129632108845E-2</v>
      </c>
      <c r="N49" s="7">
        <f>24*60*SUM($M49:$M49)</f>
        <v>35.916666670236737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-04-03T07:09:21-0600',mode:absolute,to:'2017-04-03T09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49" s="183" t="str">
        <f>IF(AA49&lt;IF(AG49="EC",23,5.65),"Y","N")</f>
        <v>N</v>
      </c>
      <c r="X49" s="183">
        <f>VALUE(LEFT(AD49,4))-VALUE(LEFT(AD48,4))</f>
        <v>1</v>
      </c>
      <c r="Y49" s="62">
        <f>RIGHT(D49,LEN(D49)-4)/10000</f>
        <v>4.3299999999999998E-2</v>
      </c>
      <c r="Z49" s="62">
        <f>RIGHT(H49,LEN(H49)-4)/10000</f>
        <v>23.326799999999999</v>
      </c>
      <c r="AA49" s="62">
        <f>ABS(Z49-Y49)</f>
        <v>23.2835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>IF(LEN(A49)=6,"0"&amp;A49,A49)</f>
        <v>0137-03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49" s="82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/stypes="app*4008*20170403*" /stext=" 14:.+((SYSTEM_STATE.+slice.+state.+changed )|(ment ac)|(multiple cpu faults)|(system.+state.+changed )|(\[timeout)|(PRM\|1\|D)|(kpr)|(kdp)|(\|lc)|(penalty))"</v>
      </c>
      <c r="AG49" s="1" t="str">
        <f>IFERROR(IF(VALUE(LEFT(AD49,2))&lt;=2,"EC",IF(OR(VALUE(LEFT(AD49,2))=8,VALUE(LEFT(AD49,2))=18),"NW","Other")),"Other")</f>
        <v>EC</v>
      </c>
      <c r="AH49" s="86" t="str">
        <f>refinertdcruntimes&amp;" --tripid "&amp;A49&amp;" --locoid "&amp;B49&amp;" --swversion "&amp;C49&amp;" --startMP "&amp;D49&amp;" --initTime "&amp;TEXT(E49,"yyyy-mm-ddTHH:MM:SS")&amp;" --startdatetime "&amp;TEXT(F49,"yyyy-mm-ddTHH:MM:SS")&amp;" --delay "&amp;G49&amp;" --endMP "&amp;H49&amp;" --enddatetime "&amp;TEXT(I49,"yyyy-mm-ddTHH:MM:SS")&amp;" --enforcementcount "&amp;J49&amp;IF(outputrefinedruntimes," &gt;&gt;"&amp;RefinedRTDCRunTimesOutputFile,"")</f>
        <v>"%USERPROFILE%\Documents\GitHub\eaglep3\Utilities\RefineRTDCRunTimes.py" --tripid 137-03 --locoid 4008 --swversion DE.1.0.9.0 --startMP 204:433 --initTime 2017-04-03T08:09:21 --startdatetime 2017-04-03T08:15:21 --delay 1 --endMP 204:233268 --enddatetime 2017-04-03T08:51:16 --enforcementcount 0 &gt;&gt;C:\Users\stu\Documents\GitHub\eaglep3-reporting\EC\2017-04-03-refined-times.txt</v>
      </c>
      <c r="AI49" s="104" t="str">
        <f>"echo {""issue"":{""subject"":"""&amp;R49&amp;""",""project_id"":79,""tracker_id"":40,""status_id"":"&amp;redmine_status&amp;",""priority_id"":"&amp;redmine_priority&amp;",""assigned_to_id"":"&amp;redmine_assignee&amp;",""start_date"":"""&amp;TEXT(I49,"YYYY-mm-dd")&amp;""",""description"":"""&amp;AJ49&amp;""",""custom_fields"":[{""id"":1,""name"":""Subdivision"",""value"":"""&amp;AG49&amp;"""},{""id"":4,""name"":""Milepost"",""value"":"""&amp;Z49&amp;"""},{""id"":17,""name"":""Train ID"",""value"":"""&amp;A49&amp;"""},{""id"":16,""name"":""Locomotive ID"",""value"":"""&amp;B49&amp;"""},{""id"":130,""name"":""Impact"",""value"":"""&amp;AK49&amp;"""},{""id"":150,""name"":""Time of Event (Mountain Time)"",""value"":"""&amp;TEXT(I49,"hh:mm:ss")&amp;"""},{""id"":151,""name"":""Denver Issue ID"",""value"":"""&amp;"""},{""id"":178,""name"":""Operational Impact"",""value"":"""&amp;redmine_op_impact&amp;"""},{""id"":179,""name"":""Denver Segment Assigned"",""value"":"""&amp;AL49&amp;"""}]}}"&amp;"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{"issue":{"subject":"","project_id":79,"tracker_id":40,"status_id":1,"priority_id":2,"assigned_to_id":23,"start_date":"2017-04-03","description":"","custom_fields":[{"id":1,"name":"Subdivision","value":"EC"},{"id":4,"name":"Milepost","value":"23.3268"},{"id":17,"name":"Train ID","value":"137-03"},{"id":16,"name":"Locomotive ID","value":"4008"},{"id":130,"name":"Impact","value":""},{"id":150,"name":"Time of Event (Mountain Time)","value":"08:51:16"},{"id":151,"name":"Denver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>"start /low /b "&amp;dls3logs&amp;" --loco "&amp;B49&amp;" --day "&amp;TEXT(F49,"YYYY-MM-DD")</f>
        <v>start /low /b %USERPROFILE%\Documents\GitHub\eaglep3\Utilities\DownloadLogsFromS3.py --loco 4008 --day 2017-04-03</v>
      </c>
      <c r="AN49" s="159" t="str">
        <f>"echo {""issue"":{""subject"":"""&amp;R49&amp;""",""project_id"":30,""tracker_id"":4,""status_id"":"&amp;redmine_status_wcr&amp;",""priority_id"":"&amp;redmine_priority_wcr&amp;",""assigned_to_id"":"&amp;redmine_assignee_wcr&amp;",""start_date"":"""&amp;TEXT(I49-utc_offset/24,"YYYY-mm-dd")&amp;""",""description"":"""&amp;AJ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680</v>
      </c>
      <c r="B50" s="7">
        <v>4007</v>
      </c>
      <c r="C50" s="21" t="s">
        <v>217</v>
      </c>
      <c r="D50" s="21" t="s">
        <v>464</v>
      </c>
      <c r="E50" s="13">
        <v>42828.370648148149</v>
      </c>
      <c r="F50" s="13">
        <v>42828.382800925923</v>
      </c>
      <c r="G50" s="7">
        <v>1</v>
      </c>
      <c r="H50" s="21" t="s">
        <v>452</v>
      </c>
      <c r="I50" s="13">
        <v>42828.414074074077</v>
      </c>
      <c r="J50" s="7">
        <v>0</v>
      </c>
      <c r="K50" s="97" t="str">
        <f>IF(ISEVEN(B50),(B50-1)&amp;"/"&amp;B50,B50&amp;"/"&amp;(B50+1))</f>
        <v>4007/4008</v>
      </c>
      <c r="L50" s="21" t="str">
        <f>VLOOKUP(A50,'Trips&amp;Operators'!$C$1:$G$99999,5,FALSE)</f>
        <v>SHOOK JOHN</v>
      </c>
      <c r="M50" s="6">
        <f>I50-F50</f>
        <v>3.1273148153559305E-2</v>
      </c>
      <c r="N50" s="7">
        <f>24*60*SUM($M50:$M50)</f>
        <v>45.033333341125399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-04-03T07:53:44-0600',mode:absolute,to:'2017-04-03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0" s="183" t="str">
        <f>IF(AA50&lt;IF(AG50="EC",23,5.65),"Y","N")</f>
        <v>N</v>
      </c>
      <c r="X50" s="183">
        <f>VALUE(LEFT(AD50,4))-VALUE(LEFT(AD49,4))</f>
        <v>1</v>
      </c>
      <c r="Y50" s="62">
        <f>RIGHT(D50,LEN(D50)-4)/10000</f>
        <v>23.2973</v>
      </c>
      <c r="Z50" s="62">
        <f>RIGHT(H50,LEN(H50)-4)/10000</f>
        <v>1.6299999999999999E-2</v>
      </c>
      <c r="AA50" s="62">
        <f>ABS(Z50-Y50)</f>
        <v>23.280999999999999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>IF(LEN(A50)=6,"0"&amp;A50,A50)</f>
        <v>0138-03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50" s="82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/stypes="app*4007*20170403*" /stext=" 15:.+((SYSTEM_STATE.+slice.+state.+changed )|(ment ac)|(multiple cpu faults)|(system.+state.+changed )|(\[timeout)|(PRM\|1\|D)|(kpr)|(kdp)|(\|lc)|(penalty))"</v>
      </c>
      <c r="AG50" s="1" t="str">
        <f>IFERROR(IF(VALUE(LEFT(AD50,2))&lt;=2,"EC",IF(OR(VALUE(LEFT(AD50,2))=8,VALUE(LEFT(AD50,2))=18),"NW","Other")),"Other")</f>
        <v>EC</v>
      </c>
      <c r="AH50" s="86" t="str">
        <f>refinertdcruntimes&amp;" --tripid "&amp;A50&amp;" --locoid "&amp;B50&amp;" --swversion "&amp;C50&amp;" --startMP "&amp;D50&amp;" --initTime "&amp;TEXT(E50,"yyyy-mm-ddTHH:MM:SS")&amp;" --startdatetime "&amp;TEXT(F50,"yyyy-mm-ddTHH:MM:SS")&amp;" --delay "&amp;G50&amp;" --endMP "&amp;H50&amp;" --enddatetime "&amp;TEXT(I50,"yyyy-mm-ddTHH:MM:SS")&amp;" --enforcementcount "&amp;J50&amp;IF(outputrefinedruntimes," &gt;&gt;"&amp;RefinedRTDCRunTimesOutputFile,"")</f>
        <v>"%USERPROFILE%\Documents\GitHub\eaglep3\Utilities\RefineRTDCRunTimes.py" --tripid 138-03 --locoid 4007 --swversion DE.1.0.9.0 --startMP 204:232973 --initTime 2017-04-03T08:53:44 --startdatetime 2017-04-03T09:11:14 --delay 1 --endMP 204:163 --enddatetime 2017-04-03T09:56:16 --enforcementcount 0 &gt;&gt;C:\Users\stu\Documents\GitHub\eaglep3-reporting\EC\2017-04-03-refined-times.txt</v>
      </c>
      <c r="AI50" s="104" t="str">
        <f>"echo {""issue"":{""subject"":"""&amp;R50&amp;""",""project_id"":79,""tracker_id"":40,""status_id"":"&amp;redmine_status&amp;",""priority_id"":"&amp;redmine_priority&amp;",""assigned_to_id"":"&amp;redmine_assignee&amp;",""start_date"":"""&amp;TEXT(I50,"YYYY-mm-dd")&amp;""",""description"":"""&amp;AJ50&amp;""",""custom_fields"":[{""id"":1,""name"":""Subdivision"",""value"":"""&amp;AG50&amp;"""},{""id"":4,""name"":""Milepost"",""value"":"""&amp;Z50&amp;"""},{""id"":17,""name"":""Train ID"",""value"":"""&amp;A50&amp;"""},{""id"":16,""name"":""Locomotive ID"",""value"":"""&amp;B50&amp;"""},{""id"":130,""name"":""Impact"",""value"":"""&amp;AK50&amp;"""},{""id"":150,""name"":""Time of Event (Mountain Time)"",""value"":"""&amp;TEXT(I50,"hh:mm:ss")&amp;"""},{""id"":151,""name"":""Denver Issue ID"",""value"":"""&amp;"""},{""id"":178,""name"":""Operational Impact"",""value"":"""&amp;redmine_op_impact&amp;"""},{""id"":179,""name"":""Denver Segment Assigned"",""value"":"""&amp;AL50&amp;"""}]}}"&amp;"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ID","value":"138-03"},{"id":16,"name":"Locomotive ID","value":"4007"},{"id":130,"name":"Impact","value":""},{"id":150,"name":"Time of Event (Mountain Time)","value":"09:56:16"},{"id":151,"name":"Denver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>"start /low /b "&amp;dls3logs&amp;" --loco "&amp;B50&amp;" --day "&amp;TEXT(F50,"YYYY-MM-DD")</f>
        <v>start /low /b %USERPROFILE%\Documents\GitHub\eaglep3\Utilities\DownloadLogsFromS3.py --loco 4007 --day 2017-04-03</v>
      </c>
      <c r="AN50" s="159" t="str">
        <f>"echo {""issue"":{""subject"":"""&amp;R50&amp;""",""project_id"":30,""tracker_id"":4,""status_id"":"&amp;redmine_status_wcr&amp;",""priority_id"":"&amp;redmine_priority_wcr&amp;",""assigned_to_id"":"&amp;redmine_assignee_wcr&amp;",""start_date"":"""&amp;TEXT(I50-utc_offset/24,"YYYY-mm-dd")&amp;""",""description"":"""&amp;AJ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583</v>
      </c>
      <c r="B51" s="7">
        <v>4052</v>
      </c>
      <c r="C51" s="21" t="s">
        <v>217</v>
      </c>
      <c r="D51" s="21" t="s">
        <v>845</v>
      </c>
      <c r="E51" s="13">
        <v>42828.348043981481</v>
      </c>
      <c r="F51" s="13">
        <v>42828.354479166665</v>
      </c>
      <c r="G51" s="7">
        <v>1</v>
      </c>
      <c r="H51" s="21" t="s">
        <v>506</v>
      </c>
      <c r="I51" s="13">
        <v>42828.379108796296</v>
      </c>
      <c r="J51" s="7">
        <v>0</v>
      </c>
      <c r="K51" s="97" t="str">
        <f>IF(ISEVEN(B51),(B51-1)&amp;"/"&amp;B51,B51&amp;"/"&amp;(B51+1))</f>
        <v>4051/4052</v>
      </c>
      <c r="L51" s="21" t="str">
        <f>VLOOKUP(A51,'Trips&amp;Operators'!$C$1:$G$99999,5,FALSE)</f>
        <v>YORK EDGAR</v>
      </c>
      <c r="M51" s="6">
        <f>I51-F51</f>
        <v>2.4629629631817807E-2</v>
      </c>
      <c r="N51" s="7">
        <f>24*60*SUM($M51:$M51)</f>
        <v>35.466666669817641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-04-03T07:21:11-0600',mode:absolute,to:'2017-04-03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83" t="str">
        <f>IF(AA51&lt;IF(AG51="EC",23,5.65),"Y","N")</f>
        <v>N</v>
      </c>
      <c r="X51" s="183">
        <f>VALUE(LEFT(AD51,4))-VALUE(LEFT(AD50,4))</f>
        <v>1</v>
      </c>
      <c r="Y51" s="62">
        <f>RIGHT(D51,LEN(D51)-4)/10000</f>
        <v>4.7500000000000001E-2</v>
      </c>
      <c r="Z51" s="62">
        <f>RIGHT(H51,LEN(H51)-4)/10000</f>
        <v>23.3291</v>
      </c>
      <c r="AA51" s="62">
        <f>ABS(Z51-Y51)</f>
        <v>23.281600000000001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>IF(LEN(A51)=6,"0"&amp;A51,A51)</f>
        <v>0139-03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51" s="82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/stypes="app*4052*20170403*" /stext=" 15:.+((SYSTEM_STATE.+slice.+state.+changed )|(ment ac)|(multiple cpu faults)|(system.+state.+changed )|(\[timeout)|(PRM\|1\|D)|(kpr)|(kdp)|(\|lc)|(penalty))"</v>
      </c>
      <c r="AG51" s="1" t="str">
        <f>IFERROR(IF(VALUE(LEFT(AD51,2))&lt;=2,"EC",IF(OR(VALUE(LEFT(AD51,2))=8,VALUE(LEFT(AD51,2))=18),"NW","Other")),"Other")</f>
        <v>EC</v>
      </c>
      <c r="AH51" s="86" t="str">
        <f>refinertdcruntimes&amp;" --tripid "&amp;A51&amp;" --locoid "&amp;B51&amp;" --swversion "&amp;C51&amp;" --startMP "&amp;D51&amp;" --initTime "&amp;TEXT(E51,"yyyy-mm-ddTHH:MM:SS")&amp;" --startdatetime "&amp;TEXT(F51,"yyyy-mm-ddTHH:MM:SS")&amp;" --delay "&amp;G51&amp;" --endMP "&amp;H51&amp;" --enddatetime "&amp;TEXT(I51,"yyyy-mm-ddTHH:MM:SS")&amp;" --enforcementcount "&amp;J51&amp;IF(outputrefinedruntimes," &gt;&gt;"&amp;RefinedRTDCRunTimesOutputFile,"")</f>
        <v>"%USERPROFILE%\Documents\GitHub\eaglep3\Utilities\RefineRTDCRunTimes.py" --tripid 139-03 --locoid 4052 --swversion DE.1.0.9.0 --startMP 204:475 --initTime 2017-04-03T08:21:11 --startdatetime 2017-04-03T08:30:27 --delay 1 --endMP 204:233291 --enddatetime 2017-04-03T09:05:55 --enforcementcount 0 &gt;&gt;C:\Users\stu\Documents\GitHub\eaglep3-reporting\EC\2017-04-03-refined-times.txt</v>
      </c>
      <c r="AI51" s="104" t="str">
        <f>"echo {""issue"":{""subject"":"""&amp;R51&amp;""",""project_id"":79,""tracker_id"":40,""status_id"":"&amp;redmine_status&amp;",""priority_id"":"&amp;redmine_priority&amp;",""assigned_to_id"":"&amp;redmine_assignee&amp;",""start_date"":"""&amp;TEXT(I51,"YYYY-mm-dd")&amp;""",""description"":"""&amp;AJ51&amp;""",""custom_fields"":[{""id"":1,""name"":""Subdivision"",""value"":"""&amp;AG51&amp;"""},{""id"":4,""name"":""Milepost"",""value"":"""&amp;Z51&amp;"""},{""id"":17,""name"":""Train ID"",""value"":"""&amp;A51&amp;"""},{""id"":16,""name"":""Locomotive ID"",""value"":"""&amp;B51&amp;"""},{""id"":130,""name"":""Impact"",""value"":"""&amp;AK51&amp;"""},{""id"":150,""name"":""Time of Event (Mountain Time)"",""value"":"""&amp;TEXT(I51,"hh:mm:ss")&amp;"""},{""id"":151,""name"":""Denver Issue ID"",""value"":"""&amp;"""},{""id"":178,""name"":""Operational Impact"",""value"":"""&amp;redmine_op_impact&amp;"""},{""id"":179,""name"":""Denver Segment Assigned"",""value"":"""&amp;AL51&amp;"""}]}}"&amp;"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http://stevetu21.github.io/eaglep3/load_kml.html?kml=http://rtdc.gmaps-snips.s3.amazonaws.com/91420618-fc13-4474-820d-8b3e308ed661.kml","custom_fields":[{"id":1,"name":"Subdivision","value":"EC"},{"id":4,"name":"Milepost","value":"23.3291"},{"id":17,"name":"Train ID","value":"139-03"},{"id":16,"name":"Locomotive ID","value":"4052"},{"id":130,"name":"Impact","value":""},{"id":150,"name":"Time of Event (Mountain Time)","value":"09:05:55"},{"id":151,"name":"Denver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 t="s">
        <v>1049</v>
      </c>
      <c r="AK51" s="48"/>
      <c r="AL51" s="48"/>
      <c r="AM51" s="150" t="str">
        <f>"start /low /b "&amp;dls3logs&amp;" --loco "&amp;B51&amp;" --day "&amp;TEXT(F51,"YYYY-MM-DD")</f>
        <v>start /low /b %USERPROFILE%\Documents\GitHub\eaglep3\Utilities\DownloadLogsFromS3.py --loco 4052 --day 2017-04-03</v>
      </c>
      <c r="AN51" s="159" t="str">
        <f>"echo {""issue"":{""subject"":"""&amp;R51&amp;""",""project_id"":30,""tracker_id"":4,""status_id"":"&amp;redmine_status_wcr&amp;",""priority_id"":"&amp;redmine_priority_wcr&amp;",""assigned_to_id"":"&amp;redmine_assignee_wcr&amp;",""start_date"":"""&amp;TEXT(I51-utc_offset/24,"YYYY-mm-dd")&amp;""",""description"":"""&amp;AJ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http://stevetu21.github.io/eaglep3/load_kml.html?kml=http://rtdc.gmaps-snips.s3.amazonaws.com/91420618-fc13-4474-820d-8b3e308ed661.kml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682</v>
      </c>
      <c r="B52" s="7">
        <v>4051</v>
      </c>
      <c r="C52" s="21" t="s">
        <v>217</v>
      </c>
      <c r="D52" s="21" t="s">
        <v>420</v>
      </c>
      <c r="E52" s="13">
        <v>42828.38008101852</v>
      </c>
      <c r="F52" s="13">
        <v>42828.393495370372</v>
      </c>
      <c r="G52" s="7">
        <v>1</v>
      </c>
      <c r="H52" s="21" t="s">
        <v>516</v>
      </c>
      <c r="I52" s="13">
        <v>42828.422847222224</v>
      </c>
      <c r="J52" s="7">
        <v>0</v>
      </c>
      <c r="K52" s="97" t="str">
        <f>IF(ISEVEN(B52),(B52-1)&amp;"/"&amp;B52,B52&amp;"/"&amp;(B52+1))</f>
        <v>4051/4052</v>
      </c>
      <c r="L52" s="21" t="str">
        <f>VLOOKUP(A52,'Trips&amp;Operators'!$C$1:$G$99999,5,FALSE)</f>
        <v>YORK EDGAR</v>
      </c>
      <c r="M52" s="6">
        <f>I52-F52</f>
        <v>2.9351851851970423E-2</v>
      </c>
      <c r="N52" s="7">
        <f>24*60*SUM($M52:$M52)</f>
        <v>42.266666666837409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-04-03T08:07:19-0600',mode:absolute,to:'2017-04-03T11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83" t="str">
        <f>IF(AA52&lt;IF(AG52="EC",23,5.65),"Y","N")</f>
        <v>N</v>
      </c>
      <c r="X52" s="183">
        <f>VALUE(LEFT(AD52,4))-VALUE(LEFT(AD51,4))</f>
        <v>1</v>
      </c>
      <c r="Y52" s="62">
        <f>RIGHT(D52,LEN(D52)-4)/10000</f>
        <v>23.298100000000002</v>
      </c>
      <c r="Z52" s="62">
        <f>RIGHT(H52,LEN(H52)-4)/10000</f>
        <v>1.6E-2</v>
      </c>
      <c r="AA52" s="62">
        <f>ABS(Z52-Y52)</f>
        <v>23.282100000000003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>IF(LEN(A52)=6,"0"&amp;A52,A52)</f>
        <v>0140-03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52" s="82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/stypes="app*4051*20170403*" /stext=" 16:.+((SYSTEM_STATE.+slice.+state.+changed )|(ment ac)|(multiple cpu faults)|(system.+state.+changed )|(\[timeout)|(PRM\|1\|D)|(kpr)|(kdp)|(\|lc)|(penalty))"</v>
      </c>
      <c r="AG52" s="1" t="str">
        <f>IFERROR(IF(VALUE(LEFT(AD52,2))&lt;=2,"EC",IF(OR(VALUE(LEFT(AD52,2))=8,VALUE(LEFT(AD52,2))=18),"NW","Other")),"Other")</f>
        <v>EC</v>
      </c>
      <c r="AH52" s="86" t="str">
        <f>refinertdcruntimes&amp;" --tripid "&amp;A52&amp;" --locoid "&amp;B52&amp;" --swversion "&amp;C52&amp;" --startMP "&amp;D52&amp;" --initTime "&amp;TEXT(E52,"yyyy-mm-ddTHH:MM:SS")&amp;" --startdatetime "&amp;TEXT(F52,"yyyy-mm-ddTHH:MM:SS")&amp;" --delay "&amp;G52&amp;" --endMP "&amp;H52&amp;" --enddatetime "&amp;TEXT(I52,"yyyy-mm-ddTHH:MM:SS")&amp;" --enforcementcount "&amp;J52&amp;IF(outputrefinedruntimes," &gt;&gt;"&amp;RefinedRTDCRunTimesOutputFile,"")</f>
        <v>"%USERPROFILE%\Documents\GitHub\eaglep3\Utilities\RefineRTDCRunTimes.py" --tripid 140-03 --locoid 4051 --swversion DE.1.0.9.0 --startMP 204:232981 --initTime 2017-04-03T09:07:19 --startdatetime 2017-04-03T09:26:38 --delay 1 --endMP 204:160 --enddatetime 2017-04-03T10:08:54 --enforcementcount 0 &gt;&gt;C:\Users\stu\Documents\GitHub\eaglep3-reporting\EC\2017-04-03-refined-times.txt</v>
      </c>
      <c r="AI52" s="104" t="str">
        <f>"echo {""issue"":{""subject"":"""&amp;R52&amp;""",""project_id"":79,""tracker_id"":40,""status_id"":"&amp;redmine_status&amp;",""priority_id"":"&amp;redmine_priority&amp;",""assigned_to_id"":"&amp;redmine_assignee&amp;",""start_date"":"""&amp;TEXT(I52,"YYYY-mm-dd")&amp;""",""description"":"""&amp;AJ52&amp;""",""custom_fields"":[{""id"":1,""name"":""Subdivision"",""value"":"""&amp;AG52&amp;"""},{""id"":4,""name"":""Milepost"",""value"":"""&amp;Z52&amp;"""},{""id"":17,""name"":""Train ID"",""value"":"""&amp;A52&amp;"""},{""id"":16,""name"":""Locomotive ID"",""value"":"""&amp;B52&amp;"""},{""id"":130,""name"":""Impact"",""value"":"""&amp;AK52&amp;"""},{""id"":150,""name"":""Time of Event (Mountain Time)"",""value"":"""&amp;TEXT(I52,"hh:mm:ss")&amp;"""},{""id"":151,""name"":""Denver Issue ID"",""value"":"""&amp;"""},{""id"":178,""name"":""Operational Impact"",""value"":"""&amp;redmine_op_impact&amp;"""},{""id"":179,""name"":""Denver Segment Assigned"",""value"":"""&amp;AL52&amp;"""}]}}"&amp;"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{"issue":{"subject":"","project_id":79,"tracker_id":40,"status_id":1,"priority_id":2,"assigned_to_id":23,"start_date":"2017-04-03","description":"","custom_fields":[{"id":1,"name":"Subdivision","value":"EC"},{"id":4,"name":"Milepost","value":"0.016"},{"id":17,"name":"Train ID","value":"140-03"},{"id":16,"name":"Locomotive ID","value":"4051"},{"id":130,"name":"Impact","value":""},{"id":150,"name":"Time of Event (Mountain Time)","value":"10:08:54"},{"id":151,"name":"Denver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>"start /low /b "&amp;dls3logs&amp;" --loco "&amp;B52&amp;" --day "&amp;TEXT(F52,"YYYY-MM-DD")</f>
        <v>start /low /b %USERPROFILE%\Documents\GitHub\eaglep3\Utilities\DownloadLogsFromS3.py --loco 4051 --day 2017-04-03</v>
      </c>
      <c r="AN52" s="159" t="str">
        <f>"echo {""issue"":{""subject"":"""&amp;R52&amp;""",""project_id"":30,""tracker_id"":4,""status_id"":"&amp;redmine_status_wcr&amp;",""priority_id"":"&amp;redmine_priority_wcr&amp;",""assigned_to_id"":"&amp;redmine_assignee_wcr&amp;",""start_date"":"""&amp;TEXT(I52-utc_offset/24,"YYYY-mm-dd")&amp;""",""description"":"""&amp;AJ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16:08:54"},{"id":29,"name":"Sharepoint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679</v>
      </c>
      <c r="B53" s="7">
        <v>4004</v>
      </c>
      <c r="C53" s="21" t="s">
        <v>217</v>
      </c>
      <c r="D53" s="21" t="s">
        <v>472</v>
      </c>
      <c r="E53" s="13">
        <v>42828.360972222225</v>
      </c>
      <c r="F53" s="13">
        <v>42828.364745370367</v>
      </c>
      <c r="G53" s="7">
        <v>1</v>
      </c>
      <c r="H53" s="21" t="s">
        <v>443</v>
      </c>
      <c r="I53" s="13">
        <v>42828.389351851853</v>
      </c>
      <c r="J53" s="7">
        <v>0</v>
      </c>
      <c r="K53" s="97" t="str">
        <f>IF(ISEVEN(B53),(B53-1)&amp;"/"&amp;B53,B53&amp;"/"&amp;(B53+1))</f>
        <v>4003/4004</v>
      </c>
      <c r="L53" s="21" t="str">
        <f>VLOOKUP(A53,'Trips&amp;Operators'!$C$1:$G$99999,5,FALSE)</f>
        <v>SANTIZO D. EDY</v>
      </c>
      <c r="M53" s="6">
        <f>I53-F53</f>
        <v>2.4606481485534459E-2</v>
      </c>
      <c r="N53" s="7">
        <f>24*60*SUM($M53:$M53)</f>
        <v>35.433333339169621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-04-03T07:39:48-0600',mode:absolute,to:'2017-04-03T10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3" s="183" t="str">
        <f>IF(AA53&lt;IF(AG53="EC",23,5.65),"Y","N")</f>
        <v>N</v>
      </c>
      <c r="X53" s="183">
        <f>VALUE(LEFT(AD53,4))-VALUE(LEFT(AD52,4))</f>
        <v>1</v>
      </c>
      <c r="Y53" s="62">
        <f>RIGHT(D53,LEN(D53)-4)/10000</f>
        <v>4.3999999999999997E-2</v>
      </c>
      <c r="Z53" s="62">
        <f>RIGHT(H53,LEN(H53)-4)/10000</f>
        <v>23.329499999999999</v>
      </c>
      <c r="AA53" s="62">
        <f>ABS(Z53-Y53)</f>
        <v>23.285499999999999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>IF(LEN(A53)=6,"0"&amp;A53,A53)</f>
        <v>0141-03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53" s="82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/stypes="app*4004*20170403*" /stext=" 15:.+((SYSTEM_STATE.+slice.+state.+changed )|(ment ac)|(multiple cpu faults)|(system.+state.+changed )|(\[timeout)|(PRM\|1\|D)|(kpr)|(kdp)|(\|lc)|(penalty))"</v>
      </c>
      <c r="AG53" s="1" t="str">
        <f>IFERROR(IF(VALUE(LEFT(AD53,2))&lt;=2,"EC",IF(OR(VALUE(LEFT(AD53,2))=8,VALUE(LEFT(AD53,2))=18),"NW","Other")),"Other")</f>
        <v>EC</v>
      </c>
      <c r="AH53" s="86" t="str">
        <f>refinertdcruntimes&amp;" --tripid "&amp;A53&amp;" --locoid "&amp;B53&amp;" --swversion "&amp;C53&amp;" --startMP "&amp;D53&amp;" --initTime "&amp;TEXT(E53,"yyyy-mm-ddTHH:MM:SS")&amp;" --startdatetime "&amp;TEXT(F53,"yyyy-mm-ddTHH:MM:SS")&amp;" --delay "&amp;G53&amp;" --endMP "&amp;H53&amp;" --enddatetime "&amp;TEXT(I53,"yyyy-mm-ddTHH:MM:SS")&amp;" --enforcementcount "&amp;J53&amp;IF(outputrefinedruntimes," &gt;&gt;"&amp;RefinedRTDCRunTimesOutputFile,"")</f>
        <v>"%USERPROFILE%\Documents\GitHub\eaglep3\Utilities\RefineRTDCRunTimes.py" --tripid 141-03 --locoid 4004 --swversion DE.1.0.9.0 --startMP 204:440 --initTime 2017-04-03T08:39:48 --startdatetime 2017-04-03T08:45:14 --delay 1 --endMP 204:233295 --enddatetime 2017-04-03T09:20:40 --enforcementcount 0 &gt;&gt;C:\Users\stu\Documents\GitHub\eaglep3-reporting\EC\2017-04-03-refined-times.txt</v>
      </c>
      <c r="AI53" s="104" t="str">
        <f>"echo {""issue"":{""subject"":"""&amp;R53&amp;""",""project_id"":79,""tracker_id"":40,""status_id"":"&amp;redmine_status&amp;",""priority_id"":"&amp;redmine_priority&amp;",""assigned_to_id"":"&amp;redmine_assignee&amp;",""start_date"":"""&amp;TEXT(I53,"YYYY-mm-dd")&amp;""",""description"":"""&amp;AJ53&amp;""",""custom_fields"":[{""id"":1,""name"":""Subdivision"",""value"":"""&amp;AG53&amp;"""},{""id"":4,""name"":""Milepost"",""value"":"""&amp;Z53&amp;"""},{""id"":17,""name"":""Train ID"",""value"":"""&amp;A53&amp;"""},{""id"":16,""name"":""Locomotive ID"",""value"":"""&amp;B53&amp;"""},{""id"":130,""name"":""Impact"",""value"":"""&amp;AK53&amp;"""},{""id"":150,""name"":""Time of Event (Mountain Time)"",""value"":"""&amp;TEXT(I53,"hh:mm:ss")&amp;"""},{""id"":151,""name"":""Denver Issue ID"",""value"":"""&amp;"""},{""id"":178,""name"":""Operational Impact"",""value"":"""&amp;redmine_op_impact&amp;"""},{""id"":179,""name"":""Denver Segment Assigned"",""value"":"""&amp;AL53&amp;"""}]}}"&amp;"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ID","value":"141-03"},{"id":16,"name":"Locomotive ID","value":"4004"},{"id":130,"name":"Impact","value":""},{"id":150,"name":"Time of Event (Mountain Time)","value":"09:20:40"},{"id":151,"name":"Denver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>"start /low /b "&amp;dls3logs&amp;" --loco "&amp;B53&amp;" --day "&amp;TEXT(F53,"YYYY-MM-DD")</f>
        <v>start /low /b %USERPROFILE%\Documents\GitHub\eaglep3\Utilities\DownloadLogsFromS3.py --loco 4004 --day 2017-04-03</v>
      </c>
      <c r="AN53" s="159" t="str">
        <f>"echo {""issue"":{""subject"":"""&amp;R53&amp;""",""project_id"":30,""tracker_id"":4,""status_id"":"&amp;redmine_status_wcr&amp;",""priority_id"":"&amp;redmine_priority_wcr&amp;",""assigned_to_id"":"&amp;redmine_assignee_wcr&amp;",""start_date"":"""&amp;TEXT(I53-utc_offset/24,"YYYY-mm-dd")&amp;""",""description"":"""&amp;AJ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684</v>
      </c>
      <c r="B54" s="7">
        <v>4003</v>
      </c>
      <c r="C54" s="21" t="s">
        <v>217</v>
      </c>
      <c r="D54" s="21" t="s">
        <v>439</v>
      </c>
      <c r="E54" s="13">
        <v>42828.390625</v>
      </c>
      <c r="F54" s="13">
        <v>42828.403645833336</v>
      </c>
      <c r="G54" s="7">
        <v>1</v>
      </c>
      <c r="H54" s="21" t="s">
        <v>846</v>
      </c>
      <c r="I54" s="13">
        <v>42828.433391203704</v>
      </c>
      <c r="J54" s="7">
        <v>0</v>
      </c>
      <c r="K54" s="97" t="str">
        <f>IF(ISEVEN(B54),(B54-1)&amp;"/"&amp;B54,B54&amp;"/"&amp;(B54+1))</f>
        <v>4003/4004</v>
      </c>
      <c r="L54" s="21" t="str">
        <f>VLOOKUP(A54,'Trips&amp;Operators'!$C$1:$G$99999,5,FALSE)</f>
        <v>SANTIZO D. EDY</v>
      </c>
      <c r="M54" s="6">
        <f>I54-F54</f>
        <v>2.9745370367891155E-2</v>
      </c>
      <c r="N54" s="7">
        <f>24*60*SUM($M54:$M54)</f>
        <v>42.833333329763263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-04-03T08:22:30-0600',mode:absolute,to:'2017-04-03T11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4" s="183" t="str">
        <f>IF(AA54&lt;IF(AG54="EC",23,5.65),"Y","N")</f>
        <v>N</v>
      </c>
      <c r="X54" s="183">
        <f>VALUE(LEFT(AD54,4))-VALUE(LEFT(AD53,4))</f>
        <v>1</v>
      </c>
      <c r="Y54" s="62">
        <f>RIGHT(D54,LEN(D54)-4)/10000</f>
        <v>23.298400000000001</v>
      </c>
      <c r="Z54" s="62">
        <f>RIGHT(H54,LEN(H54)-4)/10000</f>
        <v>1.1900000000000001E-2</v>
      </c>
      <c r="AA54" s="62">
        <f>ABS(Z54-Y54)</f>
        <v>23.2865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>IF(LEN(A54)=6,"0"&amp;A54,A54)</f>
        <v>0142-03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54" s="82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/stypes="app*4003*20170403*" /stext=" 16:.+((SYSTEM_STATE.+slice.+state.+changed )|(ment ac)|(multiple cpu faults)|(system.+state.+changed )|(\[timeout)|(PRM\|1\|D)|(kpr)|(kdp)|(\|lc)|(penalty))"</v>
      </c>
      <c r="AG54" s="1" t="str">
        <f>IFERROR(IF(VALUE(LEFT(AD54,2))&lt;=2,"EC",IF(OR(VALUE(LEFT(AD54,2))=8,VALUE(LEFT(AD54,2))=18),"NW","Other")),"Other")</f>
        <v>EC</v>
      </c>
      <c r="AH54" s="86" t="str">
        <f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142-03 --locoid 4003 --swversion DE.1.0.9.0 --startMP 204:232984 --initTime 2017-04-03T09:22:30 --startdatetime 2017-04-03T09:41:15 --delay 1 --endMP 204:119 --enddatetime 2017-04-03T10:24:05 --enforcementcount 0 &gt;&gt;C:\Users\stu\Documents\GitHub\eaglep3-reporting\EC\2017-04-03-refined-times.txt</v>
      </c>
      <c r="AI54" s="104" t="str">
        <f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{"issue":{"subject":"","project_id":79,"tracker_id":40,"status_id":1,"priority_id":2,"assigned_to_id":23,"start_date":"2017-04-03","description":"","custom_fields":[{"id":1,"name":"Subdivision","value":"EC"},{"id":4,"name":"Milepost","value":"0.0119"},{"id":17,"name":"Train ID","value":"142-03"},{"id":16,"name":"Locomotive ID","value":"4003"},{"id":130,"name":"Impact","value":""},{"id":150,"name":"Time of Event (Mountain Time)","value":"10:24:05"},{"id":151,"name":"Denver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>"start /low /b "&amp;dls3logs&amp;" --loco "&amp;B54&amp;" --day "&amp;TEXT(F54,"YYYY-MM-DD")</f>
        <v>start /low /b %USERPROFILE%\Documents\GitHub\eaglep3\Utilities\DownloadLogsFromS3.py --loco 4003 --day 2017-04-03</v>
      </c>
      <c r="AN54" s="159" t="str">
        <f>"echo {""issue"":{""subject"":"""&amp;R54&amp;""",""project_id"":30,""tracker_id"":4,""status_id"":"&amp;redmine_status_wcr&amp;",""priority_id"":"&amp;redmine_priority_wcr&amp;",""assigned_to_id"":"&amp;redmine_assignee_wcr&amp;",""start_date"":"""&amp;TEXT(I54-utc_offset/24,"YYYY-mm-dd")&amp;""",""description"":"""&amp;AJ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681</v>
      </c>
      <c r="B55" s="7">
        <v>4030</v>
      </c>
      <c r="C55" s="21" t="s">
        <v>217</v>
      </c>
      <c r="D55" s="21" t="s">
        <v>218</v>
      </c>
      <c r="E55" s="13">
        <v>42828.370729166665</v>
      </c>
      <c r="F55" s="13">
        <v>42828.375138888892</v>
      </c>
      <c r="G55" s="7">
        <v>1</v>
      </c>
      <c r="H55" s="21" t="s">
        <v>462</v>
      </c>
      <c r="I55" s="13">
        <v>42828.403055555558</v>
      </c>
      <c r="J55" s="7">
        <v>0</v>
      </c>
      <c r="K55" s="97" t="str">
        <f>IF(ISEVEN(B55),(B55-1)&amp;"/"&amp;B55,B55&amp;"/"&amp;(B55+1))</f>
        <v>4029/4030</v>
      </c>
      <c r="L55" s="21" t="str">
        <f>VLOOKUP(A55,'Trips&amp;Operators'!$C$1:$G$99999,5,FALSE)</f>
        <v>ROBINSON KADDIBA</v>
      </c>
      <c r="M55" s="6">
        <f>I55-F55</f>
        <v>2.7916666665987577E-2</v>
      </c>
      <c r="N55" s="7">
        <f>24*60*SUM($M55:$M55)</f>
        <v>40.199999999022111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-04-03T07:53:51-0600',mode:absolute,to:'2017-04-03T10:40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5" s="183" t="str">
        <f>IF(AA55&lt;IF(AG55="EC",23,5.65),"Y","N")</f>
        <v>N</v>
      </c>
      <c r="X55" s="183">
        <f>VALUE(LEFT(AD55,4))-VALUE(LEFT(AD54,4))</f>
        <v>1</v>
      </c>
      <c r="Y55" s="62">
        <f>RIGHT(D55,LEN(D55)-4)/10000</f>
        <v>4.6699999999999998E-2</v>
      </c>
      <c r="Z55" s="62">
        <f>RIGHT(H55,LEN(H55)-4)/10000</f>
        <v>23.330400000000001</v>
      </c>
      <c r="AA55" s="62">
        <f>ABS(Z55-Y55)</f>
        <v>23.2837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>IF(LEN(A55)=6,"0"&amp;A55,A55)</f>
        <v>0143-03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55" s="82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/stypes="app*4030*20170403*" /stext=" 15:.+((SYSTEM_STATE.+slice.+state.+changed )|(ment ac)|(multiple cpu faults)|(system.+state.+changed )|(\[timeout)|(PRM\|1\|D)|(kpr)|(kdp)|(\|lc)|(penalty))"</v>
      </c>
      <c r="AG55" s="1" t="str">
        <f>IFERROR(IF(VALUE(LEFT(AD55,2))&lt;=2,"EC",IF(OR(VALUE(LEFT(AD55,2))=8,VALUE(LEFT(AD55,2))=18),"NW","Other")),"Other")</f>
        <v>EC</v>
      </c>
      <c r="AH55" s="86" t="str">
        <f>refinertdcruntimes&amp;" --tripid "&amp;A55&amp;" --locoid "&amp;B55&amp;" --swversion "&amp;C55&amp;" --startMP "&amp;D55&amp;" --initTime "&amp;TEXT(E55,"yyyy-mm-ddTHH:MM:SS")&amp;" --startdatetime "&amp;TEXT(F55,"yyyy-mm-ddTHH:MM:SS")&amp;" --delay "&amp;G55&amp;" --endMP "&amp;H55&amp;" --enddatetime "&amp;TEXT(I55,"yyyy-mm-ddTHH:MM:SS")&amp;" --enforcementcount "&amp;J55&amp;IF(outputrefinedruntimes," &gt;&gt;"&amp;RefinedRTDCRunTimesOutputFile,"")</f>
        <v>"%USERPROFILE%\Documents\GitHub\eaglep3\Utilities\RefineRTDCRunTimes.py" --tripid 143-03 --locoid 4030 --swversion DE.1.0.9.0 --startMP 204:467 --initTime 2017-04-03T08:53:51 --startdatetime 2017-04-03T09:00:12 --delay 1 --endMP 204:233304 --enddatetime 2017-04-03T09:40:24 --enforcementcount 0 &gt;&gt;C:\Users\stu\Documents\GitHub\eaglep3-reporting\EC\2017-04-03-refined-times.txt</v>
      </c>
      <c r="AI55" s="104" t="str">
        <f>"echo {""issue"":{""subject"":"""&amp;R55&amp;""",""project_id"":79,""tracker_id"":40,""status_id"":"&amp;redmine_status&amp;",""priority_id"":"&amp;redmine_priority&amp;",""assigned_to_id"":"&amp;redmine_assignee&amp;",""start_date"":"""&amp;TEXT(I55,"YYYY-mm-dd")&amp;""",""description"":"""&amp;AJ55&amp;""",""custom_fields"":[{""id"":1,""name"":""Subdivision"",""value"":"""&amp;AG55&amp;"""},{""id"":4,""name"":""Milepost"",""value"":"""&amp;Z55&amp;"""},{""id"":17,""name"":""Train ID"",""value"":"""&amp;A55&amp;"""},{""id"":16,""name"":""Locomotive ID"",""value"":"""&amp;B55&amp;"""},{""id"":130,""name"":""Impact"",""value"":"""&amp;AK55&amp;"""},{""id"":150,""name"":""Time of Event (Mountain Time)"",""value"":"""&amp;TEXT(I55,"hh:mm:ss")&amp;"""},{""id"":151,""name"":""Denver Issue ID"",""value"":"""&amp;"""},{""id"":178,""name"":""Operational Impact"",""value"":"""&amp;redmine_op_impact&amp;"""},{""id"":179,""name"":""Denver Segment Assigned"",""value"":"""&amp;AL55&amp;"""}]}}"&amp;"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ID","value":"143-03"},{"id":16,"name":"Locomotive ID","value":"4030"},{"id":130,"name":"Impact","value":""},{"id":150,"name":"Time of Event (Mountain Time)","value":"09:40:24"},{"id":151,"name":"Denver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>"start /low /b "&amp;dls3logs&amp;" --loco "&amp;B55&amp;" --day "&amp;TEXT(F55,"YYYY-MM-DD")</f>
        <v>start /low /b %USERPROFILE%\Documents\GitHub\eaglep3\Utilities\DownloadLogsFromS3.py --loco 4030 --day 2017-04-03</v>
      </c>
      <c r="AN55" s="159" t="str">
        <f>"echo {""issue"":{""subject"":"""&amp;R55&amp;""",""project_id"":30,""tracker_id"":4,""status_id"":"&amp;redmine_status_wcr&amp;",""priority_id"":"&amp;redmine_priority_wcr&amp;",""assigned_to_id"":"&amp;redmine_assignee_wcr&amp;",""start_date"":"""&amp;TEXT(I55-utc_offset/24,"YYYY-mm-dd")&amp;""",""description"":"""&amp;AJ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15:40:24"},{"id":29,"name":"Sharepoint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687</v>
      </c>
      <c r="B56" s="7">
        <v>4029</v>
      </c>
      <c r="C56" s="21" t="s">
        <v>217</v>
      </c>
      <c r="D56" s="21" t="s">
        <v>420</v>
      </c>
      <c r="E56" s="13">
        <v>42828.410486111112</v>
      </c>
      <c r="F56" s="13">
        <v>42828.414074074077</v>
      </c>
      <c r="G56" s="7">
        <v>1</v>
      </c>
      <c r="H56" s="21" t="s">
        <v>191</v>
      </c>
      <c r="I56" s="13">
        <v>42828.443506944444</v>
      </c>
      <c r="J56" s="7">
        <v>0</v>
      </c>
      <c r="K56" s="97" t="str">
        <f>IF(ISEVEN(B56),(B56-1)&amp;"/"&amp;B56,B56&amp;"/"&amp;(B56+1))</f>
        <v>4029/4030</v>
      </c>
      <c r="L56" s="21" t="str">
        <f>VLOOKUP(A56,'Trips&amp;Operators'!$C$1:$G$99999,5,FALSE)</f>
        <v>ROBINSON KADDIBA</v>
      </c>
      <c r="M56" s="6">
        <f>I56-F56</f>
        <v>2.9432870367600117E-2</v>
      </c>
      <c r="N56" s="7">
        <f>24*60*SUM($M56:$M56)</f>
        <v>42.383333329344168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-04-03T08:51:06-0600',mode:absolute,to:'2017-04-03T11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6" s="183" t="str">
        <f>IF(AA56&lt;IF(AG56="EC",23,5.65),"Y","N")</f>
        <v>N</v>
      </c>
      <c r="X56" s="183">
        <f>VALUE(LEFT(AD56,4))-VALUE(LEFT(AD55,4))</f>
        <v>1</v>
      </c>
      <c r="Y56" s="62">
        <f>RIGHT(D56,LEN(D56)-4)/10000</f>
        <v>23.298100000000002</v>
      </c>
      <c r="Z56" s="62">
        <f>RIGHT(H56,LEN(H56)-4)/10000</f>
        <v>1.4999999999999999E-2</v>
      </c>
      <c r="AA56" s="62">
        <f>ABS(Z56-Y56)</f>
        <v>23.283100000000001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>IF(LEN(A56)=6,"0"&amp;A56,A56)</f>
        <v>0144-03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56" s="82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/stypes="app*4029*20170403*" /stext=" 16:.+((SYSTEM_STATE.+slice.+state.+changed )|(ment ac)|(multiple cpu faults)|(system.+state.+changed )|(\[timeout)|(PRM\|1\|D)|(kpr)|(kdp)|(\|lc)|(penalty))"</v>
      </c>
      <c r="AG56" s="1" t="str">
        <f>IFERROR(IF(VALUE(LEFT(AD56,2))&lt;=2,"EC",IF(OR(VALUE(LEFT(AD56,2))=8,VALUE(LEFT(AD56,2))=18),"NW","Other")),"Other")</f>
        <v>EC</v>
      </c>
      <c r="AH56" s="86" t="str">
        <f>refinertdcruntimes&amp;" --tripid "&amp;A56&amp;" --locoid "&amp;B56&amp;" --swversion "&amp;C56&amp;" --startMP "&amp;D56&amp;" --initTime "&amp;TEXT(E56,"yyyy-mm-ddTHH:MM:SS")&amp;" --startdatetime "&amp;TEXT(F56,"yyyy-mm-ddTHH:MM:SS")&amp;" --delay "&amp;G56&amp;" --endMP "&amp;H56&amp;" --enddatetime "&amp;TEXT(I56,"yyyy-mm-ddTHH:MM:SS")&amp;" --enforcementcount "&amp;J56&amp;IF(outputrefinedruntimes," &gt;&gt;"&amp;RefinedRTDCRunTimesOutputFile,"")</f>
        <v>"%USERPROFILE%\Documents\GitHub\eaglep3\Utilities\RefineRTDCRunTimes.py" --tripid 144-03 --locoid 4029 --swversion DE.1.0.9.0 --startMP 204:232981 --initTime 2017-04-03T09:51:06 --startdatetime 2017-04-03T09:56:16 --delay 1 --endMP 204:150 --enddatetime 2017-04-03T10:38:39 --enforcementcount 0 &gt;&gt;C:\Users\stu\Documents\GitHub\eaglep3-reporting\EC\2017-04-03-refined-times.txt</v>
      </c>
      <c r="AI56" s="104" t="str">
        <f>"echo {""issue"":{""subject"":"""&amp;R56&amp;""",""project_id"":79,""tracker_id"":40,""status_id"":"&amp;redmine_status&amp;",""priority_id"":"&amp;redmine_priority&amp;",""assigned_to_id"":"&amp;redmine_assignee&amp;",""start_date"":"""&amp;TEXT(I56,"YYYY-mm-dd")&amp;""",""description"":"""&amp;AJ56&amp;""",""custom_fields"":[{""id"":1,""name"":""Subdivision"",""value"":"""&amp;AG56&amp;"""},{""id"":4,""name"":""Milepost"",""value"":"""&amp;Z56&amp;"""},{""id"":17,""name"":""Train ID"",""value"":"""&amp;A56&amp;"""},{""id"":16,""name"":""Locomotive ID"",""value"":"""&amp;B56&amp;"""},{""id"":130,""name"":""Impact"",""value"":"""&amp;AK56&amp;"""},{""id"":150,""name"":""Time of Event (Mountain Time)"",""value"":"""&amp;TEXT(I56,"hh:mm:ss")&amp;"""},{""id"":151,""name"":""Denver Issue ID"",""value"":"""&amp;"""},{""id"":178,""name"":""Operational Impact"",""value"":"""&amp;redmine_op_impact&amp;"""},{""id"":179,""name"":""Denver Segment Assigned"",""value"":"""&amp;AL56&amp;"""}]}}"&amp;"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ID","value":"144-03"},{"id":16,"name":"Locomotive ID","value":"4029"},{"id":130,"name":"Impact","value":""},{"id":150,"name":"Time of Event (Mountain Time)","value":"10:38:39"},{"id":151,"name":"Denver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>"start /low /b "&amp;dls3logs&amp;" --loco "&amp;B56&amp;" --day "&amp;TEXT(F56,"YYYY-MM-DD")</f>
        <v>start /low /b %USERPROFILE%\Documents\GitHub\eaglep3\Utilities\DownloadLogsFromS3.py --loco 4029 --day 2017-04-03</v>
      </c>
      <c r="AN56" s="159" t="str">
        <f>"echo {""issue"":{""subject"":"""&amp;R56&amp;""",""project_id"":30,""tracker_id"":4,""status_id"":"&amp;redmine_status_wcr&amp;",""priority_id"":"&amp;redmine_priority_wcr&amp;",""assigned_to_id"":"&amp;redmine_assignee_wcr&amp;",""start_date"":"""&amp;TEXT(I56-utc_offset/24,"YYYY-mm-dd")&amp;""",""description"":"""&amp;AJ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683</v>
      </c>
      <c r="B57" s="7">
        <v>4044</v>
      </c>
      <c r="C57" s="21" t="s">
        <v>217</v>
      </c>
      <c r="D57" s="21" t="s">
        <v>546</v>
      </c>
      <c r="E57" s="13">
        <v>42828.382060185184</v>
      </c>
      <c r="F57" s="13">
        <v>42828.385671296295</v>
      </c>
      <c r="G57" s="7">
        <v>1</v>
      </c>
      <c r="H57" s="21" t="s">
        <v>446</v>
      </c>
      <c r="I57" s="13">
        <v>42828.412141203706</v>
      </c>
      <c r="J57" s="7">
        <v>0</v>
      </c>
      <c r="K57" s="97" t="str">
        <f>IF(ISEVEN(B57),(B57-1)&amp;"/"&amp;B57,B57&amp;"/"&amp;(B57+1))</f>
        <v>4043/4044</v>
      </c>
      <c r="L57" s="21" t="str">
        <f>VLOOKUP(A57,'Trips&amp;Operators'!$C$1:$G$99999,5,FALSE)</f>
        <v>MAELZER KURT</v>
      </c>
      <c r="M57" s="6">
        <f>I57-F57</f>
        <v>2.6469907410501037E-2</v>
      </c>
      <c r="N57" s="7">
        <f>24*60*SUM($M57:$M57)</f>
        <v>38.116666671121493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-04-03T08:10:10-0600',mode:absolute,to:'2017-04-03T10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7" s="183" t="str">
        <f>IF(AA57&lt;IF(AG57="EC",23,5.65),"Y","N")</f>
        <v>N</v>
      </c>
      <c r="X57" s="183">
        <f>VALUE(LEFT(AD57,4))-VALUE(LEFT(AD56,4))</f>
        <v>1</v>
      </c>
      <c r="Y57" s="62">
        <f>RIGHT(D57,LEN(D57)-4)/10000</f>
        <v>4.58E-2</v>
      </c>
      <c r="Z57" s="62">
        <f>RIGHT(H57,LEN(H57)-4)/10000</f>
        <v>23.329899999999999</v>
      </c>
      <c r="AA57" s="62">
        <f>ABS(Z57-Y57)</f>
        <v>23.284099999999999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>IF(LEN(A57)=6,"0"&amp;A57,A57)</f>
        <v>0145-03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57" s="82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/stypes="app*4044*20170403*" /stext=" 15:.+((SYSTEM_STATE.+slice.+state.+changed )|(ment ac)|(multiple cpu faults)|(system.+state.+changed )|(\[timeout)|(PRM\|1\|D)|(kpr)|(kdp)|(\|lc)|(penalty))"</v>
      </c>
      <c r="AG57" s="1" t="str">
        <f>IFERROR(IF(VALUE(LEFT(AD57,2))&lt;=2,"EC",IF(OR(VALUE(LEFT(AD57,2))=8,VALUE(LEFT(AD57,2))=18),"NW","Other")),"Other")</f>
        <v>EC</v>
      </c>
      <c r="AH57" s="86" t="str">
        <f>refinertdcruntimes&amp;" --tripid "&amp;A57&amp;" --locoid "&amp;B57&amp;" --swversion "&amp;C57&amp;" --startMP "&amp;D57&amp;" --initTime "&amp;TEXT(E57,"yyyy-mm-ddTHH:MM:SS")&amp;" --startdatetime "&amp;TEXT(F57,"yyyy-mm-ddTHH:MM:SS")&amp;" --delay "&amp;G57&amp;" --endMP "&amp;H57&amp;" --enddatetime "&amp;TEXT(I57,"yyyy-mm-ddTHH:MM:SS")&amp;" --enforcementcount "&amp;J57&amp;IF(outputrefinedruntimes," &gt;&gt;"&amp;RefinedRTDCRunTimesOutputFile,"")</f>
        <v>"%USERPROFILE%\Documents\GitHub\eaglep3\Utilities\RefineRTDCRunTimes.py" --tripid 145-03 --locoid 4044 --swversion DE.1.0.9.0 --startMP 204:458 --initTime 2017-04-03T09:10:10 --startdatetime 2017-04-03T09:15:22 --delay 1 --endMP 204:233299 --enddatetime 2017-04-03T09:53:29 --enforcementcount 0 &gt;&gt;C:\Users\stu\Documents\GitHub\eaglep3-reporting\EC\2017-04-03-refined-times.txt</v>
      </c>
      <c r="AI57" s="104" t="str">
        <f>"echo {""issue"":{""subject"":"""&amp;R57&amp;""",""project_id"":79,""tracker_id"":40,""status_id"":"&amp;redmine_status&amp;",""priority_id"":"&amp;redmine_priority&amp;",""assigned_to_id"":"&amp;redmine_assignee&amp;",""start_date"":"""&amp;TEXT(I57,"YYYY-mm-dd")&amp;""",""description"":"""&amp;AJ57&amp;""",""custom_fields"":[{""id"":1,""name"":""Subdivision"",""value"":"""&amp;AG57&amp;"""},{""id"":4,""name"":""Milepost"",""value"":"""&amp;Z57&amp;"""},{""id"":17,""name"":""Train ID"",""value"":"""&amp;A57&amp;"""},{""id"":16,""name"":""Locomotive ID"",""value"":"""&amp;B57&amp;"""},{""id"":130,""name"":""Impact"",""value"":"""&amp;AK57&amp;"""},{""id"":150,""name"":""Time of Event (Mountain Time)"",""value"":"""&amp;TEXT(I57,"hh:mm:ss")&amp;"""},{""id"":151,""name"":""Denver Issue ID"",""value"":"""&amp;"""},{""id"":178,""name"":""Operational Impact"",""value"":"""&amp;redmine_op_impact&amp;"""},{""id"":179,""name"":""Denver Segment Assigned"",""value"":"""&amp;AL57&amp;"""}]}}"&amp;"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{"issue":{"subject":"","project_id":79,"tracker_id":40,"status_id":1,"priority_id":2,"assigned_to_id":23,"start_date":"2017-04-03","description":"","custom_fields":[{"id":1,"name":"Subdivision","value":"EC"},{"id":4,"name":"Milepost","value":"23.3299"},{"id":17,"name":"Train ID","value":"145-03"},{"id":16,"name":"Locomotive ID","value":"4044"},{"id":130,"name":"Impact","value":""},{"id":150,"name":"Time of Event (Mountain Time)","value":"09:53:29"},{"id":151,"name":"Denver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>"start /low /b "&amp;dls3logs&amp;" --loco "&amp;B57&amp;" --day "&amp;TEXT(F57,"YYYY-MM-DD")</f>
        <v>start /low /b %USERPROFILE%\Documents\GitHub\eaglep3\Utilities\DownloadLogsFromS3.py --loco 4044 --day 2017-04-03</v>
      </c>
      <c r="AN57" s="159" t="str">
        <f>"echo {""issue"":{""subject"":"""&amp;R57&amp;""",""project_id"":30,""tracker_id"":4,""status_id"":"&amp;redmine_status_wcr&amp;",""priority_id"":"&amp;redmine_priority_wcr&amp;",""assigned_to_id"":"&amp;redmine_assignee_wcr&amp;",""start_date"":"""&amp;TEXT(I57-utc_offset/24,"YYYY-mm-dd")&amp;""",""description"":"""&amp;AJ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689</v>
      </c>
      <c r="B58" s="7">
        <v>4043</v>
      </c>
      <c r="C58" s="21" t="s">
        <v>217</v>
      </c>
      <c r="D58" s="21" t="s">
        <v>847</v>
      </c>
      <c r="E58" s="13">
        <v>42828.416493055556</v>
      </c>
      <c r="F58" s="13">
        <v>42828.424756944441</v>
      </c>
      <c r="G58" s="7">
        <v>1</v>
      </c>
      <c r="H58" s="21" t="s">
        <v>453</v>
      </c>
      <c r="I58" s="13">
        <v>42828.454108796293</v>
      </c>
      <c r="J58" s="7">
        <v>0</v>
      </c>
      <c r="K58" s="97" t="str">
        <f>IF(ISEVEN(B58),(B58-1)&amp;"/"&amp;B58,B58&amp;"/"&amp;(B58+1))</f>
        <v>4043/4044</v>
      </c>
      <c r="L58" s="21" t="str">
        <f>VLOOKUP(A58,'Trips&amp;Operators'!$C$1:$G$99999,5,FALSE)</f>
        <v>MAELZER KURT</v>
      </c>
      <c r="M58" s="6">
        <f>I58-F58</f>
        <v>2.9351851851970423E-2</v>
      </c>
      <c r="N58" s="7">
        <f>24*60*SUM($M58:$M58)</f>
        <v>42.266666666837409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-04-03T08:59:45-0600',mode:absolute,to:'2017-04-03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8" s="183" t="str">
        <f>IF(AA58&lt;IF(AG58="EC",23,5.65),"Y","N")</f>
        <v>N</v>
      </c>
      <c r="X58" s="183">
        <f>VALUE(LEFT(AD58,4))-VALUE(LEFT(AD57,4))</f>
        <v>1</v>
      </c>
      <c r="Y58" s="62">
        <f>RIGHT(D58,LEN(D58)-4)/10000</f>
        <v>23.297999999999998</v>
      </c>
      <c r="Z58" s="62">
        <f>RIGHT(H58,LEN(H58)-4)/10000</f>
        <v>1.34E-2</v>
      </c>
      <c r="AA58" s="62">
        <f>ABS(Z58-Y58)</f>
        <v>23.284599999999998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>IF(LEN(A58)=6,"0"&amp;A58,A58)</f>
        <v>0146-03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58" s="82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/stypes="app*4043*20170403*" /stext=" 16:.+((SYSTEM_STATE.+slice.+state.+changed )|(ment ac)|(multiple cpu faults)|(system.+state.+changed )|(\[timeout)|(PRM\|1\|D)|(kpr)|(kdp)|(\|lc)|(penalty))"</v>
      </c>
      <c r="AG58" s="1" t="str">
        <f>IFERROR(IF(VALUE(LEFT(AD58,2))&lt;=2,"EC",IF(OR(VALUE(LEFT(AD58,2))=8,VALUE(LEFT(AD58,2))=18),"NW","Other")),"Other")</f>
        <v>EC</v>
      </c>
      <c r="AH58" s="86" t="str">
        <f>refinertdcruntimes&amp;" --tripid "&amp;A58&amp;" --locoid "&amp;B58&amp;" --swversion "&amp;C58&amp;" --startMP "&amp;D58&amp;" --initTime "&amp;TEXT(E58,"yyyy-mm-ddTHH:MM:SS")&amp;" --startdatetime "&amp;TEXT(F58,"yyyy-mm-ddTHH:MM:SS")&amp;" --delay "&amp;G58&amp;" --endMP "&amp;H58&amp;" --enddatetime "&amp;TEXT(I58,"yyyy-mm-ddTHH:MM:SS")&amp;" --enforcementcount "&amp;J58&amp;IF(outputrefinedruntimes," &gt;&gt;"&amp;RefinedRTDCRunTimesOutputFile,"")</f>
        <v>"%USERPROFILE%\Documents\GitHub\eaglep3\Utilities\RefineRTDCRunTimes.py" --tripid 146-03 --locoid 4043 --swversion DE.1.0.9.0 --startMP 204:232980 --initTime 2017-04-03T09:59:45 --startdatetime 2017-04-03T10:11:39 --delay 1 --endMP 204:134 --enddatetime 2017-04-03T10:53:55 --enforcementcount 0 &gt;&gt;C:\Users\stu\Documents\GitHub\eaglep3-reporting\EC\2017-04-03-refined-times.txt</v>
      </c>
      <c r="AI58" s="104" t="str">
        <f>"echo {""issue"":{""subject"":"""&amp;R58&amp;""",""project_id"":79,""tracker_id"":40,""status_id"":"&amp;redmine_status&amp;",""priority_id"":"&amp;redmine_priority&amp;",""assigned_to_id"":"&amp;redmine_assignee&amp;",""start_date"":"""&amp;TEXT(I58,"YYYY-mm-dd")&amp;""",""description"":"""&amp;AJ58&amp;""",""custom_fields"":[{""id"":1,""name"":""Subdivision"",""value"":"""&amp;AG58&amp;"""},{""id"":4,""name"":""Milepost"",""value"":"""&amp;Z58&amp;"""},{""id"":17,""name"":""Train ID"",""value"":"""&amp;A58&amp;"""},{""id"":16,""name"":""Locomotive ID"",""value"":"""&amp;B58&amp;"""},{""id"":130,""name"":""Impact"",""value"":"""&amp;AK58&amp;"""},{""id"":150,""name"":""Time of Event (Mountain Time)"",""value"":"""&amp;TEXT(I58,"hh:mm:ss")&amp;"""},{""id"":151,""name"":""Denver Issue ID"",""value"":"""&amp;"""},{""id"":178,""name"":""Operational Impact"",""value"":"""&amp;redmine_op_impact&amp;"""},{""id"":179,""name"":""Denver Segment Assigned"",""value"":"""&amp;AL58&amp;"""}]}}"&amp;"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{"issue":{"subject":"","project_id":79,"tracker_id":40,"status_id":1,"priority_id":2,"assigned_to_id":23,"start_date":"2017-04-03","description":"","custom_fields":[{"id":1,"name":"Subdivision","value":"EC"},{"id":4,"name":"Milepost","value":"0.0134"},{"id":17,"name":"Train ID","value":"146-03"},{"id":16,"name":"Locomotive ID","value":"4043"},{"id":130,"name":"Impact","value":""},{"id":150,"name":"Time of Event (Mountain Time)","value":"10:53:55"},{"id":151,"name":"Denver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>"start /low /b "&amp;dls3logs&amp;" --loco "&amp;B58&amp;" --day "&amp;TEXT(F58,"YYYY-MM-DD")</f>
        <v>start /low /b %USERPROFILE%\Documents\GitHub\eaglep3\Utilities\DownloadLogsFromS3.py --loco 4043 --day 2017-04-03</v>
      </c>
      <c r="AN58" s="159" t="str">
        <f>"echo {""issue"":{""subject"":"""&amp;R58&amp;""",""project_id"":30,""tracker_id"":4,""status_id"":"&amp;redmine_status_wcr&amp;",""priority_id"":"&amp;redmine_priority_wcr&amp;",""assigned_to_id"":"&amp;redmine_assignee_wcr&amp;",""start_date"":"""&amp;TEXT(I58-utc_offset/24,"YYYY-mm-dd")&amp;""",""description"":"""&amp;AJ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588</v>
      </c>
      <c r="B59" s="7">
        <v>4028</v>
      </c>
      <c r="C59" s="21" t="s">
        <v>217</v>
      </c>
      <c r="D59" s="21" t="s">
        <v>430</v>
      </c>
      <c r="E59" s="13">
        <v>42828.392013888886</v>
      </c>
      <c r="F59" s="13">
        <v>42828.395995370367</v>
      </c>
      <c r="G59" s="7">
        <v>1</v>
      </c>
      <c r="H59" s="21" t="s">
        <v>848</v>
      </c>
      <c r="I59" s="13">
        <v>42828.423067129632</v>
      </c>
      <c r="J59" s="7">
        <v>0</v>
      </c>
      <c r="K59" s="97" t="str">
        <f>IF(ISEVEN(B59),(B59-1)&amp;"/"&amp;B59,B59&amp;"/"&amp;(B59+1))</f>
        <v>4027/4028</v>
      </c>
      <c r="L59" s="21" t="str">
        <f>VLOOKUP(A59,'Trips&amp;Operators'!$C$1:$G$99999,5,FALSE)</f>
        <v>STARKS ANGELINA</v>
      </c>
      <c r="M59" s="6">
        <f>I59-F59</f>
        <v>2.7071759264799766E-2</v>
      </c>
      <c r="N59" s="7">
        <f>24*60*SUM($M59:$M59)</f>
        <v>38.983333341311663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-04-03T08:24:30-0600',mode:absolute,to:'2017-04-03T11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9" s="183" t="str">
        <f>IF(AA59&lt;IF(AG59="EC",23,5.65),"Y","N")</f>
        <v>N</v>
      </c>
      <c r="X59" s="183">
        <f>VALUE(LEFT(AD59,4))-VALUE(LEFT(AD58,4))</f>
        <v>1</v>
      </c>
      <c r="Y59" s="62">
        <f>RIGHT(D59,LEN(D59)-4)/10000</f>
        <v>4.6399999999999997E-2</v>
      </c>
      <c r="Z59" s="62">
        <f>RIGHT(H59,LEN(H59)-4)/10000</f>
        <v>23.331900000000001</v>
      </c>
      <c r="AA59" s="62">
        <f>ABS(Z59-Y59)</f>
        <v>23.285500000000003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>IF(LEN(A59)=6,"0"&amp;A59,A59)</f>
        <v>0147-03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59" s="82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/stypes="app*4028*20170403*" /stext=" 16:.+((SYSTEM_STATE.+slice.+state.+changed )|(ment ac)|(multiple cpu faults)|(system.+state.+changed )|(\[timeout)|(PRM\|1\|D)|(kpr)|(kdp)|(\|lc)|(penalty))"</v>
      </c>
      <c r="AG59" s="1" t="str">
        <f>IFERROR(IF(VALUE(LEFT(AD59,2))&lt;=2,"EC",IF(OR(VALUE(LEFT(AD59,2))=8,VALUE(LEFT(AD59,2))=18),"NW","Other")),"Other")</f>
        <v>EC</v>
      </c>
      <c r="AH59" s="86" t="str">
        <f>refinertdcruntimes&amp;" --tripid "&amp;A59&amp;" --locoid "&amp;B59&amp;" --swversion "&amp;C59&amp;" --startMP "&amp;D59&amp;" --initTime "&amp;TEXT(E59,"yyyy-mm-ddTHH:MM:SS")&amp;" --startdatetime "&amp;TEXT(F59,"yyyy-mm-ddTHH:MM:SS")&amp;" --delay "&amp;G59&amp;" --endMP "&amp;H59&amp;" --enddatetime "&amp;TEXT(I59,"yyyy-mm-ddTHH:MM:SS")&amp;" --enforcementcount "&amp;J59&amp;IF(outputrefinedruntimes," &gt;&gt;"&amp;RefinedRTDCRunTimesOutputFile,"")</f>
        <v>"%USERPROFILE%\Documents\GitHub\eaglep3\Utilities\RefineRTDCRunTimes.py" --tripid 147-03 --locoid 4028 --swversion DE.1.0.9.0 --startMP 204:464 --initTime 2017-04-03T09:24:30 --startdatetime 2017-04-03T09:30:14 --delay 1 --endMP 204:233319 --enddatetime 2017-04-03T10:09:13 --enforcementcount 0 &gt;&gt;C:\Users\stu\Documents\GitHub\eaglep3-reporting\EC\2017-04-03-refined-times.txt</v>
      </c>
      <c r="AI59" s="104" t="str">
        <f>"echo {""issue"":{""subject"":"""&amp;R59&amp;""",""project_id"":79,""tracker_id"":40,""status_id"":"&amp;redmine_status&amp;",""priority_id"":"&amp;redmine_priority&amp;",""assigned_to_id"":"&amp;redmine_assignee&amp;",""start_date"":"""&amp;TEXT(I59,"YYYY-mm-dd")&amp;""",""description"":"""&amp;AJ59&amp;""",""custom_fields"":[{""id"":1,""name"":""Subdivision"",""value"":"""&amp;AG59&amp;"""},{""id"":4,""name"":""Milepost"",""value"":"""&amp;Z59&amp;"""},{""id"":17,""name"":""Train ID"",""value"":"""&amp;A59&amp;"""},{""id"":16,""name"":""Locomotive ID"",""value"":"""&amp;B59&amp;"""},{""id"":130,""name"":""Impact"",""value"":"""&amp;AK59&amp;"""},{""id"":150,""name"":""Time of Event (Mountain Time)"",""value"":"""&amp;TEXT(I59,"hh:mm:ss")&amp;"""},{""id"":151,""name"":""Denver Issue ID"",""value"":"""&amp;"""},{""id"":178,""name"":""Operational Impact"",""value"":"""&amp;redmine_op_impact&amp;"""},{""id"":179,""name"":""Denver Segment Assigned"",""value"":"""&amp;AL59&amp;"""}]}}"&amp;"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{"issue":{"subject":"","project_id":79,"tracker_id":40,"status_id":1,"priority_id":2,"assigned_to_id":23,"start_date":"2017-04-03","description":"","custom_fields":[{"id":1,"name":"Subdivision","value":"EC"},{"id":4,"name":"Milepost","value":"23.3319"},{"id":17,"name":"Train ID","value":"147-03"},{"id":16,"name":"Locomotive ID","value":"4028"},{"id":130,"name":"Impact","value":""},{"id":150,"name":"Time of Event (Mountain Time)","value":"10:09:13"},{"id":151,"name":"Denver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>"start /low /b "&amp;dls3logs&amp;" --loco "&amp;B59&amp;" --day "&amp;TEXT(F59,"YYYY-MM-DD")</f>
        <v>start /low /b %USERPROFILE%\Documents\GitHub\eaglep3\Utilities\DownloadLogsFromS3.py --loco 4028 --day 2017-04-03</v>
      </c>
      <c r="AN59" s="159" t="str">
        <f>"echo {""issue"":{""subject"":"""&amp;R59&amp;""",""project_id"":30,""tracker_id"":4,""status_id"":"&amp;redmine_status_wcr&amp;",""priority_id"":"&amp;redmine_priority_wcr&amp;",""assigned_to_id"":"&amp;redmine_assignee_wcr&amp;",""start_date"":"""&amp;TEXT(I59-utc_offset/24,"YYYY-mm-dd")&amp;""",""description"":"""&amp;AJ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16:09:13"},{"id":29,"name":"Sharepoint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693</v>
      </c>
      <c r="B60" s="7">
        <v>4027</v>
      </c>
      <c r="C60" s="21" t="s">
        <v>217</v>
      </c>
      <c r="D60" s="21" t="s">
        <v>849</v>
      </c>
      <c r="E60" s="13">
        <v>42828.433391203704</v>
      </c>
      <c r="F60" s="13">
        <v>42828.434895833336</v>
      </c>
      <c r="G60" s="7">
        <v>2</v>
      </c>
      <c r="H60" s="21" t="s">
        <v>184</v>
      </c>
      <c r="I60" s="13">
        <v>42828.46366898148</v>
      </c>
      <c r="J60" s="7">
        <v>0</v>
      </c>
      <c r="K60" s="97" t="str">
        <f>IF(ISEVEN(B60),(B60-1)&amp;"/"&amp;B60,B60&amp;"/"&amp;(B60+1))</f>
        <v>4027/4028</v>
      </c>
      <c r="L60" s="21" t="str">
        <f>VLOOKUP(A60,'Trips&amp;Operators'!$C$1:$G$99999,5,FALSE)</f>
        <v>STARKS ANGELINA</v>
      </c>
      <c r="M60" s="6">
        <f>I60-F60</f>
        <v>2.8773148143955041E-2</v>
      </c>
      <c r="N60" s="7">
        <f>24*60*SUM($M60:$M60)</f>
        <v>41.433333327295259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-04-03T09:24:05-0600',mode:absolute,to:'2017-04-03T12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0" s="183" t="str">
        <f>IF(AA60&lt;IF(AG60="EC",23,5.65),"Y","N")</f>
        <v>N</v>
      </c>
      <c r="X60" s="183">
        <f>VALUE(LEFT(AD60,4))-VALUE(LEFT(AD59,4))</f>
        <v>1</v>
      </c>
      <c r="Y60" s="62">
        <f>RIGHT(D60,LEN(D60)-4)/10000</f>
        <v>23.160299999999999</v>
      </c>
      <c r="Z60" s="62">
        <f>RIGHT(H60,LEN(H60)-4)/10000</f>
        <v>1.49E-2</v>
      </c>
      <c r="AA60" s="62">
        <f>ABS(Z60-Y60)</f>
        <v>23.145399999999999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>IF(LEN(A60)=6,"0"&amp;A60,A60)</f>
        <v>0148-03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60" s="82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/stypes="app*4027*20170403*" /stext=" 17:.+((SYSTEM_STATE.+slice.+state.+changed )|(ment ac)|(multiple cpu faults)|(system.+state.+changed )|(\[timeout)|(PRM\|1\|D)|(kpr)|(kdp)|(\|lc)|(penalty))"</v>
      </c>
      <c r="AG60" s="1" t="str">
        <f>IFERROR(IF(VALUE(LEFT(AD60,2))&lt;=2,"EC",IF(OR(VALUE(LEFT(AD60,2))=8,VALUE(LEFT(AD60,2))=18),"NW","Other")),"Other")</f>
        <v>EC</v>
      </c>
      <c r="AH60" s="86" t="str">
        <f>refinertdcruntimes&amp;" --tripid "&amp;A60&amp;" --locoid "&amp;B60&amp;" --swversion "&amp;C60&amp;" --startMP "&amp;D60&amp;" --initTime "&amp;TEXT(E60,"yyyy-mm-ddTHH:MM:SS")&amp;" --startdatetime "&amp;TEXT(F60,"yyyy-mm-ddTHH:MM:SS")&amp;" --delay "&amp;G60&amp;" --endMP "&amp;H60&amp;" --enddatetime "&amp;TEXT(I60,"yyyy-mm-ddTHH:MM:SS")&amp;" --enforcementcount "&amp;J60&amp;IF(outputrefinedruntimes," &gt;&gt;"&amp;RefinedRTDCRunTimesOutputFile,"")</f>
        <v>"%USERPROFILE%\Documents\GitHub\eaglep3\Utilities\RefineRTDCRunTimes.py" --tripid 148-03 --locoid 4027 --swversion DE.1.0.9.0 --startMP 204:231603 --initTime 2017-04-03T10:24:05 --startdatetime 2017-04-03T10:26:15 --delay 2 --endMP 204:149 --enddatetime 2017-04-03T11:07:41 --enforcementcount 0 &gt;&gt;C:\Users\stu\Documents\GitHub\eaglep3-reporting\EC\2017-04-03-refined-times.txt</v>
      </c>
      <c r="AI60" s="104" t="str">
        <f>"echo {""issue"":{""subject"":"""&amp;R60&amp;""",""project_id"":79,""tracker_id"":40,""status_id"":"&amp;redmine_status&amp;",""priority_id"":"&amp;redmine_priority&amp;",""assigned_to_id"":"&amp;redmine_assignee&amp;",""start_date"":"""&amp;TEXT(I60,"YYYY-mm-dd")&amp;""",""description"":"""&amp;AJ60&amp;""",""custom_fields"":[{""id"":1,""name"":""Subdivision"",""value"":"""&amp;AG60&amp;"""},{""id"":4,""name"":""Milepost"",""value"":"""&amp;Z60&amp;"""},{""id"":17,""name"":""Train ID"",""value"":"""&amp;A60&amp;"""},{""id"":16,""name"":""Locomotive ID"",""value"":"""&amp;B60&amp;"""},{""id"":130,""name"":""Impact"",""value"":"""&amp;AK60&amp;"""},{""id"":150,""name"":""Time of Event (Mountain Time)"",""value"":"""&amp;TEXT(I60,"hh:mm:ss")&amp;"""},{""id"":151,""name"":""Denver Issue ID"",""value"":"""&amp;"""},{""id"":178,""name"":""Operational Impact"",""value"":"""&amp;redmine_op_impact&amp;"""},{""id"":179,""name"":""Denver Segment Assigned"",""value"":"""&amp;AL60&amp;"""}]}}"&amp;"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ID","value":"148-03"},{"id":16,"name":"Locomotive ID","value":"4027"},{"id":130,"name":"Impact","value":""},{"id":150,"name":"Time of Event (Mountain Time)","value":"11:07:41"},{"id":151,"name":"Denver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>"start /low /b "&amp;dls3logs&amp;" --loco "&amp;B60&amp;" --day "&amp;TEXT(F60,"YYYY-MM-DD")</f>
        <v>start /low /b %USERPROFILE%\Documents\GitHub\eaglep3\Utilities\DownloadLogsFromS3.py --loco 4027 --day 2017-04-03</v>
      </c>
      <c r="AN60" s="159" t="str">
        <f>"echo {""issue"":{""subject"":"""&amp;R60&amp;""",""project_id"":30,""tracker_id"":4,""status_id"":"&amp;redmine_status_wcr&amp;",""priority_id"":"&amp;redmine_priority_wcr&amp;",""assigned_to_id"":"&amp;redmine_assignee_wcr&amp;",""start_date"":"""&amp;TEXT(I60-utc_offset/24,"YYYY-mm-dd")&amp;""",""description"":"""&amp;AJ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17:07:41"},{"id":29,"name":"Sharepoint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686</v>
      </c>
      <c r="B61" s="7">
        <v>4018</v>
      </c>
      <c r="C61" s="21" t="s">
        <v>217</v>
      </c>
      <c r="D61" s="21" t="s">
        <v>845</v>
      </c>
      <c r="E61" s="13">
        <v>42828.404456018521</v>
      </c>
      <c r="F61" s="13">
        <v>42828.40729166667</v>
      </c>
      <c r="G61" s="7">
        <v>1</v>
      </c>
      <c r="H61" s="21" t="s">
        <v>438</v>
      </c>
      <c r="I61" s="13">
        <v>42828.435300925928</v>
      </c>
      <c r="J61" s="7">
        <v>0</v>
      </c>
      <c r="K61" s="97" t="str">
        <f>IF(ISEVEN(B61),(B61-1)&amp;"/"&amp;B61,B61&amp;"/"&amp;(B61+1))</f>
        <v>4017/4018</v>
      </c>
      <c r="L61" s="21" t="str">
        <f>VLOOKUP(A61,'Trips&amp;Operators'!$C$1:$G$99999,5,FALSE)</f>
        <v>FORTUNATO FRANK</v>
      </c>
      <c r="M61" s="6">
        <f>I61-F61</f>
        <v>2.8009259258396924E-2</v>
      </c>
      <c r="N61" s="7">
        <f>24*60*SUM($M61:$M61)</f>
        <v>40.33333333209157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-04-03T08:42:25-0600',mode:absolute,to:'2017-04-03T11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1" s="183" t="str">
        <f>IF(AA61&lt;IF(AG61="EC",23,5.65),"Y","N")</f>
        <v>N</v>
      </c>
      <c r="X61" s="183">
        <f>VALUE(LEFT(AD61,4))-VALUE(LEFT(AD60,4))</f>
        <v>1</v>
      </c>
      <c r="Y61" s="62">
        <f>RIGHT(D61,LEN(D61)-4)/10000</f>
        <v>4.7500000000000001E-2</v>
      </c>
      <c r="Z61" s="62">
        <f>RIGHT(H61,LEN(H61)-4)/10000</f>
        <v>23.330100000000002</v>
      </c>
      <c r="AA61" s="62">
        <f>ABS(Z61-Y61)</f>
        <v>23.282600000000002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>IF(LEN(A61)=6,"0"&amp;A61,A61)</f>
        <v>0149-03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61" s="82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/stypes="app*4018*20170403*" /stext=" 16:.+((SYSTEM_STATE.+slice.+state.+changed )|(ment ac)|(multiple cpu faults)|(system.+state.+changed )|(\[timeout)|(PRM\|1\|D)|(kpr)|(kdp)|(\|lc)|(penalty))"</v>
      </c>
      <c r="AG61" s="1" t="str">
        <f>IFERROR(IF(VALUE(LEFT(AD61,2))&lt;=2,"EC",IF(OR(VALUE(LEFT(AD61,2))=8,VALUE(LEFT(AD61,2))=18),"NW","Other")),"Other")</f>
        <v>EC</v>
      </c>
      <c r="AH61" s="86" t="str">
        <f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149-03 --locoid 4018 --swversion DE.1.0.9.0 --startMP 204:475 --initTime 2017-04-03T09:42:25 --startdatetime 2017-04-03T09:46:30 --delay 1 --endMP 204:233301 --enddatetime 2017-04-03T10:26:50 --enforcementcount 0 &gt;&gt;C:\Users\stu\Documents\GitHub\eaglep3-reporting\EC\2017-04-03-refined-times.txt</v>
      </c>
      <c r="AI61" s="104" t="str">
        <f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Z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{"issue":{"subject":"","project_id":79,"tracker_id":40,"status_id":1,"priority_id":2,"assigned_to_id":23,"start_date":"2017-04-03","description":"","custom_fields":[{"id":1,"name":"Subdivision","value":"EC"},{"id":4,"name":"Milepost","value":"23.3301"},{"id":17,"name":"Train ID","value":"149-03"},{"id":16,"name":"Locomotive ID","value":"4018"},{"id":130,"name":"Impact","value":""},{"id":150,"name":"Time of Event (Mountain Time)","value":"10:26:50"},{"id":151,"name":"Denver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>"start /low /b "&amp;dls3logs&amp;" --loco "&amp;B61&amp;" --day "&amp;TEXT(F61,"YYYY-MM-DD")</f>
        <v>start /low /b %USERPROFILE%\Documents\GitHub\eaglep3\Utilities\DownloadLogsFromS3.py --loco 4018 --day 2017-04-03</v>
      </c>
      <c r="AN61" s="159" t="str">
        <f>"echo {""issue"":{""subject"":"""&amp;R61&amp;""",""project_id"":30,""tracker_id"":4,""status_id"":"&amp;redmine_status_wcr&amp;",""priority_id"":"&amp;redmine_priority_wcr&amp;",""assigned_to_id"":"&amp;redmine_assignee_wcr&amp;",""start_date"":"""&amp;TEXT(I61-utc_offset/24,"YYYY-mm-dd")&amp;""",""description"":"""&amp;AJ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592</v>
      </c>
      <c r="B62" s="7">
        <v>4017</v>
      </c>
      <c r="C62" s="21" t="s">
        <v>217</v>
      </c>
      <c r="D62" s="21" t="s">
        <v>439</v>
      </c>
      <c r="E62" s="13">
        <v>42828.437094907407</v>
      </c>
      <c r="F62" s="13">
        <v>42828.445451388892</v>
      </c>
      <c r="G62" s="7">
        <v>1</v>
      </c>
      <c r="H62" s="21" t="s">
        <v>184</v>
      </c>
      <c r="I62" s="13">
        <v>42828.476875</v>
      </c>
      <c r="J62" s="7">
        <v>0</v>
      </c>
      <c r="K62" s="97" t="str">
        <f>IF(ISEVEN(B62),(B62-1)&amp;"/"&amp;B62,B62&amp;"/"&amp;(B62+1))</f>
        <v>4017/4018</v>
      </c>
      <c r="L62" s="21" t="str">
        <f>VLOOKUP(A62,'Trips&amp;Operators'!$C$1:$G$99999,5,FALSE)</f>
        <v>FORTUNATO FRANK</v>
      </c>
      <c r="M62" s="6">
        <f>I62-F62</f>
        <v>3.142361110803904E-2</v>
      </c>
      <c r="N62" s="7">
        <f>24*60*SUM($M62:$M62)</f>
        <v>45.249999995576218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-04-03T09:29:25-0600',mode:absolute,to:'2017-04-03T12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2" s="183" t="str">
        <f>IF(AA62&lt;IF(AG62="EC",23,5.65),"Y","N")</f>
        <v>N</v>
      </c>
      <c r="X62" s="183">
        <f>VALUE(LEFT(AD62,4))-VALUE(LEFT(AD61,4))</f>
        <v>1</v>
      </c>
      <c r="Y62" s="62">
        <f>RIGHT(D62,LEN(D62)-4)/10000</f>
        <v>23.298400000000001</v>
      </c>
      <c r="Z62" s="62">
        <f>RIGHT(H62,LEN(H62)-4)/10000</f>
        <v>1.49E-2</v>
      </c>
      <c r="AA62" s="62">
        <f>ABS(Z62-Y62)</f>
        <v>23.2835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>IF(LEN(A62)=6,"0"&amp;A62,A62)</f>
        <v>0150-03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62" s="82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/stypes="app*4017*20170403*" /stext=" 17:.+((SYSTEM_STATE.+slice.+state.+changed )|(ment ac)|(multiple cpu faults)|(system.+state.+changed )|(\[timeout)|(PRM\|1\|D)|(kpr)|(kdp)|(\|lc)|(penalty))"</v>
      </c>
      <c r="AG62" s="1" t="str">
        <f>IFERROR(IF(VALUE(LEFT(AD62,2))&lt;=2,"EC",IF(OR(VALUE(LEFT(AD62,2))=8,VALUE(LEFT(AD62,2))=18),"NW","Other")),"Other")</f>
        <v>EC</v>
      </c>
      <c r="AH62" s="86" t="str">
        <f>refinertdcruntimes&amp;" --tripid "&amp;A62&amp;" --locoid "&amp;B62&amp;" --swversion "&amp;C62&amp;" --startMP "&amp;D62&amp;" --initTime "&amp;TEXT(E62,"yyyy-mm-ddTHH:MM:SS")&amp;" --startdatetime "&amp;TEXT(F62,"yyyy-mm-ddTHH:MM:SS")&amp;" --delay "&amp;G62&amp;" --endMP "&amp;H62&amp;" --enddatetime "&amp;TEXT(I62,"yyyy-mm-ddTHH:MM:SS")&amp;" --enforcementcount "&amp;J62&amp;IF(outputrefinedruntimes," &gt;&gt;"&amp;RefinedRTDCRunTimesOutputFile,"")</f>
        <v>"%USERPROFILE%\Documents\GitHub\eaglep3\Utilities\RefineRTDCRunTimes.py" --tripid 150-03 --locoid 4017 --swversion DE.1.0.9.0 --startMP 204:232984 --initTime 2017-04-03T10:29:25 --startdatetime 2017-04-03T10:41:27 --delay 1 --endMP 204:149 --enddatetime 2017-04-03T11:26:42 --enforcementcount 0 &gt;&gt;C:\Users\stu\Documents\GitHub\eaglep3-reporting\EC\2017-04-03-refined-times.txt</v>
      </c>
      <c r="AI62" s="104" t="str">
        <f>"echo {""issue"":{""subject"":"""&amp;R62&amp;""",""project_id"":79,""tracker_id"":40,""status_id"":"&amp;redmine_status&amp;",""priority_id"":"&amp;redmine_priority&amp;",""assigned_to_id"":"&amp;redmine_assignee&amp;",""start_date"":"""&amp;TEXT(I62,"YYYY-mm-dd")&amp;""",""description"":"""&amp;AJ62&amp;""",""custom_fields"":[{""id"":1,""name"":""Subdivision"",""value"":"""&amp;AG62&amp;"""},{""id"":4,""name"":""Milepost"",""value"":"""&amp;Z62&amp;"""},{""id"":17,""name"":""Train ID"",""value"":"""&amp;A62&amp;"""},{""id"":16,""name"":""Locomotive ID"",""value"":"""&amp;B62&amp;"""},{""id"":130,""name"":""Impact"",""value"":"""&amp;AK62&amp;"""},{""id"":150,""name"":""Time of Event (Mountain Time)"",""value"":"""&amp;TEXT(I62,"hh:mm:ss")&amp;"""},{""id"":151,""name"":""Denver Issue ID"",""value"":"""&amp;"""},{""id"":178,""name"":""Operational Impact"",""value"":"""&amp;redmine_op_impact&amp;"""},{""id"":179,""name"":""Denver Segment Assigned"",""value"":"""&amp;AL62&amp;"""}]}}"&amp;"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ID","value":"150-03"},{"id":16,"name":"Locomotive ID","value":"4017"},{"id":130,"name":"Impact","value":""},{"id":150,"name":"Time of Event (Mountain Time)","value":"11:26:42"},{"id":151,"name":"Denver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>"start /low /b "&amp;dls3logs&amp;" --loco "&amp;B62&amp;" --day "&amp;TEXT(F62,"YYYY-MM-DD")</f>
        <v>start /low /b %USERPROFILE%\Documents\GitHub\eaglep3\Utilities\DownloadLogsFromS3.py --loco 4017 --day 2017-04-03</v>
      </c>
      <c r="AN62" s="159" t="str">
        <f>"echo {""issue"":{""subject"":"""&amp;R62&amp;""",""project_id"":30,""tracker_id"":4,""status_id"":"&amp;redmine_status_wcr&amp;",""priority_id"":"&amp;redmine_priority_wcr&amp;",""assigned_to_id"":"&amp;redmine_assignee_wcr&amp;",""start_date"":"""&amp;TEXT(I62-utc_offset/24,"YYYY-mm-dd")&amp;""",""description"":"""&amp;AJ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688</v>
      </c>
      <c r="B63" s="7">
        <v>4008</v>
      </c>
      <c r="C63" s="21" t="s">
        <v>217</v>
      </c>
      <c r="D63" s="21" t="s">
        <v>390</v>
      </c>
      <c r="E63" s="13">
        <v>42828.417280092595</v>
      </c>
      <c r="F63" s="13">
        <v>42828.418738425928</v>
      </c>
      <c r="G63" s="7">
        <v>1</v>
      </c>
      <c r="H63" s="21" t="s">
        <v>443</v>
      </c>
      <c r="I63" s="13">
        <v>42828.44431712963</v>
      </c>
      <c r="J63" s="7">
        <v>0</v>
      </c>
      <c r="K63" s="97" t="str">
        <f>IF(ISEVEN(B63),(B63-1)&amp;"/"&amp;B63,B63&amp;"/"&amp;(B63+1))</f>
        <v>4007/4008</v>
      </c>
      <c r="L63" s="21" t="str">
        <f>VLOOKUP(A63,'Trips&amp;Operators'!$C$1:$G$99999,5,FALSE)</f>
        <v>SHOOK JOHN</v>
      </c>
      <c r="M63" s="6">
        <f>I63-F63</f>
        <v>2.5578703702194616E-2</v>
      </c>
      <c r="N63" s="7">
        <f>24*60*SUM($M63:$M63)</f>
        <v>36.833333331160247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-04-03T09:00:53-0600',mode:absolute,to:'2017-04-03T11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3" s="183" t="str">
        <f>IF(AA63&lt;IF(AG63="EC",23,5.65),"Y","N")</f>
        <v>N</v>
      </c>
      <c r="X63" s="183">
        <f>VALUE(LEFT(AD63,4))-VALUE(LEFT(AD62,4))</f>
        <v>1</v>
      </c>
      <c r="Y63" s="62">
        <f>RIGHT(D63,LEN(D63)-4)/10000</f>
        <v>4.7300000000000002E-2</v>
      </c>
      <c r="Z63" s="62">
        <f>RIGHT(H63,LEN(H63)-4)/10000</f>
        <v>23.329499999999999</v>
      </c>
      <c r="AA63" s="62">
        <f>ABS(Z63-Y63)</f>
        <v>23.2822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>IF(LEN(A63)=6,"0"&amp;A63,A63)</f>
        <v>0151-03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63" s="82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/stypes="app*4008*20170403*" /stext=" 16:.+((SYSTEM_STATE.+slice.+state.+changed )|(ment ac)|(multiple cpu faults)|(system.+state.+changed )|(\[timeout)|(PRM\|1\|D)|(kpr)|(kdp)|(\|lc)|(penalty))"</v>
      </c>
      <c r="AG63" s="1" t="str">
        <f>IFERROR(IF(VALUE(LEFT(AD63,2))&lt;=2,"EC",IF(OR(VALUE(LEFT(AD63,2))=8,VALUE(LEFT(AD63,2))=18),"NW","Other")),"Other")</f>
        <v>EC</v>
      </c>
      <c r="AH63" s="86" t="str">
        <f>refinertdcruntimes&amp;" --tripid "&amp;A63&amp;" --locoid "&amp;B63&amp;" --swversion "&amp;C63&amp;" --startMP "&amp;D63&amp;" --initTime "&amp;TEXT(E63,"yyyy-mm-ddTHH:MM:SS")&amp;" --startdatetime "&amp;TEXT(F63,"yyyy-mm-ddTHH:MM:SS")&amp;" --delay "&amp;G63&amp;" --endMP "&amp;H63&amp;" --enddatetime "&amp;TEXT(I63,"yyyy-mm-ddTHH:MM:SS")&amp;" --enforcementcount "&amp;J63&amp;IF(outputrefinedruntimes," &gt;&gt;"&amp;RefinedRTDCRunTimesOutputFile,"")</f>
        <v>"%USERPROFILE%\Documents\GitHub\eaglep3\Utilities\RefineRTDCRunTimes.py" --tripid 151-03 --locoid 4008 --swversion DE.1.0.9.0 --startMP 204:473 --initTime 2017-04-03T10:00:53 --startdatetime 2017-04-03T10:02:59 --delay 1 --endMP 204:233295 --enddatetime 2017-04-03T10:39:49 --enforcementcount 0 &gt;&gt;C:\Users\stu\Documents\GitHub\eaglep3-reporting\EC\2017-04-03-refined-times.txt</v>
      </c>
      <c r="AI63" s="104" t="str">
        <f>"echo {""issue"":{""subject"":"""&amp;R63&amp;""",""project_id"":79,""tracker_id"":40,""status_id"":"&amp;redmine_status&amp;",""priority_id"":"&amp;redmine_priority&amp;",""assigned_to_id"":"&amp;redmine_assignee&amp;",""start_date"":"""&amp;TEXT(I63,"YYYY-mm-dd")&amp;""",""description"":"""&amp;AJ63&amp;""",""custom_fields"":[{""id"":1,""name"":""Subdivision"",""value"":"""&amp;AG63&amp;"""},{""id"":4,""name"":""Milepost"",""value"":"""&amp;Z63&amp;"""},{""id"":17,""name"":""Train ID"",""value"":"""&amp;A63&amp;"""},{""id"":16,""name"":""Locomotive ID"",""value"":"""&amp;B63&amp;"""},{""id"":130,""name"":""Impact"",""value"":"""&amp;AK63&amp;"""},{""id"":150,""name"":""Time of Event (Mountain Time)"",""value"":"""&amp;TEXT(I63,"hh:mm:ss")&amp;"""},{""id"":151,""name"":""Denver Issue ID"",""value"":"""&amp;"""},{""id"":178,""name"":""Operational Impact"",""value"":"""&amp;redmine_op_impact&amp;"""},{""id"":179,""name"":""Denver Segment Assigned"",""value"":"""&amp;AL63&amp;"""}]}}"&amp;"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ID","value":"151-03"},{"id":16,"name":"Locomotive ID","value":"4008"},{"id":130,"name":"Impact","value":""},{"id":150,"name":"Time of Event (Mountain Time)","value":"10:39:49"},{"id":151,"name":"Denver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>"start /low /b "&amp;dls3logs&amp;" --loco "&amp;B63&amp;" --day "&amp;TEXT(F63,"YYYY-MM-DD")</f>
        <v>start /low /b %USERPROFILE%\Documents\GitHub\eaglep3\Utilities\DownloadLogsFromS3.py --loco 4008 --day 2017-04-03</v>
      </c>
      <c r="AN63" s="159" t="str">
        <f>"echo {""issue"":{""subject"":"""&amp;R63&amp;""",""project_id"":30,""tracker_id"":4,""status_id"":"&amp;redmine_status_wcr&amp;",""priority_id"":"&amp;redmine_priority_wcr&amp;",""assigned_to_id"":"&amp;redmine_assignee_wcr&amp;",""start_date"":"""&amp;TEXT(I63-utc_offset/24,"YYYY-mm-dd")&amp;""",""description"":"""&amp;AJ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696</v>
      </c>
      <c r="B64" s="7">
        <v>4007</v>
      </c>
      <c r="C64" s="21" t="s">
        <v>217</v>
      </c>
      <c r="D64" s="21" t="s">
        <v>491</v>
      </c>
      <c r="E64" s="13">
        <v>42828.445925925924</v>
      </c>
      <c r="F64" s="13">
        <v>42828.455775462964</v>
      </c>
      <c r="G64" s="7">
        <v>1</v>
      </c>
      <c r="H64" s="21" t="s">
        <v>191</v>
      </c>
      <c r="I64" s="13">
        <v>42828.485833333332</v>
      </c>
      <c r="J64" s="7">
        <v>0</v>
      </c>
      <c r="K64" s="97" t="str">
        <f>IF(ISEVEN(B64),(B64-1)&amp;"/"&amp;B64,B64&amp;"/"&amp;(B64+1))</f>
        <v>4007/4008</v>
      </c>
      <c r="L64" s="21" t="str">
        <f>VLOOKUP(A64,'Trips&amp;Operators'!$C$1:$G$99999,5,FALSE)</f>
        <v>SHOOK JOHN</v>
      </c>
      <c r="M64" s="6">
        <f>I64-F64</f>
        <v>3.0057870368182193E-2</v>
      </c>
      <c r="N64" s="7">
        <f>24*60*SUM($M64:$M64)</f>
        <v>43.283333330182359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-04-03T09:42:08-0600',mode:absolute,to:'2017-04-03T12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4" s="183" t="str">
        <f>IF(AA64&lt;IF(AG64="EC",23,5.65),"Y","N")</f>
        <v>N</v>
      </c>
      <c r="X64" s="183">
        <f>VALUE(LEFT(AD64,4))-VALUE(LEFT(AD63,4))</f>
        <v>1</v>
      </c>
      <c r="Y64" s="62">
        <f>RIGHT(D64,LEN(D64)-4)/10000</f>
        <v>23.3</v>
      </c>
      <c r="Z64" s="62">
        <f>RIGHT(H64,LEN(H64)-4)/10000</f>
        <v>1.4999999999999999E-2</v>
      </c>
      <c r="AA64" s="62">
        <f>ABS(Z64-Y64)</f>
        <v>23.285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>IF(LEN(A64)=6,"0"&amp;A64,A64)</f>
        <v>0152-03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64" s="82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/stypes="app*4007*20170403*" /stext=" 17:.+((SYSTEM_STATE.+slice.+state.+changed )|(ment ac)|(multiple cpu faults)|(system.+state.+changed )|(\[timeout)|(PRM\|1\|D)|(kpr)|(kdp)|(\|lc)|(penalty))"</v>
      </c>
      <c r="AG64" s="1" t="str">
        <f>IFERROR(IF(VALUE(LEFT(AD64,2))&lt;=2,"EC",IF(OR(VALUE(LEFT(AD64,2))=8,VALUE(LEFT(AD64,2))=18),"NW","Other")),"Other")</f>
        <v>EC</v>
      </c>
      <c r="AH64" s="86" t="str">
        <f>refinertdcruntimes&amp;" --tripid "&amp;A64&amp;" --locoid "&amp;B64&amp;" --swversion "&amp;C64&amp;" --startMP "&amp;D64&amp;" --initTime "&amp;TEXT(E64,"yyyy-mm-ddTHH:MM:SS")&amp;" --startdatetime "&amp;TEXT(F64,"yyyy-mm-ddTHH:MM:SS")&amp;" --delay "&amp;G64&amp;" --endMP "&amp;H64&amp;" --enddatetime "&amp;TEXT(I64,"yyyy-mm-ddTHH:MM:SS")&amp;" --enforcementcount "&amp;J64&amp;IF(outputrefinedruntimes," &gt;&gt;"&amp;RefinedRTDCRunTimesOutputFile,"")</f>
        <v>"%USERPROFILE%\Documents\GitHub\eaglep3\Utilities\RefineRTDCRunTimes.py" --tripid 152-03 --locoid 4007 --swversion DE.1.0.9.0 --startMP 204:233000 --initTime 2017-04-03T10:42:08 --startdatetime 2017-04-03T10:56:19 --delay 1 --endMP 204:150 --enddatetime 2017-04-03T11:39:36 --enforcementcount 0 &gt;&gt;C:\Users\stu\Documents\GitHub\eaglep3-reporting\EC\2017-04-03-refined-times.txt</v>
      </c>
      <c r="AI64" s="104" t="str">
        <f>"echo {""issue"":{""subject"":"""&amp;R64&amp;""",""project_id"":79,""tracker_id"":40,""status_id"":"&amp;redmine_status&amp;",""priority_id"":"&amp;redmine_priority&amp;",""assigned_to_id"":"&amp;redmine_assignee&amp;",""start_date"":"""&amp;TEXT(I64,"YYYY-mm-dd")&amp;""",""description"":"""&amp;AJ64&amp;""",""custom_fields"":[{""id"":1,""name"":""Subdivision"",""value"":"""&amp;AG64&amp;"""},{""id"":4,""name"":""Milepost"",""value"":"""&amp;Z64&amp;"""},{""id"":17,""name"":""Train ID"",""value"":"""&amp;A64&amp;"""},{""id"":16,""name"":""Locomotive ID"",""value"":"""&amp;B64&amp;"""},{""id"":130,""name"":""Impact"",""value"":"""&amp;AK64&amp;"""},{""id"":150,""name"":""Time of Event (Mountain Time)"",""value"":"""&amp;TEXT(I64,"hh:mm:ss")&amp;"""},{""id"":151,""name"":""Denver Issue ID"",""value"":"""&amp;"""},{""id"":178,""name"":""Operational Impact"",""value"":"""&amp;redmine_op_impact&amp;"""},{""id"":179,""name"":""Denver Segment Assigned"",""value"":"""&amp;AL64&amp;"""}]}}"&amp;"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ID","value":"152-03"},{"id":16,"name":"Locomotive ID","value":"4007"},{"id":130,"name":"Impact","value":""},{"id":150,"name":"Time of Event (Mountain Time)","value":"11:39:36"},{"id":151,"name":"Denver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>"start /low /b "&amp;dls3logs&amp;" --loco "&amp;B64&amp;" --day "&amp;TEXT(F64,"YYYY-MM-DD")</f>
        <v>start /low /b %USERPROFILE%\Documents\GitHub\eaglep3\Utilities\DownloadLogsFromS3.py --loco 4007 --day 2017-04-03</v>
      </c>
      <c r="AN64" s="159" t="str">
        <f>"echo {""issue"":{""subject"":"""&amp;R64&amp;""",""project_id"":30,""tracker_id"":4,""status_id"":"&amp;redmine_status_wcr&amp;",""priority_id"":"&amp;redmine_priority_wcr&amp;",""assigned_to_id"":"&amp;redmine_assignee_wcr&amp;",""start_date"":"""&amp;TEXT(I64-utc_offset/24,"YYYY-mm-dd")&amp;""",""description"":"""&amp;AJ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690</v>
      </c>
      <c r="B65" s="7">
        <v>4052</v>
      </c>
      <c r="C65" s="21" t="s">
        <v>217</v>
      </c>
      <c r="D65" s="21" t="s">
        <v>515</v>
      </c>
      <c r="E65" s="13">
        <v>42828.423587962963</v>
      </c>
      <c r="F65" s="13">
        <v>42828.427581018521</v>
      </c>
      <c r="G65" s="7">
        <v>1</v>
      </c>
      <c r="H65" s="21" t="s">
        <v>377</v>
      </c>
      <c r="I65" s="13">
        <v>42828.451805555553</v>
      </c>
      <c r="J65" s="7">
        <v>0</v>
      </c>
      <c r="K65" s="97" t="str">
        <f>IF(ISEVEN(B65),(B65-1)&amp;"/"&amp;B65,B65&amp;"/"&amp;(B65+1))</f>
        <v>4051/4052</v>
      </c>
      <c r="L65" s="21" t="str">
        <f>VLOOKUP(A65,'Trips&amp;Operators'!$C$1:$G$99999,5,FALSE)</f>
        <v>YORK EDGAR</v>
      </c>
      <c r="M65" s="6">
        <f>I65-F65</f>
        <v>2.4224537031841464E-2</v>
      </c>
      <c r="N65" s="7">
        <f>24*60*SUM($M65:$M65)</f>
        <v>34.883333325851709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-04-03T09:09:58-0600',mode:absolute,to:'2017-04-03T11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>IF(AA65&lt;IF(AG65="EC",23,5.65),"Y","N")</f>
        <v>N</v>
      </c>
      <c r="X65" s="183">
        <f>VALUE(LEFT(AD65,4))-VALUE(LEFT(AD64,4))</f>
        <v>1</v>
      </c>
      <c r="Y65" s="62">
        <f>RIGHT(D65,LEN(D65)-4)/10000</f>
        <v>4.82E-2</v>
      </c>
      <c r="Z65" s="62">
        <f>RIGHT(H65,LEN(H65)-4)/10000</f>
        <v>23.3293</v>
      </c>
      <c r="AA65" s="62">
        <f>ABS(Z65-Y65)</f>
        <v>23.281099999999999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>IF(LEN(A65)=6,"0"&amp;A65,A65)</f>
        <v>0153-03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65" s="82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/stypes="app*4052*20170403*" /stext=" 16:.+((SYSTEM_STATE.+slice.+state.+changed )|(ment ac)|(multiple cpu faults)|(system.+state.+changed )|(\[timeout)|(PRM\|1\|D)|(kpr)|(kdp)|(\|lc)|(penalty))"</v>
      </c>
      <c r="AG65" s="1" t="str">
        <f>IFERROR(IF(VALUE(LEFT(AD65,2))&lt;=2,"EC",IF(OR(VALUE(LEFT(AD65,2))=8,VALUE(LEFT(AD65,2))=18),"NW","Other")),"Other")</f>
        <v>EC</v>
      </c>
      <c r="AH65" s="86" t="str">
        <f>refinertdcruntimes&amp;" --tripid "&amp;A65&amp;" --locoid "&amp;B65&amp;" --swversion "&amp;C65&amp;" --startMP "&amp;D65&amp;" --initTime "&amp;TEXT(E65,"yyyy-mm-ddTHH:MM:SS")&amp;" --startdatetime "&amp;TEXT(F65,"yyyy-mm-ddTHH:MM:SS")&amp;" --delay "&amp;G65&amp;" --endMP "&amp;H65&amp;" --enddatetime "&amp;TEXT(I65,"yyyy-mm-ddTHH:MM:SS")&amp;" --enforcementcount "&amp;J65&amp;IF(outputrefinedruntimes," &gt;&gt;"&amp;RefinedRTDCRunTimesOutputFile,"")</f>
        <v>"%USERPROFILE%\Documents\GitHub\eaglep3\Utilities\RefineRTDCRunTimes.py" --tripid 153-03 --locoid 4052 --swversion DE.1.0.9.0 --startMP 204:482 --initTime 2017-04-03T10:09:58 --startdatetime 2017-04-03T10:15:43 --delay 1 --endMP 204:233293 --enddatetime 2017-04-03T10:50:36 --enforcementcount 0 &gt;&gt;C:\Users\stu\Documents\GitHub\eaglep3-reporting\EC\2017-04-03-refined-times.txt</v>
      </c>
      <c r="AI65" s="104" t="str">
        <f>"echo {""issue"":{""subject"":"""&amp;R65&amp;""",""project_id"":79,""tracker_id"":40,""status_id"":"&amp;redmine_status&amp;",""priority_id"":"&amp;redmine_priority&amp;",""assigned_to_id"":"&amp;redmine_assignee&amp;",""start_date"":"""&amp;TEXT(I65,"YYYY-mm-dd")&amp;""",""description"":"""&amp;AJ65&amp;""",""custom_fields"":[{""id"":1,""name"":""Subdivision"",""value"":"""&amp;AG65&amp;"""},{""id"":4,""name"":""Milepost"",""value"":"""&amp;Z65&amp;"""},{""id"":17,""name"":""Train ID"",""value"":"""&amp;A65&amp;"""},{""id"":16,""name"":""Locomotive ID"",""value"":"""&amp;B65&amp;"""},{""id"":130,""name"":""Impact"",""value"":"""&amp;AK65&amp;"""},{""id"":150,""name"":""Time of Event (Mountain Time)"",""value"":"""&amp;TEXT(I65,"hh:mm:ss")&amp;"""},{""id"":151,""name"":""Denver Issue ID"",""value"":"""&amp;"""},{""id"":178,""name"":""Operational Impact"",""value"":"""&amp;redmine_op_impact&amp;"""},{""id"":179,""name"":""Denver Segment Assigned"",""value"":"""&amp;AL65&amp;"""}]}}"&amp;"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{"issue":{"subject":"","project_id":79,"tracker_id":40,"status_id":1,"priority_id":2,"assigned_to_id":23,"start_date":"2017-04-03","description":"","custom_fields":[{"id":1,"name":"Subdivision","value":"EC"},{"id":4,"name":"Milepost","value":"23.3293"},{"id":17,"name":"Train ID","value":"153-03"},{"id":16,"name":"Locomotive ID","value":"4052"},{"id":130,"name":"Impact","value":""},{"id":150,"name":"Time of Event (Mountain Time)","value":"10:50:36"},{"id":151,"name":"Denver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>"start /low /b "&amp;dls3logs&amp;" --loco "&amp;B65&amp;" --day "&amp;TEXT(F65,"YYYY-MM-DD")</f>
        <v>start /low /b %USERPROFILE%\Documents\GitHub\eaglep3\Utilities\DownloadLogsFromS3.py --loco 4052 --day 2017-04-03</v>
      </c>
      <c r="AN65" s="159" t="str">
        <f>"echo {""issue"":{""subject"":"""&amp;R65&amp;""",""project_id"":30,""tracker_id"":4,""status_id"":"&amp;redmine_status_wcr&amp;",""priority_id"":"&amp;redmine_priority_wcr&amp;",""assigned_to_id"":"&amp;redmine_assignee_wcr&amp;",""start_date"":"""&amp;TEXT(I65-utc_offset/24,"YYYY-mm-dd")&amp;""",""description"":"""&amp;AJ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697</v>
      </c>
      <c r="B66" s="7">
        <v>4051</v>
      </c>
      <c r="C66" s="21" t="s">
        <v>217</v>
      </c>
      <c r="D66" s="21" t="s">
        <v>850</v>
      </c>
      <c r="E66" s="13">
        <v>42828.454756944448</v>
      </c>
      <c r="F66" s="13">
        <v>42828.466319444444</v>
      </c>
      <c r="G66" s="7">
        <v>1</v>
      </c>
      <c r="H66" s="21" t="s">
        <v>512</v>
      </c>
      <c r="I66" s="13">
        <v>42828.493993055556</v>
      </c>
      <c r="J66" s="7">
        <v>0</v>
      </c>
      <c r="K66" s="97" t="str">
        <f>IF(ISEVEN(B66),(B66-1)&amp;"/"&amp;B66,B66&amp;"/"&amp;(B66+1))</f>
        <v>4051/4052</v>
      </c>
      <c r="L66" s="21" t="str">
        <f>VLOOKUP(A66,'Trips&amp;Operators'!$C$1:$G$99999,5,FALSE)</f>
        <v>YORK EDGAR</v>
      </c>
      <c r="M66" s="6">
        <f>I66-F66</f>
        <v>2.7673611111822538E-2</v>
      </c>
      <c r="N66" s="7">
        <f>24*60*SUM($M66:$M66)</f>
        <v>39.850000001024455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-04-03T09:54:51-0600',mode:absolute,to:'2017-04-03T12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>IF(AA66&lt;IF(AG66="EC",23,5.65),"Y","N")</f>
        <v>N</v>
      </c>
      <c r="X66" s="183">
        <f>VALUE(LEFT(AD66,4))-VALUE(LEFT(AD65,4))</f>
        <v>1</v>
      </c>
      <c r="Y66" s="62">
        <f>RIGHT(D66,LEN(D66)-4)/10000</f>
        <v>23.2959</v>
      </c>
      <c r="Z66" s="62">
        <f>RIGHT(H66,LEN(H66)-4)/10000</f>
        <v>1.4500000000000001E-2</v>
      </c>
      <c r="AA66" s="62">
        <f>ABS(Z66-Y66)</f>
        <v>23.281399999999998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>IF(LEN(A66)=6,"0"&amp;A66,A66)</f>
        <v>0154-03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66" s="82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/stypes="app*4051*20170403*" /stext=" 17:.+((SYSTEM_STATE.+slice.+state.+changed )|(ment ac)|(multiple cpu faults)|(system.+state.+changed )|(\[timeout)|(PRM\|1\|D)|(kpr)|(kdp)|(\|lc)|(penalty))"</v>
      </c>
      <c r="AG66" s="1" t="str">
        <f>IFERROR(IF(VALUE(LEFT(AD66,2))&lt;=2,"EC",IF(OR(VALUE(LEFT(AD66,2))=8,VALUE(LEFT(AD66,2))=18),"NW","Other")),"Other")</f>
        <v>EC</v>
      </c>
      <c r="AH66" s="86" t="str">
        <f>refinertdcruntimes&amp;" --tripid "&amp;A66&amp;" --locoid "&amp;B66&amp;" --swversion "&amp;C66&amp;" --startMP "&amp;D66&amp;" --initTime "&amp;TEXT(E66,"yyyy-mm-ddTHH:MM:SS")&amp;" --startdatetime "&amp;TEXT(F66,"yyyy-mm-ddTHH:MM:SS")&amp;" --delay "&amp;G66&amp;" --endMP "&amp;H66&amp;" --enddatetime "&amp;TEXT(I66,"yyyy-mm-ddTHH:MM:SS")&amp;" --enforcementcount "&amp;J66&amp;IF(outputrefinedruntimes," &gt;&gt;"&amp;RefinedRTDCRunTimesOutputFile,"")</f>
        <v>"%USERPROFILE%\Documents\GitHub\eaglep3\Utilities\RefineRTDCRunTimes.py" --tripid 154-03 --locoid 4051 --swversion DE.1.0.9.0 --startMP 204:232959 --initTime 2017-04-03T10:54:51 --startdatetime 2017-04-03T11:11:30 --delay 1 --endMP 204:145 --enddatetime 2017-04-03T11:51:21 --enforcementcount 0 &gt;&gt;C:\Users\stu\Documents\GitHub\eaglep3-reporting\EC\2017-04-03-refined-times.txt</v>
      </c>
      <c r="AI66" s="104" t="str">
        <f>"echo {""issue"":{""subject"":"""&amp;R66&amp;""",""project_id"":79,""tracker_id"":40,""status_id"":"&amp;redmine_status&amp;",""priority_id"":"&amp;redmine_priority&amp;",""assigned_to_id"":"&amp;redmine_assignee&amp;",""start_date"":"""&amp;TEXT(I66,"YYYY-mm-dd")&amp;""",""description"":"""&amp;AJ66&amp;""",""custom_fields"":[{""id"":1,""name"":""Subdivision"",""value"":"""&amp;AG66&amp;"""},{""id"":4,""name"":""Milepost"",""value"":"""&amp;Z66&amp;"""},{""id"":17,""name"":""Train ID"",""value"":"""&amp;A66&amp;"""},{""id"":16,""name"":""Locomotive ID"",""value"":"""&amp;B66&amp;"""},{""id"":130,""name"":""Impact"",""value"":"""&amp;AK66&amp;"""},{""id"":150,""name"":""Time of Event (Mountain Time)"",""value"":"""&amp;TEXT(I66,"hh:mm:ss")&amp;"""},{""id"":151,""name"":""Denver Issue ID"",""value"":"""&amp;"""},{""id"":178,""name"":""Operational Impact"",""value"":"""&amp;redmine_op_impact&amp;"""},{""id"":179,""name"":""Denver Segment Assigned"",""value"":"""&amp;AL66&amp;"""}]}}"&amp;"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ID","value":"154-03"},{"id":16,"name":"Locomotive ID","value":"4051"},{"id":130,"name":"Impact","value":""},{"id":150,"name":"Time of Event (Mountain Time)","value":"11:51:21"},{"id":151,"name":"Denver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>"start /low /b "&amp;dls3logs&amp;" --loco "&amp;B66&amp;" --day "&amp;TEXT(F66,"YYYY-MM-DD")</f>
        <v>start /low /b %USERPROFILE%\Documents\GitHub\eaglep3\Utilities\DownloadLogsFromS3.py --loco 4051 --day 2017-04-03</v>
      </c>
      <c r="AN66" s="159" t="str">
        <f>"echo {""issue"":{""subject"":"""&amp;R66&amp;""",""project_id"":30,""tracker_id"":4,""status_id"":"&amp;redmine_status_wcr&amp;",""priority_id"":"&amp;redmine_priority_wcr&amp;",""assigned_to_id"":"&amp;redmine_assignee_wcr&amp;",""start_date"":"""&amp;TEXT(I66-utc_offset/24,"YYYY-mm-dd")&amp;""",""description"":"""&amp;AJ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694</v>
      </c>
      <c r="B67" s="7">
        <v>4004</v>
      </c>
      <c r="C67" s="21" t="s">
        <v>217</v>
      </c>
      <c r="D67" s="21" t="s">
        <v>206</v>
      </c>
      <c r="E67" s="13">
        <v>42828.437789351854</v>
      </c>
      <c r="F67" s="13">
        <v>42828.438946759263</v>
      </c>
      <c r="G67" s="7">
        <v>1</v>
      </c>
      <c r="H67" s="21" t="s">
        <v>486</v>
      </c>
      <c r="I67" s="13">
        <v>42828.464131944442</v>
      </c>
      <c r="J67" s="7">
        <v>0</v>
      </c>
      <c r="K67" s="97" t="str">
        <f>IF(ISEVEN(B67),(B67-1)&amp;"/"&amp;B67,B67&amp;"/"&amp;(B67+1))</f>
        <v>4003/4004</v>
      </c>
      <c r="L67" s="21" t="str">
        <f>VLOOKUP(A67,'Trips&amp;Operators'!$C$1:$G$99999,5,FALSE)</f>
        <v>DAVIS WENDY</v>
      </c>
      <c r="M67" s="6">
        <f>I67-F67</f>
        <v>2.5185185178997926E-2</v>
      </c>
      <c r="N67" s="7">
        <f>24*60*SUM($M67:$M67)</f>
        <v>36.266666657757014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-04-03T09:30:25-0600',mode:absolute,to:'2017-04-03T12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7" s="183" t="str">
        <f>IF(AA67&lt;IF(AG67="EC",23,5.65),"Y","N")</f>
        <v>N</v>
      </c>
      <c r="X67" s="183">
        <f>VALUE(LEFT(AD67,4))-VALUE(LEFT(AD66,4))</f>
        <v>1</v>
      </c>
      <c r="Y67" s="62">
        <f>RIGHT(D67,LEN(D67)-4)/10000</f>
        <v>4.5100000000000001E-2</v>
      </c>
      <c r="Z67" s="62">
        <f>RIGHT(H67,LEN(H67)-4)/10000</f>
        <v>23.330200000000001</v>
      </c>
      <c r="AA67" s="62">
        <f>ABS(Z67-Y67)</f>
        <v>23.2851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>IF(LEN(A67)=6,"0"&amp;A67,A67)</f>
        <v>0155-03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67" s="82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/stypes="app*4004*20170403*" /stext=" 17:.+((SYSTEM_STATE.+slice.+state.+changed )|(ment ac)|(multiple cpu faults)|(system.+state.+changed )|(\[timeout)|(PRM\|1\|D)|(kpr)|(kdp)|(\|lc)|(penalty))"</v>
      </c>
      <c r="AG67" s="1" t="str">
        <f>IFERROR(IF(VALUE(LEFT(AD67,2))&lt;=2,"EC",IF(OR(VALUE(LEFT(AD67,2))=8,VALUE(LEFT(AD67,2))=18),"NW","Other")),"Other")</f>
        <v>EC</v>
      </c>
      <c r="AH67" s="86" t="str">
        <f>refinertdcruntimes&amp;" --tripid "&amp;A67&amp;" --locoid "&amp;B67&amp;" --swversion "&amp;C67&amp;" --startMP "&amp;D67&amp;" --initTime "&amp;TEXT(E67,"yyyy-mm-ddTHH:MM:SS")&amp;" --startdatetime "&amp;TEXT(F67,"yyyy-mm-ddTHH:MM:SS")&amp;" --delay "&amp;G67&amp;" --endMP "&amp;H67&amp;" --enddatetime "&amp;TEXT(I67,"yyyy-mm-ddTHH:MM:SS")&amp;" --enforcementcount "&amp;J67&amp;IF(outputrefinedruntimes," &gt;&gt;"&amp;RefinedRTDCRunTimesOutputFile,"")</f>
        <v>"%USERPROFILE%\Documents\GitHub\eaglep3\Utilities\RefineRTDCRunTimes.py" --tripid 155-03 --locoid 4004 --swversion DE.1.0.9.0 --startMP 204:451 --initTime 2017-04-03T10:30:25 --startdatetime 2017-04-03T10:32:05 --delay 1 --endMP 204:233302 --enddatetime 2017-04-03T11:08:21 --enforcementcount 0 &gt;&gt;C:\Users\stu\Documents\GitHub\eaglep3-reporting\EC\2017-04-03-refined-times.txt</v>
      </c>
      <c r="AI67" s="104" t="str">
        <f>"echo {""issue"":{""subject"":"""&amp;R67&amp;""",""project_id"":79,""tracker_id"":40,""status_id"":"&amp;redmine_status&amp;",""priority_id"":"&amp;redmine_priority&amp;",""assigned_to_id"":"&amp;redmine_assignee&amp;",""start_date"":"""&amp;TEXT(I67,"YYYY-mm-dd")&amp;""",""description"":"""&amp;AJ67&amp;""",""custom_fields"":[{""id"":1,""name"":""Subdivision"",""value"":"""&amp;AG67&amp;"""},{""id"":4,""name"":""Milepost"",""value"":"""&amp;Z67&amp;"""},{""id"":17,""name"":""Train ID"",""value"":"""&amp;A67&amp;"""},{""id"":16,""name"":""Locomotive ID"",""value"":"""&amp;B67&amp;"""},{""id"":130,""name"":""Impact"",""value"":"""&amp;AK67&amp;"""},{""id"":150,""name"":""Time of Event (Mountain Time)"",""value"":"""&amp;TEXT(I67,"hh:mm:ss")&amp;"""},{""id"":151,""name"":""Denver Issue ID"",""value"":"""&amp;"""},{""id"":178,""name"":""Operational Impact"",""value"":"""&amp;redmine_op_impact&amp;"""},{""id"":179,""name"":""Denver Segment Assigned"",""value"":"""&amp;AL67&amp;"""}]}}"&amp;"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{"issue":{"subject":"","project_id":79,"tracker_id":40,"status_id":1,"priority_id":2,"assigned_to_id":23,"start_date":"2017-04-03","description":"","custom_fields":[{"id":1,"name":"Subdivision","value":"EC"},{"id":4,"name":"Milepost","value":"23.3302"},{"id":17,"name":"Train ID","value":"155-03"},{"id":16,"name":"Locomotive ID","value":"4004"},{"id":130,"name":"Impact","value":""},{"id":150,"name":"Time of Event (Mountain Time)","value":"11:08:21"},{"id":151,"name":"Denver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>"start /low /b "&amp;dls3logs&amp;" --loco "&amp;B67&amp;" --day "&amp;TEXT(F67,"YYYY-MM-DD")</f>
        <v>start /low /b %USERPROFILE%\Documents\GitHub\eaglep3\Utilities\DownloadLogsFromS3.py --loco 4004 --day 2017-04-03</v>
      </c>
      <c r="AN67" s="159" t="str">
        <f>"echo {""issue"":{""subject"":"""&amp;R67&amp;""",""project_id"":30,""tracker_id"":4,""status_id"":"&amp;redmine_status_wcr&amp;",""priority_id"":"&amp;redmine_priority_wcr&amp;",""assigned_to_id"":"&amp;redmine_assignee_wcr&amp;",""start_date"":"""&amp;TEXT(I67-utc_offset/24,"YYYY-mm-dd")&amp;""",""description"":"""&amp;AJ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594</v>
      </c>
      <c r="B68" s="7">
        <v>4003</v>
      </c>
      <c r="C68" s="21" t="s">
        <v>217</v>
      </c>
      <c r="D68" s="21" t="s">
        <v>422</v>
      </c>
      <c r="E68" s="13">
        <v>42828.471250000002</v>
      </c>
      <c r="F68" s="13">
        <v>42828.4765625</v>
      </c>
      <c r="G68" s="7">
        <v>1</v>
      </c>
      <c r="H68" s="21" t="s">
        <v>516</v>
      </c>
      <c r="I68" s="13">
        <v>42828.505729166667</v>
      </c>
      <c r="J68" s="7">
        <v>0</v>
      </c>
      <c r="K68" s="97" t="str">
        <f>IF(ISEVEN(B68),(B68-1)&amp;"/"&amp;B68,B68&amp;"/"&amp;(B68+1))</f>
        <v>4003/4004</v>
      </c>
      <c r="L68" s="21" t="str">
        <f>VLOOKUP(A68,'Trips&amp;Operators'!$C$1:$G$99999,5,FALSE)</f>
        <v>DAVIS WENDY</v>
      </c>
      <c r="M68" s="6">
        <f>I68-F68</f>
        <v>2.9166666667151731E-2</v>
      </c>
      <c r="N68" s="7">
        <f>24*60*SUM($M68:$M68)</f>
        <v>42.000000000698492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-04-03T10:18:36-0600',mode:absolute,to:'2017-04-03T13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8" s="183" t="str">
        <f>IF(AA68&lt;IF(AG68="EC",23,5.65),"Y","N")</f>
        <v>N</v>
      </c>
      <c r="X68" s="183">
        <f>VALUE(LEFT(AD68,4))-VALUE(LEFT(AD67,4))</f>
        <v>1</v>
      </c>
      <c r="Y68" s="62">
        <f>RIGHT(D68,LEN(D68)-4)/10000</f>
        <v>23.299600000000002</v>
      </c>
      <c r="Z68" s="62">
        <f>RIGHT(H68,LEN(H68)-4)/10000</f>
        <v>1.6E-2</v>
      </c>
      <c r="AA68" s="62">
        <f>ABS(Z68-Y68)</f>
        <v>23.283600000000003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>IF(LEN(A68)=6,"0"&amp;A68,A68)</f>
        <v>0156-03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68" s="82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/stypes="app*4003*20170403*" /stext=" 18:.+((SYSTEM_STATE.+slice.+state.+changed )|(ment ac)|(multiple cpu faults)|(system.+state.+changed )|(\[timeout)|(PRM\|1\|D)|(kpr)|(kdp)|(\|lc)|(penalty))"</v>
      </c>
      <c r="AG68" s="1" t="str">
        <f>IFERROR(IF(VALUE(LEFT(AD68,2))&lt;=2,"EC",IF(OR(VALUE(LEFT(AD68,2))=8,VALUE(LEFT(AD68,2))=18),"NW","Other")),"Other")</f>
        <v>EC</v>
      </c>
      <c r="AH68" s="86" t="str">
        <f>refinertdcruntimes&amp;" --tripid "&amp;A68&amp;" --locoid "&amp;B68&amp;" --swversion "&amp;C68&amp;" --startMP "&amp;D68&amp;" --initTime "&amp;TEXT(E68,"yyyy-mm-ddTHH:MM:SS")&amp;" --startdatetime "&amp;TEXT(F68,"yyyy-mm-ddTHH:MM:SS")&amp;" --delay "&amp;G68&amp;" --endMP "&amp;H68&amp;" --enddatetime "&amp;TEXT(I68,"yyyy-mm-ddTHH:MM:SS")&amp;" --enforcementcount "&amp;J68&amp;IF(outputrefinedruntimes," &gt;&gt;"&amp;RefinedRTDCRunTimesOutputFile,"")</f>
        <v>"%USERPROFILE%\Documents\GitHub\eaglep3\Utilities\RefineRTDCRunTimes.py" --tripid 156-03 --locoid 4003 --swversion DE.1.0.9.0 --startMP 204:232996 --initTime 2017-04-03T11:18:36 --startdatetime 2017-04-03T11:26:15 --delay 1 --endMP 204:160 --enddatetime 2017-04-03T12:08:15 --enforcementcount 0 &gt;&gt;C:\Users\stu\Documents\GitHub\eaglep3-reporting\EC\2017-04-03-refined-times.txt</v>
      </c>
      <c r="AI68" s="104" t="str">
        <f>"echo {""issue"":{""subject"":"""&amp;R68&amp;""",""project_id"":79,""tracker_id"":40,""status_id"":"&amp;redmine_status&amp;",""priority_id"":"&amp;redmine_priority&amp;",""assigned_to_id"":"&amp;redmine_assignee&amp;",""start_date"":"""&amp;TEXT(I68,"YYYY-mm-dd")&amp;""",""description"":"""&amp;AJ68&amp;""",""custom_fields"":[{""id"":1,""name"":""Subdivision"",""value"":"""&amp;AG68&amp;"""},{""id"":4,""name"":""Milepost"",""value"":"""&amp;Z68&amp;"""},{""id"":17,""name"":""Train ID"",""value"":"""&amp;A68&amp;"""},{""id"":16,""name"":""Locomotive ID"",""value"":"""&amp;B68&amp;"""},{""id"":130,""name"":""Impact"",""value"":"""&amp;AK68&amp;"""},{""id"":150,""name"":""Time of Event (Mountain Time)"",""value"":"""&amp;TEXT(I68,"hh:mm:ss")&amp;"""},{""id"":151,""name"":""Denver Issue ID"",""value"":"""&amp;"""},{""id"":178,""name"":""Operational Impact"",""value"":"""&amp;redmine_op_impact&amp;"""},{""id"":179,""name"":""Denver Segment Assigned"",""value"":"""&amp;AL68&amp;"""}]}}"&amp;"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{"issue":{"subject":"","project_id":79,"tracker_id":40,"status_id":1,"priority_id":2,"assigned_to_id":23,"start_date":"2017-04-03","description":"","custom_fields":[{"id":1,"name":"Subdivision","value":"EC"},{"id":4,"name":"Milepost","value":"0.016"},{"id":17,"name":"Train ID","value":"156-03"},{"id":16,"name":"Locomotive ID","value":"4003"},{"id":130,"name":"Impact","value":""},{"id":150,"name":"Time of Event (Mountain Time)","value":"12:08:15"},{"id":151,"name":"Denver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>"start /low /b "&amp;dls3logs&amp;" --loco "&amp;B68&amp;" --day "&amp;TEXT(F68,"YYYY-MM-DD")</f>
        <v>start /low /b %USERPROFILE%\Documents\GitHub\eaglep3\Utilities\DownloadLogsFromS3.py --loco 4003 --day 2017-04-03</v>
      </c>
      <c r="AN68" s="159" t="str">
        <f>"echo {""issue"":{""subject"":"""&amp;R68&amp;""",""project_id"":30,""tracker_id"":4,""status_id"":"&amp;redmine_status_wcr&amp;",""priority_id"":"&amp;redmine_priority_wcr&amp;",""assigned_to_id"":"&amp;redmine_assignee_wcr&amp;",""start_date"":"""&amp;TEXT(I68-utc_offset/24,"YYYY-mm-dd")&amp;""",""description"":"""&amp;AJ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591</v>
      </c>
      <c r="B69" s="7">
        <v>4030</v>
      </c>
      <c r="C69" s="21" t="s">
        <v>217</v>
      </c>
      <c r="D69" s="21" t="s">
        <v>419</v>
      </c>
      <c r="E69" s="13">
        <v>42828.444664351853</v>
      </c>
      <c r="F69" s="13">
        <v>42828.448078703703</v>
      </c>
      <c r="G69" s="7">
        <v>1</v>
      </c>
      <c r="H69" s="21" t="s">
        <v>851</v>
      </c>
      <c r="I69" s="13">
        <v>42828.475069444445</v>
      </c>
      <c r="J69" s="7">
        <v>0</v>
      </c>
      <c r="K69" s="97" t="str">
        <f>IF(ISEVEN(B69),(B69-1)&amp;"/"&amp;B69,B69&amp;"/"&amp;(B69+1))</f>
        <v>4029/4030</v>
      </c>
      <c r="L69" s="21" t="str">
        <f>VLOOKUP(A69,'Trips&amp;Operators'!$C$1:$G$99999,5,FALSE)</f>
        <v>ROBINSON KADDIBA</v>
      </c>
      <c r="M69" s="6">
        <f>I69-F69</f>
        <v>2.6990740741894115E-2</v>
      </c>
      <c r="N69" s="7">
        <f>24*60*SUM($M69:$M69)</f>
        <v>38.866666668327525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9" s="183" t="str">
        <f>IF(AA69&lt;IF(AG69="EC",23,5.65),"Y","N")</f>
        <v>N</v>
      </c>
      <c r="X69" s="183">
        <f>VALUE(LEFT(AD69,4))-VALUE(LEFT(AD68,4))</f>
        <v>1</v>
      </c>
      <c r="Y69" s="62">
        <f>RIGHT(D69,LEN(D69)-4)/10000</f>
        <v>4.4900000000000002E-2</v>
      </c>
      <c r="Z69" s="62">
        <f>RIGHT(H69,LEN(H69)-4)/10000</f>
        <v>23.331600000000002</v>
      </c>
      <c r="AA69" s="62">
        <f>ABS(Z69-Y69)</f>
        <v>23.286700000000003</v>
      </c>
      <c r="AB69" s="59" t="str">
        <f>VLOOKUP(A69,Enforcements!$C$7:$K$13,8,0)</f>
        <v>Bulletin (2)</v>
      </c>
      <c r="AC69" s="55" t="str">
        <f>VLOOKUP(A69,Enforcements!$C$7:$E$13,3,0)</f>
        <v>GRADE CROSSING</v>
      </c>
      <c r="AD69" s="56" t="str">
        <f>IF(LEN(A69)=6,"0"&amp;A69,A69)</f>
        <v>0157-03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69" s="82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/stypes="app*4030*20170403*" /stext=" 17:.+((SYSTEM_STATE.+slice.+state.+changed )|(ment ac)|(multiple cpu faults)|(system.+state.+changed )|(\[timeout)|(PRM\|1\|D)|(kpr)|(kdp)|(\|lc)|(penalty))"</v>
      </c>
      <c r="AG69" s="1" t="str">
        <f>IFERROR(IF(VALUE(LEFT(AD69,2))&lt;=2,"EC",IF(OR(VALUE(LEFT(AD69,2))=8,VALUE(LEFT(AD69,2))=18),"NW","Other")),"Other")</f>
        <v>EC</v>
      </c>
      <c r="AH69" s="86" t="str">
        <f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157-03 --locoid 4030 --swversion DE.1.0.9.0 --startMP 204:449 --initTime 2017-04-03T10:40:19 --startdatetime 2017-04-03T10:45:14 --delay 1 --endMP 204:233316 --enddatetime 2017-04-03T11:24:06 --enforcementcount 0 &gt;&gt;C:\Users\stu\Documents\GitHub\eaglep3-reporting\EC\2017-04-03-refined-times.txt</v>
      </c>
      <c r="AI69" s="104" t="str">
        <f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Z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{"issue":{"subject":"","project_id":79,"tracker_id":40,"status_id":1,"priority_id":2,"assigned_to_id":23,"start_date":"2017-04-03","description":"","custom_fields":[{"id":1,"name":"Subdivision","value":"EC"},{"id":4,"name":"Milepost","value":"23.3316"},{"id":17,"name":"Train ID","value":"157-03"},{"id":16,"name":"Locomotive ID","value":"4030"},{"id":130,"name":"Impact","value":""},{"id":150,"name":"Time of Event (Mountain Time)","value":"11:24:06"},{"id":151,"name":"Denver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>"start /low /b "&amp;dls3logs&amp;" --loco "&amp;B69&amp;" --day "&amp;TEXT(F69,"YYYY-MM-DD")</f>
        <v>start /low /b %USERPROFILE%\Documents\GitHub\eaglep3\Utilities\DownloadLogsFromS3.py --loco 4030 --day 2017-04-03</v>
      </c>
      <c r="AN69" s="159" t="str">
        <f>"echo {""issue"":{""subject"":"""&amp;R69&amp;""",""project_id"":30,""tracker_id"":4,""status_id"":"&amp;redmine_status_wcr&amp;",""priority_id"":"&amp;redmine_priority_wcr&amp;",""assigned_to_id"":"&amp;redmine_assignee_wcr&amp;",""start_date"":"""&amp;TEXT(I69-utc_offset/24,"YYYY-mm-dd")&amp;""",""description"":"""&amp;AJ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707</v>
      </c>
      <c r="B70" s="7">
        <v>4029</v>
      </c>
      <c r="C70" s="21" t="s">
        <v>217</v>
      </c>
      <c r="D70" s="21" t="s">
        <v>439</v>
      </c>
      <c r="E70" s="13">
        <v>42828.480868055558</v>
      </c>
      <c r="F70" s="13">
        <v>42828.487025462964</v>
      </c>
      <c r="G70" s="7">
        <v>1</v>
      </c>
      <c r="H70" s="21" t="s">
        <v>213</v>
      </c>
      <c r="I70" s="13">
        <v>42828.515127314815</v>
      </c>
      <c r="J70" s="7">
        <v>0</v>
      </c>
      <c r="K70" s="97" t="str">
        <f>IF(ISEVEN(B70),(B70-1)&amp;"/"&amp;B70,B70&amp;"/"&amp;(B70+1))</f>
        <v>4029/4030</v>
      </c>
      <c r="L70" s="21" t="str">
        <f>VLOOKUP(A70,'Trips&amp;Operators'!$C$1:$G$99999,5,FALSE)</f>
        <v>ROBINSON KADDIBA</v>
      </c>
      <c r="M70" s="6">
        <f>I70-F70</f>
        <v>2.810185185080627E-2</v>
      </c>
      <c r="N70" s="7">
        <f>24*60*SUM($M70:$M70)</f>
        <v>40.466666665161029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-04-03T10:32:27-0600',mode:absolute,to:'2017-04-03T13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0" s="183" t="str">
        <f>IF(AA70&lt;IF(AG70="EC",23,5.65),"Y","N")</f>
        <v>N</v>
      </c>
      <c r="X70" s="183">
        <f>VALUE(LEFT(AD70,4))-VALUE(LEFT(AD69,4))</f>
        <v>1</v>
      </c>
      <c r="Y70" s="62">
        <f>RIGHT(D70,LEN(D70)-4)/10000</f>
        <v>23.298400000000001</v>
      </c>
      <c r="Z70" s="62">
        <f>RIGHT(H70,LEN(H70)-4)/10000</f>
        <v>1.5599999999999999E-2</v>
      </c>
      <c r="AA70" s="62">
        <f>ABS(Z70-Y70)</f>
        <v>23.282800000000002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>IF(LEN(A70)=6,"0"&amp;A70,A70)</f>
        <v>0158-03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70" s="82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/stypes="app*4029*20170403*" /stext=" 18:.+((SYSTEM_STATE.+slice.+state.+changed )|(ment ac)|(multiple cpu faults)|(system.+state.+changed )|(\[timeout)|(PRM\|1\|D)|(kpr)|(kdp)|(\|lc)|(penalty))"</v>
      </c>
      <c r="AG70" s="1" t="str">
        <f>IFERROR(IF(VALUE(LEFT(AD70,2))&lt;=2,"EC",IF(OR(VALUE(LEFT(AD70,2))=8,VALUE(LEFT(AD70,2))=18),"NW","Other")),"Other")</f>
        <v>EC</v>
      </c>
      <c r="AH70" s="86" t="str">
        <f>refinertdcruntimes&amp;" --tripid "&amp;A70&amp;" --locoid "&amp;B70&amp;" --swversion "&amp;C70&amp;" --startMP "&amp;D70&amp;" --initTime "&amp;TEXT(E70,"yyyy-mm-ddTHH:MM:SS")&amp;" --startdatetime "&amp;TEXT(F70,"yyyy-mm-ddTHH:MM:SS")&amp;" --delay "&amp;G70&amp;" --endMP "&amp;H70&amp;" --enddatetime "&amp;TEXT(I70,"yyyy-mm-ddTHH:MM:SS")&amp;" --enforcementcount "&amp;J70&amp;IF(outputrefinedruntimes," &gt;&gt;"&amp;RefinedRTDCRunTimesOutputFile,"")</f>
        <v>"%USERPROFILE%\Documents\GitHub\eaglep3\Utilities\RefineRTDCRunTimes.py" --tripid 158-03 --locoid 4029 --swversion DE.1.0.9.0 --startMP 204:232984 --initTime 2017-04-03T11:32:27 --startdatetime 2017-04-03T11:41:19 --delay 1 --endMP 204:156 --enddatetime 2017-04-03T12:21:47 --enforcementcount 0 &gt;&gt;C:\Users\stu\Documents\GitHub\eaglep3-reporting\EC\2017-04-03-refined-times.txt</v>
      </c>
      <c r="AI70" s="104" t="str">
        <f>"echo {""issue"":{""subject"":"""&amp;R70&amp;""",""project_id"":79,""tracker_id"":40,""status_id"":"&amp;redmine_status&amp;",""priority_id"":"&amp;redmine_priority&amp;",""assigned_to_id"":"&amp;redmine_assignee&amp;",""start_date"":"""&amp;TEXT(I70,"YYYY-mm-dd")&amp;""",""description"":"""&amp;AJ70&amp;""",""custom_fields"":[{""id"":1,""name"":""Subdivision"",""value"":"""&amp;AG70&amp;"""},{""id"":4,""name"":""Milepost"",""value"":"""&amp;Z70&amp;"""},{""id"":17,""name"":""Train ID"",""value"":"""&amp;A70&amp;"""},{""id"":16,""name"":""Locomotive ID"",""value"":"""&amp;B70&amp;"""},{""id"":130,""name"":""Impact"",""value"":"""&amp;AK70&amp;"""},{""id"":150,""name"":""Time of Event (Mountain Time)"",""value"":"""&amp;TEXT(I70,"hh:mm:ss")&amp;"""},{""id"":151,""name"":""Denver Issue ID"",""value"":"""&amp;"""},{""id"":178,""name"":""Operational Impact"",""value"":"""&amp;redmine_op_impact&amp;"""},{""id"":179,""name"":""Denver Segment Assigned"",""value"":"""&amp;AL70&amp;"""}]}}"&amp;"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{"issue":{"subject":"","project_id":79,"tracker_id":40,"status_id":1,"priority_id":2,"assigned_to_id":23,"start_date":"2017-04-03","description":"","custom_fields":[{"id":1,"name":"Subdivision","value":"EC"},{"id":4,"name":"Milepost","value":"0.0156"},{"id":17,"name":"Train ID","value":"158-03"},{"id":16,"name":"Locomotive ID","value":"4029"},{"id":130,"name":"Impact","value":""},{"id":150,"name":"Time of Event (Mountain Time)","value":"12:21:47"},{"id":151,"name":"Denver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>"start /low /b "&amp;dls3logs&amp;" --loco "&amp;B70&amp;" --day "&amp;TEXT(F70,"YYYY-MM-DD")</f>
        <v>start /low /b %USERPROFILE%\Documents\GitHub\eaglep3\Utilities\DownloadLogsFromS3.py --loco 4029 --day 2017-04-03</v>
      </c>
      <c r="AN70" s="159" t="str">
        <f>"echo {""issue"":{""subject"":"""&amp;R70&amp;""",""project_id"":30,""tracker_id"":4,""status_id"":"&amp;redmine_status_wcr&amp;",""priority_id"":"&amp;redmine_priority_wcr&amp;",""assigned_to_id"":"&amp;redmine_assignee_wcr&amp;",""start_date"":"""&amp;TEXT(I70-utc_offset/24,"YYYY-mm-dd")&amp;""",""description"":"""&amp;AJ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698</v>
      </c>
      <c r="B71" s="7">
        <v>4044</v>
      </c>
      <c r="C71" s="21" t="s">
        <v>217</v>
      </c>
      <c r="D71" s="21" t="s">
        <v>546</v>
      </c>
      <c r="E71" s="13">
        <v>42828.456203703703</v>
      </c>
      <c r="F71" s="13">
        <v>42828.460231481484</v>
      </c>
      <c r="G71" s="7">
        <v>2</v>
      </c>
      <c r="H71" s="21" t="s">
        <v>487</v>
      </c>
      <c r="I71" s="13">
        <v>42828.493437500001</v>
      </c>
      <c r="J71" s="7">
        <v>0</v>
      </c>
      <c r="K71" s="97" t="str">
        <f>IF(ISEVEN(B71),(B71-1)&amp;"/"&amp;B71,B71&amp;"/"&amp;(B71+1))</f>
        <v>4043/4044</v>
      </c>
      <c r="L71" s="21" t="str">
        <f>VLOOKUP(A71,'Trips&amp;Operators'!$C$1:$G$99999,5,FALSE)</f>
        <v>CLAIBORNE MIKE</v>
      </c>
      <c r="M71" s="6">
        <f>I71-F71</f>
        <v>3.3206018517375924E-2</v>
      </c>
      <c r="N71" s="7">
        <f>24*60*SUM($M71:$M71)</f>
        <v>47.81666666502133</v>
      </c>
      <c r="O71" s="7"/>
      <c r="P71" s="7"/>
      <c r="Q71" s="22"/>
      <c r="R71" s="22" t="s">
        <v>1048</v>
      </c>
      <c r="S71" s="31">
        <f>SUM(U71:U71)/IF(AG71="EC",12,1)</f>
        <v>1</v>
      </c>
      <c r="T71" s="46" t="str">
        <f>IF(ISEVEN(LEFT(AD71,4)),"Southbound","NorthBound")</f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-04-03T09:56:56-0600',mode:absolute,to:'2017-04-03T12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1" s="183" t="str">
        <f>IF(AA71&lt;IF(AG71="EC",23,5.65),"Y","N")</f>
        <v>N</v>
      </c>
      <c r="X71" s="183">
        <f>VALUE(LEFT(AD71,4))-VALUE(LEFT(AD70,4))</f>
        <v>1</v>
      </c>
      <c r="Y71" s="62">
        <f>RIGHT(D71,LEN(D71)-4)/10000</f>
        <v>4.58E-2</v>
      </c>
      <c r="Z71" s="62">
        <f>RIGHT(H71,LEN(H71)-4)/10000</f>
        <v>23.331</v>
      </c>
      <c r="AA71" s="62">
        <f>ABS(Z71-Y71)</f>
        <v>23.2852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>IF(LEN(A71)=6,"0"&amp;A71,A71)</f>
        <v>0159-03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71" s="82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/stypes="app*4044*20170403*" /stext=" 17:.+((SYSTEM_STATE.+slice.+state.+changed )|(ment ac)|(multiple cpu faults)|(system.+state.+changed )|(\[timeout)|(PRM\|1\|D)|(kpr)|(kdp)|(\|lc)|(penalty))"</v>
      </c>
      <c r="AG71" s="1" t="str">
        <f>IFERROR(IF(VALUE(LEFT(AD71,2))&lt;=2,"EC",IF(OR(VALUE(LEFT(AD71,2))=8,VALUE(LEFT(AD71,2))=18),"NW","Other")),"Other")</f>
        <v>EC</v>
      </c>
      <c r="AH71" s="86" t="str">
        <f>refinertdcruntimes&amp;" --tripid "&amp;A71&amp;" --locoid "&amp;B71&amp;" --swversion "&amp;C71&amp;" --startMP "&amp;D71&amp;" --initTime "&amp;TEXT(E71,"yyyy-mm-ddTHH:MM:SS")&amp;" --startdatetime "&amp;TEXT(F71,"yyyy-mm-ddTHH:MM:SS")&amp;" --delay "&amp;G71&amp;" --endMP "&amp;H71&amp;" --enddatetime "&amp;TEXT(I71,"yyyy-mm-ddTHH:MM:SS")&amp;" --enforcementcount "&amp;J71&amp;IF(outputrefinedruntimes," &gt;&gt;"&amp;RefinedRTDCRunTimesOutputFile,"")</f>
        <v>"%USERPROFILE%\Documents\GitHub\eaglep3\Utilities\RefineRTDCRunTimes.py" --tripid 159-03 --locoid 4044 --swversion DE.1.0.9.0 --startMP 204:458 --initTime 2017-04-03T10:56:56 --startdatetime 2017-04-03T11:02:44 --delay 2 --endMP 204:233310 --enddatetime 2017-04-03T11:50:33 --enforcementcount 0 &gt;&gt;C:\Users\stu\Documents\GitHub\eaglep3-reporting\EC\2017-04-03-refined-times.txt</v>
      </c>
      <c r="AI71" s="104" t="str">
        <f>"echo {""issue"":{""subject"":"""&amp;R71&amp;""",""project_id"":79,""tracker_id"":40,""status_id"":"&amp;redmine_status&amp;",""priority_id"":"&amp;redmine_priority&amp;",""assigned_to_id"":"&amp;redmine_assignee&amp;",""start_date"":"""&amp;TEXT(I71,"YYYY-mm-dd")&amp;""",""description"":"""&amp;AJ71&amp;""",""custom_fields"":[{""id"":1,""name"":""Subdivision"",""value"":"""&amp;AG71&amp;"""},{""id"":4,""name"":""Milepost"",""value"":"""&amp;Z71&amp;"""},{""id"":17,""name"":""Train ID"",""value"":"""&amp;A71&amp;"""},{""id"":16,""name"":""Locomotive ID"",""value"":"""&amp;B71&amp;"""},{""id"":130,""name"":""Impact"",""value"":"""&amp;AK71&amp;"""},{""id"":150,""name"":""Time of Event (Mountain Time)"",""value"":"""&amp;TEXT(I71,"hh:mm:ss")&amp;"""},{""id"":151,""name"":""Denver Issue ID"",""value"":"""&amp;"""},{""id"":178,""name"":""Operational Impact"",""value"":"""&amp;redmine_op_impact&amp;"""},{""id"":179,""name"":""Denver Segment Assigned"",""value"":"""&amp;AL71&amp;"""}]}}"&amp;" | curl -X POST -H ""Content-Type: application/json"" -H ""X-Redmine-API-Key: "&amp;redm_api_key&amp;""" "&amp;redm_url&amp;" --data @-"</f>
        <v>echo {"issue":{"subject":"Wi-MAX data drop, no enforcement","project_id":79,"tracker_id":40,"status_id":1,"priority_id":2,"assigned_to_id":23,"start_date":"2017-04-03","description":"","custom_fields":[{"id":1,"name":"Subdivision","value":"EC"},{"id":4,"name":"Milepost","value":"23.331"},{"id":17,"name":"Train ID","value":"159-03"},{"id":16,"name":"Locomotive ID","value":"4044"},{"id":130,"name":"Impact","value":""},{"id":150,"name":"Time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/>
      <c r="AK71" s="48"/>
      <c r="AL71" s="48"/>
      <c r="AM71" s="150" t="str">
        <f>"start /low /b "&amp;dls3logs&amp;" --loco "&amp;B71&amp;" --day "&amp;TEXT(F71,"YYYY-MM-DD")</f>
        <v>start /low /b %USERPROFILE%\Documents\GitHub\eaglep3\Utilities\DownloadLogsFromS3.py --loco 4044 --day 2017-04-03</v>
      </c>
      <c r="AN71" s="159" t="str">
        <f>"echo {""issue"":{""subject"":"""&amp;R71&amp;""",""project_id"":30,""tracker_id"":4,""status_id"":"&amp;redmine_status_wcr&amp;",""priority_id"":"&amp;redmine_priority_wcr&amp;",""assigned_to_id"":"&amp;redmine_assignee_wcr&amp;",""start_date"":"""&amp;TEXT(I71-utc_offset/24,"YYYY-mm-dd")&amp;""",""description"":"""&amp;AJ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{"issue":{"subject":"Wi-MAX data drop, no enforcement","project_id":30,"tracker_id":4,"status_id":1,"priority_id":1,"assigned_to_id":10,"start_date":"2017-04-03","description":"","custom_fields":[{"id":30,"name":"Category","value":"Issue"},{"id":3,"name":"Functional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711</v>
      </c>
      <c r="B72" s="7">
        <v>4043</v>
      </c>
      <c r="C72" s="21" t="s">
        <v>217</v>
      </c>
      <c r="D72" s="21" t="s">
        <v>852</v>
      </c>
      <c r="E72" s="13">
        <v>42828.495057870372</v>
      </c>
      <c r="F72" s="13">
        <v>42828.497615740744</v>
      </c>
      <c r="G72" s="7">
        <v>1</v>
      </c>
      <c r="H72" s="21" t="s">
        <v>444</v>
      </c>
      <c r="I72" s="13">
        <v>42828.527395833335</v>
      </c>
      <c r="J72" s="7">
        <v>0</v>
      </c>
      <c r="K72" s="97" t="str">
        <f>IF(ISEVEN(B72),(B72-1)&amp;"/"&amp;B72,B72&amp;"/"&amp;(B72+1))</f>
        <v>4043/4044</v>
      </c>
      <c r="L72" s="21" t="str">
        <f>VLOOKUP(A72,'Trips&amp;Operators'!$C$1:$G$99999,5,FALSE)</f>
        <v>CLAIBORNE MIKE</v>
      </c>
      <c r="M72" s="6">
        <f>I72-F72</f>
        <v>2.9780092590954155E-2</v>
      </c>
      <c r="N72" s="7">
        <f>24*60*SUM($M72:$M72)</f>
        <v>42.883333330973983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-04-03T10:52:53-0600',mode:absolute,to:'2017-04-03T13:39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2" s="183" t="str">
        <f>IF(AA72&lt;IF(AG72="EC",23,5.65),"Y","N")</f>
        <v>N</v>
      </c>
      <c r="X72" s="183">
        <f>VALUE(LEFT(AD72,4))-VALUE(LEFT(AD71,4))</f>
        <v>1</v>
      </c>
      <c r="Y72" s="62">
        <f>RIGHT(D72,LEN(D72)-4)/10000</f>
        <v>23.3032</v>
      </c>
      <c r="Z72" s="62">
        <f>RIGHT(H72,LEN(H72)-4)/10000</f>
        <v>1.38E-2</v>
      </c>
      <c r="AA72" s="62">
        <f>ABS(Z72-Y72)</f>
        <v>23.289400000000001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>IF(LEN(A72)=6,"0"&amp;A72,A72)</f>
        <v>0160-03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72" s="82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/stypes="app*4043*20170403*" /stext=" 18:.+((SYSTEM_STATE.+slice.+state.+changed )|(ment ac)|(multiple cpu faults)|(system.+state.+changed )|(\[timeout)|(PRM\|1\|D)|(kpr)|(kdp)|(\|lc)|(penalty))"</v>
      </c>
      <c r="AG72" s="1" t="str">
        <f>IFERROR(IF(VALUE(LEFT(AD72,2))&lt;=2,"EC",IF(OR(VALUE(LEFT(AD72,2))=8,VALUE(LEFT(AD72,2))=18),"NW","Other")),"Other")</f>
        <v>EC</v>
      </c>
      <c r="AH72" s="86" t="str">
        <f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160-03 --locoid 4043 --swversion DE.1.0.9.0 --startMP 204:233032 --initTime 2017-04-03T11:52:53 --startdatetime 2017-04-03T11:56:34 --delay 1 --endMP 204:138 --enddatetime 2017-04-03T12:39:27 --enforcementcount 0 &gt;&gt;C:\Users\stu\Documents\GitHub\eaglep3-reporting\EC\2017-04-03-refined-times.txt</v>
      </c>
      <c r="AI72" s="104" t="str">
        <f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{"issue":{"subject":"","project_id":79,"tracker_id":40,"status_id":1,"priority_id":2,"assigned_to_id":23,"start_date":"2017-04-03","description":"","custom_fields":[{"id":1,"name":"Subdivision","value":"EC"},{"id":4,"name":"Milepost","value":"0.0138"},{"id":17,"name":"Train ID","value":"160-03"},{"id":16,"name":"Locomotive ID","value":"4043"},{"id":130,"name":"Impact","value":""},{"id":150,"name":"Time of Event (Mountain Time)","value":"12:39:27"},{"id":151,"name":"Denver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>"start /low /b "&amp;dls3logs&amp;" --loco "&amp;B72&amp;" --day "&amp;TEXT(F72,"YYYY-MM-DD")</f>
        <v>start /low /b %USERPROFILE%\Documents\GitHub\eaglep3\Utilities\DownloadLogsFromS3.py --loco 4043 --day 2017-04-03</v>
      </c>
      <c r="AN72" s="159" t="str">
        <f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702</v>
      </c>
      <c r="B73" s="7">
        <v>4028</v>
      </c>
      <c r="C73" s="21" t="s">
        <v>217</v>
      </c>
      <c r="D73" s="21" t="s">
        <v>546</v>
      </c>
      <c r="E73" s="13">
        <v>42828.46738425926</v>
      </c>
      <c r="F73" s="13">
        <v>42828.470381944448</v>
      </c>
      <c r="G73" s="7">
        <v>3</v>
      </c>
      <c r="H73" s="21" t="s">
        <v>853</v>
      </c>
      <c r="I73" s="13">
        <v>42828.501863425925</v>
      </c>
      <c r="J73" s="7">
        <v>0</v>
      </c>
      <c r="K73" s="97" t="str">
        <f>IF(ISEVEN(B73),(B73-1)&amp;"/"&amp;B73,B73&amp;"/"&amp;(B73+1))</f>
        <v>4027/4028</v>
      </c>
      <c r="L73" s="21" t="str">
        <f>VLOOKUP(A73,'Trips&amp;Operators'!$C$1:$G$99999,5,FALSE)</f>
        <v>DAVIS MICHAEL</v>
      </c>
      <c r="M73" s="6">
        <f>I73-F73</f>
        <v>3.1481481477385387E-2</v>
      </c>
      <c r="N73" s="7">
        <f>24*60*SUM($M73:$M73)</f>
        <v>45.333333327434957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-04-03T10:13:02-0600',mode:absolute,to:'2017-04-03T13:02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3" s="183" t="str">
        <f>IF(AA73&lt;IF(AG73="EC",23,5.65),"Y","N")</f>
        <v>N</v>
      </c>
      <c r="X73" s="183">
        <f>VALUE(LEFT(AD73,4))-VALUE(LEFT(AD72,4))</f>
        <v>1</v>
      </c>
      <c r="Y73" s="62">
        <f>RIGHT(D73,LEN(D73)-4)/10000</f>
        <v>4.58E-2</v>
      </c>
      <c r="Z73" s="62">
        <f>RIGHT(H73,LEN(H73)-4)/10000</f>
        <v>23.327200000000001</v>
      </c>
      <c r="AA73" s="62">
        <f>ABS(Z73-Y73)</f>
        <v>23.281400000000001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>IF(LEN(A73)=6,"0"&amp;A73,A73)</f>
        <v>0161-03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73" s="82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/stypes="app*4028*20170403*" /stext=" 18:.+((SYSTEM_STATE.+slice.+state.+changed )|(ment ac)|(multiple cpu faults)|(system.+state.+changed )|(\[timeout)|(PRM\|1\|D)|(kpr)|(kdp)|(\|lc)|(penalty))"</v>
      </c>
      <c r="AG73" s="1" t="str">
        <f>IFERROR(IF(VALUE(LEFT(AD73,2))&lt;=2,"EC",IF(OR(VALUE(LEFT(AD73,2))=8,VALUE(LEFT(AD73,2))=18),"NW","Other")),"Other")</f>
        <v>EC</v>
      </c>
      <c r="AH73" s="86" t="str">
        <f>refinertdcruntimes&amp;" --tripid "&amp;A73&amp;" --locoid "&amp;B73&amp;" --swversion "&amp;C73&amp;" --startMP "&amp;D73&amp;" --initTime "&amp;TEXT(E73,"yyyy-mm-ddTHH:MM:SS")&amp;" --startdatetime "&amp;TEXT(F73,"yyyy-mm-ddTHH:MM:SS")&amp;" --delay "&amp;G73&amp;" --endMP "&amp;H73&amp;" --enddatetime "&amp;TEXT(I73,"yyyy-mm-ddTHH:MM:SS")&amp;" --enforcementcount "&amp;J73&amp;IF(outputrefinedruntimes," &gt;&gt;"&amp;RefinedRTDCRunTimesOutputFile,"")</f>
        <v>"%USERPROFILE%\Documents\GitHub\eaglep3\Utilities\RefineRTDCRunTimes.py" --tripid 161-03 --locoid 4028 --swversion DE.1.0.9.0 --startMP 204:458 --initTime 2017-04-03T11:13:02 --startdatetime 2017-04-03T11:17:21 --delay 3 --endMP 204:233272 --enddatetime 2017-04-03T12:02:41 --enforcementcount 0 &gt;&gt;C:\Users\stu\Documents\GitHub\eaglep3-reporting\EC\2017-04-03-refined-times.txt</v>
      </c>
      <c r="AI73" s="104" t="str">
        <f>"echo {""issue"":{""subject"":"""&amp;R73&amp;""",""project_id"":79,""tracker_id"":40,""status_id"":"&amp;redmine_status&amp;",""priority_id"":"&amp;redmine_priority&amp;",""assigned_to_id"":"&amp;redmine_assignee&amp;",""start_date"":"""&amp;TEXT(I73,"YYYY-mm-dd")&amp;""",""description"":"""&amp;AJ73&amp;""",""custom_fields"":[{""id"":1,""name"":""Subdivision"",""value"":"""&amp;AG73&amp;"""},{""id"":4,""name"":""Milepost"",""value"":"""&amp;Z73&amp;"""},{""id"":17,""name"":""Train ID"",""value"":"""&amp;A73&amp;"""},{""id"":16,""name"":""Locomotive ID"",""value"":"""&amp;B73&amp;"""},{""id"":130,""name"":""Impact"",""value"":"""&amp;AK73&amp;"""},{""id"":150,""name"":""Time of Event (Mountain Time)"",""value"":"""&amp;TEXT(I73,"hh:mm:ss")&amp;"""},{""id"":151,""name"":""Denver Issue ID"",""value"":"""&amp;"""},{""id"":178,""name"":""Operational Impact"",""value"":"""&amp;redmine_op_impact&amp;"""},{""id"":179,""name"":""Denver Segment Assigned"",""value"":"""&amp;AL73&amp;"""}]}}"&amp;"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{"issue":{"subject":"","project_id":79,"tracker_id":40,"status_id":1,"priority_id":2,"assigned_to_id":23,"start_date":"2017-04-03","description":"","custom_fields":[{"id":1,"name":"Subdivision","value":"EC"},{"id":4,"name":"Milepost","value":"23.3272"},{"id":17,"name":"Train ID","value":"161-03"},{"id":16,"name":"Locomotive ID","value":"4028"},{"id":130,"name":"Impact","value":""},{"id":150,"name":"Time of Event (Mountain Time)","value":"12:02:41"},{"id":151,"name":"Denver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>"start /low /b "&amp;dls3logs&amp;" --loco "&amp;B73&amp;" --day "&amp;TEXT(F73,"YYYY-MM-DD")</f>
        <v>start /low /b %USERPROFILE%\Documents\GitHub\eaglep3\Utilities\DownloadLogsFromS3.py --loco 4028 --day 2017-04-03</v>
      </c>
      <c r="AN73" s="159" t="str">
        <f>"echo {""issue"":{""subject"":"""&amp;R73&amp;""",""project_id"":30,""tracker_id"":4,""status_id"":"&amp;redmine_status_wcr&amp;",""priority_id"":"&amp;redmine_priority_wcr&amp;",""assigned_to_id"":"&amp;redmine_assignee_wcr&amp;",""start_date"":"""&amp;TEXT(I73-utc_offset/24,"YYYY-mm-dd")&amp;""",""description"":"""&amp;AJ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713</v>
      </c>
      <c r="B74" s="7">
        <v>4027</v>
      </c>
      <c r="C74" s="21" t="s">
        <v>217</v>
      </c>
      <c r="D74" s="21" t="s">
        <v>474</v>
      </c>
      <c r="E74" s="13">
        <v>42828.506145833337</v>
      </c>
      <c r="F74" s="13">
        <v>42828.508206018516</v>
      </c>
      <c r="G74" s="7">
        <v>1</v>
      </c>
      <c r="H74" s="21" t="s">
        <v>854</v>
      </c>
      <c r="I74" s="13">
        <v>42828.536724537036</v>
      </c>
      <c r="J74" s="7">
        <v>0</v>
      </c>
      <c r="K74" s="97" t="str">
        <f>IF(ISEVEN(B74),(B74-1)&amp;"/"&amp;B74,B74&amp;"/"&amp;(B74+1))</f>
        <v>4027/4028</v>
      </c>
      <c r="L74" s="21" t="str">
        <f>VLOOKUP(A74,'Trips&amp;Operators'!$C$1:$G$99999,5,FALSE)</f>
        <v>DAVIS MICHAEL</v>
      </c>
      <c r="M74" s="6">
        <f>I74-F74</f>
        <v>2.8518518520286307E-2</v>
      </c>
      <c r="N74" s="7">
        <f>24*60*SUM($M74:$M74)</f>
        <v>41.066666669212282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-04-03T11:08:51-0600',mode:absolute,to:'2017-04-03T13:52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4" s="183" t="str">
        <f>IF(AA74&lt;IF(AG74="EC",23,5.65),"Y","N")</f>
        <v>N</v>
      </c>
      <c r="X74" s="183">
        <f>VALUE(LEFT(AD74,4))-VALUE(LEFT(AD73,4))</f>
        <v>1</v>
      </c>
      <c r="Y74" s="62">
        <f>RIGHT(D74,LEN(D74)-4)/10000</f>
        <v>23.299199999999999</v>
      </c>
      <c r="Z74" s="62">
        <f>RIGHT(H74,LEN(H74)-4)/10000</f>
        <v>2.2100000000000002E-2</v>
      </c>
      <c r="AA74" s="62">
        <f>ABS(Z74-Y74)</f>
        <v>23.277100000000001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>IF(LEN(A74)=6,"0"&amp;A74,A74)</f>
        <v>0162-03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74" s="82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/stypes="app*4027*20170403*" /stext=" 18:.+((SYSTEM_STATE.+slice.+state.+changed )|(ment ac)|(multiple cpu faults)|(system.+state.+changed )|(\[timeout)|(PRM\|1\|D)|(kpr)|(kdp)|(\|lc)|(penalty))"</v>
      </c>
      <c r="AG74" s="1" t="str">
        <f>IFERROR(IF(VALUE(LEFT(AD74,2))&lt;=2,"EC",IF(OR(VALUE(LEFT(AD74,2))=8,VALUE(LEFT(AD74,2))=18),"NW","Other")),"Other")</f>
        <v>EC</v>
      </c>
      <c r="AH74" s="86" t="str">
        <f>refinertdcruntimes&amp;" --tripid "&amp;A74&amp;" --locoid "&amp;B74&amp;" --swversion "&amp;C74&amp;" --startMP "&amp;D74&amp;" --initTime "&amp;TEXT(E74,"yyyy-mm-ddTHH:MM:SS")&amp;" --startdatetime "&amp;TEXT(F74,"yyyy-mm-ddTHH:MM:SS")&amp;" --delay "&amp;G74&amp;" --endMP "&amp;H74&amp;" --enddatetime "&amp;TEXT(I74,"yyyy-mm-ddTHH:MM:SS")&amp;" --enforcementcount "&amp;J74&amp;IF(outputrefinedruntimes," &gt;&gt;"&amp;RefinedRTDCRunTimesOutputFile,"")</f>
        <v>"%USERPROFILE%\Documents\GitHub\eaglep3\Utilities\RefineRTDCRunTimes.py" --tripid 162-03 --locoid 4027 --swversion DE.1.0.9.0 --startMP 204:232992 --initTime 2017-04-03T12:08:51 --startdatetime 2017-04-03T12:11:49 --delay 1 --endMP 204:221 --enddatetime 2017-04-03T12:52:53 --enforcementcount 0 &gt;&gt;C:\Users\stu\Documents\GitHub\eaglep3-reporting\EC\2017-04-03-refined-times.txt</v>
      </c>
      <c r="AI74" s="104" t="str">
        <f>"echo {""issue"":{""subject"":"""&amp;R74&amp;""",""project_id"":79,""tracker_id"":40,""status_id"":"&amp;redmine_status&amp;",""priority_id"":"&amp;redmine_priority&amp;",""assigned_to_id"":"&amp;redmine_assignee&amp;",""start_date"":"""&amp;TEXT(I74,"YYYY-mm-dd")&amp;""",""description"":"""&amp;AJ74&amp;""",""custom_fields"":[{""id"":1,""name"":""Subdivision"",""value"":"""&amp;AG74&amp;"""},{""id"":4,""name"":""Milepost"",""value"":"""&amp;Z74&amp;"""},{""id"":17,""name"":""Train ID"",""value"":"""&amp;A74&amp;"""},{""id"":16,""name"":""Locomotive ID"",""value"":"""&amp;B74&amp;"""},{""id"":130,""name"":""Impact"",""value"":"""&amp;AK74&amp;"""},{""id"":150,""name"":""Time of Event (Mountain Time)"",""value"":"""&amp;TEXT(I74,"hh:mm:ss")&amp;"""},{""id"":151,""name"":""Denver Issue ID"",""value"":"""&amp;"""},{""id"":178,""name"":""Operational Impact"",""value"":"""&amp;redmine_op_impact&amp;"""},{""id"":179,""name"":""Denver Segment Assigned"",""value"":"""&amp;AL74&amp;"""}]}}"&amp;"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{"issue":{"subject":"","project_id":79,"tracker_id":40,"status_id":1,"priority_id":2,"assigned_to_id":23,"start_date":"2017-04-03","description":"","custom_fields":[{"id":1,"name":"Subdivision","value":"EC"},{"id":4,"name":"Milepost","value":"0.0221"},{"id":17,"name":"Train ID","value":"162-03"},{"id":16,"name":"Locomotive ID","value":"4027"},{"id":130,"name":"Impact","value":""},{"id":150,"name":"Time of Event (Mountain Time)","value":"12:52:53"},{"id":151,"name":"Denver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>"start /low /b "&amp;dls3logs&amp;" --loco "&amp;B74&amp;" --day "&amp;TEXT(F74,"YYYY-MM-DD")</f>
        <v>start /low /b %USERPROFILE%\Documents\GitHub\eaglep3\Utilities\DownloadLogsFromS3.py --loco 4027 --day 2017-04-03</v>
      </c>
      <c r="AN74" s="159" t="str">
        <f>"echo {""issue"":{""subject"":"""&amp;R74&amp;""",""project_id"":30,""tracker_id"":4,""status_id"":"&amp;redmine_status_wcr&amp;",""priority_id"":"&amp;redmine_priority_wcr&amp;",""assigned_to_id"":"&amp;redmine_assignee_wcr&amp;",""start_date"":"""&amp;TEXT(I74-utc_offset/24,"YYYY-mm-dd")&amp;""",""description"":"""&amp;AJ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704</v>
      </c>
      <c r="B75" s="7">
        <v>4018</v>
      </c>
      <c r="C75" s="21" t="s">
        <v>217</v>
      </c>
      <c r="D75" s="21" t="s">
        <v>430</v>
      </c>
      <c r="E75" s="13">
        <v>42828.478194444448</v>
      </c>
      <c r="F75" s="13">
        <v>42828.479930555557</v>
      </c>
      <c r="G75" s="7">
        <v>1</v>
      </c>
      <c r="H75" s="21" t="s">
        <v>855</v>
      </c>
      <c r="I75" s="13">
        <v>42828.506805555553</v>
      </c>
      <c r="J75" s="7">
        <v>0</v>
      </c>
      <c r="K75" s="97" t="str">
        <f>IF(ISEVEN(B75),(B75-1)&amp;"/"&amp;B75,B75&amp;"/"&amp;(B75+1))</f>
        <v>4017/4018</v>
      </c>
      <c r="L75" s="21" t="str">
        <f>VLOOKUP(A75,'Trips&amp;Operators'!$C$1:$G$99999,5,FALSE)</f>
        <v>CLARK KATHLEEN</v>
      </c>
      <c r="M75" s="6">
        <f>I75-F75</f>
        <v>2.6874999995925464E-2</v>
      </c>
      <c r="N75" s="7">
        <f>24*60*SUM($M75:$M75)</f>
        <v>38.699999994132668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-04-03T10:28:36-0600',mode:absolute,to:'2017-04-03T13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5" s="183" t="str">
        <f>IF(AA75&lt;IF(AG75="EC",23,5.65),"Y","N")</f>
        <v>N</v>
      </c>
      <c r="X75" s="183">
        <f>VALUE(LEFT(AD75,4))-VALUE(LEFT(AD74,4))</f>
        <v>1</v>
      </c>
      <c r="Y75" s="62">
        <f>RIGHT(D75,LEN(D75)-4)/10000</f>
        <v>4.6399999999999997E-2</v>
      </c>
      <c r="Z75" s="62">
        <f>RIGHT(H75,LEN(H75)-4)/10000</f>
        <v>23.328499999999998</v>
      </c>
      <c r="AA75" s="62">
        <f>ABS(Z75-Y75)</f>
        <v>23.2821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>IF(LEN(A75)=6,"0"&amp;A75,A75)</f>
        <v>0163-03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75" s="82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/stypes="app*4018*20170403*" /stext=" 18:.+((SYSTEM_STATE.+slice.+state.+changed )|(ment ac)|(multiple cpu faults)|(system.+state.+changed )|(\[timeout)|(PRM\|1\|D)|(kpr)|(kdp)|(\|lc)|(penalty))"</v>
      </c>
      <c r="AG75" s="1" t="str">
        <f>IFERROR(IF(VALUE(LEFT(AD75,2))&lt;=2,"EC",IF(OR(VALUE(LEFT(AD75,2))=8,VALUE(LEFT(AD75,2))=18),"NW","Other")),"Other")</f>
        <v>EC</v>
      </c>
      <c r="AH75" s="86" t="str">
        <f>refinertdcruntimes&amp;" --tripid "&amp;A75&amp;" --locoid "&amp;B75&amp;" --swversion "&amp;C75&amp;" --startMP "&amp;D75&amp;" --initTime "&amp;TEXT(E75,"yyyy-mm-ddTHH:MM:SS")&amp;" --startdatetime "&amp;TEXT(F75,"yyyy-mm-ddTHH:MM:SS")&amp;" --delay "&amp;G75&amp;" --endMP "&amp;H75&amp;" --enddatetime "&amp;TEXT(I75,"yyyy-mm-ddTHH:MM:SS")&amp;" --enforcementcount "&amp;J75&amp;IF(outputrefinedruntimes," &gt;&gt;"&amp;RefinedRTDCRunTimesOutputFile,"")</f>
        <v>"%USERPROFILE%\Documents\GitHub\eaglep3\Utilities\RefineRTDCRunTimes.py" --tripid 163-03 --locoid 4018 --swversion DE.1.0.9.0 --startMP 204:464 --initTime 2017-04-03T11:28:36 --startdatetime 2017-04-03T11:31:06 --delay 1 --endMP 204:233285 --enddatetime 2017-04-03T12:09:48 --enforcementcount 0 &gt;&gt;C:\Users\stu\Documents\GitHub\eaglep3-reporting\EC\2017-04-03-refined-times.txt</v>
      </c>
      <c r="AI75" s="104" t="str">
        <f>"echo {""issue"":{""subject"":"""&amp;R75&amp;""",""project_id"":79,""tracker_id"":40,""status_id"":"&amp;redmine_status&amp;",""priority_id"":"&amp;redmine_priority&amp;",""assigned_to_id"":"&amp;redmine_assignee&amp;",""start_date"":"""&amp;TEXT(I75,"YYYY-mm-dd")&amp;""",""description"":"""&amp;AJ75&amp;""",""custom_fields"":[{""id"":1,""name"":""Subdivision"",""value"":"""&amp;AG75&amp;"""},{""id"":4,""name"":""Milepost"",""value"":"""&amp;Z75&amp;"""},{""id"":17,""name"":""Train ID"",""value"":"""&amp;A75&amp;"""},{""id"":16,""name"":""Locomotive ID"",""value"":"""&amp;B75&amp;"""},{""id"":130,""name"":""Impact"",""value"":"""&amp;AK75&amp;"""},{""id"":150,""name"":""Time of Event (Mountain Time)"",""value"":"""&amp;TEXT(I75,"hh:mm:ss")&amp;"""},{""id"":151,""name"":""Denver Issue ID"",""value"":"""&amp;"""},{""id"":178,""name"":""Operational Impact"",""value"":"""&amp;redmine_op_impact&amp;"""},{""id"":179,""name"":""Denver Segment Assigned"",""value"":"""&amp;AL75&amp;"""}]}}"&amp;"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{"issue":{"subject":"","project_id":79,"tracker_id":40,"status_id":1,"priority_id":2,"assigned_to_id":23,"start_date":"2017-04-03","description":"","custom_fields":[{"id":1,"name":"Subdivision","value":"EC"},{"id":4,"name":"Milepost","value":"23.3285"},{"id":17,"name":"Train ID","value":"163-03"},{"id":16,"name":"Locomotive ID","value":"4018"},{"id":130,"name":"Impact","value":""},{"id":150,"name":"Time of Event (Mountain Time)","value":"12:09:48"},{"id":151,"name":"Denver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>"start /low /b "&amp;dls3logs&amp;" --loco "&amp;B75&amp;" --day "&amp;TEXT(F75,"YYYY-MM-DD")</f>
        <v>start /low /b %USERPROFILE%\Documents\GitHub\eaglep3\Utilities\DownloadLogsFromS3.py --loco 4018 --day 2017-04-03</v>
      </c>
      <c r="AN75" s="159" t="str">
        <f>"echo {""issue"":{""subject"":"""&amp;R75&amp;""",""project_id"":30,""tracker_id"":4,""status_id"":"&amp;redmine_status_wcr&amp;",""priority_id"":"&amp;redmine_priority_wcr&amp;",""assigned_to_id"":"&amp;redmine_assignee_wcr&amp;",""start_date"":"""&amp;TEXT(I75-utc_offset/24,"YYYY-mm-dd")&amp;""",""description"":"""&amp;AJ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714</v>
      </c>
      <c r="B76" s="7">
        <v>4017</v>
      </c>
      <c r="C76" s="21" t="s">
        <v>217</v>
      </c>
      <c r="D76" s="21" t="s">
        <v>856</v>
      </c>
      <c r="E76" s="13">
        <v>42828.514039351852</v>
      </c>
      <c r="F76" s="13">
        <v>42828.518229166664</v>
      </c>
      <c r="G76" s="7">
        <v>1</v>
      </c>
      <c r="H76" s="21" t="s">
        <v>857</v>
      </c>
      <c r="I76" s="13">
        <v>42828.547222222223</v>
      </c>
      <c r="J76" s="7">
        <v>0</v>
      </c>
      <c r="K76" s="97" t="str">
        <f>IF(ISEVEN(B76),(B76-1)&amp;"/"&amp;B76,B76&amp;"/"&amp;(B76+1))</f>
        <v>4017/4018</v>
      </c>
      <c r="L76" s="21" t="str">
        <f>VLOOKUP(A76,'Trips&amp;Operators'!$C$1:$G$99999,5,FALSE)</f>
        <v>CLARK KATHLEEN</v>
      </c>
      <c r="M76" s="6">
        <f>I76-F76</f>
        <v>2.899305555911269E-2</v>
      </c>
      <c r="N76" s="7">
        <f>24*60*SUM($M76:$M76)</f>
        <v>41.750000005122274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-03T11:20:13-0600',mode:absolute,to:'2017-04-03T14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6" s="183" t="str">
        <f>IF(AA76&lt;IF(AG76="EC",23,5.65),"Y","N")</f>
        <v>N</v>
      </c>
      <c r="X76" s="183">
        <f>VALUE(LEFT(AD76,4))-VALUE(LEFT(AD75,4))</f>
        <v>1</v>
      </c>
      <c r="Y76" s="62">
        <f>RIGHT(D76,LEN(D76)-4)/10000</f>
        <v>23.296399999999998</v>
      </c>
      <c r="Z76" s="62">
        <f>RIGHT(H76,LEN(H76)-4)/10000</f>
        <v>2.47E-2</v>
      </c>
      <c r="AA76" s="62">
        <f>ABS(Z76-Y76)</f>
        <v>23.271699999999999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>IF(LEN(A76)=6,"0"&amp;A76,A76)</f>
        <v>0164-03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76" s="82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/stypes="app*4017*20170403*" /stext=" 19:.+((SYSTEM_STATE.+slice.+state.+changed )|(ment ac)|(multiple cpu faults)|(system.+state.+changed )|(\[timeout)|(PRM\|1\|D)|(kpr)|(kdp)|(\|lc)|(penalty))"</v>
      </c>
      <c r="AG76" s="1" t="str">
        <f>IFERROR(IF(VALUE(LEFT(AD76,2))&lt;=2,"EC",IF(OR(VALUE(LEFT(AD76,2))=8,VALUE(LEFT(AD76,2))=18),"NW","Other")),"Other")</f>
        <v>EC</v>
      </c>
      <c r="AH76" s="86" t="str">
        <f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164-03 --locoid 4017 --swversion DE.1.0.9.0 --startMP 204:232964 --initTime 2017-04-03T12:20:13 --startdatetime 2017-04-03T12:26:15 --delay 1 --endMP 204:247 --enddatetime 2017-04-03T13:08:00 --enforcementcount 0 &gt;&gt;C:\Users\stu\Documents\GitHub\eaglep3-reporting\EC\2017-04-03-refined-times.txt</v>
      </c>
      <c r="AI76" s="104" t="str">
        <f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{"issue":{"subject":"","project_id":79,"tracker_id":40,"status_id":1,"priority_id":2,"assigned_to_id":23,"start_date":"2017-04-03","description":"","custom_fields":[{"id":1,"name":"Subdivision","value":"EC"},{"id":4,"name":"Milepost","value":"0.0247"},{"id":17,"name":"Train ID","value":"164-03"},{"id":16,"name":"Locomotive ID","value":"4017"},{"id":130,"name":"Impact","value":""},{"id":150,"name":"Time of Event (Mountain Time)","value":"13:08:00"},{"id":151,"name":"Denver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>"start /low /b "&amp;dls3logs&amp;" --loco "&amp;B76&amp;" --day "&amp;TEXT(F76,"YYYY-MM-DD")</f>
        <v>start /low /b %USERPROFILE%\Documents\GitHub\eaglep3\Utilities\DownloadLogsFromS3.py --loco 4017 --day 2017-04-03</v>
      </c>
      <c r="AN76" s="159" t="str">
        <f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708</v>
      </c>
      <c r="B77" s="7">
        <v>4008</v>
      </c>
      <c r="C77" s="21" t="s">
        <v>217</v>
      </c>
      <c r="D77" s="21" t="s">
        <v>430</v>
      </c>
      <c r="E77" s="13">
        <v>42828.487673611111</v>
      </c>
      <c r="F77" s="13">
        <v>42828.490104166667</v>
      </c>
      <c r="G77" s="7">
        <v>2</v>
      </c>
      <c r="H77" s="21" t="s">
        <v>858</v>
      </c>
      <c r="I77" s="13">
        <v>42828.515011574076</v>
      </c>
      <c r="J77" s="7">
        <v>0</v>
      </c>
      <c r="K77" s="97" t="str">
        <f>IF(ISEVEN(B77),(B77-1)&amp;"/"&amp;B77,B77&amp;"/"&amp;(B77+1))</f>
        <v>4007/4008</v>
      </c>
      <c r="L77" s="21" t="str">
        <f>VLOOKUP(A77,'Trips&amp;Operators'!$C$1:$G$99999,5,FALSE)</f>
        <v>WILLIAMS DONTE</v>
      </c>
      <c r="M77" s="6">
        <f>I77-F77</f>
        <v>2.4907407409045845E-2</v>
      </c>
      <c r="N77" s="7">
        <f>24*60*SUM($M77:$M77)</f>
        <v>35.866666669026017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-03T10:42:15-0600',mode:absolute,to:'2017-04-03T13:21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77" s="183" t="str">
        <f>IF(AA77&lt;IF(AG77="EC",23,5.65),"Y","N")</f>
        <v>N</v>
      </c>
      <c r="X77" s="183">
        <f>VALUE(LEFT(AD77,4))-VALUE(LEFT(AD76,4))</f>
        <v>1</v>
      </c>
      <c r="Y77" s="62">
        <f>RIGHT(D77,LEN(D77)-4)/10000</f>
        <v>4.6399999999999997E-2</v>
      </c>
      <c r="Z77" s="62">
        <f>RIGHT(H77,LEN(H77)-4)/10000</f>
        <v>23.3353</v>
      </c>
      <c r="AA77" s="62">
        <f>ABS(Z77-Y77)</f>
        <v>23.288900000000002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>IF(LEN(A77)=6,"0"&amp;A77,A77)</f>
        <v>0165-03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77" s="82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/stypes="app*4008*20170403*" /stext=" 18:.+((SYSTEM_STATE.+slice.+state.+changed )|(ment ac)|(multiple cpu faults)|(system.+state.+changed )|(\[timeout)|(PRM\|1\|D)|(kpr)|(kdp)|(\|lc)|(penalty))"</v>
      </c>
      <c r="AG77" s="1" t="str">
        <f>IFERROR(IF(VALUE(LEFT(AD77,2))&lt;=2,"EC",IF(OR(VALUE(LEFT(AD77,2))=8,VALUE(LEFT(AD77,2))=18),"NW","Other")),"Other")</f>
        <v>EC</v>
      </c>
      <c r="AH77" s="86" t="str">
        <f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165-03 --locoid 4008 --swversion DE.1.0.9.0 --startMP 204:464 --initTime 2017-04-03T11:42:15 --startdatetime 2017-04-03T11:45:45 --delay 2 --endMP 204:233353 --enddatetime 2017-04-03T12:21:37 --enforcementcount 0 &gt;&gt;C:\Users\stu\Documents\GitHub\eaglep3-reporting\EC\2017-04-03-refined-times.txt</v>
      </c>
      <c r="AI77" s="104" t="str">
        <f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{"issue":{"subject":"","project_id":79,"tracker_id":40,"status_id":1,"priority_id":2,"assigned_to_id":23,"start_date":"2017-04-03","description":"","custom_fields":[{"id":1,"name":"Subdivision","value":"EC"},{"id":4,"name":"Milepost","value":"23.3353"},{"id":17,"name":"Train ID","value":"165-03"},{"id":16,"name":"Locomotive ID","value":"4008"},{"id":130,"name":"Impact","value":""},{"id":150,"name":"Time of Event (Mountain Time)","value":"12:21:37"},{"id":151,"name":"Denver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>"start /low /b "&amp;dls3logs&amp;" --loco "&amp;B77&amp;" --day "&amp;TEXT(F77,"YYYY-MM-DD")</f>
        <v>start /low /b %USERPROFILE%\Documents\GitHub\eaglep3\Utilities\DownloadLogsFromS3.py --loco 4008 --day 2017-04-03</v>
      </c>
      <c r="AN77" s="159" t="str">
        <f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18:21:37"},{"id":29,"name":"Sharepoint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600</v>
      </c>
      <c r="B78" s="7">
        <v>4007</v>
      </c>
      <c r="C78" s="21" t="s">
        <v>217</v>
      </c>
      <c r="D78" s="21" t="s">
        <v>859</v>
      </c>
      <c r="E78" s="13">
        <v>42828.518888888888</v>
      </c>
      <c r="F78" s="13">
        <v>42828.528958333336</v>
      </c>
      <c r="G78" s="7">
        <v>1</v>
      </c>
      <c r="H78" s="21" t="s">
        <v>860</v>
      </c>
      <c r="I78" s="13">
        <v>42828.558263888888</v>
      </c>
      <c r="J78" s="7">
        <v>0</v>
      </c>
      <c r="K78" s="97" t="str">
        <f>IF(ISEVEN(B78),(B78-1)&amp;"/"&amp;B78,B78&amp;"/"&amp;(B78+1))</f>
        <v>4007/4008</v>
      </c>
      <c r="L78" s="21" t="str">
        <f>VLOOKUP(A78,'Trips&amp;Operators'!$C$1:$G$99999,5,FALSE)</f>
        <v>WILLIAMS DONTE</v>
      </c>
      <c r="M78" s="6">
        <f>I78-F78</f>
        <v>2.9305555552127771E-2</v>
      </c>
      <c r="N78" s="7">
        <f>24*60*SUM($M78:$M78)</f>
        <v>42.19999999506399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-04-03T11:27:12-0600',mode:absolute,to:'2017-04-03T14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78" s="183" t="str">
        <f>IF(AA78&lt;IF(AG78="EC",23,5.65),"Y","N")</f>
        <v>N</v>
      </c>
      <c r="X78" s="183">
        <f>VALUE(LEFT(AD78,4))-VALUE(LEFT(AD77,4))</f>
        <v>1</v>
      </c>
      <c r="Y78" s="62">
        <f>RIGHT(D78,LEN(D78)-4)/10000</f>
        <v>23.304400000000001</v>
      </c>
      <c r="Z78" s="62">
        <f>RIGHT(H78,LEN(H78)-4)/10000</f>
        <v>1.6500000000000001E-2</v>
      </c>
      <c r="AA78" s="62">
        <f>ABS(Z78-Y78)</f>
        <v>23.2879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>IF(LEN(A78)=6,"0"&amp;A78,A78)</f>
        <v>0166-03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78" s="82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/stypes="app*4007*20170403*" /stext=" 19:.+((SYSTEM_STATE.+slice.+state.+changed )|(ment ac)|(multiple cpu faults)|(system.+state.+changed )|(\[timeout)|(PRM\|1\|D)|(kpr)|(kdp)|(\|lc)|(penalty))"</v>
      </c>
      <c r="AG78" s="1" t="str">
        <f>IFERROR(IF(VALUE(LEFT(AD78,2))&lt;=2,"EC",IF(OR(VALUE(LEFT(AD78,2))=8,VALUE(LEFT(AD78,2))=18),"NW","Other")),"Other")</f>
        <v>EC</v>
      </c>
      <c r="AH78" s="86" t="str">
        <f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166-03 --locoid 4007 --swversion DE.1.0.9.0 --startMP 204:233044 --initTime 2017-04-03T12:27:12 --startdatetime 2017-04-03T12:41:42 --delay 1 --endMP 204:165 --enddatetime 2017-04-03T13:23:54 --enforcementcount 0 &gt;&gt;C:\Users\stu\Documents\GitHub\eaglep3-reporting\EC\2017-04-03-refined-times.txt</v>
      </c>
      <c r="AI78" s="104" t="str">
        <f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{"issue":{"subject":"","project_id":79,"tracker_id":40,"status_id":1,"priority_id":2,"assigned_to_id":23,"start_date":"2017-04-03","description":"","custom_fields":[{"id":1,"name":"Subdivision","value":"EC"},{"id":4,"name":"Milepost","value":"0.0165"},{"id":17,"name":"Train ID","value":"166-03"},{"id":16,"name":"Locomotive ID","value":"4007"},{"id":130,"name":"Impact","value":""},{"id":150,"name":"Time of Event (Mountain Time)","value":"13:23:54"},{"id":151,"name":"Denver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>"start /low /b "&amp;dls3logs&amp;" --loco "&amp;B78&amp;" --day "&amp;TEXT(F78,"YYYY-MM-DD")</f>
        <v>start /low /b %USERPROFILE%\Documents\GitHub\eaglep3\Utilities\DownloadLogsFromS3.py --loco 4007 --day 2017-04-03</v>
      </c>
      <c r="AN78" s="159" t="str">
        <f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712</v>
      </c>
      <c r="B79" s="7">
        <v>4052</v>
      </c>
      <c r="C79" s="21" t="s">
        <v>217</v>
      </c>
      <c r="D79" s="21" t="s">
        <v>472</v>
      </c>
      <c r="E79" s="13">
        <v>42828.495474537034</v>
      </c>
      <c r="F79" s="13">
        <v>42828.500347222223</v>
      </c>
      <c r="G79" s="7">
        <v>1</v>
      </c>
      <c r="H79" s="21" t="s">
        <v>549</v>
      </c>
      <c r="I79" s="13">
        <v>42828.525219907409</v>
      </c>
      <c r="J79" s="7">
        <v>0</v>
      </c>
      <c r="K79" s="97" t="str">
        <f>IF(ISEVEN(B79),(B79-1)&amp;"/"&amp;B79,B79&amp;"/"&amp;(B79+1))</f>
        <v>4051/4052</v>
      </c>
      <c r="L79" s="21" t="str">
        <f>VLOOKUP(A79,'Trips&amp;Operators'!$C$1:$G$99999,5,FALSE)</f>
        <v>LOCKLEAR TRAVIS</v>
      </c>
      <c r="M79" s="6">
        <f>I79-F79</f>
        <v>2.4872685185982846E-2</v>
      </c>
      <c r="N79" s="7">
        <f>24*60*SUM($M79:$M79)</f>
        <v>35.816666667815298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-04-03T10:53:29-0600',mode:absolute,to:'2017-04-03T13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>IF(AA79&lt;IF(AG79="EC",23,5.65),"Y","N")</f>
        <v>N</v>
      </c>
      <c r="X79" s="183">
        <f>VALUE(LEFT(AD79,4))-VALUE(LEFT(AD78,4))</f>
        <v>1</v>
      </c>
      <c r="Y79" s="62">
        <f>RIGHT(D79,LEN(D79)-4)/10000</f>
        <v>4.3999999999999997E-2</v>
      </c>
      <c r="Z79" s="62">
        <f>RIGHT(H79,LEN(H79)-4)/10000</f>
        <v>23.334599999999998</v>
      </c>
      <c r="AA79" s="62">
        <f>ABS(Z79-Y79)</f>
        <v>23.290599999999998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>IF(LEN(A79)=6,"0"&amp;A79,A79)</f>
        <v>0167-03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79" s="82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/stypes="app*4052*20170403*" /stext=" 18:.+((SYSTEM_STATE.+slice.+state.+changed )|(ment ac)|(multiple cpu faults)|(system.+state.+changed )|(\[timeout)|(PRM\|1\|D)|(kpr)|(kdp)|(\|lc)|(penalty))"</v>
      </c>
      <c r="AG79" s="1" t="str">
        <f>IFERROR(IF(VALUE(LEFT(AD79,2))&lt;=2,"EC",IF(OR(VALUE(LEFT(AD79,2))=8,VALUE(LEFT(AD79,2))=18),"NW","Other")),"Other")</f>
        <v>EC</v>
      </c>
      <c r="AH79" s="86" t="str">
        <f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167-03 --locoid 4052 --swversion DE.1.0.9.0 --startMP 204:440 --initTime 2017-04-03T11:53:29 --startdatetime 2017-04-03T12:00:30 --delay 1 --endMP 204:233346 --enddatetime 2017-04-03T12:36:19 --enforcementcount 0 &gt;&gt;C:\Users\stu\Documents\GitHub\eaglep3-reporting\EC\2017-04-03-refined-times.txt</v>
      </c>
      <c r="AI79" s="104" t="str">
        <f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{"issue":{"subject":"","project_id":79,"tracker_id":40,"status_id":1,"priority_id":2,"assigned_to_id":23,"start_date":"2017-04-03","description":"","custom_fields":[{"id":1,"name":"Subdivision","value":"EC"},{"id":4,"name":"Milepost","value":"23.3346"},{"id":17,"name":"Train ID","value":"167-03"},{"id":16,"name":"Locomotive ID","value":"4052"},{"id":130,"name":"Impact","value":""},{"id":150,"name":"Time of Event (Mountain Time)","value":"12:36:19"},{"id":151,"name":"Denver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>"start /low /b "&amp;dls3logs&amp;" --loco "&amp;B79&amp;" --day "&amp;TEXT(F79,"YYYY-MM-DD")</f>
        <v>start /low /b %USERPROFILE%\Documents\GitHub\eaglep3\Utilities\DownloadLogsFromS3.py --loco 4052 --day 2017-04-03</v>
      </c>
      <c r="AN79" s="159" t="str">
        <f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604</v>
      </c>
      <c r="B80" s="7">
        <v>4051</v>
      </c>
      <c r="C80" s="21" t="s">
        <v>217</v>
      </c>
      <c r="D80" s="21" t="s">
        <v>490</v>
      </c>
      <c r="E80" s="13">
        <v>42828.537465277775</v>
      </c>
      <c r="F80" s="13">
        <v>42828.539189814815</v>
      </c>
      <c r="G80" s="7">
        <v>1</v>
      </c>
      <c r="H80" s="21" t="s">
        <v>512</v>
      </c>
      <c r="I80" s="13">
        <v>42828.568182870367</v>
      </c>
      <c r="J80" s="7">
        <v>0</v>
      </c>
      <c r="K80" s="97" t="str">
        <f>IF(ISEVEN(B80),(B80-1)&amp;"/"&amp;B80,B80&amp;"/"&amp;(B80+1))</f>
        <v>4051/4052</v>
      </c>
      <c r="L80" s="21" t="str">
        <f>VLOOKUP(A80,'Trips&amp;Operators'!$C$1:$G$99999,5,FALSE)</f>
        <v>LOCKLEAR TRAVIS</v>
      </c>
      <c r="M80" s="6">
        <f>I80-F80</f>
        <v>2.8993055551836733E-2</v>
      </c>
      <c r="N80" s="7">
        <f>24*60*SUM($M80:$M80)</f>
        <v>41.749999994644895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-04-03T11:53:57-0600',mode:absolute,to:'2017-04-03T14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3" t="str">
        <f>IF(AA80&lt;IF(AG80="EC",23,5.65),"Y","N")</f>
        <v>N</v>
      </c>
      <c r="X80" s="183">
        <f>VALUE(LEFT(AD80,4))-VALUE(LEFT(AD79,4))</f>
        <v>1</v>
      </c>
      <c r="Y80" s="62">
        <f>RIGHT(D80,LEN(D80)-4)/10000</f>
        <v>23.302499999999998</v>
      </c>
      <c r="Z80" s="62">
        <f>RIGHT(H80,LEN(H80)-4)/10000</f>
        <v>1.4500000000000001E-2</v>
      </c>
      <c r="AA80" s="62">
        <f>ABS(Z80-Y80)</f>
        <v>23.287999999999997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>IF(LEN(A80)=6,"0"&amp;A80,A80)</f>
        <v>0168-03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80" s="82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/stypes="app*4051*20170403*" /stext=" 19:.+((SYSTEM_STATE.+slice.+state.+changed )|(ment ac)|(multiple cpu faults)|(system.+state.+changed )|(\[timeout)|(PRM\|1\|D)|(kpr)|(kdp)|(\|lc)|(penalty))"</v>
      </c>
      <c r="AG80" s="1" t="str">
        <f>IFERROR(IF(VALUE(LEFT(AD80,2))&lt;=2,"EC",IF(OR(VALUE(LEFT(AD80,2))=8,VALUE(LEFT(AD80,2))=18),"NW","Other")),"Other")</f>
        <v>EC</v>
      </c>
      <c r="AH80" s="86" t="str">
        <f>refinertdcruntimes&amp;" --tripid "&amp;A80&amp;" --locoid "&amp;B80&amp;" --swversion "&amp;C80&amp;" --startMP "&amp;D80&amp;" --initTime "&amp;TEXT(E80,"yyyy-mm-ddTHH:MM:SS")&amp;" --startdatetime "&amp;TEXT(F80,"yyyy-mm-ddTHH:MM:SS")&amp;" --delay "&amp;G80&amp;" --endMP "&amp;H80&amp;" --enddatetime "&amp;TEXT(I80,"yyyy-mm-ddTHH:MM:SS")&amp;" --enforcementcount "&amp;J80&amp;IF(outputrefinedruntimes," &gt;&gt;"&amp;RefinedRTDCRunTimesOutputFile,"")</f>
        <v>"%USERPROFILE%\Documents\GitHub\eaglep3\Utilities\RefineRTDCRunTimes.py" --tripid 168-03 --locoid 4051 --swversion DE.1.0.9.0 --startMP 204:233025 --initTime 2017-04-03T12:53:57 --startdatetime 2017-04-03T12:56:26 --delay 1 --endMP 204:145 --enddatetime 2017-04-03T13:38:11 --enforcementcount 0 &gt;&gt;C:\Users\stu\Documents\GitHub\eaglep3-reporting\EC\2017-04-03-refined-times.txt</v>
      </c>
      <c r="AI80" s="104" t="str">
        <f>"echo {""issue"":{""subject"":"""&amp;R80&amp;""",""project_id"":79,""tracker_id"":40,""status_id"":"&amp;redmine_status&amp;",""priority_id"":"&amp;redmine_priority&amp;",""assigned_to_id"":"&amp;redmine_assignee&amp;",""start_date"":"""&amp;TEXT(I80,"YYYY-mm-dd")&amp;""",""description"":"""&amp;AJ80&amp;""",""custom_fields"":[{""id"":1,""name"":""Subdivision"",""value"":"""&amp;AG80&amp;"""},{""id"":4,""name"":""Milepost"",""value"":"""&amp;Z80&amp;"""},{""id"":17,""name"":""Train ID"",""value"":"""&amp;A80&amp;"""},{""id"":16,""name"":""Locomotive ID"",""value"":"""&amp;B80&amp;"""},{""id"":130,""name"":""Impact"",""value"":"""&amp;AK80&amp;"""},{""id"":150,""name"":""Time of Event (Mountain Time)"",""value"":"""&amp;TEXT(I80,"hh:mm:ss")&amp;"""},{""id"":151,""name"":""Denver Issue ID"",""value"":"""&amp;"""},{""id"":178,""name"":""Operational Impact"",""value"":"""&amp;redmine_op_impact&amp;"""},{""id"":179,""name"":""Denver Segment Assigned"",""value"":"""&amp;AL80&amp;"""}]}}"&amp;"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ID","value":"168-03"},{"id":16,"name":"Locomotive ID","value":"4051"},{"id":130,"name":"Impact","value":""},{"id":150,"name":"Time of Event (Mountain Time)","value":"13:38:11"},{"id":151,"name":"Denver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>"start /low /b "&amp;dls3logs&amp;" --loco "&amp;B80&amp;" --day "&amp;TEXT(F80,"YYYY-MM-DD")</f>
        <v>start /low /b %USERPROFILE%\Documents\GitHub\eaglep3\Utilities\DownloadLogsFromS3.py --loco 4051 --day 2017-04-03</v>
      </c>
      <c r="AN80" s="159" t="str">
        <f>"echo {""issue"":{""subject"":"""&amp;R80&amp;""",""project_id"":30,""tracker_id"":4,""status_id"":"&amp;redmine_status_wcr&amp;",""priority_id"":"&amp;redmine_priority_wcr&amp;",""assigned_to_id"":"&amp;redmine_assignee_wcr&amp;",""start_date"":"""&amp;TEXT(I80-utc_offset/24,"YYYY-mm-dd")&amp;""",""description"":"""&amp;AJ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598</v>
      </c>
      <c r="B81" s="7">
        <v>4004</v>
      </c>
      <c r="C81" s="21" t="s">
        <v>217</v>
      </c>
      <c r="D81" s="21" t="s">
        <v>390</v>
      </c>
      <c r="E81" s="13">
        <v>42828.508206018516</v>
      </c>
      <c r="F81" s="13">
        <v>42828.511354166665</v>
      </c>
      <c r="G81" s="7">
        <v>1</v>
      </c>
      <c r="H81" s="21" t="s">
        <v>517</v>
      </c>
      <c r="I81" s="13">
        <v>42828.537499999999</v>
      </c>
      <c r="J81" s="7">
        <v>0</v>
      </c>
      <c r="K81" s="97" t="str">
        <f>IF(ISEVEN(B81),(B81-1)&amp;"/"&amp;B81,B81&amp;"/"&amp;(B81+1))</f>
        <v>4003/4004</v>
      </c>
      <c r="L81" s="21" t="str">
        <f>VLOOKUP(A81,'Trips&amp;Operators'!$C$1:$G$99999,5,FALSE)</f>
        <v>SULLIVAN BRANDON</v>
      </c>
      <c r="M81" s="6">
        <f>I81-F81</f>
        <v>2.6145833333430346E-2</v>
      </c>
      <c r="N81" s="7">
        <f>24*60*SUM($M81:$M81)</f>
        <v>37.650000000139698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-04-03T11:11:49-0600',mode:absolute,to:'2017-04-03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1" s="183" t="str">
        <f>IF(AA81&lt;IF(AG81="EC",23,5.65),"Y","N")</f>
        <v>N</v>
      </c>
      <c r="X81" s="183">
        <f>VALUE(LEFT(AD81,4))-VALUE(LEFT(AD80,4))</f>
        <v>1</v>
      </c>
      <c r="Y81" s="62">
        <f>RIGHT(D81,LEN(D81)-4)/10000</f>
        <v>4.7300000000000002E-2</v>
      </c>
      <c r="Z81" s="62">
        <f>RIGHT(H81,LEN(H81)-4)/10000</f>
        <v>23.327999999999999</v>
      </c>
      <c r="AA81" s="62">
        <f>ABS(Z81-Y81)</f>
        <v>23.2807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>IF(LEN(A81)=6,"0"&amp;A81,A81)</f>
        <v>0169-03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81" s="82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/stypes="app*4004*20170403*" /stext=" 18:.+((SYSTEM_STATE.+slice.+state.+changed )|(ment ac)|(multiple cpu faults)|(system.+state.+changed )|(\[timeout)|(PRM\|1\|D)|(kpr)|(kdp)|(\|lc)|(penalty))"</v>
      </c>
      <c r="AG81" s="1" t="str">
        <f>IFERROR(IF(VALUE(LEFT(AD81,2))&lt;=2,"EC",IF(OR(VALUE(LEFT(AD81,2))=8,VALUE(LEFT(AD81,2))=18),"NW","Other")),"Other")</f>
        <v>EC</v>
      </c>
      <c r="AH81" s="86" t="str">
        <f>refinertdcruntimes&amp;" --tripid "&amp;A81&amp;" --locoid "&amp;B81&amp;" --swversion "&amp;C81&amp;" --startMP "&amp;D81&amp;" --initTime "&amp;TEXT(E81,"yyyy-mm-ddTHH:MM:SS")&amp;" --startdatetime "&amp;TEXT(F81,"yyyy-mm-ddTHH:MM:SS")&amp;" --delay "&amp;G81&amp;" --endMP "&amp;H81&amp;" --enddatetime "&amp;TEXT(I81,"yyyy-mm-ddTHH:MM:SS")&amp;" --enforcementcount "&amp;J81&amp;IF(outputrefinedruntimes," &gt;&gt;"&amp;RefinedRTDCRunTimesOutputFile,"")</f>
        <v>"%USERPROFILE%\Documents\GitHub\eaglep3\Utilities\RefineRTDCRunTimes.py" --tripid 169-03 --locoid 4004 --swversion DE.1.0.9.0 --startMP 204:473 --initTime 2017-04-03T12:11:49 --startdatetime 2017-04-03T12:16:21 --delay 1 --endMP 204:233280 --enddatetime 2017-04-03T12:54:00 --enforcementcount 0 &gt;&gt;C:\Users\stu\Documents\GitHub\eaglep3-reporting\EC\2017-04-03-refined-times.txt</v>
      </c>
      <c r="AI81" s="104" t="str">
        <f>"echo {""issue"":{""subject"":"""&amp;R81&amp;""",""project_id"":79,""tracker_id"":40,""status_id"":"&amp;redmine_status&amp;",""priority_id"":"&amp;redmine_priority&amp;",""assigned_to_id"":"&amp;redmine_assignee&amp;",""start_date"":"""&amp;TEXT(I81,"YYYY-mm-dd")&amp;""",""description"":"""&amp;AJ81&amp;""",""custom_fields"":[{""id"":1,""name"":""Subdivision"",""value"":"""&amp;AG81&amp;"""},{""id"":4,""name"":""Milepost"",""value"":"""&amp;Z81&amp;"""},{""id"":17,""name"":""Train ID"",""value"":"""&amp;A81&amp;"""},{""id"":16,""name"":""Locomotive ID"",""value"":"""&amp;B81&amp;"""},{""id"":130,""name"":""Impact"",""value"":"""&amp;AK81&amp;"""},{""id"":150,""name"":""Time of Event (Mountain Time)"",""value"":"""&amp;TEXT(I81,"hh:mm:ss")&amp;"""},{""id"":151,""name"":""Denver Issue ID"",""value"":"""&amp;"""},{""id"":178,""name"":""Operational Impact"",""value"":"""&amp;redmine_op_impact&amp;"""},{""id"":179,""name"":""Denver Segment Assigned"",""value"":"""&amp;AL81&amp;"""}]}}"&amp;"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{"issue":{"subject":"","project_id":79,"tracker_id":40,"status_id":1,"priority_id":2,"assigned_to_id":23,"start_date":"2017-04-03","description":"","custom_fields":[{"id":1,"name":"Subdivision","value":"EC"},{"id":4,"name":"Milepost","value":"23.328"},{"id":17,"name":"Train ID","value":"169-03"},{"id":16,"name":"Locomotive ID","value":"4004"},{"id":130,"name":"Impact","value":""},{"id":150,"name":"Time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>"start /low /b "&amp;dls3logs&amp;" --loco "&amp;B81&amp;" --day "&amp;TEXT(F81,"YYYY-MM-DD")</f>
        <v>start /low /b %USERPROFILE%\Documents\GitHub\eaglep3\Utilities\DownloadLogsFromS3.py --loco 4004 --day 2017-04-03</v>
      </c>
      <c r="AN81" s="159" t="str">
        <f>"echo {""issue"":{""subject"":"""&amp;R81&amp;""",""project_id"":30,""tracker_id"":4,""status_id"":"&amp;redmine_status_wcr&amp;",""priority_id"":"&amp;redmine_priority_wcr&amp;",""assigned_to_id"":"&amp;redmine_assignee_wcr&amp;",""start_date"":"""&amp;TEXT(I81-utc_offset/24,"YYYY-mm-dd")&amp;""",""description"":"""&amp;AJ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605</v>
      </c>
      <c r="B82" s="7">
        <v>4003</v>
      </c>
      <c r="C82" s="21" t="s">
        <v>217</v>
      </c>
      <c r="D82" s="21" t="s">
        <v>861</v>
      </c>
      <c r="E82" s="13">
        <v>42828.543310185189</v>
      </c>
      <c r="F82" s="13">
        <v>42828.54954861111</v>
      </c>
      <c r="G82" s="7">
        <v>1</v>
      </c>
      <c r="H82" s="21" t="s">
        <v>214</v>
      </c>
      <c r="I82" s="13">
        <v>42828.578738425924</v>
      </c>
      <c r="J82" s="7">
        <v>0</v>
      </c>
      <c r="K82" s="97" t="str">
        <f>IF(ISEVEN(B82),(B82-1)&amp;"/"&amp;B82,B82&amp;"/"&amp;(B82+1))</f>
        <v>4003/4004</v>
      </c>
      <c r="L82" s="21" t="str">
        <f>VLOOKUP(A82,'Trips&amp;Operators'!$C$1:$G$99999,5,FALSE)</f>
        <v>SULLIVAN BRANDON</v>
      </c>
      <c r="M82" s="6">
        <f>I82-F82</f>
        <v>2.9189814813435078E-2</v>
      </c>
      <c r="N82" s="7">
        <f>24*60*SUM($M82:$M82)</f>
        <v>42.033333331346512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-04-03T12:02:22-0600',mode:absolute,to:'2017-04-03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2" s="183" t="str">
        <f>IF(AA82&lt;IF(AG82="EC",23,5.65),"Y","N")</f>
        <v>N</v>
      </c>
      <c r="X82" s="183">
        <f>VALUE(LEFT(AD82,4))-VALUE(LEFT(AD81,4))</f>
        <v>1</v>
      </c>
      <c r="Y82" s="62">
        <f>RIGHT(D82,LEN(D82)-4)/10000</f>
        <v>23.2944</v>
      </c>
      <c r="Z82" s="62">
        <f>RIGHT(H82,LEN(H82)-4)/10000</f>
        <v>1.47E-2</v>
      </c>
      <c r="AA82" s="62">
        <f>ABS(Z82-Y82)</f>
        <v>23.279699999999998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>IF(LEN(A82)=6,"0"&amp;A82,A82)</f>
        <v>0170-03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82" s="82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/stypes="app*4003*20170403*" /stext=" 19:.+((SYSTEM_STATE.+slice.+state.+changed )|(ment ac)|(multiple cpu faults)|(system.+state.+changed )|(\[timeout)|(PRM\|1\|D)|(kpr)|(kdp)|(\|lc)|(penalty))"</v>
      </c>
      <c r="AG82" s="1" t="str">
        <f>IFERROR(IF(VALUE(LEFT(AD82,2))&lt;=2,"EC",IF(OR(VALUE(LEFT(AD82,2))=8,VALUE(LEFT(AD82,2))=18),"NW","Other")),"Other")</f>
        <v>EC</v>
      </c>
      <c r="AH82" s="86" t="str">
        <f>refinertdcruntimes&amp;" --tripid "&amp;A82&amp;" --locoid "&amp;B82&amp;" --swversion "&amp;C82&amp;" --startMP "&amp;D82&amp;" --initTime "&amp;TEXT(E82,"yyyy-mm-ddTHH:MM:SS")&amp;" --startdatetime "&amp;TEXT(F82,"yyyy-mm-ddTHH:MM:SS")&amp;" --delay "&amp;G82&amp;" --endMP "&amp;H82&amp;" --enddatetime "&amp;TEXT(I82,"yyyy-mm-ddTHH:MM:SS")&amp;" --enforcementcount "&amp;J82&amp;IF(outputrefinedruntimes," &gt;&gt;"&amp;RefinedRTDCRunTimesOutputFile,"")</f>
        <v>"%USERPROFILE%\Documents\GitHub\eaglep3\Utilities\RefineRTDCRunTimes.py" --tripid 170-03 --locoid 4003 --swversion DE.1.0.9.0 --startMP 204:232944 --initTime 2017-04-03T13:02:22 --startdatetime 2017-04-03T13:11:21 --delay 1 --endMP 204:147 --enddatetime 2017-04-03T13:53:23 --enforcementcount 0 &gt;&gt;C:\Users\stu\Documents\GitHub\eaglep3-reporting\EC\2017-04-03-refined-times.txt</v>
      </c>
      <c r="AI82" s="104" t="str">
        <f>"echo {""issue"":{""subject"":"""&amp;R82&amp;""",""project_id"":79,""tracker_id"":40,""status_id"":"&amp;redmine_status&amp;",""priority_id"":"&amp;redmine_priority&amp;",""assigned_to_id"":"&amp;redmine_assignee&amp;",""start_date"":"""&amp;TEXT(I82,"YYYY-mm-dd")&amp;""",""description"":"""&amp;AJ82&amp;""",""custom_fields"":[{""id"":1,""name"":""Subdivision"",""value"":"""&amp;AG82&amp;"""},{""id"":4,""name"":""Milepost"",""value"":"""&amp;Z82&amp;"""},{""id"":17,""name"":""Train ID"",""value"":"""&amp;A82&amp;"""},{""id"":16,""name"":""Locomotive ID"",""value"":"""&amp;B82&amp;"""},{""id"":130,""name"":""Impact"",""value"":"""&amp;AK82&amp;"""},{""id"":150,""name"":""Time of Event (Mountain Time)"",""value"":"""&amp;TEXT(I82,"hh:mm:ss")&amp;"""},{""id"":151,""name"":""Denver Issue ID"",""value"":"""&amp;"""},{""id"":178,""name"":""Operational Impact"",""value"":"""&amp;redmine_op_impact&amp;"""},{""id"":179,""name"":""Denver Segment Assigned"",""value"":"""&amp;AL82&amp;"""}]}}"&amp;"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ID","value":"170-03"},{"id":16,"name":"Locomotive ID","value":"4003"},{"id":130,"name":"Impact","value":""},{"id":150,"name":"Time of Event (Mountain Time)","value":"13:53:23"},{"id":151,"name":"Denver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>"start /low /b "&amp;dls3logs&amp;" --loco "&amp;B82&amp;" --day "&amp;TEXT(F82,"YYYY-MM-DD")</f>
        <v>start /low /b %USERPROFILE%\Documents\GitHub\eaglep3\Utilities\DownloadLogsFromS3.py --loco 4003 --day 2017-04-03</v>
      </c>
      <c r="AN82" s="159" t="str">
        <f>"echo {""issue"":{""subject"":"""&amp;R82&amp;""",""project_id"":30,""tracker_id"":4,""status_id"":"&amp;redmine_status_wcr&amp;",""priority_id"":"&amp;redmine_priority_wcr&amp;",""assigned_to_id"":"&amp;redmine_assignee_wcr&amp;",""start_date"":"""&amp;TEXT(I82-utc_offset/24,"YYYY-mm-dd")&amp;""",""description"":"""&amp;AJ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715</v>
      </c>
      <c r="B83" s="7">
        <v>4030</v>
      </c>
      <c r="C83" s="21" t="s">
        <v>217</v>
      </c>
      <c r="D83" s="21" t="s">
        <v>546</v>
      </c>
      <c r="E83" s="13">
        <v>42828.517465277779</v>
      </c>
      <c r="F83" s="13">
        <v>42828.521157407406</v>
      </c>
      <c r="G83" s="7">
        <v>1</v>
      </c>
      <c r="H83" s="21" t="s">
        <v>560</v>
      </c>
      <c r="I83" s="13">
        <v>42828.546701388892</v>
      </c>
      <c r="J83" s="7">
        <v>0</v>
      </c>
      <c r="K83" s="97" t="str">
        <f>IF(ISEVEN(B83),(B83-1)&amp;"/"&amp;B83,B83&amp;"/"&amp;(B83+1))</f>
        <v>4029/4030</v>
      </c>
      <c r="L83" s="21" t="str">
        <f>VLOOKUP(A83,'Trips&amp;Operators'!$C$1:$G$99999,5,FALSE)</f>
        <v>BRANDNER MELINDA</v>
      </c>
      <c r="M83" s="6">
        <f>I83-F83</f>
        <v>2.5543981486407574E-2</v>
      </c>
      <c r="N83" s="7">
        <f>24*60*SUM($M83:$M83)</f>
        <v>36.783333340426907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-04-03T11:25:09-0600',mode:absolute,to:'2017-04-03T14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3" s="183" t="str">
        <f>IF(AA83&lt;IF(AG83="EC",23,5.65),"Y","N")</f>
        <v>N</v>
      </c>
      <c r="X83" s="183">
        <f>VALUE(LEFT(AD83,4))-VALUE(LEFT(AD82,4))</f>
        <v>1</v>
      </c>
      <c r="Y83" s="62">
        <f>RIGHT(D83,LEN(D83)-4)/10000</f>
        <v>4.58E-2</v>
      </c>
      <c r="Z83" s="62">
        <f>RIGHT(H83,LEN(H83)-4)/10000</f>
        <v>23.3306</v>
      </c>
      <c r="AA83" s="62">
        <f>ABS(Z83-Y83)</f>
        <v>23.284800000000001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>IF(LEN(A83)=6,"0"&amp;A83,A83)</f>
        <v>0171-03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83" s="82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/stypes="app*4030*20170403*" /stext=" 19:.+((SYSTEM_STATE.+slice.+state.+changed )|(ment ac)|(multiple cpu faults)|(system.+state.+changed )|(\[timeout)|(PRM\|1\|D)|(kpr)|(kdp)|(\|lc)|(penalty))"</v>
      </c>
      <c r="AG83" s="1" t="str">
        <f>IFERROR(IF(VALUE(LEFT(AD83,2))&lt;=2,"EC",IF(OR(VALUE(LEFT(AD83,2))=8,VALUE(LEFT(AD83,2))=18),"NW","Other")),"Other")</f>
        <v>EC</v>
      </c>
      <c r="AH83" s="86" t="str">
        <f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171-03 --locoid 4030 --swversion DE.1.0.9.0 --startMP 204:458 --initTime 2017-04-03T12:25:09 --startdatetime 2017-04-03T12:30:28 --delay 1 --endMP 204:233306 --enddatetime 2017-04-03T13:07:15 --enforcementcount 0 &gt;&gt;C:\Users\stu\Documents\GitHub\eaglep3-reporting\EC\2017-04-03-refined-times.txt</v>
      </c>
      <c r="AI83" s="104" t="str">
        <f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Z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{"issue":{"subject":"","project_id":79,"tracker_id":40,"status_id":1,"priority_id":2,"assigned_to_id":23,"start_date":"2017-04-03","description":"","custom_fields":[{"id":1,"name":"Subdivision","value":"EC"},{"id":4,"name":"Milepost","value":"23.3306"},{"id":17,"name":"Train ID","value":"171-03"},{"id":16,"name":"Locomotive ID","value":"4030"},{"id":130,"name":"Impact","value":""},{"id":150,"name":"Time of Event (Mountain Time)","value":"13:07:15"},{"id":151,"name":"Denver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>"start /low /b "&amp;dls3logs&amp;" --loco "&amp;B83&amp;" --day "&amp;TEXT(F83,"YYYY-MM-DD")</f>
        <v>start /low /b %USERPROFILE%\Documents\GitHub\eaglep3\Utilities\DownloadLogsFromS3.py --loco 4030 --day 2017-04-03</v>
      </c>
      <c r="AN83" s="159" t="str">
        <f>"echo {""issue"":{""subject"":"""&amp;R83&amp;""",""project_id"":30,""tracker_id"":4,""status_id"":"&amp;redmine_status_wcr&amp;",""priority_id"":"&amp;redmine_priority_wcr&amp;",""assigned_to_id"":"&amp;redmine_assignee_wcr&amp;",""start_date"":"""&amp;TEXT(I83-utc_offset/24,"YYYY-mm-dd")&amp;""",""description"":"""&amp;AJ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720</v>
      </c>
      <c r="B84" s="7">
        <v>4029</v>
      </c>
      <c r="C84" s="21" t="s">
        <v>217</v>
      </c>
      <c r="D84" s="21" t="s">
        <v>550</v>
      </c>
      <c r="E84" s="13">
        <v>42828.554976851854</v>
      </c>
      <c r="F84" s="13">
        <v>42828.559895833336</v>
      </c>
      <c r="G84" s="7">
        <v>1</v>
      </c>
      <c r="H84" s="21" t="s">
        <v>386</v>
      </c>
      <c r="I84" s="13">
        <v>42828.587141203701</v>
      </c>
      <c r="J84" s="7">
        <v>0</v>
      </c>
      <c r="K84" s="97" t="str">
        <f>IF(ISEVEN(B84),(B84-1)&amp;"/"&amp;B84,B84&amp;"/"&amp;(B84+1))</f>
        <v>4029/4030</v>
      </c>
      <c r="L84" s="21" t="str">
        <f>VLOOKUP(A84,'Trips&amp;Operators'!$C$1:$G$99999,5,FALSE)</f>
        <v>BRANDNER MELINDA</v>
      </c>
      <c r="M84" s="6">
        <f>I84-F84</f>
        <v>2.7245370365562849E-2</v>
      </c>
      <c r="N84" s="7">
        <f>24*60*SUM($M84:$M84)</f>
        <v>39.233333326410502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-04-03T12:19:10-0600',mode:absolute,to:'2017-04-03T15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4" s="183" t="str">
        <f>IF(AA84&lt;IF(AG84="EC",23,5.65),"Y","N")</f>
        <v>N</v>
      </c>
      <c r="X84" s="183">
        <f>VALUE(LEFT(AD84,4))-VALUE(LEFT(AD83,4))</f>
        <v>1</v>
      </c>
      <c r="Y84" s="62">
        <f>RIGHT(D84,LEN(D84)-4)/10000</f>
        <v>23.298500000000001</v>
      </c>
      <c r="Z84" s="62">
        <f>RIGHT(H84,LEN(H84)-4)/10000</f>
        <v>1.43E-2</v>
      </c>
      <c r="AA84" s="62">
        <f>ABS(Z84-Y84)</f>
        <v>23.284200000000002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>IF(LEN(A84)=6,"0"&amp;A84,A84)</f>
        <v>0172-03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84" s="82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/stypes="app*4029*20170403*" /stext=" 20:.+((SYSTEM_STATE.+slice.+state.+changed )|(ment ac)|(multiple cpu faults)|(system.+state.+changed )|(\[timeout)|(PRM\|1\|D)|(kpr)|(kdp)|(\|lc)|(penalty))"</v>
      </c>
      <c r="AG84" s="1" t="str">
        <f>IFERROR(IF(VALUE(LEFT(AD84,2))&lt;=2,"EC",IF(OR(VALUE(LEFT(AD84,2))=8,VALUE(LEFT(AD84,2))=18),"NW","Other")),"Other")</f>
        <v>EC</v>
      </c>
      <c r="AH84" s="86" t="str">
        <f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172-03 --locoid 4029 --swversion DE.1.0.9.0 --startMP 204:232985 --initTime 2017-04-03T13:19:10 --startdatetime 2017-04-03T13:26:15 --delay 1 --endMP 204:143 --enddatetime 2017-04-03T14:05:29 --enforcementcount 0 &gt;&gt;C:\Users\stu\Documents\GitHub\eaglep3-reporting\EC\2017-04-03-refined-times.txt</v>
      </c>
      <c r="AI84" s="104" t="str">
        <f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{"issue":{"subject":"","project_id":79,"tracker_id":40,"status_id":1,"priority_id":2,"assigned_to_id":23,"start_date":"2017-04-03","description":"","custom_fields":[{"id":1,"name":"Subdivision","value":"EC"},{"id":4,"name":"Milepost","value":"0.0143"},{"id":17,"name":"Train ID","value":"172-03"},{"id":16,"name":"Locomotive ID","value":"4029"},{"id":130,"name":"Impact","value":""},{"id":150,"name":"Time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8"/>
      <c r="AL84" s="48"/>
      <c r="AM84" s="150" t="str">
        <f>"start /low /b "&amp;dls3logs&amp;" --loco "&amp;B84&amp;" --day "&amp;TEXT(F84,"YYYY-MM-DD")</f>
        <v>start /low /b %USERPROFILE%\Documents\GitHub\eaglep3\Utilities\DownloadLogsFromS3.py --loco 4029 --day 2017-04-03</v>
      </c>
      <c r="AN84" s="159" t="str">
        <f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5" spans="1:91" s="20" customFormat="1" x14ac:dyDescent="0.25">
      <c r="A85" s="33" t="s">
        <v>717</v>
      </c>
      <c r="B85" s="7">
        <v>4044</v>
      </c>
      <c r="C85" s="21" t="s">
        <v>217</v>
      </c>
      <c r="D85" s="21" t="s">
        <v>489</v>
      </c>
      <c r="E85" s="13">
        <v>42828.52815972222</v>
      </c>
      <c r="F85" s="13">
        <v>42828.531608796293</v>
      </c>
      <c r="G85" s="7">
        <v>2</v>
      </c>
      <c r="H85" s="21" t="s">
        <v>514</v>
      </c>
      <c r="I85" s="13">
        <v>42828.556215277778</v>
      </c>
      <c r="J85" s="7">
        <v>0</v>
      </c>
      <c r="K85" s="97" t="str">
        <f>IF(ISEVEN(B85),(B85-1)&amp;"/"&amp;B85,B85&amp;"/"&amp;(B85+1))</f>
        <v>4043/4044</v>
      </c>
      <c r="L85" s="21" t="str">
        <f>VLOOKUP(A85,'Trips&amp;Operators'!$C$1:$G$99999,5,FALSE)</f>
        <v>STEWART MICHAEL</v>
      </c>
      <c r="M85" s="6">
        <f>I85-F85</f>
        <v>2.4606481485534459E-2</v>
      </c>
      <c r="N85" s="7">
        <f>24*60*SUM($M85:$M85)</f>
        <v>35.433333339169621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-04-03T11:40:33-0600',mode:absolute,to:'2017-04-03T14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5" s="183" t="str">
        <f>IF(AA85&lt;IF(AG85="EC",23,5.65),"Y","N")</f>
        <v>N</v>
      </c>
      <c r="X85" s="183">
        <f>VALUE(LEFT(AD85,4))-VALUE(LEFT(AD84,4))</f>
        <v>1</v>
      </c>
      <c r="Y85" s="62">
        <f>RIGHT(D85,LEN(D85)-4)/10000</f>
        <v>4.4600000000000001E-2</v>
      </c>
      <c r="Z85" s="62">
        <f>RIGHT(H85,LEN(H85)-4)/10000</f>
        <v>23.328399999999998</v>
      </c>
      <c r="AA85" s="62">
        <f>ABS(Z85-Y85)</f>
        <v>23.283799999999999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>IF(LEN(A85)=6,"0"&amp;A85,A85)</f>
        <v>0173-03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85" s="82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/stypes="app*4044*20170403*" /stext=" 19:.+((SYSTEM_STATE.+slice.+state.+changed )|(ment ac)|(multiple cpu faults)|(system.+state.+changed )|(\[timeout)|(PRM\|1\|D)|(kpr)|(kdp)|(\|lc)|(penalty))"</v>
      </c>
      <c r="AG85" s="1" t="str">
        <f>IFERROR(IF(VALUE(LEFT(AD85,2))&lt;=2,"EC",IF(OR(VALUE(LEFT(AD85,2))=8,VALUE(LEFT(AD85,2))=18),"NW","Other")),"Other")</f>
        <v>EC</v>
      </c>
      <c r="AH85" s="86" t="str">
        <f>refinertdcruntimes&amp;" --tripid "&amp;A85&amp;" --locoid "&amp;B85&amp;" --swversion "&amp;C85&amp;" --startMP "&amp;D85&amp;" --initTime "&amp;TEXT(E85,"yyyy-mm-ddTHH:MM:SS")&amp;" --startdatetime "&amp;TEXT(F85,"yyyy-mm-ddTHH:MM:SS")&amp;" --delay "&amp;G85&amp;" --endMP "&amp;H85&amp;" --enddatetime "&amp;TEXT(I85,"yyyy-mm-ddTHH:MM:SS")&amp;" --enforcementcount "&amp;J85&amp;IF(outputrefinedruntimes," &gt;&gt;"&amp;RefinedRTDCRunTimesOutputFile,"")</f>
        <v>"%USERPROFILE%\Documents\GitHub\eaglep3\Utilities\RefineRTDCRunTimes.py" --tripid 173-03 --locoid 4044 --swversion DE.1.0.9.0 --startMP 204:446 --initTime 2017-04-03T12:40:33 --startdatetime 2017-04-03T12:45:31 --delay 2 --endMP 204:233284 --enddatetime 2017-04-03T13:20:57 --enforcementcount 0 &gt;&gt;C:\Users\stu\Documents\GitHub\eaglep3-reporting\EC\2017-04-03-refined-times.txt</v>
      </c>
      <c r="AI85" s="104" t="str">
        <f>"echo {""issue"":{""subject"":"""&amp;R85&amp;""",""project_id"":79,""tracker_id"":40,""status_id"":"&amp;redmine_status&amp;",""priority_id"":"&amp;redmine_priority&amp;",""assigned_to_id"":"&amp;redmine_assignee&amp;",""start_date"":"""&amp;TEXT(I85,"YYYY-mm-dd")&amp;""",""description"":"""&amp;AJ85&amp;""",""custom_fields"":[{""id"":1,""name"":""Subdivision"",""value"":"""&amp;AG85&amp;"""},{""id"":4,""name"":""Milepost"",""value"":"""&amp;Z85&amp;"""},{""id"":17,""name"":""Train ID"",""value"":"""&amp;A85&amp;"""},{""id"":16,""name"":""Locomotive ID"",""value"":"""&amp;B85&amp;"""},{""id"":130,""name"":""Impact"",""value"":"""&amp;AK85&amp;"""},{""id"":150,""name"":""Time of Event (Mountain Time)"",""value"":"""&amp;TEXT(I85,"hh:mm:ss")&amp;"""},{""id"":151,""name"":""Denver Issue ID"",""value"":"""&amp;"""},{""id"":178,""name"":""Operational Impact"",""value"":"""&amp;redmine_op_impact&amp;"""},{""id"":179,""name"":""Denver Segment Assigned"",""value"":"""&amp;AL85&amp;"""}]}}"&amp;"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ID","value":"173-03"},{"id":16,"name":"Locomotive ID","value":"4044"},{"id":130,"name":"Impact","value":""},{"id":150,"name":"Time of Event (Mountain Time)","value":"13:20:57"},{"id":151,"name":"Denver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>"start /low /b "&amp;dls3logs&amp;" --loco "&amp;B85&amp;" --day "&amp;TEXT(F85,"YYYY-MM-DD")</f>
        <v>start /low /b %USERPROFILE%\Documents\GitHub\eaglep3\Utilities\DownloadLogsFromS3.py --loco 4044 --day 2017-04-03</v>
      </c>
      <c r="AN85" s="159" t="str">
        <f>"echo {""issue"":{""subject"":"""&amp;R85&amp;""",""project_id"":30,""tracker_id"":4,""status_id"":"&amp;redmine_status_wcr&amp;",""priority_id"":"&amp;redmine_priority_wcr&amp;",""assigned_to_id"":"&amp;redmine_assignee_wcr&amp;",""start_date"":"""&amp;TEXT(I85-utc_offset/24,"YYYY-mm-dd")&amp;""",""description"":"""&amp;AJ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723</v>
      </c>
      <c r="B86" s="7">
        <v>4043</v>
      </c>
      <c r="C86" s="21" t="s">
        <v>217</v>
      </c>
      <c r="D86" s="21" t="s">
        <v>464</v>
      </c>
      <c r="E86" s="13">
        <v>42828.567025462966</v>
      </c>
      <c r="F86" s="13">
        <v>42828.570370370369</v>
      </c>
      <c r="G86" s="7">
        <v>2</v>
      </c>
      <c r="H86" s="21" t="s">
        <v>839</v>
      </c>
      <c r="I86" s="13">
        <v>42828.598194444443</v>
      </c>
      <c r="J86" s="7">
        <v>0</v>
      </c>
      <c r="K86" s="97" t="str">
        <f>IF(ISEVEN(B86),(B86-1)&amp;"/"&amp;B86,B86&amp;"/"&amp;(B86+1))</f>
        <v>4043/4044</v>
      </c>
      <c r="L86" s="21" t="str">
        <f>VLOOKUP(A86,'Trips&amp;Operators'!$C$1:$G$99999,5,FALSE)</f>
        <v>STEWART MICHAEL</v>
      </c>
      <c r="M86" s="6">
        <f>I86-F86</f>
        <v>2.7824074073578231E-2</v>
      </c>
      <c r="N86" s="7">
        <f>24*60*SUM($M86:$M86)</f>
        <v>40.066666665952653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-04-03T12:36:31-0600',mode:absolute,to:'2017-04-03T15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6" s="183" t="str">
        <f>IF(AA86&lt;IF(AG86="EC",23,5.65),"Y","N")</f>
        <v>N</v>
      </c>
      <c r="X86" s="183">
        <f>VALUE(LEFT(AD86,4))-VALUE(LEFT(AD85,4))</f>
        <v>1</v>
      </c>
      <c r="Y86" s="62">
        <f>RIGHT(D86,LEN(D86)-4)/10000</f>
        <v>23.2973</v>
      </c>
      <c r="Z86" s="62">
        <f>RIGHT(H86,LEN(H86)-4)/10000</f>
        <v>1.7399999999999999E-2</v>
      </c>
      <c r="AA86" s="62">
        <f>ABS(Z86-Y86)</f>
        <v>23.279900000000001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>IF(LEN(A86)=6,"0"&amp;A86,A86)</f>
        <v>0174-03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86" s="82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/stypes="app*4043*20170403*" /stext=" 20:.+((SYSTEM_STATE.+slice.+state.+changed )|(ment ac)|(multiple cpu faults)|(system.+state.+changed )|(\[timeout)|(PRM\|1\|D)|(kpr)|(kdp)|(\|lc)|(penalty))"</v>
      </c>
      <c r="AG86" s="1" t="str">
        <f>IFERROR(IF(VALUE(LEFT(AD86,2))&lt;=2,"EC",IF(OR(VALUE(LEFT(AD86,2))=8,VALUE(LEFT(AD86,2))=18),"NW","Other")),"Other")</f>
        <v>EC</v>
      </c>
      <c r="AH86" s="86" t="str">
        <f>refinertdcruntimes&amp;" --tripid "&amp;A86&amp;" --locoid "&amp;B86&amp;" --swversion "&amp;C86&amp;" --startMP "&amp;D86&amp;" --initTime "&amp;TEXT(E86,"yyyy-mm-ddTHH:MM:SS")&amp;" --startdatetime "&amp;TEXT(F86,"yyyy-mm-ddTHH:MM:SS")&amp;" --delay "&amp;G86&amp;" --endMP "&amp;H86&amp;" --enddatetime "&amp;TEXT(I86,"yyyy-mm-ddTHH:MM:SS")&amp;" --enforcementcount "&amp;J86&amp;IF(outputrefinedruntimes," &gt;&gt;"&amp;RefinedRTDCRunTimesOutputFile,"")</f>
        <v>"%USERPROFILE%\Documents\GitHub\eaglep3\Utilities\RefineRTDCRunTimes.py" --tripid 174-03 --locoid 4043 --swversion DE.1.0.9.0 --startMP 204:232973 --initTime 2017-04-03T13:36:31 --startdatetime 2017-04-03T13:41:20 --delay 2 --endMP 204:174 --enddatetime 2017-04-03T14:21:24 --enforcementcount 0 &gt;&gt;C:\Users\stu\Documents\GitHub\eaglep3-reporting\EC\2017-04-03-refined-times.txt</v>
      </c>
      <c r="AI86" s="104" t="str">
        <f>"echo {""issue"":{""subject"":"""&amp;R86&amp;""",""project_id"":79,""tracker_id"":40,""status_id"":"&amp;redmine_status&amp;",""priority_id"":"&amp;redmine_priority&amp;",""assigned_to_id"":"&amp;redmine_assignee&amp;",""start_date"":"""&amp;TEXT(I86,"YYYY-mm-dd")&amp;""",""description"":"""&amp;AJ86&amp;""",""custom_fields"":[{""id"":1,""name"":""Subdivision"",""value"":"""&amp;AG86&amp;"""},{""id"":4,""name"":""Milepost"",""value"":"""&amp;Z86&amp;"""},{""id"":17,""name"":""Train ID"",""value"":"""&amp;A86&amp;"""},{""id"":16,""name"":""Locomotive ID"",""value"":"""&amp;B86&amp;"""},{""id"":130,""name"":""Impact"",""value"":"""&amp;AK86&amp;"""},{""id"":150,""name"":""Time of Event (Mountain Time)"",""value"":"""&amp;TEXT(I86,"hh:mm:ss")&amp;"""},{""id"":151,""name"":""Denver Issue ID"",""value"":"""&amp;"""},{""id"":178,""name"":""Operational Impact"",""value"":"""&amp;redmine_op_impact&amp;"""},{""id"":179,""name"":""Denver Segment Assigned"",""value"":"""&amp;AL86&amp;"""}]}}"&amp;"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ID","value":"174-03"},{"id":16,"name":"Locomotive ID","value":"4043"},{"id":130,"name":"Impact","value":""},{"id":150,"name":"Time of Event (Mountain Time)","value":"14:21:24"},{"id":151,"name":"Denver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>"start /low /b "&amp;dls3logs&amp;" --loco "&amp;B86&amp;" --day "&amp;TEXT(F86,"YYYY-MM-DD")</f>
        <v>start /low /b %USERPROFILE%\Documents\GitHub\eaglep3\Utilities\DownloadLogsFromS3.py --loco 4043 --day 2017-04-03</v>
      </c>
      <c r="AN86" s="159" t="str">
        <f>"echo {""issue"":{""subject"":"""&amp;R86&amp;""",""project_id"":30,""tracker_id"":4,""status_id"":"&amp;redmine_status_wcr&amp;",""priority_id"":"&amp;redmine_priority_wcr&amp;",""assigned_to_id"":"&amp;redmine_assignee_wcr&amp;",""start_date"":"""&amp;TEXT(I86-utc_offset/24,"YYYY-mm-dd")&amp;""",""description"":"""&amp;AJ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601</v>
      </c>
      <c r="B87" s="7">
        <v>4028</v>
      </c>
      <c r="C87" s="21" t="s">
        <v>217</v>
      </c>
      <c r="D87" s="21" t="s">
        <v>862</v>
      </c>
      <c r="E87" s="13">
        <v>42828.539421296293</v>
      </c>
      <c r="F87" s="13">
        <v>42828.542280092595</v>
      </c>
      <c r="G87" s="7">
        <v>1</v>
      </c>
      <c r="H87" s="21" t="s">
        <v>564</v>
      </c>
      <c r="I87" s="13">
        <v>42828.567013888889</v>
      </c>
      <c r="J87" s="7">
        <v>0</v>
      </c>
      <c r="K87" s="97" t="str">
        <f>IF(ISEVEN(B87),(B87-1)&amp;"/"&amp;B87,B87&amp;"/"&amp;(B87+1))</f>
        <v>4027/4028</v>
      </c>
      <c r="L87" s="21" t="str">
        <f>VLOOKUP(A87,'Trips&amp;Operators'!$C$1:$G$99999,5,FALSE)</f>
        <v>LALONDE GREGORY</v>
      </c>
      <c r="M87" s="6">
        <f>I87-F87</f>
        <v>2.4733796293730848E-2</v>
      </c>
      <c r="N87" s="7">
        <f>24*60*SUM($M87:$M87)</f>
        <v>35.61666666297242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-04-03T11:56:46-0600',mode:absolute,to:'2017-04-03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7" s="183" t="str">
        <f>IF(AA87&lt;IF(AG87="EC",23,5.65),"Y","N")</f>
        <v>N</v>
      </c>
      <c r="X87" s="183">
        <f>VALUE(LEFT(AD87,4))-VALUE(LEFT(AD86,4))</f>
        <v>1</v>
      </c>
      <c r="Y87" s="62">
        <f>RIGHT(D87,LEN(D87)-4)/10000</f>
        <v>5.2600000000000001E-2</v>
      </c>
      <c r="Z87" s="62">
        <f>RIGHT(H87,LEN(H87)-4)/10000</f>
        <v>23.337199999999999</v>
      </c>
      <c r="AA87" s="62">
        <f>ABS(Z87-Y87)</f>
        <v>23.284599999999998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>IF(LEN(A87)=6,"0"&amp;A87,A87)</f>
        <v>0175-03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87" s="82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/stypes="app*4028*20170403*" /stext=" 19:.+((SYSTEM_STATE.+slice.+state.+changed )|(ment ac)|(multiple cpu faults)|(system.+state.+changed )|(\[timeout)|(PRM\|1\|D)|(kpr)|(kdp)|(\|lc)|(penalty))"</v>
      </c>
      <c r="AG87" s="1" t="str">
        <f>IFERROR(IF(VALUE(LEFT(AD87,2))&lt;=2,"EC",IF(OR(VALUE(LEFT(AD87,2))=8,VALUE(LEFT(AD87,2))=18),"NW","Other")),"Other")</f>
        <v>EC</v>
      </c>
      <c r="AH87" s="86" t="str">
        <f>refinertdcruntimes&amp;" --tripid "&amp;A87&amp;" --locoid "&amp;B87&amp;" --swversion "&amp;C87&amp;" --startMP "&amp;D87&amp;" --initTime "&amp;TEXT(E87,"yyyy-mm-ddTHH:MM:SS")&amp;" --startdatetime "&amp;TEXT(F87,"yyyy-mm-ddTHH:MM:SS")&amp;" --delay "&amp;G87&amp;" --endMP "&amp;H87&amp;" --enddatetime "&amp;TEXT(I87,"yyyy-mm-ddTHH:MM:SS")&amp;" --enforcementcount "&amp;J87&amp;IF(outputrefinedruntimes," &gt;&gt;"&amp;RefinedRTDCRunTimesOutputFile,"")</f>
        <v>"%USERPROFILE%\Documents\GitHub\eaglep3\Utilities\RefineRTDCRunTimes.py" --tripid 175-03 --locoid 4028 --swversion DE.1.0.9.0 --startMP 204:526 --initTime 2017-04-03T12:56:46 --startdatetime 2017-04-03T13:00:53 --delay 1 --endMP 204:233372 --enddatetime 2017-04-03T13:36:30 --enforcementcount 0 &gt;&gt;C:\Users\stu\Documents\GitHub\eaglep3-reporting\EC\2017-04-03-refined-times.txt</v>
      </c>
      <c r="AI87" s="104" t="str">
        <f>"echo {""issue"":{""subject"":"""&amp;R87&amp;""",""project_id"":79,""tracker_id"":40,""status_id"":"&amp;redmine_status&amp;",""priority_id"":"&amp;redmine_priority&amp;",""assigned_to_id"":"&amp;redmine_assignee&amp;",""start_date"":"""&amp;TEXT(I87,"YYYY-mm-dd")&amp;""",""description"":"""&amp;AJ87&amp;""",""custom_fields"":[{""id"":1,""name"":""Subdivision"",""value"":"""&amp;AG87&amp;"""},{""id"":4,""name"":""Milepost"",""value"":"""&amp;Z87&amp;"""},{""id"":17,""name"":""Train ID"",""value"":"""&amp;A87&amp;"""},{""id"":16,""name"":""Locomotive ID"",""value"":"""&amp;B87&amp;"""},{""id"":130,""name"":""Impact"",""value"":"""&amp;AK87&amp;"""},{""id"":150,""name"":""Time of Event (Mountain Time)"",""value"":"""&amp;TEXT(I87,"hh:mm:ss")&amp;"""},{""id"":151,""name"":""Denver Issue ID"",""value"":"""&amp;"""},{""id"":178,""name"":""Operational Impact"",""value"":"""&amp;redmine_op_impact&amp;"""},{""id"":179,""name"":""Denver Segment Assigned"",""value"":"""&amp;AL87&amp;"""}]}}"&amp;"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{"issue":{"subject":"","project_id":79,"tracker_id":40,"status_id":1,"priority_id":2,"assigned_to_id":23,"start_date":"2017-04-03","description":"","custom_fields":[{"id":1,"name":"Subdivision","value":"EC"},{"id":4,"name":"Milepost","value":"23.3372"},{"id":17,"name":"Train ID","value":"175-03"},{"id":16,"name":"Locomotive ID","value":"4028"},{"id":130,"name":"Impact","value":""},{"id":150,"name":"Time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>"start /low /b "&amp;dls3logs&amp;" --loco "&amp;B87&amp;" --day "&amp;TEXT(F87,"YYYY-MM-DD")</f>
        <v>start /low /b %USERPROFILE%\Documents\GitHub\eaglep3\Utilities\DownloadLogsFromS3.py --loco 4028 --day 2017-04-03</v>
      </c>
      <c r="AN87" s="159" t="str">
        <f>"echo {""issue"":{""subject"":"""&amp;R87&amp;""",""project_id"":30,""tracker_id"":4,""status_id"":"&amp;redmine_status_wcr&amp;",""priority_id"":"&amp;redmine_priority_wcr&amp;",""assigned_to_id"":"&amp;redmine_assignee_wcr&amp;",""start_date"":"""&amp;TEXT(I87-utc_offset/24,"YYYY-mm-dd")&amp;""",""description"":"""&amp;AJ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3" t="s">
        <v>606</v>
      </c>
      <c r="B88" s="7">
        <v>4027</v>
      </c>
      <c r="C88" s="21" t="s">
        <v>217</v>
      </c>
      <c r="D88" s="21" t="s">
        <v>863</v>
      </c>
      <c r="E88" s="13">
        <v>42828.572777777779</v>
      </c>
      <c r="F88" s="13">
        <v>42828.580891203703</v>
      </c>
      <c r="G88" s="7">
        <v>2</v>
      </c>
      <c r="H88" s="21" t="s">
        <v>864</v>
      </c>
      <c r="I88" s="13">
        <v>42828.606932870367</v>
      </c>
      <c r="J88" s="7">
        <v>0</v>
      </c>
      <c r="K88" s="97" t="str">
        <f>IF(ISEVEN(B88),(B88-1)&amp;"/"&amp;B88,B88&amp;"/"&amp;(B88+1))</f>
        <v>4027/4028</v>
      </c>
      <c r="L88" s="21" t="str">
        <f>VLOOKUP(A88,'Trips&amp;Operators'!$C$1:$G$99999,5,FALSE)</f>
        <v>LALONDE GREGORY</v>
      </c>
      <c r="M88" s="6">
        <f>I88-F88</f>
        <v>2.6041666664241347E-2</v>
      </c>
      <c r="N88" s="7">
        <f>24*60*SUM($M88:$M88)</f>
        <v>37.49999999650754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8" s="183" t="str">
        <f>IF(AA88&lt;IF(AG88="EC",23,5.65),"Y","N")</f>
        <v>N</v>
      </c>
      <c r="X88" s="183">
        <f>VALUE(LEFT(AD88,4))-VALUE(LEFT(AD87,4))</f>
        <v>1</v>
      </c>
      <c r="Y88" s="62">
        <f>RIGHT(D88,LEN(D88)-4)/10000</f>
        <v>23.305499999999999</v>
      </c>
      <c r="Z88" s="62">
        <f>RIGHT(H88,LEN(H88)-4)/10000</f>
        <v>3.5799999999999998E-2</v>
      </c>
      <c r="AA88" s="62">
        <f>ABS(Z88-Y88)</f>
        <v>23.2697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>IF(LEN(A88)=6,"0"&amp;A88,A88)</f>
        <v>0176-03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88" s="82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/stypes="app*4027*20170403*" /stext=" 20:.+((SYSTEM_STATE.+slice.+state.+changed )|(ment ac)|(multiple cpu faults)|(system.+state.+changed )|(\[timeout)|(PRM\|1\|D)|(kpr)|(kdp)|(\|lc)|(penalty))"</v>
      </c>
      <c r="AG88" s="1" t="str">
        <f>IFERROR(IF(VALUE(LEFT(AD88,2))&lt;=2,"EC",IF(OR(VALUE(LEFT(AD88,2))=8,VALUE(LEFT(AD88,2))=18),"NW","Other")),"Other")</f>
        <v>EC</v>
      </c>
      <c r="AH88" s="86" t="str">
        <f>refinertdcruntimes&amp;" --tripid "&amp;A88&amp;" --locoid "&amp;B88&amp;" --swversion "&amp;C88&amp;" --startMP "&amp;D88&amp;" --initTime "&amp;TEXT(E88,"yyyy-mm-ddTHH:MM:SS")&amp;" --startdatetime "&amp;TEXT(F88,"yyyy-mm-ddTHH:MM:SS")&amp;" --delay "&amp;G88&amp;" --endMP "&amp;H88&amp;" --enddatetime "&amp;TEXT(I88,"yyyy-mm-ddTHH:MM:SS")&amp;" --enforcementcount "&amp;J88&amp;IF(outputrefinedruntimes," &gt;&gt;"&amp;RefinedRTDCRunTimesOutputFile,"")</f>
        <v>"%USERPROFILE%\Documents\GitHub\eaglep3\Utilities\RefineRTDCRunTimes.py" --tripid 176-03 --locoid 4027 --swversion DE.1.0.9.0 --startMP 204:233055 --initTime 2017-04-03T13:44:48 --startdatetime 2017-04-03T13:56:29 --delay 2 --endMP 204:358 --enddatetime 2017-04-03T14:33:59 --enforcementcount 0 &gt;&gt;C:\Users\stu\Documents\GitHub\eaglep3-reporting\EC\2017-04-03-refined-times.txt</v>
      </c>
      <c r="AI88" s="104" t="str">
        <f>"echo {""issue"":{""subject"":"""&amp;R88&amp;""",""project_id"":79,""tracker_id"":40,""status_id"":"&amp;redmine_status&amp;",""priority_id"":"&amp;redmine_priority&amp;",""assigned_to_id"":"&amp;redmine_assignee&amp;",""start_date"":"""&amp;TEXT(I88,"YYYY-mm-dd")&amp;""",""description"":"""&amp;AJ88&amp;""",""custom_fields"":[{""id"":1,""name"":""Subdivision"",""value"":"""&amp;AG88&amp;"""},{""id"":4,""name"":""Milepost"",""value"":"""&amp;Z88&amp;"""},{""id"":17,""name"":""Train ID"",""value"":"""&amp;A88&amp;"""},{""id"":16,""name"":""Locomotive ID"",""value"":"""&amp;B88&amp;"""},{""id"":130,""name"":""Impact"",""value"":"""&amp;AK88&amp;"""},{""id"":150,""name"":""Time of Event (Mountain Time)"",""value"":"""&amp;TEXT(I88,"hh:mm:ss")&amp;"""},{""id"":151,""name"":""Denver Issue ID"",""value"":"""&amp;"""},{""id"":178,""name"":""Operational Impact"",""value"":"""&amp;redmine_op_impact&amp;"""},{""id"":179,""name"":""Denver Segment Assigned"",""value"":"""&amp;AL88&amp;"""}]}}"&amp;"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{"issue":{"subject":"","project_id":79,"tracker_id":40,"status_id":1,"priority_id":2,"assigned_to_id":23,"start_date":"2017-04-03","description":"","custom_fields":[{"id":1,"name":"Subdivision","value":"EC"},{"id":4,"name":"Milepost","value":"0.0358"},{"id":17,"name":"Train ID","value":"176-03"},{"id":16,"name":"Locomotive ID","value":"4027"},{"id":130,"name":"Impact","value":""},{"id":150,"name":"Time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8"/>
      <c r="AL88" s="48"/>
      <c r="AM88" s="150" t="str">
        <f>"start /low /b "&amp;dls3logs&amp;" --loco "&amp;B88&amp;" --day "&amp;TEXT(F88,"YYYY-MM-DD")</f>
        <v>start /low /b %USERPROFILE%\Documents\GitHub\eaglep3\Utilities\DownloadLogsFromS3.py --loco 4027 --day 2017-04-03</v>
      </c>
      <c r="AN88" s="159" t="str">
        <f>"echo {""issue"":{""subject"":"""&amp;R88&amp;""",""project_id"":30,""tracker_id"":4,""status_id"":"&amp;redmine_status_wcr&amp;",""priority_id"":"&amp;redmine_priority_wcr&amp;",""assigned_to_id"":"&amp;redmine_assignee_wcr&amp;",""start_date"":"""&amp;TEXT(I88-utc_offset/24,"YYYY-mm-dd")&amp;""",""description"":"""&amp;AJ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3" t="s">
        <v>718</v>
      </c>
      <c r="B89" s="7">
        <v>4018</v>
      </c>
      <c r="C89" s="21" t="s">
        <v>217</v>
      </c>
      <c r="D89" s="21" t="s">
        <v>865</v>
      </c>
      <c r="E89" s="13">
        <v>42828.548634259256</v>
      </c>
      <c r="F89" s="13">
        <v>42828.552256944444</v>
      </c>
      <c r="G89" s="7">
        <v>1</v>
      </c>
      <c r="H89" s="21" t="s">
        <v>510</v>
      </c>
      <c r="I89" s="13">
        <v>42828.577928240738</v>
      </c>
      <c r="J89" s="7">
        <v>0</v>
      </c>
      <c r="K89" s="97" t="str">
        <f>IF(ISEVEN(B89),(B89-1)&amp;"/"&amp;B89,B89&amp;"/"&amp;(B89+1))</f>
        <v>4017/4018</v>
      </c>
      <c r="L89" s="21" t="str">
        <f>VLOOKUP(A89,'Trips&amp;Operators'!$C$1:$G$99999,5,FALSE)</f>
        <v>CLARK KATHLEEN</v>
      </c>
      <c r="M89" s="6">
        <f>I89-F89</f>
        <v>2.5671296294603962E-2</v>
      </c>
      <c r="N89" s="7">
        <f>24*60*SUM($M89:$M89)</f>
        <v>36.966666664229706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-04-03T12:10:02-0600',mode:absolute,to:'2017-04-03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9" s="183" t="str">
        <f>IF(AA89&lt;IF(AG89="EC",23,5.65),"Y","N")</f>
        <v>N</v>
      </c>
      <c r="X89" s="183">
        <f>VALUE(LEFT(AD89,4))-VALUE(LEFT(AD88,4))</f>
        <v>1</v>
      </c>
      <c r="Y89" s="62">
        <f>RIGHT(D89,LEN(D89)-4)/10000</f>
        <v>5.7000000000000002E-2</v>
      </c>
      <c r="Z89" s="62">
        <f>RIGHT(H89,LEN(H89)-4)/10000</f>
        <v>23.328199999999999</v>
      </c>
      <c r="AA89" s="62">
        <f>ABS(Z89-Y89)</f>
        <v>23.2712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>IF(LEN(A89)=6,"0"&amp;A89,A89)</f>
        <v>0177-03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89" s="82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/stypes="app*4018*20170403*" /stext=" 19:.+((SYSTEM_STATE.+slice.+state.+changed )|(ment ac)|(multiple cpu faults)|(system.+state.+changed )|(\[timeout)|(PRM\|1\|D)|(kpr)|(kdp)|(\|lc)|(penalty))"</v>
      </c>
      <c r="AG89" s="1" t="str">
        <f>IFERROR(IF(VALUE(LEFT(AD89,2))&lt;=2,"EC",IF(OR(VALUE(LEFT(AD89,2))=8,VALUE(LEFT(AD89,2))=18),"NW","Other")),"Other")</f>
        <v>EC</v>
      </c>
      <c r="AH89" s="86" t="str">
        <f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177-03 --locoid 4018 --swversion DE.1.0.9.0 --startMP 204:570 --initTime 2017-04-03T13:10:02 --startdatetime 2017-04-03T13:15:15 --delay 1 --endMP 204:233282 --enddatetime 2017-04-03T13:52:13 --enforcementcount 0 &gt;&gt;C:\Users\stu\Documents\GitHub\eaglep3-reporting\EC\2017-04-03-refined-times.txt</v>
      </c>
      <c r="AI89" s="104" t="str">
        <f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Z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{"issue":{"subject":"","project_id":79,"tracker_id":40,"status_id":1,"priority_id":2,"assigned_to_id":23,"start_date":"2017-04-03","description":"","custom_fields":[{"id":1,"name":"Subdivision","value":"EC"},{"id":4,"name":"Milepost","value":"23.3282"},{"id":17,"name":"Train ID","value":"177-03"},{"id":16,"name":"Locomotive ID","value":"4018"},{"id":130,"name":"Impact","value":""},{"id":150,"name":"Time of Event (Mountain Time)","value":"13:52:13"},{"id":151,"name":"Denver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>"start /low /b "&amp;dls3logs&amp;" --loco "&amp;B89&amp;" --day "&amp;TEXT(F89,"YYYY-MM-DD")</f>
        <v>start /low /b %USERPROFILE%\Documents\GitHub\eaglep3\Utilities\DownloadLogsFromS3.py --loco 4018 --day 2017-04-03</v>
      </c>
      <c r="AN89" s="159" t="str">
        <f>"echo {""issue"":{""subject"":"""&amp;R89&amp;""",""project_id"":30,""tracker_id"":4,""status_id"":"&amp;redmine_status_wcr&amp;",""priority_id"":"&amp;redmine_priority_wcr&amp;",""assigned_to_id"":"&amp;redmine_assignee_wcr&amp;",""start_date"":"""&amp;TEXT(I89-utc_offset/24,"YYYY-mm-dd")&amp;""",""description"":"""&amp;AJ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725</v>
      </c>
      <c r="B90" s="7">
        <v>4017</v>
      </c>
      <c r="C90" s="21" t="s">
        <v>217</v>
      </c>
      <c r="D90" s="21" t="s">
        <v>866</v>
      </c>
      <c r="E90" s="13">
        <v>42828.586284722223</v>
      </c>
      <c r="F90" s="13">
        <v>42828.591145833336</v>
      </c>
      <c r="G90" s="7">
        <v>1</v>
      </c>
      <c r="H90" s="21" t="s">
        <v>867</v>
      </c>
      <c r="I90" s="13">
        <v>42828.619409722225</v>
      </c>
      <c r="J90" s="7">
        <v>0</v>
      </c>
      <c r="K90" s="97" t="str">
        <f>IF(ISEVEN(B90),(B90-1)&amp;"/"&amp;B90,B90&amp;"/"&amp;(B90+1))</f>
        <v>4017/4018</v>
      </c>
      <c r="L90" s="21" t="str">
        <f>VLOOKUP(A90,'Trips&amp;Operators'!$C$1:$G$99999,5,FALSE)</f>
        <v>CLARK KATHLEEN</v>
      </c>
      <c r="M90" s="6">
        <f>I90-F90</f>
        <v>2.8263888889341615E-2</v>
      </c>
      <c r="N90" s="7">
        <f>24*60*SUM($M90:$M90)</f>
        <v>40.700000000651926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-04-03T13:04:15-0600',mode:absolute,to:'2017-04-03T15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0" s="183" t="str">
        <f>IF(AA90&lt;IF(AG90="EC",23,5.65),"Y","N")</f>
        <v>N</v>
      </c>
      <c r="X90" s="183">
        <f>VALUE(LEFT(AD90,4))-VALUE(LEFT(AD89,4))</f>
        <v>1</v>
      </c>
      <c r="Y90" s="62">
        <f>RIGHT(D90,LEN(D90)-4)/10000</f>
        <v>23.295300000000001</v>
      </c>
      <c r="Z90" s="62">
        <f>RIGHT(H90,LEN(H90)-4)/10000</f>
        <v>1.6899999999999998E-2</v>
      </c>
      <c r="AA90" s="62">
        <f>ABS(Z90-Y90)</f>
        <v>23.278400000000001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>IF(LEN(A90)=6,"0"&amp;A90,A90)</f>
        <v>0178-03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90" s="82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/stypes="app*4017*20170403*" /stext=" 20:.+((SYSTEM_STATE.+slice.+state.+changed )|(ment ac)|(multiple cpu faults)|(system.+state.+changed )|(\[timeout)|(PRM\|1\|D)|(kpr)|(kdp)|(\|lc)|(penalty))"</v>
      </c>
      <c r="AG90" s="1" t="str">
        <f>IFERROR(IF(VALUE(LEFT(AD90,2))&lt;=2,"EC",IF(OR(VALUE(LEFT(AD90,2))=8,VALUE(LEFT(AD90,2))=18),"NW","Other")),"Other")</f>
        <v>EC</v>
      </c>
      <c r="AH90" s="86" t="str">
        <f>refinertdcruntimes&amp;" --tripid "&amp;A90&amp;" --locoid "&amp;B90&amp;" --swversion "&amp;C90&amp;" --startMP "&amp;D90&amp;" --initTime "&amp;TEXT(E90,"yyyy-mm-ddTHH:MM:SS")&amp;" --startdatetime "&amp;TEXT(F90,"yyyy-mm-ddTHH:MM:SS")&amp;" --delay "&amp;G90&amp;" --endMP "&amp;H90&amp;" --enddatetime "&amp;TEXT(I90,"yyyy-mm-ddTHH:MM:SS")&amp;" --enforcementcount "&amp;J90&amp;IF(outputrefinedruntimes," &gt;&gt;"&amp;RefinedRTDCRunTimesOutputFile,"")</f>
        <v>"%USERPROFILE%\Documents\GitHub\eaglep3\Utilities\RefineRTDCRunTimes.py" --tripid 178-03 --locoid 4017 --swversion DE.1.0.9.0 --startMP 204:232953 --initTime 2017-04-03T14:04:15 --startdatetime 2017-04-03T14:11:15 --delay 1 --endMP 204:169 --enddatetime 2017-04-03T14:51:57 --enforcementcount 0 &gt;&gt;C:\Users\stu\Documents\GitHub\eaglep3-reporting\EC\2017-04-03-refined-times.txt</v>
      </c>
      <c r="AI90" s="104" t="str">
        <f>"echo {""issue"":{""subject"":"""&amp;R90&amp;""",""project_id"":79,""tracker_id"":40,""status_id"":"&amp;redmine_status&amp;",""priority_id"":"&amp;redmine_priority&amp;",""assigned_to_id"":"&amp;redmine_assignee&amp;",""start_date"":"""&amp;TEXT(I90,"YYYY-mm-dd")&amp;""",""description"":"""&amp;AJ90&amp;""",""custom_fields"":[{""id"":1,""name"":""Subdivision"",""value"":"""&amp;AG90&amp;"""},{""id"":4,""name"":""Milepost"",""value"":"""&amp;Z90&amp;"""},{""id"":17,""name"":""Train ID"",""value"":"""&amp;A90&amp;"""},{""id"":16,""name"":""Locomotive ID"",""value"":"""&amp;B90&amp;"""},{""id"":130,""name"":""Impact"",""value"":"""&amp;AK90&amp;"""},{""id"":150,""name"":""Time of Event (Mountain Time)"",""value"":"""&amp;TEXT(I90,"hh:mm:ss")&amp;"""},{""id"":151,""name"":""Denver Issue ID"",""value"":"""&amp;"""},{""id"":178,""name"":""Operational Impact"",""value"":"""&amp;redmine_op_impact&amp;"""},{""id"":179,""name"":""Denver Segment Assigned"",""value"":"""&amp;AL90&amp;"""}]}}"&amp;"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ID","value":"178-03"},{"id":16,"name":"Locomotive ID","value":"4017"},{"id":130,"name":"Impact","value":""},{"id":150,"name":"Time of Event (Mountain Time)","value":"14:51:57"},{"id":151,"name":"Denver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>"start /low /b "&amp;dls3logs&amp;" --loco "&amp;B90&amp;" --day "&amp;TEXT(F90,"YYYY-MM-DD")</f>
        <v>start /low /b %USERPROFILE%\Documents\GitHub\eaglep3\Utilities\DownloadLogsFromS3.py --loco 4017 --day 2017-04-03</v>
      </c>
      <c r="AN90" s="159" t="str">
        <f>"echo {""issue"":{""subject"":"""&amp;R90&amp;""",""project_id"":30,""tracker_id"":4,""status_id"":"&amp;redmine_status_wcr&amp;",""priority_id"":"&amp;redmine_priority_wcr&amp;",""assigned_to_id"":"&amp;redmine_assignee_wcr&amp;",""start_date"":"""&amp;TEXT(I90-utc_offset/24,"YYYY-mm-dd")&amp;""",""description"":"""&amp;AJ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721</v>
      </c>
      <c r="B91" s="7">
        <v>4008</v>
      </c>
      <c r="C91" s="21" t="s">
        <v>217</v>
      </c>
      <c r="D91" s="21" t="s">
        <v>845</v>
      </c>
      <c r="E91" s="13">
        <v>42828.560428240744</v>
      </c>
      <c r="F91" s="13">
        <v>42828.562800925924</v>
      </c>
      <c r="G91" s="7">
        <v>2</v>
      </c>
      <c r="H91" s="21" t="s">
        <v>858</v>
      </c>
      <c r="I91" s="13">
        <v>42828.588321759256</v>
      </c>
      <c r="J91" s="7">
        <v>0</v>
      </c>
      <c r="K91" s="97" t="str">
        <f>IF(ISEVEN(B91),(B91-1)&amp;"/"&amp;B91,B91&amp;"/"&amp;(B91+1))</f>
        <v>4007/4008</v>
      </c>
      <c r="L91" s="21" t="str">
        <f>VLOOKUP(A91,'Trips&amp;Operators'!$C$1:$G$99999,5,FALSE)</f>
        <v>WILLIAMS DONTE</v>
      </c>
      <c r="M91" s="6">
        <f>I91-F91</f>
        <v>2.5520833332848269E-2</v>
      </c>
      <c r="N91" s="7">
        <f>24*60*SUM($M91:$M91)</f>
        <v>36.749999999301508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-04-03T12:27:01-0600',mode:absolute,to:'2017-04-03T15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1" s="183" t="str">
        <f>IF(AA91&lt;IF(AG91="EC",23,5.65),"Y","N")</f>
        <v>N</v>
      </c>
      <c r="X91" s="183">
        <f>VALUE(LEFT(AD91,4))-VALUE(LEFT(AD90,4))</f>
        <v>1</v>
      </c>
      <c r="Y91" s="62">
        <f>RIGHT(D91,LEN(D91)-4)/10000</f>
        <v>4.7500000000000001E-2</v>
      </c>
      <c r="Z91" s="62">
        <f>RIGHT(H91,LEN(H91)-4)/10000</f>
        <v>23.3353</v>
      </c>
      <c r="AA91" s="62">
        <f>ABS(Z91-Y91)</f>
        <v>23.287800000000001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>IF(LEN(A91)=6,"0"&amp;A91,A91)</f>
        <v>0179-03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91" s="82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/stypes="app*4008*20170403*" /stext=" 20:.+((SYSTEM_STATE.+slice.+state.+changed )|(ment ac)|(multiple cpu faults)|(system.+state.+changed )|(\[timeout)|(PRM\|1\|D)|(kpr)|(kdp)|(\|lc)|(penalty))"</v>
      </c>
      <c r="AG91" s="1" t="str">
        <f>IFERROR(IF(VALUE(LEFT(AD91,2))&lt;=2,"EC",IF(OR(VALUE(LEFT(AD91,2))=8,VALUE(LEFT(AD91,2))=18),"NW","Other")),"Other")</f>
        <v>EC</v>
      </c>
      <c r="AH91" s="86" t="str">
        <f>refinertdcruntimes&amp;" --tripid "&amp;A91&amp;" --locoid "&amp;B91&amp;" --swversion "&amp;C91&amp;" --startMP "&amp;D91&amp;" --initTime "&amp;TEXT(E91,"yyyy-mm-ddTHH:MM:SS")&amp;" --startdatetime "&amp;TEXT(F91,"yyyy-mm-ddTHH:MM:SS")&amp;" --delay "&amp;G91&amp;" --endMP "&amp;H91&amp;" --enddatetime "&amp;TEXT(I91,"yyyy-mm-ddTHH:MM:SS")&amp;" --enforcementcount "&amp;J91&amp;IF(outputrefinedruntimes," &gt;&gt;"&amp;RefinedRTDCRunTimesOutputFile,"")</f>
        <v>"%USERPROFILE%\Documents\GitHub\eaglep3\Utilities\RefineRTDCRunTimes.py" --tripid 179-03 --locoid 4008 --swversion DE.1.0.9.0 --startMP 204:475 --initTime 2017-04-03T13:27:01 --startdatetime 2017-04-03T13:30:26 --delay 2 --endMP 204:233353 --enddatetime 2017-04-03T14:07:11 --enforcementcount 0 &gt;&gt;C:\Users\stu\Documents\GitHub\eaglep3-reporting\EC\2017-04-03-refined-times.txt</v>
      </c>
      <c r="AI91" s="104" t="str">
        <f>"echo {""issue"":{""subject"":"""&amp;R91&amp;""",""project_id"":79,""tracker_id"":40,""status_id"":"&amp;redmine_status&amp;",""priority_id"":"&amp;redmine_priority&amp;",""assigned_to_id"":"&amp;redmine_assignee&amp;",""start_date"":"""&amp;TEXT(I91,"YYYY-mm-dd")&amp;""",""description"":"""&amp;AJ91&amp;""",""custom_fields"":[{""id"":1,""name"":""Subdivision"",""value"":"""&amp;AG91&amp;"""},{""id"":4,""name"":""Milepost"",""value"":"""&amp;Z91&amp;"""},{""id"":17,""name"":""Train ID"",""value"":"""&amp;A91&amp;"""},{""id"":16,""name"":""Locomotive ID"",""value"":"""&amp;B91&amp;"""},{""id"":130,""name"":""Impact"",""value"":"""&amp;AK91&amp;"""},{""id"":150,""name"":""Time of Event (Mountain Time)"",""value"":"""&amp;TEXT(I91,"hh:mm:ss")&amp;"""},{""id"":151,""name"":""Denver Issue ID"",""value"":"""&amp;"""},{""id"":178,""name"":""Operational Impact"",""value"":"""&amp;redmine_op_impact&amp;"""},{""id"":179,""name"":""Denver Segment Assigned"",""value"":"""&amp;AL91&amp;"""}]}}"&amp;"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{"issue":{"subject":"","project_id":79,"tracker_id":40,"status_id":1,"priority_id":2,"assigned_to_id":23,"start_date":"2017-04-03","description":"","custom_fields":[{"id":1,"name":"Subdivision","value":"EC"},{"id":4,"name":"Milepost","value":"23.3353"},{"id":17,"name":"Train ID","value":"179-03"},{"id":16,"name":"Locomotive ID","value":"4008"},{"id":130,"name":"Impact","value":""},{"id":150,"name":"Time of Event (Mountain Time)","value":"14:07:11"},{"id":151,"name":"Denver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>"start /low /b "&amp;dls3logs&amp;" --loco "&amp;B91&amp;" --day "&amp;TEXT(F91,"YYYY-MM-DD")</f>
        <v>start /low /b %USERPROFILE%\Documents\GitHub\eaglep3\Utilities\DownloadLogsFromS3.py --loco 4008 --day 2017-04-03</v>
      </c>
      <c r="AN91" s="159" t="str">
        <f>"echo {""issue"":{""subject"":"""&amp;R91&amp;""",""project_id"":30,""tracker_id"":4,""status_id"":"&amp;redmine_status_wcr&amp;",""priority_id"":"&amp;redmine_priority_wcr&amp;",""assigned_to_id"":"&amp;redmine_assignee_wcr&amp;",""start_date"":"""&amp;TEXT(I91-utc_offset/24,"YYYY-mm-dd")&amp;""",""description"":"""&amp;AJ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608</v>
      </c>
      <c r="B92" s="7">
        <v>4007</v>
      </c>
      <c r="C92" s="21" t="s">
        <v>217</v>
      </c>
      <c r="D92" s="21" t="s">
        <v>868</v>
      </c>
      <c r="E92" s="13">
        <v>42828.595057870371</v>
      </c>
      <c r="F92" s="13">
        <v>42828.601631944446</v>
      </c>
      <c r="G92" s="7">
        <v>7</v>
      </c>
      <c r="H92" s="21" t="s">
        <v>519</v>
      </c>
      <c r="I92" s="13">
        <v>42828.630231481482</v>
      </c>
      <c r="J92" s="7">
        <v>0</v>
      </c>
      <c r="K92" s="97" t="str">
        <f>IF(ISEVEN(B92),(B92-1)&amp;"/"&amp;B92,B92&amp;"/"&amp;(B92+1))</f>
        <v>4007/4008</v>
      </c>
      <c r="L92" s="21" t="str">
        <f>VLOOKUP(A92,'Trips&amp;Operators'!$C$1:$G$99999,5,FALSE)</f>
        <v>WILLIAMS DONTE</v>
      </c>
      <c r="M92" s="6">
        <f>I92-F92</f>
        <v>2.8599537035916001E-2</v>
      </c>
      <c r="N92" s="7">
        <f>24*60*SUM($M92:$M92)</f>
        <v>41.183333331719041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2" s="183" t="str">
        <f>IF(AA92&lt;IF(AG92="EC",23,5.65),"Y","N")</f>
        <v>N</v>
      </c>
      <c r="X92" s="183">
        <f>VALUE(LEFT(AD92,4))-VALUE(LEFT(AD91,4))</f>
        <v>1</v>
      </c>
      <c r="Y92" s="62">
        <f>RIGHT(D92,LEN(D92)-4)/10000</f>
        <v>23.303999999999998</v>
      </c>
      <c r="Z92" s="62">
        <f>RIGHT(H92,LEN(H92)-4)/10000</f>
        <v>1.7000000000000001E-2</v>
      </c>
      <c r="AA92" s="62">
        <f>ABS(Z92-Y92)</f>
        <v>23.286999999999999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>IF(LEN(A92)=6,"0"&amp;A92,A92)</f>
        <v>0180-03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92" s="82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/stypes="app*4007*20170403*" /stext=" 21:.+((SYSTEM_STATE.+slice.+state.+changed )|(ment ac)|(multiple cpu faults)|(system.+state.+changed )|(\[timeout)|(PRM\|1\|D)|(kpr)|(kdp)|(\|lc)|(penalty))"</v>
      </c>
      <c r="AG92" s="1" t="str">
        <f>IFERROR(IF(VALUE(LEFT(AD92,2))&lt;=2,"EC",IF(OR(VALUE(LEFT(AD92,2))=8,VALUE(LEFT(AD92,2))=18),"NW","Other")),"Other")</f>
        <v>EC</v>
      </c>
      <c r="AH92" s="86" t="str">
        <f>refinertdcruntimes&amp;" --tripid "&amp;A92&amp;" --locoid "&amp;B92&amp;" --swversion "&amp;C92&amp;" --startMP "&amp;D92&amp;" --initTime "&amp;TEXT(E92,"yyyy-mm-ddTHH:MM:SS")&amp;" --startdatetime "&amp;TEXT(F92,"yyyy-mm-ddTHH:MM:SS")&amp;" --delay "&amp;G92&amp;" --endMP "&amp;H92&amp;" --enddatetime "&amp;TEXT(I92,"yyyy-mm-ddTHH:MM:SS")&amp;" --enforcementcount "&amp;J92&amp;IF(outputrefinedruntimes," &gt;&gt;"&amp;RefinedRTDCRunTimesOutputFile,"")</f>
        <v>"%USERPROFILE%\Documents\GitHub\eaglep3\Utilities\RefineRTDCRunTimes.py" --tripid 180-03 --locoid 4007 --swversion DE.1.0.9.0 --startMP 204:233040 --initTime 2017-04-03T14:16:53 --startdatetime 2017-04-03T14:26:21 --delay 7 --endMP 204:170 --enddatetime 2017-04-03T15:07:32 --enforcementcount 0 &gt;&gt;C:\Users\stu\Documents\GitHub\eaglep3-reporting\EC\2017-04-03-refined-times.txt</v>
      </c>
      <c r="AI92" s="104" t="str">
        <f>"echo {""issue"":{""subject"":"""&amp;R92&amp;""",""project_id"":79,""tracker_id"":40,""status_id"":"&amp;redmine_status&amp;",""priority_id"":"&amp;redmine_priority&amp;",""assigned_to_id"":"&amp;redmine_assignee&amp;",""start_date"":"""&amp;TEXT(I92,"YYYY-mm-dd")&amp;""",""description"":"""&amp;AJ92&amp;""",""custom_fields"":[{""id"":1,""name"":""Subdivision"",""value"":"""&amp;AG92&amp;"""},{""id"":4,""name"":""Milepost"",""value"":"""&amp;Z92&amp;"""},{""id"":17,""name"":""Train ID"",""value"":"""&amp;A92&amp;"""},{""id"":16,""name"":""Locomotive ID"",""value"":"""&amp;B92&amp;"""},{""id"":130,""name"":""Impact"",""value"":"""&amp;AK92&amp;"""},{""id"":150,""name"":""Time of Event (Mountain Time)"",""value"":"""&amp;TEXT(I92,"hh:mm:ss")&amp;"""},{""id"":151,""name"":""Denver Issue ID"",""value"":"""&amp;"""},{""id"":178,""name"":""Operational Impact"",""value"":"""&amp;redmine_op_impact&amp;"""},{""id"":179,""name"":""Denver Segment Assigned"",""value"":"""&amp;AL92&amp;"""}]}}"&amp;"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{"issue":{"subject":"","project_id":79,"tracker_id":40,"status_id":1,"priority_id":2,"assigned_to_id":23,"start_date":"2017-04-03","description":"","custom_fields":[{"id":1,"name":"Subdivision","value":"EC"},{"id":4,"name":"Milepost","value":"0.017"},{"id":17,"name":"Train ID","value":"180-03"},{"id":16,"name":"Locomotive ID","value":"4007"},{"id":130,"name":"Impact","value":""},{"id":150,"name":"Time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>"start /low /b "&amp;dls3logs&amp;" --loco "&amp;B92&amp;" --day "&amp;TEXT(F92,"YYYY-MM-DD")</f>
        <v>start /low /b %USERPROFILE%\Documents\GitHub\eaglep3\Utilities\DownloadLogsFromS3.py --loco 4007 --day 2017-04-03</v>
      </c>
      <c r="AN92" s="159" t="str">
        <f>"echo {""issue"":{""subject"":"""&amp;R92&amp;""",""project_id"":30,""tracker_id"":4,""status_id"":"&amp;redmine_status_wcr&amp;",""priority_id"":"&amp;redmine_priority_wcr&amp;",""assigned_to_id"":"&amp;redmine_assignee_wcr&amp;",""start_date"":"""&amp;TEXT(I92-utc_offset/24,"YYYY-mm-dd")&amp;""",""description"":"""&amp;AJ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607</v>
      </c>
      <c r="B93" s="7">
        <v>4052</v>
      </c>
      <c r="C93" s="21" t="s">
        <v>217</v>
      </c>
      <c r="D93" s="21" t="s">
        <v>869</v>
      </c>
      <c r="E93" s="13">
        <v>42828.570937500001</v>
      </c>
      <c r="F93" s="13">
        <v>42828.573530092595</v>
      </c>
      <c r="G93" s="7">
        <v>3</v>
      </c>
      <c r="H93" s="21" t="s">
        <v>547</v>
      </c>
      <c r="I93" s="13">
        <v>42828.598668981482</v>
      </c>
      <c r="J93" s="7">
        <v>0</v>
      </c>
      <c r="K93" s="97" t="str">
        <f>IF(ISEVEN(B93),(B93-1)&amp;"/"&amp;B93,B93&amp;"/"&amp;(B93+1))</f>
        <v>4051/4052</v>
      </c>
      <c r="L93" s="21" t="str">
        <f>VLOOKUP(A93,'Trips&amp;Operators'!$C$1:$G$99999,5,FALSE)</f>
        <v>LOCKLEAR TRAVIS</v>
      </c>
      <c r="M93" s="6">
        <f>I93-F93</f>
        <v>2.5138888886431232E-2</v>
      </c>
      <c r="N93" s="7">
        <f>24*60*SUM($M93:$M93)</f>
        <v>36.199999996460974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-04-03T12:42:09-0600',mode:absolute,to:'2017-04-03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83" t="str">
        <f>IF(AA93&lt;IF(AG93="EC",23,5.65),"Y","N")</f>
        <v>N</v>
      </c>
      <c r="X93" s="183">
        <f>VALUE(LEFT(AD93,4))-VALUE(LEFT(AD92,4))</f>
        <v>1</v>
      </c>
      <c r="Y93" s="62">
        <f>RIGHT(D93,LEN(D93)-4)/10000</f>
        <v>0.13370000000000001</v>
      </c>
      <c r="Z93" s="62">
        <f>RIGHT(H93,LEN(H93)-4)/10000</f>
        <v>23.335999999999999</v>
      </c>
      <c r="AA93" s="62">
        <f>ABS(Z93-Y93)</f>
        <v>23.202299999999997</v>
      </c>
      <c r="AB93" s="59" t="str">
        <f>VLOOKUP(A93,Enforcements!$C$7:$K$13,8,0)</f>
        <v>Bulletin (2)</v>
      </c>
      <c r="AC93" s="55" t="str">
        <f>VLOOKUP(A93,Enforcements!$C$7:$E$13,3,0)</f>
        <v>GRADE CROSSING</v>
      </c>
      <c r="AD93" s="56" t="str">
        <f>IF(LEN(A93)=6,"0"&amp;A93,A93)</f>
        <v>0181-03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93" s="82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/stypes="app*4052*20170403*" /stext=" 20:.+((SYSTEM_STATE.+slice.+state.+changed )|(ment ac)|(multiple cpu faults)|(system.+state.+changed )|(\[timeout)|(PRM\|1\|D)|(kpr)|(kdp)|(\|lc)|(penalty))"</v>
      </c>
      <c r="AG93" s="1" t="str">
        <f>IFERROR(IF(VALUE(LEFT(AD93,2))&lt;=2,"EC",IF(OR(VALUE(LEFT(AD93,2))=8,VALUE(LEFT(AD93,2))=18),"NW","Other")),"Other")</f>
        <v>EC</v>
      </c>
      <c r="AH93" s="86" t="str">
        <f>refinertdcruntimes&amp;" --tripid "&amp;A93&amp;" --locoid "&amp;B93&amp;" --swversion "&amp;C93&amp;" --startMP "&amp;D93&amp;" --initTime "&amp;TEXT(E93,"yyyy-mm-ddTHH:MM:SS")&amp;" --startdatetime "&amp;TEXT(F93,"yyyy-mm-ddTHH:MM:SS")&amp;" --delay "&amp;G93&amp;" --endMP "&amp;H93&amp;" --enddatetime "&amp;TEXT(I93,"yyyy-mm-ddTHH:MM:SS")&amp;" --enforcementcount "&amp;J93&amp;IF(outputrefinedruntimes," &gt;&gt;"&amp;RefinedRTDCRunTimesOutputFile,"")</f>
        <v>"%USERPROFILE%\Documents\GitHub\eaglep3\Utilities\RefineRTDCRunTimes.py" --tripid 181-03 --locoid 4052 --swversion DE.1.0.9.0 --startMP 204:1337 --initTime 2017-04-03T13:42:09 --startdatetime 2017-04-03T13:45:53 --delay 3 --endMP 204:233360 --enddatetime 2017-04-03T14:22:05 --enforcementcount 0 &gt;&gt;C:\Users\stu\Documents\GitHub\eaglep3-reporting\EC\2017-04-03-refined-times.txt</v>
      </c>
      <c r="AI93" s="104" t="str">
        <f>"echo {""issue"":{""subject"":"""&amp;R93&amp;""",""project_id"":79,""tracker_id"":40,""status_id"":"&amp;redmine_status&amp;",""priority_id"":"&amp;redmine_priority&amp;",""assigned_to_id"":"&amp;redmine_assignee&amp;",""start_date"":"""&amp;TEXT(I93,"YYYY-mm-dd")&amp;""",""description"":"""&amp;AJ93&amp;""",""custom_fields"":[{""id"":1,""name"":""Subdivision"",""value"":"""&amp;AG93&amp;"""},{""id"":4,""name"":""Milepost"",""value"":"""&amp;Z93&amp;"""},{""id"":17,""name"":""Train ID"",""value"":"""&amp;A93&amp;"""},{""id"":16,""name"":""Locomotive ID"",""value"":"""&amp;B93&amp;"""},{""id"":130,""name"":""Impact"",""value"":"""&amp;AK93&amp;"""},{""id"":150,""name"":""Time of Event (Mountain Time)"",""value"":"""&amp;TEXT(I93,"hh:mm:ss")&amp;"""},{""id"":151,""name"":""Denver Issue ID"",""value"":"""&amp;"""},{""id"":178,""name"":""Operational Impact"",""value"":"""&amp;redmine_op_impact&amp;"""},{""id"":179,""name"":""Denver Segment Assigned"",""value"":"""&amp;AL93&amp;"""}]}}"&amp;"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{"issue":{"subject":"","project_id":79,"tracker_id":40,"status_id":1,"priority_id":2,"assigned_to_id":23,"start_date":"2017-04-03","description":"","custom_fields":[{"id":1,"name":"Subdivision","value":"EC"},{"id":4,"name":"Milepost","value":"23.336"},{"id":17,"name":"Train ID","value":"181-03"},{"id":16,"name":"Locomotive ID","value":"4052"},{"id":130,"name":"Impact","value":""},{"id":150,"name":"Time of Event (Mountain Time)","value":"14:22:05"},{"id":151,"name":"Denver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>"start /low /b "&amp;dls3logs&amp;" --loco "&amp;B93&amp;" --day "&amp;TEXT(F93,"YYYY-MM-DD")</f>
        <v>start /low /b %USERPROFILE%\Documents\GitHub\eaglep3\Utilities\DownloadLogsFromS3.py --loco 4052 --day 2017-04-03</v>
      </c>
      <c r="AN93" s="159" t="str">
        <f>"echo {""issue"":{""subject"":"""&amp;R93&amp;""",""project_id"":30,""tracker_id"":4,""status_id"":"&amp;redmine_status_wcr&amp;",""priority_id"":"&amp;redmine_priority_wcr&amp;",""assigned_to_id"":"&amp;redmine_assignee_wcr&amp;",""start_date"":"""&amp;TEXT(I93-utc_offset/24,"YYYY-mm-dd")&amp;""",""description"":"""&amp;AJ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728</v>
      </c>
      <c r="B94" s="7">
        <v>4051</v>
      </c>
      <c r="C94" s="21" t="s">
        <v>217</v>
      </c>
      <c r="D94" s="21" t="s">
        <v>870</v>
      </c>
      <c r="E94" s="13">
        <v>42828.60900462963</v>
      </c>
      <c r="F94" s="13">
        <v>42828.611990740741</v>
      </c>
      <c r="G94" s="7">
        <v>1</v>
      </c>
      <c r="H94" s="21" t="s">
        <v>199</v>
      </c>
      <c r="I94" s="13">
        <v>42828.638888888891</v>
      </c>
      <c r="J94" s="7">
        <v>0</v>
      </c>
      <c r="K94" s="97" t="str">
        <f>IF(ISEVEN(B94),(B94-1)&amp;"/"&amp;B94,B94&amp;"/"&amp;(B94+1))</f>
        <v>4051/4052</v>
      </c>
      <c r="L94" s="21" t="str">
        <f>VLOOKUP(A94,'Trips&amp;Operators'!$C$1:$G$99999,5,FALSE)</f>
        <v>LOCKLEAR TRAVIS</v>
      </c>
      <c r="M94" s="6">
        <f>I94-F94</f>
        <v>2.6898148149484769E-2</v>
      </c>
      <c r="N94" s="7">
        <f>24*60*SUM($M94:$M94)</f>
        <v>38.733333335258067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-04-03T13:36:58-0600',mode:absolute,to:'2017-04-03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3" t="str">
        <f>IF(AA94&lt;IF(AG94="EC",23,5.65),"Y","N")</f>
        <v>N</v>
      </c>
      <c r="X94" s="183">
        <f>VALUE(LEFT(AD94,4))-VALUE(LEFT(AD93,4))</f>
        <v>1</v>
      </c>
      <c r="Y94" s="62">
        <f>RIGHT(D94,LEN(D94)-4)/10000</f>
        <v>23.303000000000001</v>
      </c>
      <c r="Z94" s="62">
        <f>RIGHT(H94,LEN(H94)-4)/10000</f>
        <v>1.52E-2</v>
      </c>
      <c r="AA94" s="62">
        <f>ABS(Z94-Y94)</f>
        <v>23.287800000000001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>IF(LEN(A94)=6,"0"&amp;A94,A94)</f>
        <v>0182-03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94" s="82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/stypes="app*4051*20170403*" /stext=" 21:.+((SYSTEM_STATE.+slice.+state.+changed )|(ment ac)|(multiple cpu faults)|(system.+state.+changed )|(\[timeout)|(PRM\|1\|D)|(kpr)|(kdp)|(\|lc)|(penalty))"</v>
      </c>
      <c r="AG94" s="1" t="str">
        <f>IFERROR(IF(VALUE(LEFT(AD94,2))&lt;=2,"EC",IF(OR(VALUE(LEFT(AD94,2))=8,VALUE(LEFT(AD94,2))=18),"NW","Other")),"Other")</f>
        <v>EC</v>
      </c>
      <c r="AH94" s="86" t="str">
        <f>refinertdcruntimes&amp;" --tripid "&amp;A94&amp;" --locoid "&amp;B94&amp;" --swversion "&amp;C94&amp;" --startMP "&amp;D94&amp;" --initTime "&amp;TEXT(E94,"yyyy-mm-ddTHH:MM:SS")&amp;" --startdatetime "&amp;TEXT(F94,"yyyy-mm-ddTHH:MM:SS")&amp;" --delay "&amp;G94&amp;" --endMP "&amp;H94&amp;" --enddatetime "&amp;TEXT(I94,"yyyy-mm-ddTHH:MM:SS")&amp;" --enforcementcount "&amp;J94&amp;IF(outputrefinedruntimes," &gt;&gt;"&amp;RefinedRTDCRunTimesOutputFile,"")</f>
        <v>"%USERPROFILE%\Documents\GitHub\eaglep3\Utilities\RefineRTDCRunTimes.py" --tripid 182-03 --locoid 4051 --swversion DE.1.0.9.0 --startMP 204:233030 --initTime 2017-04-03T14:36:58 --startdatetime 2017-04-03T14:41:16 --delay 1 --endMP 204:152 --enddatetime 2017-04-03T15:20:00 --enforcementcount 0 &gt;&gt;C:\Users\stu\Documents\GitHub\eaglep3-reporting\EC\2017-04-03-refined-times.txt</v>
      </c>
      <c r="AI94" s="104" t="str">
        <f>"echo {""issue"":{""subject"":"""&amp;R94&amp;""",""project_id"":79,""tracker_id"":40,""status_id"":"&amp;redmine_status&amp;",""priority_id"":"&amp;redmine_priority&amp;",""assigned_to_id"":"&amp;redmine_assignee&amp;",""start_date"":"""&amp;TEXT(I94,"YYYY-mm-dd")&amp;""",""description"":"""&amp;AJ94&amp;""",""custom_fields"":[{""id"":1,""name"":""Subdivision"",""value"":"""&amp;AG94&amp;"""},{""id"":4,""name"":""Milepost"",""value"":"""&amp;Z94&amp;"""},{""id"":17,""name"":""Train ID"",""value"":"""&amp;A94&amp;"""},{""id"":16,""name"":""Locomotive ID"",""value"":"""&amp;B94&amp;"""},{""id"":130,""name"":""Impact"",""value"":"""&amp;AK94&amp;"""},{""id"":150,""name"":""Time of Event (Mountain Time)"",""value"":"""&amp;TEXT(I94,"hh:mm:ss")&amp;"""},{""id"":151,""name"":""Denver Issue ID"",""value"":"""&amp;"""},{""id"":178,""name"":""Operational Impact"",""value"":"""&amp;redmine_op_impact&amp;"""},{""id"":179,""name"":""Denver Segment Assigned"",""value"":"""&amp;AL94&amp;"""}]}}"&amp;"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ID","value":"182-03"},{"id":16,"name":"Locomotive ID","value":"4051"},{"id":130,"name":"Impact","value":""},{"id":150,"name":"Time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>"start /low /b "&amp;dls3logs&amp;" --loco "&amp;B94&amp;" --day "&amp;TEXT(F94,"YYYY-MM-DD")</f>
        <v>start /low /b %USERPROFILE%\Documents\GitHub\eaglep3\Utilities\DownloadLogsFromS3.py --loco 4051 --day 2017-04-03</v>
      </c>
      <c r="AN94" s="159" t="str">
        <f>"echo {""issue"":{""subject"":"""&amp;R94&amp;""",""project_id"":30,""tracker_id"":4,""status_id"":"&amp;redmine_status_wcr&amp;",""priority_id"":"&amp;redmine_priority_wcr&amp;",""assigned_to_id"":"&amp;redmine_assignee_wcr&amp;",""start_date"":"""&amp;TEXT(I94-utc_offset/24,"YYYY-mm-dd")&amp;""",""description"":"""&amp;AJ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3" t="s">
        <v>724</v>
      </c>
      <c r="B95" s="7">
        <v>4004</v>
      </c>
      <c r="C95" s="21" t="s">
        <v>217</v>
      </c>
      <c r="D95" s="21" t="s">
        <v>212</v>
      </c>
      <c r="E95" s="13">
        <v>42828.579861111109</v>
      </c>
      <c r="F95" s="13">
        <v>42828.583553240744</v>
      </c>
      <c r="G95" s="7">
        <v>1</v>
      </c>
      <c r="H95" s="21" t="s">
        <v>421</v>
      </c>
      <c r="I95" s="13">
        <v>42828.609432870369</v>
      </c>
      <c r="J95" s="7">
        <v>0</v>
      </c>
      <c r="K95" s="97" t="str">
        <f>IF(ISEVEN(B95),(B95-1)&amp;"/"&amp;B95,B95&amp;"/"&amp;(B95+1))</f>
        <v>4003/4004</v>
      </c>
      <c r="L95" s="21" t="str">
        <f>VLOOKUP(A95,'Trips&amp;Operators'!$C$1:$G$99999,5,FALSE)</f>
        <v>SULLIVAN BRANDON</v>
      </c>
      <c r="M95" s="6">
        <f>I95-F95</f>
        <v>2.5879629625706002E-2</v>
      </c>
      <c r="N95" s="7">
        <f>24*60*SUM($M95:$M95)</f>
        <v>37.266666661016643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-04-03T12:55:00-0600',mode:absolute,to:'2017-04-03T15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5" s="183" t="str">
        <f>IF(AA95&lt;IF(AG95="EC",23,5.65),"Y","N")</f>
        <v>N</v>
      </c>
      <c r="X95" s="183">
        <f>VALUE(LEFT(AD95,4))-VALUE(LEFT(AD94,4))</f>
        <v>1</v>
      </c>
      <c r="Y95" s="62">
        <f>RIGHT(D95,LEN(D95)-4)/10000</f>
        <v>4.5499999999999999E-2</v>
      </c>
      <c r="Z95" s="62">
        <f>RIGHT(H95,LEN(H95)-4)/10000</f>
        <v>23.331399999999999</v>
      </c>
      <c r="AA95" s="62">
        <f>ABS(Z95-Y95)</f>
        <v>23.285899999999998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>IF(LEN(A95)=6,"0"&amp;A95,A95)</f>
        <v>0183-03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95" s="82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/stypes="app*4004*20170403*" /stext=" 20:.+((SYSTEM_STATE.+slice.+state.+changed )|(ment ac)|(multiple cpu faults)|(system.+state.+changed )|(\[timeout)|(PRM\|1\|D)|(kpr)|(kdp)|(\|lc)|(penalty))"</v>
      </c>
      <c r="AG95" s="1" t="str">
        <f>IFERROR(IF(VALUE(LEFT(AD95,2))&lt;=2,"EC",IF(OR(VALUE(LEFT(AD95,2))=8,VALUE(LEFT(AD95,2))=18),"NW","Other")),"Other")</f>
        <v>EC</v>
      </c>
      <c r="AH95" s="86" t="str">
        <f>refinertdcruntimes&amp;" --tripid "&amp;A95&amp;" --locoid "&amp;B95&amp;" --swversion "&amp;C95&amp;" --startMP "&amp;D95&amp;" --initTime "&amp;TEXT(E95,"yyyy-mm-ddTHH:MM:SS")&amp;" --startdatetime "&amp;TEXT(F95,"yyyy-mm-ddTHH:MM:SS")&amp;" --delay "&amp;G95&amp;" --endMP "&amp;H95&amp;" --enddatetime "&amp;TEXT(I95,"yyyy-mm-ddTHH:MM:SS")&amp;" --enforcementcount "&amp;J95&amp;IF(outputrefinedruntimes," &gt;&gt;"&amp;RefinedRTDCRunTimesOutputFile,"")</f>
        <v>"%USERPROFILE%\Documents\GitHub\eaglep3\Utilities\RefineRTDCRunTimes.py" --tripid 183-03 --locoid 4004 --swversion DE.1.0.9.0 --startMP 204:455 --initTime 2017-04-03T13:55:00 --startdatetime 2017-04-03T14:00:19 --delay 1 --endMP 204:233314 --enddatetime 2017-04-03T14:37:35 --enforcementcount 0 &gt;&gt;C:\Users\stu\Documents\GitHub\eaglep3-reporting\EC\2017-04-03-refined-times.txt</v>
      </c>
      <c r="AI95" s="104" t="str">
        <f>"echo {""issue"":{""subject"":"""&amp;R95&amp;""",""project_id"":79,""tracker_id"":40,""status_id"":"&amp;redmine_status&amp;",""priority_id"":"&amp;redmine_priority&amp;",""assigned_to_id"":"&amp;redmine_assignee&amp;",""start_date"":"""&amp;TEXT(I95,"YYYY-mm-dd")&amp;""",""description"":"""&amp;AJ95&amp;""",""custom_fields"":[{""id"":1,""name"":""Subdivision"",""value"":"""&amp;AG95&amp;"""},{""id"":4,""name"":""Milepost"",""value"":"""&amp;Z95&amp;"""},{""id"":17,""name"":""Train ID"",""value"":"""&amp;A95&amp;"""},{""id"":16,""name"":""Locomotive ID"",""value"":"""&amp;B95&amp;"""},{""id"":130,""name"":""Impact"",""value"":"""&amp;AK95&amp;"""},{""id"":150,""name"":""Time of Event (Mountain Time)"",""value"":"""&amp;TEXT(I95,"hh:mm:ss")&amp;"""},{""id"":151,""name"":""Denver Issue ID"",""value"":"""&amp;"""},{""id"":178,""name"":""Operational Impact"",""value"":"""&amp;redmine_op_impact&amp;"""},{""id"":179,""name"":""Denver Segment Assigned"",""value"":"""&amp;AL95&amp;"""}]}}"&amp;"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{"issue":{"subject":"","project_id":79,"tracker_id":40,"status_id":1,"priority_id":2,"assigned_to_id":23,"start_date":"2017-04-03","description":"","custom_fields":[{"id":1,"name":"Subdivision","value":"EC"},{"id":4,"name":"Milepost","value":"23.3314"},{"id":17,"name":"Train ID","value":"183-03"},{"id":16,"name":"Locomotive ID","value":"4004"},{"id":130,"name":"Impact","value":""},{"id":150,"name":"Time of Event (Mountain Time)","value":"14:37:35"},{"id":151,"name":"Denver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8"/>
      <c r="AL95" s="48"/>
      <c r="AM95" s="150" t="str">
        <f>"start /low /b "&amp;dls3logs&amp;" --loco "&amp;B95&amp;" --day "&amp;TEXT(F95,"YYYY-MM-DD")</f>
        <v>start /low /b %USERPROFILE%\Documents\GitHub\eaglep3\Utilities\DownloadLogsFromS3.py --loco 4004 --day 2017-04-03</v>
      </c>
      <c r="AN95" s="159" t="str">
        <f>"echo {""issue"":{""subject"":"""&amp;R95&amp;""",""project_id"":30,""tracker_id"":4,""status_id"":"&amp;redmine_status_wcr&amp;",""priority_id"":"&amp;redmine_priority_wcr&amp;",""assigned_to_id"":"&amp;redmine_assignee_wcr&amp;",""start_date"":"""&amp;TEXT(I95-utc_offset/24,"YYYY-mm-dd")&amp;""",""description"":"""&amp;AJ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6" spans="1:91" s="20" customFormat="1" x14ac:dyDescent="0.25">
      <c r="A96" s="33" t="s">
        <v>731</v>
      </c>
      <c r="B96" s="7">
        <v>4003</v>
      </c>
      <c r="C96" s="21" t="s">
        <v>217</v>
      </c>
      <c r="D96" s="21" t="s">
        <v>470</v>
      </c>
      <c r="E96" s="13">
        <v>42828.615706018521</v>
      </c>
      <c r="F96" s="13">
        <v>42828.622754629629</v>
      </c>
      <c r="G96" s="7">
        <v>1</v>
      </c>
      <c r="H96" s="21" t="s">
        <v>184</v>
      </c>
      <c r="I96" s="13">
        <v>42828.650810185187</v>
      </c>
      <c r="J96" s="7">
        <v>0</v>
      </c>
      <c r="K96" s="97" t="str">
        <f>IF(ISEVEN(B96),(B96-1)&amp;"/"&amp;B96,B96&amp;"/"&amp;(B96+1))</f>
        <v>4003/4004</v>
      </c>
      <c r="L96" s="21" t="str">
        <f>VLOOKUP(A96,'Trips&amp;Operators'!$C$1:$G$99999,5,FALSE)</f>
        <v>SULLIVAN BRANDON</v>
      </c>
      <c r="M96" s="6">
        <f>I96-F96</f>
        <v>2.8055555558239575E-2</v>
      </c>
      <c r="N96" s="7">
        <f>24*60*SUM($M96:$M96)</f>
        <v>40.400000003864989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-04-03T13:46:37-0600',mode:absolute,to:'2017-04-03T16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6" s="183" t="str">
        <f>IF(AA96&lt;IF(AG96="EC",23,5.65),"Y","N")</f>
        <v>N</v>
      </c>
      <c r="X96" s="183">
        <f>VALUE(LEFT(AD96,4))-VALUE(LEFT(AD95,4))</f>
        <v>1</v>
      </c>
      <c r="Y96" s="62">
        <f>RIGHT(D96,LEN(D96)-4)/10000</f>
        <v>23.299299999999999</v>
      </c>
      <c r="Z96" s="62">
        <f>RIGHT(H96,LEN(H96)-4)/10000</f>
        <v>1.49E-2</v>
      </c>
      <c r="AA96" s="62">
        <f>ABS(Z96-Y96)</f>
        <v>23.284399999999998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>IF(LEN(A96)=6,"0"&amp;A96,A96)</f>
        <v>0184-03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96" s="82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/stypes="app*4003*20170403*" /stext=" 21:.+((SYSTEM_STATE.+slice.+state.+changed )|(ment ac)|(multiple cpu faults)|(system.+state.+changed )|(\[timeout)|(PRM\|1\|D)|(kpr)|(kdp)|(\|lc)|(penalty))"</v>
      </c>
      <c r="AG96" s="1" t="str">
        <f>IFERROR(IF(VALUE(LEFT(AD96,2))&lt;=2,"EC",IF(OR(VALUE(LEFT(AD96,2))=8,VALUE(LEFT(AD96,2))=18),"NW","Other")),"Other")</f>
        <v>EC</v>
      </c>
      <c r="AH96" s="86" t="str">
        <f>refinertdcruntimes&amp;" --tripid "&amp;A96&amp;" --locoid "&amp;B96&amp;" --swversion "&amp;C96&amp;" --startMP "&amp;D96&amp;" --initTime "&amp;TEXT(E96,"yyyy-mm-ddTHH:MM:SS")&amp;" --startdatetime "&amp;TEXT(F96,"yyyy-mm-ddTHH:MM:SS")&amp;" --delay "&amp;G96&amp;" --endMP "&amp;H96&amp;" --enddatetime "&amp;TEXT(I96,"yyyy-mm-ddTHH:MM:SS")&amp;" --enforcementcount "&amp;J96&amp;IF(outputrefinedruntimes," &gt;&gt;"&amp;RefinedRTDCRunTimesOutputFile,"")</f>
        <v>"%USERPROFILE%\Documents\GitHub\eaglep3\Utilities\RefineRTDCRunTimes.py" --tripid 184-03 --locoid 4003 --swversion DE.1.0.9.0 --startMP 204:232993 --initTime 2017-04-03T14:46:37 --startdatetime 2017-04-03T14:56:46 --delay 1 --endMP 204:149 --enddatetime 2017-04-03T15:37:10 --enforcementcount 0 &gt;&gt;C:\Users\stu\Documents\GitHub\eaglep3-reporting\EC\2017-04-03-refined-times.txt</v>
      </c>
      <c r="AI96" s="104" t="str">
        <f>"echo {""issue"":{""subject"":"""&amp;R96&amp;""",""project_id"":79,""tracker_id"":40,""status_id"":"&amp;redmine_status&amp;",""priority_id"":"&amp;redmine_priority&amp;",""assigned_to_id"":"&amp;redmine_assignee&amp;",""start_date"":"""&amp;TEXT(I96,"YYYY-mm-dd")&amp;""",""description"":"""&amp;AJ96&amp;""",""custom_fields"":[{""id"":1,""name"":""Subdivision"",""value"":"""&amp;AG96&amp;"""},{""id"":4,""name"":""Milepost"",""value"":"""&amp;Z96&amp;"""},{""id"":17,""name"":""Train ID"",""value"":"""&amp;A96&amp;"""},{""id"":16,""name"":""Locomotive ID"",""value"":"""&amp;B96&amp;"""},{""id"":130,""name"":""Impact"",""value"":"""&amp;AK96&amp;"""},{""id"":150,""name"":""Time of Event (Mountain Time)"",""value"":"""&amp;TEXT(I96,"hh:mm:ss")&amp;"""},{""id"":151,""name"":""Denver Issue ID"",""value"":"""&amp;"""},{""id"":178,""name"":""Operational Impact"",""value"":"""&amp;redmine_op_impact&amp;"""},{""id"":179,""name"":""Denver Segment Assigned"",""value"":"""&amp;AL96&amp;"""}]}}"&amp;"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ID","value":"184-03"},{"id":16,"name":"Locomotive ID","value":"4003"},{"id":130,"name":"Impact","value":""},{"id":150,"name":"Time of Event (Mountain Time)","value":"15:37:10"},{"id":151,"name":"Denver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>"start /low /b "&amp;dls3logs&amp;" --loco "&amp;B96&amp;" --day "&amp;TEXT(F96,"YYYY-MM-DD")</f>
        <v>start /low /b %USERPROFILE%\Documents\GitHub\eaglep3\Utilities\DownloadLogsFromS3.py --loco 4003 --day 2017-04-03</v>
      </c>
      <c r="AN96" s="159" t="str">
        <f>"echo {""issue"":{""subject"":"""&amp;R96&amp;""",""project_id"":30,""tracker_id"":4,""status_id"":"&amp;redmine_status_wcr&amp;",""priority_id"":"&amp;redmine_priority_wcr&amp;",""assigned_to_id"":"&amp;redmine_assignee_wcr&amp;",""start_date"":"""&amp;TEXT(I96-utc_offset/24,"YYYY-mm-dd")&amp;""",""description"":"""&amp;AJ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726</v>
      </c>
      <c r="B97" s="7">
        <v>4030</v>
      </c>
      <c r="C97" s="21" t="s">
        <v>217</v>
      </c>
      <c r="D97" s="21" t="s">
        <v>520</v>
      </c>
      <c r="E97" s="13">
        <v>42828.589814814812</v>
      </c>
      <c r="F97" s="13">
        <v>42828.5940162037</v>
      </c>
      <c r="G97" s="7">
        <v>1</v>
      </c>
      <c r="H97" s="21" t="s">
        <v>506</v>
      </c>
      <c r="I97" s="13">
        <v>42828.619525462964</v>
      </c>
      <c r="J97" s="7">
        <v>0</v>
      </c>
      <c r="K97" s="97" t="str">
        <f>IF(ISEVEN(B97),(B97-1)&amp;"/"&amp;B97,B97&amp;"/"&amp;(B97+1))</f>
        <v>4029/4030</v>
      </c>
      <c r="L97" s="21" t="str">
        <f>VLOOKUP(A97,'Trips&amp;Operators'!$C$1:$G$99999,5,FALSE)</f>
        <v>MOSES BRADLEY</v>
      </c>
      <c r="M97" s="6">
        <f>I97-F97</f>
        <v>2.5509259263344575E-2</v>
      </c>
      <c r="N97" s="7">
        <f>24*60*SUM($M97:$M97)</f>
        <v>36.733333339216188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-04-03T13:09:20-0600',mode:absolute,to:'2017-04-03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7" s="183" t="str">
        <f>IF(AA97&lt;IF(AG97="EC",23,5.65),"Y","N")</f>
        <v>N</v>
      </c>
      <c r="X97" s="183">
        <f>VALUE(LEFT(AD97,4))-VALUE(LEFT(AD96,4))</f>
        <v>1</v>
      </c>
      <c r="Y97" s="62">
        <f>RIGHT(D97,LEN(D97)-4)/10000</f>
        <v>4.4200000000000003E-2</v>
      </c>
      <c r="Z97" s="62">
        <f>RIGHT(H97,LEN(H97)-4)/10000</f>
        <v>23.3291</v>
      </c>
      <c r="AA97" s="62">
        <f>ABS(Z97-Y97)</f>
        <v>23.2849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>IF(LEN(A97)=6,"0"&amp;A97,A97)</f>
        <v>0185-03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97" s="82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/stypes="app*4030*20170403*" /stext=" 20:.+((SYSTEM_STATE.+slice.+state.+changed )|(ment ac)|(multiple cpu faults)|(system.+state.+changed )|(\[timeout)|(PRM\|1\|D)|(kpr)|(kdp)|(\|lc)|(penalty))"</v>
      </c>
      <c r="AG97" s="1" t="str">
        <f>IFERROR(IF(VALUE(LEFT(AD97,2))&lt;=2,"EC",IF(OR(VALUE(LEFT(AD97,2))=8,VALUE(LEFT(AD97,2))=18),"NW","Other")),"Other")</f>
        <v>EC</v>
      </c>
      <c r="AH97" s="86" t="str">
        <f>refinertdcruntimes&amp;" --tripid "&amp;A97&amp;" --locoid "&amp;B97&amp;" --swversion "&amp;C97&amp;" --startMP "&amp;D97&amp;" --initTime "&amp;TEXT(E97,"yyyy-mm-ddTHH:MM:SS")&amp;" --startdatetime "&amp;TEXT(F97,"yyyy-mm-ddTHH:MM:SS")&amp;" --delay "&amp;G97&amp;" --endMP "&amp;H97&amp;" --enddatetime "&amp;TEXT(I97,"yyyy-mm-ddTHH:MM:SS")&amp;" --enforcementcount "&amp;J97&amp;IF(outputrefinedruntimes," &gt;&gt;"&amp;RefinedRTDCRunTimesOutputFile,"")</f>
        <v>"%USERPROFILE%\Documents\GitHub\eaglep3\Utilities\RefineRTDCRunTimes.py" --tripid 185-03 --locoid 4030 --swversion DE.1.0.9.0 --startMP 204:442 --initTime 2017-04-03T14:09:20 --startdatetime 2017-04-03T14:15:23 --delay 1 --endMP 204:233291 --enddatetime 2017-04-03T14:52:07 --enforcementcount 0 &gt;&gt;C:\Users\stu\Documents\GitHub\eaglep3-reporting\EC\2017-04-03-refined-times.txt</v>
      </c>
      <c r="AI97" s="104" t="str">
        <f>"echo {""issue"":{""subject"":"""&amp;R97&amp;""",""project_id"":79,""tracker_id"":40,""status_id"":"&amp;redmine_status&amp;",""priority_id"":"&amp;redmine_priority&amp;",""assigned_to_id"":"&amp;redmine_assignee&amp;",""start_date"":"""&amp;TEXT(I97,"YYYY-mm-dd")&amp;""",""description"":"""&amp;AJ97&amp;""",""custom_fields"":[{""id"":1,""name"":""Subdivision"",""value"":"""&amp;AG97&amp;"""},{""id"":4,""name"":""Milepost"",""value"":"""&amp;Z97&amp;"""},{""id"":17,""name"":""Train ID"",""value"":"""&amp;A97&amp;"""},{""id"":16,""name"":""Locomotive ID"",""value"":"""&amp;B97&amp;"""},{""id"":130,""name"":""Impact"",""value"":"""&amp;AK97&amp;"""},{""id"":150,""name"":""Time of Event (Mountain Time)"",""value"":"""&amp;TEXT(I97,"hh:mm:ss")&amp;"""},{""id"":151,""name"":""Denver Issue ID"",""value"":"""&amp;"""},{""id"":178,""name"":""Operational Impact"",""value"":"""&amp;redmine_op_impact&amp;"""},{""id"":179,""name"":""Denver Segment Assigned"",""value"":"""&amp;AL97&amp;"""}]}}"&amp;"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{"issue":{"subject":"","project_id":79,"tracker_id":40,"status_id":1,"priority_id":2,"assigned_to_id":23,"start_date":"2017-04-03","description":"","custom_fields":[{"id":1,"name":"Subdivision","value":"EC"},{"id":4,"name":"Milepost","value":"23.3291"},{"id":17,"name":"Train ID","value":"185-03"},{"id":16,"name":"Locomotive ID","value":"4030"},{"id":130,"name":"Impact","value":""},{"id":150,"name":"Time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>"start /low /b "&amp;dls3logs&amp;" --loco "&amp;B97&amp;" --day "&amp;TEXT(F97,"YYYY-MM-DD")</f>
        <v>start /low /b %USERPROFILE%\Documents\GitHub\eaglep3\Utilities\DownloadLogsFromS3.py --loco 4030 --day 2017-04-03</v>
      </c>
      <c r="AN97" s="159" t="str">
        <f>"echo {""issue"":{""subject"":"""&amp;R97&amp;""",""project_id"":30,""tracker_id"":4,""status_id"":"&amp;redmine_status_wcr&amp;",""priority_id"":"&amp;redmine_priority_wcr&amp;",""assigned_to_id"":"&amp;redmine_assignee_wcr&amp;",""start_date"":"""&amp;TEXT(I97-utc_offset/24,"YYYY-mm-dd")&amp;""",""description"":"""&amp;AJ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611</v>
      </c>
      <c r="B98" s="7">
        <v>4029</v>
      </c>
      <c r="C98" s="21" t="s">
        <v>217</v>
      </c>
      <c r="D98" s="21" t="s">
        <v>871</v>
      </c>
      <c r="E98" s="13">
        <v>42828.630266203705</v>
      </c>
      <c r="F98" s="13">
        <v>42828.632847222223</v>
      </c>
      <c r="G98" s="7">
        <v>1</v>
      </c>
      <c r="H98" s="21" t="s">
        <v>872</v>
      </c>
      <c r="I98" s="13">
        <v>42828.660162037035</v>
      </c>
      <c r="J98" s="7">
        <v>0</v>
      </c>
      <c r="K98" s="97" t="str">
        <f>IF(ISEVEN(B98),(B98-1)&amp;"/"&amp;B98,B98&amp;"/"&amp;(B98+1))</f>
        <v>4029/4030</v>
      </c>
      <c r="L98" s="21" t="str">
        <f>VLOOKUP(A98,'Trips&amp;Operators'!$C$1:$G$99999,5,FALSE)</f>
        <v>MOSES BRADLEY</v>
      </c>
      <c r="M98" s="6">
        <f>I98-F98</f>
        <v>2.7314814811688848E-2</v>
      </c>
      <c r="N98" s="7">
        <f>24*60*SUM($M98:$M98)</f>
        <v>39.333333328831941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-04-03T14:07:35-0600',mode:absolute,to:'2017-04-03T16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8" s="183" t="str">
        <f>IF(AA98&lt;IF(AG98="EC",23,5.65),"Y","N")</f>
        <v>N</v>
      </c>
      <c r="X98" s="183">
        <f>VALUE(LEFT(AD98,4))-VALUE(LEFT(AD97,4))</f>
        <v>1</v>
      </c>
      <c r="Y98" s="62">
        <f>RIGHT(D98,LEN(D98)-4)/10000</f>
        <v>23.296700000000001</v>
      </c>
      <c r="Z98" s="62">
        <f>RIGHT(H98,LEN(H98)-4)/10000</f>
        <v>3.2000000000000001E-2</v>
      </c>
      <c r="AA98" s="62">
        <f>ABS(Z98-Y98)</f>
        <v>23.264700000000001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>IF(LEN(A98)=6,"0"&amp;A98,A98)</f>
        <v>0186-03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98" s="82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/stypes="app*4029*20170403*" /stext=" 21:.+((SYSTEM_STATE.+slice.+state.+changed )|(ment ac)|(multiple cpu faults)|(system.+state.+changed )|(\[timeout)|(PRM\|1\|D)|(kpr)|(kdp)|(\|lc)|(penalty))"</v>
      </c>
      <c r="AG98" s="1" t="str">
        <f>IFERROR(IF(VALUE(LEFT(AD98,2))&lt;=2,"EC",IF(OR(VALUE(LEFT(AD98,2))=8,VALUE(LEFT(AD98,2))=18),"NW","Other")),"Other")</f>
        <v>EC</v>
      </c>
      <c r="AH98" s="86" t="str">
        <f>refinertdcruntimes&amp;" --tripid "&amp;A98&amp;" --locoid "&amp;B98&amp;" --swversion "&amp;C98&amp;" --startMP "&amp;D98&amp;" --initTime "&amp;TEXT(E98,"yyyy-mm-ddTHH:MM:SS")&amp;" --startdatetime "&amp;TEXT(F98,"yyyy-mm-ddTHH:MM:SS")&amp;" --delay "&amp;G98&amp;" --endMP "&amp;H98&amp;" --enddatetime "&amp;TEXT(I98,"yyyy-mm-ddTHH:MM:SS")&amp;" --enforcementcount "&amp;J98&amp;IF(outputrefinedruntimes," &gt;&gt;"&amp;RefinedRTDCRunTimesOutputFile,"")</f>
        <v>"%USERPROFILE%\Documents\GitHub\eaglep3\Utilities\RefineRTDCRunTimes.py" --tripid 186-03 --locoid 4029 --swversion DE.1.0.9.0 --startMP 204:232967 --initTime 2017-04-03T15:07:35 --startdatetime 2017-04-03T15:11:18 --delay 1 --endMP 204:320 --enddatetime 2017-04-03T15:50:38 --enforcementcount 0 &gt;&gt;C:\Users\stu\Documents\GitHub\eaglep3-reporting\EC\2017-04-03-refined-times.txt</v>
      </c>
      <c r="AI98" s="104" t="str">
        <f>"echo {""issue"":{""subject"":"""&amp;R98&amp;""",""project_id"":79,""tracker_id"":40,""status_id"":"&amp;redmine_status&amp;",""priority_id"":"&amp;redmine_priority&amp;",""assigned_to_id"":"&amp;redmine_assignee&amp;",""start_date"":"""&amp;TEXT(I98,"YYYY-mm-dd")&amp;""",""description"":"""&amp;AJ98&amp;""",""custom_fields"":[{""id"":1,""name"":""Subdivision"",""value"":"""&amp;AG98&amp;"""},{""id"":4,""name"":""Milepost"",""value"":"""&amp;Z98&amp;"""},{""id"":17,""name"":""Train ID"",""value"":"""&amp;A98&amp;"""},{""id"":16,""name"":""Locomotive ID"",""value"":"""&amp;B98&amp;"""},{""id"":130,""name"":""Impact"",""value"":"""&amp;AK98&amp;"""},{""id"":150,""name"":""Time of Event (Mountain Time)"",""value"":"""&amp;TEXT(I98,"hh:mm:ss")&amp;"""},{""id"":151,""name"":""Denver Issue ID"",""value"":"""&amp;"""},{""id"":178,""name"":""Operational Impact"",""value"":"""&amp;redmine_op_impact&amp;"""},{""id"":179,""name"":""Denver Segment Assigned"",""value"":"""&amp;AL98&amp;"""}]}}"&amp;"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{"issue":{"subject":"","project_id":79,"tracker_id":40,"status_id":1,"priority_id":2,"assigned_to_id":23,"start_date":"2017-04-03","description":"","custom_fields":[{"id":1,"name":"Subdivision","value":"EC"},{"id":4,"name":"Milepost","value":"0.032"},{"id":17,"name":"Train ID","value":"186-03"},{"id":16,"name":"Locomotive ID","value":"4029"},{"id":130,"name":"Impact","value":""},{"id":150,"name":"Time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>"start /low /b "&amp;dls3logs&amp;" --loco "&amp;B98&amp;" --day "&amp;TEXT(F98,"YYYY-MM-DD")</f>
        <v>start /low /b %USERPROFILE%\Documents\GitHub\eaglep3\Utilities\DownloadLogsFromS3.py --loco 4029 --day 2017-04-03</v>
      </c>
      <c r="AN98" s="159" t="str">
        <f>"echo {""issue"":{""subject"":"""&amp;R98&amp;""",""project_id"":30,""tracker_id"":4,""status_id"":"&amp;redmine_status_wcr&amp;",""priority_id"":"&amp;redmine_priority_wcr&amp;",""assigned_to_id"":"&amp;redmine_assignee_wcr&amp;",""start_date"":"""&amp;TEXT(I98-utc_offset/24,"YYYY-mm-dd")&amp;""",""description"":"""&amp;AJ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609</v>
      </c>
      <c r="B99" s="7">
        <v>4044</v>
      </c>
      <c r="C99" s="21" t="s">
        <v>217</v>
      </c>
      <c r="D99" s="21" t="s">
        <v>508</v>
      </c>
      <c r="E99" s="13">
        <v>42828.600474537037</v>
      </c>
      <c r="F99" s="13">
        <v>42828.604467592595</v>
      </c>
      <c r="G99" s="7">
        <v>2</v>
      </c>
      <c r="H99" s="21" t="s">
        <v>437</v>
      </c>
      <c r="I99" s="13">
        <v>42828.63077546296</v>
      </c>
      <c r="J99" s="7">
        <v>0</v>
      </c>
      <c r="K99" s="97" t="str">
        <f>IF(ISEVEN(B99),(B99-1)&amp;"/"&amp;B99,B99&amp;"/"&amp;(B99+1))</f>
        <v>4043/4044</v>
      </c>
      <c r="L99" s="21" t="str">
        <f>VLOOKUP(A99,'Trips&amp;Operators'!$C$1:$G$99999,5,FALSE)</f>
        <v>STEWART MICHAEL</v>
      </c>
      <c r="M99" s="6">
        <f>I99-F99</f>
        <v>2.6307870364689734E-2</v>
      </c>
      <c r="N99" s="7">
        <f>24*60*SUM($M99:$M99)</f>
        <v>37.883333325153217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-04-03T13:24:41-0600',mode:absolute,to:'2017-04-03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9" s="183" t="str">
        <f>IF(AA99&lt;IF(AG99="EC",23,5.65),"Y","N")</f>
        <v>N</v>
      </c>
      <c r="X99" s="183">
        <f>VALUE(LEFT(AD99,4))-VALUE(LEFT(AD98,4))</f>
        <v>1</v>
      </c>
      <c r="Y99" s="62">
        <f>RIGHT(D99,LEN(D99)-4)/10000</f>
        <v>4.7100000000000003E-2</v>
      </c>
      <c r="Z99" s="62">
        <f>RIGHT(H99,LEN(H99)-4)/10000</f>
        <v>23.328900000000001</v>
      </c>
      <c r="AA99" s="62">
        <f>ABS(Z99-Y99)</f>
        <v>23.2818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>IF(LEN(A99)=6,"0"&amp;A99,A99)</f>
        <v>0187-03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99" s="82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/stypes="app*4044*20170403*" /stext=" 21:.+((SYSTEM_STATE.+slice.+state.+changed )|(ment ac)|(multiple cpu faults)|(system.+state.+changed )|(\[timeout)|(PRM\|1\|D)|(kpr)|(kdp)|(\|lc)|(penalty))"</v>
      </c>
      <c r="AG99" s="1" t="str">
        <f>IFERROR(IF(VALUE(LEFT(AD99,2))&lt;=2,"EC",IF(OR(VALUE(LEFT(AD99,2))=8,VALUE(LEFT(AD99,2))=18),"NW","Other")),"Other")</f>
        <v>EC</v>
      </c>
      <c r="AH99" s="86" t="str">
        <f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187-03 --locoid 4044 --swversion DE.1.0.9.0 --startMP 204:471 --initTime 2017-04-03T14:24:41 --startdatetime 2017-04-03T14:30:26 --delay 2 --endMP 204:233289 --enddatetime 2017-04-03T15:08:19 --enforcementcount 0 &gt;&gt;C:\Users\stu\Documents\GitHub\eaglep3-reporting\EC\2017-04-03-refined-times.txt</v>
      </c>
      <c r="AI99" s="104" t="str">
        <f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{"issue":{"subject":"","project_id":79,"tracker_id":40,"status_id":1,"priority_id":2,"assigned_to_id":23,"start_date":"2017-04-03","description":"","custom_fields":[{"id":1,"name":"Subdivision","value":"EC"},{"id":4,"name":"Milepost","value":"23.3289"},{"id":17,"name":"Train ID","value":"187-03"},{"id":16,"name":"Locomotive ID","value":"4044"},{"id":130,"name":"Impact","value":""},{"id":150,"name":"Time of Event (Mountain Time)","value":"15:08:19"},{"id":151,"name":"Denver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>"start /low /b "&amp;dls3logs&amp;" --loco "&amp;B99&amp;" --day "&amp;TEXT(F99,"YYYY-MM-DD")</f>
        <v>start /low /b %USERPROFILE%\Documents\GitHub\eaglep3\Utilities\DownloadLogsFromS3.py --loco 4044 --day 2017-04-03</v>
      </c>
      <c r="AN99" s="159" t="str">
        <f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735</v>
      </c>
      <c r="B100" s="7">
        <v>4043</v>
      </c>
      <c r="C100" s="21" t="s">
        <v>217</v>
      </c>
      <c r="D100" s="21" t="s">
        <v>461</v>
      </c>
      <c r="E100" s="13">
        <v>42828.639502314814</v>
      </c>
      <c r="F100" s="13">
        <v>42828.64335648148</v>
      </c>
      <c r="G100" s="7">
        <v>1</v>
      </c>
      <c r="H100" s="21" t="s">
        <v>873</v>
      </c>
      <c r="I100" s="13">
        <v>42828.670474537037</v>
      </c>
      <c r="J100" s="7">
        <v>0</v>
      </c>
      <c r="K100" s="97" t="str">
        <f>IF(ISEVEN(B100),(B100-1)&amp;"/"&amp;B100,B100&amp;"/"&amp;(B100+1))</f>
        <v>4043/4044</v>
      </c>
      <c r="L100" s="21" t="str">
        <f>VLOOKUP(A100,'Trips&amp;Operators'!$C$1:$G$99999,5,FALSE)</f>
        <v>STEWART MICHAEL</v>
      </c>
      <c r="M100" s="6">
        <f>I100-F100</f>
        <v>2.7118055557366461E-2</v>
      </c>
      <c r="N100" s="7">
        <f>24*60*SUM($M100:$M100)</f>
        <v>39.050000002607703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-04-03T14:20:53-0600',mode:absolute,to:'2017-04-03T17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0" s="183" t="str">
        <f>IF(AA100&lt;IF(AG100="EC",23,5.65),"Y","N")</f>
        <v>N</v>
      </c>
      <c r="X100" s="183">
        <f>VALUE(LEFT(AD100,4))-VALUE(LEFT(AD99,4))</f>
        <v>1</v>
      </c>
      <c r="Y100" s="62">
        <f>RIGHT(D100,LEN(D100)-4)/10000</f>
        <v>23.297599999999999</v>
      </c>
      <c r="Z100" s="62">
        <f>RIGHT(H100,LEN(H100)-4)/10000</f>
        <v>1.72E-2</v>
      </c>
      <c r="AA100" s="62">
        <f>ABS(Z100-Y100)</f>
        <v>23.2804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>IF(LEN(A100)=6,"0"&amp;A100,A100)</f>
        <v>0188-03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00" s="82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/stypes="app*4043*20170403*" /stext=" 22:.+((SYSTEM_STATE.+slice.+state.+changed )|(ment ac)|(multiple cpu faults)|(system.+state.+changed )|(\[timeout)|(PRM\|1\|D)|(kpr)|(kdp)|(\|lc)|(penalty))"</v>
      </c>
      <c r="AG100" s="1" t="str">
        <f>IFERROR(IF(VALUE(LEFT(AD100,2))&lt;=2,"EC",IF(OR(VALUE(LEFT(AD100,2))=8,VALUE(LEFT(AD100,2))=18),"NW","Other")),"Other")</f>
        <v>EC</v>
      </c>
      <c r="AH100" s="86" t="str">
        <f>refinertdcruntimes&amp;" --tripid "&amp;A100&amp;" --locoid "&amp;B100&amp;" --swversion "&amp;C100&amp;" --startMP "&amp;D100&amp;" --initTime "&amp;TEXT(E100,"yyyy-mm-ddTHH:MM:SS")&amp;" --startdatetime "&amp;TEXT(F100,"yyyy-mm-ddTHH:MM:SS")&amp;" --delay "&amp;G100&amp;" --endMP "&amp;H100&amp;" --enddatetime "&amp;TEXT(I100,"yyyy-mm-ddTHH:MM:SS")&amp;" --enforcementcount "&amp;J100&amp;IF(outputrefinedruntimes," &gt;&gt;"&amp;RefinedRTDCRunTimesOutputFile,"")</f>
        <v>"%USERPROFILE%\Documents\GitHub\eaglep3\Utilities\RefineRTDCRunTimes.py" --tripid 188-03 --locoid 4043 --swversion DE.1.0.9.0 --startMP 204:232976 --initTime 2017-04-03T15:20:53 --startdatetime 2017-04-03T15:26:26 --delay 1 --endMP 204:172 --enddatetime 2017-04-03T16:05:29 --enforcementcount 0 &gt;&gt;C:\Users\stu\Documents\GitHub\eaglep3-reporting\EC\2017-04-03-refined-times.txt</v>
      </c>
      <c r="AI100" s="104" t="str">
        <f>"echo {""issue"":{""subject"":"""&amp;R100&amp;""",""project_id"":79,""tracker_id"":40,""status_id"":"&amp;redmine_status&amp;",""priority_id"":"&amp;redmine_priority&amp;",""assigned_to_id"":"&amp;redmine_assignee&amp;",""start_date"":"""&amp;TEXT(I100,"YYYY-mm-dd")&amp;""",""description"":"""&amp;AJ100&amp;""",""custom_fields"":[{""id"":1,""name"":""Subdivision"",""value"":"""&amp;AG100&amp;"""},{""id"":4,""name"":""Milepost"",""value"":"""&amp;Z100&amp;"""},{""id"":17,""name"":""Train ID"",""value"":"""&amp;A100&amp;"""},{""id"":16,""name"":""Locomotive ID"",""value"":"""&amp;B100&amp;"""},{""id"":130,""name"":""Impact"",""value"":"""&amp;AK100&amp;"""},{""id"":150,""name"":""Time of Event (Mountain Time)"",""value"":"""&amp;TEXT(I100,"hh:mm:ss")&amp;"""},{""id"":151,""name"":""Denver Issue ID"",""value"":"""&amp;"""},{""id"":178,""name"":""Operational Impact"",""value"":"""&amp;redmine_op_impact&amp;"""},{""id"":179,""name"":""Denver Segment Assigned"",""value"":"""&amp;AL100&amp;"""}]}}"&amp;"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{"issue":{"subject":"","project_id":79,"tracker_id":40,"status_id":1,"priority_id":2,"assigned_to_id":23,"start_date":"2017-04-03","description":"","custom_fields":[{"id":1,"name":"Subdivision","value":"EC"},{"id":4,"name":"Milepost","value":"0.0172"},{"id":17,"name":"Train ID","value":"188-03"},{"id":16,"name":"Locomotive ID","value":"4043"},{"id":130,"name":"Impact","value":""},{"id":150,"name":"Time of Event (Mountain Time)","value":"16:05:29"},{"id":151,"name":"Denver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>"start /low /b "&amp;dls3logs&amp;" --loco "&amp;B100&amp;" --day "&amp;TEXT(F100,"YYYY-MM-DD")</f>
        <v>start /low /b %USERPROFILE%\Documents\GitHub\eaglep3\Utilities\DownloadLogsFromS3.py --loco 4043 --day 2017-04-03</v>
      </c>
      <c r="AN100" s="159" t="str">
        <f>"echo {""issue"":{""subject"":"""&amp;R100&amp;""",""project_id"":30,""tracker_id"":4,""status_id"":"&amp;redmine_status_wcr&amp;",""priority_id"":"&amp;redmine_priority_wcr&amp;",""assigned_to_id"":"&amp;redmine_assignee_wcr&amp;",""start_date"":"""&amp;TEXT(I100-utc_offset/24,"YYYY-mm-dd")&amp;""",""description"":"""&amp;AJ100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730</v>
      </c>
      <c r="B101" s="7">
        <v>4028</v>
      </c>
      <c r="C101" s="21" t="s">
        <v>217</v>
      </c>
      <c r="D101" s="21" t="s">
        <v>430</v>
      </c>
      <c r="E101" s="13">
        <v>42828.612395833334</v>
      </c>
      <c r="F101" s="13">
        <v>42828.614803240744</v>
      </c>
      <c r="G101" s="7">
        <v>2</v>
      </c>
      <c r="H101" s="21" t="s">
        <v>454</v>
      </c>
      <c r="I101" s="13">
        <v>42828.642013888886</v>
      </c>
      <c r="J101" s="7">
        <v>0</v>
      </c>
      <c r="K101" s="97" t="str">
        <f>IF(ISEVEN(B101),(B101-1)&amp;"/"&amp;B101,B101&amp;"/"&amp;(B101+1))</f>
        <v>4027/4028</v>
      </c>
      <c r="L101" s="21" t="str">
        <f>VLOOKUP(A101,'Trips&amp;Operators'!$C$1:$G$99999,5,FALSE)</f>
        <v>DAVIS MICHAEL</v>
      </c>
      <c r="M101" s="6">
        <f>I101-F101</f>
        <v>2.7210648142499849E-2</v>
      </c>
      <c r="N101" s="7">
        <f>24*60*SUM($M101:$M101)</f>
        <v>39.183333325199783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-04-03T13:41:51-0600',mode:absolute,to:'2017-04-03T16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1" s="183" t="str">
        <f>IF(AA101&lt;IF(AG101="EC",23,5.65),"Y","N")</f>
        <v>N</v>
      </c>
      <c r="X101" s="183">
        <f>VALUE(LEFT(AD101,4))-VALUE(LEFT(AD100,4))</f>
        <v>1</v>
      </c>
      <c r="Y101" s="62">
        <f>RIGHT(D101,LEN(D101)-4)/10000</f>
        <v>4.6399999999999997E-2</v>
      </c>
      <c r="Z101" s="62">
        <f>RIGHT(H101,LEN(H101)-4)/10000</f>
        <v>23.330300000000001</v>
      </c>
      <c r="AA101" s="62">
        <f>ABS(Z101-Y101)</f>
        <v>23.283900000000003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>IF(LEN(A101)=6,"0"&amp;A101,A101)</f>
        <v>0189-03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01" s="82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/stypes="app*4028*20170403*" /stext=" 21:.+((SYSTEM_STATE.+slice.+state.+changed )|(ment ac)|(multiple cpu faults)|(system.+state.+changed )|(\[timeout)|(PRM\|1\|D)|(kpr)|(kdp)|(\|lc)|(penalty))"</v>
      </c>
      <c r="AG101" s="1" t="str">
        <f>IFERROR(IF(VALUE(LEFT(AD101,2))&lt;=2,"EC",IF(OR(VALUE(LEFT(AD101,2))=8,VALUE(LEFT(AD101,2))=18),"NW","Other")),"Other")</f>
        <v>EC</v>
      </c>
      <c r="AH101" s="86" t="str">
        <f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189-03 --locoid 4028 --swversion DE.1.0.9.0 --startMP 204:464 --initTime 2017-04-03T14:41:51 --startdatetime 2017-04-03T14:45:19 --delay 2 --endMP 204:233303 --enddatetime 2017-04-03T15:24:30 --enforcementcount 0 &gt;&gt;C:\Users\stu\Documents\GitHub\eaglep3-reporting\EC\2017-04-03-refined-times.txt</v>
      </c>
      <c r="AI101" s="104" t="str">
        <f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ID","value":"189-03"},{"id":16,"name":"Locomotive ID","value":"4028"},{"id":130,"name":"Impact","value":""},{"id":150,"name":"Time of Event (Mountain Time)","value":"15:24:30"},{"id":151,"name":"Denver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>"start /low /b "&amp;dls3logs&amp;" --loco "&amp;B101&amp;" --day "&amp;TEXT(F101,"YYYY-MM-DD")</f>
        <v>start /low /b %USERPROFILE%\Documents\GitHub\eaglep3\Utilities\DownloadLogsFromS3.py --loco 4028 --day 2017-04-03</v>
      </c>
      <c r="AN101" s="159" t="str">
        <f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612</v>
      </c>
      <c r="B102" s="7">
        <v>4027</v>
      </c>
      <c r="C102" s="21" t="s">
        <v>217</v>
      </c>
      <c r="D102" s="21" t="s">
        <v>874</v>
      </c>
      <c r="E102" s="13">
        <v>42828.65148148148</v>
      </c>
      <c r="F102" s="13">
        <v>42828.653877314813</v>
      </c>
      <c r="G102" s="7">
        <v>1</v>
      </c>
      <c r="H102" s="21" t="s">
        <v>875</v>
      </c>
      <c r="I102" s="13">
        <v>42828.684976851851</v>
      </c>
      <c r="J102" s="7">
        <v>0</v>
      </c>
      <c r="K102" s="97" t="str">
        <f>IF(ISEVEN(B102),(B102-1)&amp;"/"&amp;B102,B102&amp;"/"&amp;(B102+1))</f>
        <v>4027/4028</v>
      </c>
      <c r="L102" s="21" t="str">
        <f>VLOOKUP(A102,'Trips&amp;Operators'!$C$1:$G$99999,5,FALSE)</f>
        <v>DAVIS MICHAEL</v>
      </c>
      <c r="M102" s="6">
        <f>I102-F102</f>
        <v>3.1099537038244307E-2</v>
      </c>
      <c r="N102" s="7">
        <f>24*60*SUM($M102:$M102)</f>
        <v>44.783333335071802</v>
      </c>
      <c r="O102" s="7"/>
      <c r="P102" s="7"/>
      <c r="Q102" s="22"/>
      <c r="R102" s="22" t="s">
        <v>1046</v>
      </c>
      <c r="S102" s="31">
        <f>SUM(U102:U102)/IF(AG102="EC",12,1)</f>
        <v>1</v>
      </c>
      <c r="T102" s="46" t="str">
        <f>IF(ISEVEN(LEFT(AD102,4)),"Southbound","NorthBound")</f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2" s="183" t="str">
        <f>IF(AA102&lt;IF(AG102="EC",23,5.65),"Y","N")</f>
        <v>N</v>
      </c>
      <c r="X102" s="183">
        <f>VALUE(LEFT(AD102,4))-VALUE(LEFT(AD101,4))</f>
        <v>1</v>
      </c>
      <c r="Y102" s="62">
        <f>RIGHT(D102,LEN(D102)-4)/10000</f>
        <v>23.3003</v>
      </c>
      <c r="Z102" s="62">
        <f>RIGHT(H102,LEN(H102)-4)/10000</f>
        <v>5.1900000000000002E-2</v>
      </c>
      <c r="AA102" s="62">
        <f>ABS(Z102-Y102)</f>
        <v>23.2484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>IF(LEN(A102)=6,"0"&amp;A102,A102)</f>
        <v>0190-03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02" s="82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/stypes="app*4027*20170403*" /stext=" 22:.+((SYSTEM_STATE.+slice.+state.+changed )|(ment ac)|(multiple cpu faults)|(system.+state.+changed )|(\[timeout)|(PRM\|1\|D)|(kpr)|(kdp)|(\|lc)|(penalty))"</v>
      </c>
      <c r="AG102" s="1" t="str">
        <f>IFERROR(IF(VALUE(LEFT(AD102,2))&lt;=2,"EC",IF(OR(VALUE(LEFT(AD102,2))=8,VALUE(LEFT(AD102,2))=18),"NW","Other")),"Other")</f>
        <v>EC</v>
      </c>
      <c r="AH102" s="86" t="str">
        <f>refinertdcruntimes&amp;" --tripid "&amp;A102&amp;" --locoid "&amp;B102&amp;" --swversion "&amp;C102&amp;" --startMP "&amp;D102&amp;" --initTime "&amp;TEXT(E102,"yyyy-mm-ddTHH:MM:SS")&amp;" --startdatetime "&amp;TEXT(F102,"yyyy-mm-ddTHH:MM:SS")&amp;" --delay "&amp;G102&amp;" --endMP "&amp;H102&amp;" --enddatetime "&amp;TEXT(I102,"yyyy-mm-ddTHH:MM:SS")&amp;" --enforcementcount "&amp;J102&amp;IF(outputrefinedruntimes," &gt;&gt;"&amp;RefinedRTDCRunTimesOutputFile,"")</f>
        <v>"%USERPROFILE%\Documents\GitHub\eaglep3\Utilities\RefineRTDCRunTimes.py" --tripid 190-03 --locoid 4027 --swversion DE.1.0.9.0 --startMP 204:233003 --initTime 2017-04-03T15:38:08 --startdatetime 2017-04-03T15:41:35 --delay 1 --endMP 204:519 --enddatetime 2017-04-03T16:26:22 --enforcementcount 0 &gt;&gt;C:\Users\stu\Documents\GitHub\eaglep3-reporting\EC\2017-04-03-refined-times.txt</v>
      </c>
      <c r="AI102" s="104" t="str">
        <f>"echo {""issue"":{""subject"":"""&amp;R102&amp;""",""project_id"":79,""tracker_id"":40,""status_id"":"&amp;redmine_status&amp;",""priority_id"":"&amp;redmine_priority&amp;",""assigned_to_id"":"&amp;redmine_assignee&amp;",""start_date"":"""&amp;TEXT(I102,"YYYY-mm-dd")&amp;""",""description"":"""&amp;AJ102&amp;""",""custom_fields"":[{""id"":1,""name"":""Subdivision"",""value"":"""&amp;AG102&amp;"""},{""id"":4,""name"":""Milepost"",""value"":"""&amp;Z102&amp;"""},{""id"":17,""name"":""Train ID"",""value"":"""&amp;A102&amp;"""},{""id"":16,""name"":""Locomotive ID"",""value"":"""&amp;B102&amp;"""},{""id"":130,""name"":""Impact"",""value"":"""&amp;AK102&amp;"""},{""id"":150,""name"":""Time of Event (Mountain Time)"",""value"":"""&amp;TEXT(I102,"hh:mm:ss")&amp;"""},{""id"":151,""name"":""Denver Issue ID"",""value"":"""&amp;"""},{""id"":178,""name"":""Operational Impact"",""value"":"""&amp;redmine_op_impact&amp;"""},{""id"":179,""name"":""Denver Segment Assigned"",""value"":"""&amp;AL102&amp;"""}]}}"&amp;" | curl -X POST -H ""Content-Type: application/json"" -H ""X-Redmine-API-Key: "&amp;redm_api_key&amp;""" "&amp;redm_url&amp;" --data @-"</f>
        <v>echo {"issue":{"subject":"Poor GPS signal as train pulled into DUS","project_id":79,"tracker_id":40,"status_id":1,"priority_id":2,"assigned_to_id":23,"start_date":"2017-04-03","description":"","custom_fields":[{"id":1,"name":"Subdivision","value":"EC"},{"id":4,"name":"Milepost","value":"0.0519"},{"id":17,"name":"Train ID","value":"190-03"},{"id":16,"name":"Locomotive ID","value":"4027"},{"id":130,"name":"Impact","value":""},{"id":150,"name":"Time of Event (Mountain Time)","value":"16:26:22"},{"id":151,"name":"Denver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>"start /low /b "&amp;dls3logs&amp;" --loco "&amp;B102&amp;" --day "&amp;TEXT(F102,"YYYY-MM-DD")</f>
        <v>start /low /b %USERPROFILE%\Documents\GitHub\eaglep3\Utilities\DownloadLogsFromS3.py --loco 4027 --day 2017-04-03</v>
      </c>
      <c r="AN102" s="159" t="str">
        <f>"echo {""issue"":{""subject"":"""&amp;R102&amp;""",""project_id"":30,""tracker_id"":4,""status_id"":"&amp;redmine_status_wcr&amp;",""priority_id"":"&amp;redmine_priority_wcr&amp;",""assigned_to_id"":"&amp;redmine_assignee_wcr&amp;",""start_date"":"""&amp;TEXT(I102-utc_offset/24,"YYYY-mm-dd")&amp;""",""description"":"""&amp;AJ102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signal as train pulled into DUS","project_id":30,"tracker_id":4,"status_id":1,"priority_id":1,"assigned_to_id":10,"start_date":"2017-04-03","description":"","custom_fields":[{"id":30,"name":"Category","value":"Issue"},{"id":3,"name":"Functional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732</v>
      </c>
      <c r="B103" s="7">
        <v>4018</v>
      </c>
      <c r="C103" s="21" t="s">
        <v>217</v>
      </c>
      <c r="D103" s="21" t="s">
        <v>876</v>
      </c>
      <c r="E103" s="13">
        <v>42828.620682870373</v>
      </c>
      <c r="F103" s="13">
        <v>42828.625162037039</v>
      </c>
      <c r="G103" s="7">
        <v>1</v>
      </c>
      <c r="H103" s="21" t="s">
        <v>506</v>
      </c>
      <c r="I103" s="13">
        <v>42828.651331018518</v>
      </c>
      <c r="J103" s="7">
        <v>0</v>
      </c>
      <c r="K103" s="97" t="str">
        <f>IF(ISEVEN(B103),(B103-1)&amp;"/"&amp;B103,B103&amp;"/"&amp;(B103+1))</f>
        <v>4017/4018</v>
      </c>
      <c r="L103" s="21" t="str">
        <f>VLOOKUP(A103,'Trips&amp;Operators'!$C$1:$G$99999,5,FALSE)</f>
        <v>CLARK KATHLEEN</v>
      </c>
      <c r="M103" s="6">
        <f>I103-F103</f>
        <v>2.6168981479713693E-2</v>
      </c>
      <c r="N103" s="7">
        <f>24*60*SUM($M103:$M103)</f>
        <v>37.683333330787718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-04-03T13:53:47-0600',mode:absolute,to:'2017-04-03T16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3" s="183" t="str">
        <f>IF(AA103&lt;IF(AG103="EC",23,5.65),"Y","N")</f>
        <v>N</v>
      </c>
      <c r="X103" s="183">
        <f>VALUE(LEFT(AD103,4))-VALUE(LEFT(AD102,4))</f>
        <v>1</v>
      </c>
      <c r="Y103" s="62">
        <f>RIGHT(D103,LEN(D103)-4)/10000</f>
        <v>4.8599999999999997E-2</v>
      </c>
      <c r="Z103" s="62">
        <f>RIGHT(H103,LEN(H103)-4)/10000</f>
        <v>23.3291</v>
      </c>
      <c r="AA103" s="62">
        <f>ABS(Z103-Y103)</f>
        <v>23.2805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>IF(LEN(A103)=6,"0"&amp;A103,A103)</f>
        <v>0191-03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03" s="82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/stypes="app*4018*20170403*" /stext=" 21:.+((SYSTEM_STATE.+slice.+state.+changed )|(ment ac)|(multiple cpu faults)|(system.+state.+changed )|(\[timeout)|(PRM\|1\|D)|(kpr)|(kdp)|(\|lc)|(penalty))"</v>
      </c>
      <c r="AG103" s="1" t="str">
        <f>IFERROR(IF(VALUE(LEFT(AD103,2))&lt;=2,"EC",IF(OR(VALUE(LEFT(AD103,2))=8,VALUE(LEFT(AD103,2))=18),"NW","Other")),"Other")</f>
        <v>EC</v>
      </c>
      <c r="AH103" s="86" t="str">
        <f>refinertdcruntimes&amp;" --tripid "&amp;A103&amp;" --locoid "&amp;B103&amp;" --swversion "&amp;C103&amp;" --startMP "&amp;D103&amp;" --initTime "&amp;TEXT(E103,"yyyy-mm-ddTHH:MM:SS")&amp;" --startdatetime "&amp;TEXT(F103,"yyyy-mm-ddTHH:MM:SS")&amp;" --delay "&amp;G103&amp;" --endMP "&amp;H103&amp;" --enddatetime "&amp;TEXT(I103,"yyyy-mm-ddTHH:MM:SS")&amp;" --enforcementcount "&amp;J103&amp;IF(outputrefinedruntimes," &gt;&gt;"&amp;RefinedRTDCRunTimesOutputFile,"")</f>
        <v>"%USERPROFILE%\Documents\GitHub\eaglep3\Utilities\RefineRTDCRunTimes.py" --tripid 191-03 --locoid 4018 --swversion DE.1.0.9.0 --startMP 204:486 --initTime 2017-04-03T14:53:47 --startdatetime 2017-04-03T15:00:14 --delay 1 --endMP 204:233291 --enddatetime 2017-04-03T15:37:55 --enforcementcount 0 &gt;&gt;C:\Users\stu\Documents\GitHub\eaglep3-reporting\EC\2017-04-03-refined-times.txt</v>
      </c>
      <c r="AI103" s="104" t="str">
        <f>"echo {""issue"":{""subject"":"""&amp;R103&amp;""",""project_id"":79,""tracker_id"":40,""status_id"":"&amp;redmine_status&amp;",""priority_id"":"&amp;redmine_priority&amp;",""assigned_to_id"":"&amp;redmine_assignee&amp;",""start_date"":"""&amp;TEXT(I103,"YYYY-mm-dd")&amp;""",""description"":"""&amp;AJ103&amp;""",""custom_fields"":[{""id"":1,""name"":""Subdivision"",""value"":"""&amp;AG103&amp;"""},{""id"":4,""name"":""Milepost"",""value"":"""&amp;Z103&amp;"""},{""id"":17,""name"":""Train ID"",""value"":"""&amp;A103&amp;"""},{""id"":16,""name"":""Locomotive ID"",""value"":"""&amp;B103&amp;"""},{""id"":130,""name"":""Impact"",""value"":"""&amp;AK103&amp;"""},{""id"":150,""name"":""Time of Event (Mountain Time)"",""value"":"""&amp;TEXT(I103,"hh:mm:ss")&amp;"""},{""id"":151,""name"":""Denver Issue ID"",""value"":"""&amp;"""},{""id"":178,""name"":""Operational Impact"",""value"":"""&amp;redmine_op_impact&amp;"""},{""id"":179,""name"":""Denver Segment Assigned"",""value"":"""&amp;AL103&amp;"""}]}}"&amp;"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{"issue":{"subject":"","project_id":79,"tracker_id":40,"status_id":1,"priority_id":2,"assigned_to_id":23,"start_date":"2017-04-03","description":"","custom_fields":[{"id":1,"name":"Subdivision","value":"EC"},{"id":4,"name":"Milepost","value":"23.3291"},{"id":17,"name":"Train ID","value":"191-03"},{"id":16,"name":"Locomotive ID","value":"4018"},{"id":130,"name":"Impact","value":""},{"id":150,"name":"Time of Event (Mountain Time)","value":"15:37:55"},{"id":151,"name":"Denver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>"start /low /b "&amp;dls3logs&amp;" --loco "&amp;B103&amp;" --day "&amp;TEXT(F103,"YYYY-MM-DD")</f>
        <v>start /low /b %USERPROFILE%\Documents\GitHub\eaglep3\Utilities\DownloadLogsFromS3.py --loco 4018 --day 2017-04-03</v>
      </c>
      <c r="AN103" s="159" t="str">
        <f>"echo {""issue"":{""subject"":"""&amp;R103&amp;""",""project_id"":30,""tracker_id"":4,""status_id"":"&amp;redmine_status_wcr&amp;",""priority_id"":"&amp;redmine_priority_wcr&amp;",""assigned_to_id"":"&amp;redmine_assignee_wcr&amp;",""start_date"":"""&amp;TEXT(I103-utc_offset/24,"YYYY-mm-dd")&amp;""",""description"":"""&amp;AJ103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740</v>
      </c>
      <c r="B104" s="7">
        <v>4017</v>
      </c>
      <c r="C104" s="21" t="s">
        <v>217</v>
      </c>
      <c r="D104" s="21" t="s">
        <v>877</v>
      </c>
      <c r="E104" s="13">
        <v>42828.660266203704</v>
      </c>
      <c r="F104" s="13">
        <v>42828.665949074071</v>
      </c>
      <c r="G104" s="7">
        <v>1</v>
      </c>
      <c r="H104" s="21" t="s">
        <v>452</v>
      </c>
      <c r="I104" s="13">
        <v>42828.695972222224</v>
      </c>
      <c r="J104" s="7">
        <v>0</v>
      </c>
      <c r="K104" s="97" t="str">
        <f>IF(ISEVEN(B104),(B104-1)&amp;"/"&amp;B104,B104&amp;"/"&amp;(B104+1))</f>
        <v>4017/4018</v>
      </c>
      <c r="L104" s="21" t="str">
        <f>VLOOKUP(A104,'Trips&amp;Operators'!$C$1:$G$99999,5,FALSE)</f>
        <v>CLARK KATHLEEN</v>
      </c>
      <c r="M104" s="6">
        <f>I104-F104</f>
        <v>3.0023148152395152E-2</v>
      </c>
      <c r="N104" s="7">
        <f>24*60*SUM($M104:$M104)</f>
        <v>43.233333339449018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-04-03T14:50:47-0600',mode:absolute,to:'2017-04-03T17:42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4" s="183" t="str">
        <f>IF(AA104&lt;IF(AG104="EC",23,5.65),"Y","N")</f>
        <v>N</v>
      </c>
      <c r="X104" s="183">
        <f>VALUE(LEFT(AD104,4))-VALUE(LEFT(AD103,4))</f>
        <v>1</v>
      </c>
      <c r="Y104" s="62">
        <f>RIGHT(D104,LEN(D104)-4)/10000</f>
        <v>23.296600000000002</v>
      </c>
      <c r="Z104" s="62">
        <f>RIGHT(H104,LEN(H104)-4)/10000</f>
        <v>1.6299999999999999E-2</v>
      </c>
      <c r="AA104" s="62">
        <f>ABS(Z104-Y104)</f>
        <v>23.2803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>IF(LEN(A104)=6,"0"&amp;A104,A104)</f>
        <v>0192-03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04" s="82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/stypes="app*4017*20170403*" /stext=" 22:.+((SYSTEM_STATE.+slice.+state.+changed )|(ment ac)|(multiple cpu faults)|(system.+state.+changed )|(\[timeout)|(PRM\|1\|D)|(kpr)|(kdp)|(\|lc)|(penalty))"</v>
      </c>
      <c r="AG104" s="1" t="str">
        <f>IFERROR(IF(VALUE(LEFT(AD104,2))&lt;=2,"EC",IF(OR(VALUE(LEFT(AD104,2))=8,VALUE(LEFT(AD104,2))=18),"NW","Other")),"Other")</f>
        <v>EC</v>
      </c>
      <c r="AH104" s="86" t="str">
        <f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192-03 --locoid 4017 --swversion DE.1.0.9.0 --startMP 204:232966 --initTime 2017-04-03T15:50:47 --startdatetime 2017-04-03T15:58:58 --delay 1 --endMP 204:163 --enddatetime 2017-04-03T16:42:12 --enforcementcount 0 &gt;&gt;C:\Users\stu\Documents\GitHub\eaglep3-reporting\EC\2017-04-03-refined-times.txt</v>
      </c>
      <c r="AI104" s="104" t="str">
        <f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ID","value":"192-03"},{"id":16,"name":"Locomotive ID","value":"4017"},{"id":130,"name":"Impact","value":""},{"id":150,"name":"Time of Event (Mountain Time)","value":"16:42:12"},{"id":151,"name":"Denver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>"start /low /b "&amp;dls3logs&amp;" --loco "&amp;B104&amp;" --day "&amp;TEXT(F104,"YYYY-MM-DD")</f>
        <v>start /low /b %USERPROFILE%\Documents\GitHub\eaglep3\Utilities\DownloadLogsFromS3.py --loco 4017 --day 2017-04-03</v>
      </c>
      <c r="AN104" s="159" t="str">
        <f>"echo {""issue"":{""subject"":"""&amp;R104&amp;""",""project_id"":30,""tracker_id"":4,""status_id"":"&amp;redmine_status_wcr&amp;",""priority_id"":"&amp;redmine_priority_wcr&amp;",""assigned_to_id"":"&amp;redmine_assignee_wcr&amp;",""start_date"":"""&amp;TEXT(I104-utc_offset/24,"YYYY-mm-dd")&amp;""",""description"":"""&amp;AJ104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22:42:12"},{"id":29,"name":"Sharepoint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733</v>
      </c>
      <c r="B105" s="7">
        <v>4008</v>
      </c>
      <c r="C105" s="21" t="s">
        <v>217</v>
      </c>
      <c r="D105" s="21" t="s">
        <v>878</v>
      </c>
      <c r="E105" s="13">
        <v>42828.633009259262</v>
      </c>
      <c r="F105" s="13">
        <v>42828.635798611111</v>
      </c>
      <c r="G105" s="7">
        <v>1</v>
      </c>
      <c r="H105" s="21" t="s">
        <v>454</v>
      </c>
      <c r="I105" s="13">
        <v>42828.661932870367</v>
      </c>
      <c r="J105" s="7">
        <v>0</v>
      </c>
      <c r="K105" s="97" t="str">
        <f>IF(ISEVEN(B105),(B105-1)&amp;"/"&amp;B105,B105&amp;"/"&amp;(B105+1))</f>
        <v>4007/4008</v>
      </c>
      <c r="L105" s="21" t="str">
        <f>VLOOKUP(A105,'Trips&amp;Operators'!$C$1:$G$99999,5,FALSE)</f>
        <v>WILLIAMS DONTE</v>
      </c>
      <c r="M105" s="6">
        <f>I105-F105</f>
        <v>2.6134259256650694E-2</v>
      </c>
      <c r="N105" s="7">
        <f>24*60*SUM($M105:$M105)</f>
        <v>37.633333329576999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-04-03T14:11:32-0600',mode:absolute,to:'2017-04-03T16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5" s="183" t="str">
        <f>IF(AA105&lt;IF(AG105="EC",23,5.65),"Y","N")</f>
        <v>N</v>
      </c>
      <c r="X105" s="183">
        <f>VALUE(LEFT(AD105,4))-VALUE(LEFT(AD104,4))</f>
        <v>1</v>
      </c>
      <c r="Y105" s="62">
        <f>RIGHT(D105,LEN(D105)-4)/10000</f>
        <v>4.9099999999999998E-2</v>
      </c>
      <c r="Z105" s="62">
        <f>RIGHT(H105,LEN(H105)-4)/10000</f>
        <v>23.330300000000001</v>
      </c>
      <c r="AA105" s="62">
        <f>ABS(Z105-Y105)</f>
        <v>23.281200000000002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>IF(LEN(A105)=6,"0"&amp;A105,A105)</f>
        <v>0193-03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105" s="82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/stypes="app*4008*20170403*" /stext=" 21:.+((SYSTEM_STATE.+slice.+state.+changed )|(ment ac)|(multiple cpu faults)|(system.+state.+changed )|(\[timeout)|(PRM\|1\|D)|(kpr)|(kdp)|(\|lc)|(penalty))"</v>
      </c>
      <c r="AG105" s="1" t="str">
        <f>IFERROR(IF(VALUE(LEFT(AD105,2))&lt;=2,"EC",IF(OR(VALUE(LEFT(AD105,2))=8,VALUE(LEFT(AD105,2))=18),"NW","Other")),"Other")</f>
        <v>EC</v>
      </c>
      <c r="AH105" s="86" t="str">
        <f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193-03 --locoid 4008 --swversion DE.1.0.9.0 --startMP 204:491 --initTime 2017-04-03T15:11:32 --startdatetime 2017-04-03T15:15:33 --delay 1 --endMP 204:233303 --enddatetime 2017-04-03T15:53:11 --enforcementcount 0 &gt;&gt;C:\Users\stu\Documents\GitHub\eaglep3-reporting\EC\2017-04-03-refined-times.txt</v>
      </c>
      <c r="AI105" s="104" t="str">
        <f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{"issue":{"subject":"","project_id":79,"tracker_id":40,"status_id":1,"priority_id":2,"assigned_to_id":23,"start_date":"2017-04-03","description":"","custom_fields":[{"id":1,"name":"Subdivision","value":"EC"},{"id":4,"name":"Milepost","value":"23.3303"},{"id":17,"name":"Train ID","value":"193-03"},{"id":16,"name":"Locomotive ID","value":"4008"},{"id":130,"name":"Impact","value":""},{"id":150,"name":"Time of Event (Mountain Time)","value":"15:53:11"},{"id":151,"name":"Denver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>"start /low /b "&amp;dls3logs&amp;" --loco "&amp;B105&amp;" --day "&amp;TEXT(F105,"YYYY-MM-DD")</f>
        <v>start /low /b %USERPROFILE%\Documents\GitHub\eaglep3\Utilities\DownloadLogsFromS3.py --loco 4008 --day 2017-04-03</v>
      </c>
      <c r="AN105" s="159" t="str">
        <f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742</v>
      </c>
      <c r="B106" s="7">
        <v>4007</v>
      </c>
      <c r="C106" s="21" t="s">
        <v>217</v>
      </c>
      <c r="D106" s="21" t="s">
        <v>439</v>
      </c>
      <c r="E106" s="13">
        <v>42828.665729166663</v>
      </c>
      <c r="F106" s="13">
        <v>42828.674710648149</v>
      </c>
      <c r="G106" s="7">
        <v>1</v>
      </c>
      <c r="H106" s="21" t="s">
        <v>879</v>
      </c>
      <c r="I106" s="13">
        <v>42828.704004629632</v>
      </c>
      <c r="J106" s="7">
        <v>0</v>
      </c>
      <c r="K106" s="97" t="str">
        <f>IF(ISEVEN(B106),(B106-1)&amp;"/"&amp;B106,B106&amp;"/"&amp;(B106+1))</f>
        <v>4007/4008</v>
      </c>
      <c r="L106" s="21" t="str">
        <f>VLOOKUP(A106,'Trips&amp;Operators'!$C$1:$G$99999,5,FALSE)</f>
        <v>WILLIAMS DONTE</v>
      </c>
      <c r="M106" s="6">
        <f>I106-F106</f>
        <v>2.9293981482624076E-2</v>
      </c>
      <c r="N106" s="7">
        <f>24*60*SUM($M106:$M106)</f>
        <v>42.18333333497867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-04-03T14:58:39-0600',mode:absolute,to:'2017-04-03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6" s="183" t="str">
        <f>IF(AA106&lt;IF(AG106="EC",23,5.65),"Y","N")</f>
        <v>N</v>
      </c>
      <c r="X106" s="183">
        <f>VALUE(LEFT(AD106,4))-VALUE(LEFT(AD105,4))</f>
        <v>1</v>
      </c>
      <c r="Y106" s="62">
        <f>RIGHT(D106,LEN(D106)-4)/10000</f>
        <v>23.298400000000001</v>
      </c>
      <c r="Z106" s="62">
        <f>RIGHT(H106,LEN(H106)-4)/10000</f>
        <v>1.7600000000000001E-2</v>
      </c>
      <c r="AA106" s="62">
        <f>ABS(Z106-Y106)</f>
        <v>23.280799999999999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>IF(LEN(A106)=6,"0"&amp;A106,A106)</f>
        <v>0194-03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106" s="82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/stypes="app*4007*20170403*" /stext=" 22:.+((SYSTEM_STATE.+slice.+state.+changed )|(ment ac)|(multiple cpu faults)|(system.+state.+changed )|(\[timeout)|(PRM\|1\|D)|(kpr)|(kdp)|(\|lc)|(penalty))"</v>
      </c>
      <c r="AG106" s="1" t="str">
        <f>IFERROR(IF(VALUE(LEFT(AD106,2))&lt;=2,"EC",IF(OR(VALUE(LEFT(AD106,2))=8,VALUE(LEFT(AD106,2))=18),"NW","Other")),"Other")</f>
        <v>EC</v>
      </c>
      <c r="AH106" s="86" t="str">
        <f>refinertdcruntimes&amp;" --tripid "&amp;A106&amp;" --locoid "&amp;B106&amp;" --swversion "&amp;C106&amp;" --startMP "&amp;D106&amp;" --initTime "&amp;TEXT(E106,"yyyy-mm-ddTHH:MM:SS")&amp;" --startdatetime "&amp;TEXT(F106,"yyyy-mm-ddTHH:MM:SS")&amp;" --delay "&amp;G106&amp;" --endMP "&amp;H106&amp;" --enddatetime "&amp;TEXT(I106,"yyyy-mm-ddTHH:MM:SS")&amp;" --enforcementcount "&amp;J106&amp;IF(outputrefinedruntimes," &gt;&gt;"&amp;RefinedRTDCRunTimesOutputFile,"")</f>
        <v>"%USERPROFILE%\Documents\GitHub\eaglep3\Utilities\RefineRTDCRunTimes.py" --tripid 194-03 --locoid 4007 --swversion DE.1.0.9.0 --startMP 204:232984 --initTime 2017-04-03T15:58:39 --startdatetime 2017-04-03T16:11:35 --delay 1 --endMP 204:176 --enddatetime 2017-04-03T16:53:46 --enforcementcount 0 &gt;&gt;C:\Users\stu\Documents\GitHub\eaglep3-reporting\EC\2017-04-03-refined-times.txt</v>
      </c>
      <c r="AI106" s="104" t="str">
        <f>"echo {""issue"":{""subject"":"""&amp;R106&amp;""",""project_id"":79,""tracker_id"":40,""status_id"":"&amp;redmine_status&amp;",""priority_id"":"&amp;redmine_priority&amp;",""assigned_to_id"":"&amp;redmine_assignee&amp;",""start_date"":"""&amp;TEXT(I106,"YYYY-mm-dd")&amp;""",""description"":"""&amp;AJ106&amp;""",""custom_fields"":[{""id"":1,""name"":""Subdivision"",""value"":"""&amp;AG106&amp;"""},{""id"":4,""name"":""Milepost"",""value"":"""&amp;Z106&amp;"""},{""id"":17,""name"":""Train ID"",""value"":"""&amp;A106&amp;"""},{""id"":16,""name"":""Locomotive ID"",""value"":"""&amp;B106&amp;"""},{""id"":130,""name"":""Impact"",""value"":"""&amp;AK106&amp;"""},{""id"":150,""name"":""Time of Event (Mountain Time)"",""value"":"""&amp;TEXT(I106,"hh:mm:ss")&amp;"""},{""id"":151,""name"":""Denver Issue ID"",""value"":"""&amp;"""},{""id"":178,""name"":""Operational Impact"",""value"":"""&amp;redmine_op_impact&amp;"""},{""id"":179,""name"":""Denver Segment Assigned"",""value"":"""&amp;AL106&amp;"""}]}}"&amp;"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{"issue":{"subject":"","project_id":79,"tracker_id":40,"status_id":1,"priority_id":2,"assigned_to_id":23,"start_date":"2017-04-03","description":"","custom_fields":[{"id":1,"name":"Subdivision","value":"EC"},{"id":4,"name":"Milepost","value":"0.0176"},{"id":17,"name":"Train ID","value":"194-03"},{"id":16,"name":"Locomotive ID","value":"4007"},{"id":130,"name":"Impact","value":""},{"id":150,"name":"Time of Event (Mountain Time)","value":"16:53:46"},{"id":151,"name":"Denver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>"start /low /b "&amp;dls3logs&amp;" --loco "&amp;B106&amp;" --day "&amp;TEXT(F106,"YYYY-MM-DD")</f>
        <v>start /low /b %USERPROFILE%\Documents\GitHub\eaglep3\Utilities\DownloadLogsFromS3.py --loco 4007 --day 2017-04-03</v>
      </c>
      <c r="AN106" s="159" t="str">
        <f>"echo {""issue"":{""subject"":"""&amp;R106&amp;""",""project_id"":30,""tracker_id"":4,""status_id"":"&amp;redmine_status_wcr&amp;",""priority_id"":"&amp;redmine_priority_wcr&amp;",""assigned_to_id"":"&amp;redmine_assignee_wcr&amp;",""start_date"":"""&amp;TEXT(I106-utc_offset/24,"YYYY-mm-dd")&amp;""",""description"":"""&amp;AJ106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737</v>
      </c>
      <c r="B107" s="7">
        <v>4052</v>
      </c>
      <c r="C107" s="21" t="s">
        <v>217</v>
      </c>
      <c r="D107" s="21" t="s">
        <v>880</v>
      </c>
      <c r="E107" s="13">
        <v>42828.650636574072</v>
      </c>
      <c r="F107" s="13">
        <v>42828.652187500003</v>
      </c>
      <c r="G107" s="7">
        <v>1</v>
      </c>
      <c r="H107" s="21" t="s">
        <v>881</v>
      </c>
      <c r="I107" s="13">
        <v>42828.674513888887</v>
      </c>
      <c r="J107" s="7">
        <v>0</v>
      </c>
      <c r="K107" s="97" t="str">
        <f>IF(ISEVEN(B107),(B107-1)&amp;"/"&amp;B107,B107&amp;"/"&amp;(B107+1))</f>
        <v>4051/4052</v>
      </c>
      <c r="L107" s="21" t="str">
        <f>VLOOKUP(A107,'Trips&amp;Operators'!$C$1:$G$99999,5,FALSE)</f>
        <v>LOCKLEAR TRAVIS</v>
      </c>
      <c r="M107" s="6">
        <f>I107-F107</f>
        <v>2.2326388883811887E-2</v>
      </c>
      <c r="N107" s="7"/>
      <c r="O107" s="7"/>
      <c r="P107" s="7">
        <f>24*60*SUM($M107:$M107)</f>
        <v>32.149999992689118</v>
      </c>
      <c r="Q107" s="22"/>
      <c r="R107" s="22" t="s">
        <v>1036</v>
      </c>
      <c r="S107" s="31">
        <f>SUM(U107:U107)/IF(AG107="EC",12,1)</f>
        <v>1</v>
      </c>
      <c r="T107" s="46" t="str">
        <f>IF(ISEVEN(LEFT(AD107,4)),"Southbound","NorthBound")</f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-04-03T14:36:55-0600',mode:absolute,to:'2017-04-03T17:11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83" t="str">
        <f>IF(AA107&lt;IF(AG107="EC",23,5.65),"Y","N")</f>
        <v>Y</v>
      </c>
      <c r="X107" s="183">
        <f>VALUE(LEFT(AD107,4))-VALUE(LEFT(AD106,4))</f>
        <v>1</v>
      </c>
      <c r="Y107" s="62">
        <f>RIGHT(D107,LEN(D107)-4)/10000</f>
        <v>1.9132</v>
      </c>
      <c r="Z107" s="62">
        <f>RIGHT(H107,LEN(H107)-4)/10000</f>
        <v>23.333400000000001</v>
      </c>
      <c r="AA107" s="62">
        <f>ABS(Z107-Y107)</f>
        <v>21.420200000000001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>IF(LEN(A107)=6,"0"&amp;A107,A107)</f>
        <v>0195-03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07" s="82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/stypes="app*4052*20170403*" /stext=" 22:.+((SYSTEM_STATE.+slice.+state.+changed )|(ment ac)|(multiple cpu faults)|(system.+state.+changed )|(\[timeout)|(PRM\|1\|D)|(kpr)|(kdp)|(\|lc)|(penalty))"</v>
      </c>
      <c r="AG107" s="1" t="str">
        <f>IFERROR(IF(VALUE(LEFT(AD107,2))&lt;=2,"EC",IF(OR(VALUE(LEFT(AD107,2))=8,VALUE(LEFT(AD107,2))=18),"NW","Other")),"Other")</f>
        <v>EC</v>
      </c>
      <c r="AH107" s="86" t="str">
        <f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195-03 --locoid 4052 --swversion DE.1.0.9.0 --startMP 204:19132 --initTime 2017-04-03T15:36:55 --startdatetime 2017-04-03T15:39:09 --delay 1 --endMP 204:233334 --enddatetime 2017-04-03T16:11:18 --enforcementcount 0 &gt;&gt;C:\Users\stu\Documents\GitHub\eaglep3-reporting\EC\2017-04-03-refined-times.txt</v>
      </c>
      <c r="AI107" s="104" t="str">
        <f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outage","project_id":79,"tracker_id":40,"status_id":1,"priority_id":2,"assigned_to_id":23,"start_date":"2017-04-03","description":"","custom_fields":[{"id":1,"name":"Subdivision","value":"EC"},{"id":4,"name":"Milepost","value":"23.3334"},{"id":17,"name":"Train ID","value":"195-03"},{"id":16,"name":"Locomotive ID","value":"4052"},{"id":130,"name":"Impact","value":""},{"id":150,"name":"Time of Event (Mountain Time)","value":"16:11:18"},{"id":151,"name":"Denver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>"start /low /b "&amp;dls3logs&amp;" --loco "&amp;B107&amp;" --day "&amp;TEXT(F107,"YYYY-MM-DD")</f>
        <v>start /low /b %USERPROFILE%\Documents\GitHub\eaglep3\Utilities\DownloadLogsFromS3.py --loco 4052 --day 2017-04-03</v>
      </c>
      <c r="AN107" s="159" t="str">
        <f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22:11:18"},{"id":29,"name":"Sharepoint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746</v>
      </c>
      <c r="B108" s="7">
        <v>4051</v>
      </c>
      <c r="C108" s="21" t="s">
        <v>217</v>
      </c>
      <c r="D108" s="21" t="s">
        <v>548</v>
      </c>
      <c r="E108" s="13">
        <v>42828.68408564815</v>
      </c>
      <c r="F108" s="13">
        <v>42828.685416666667</v>
      </c>
      <c r="G108" s="7">
        <v>1</v>
      </c>
      <c r="H108" s="21" t="s">
        <v>199</v>
      </c>
      <c r="I108" s="13">
        <v>42828.713020833333</v>
      </c>
      <c r="J108" s="7">
        <v>0</v>
      </c>
      <c r="K108" s="97" t="str">
        <f>IF(ISEVEN(B108),(B108-1)&amp;"/"&amp;B108,B108&amp;"/"&amp;(B108+1))</f>
        <v>4051/4052</v>
      </c>
      <c r="L108" s="21" t="str">
        <f>VLOOKUP(A108,'Trips&amp;Operators'!$C$1:$G$99999,5,FALSE)</f>
        <v>LOCKLEAR TRAVIS</v>
      </c>
      <c r="M108" s="6">
        <f>I108-F108</f>
        <v>2.7604166665696539E-2</v>
      </c>
      <c r="N108" s="7">
        <f>24*60*SUM($M108:$M108)</f>
        <v>39.749999998603016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-04-03T15:25:05-0600',mode:absolute,to:'2017-04-03T18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83" t="str">
        <f>IF(AA108&lt;IF(AG108="EC",23,5.65),"Y","N")</f>
        <v>N</v>
      </c>
      <c r="X108" s="183">
        <f>VALUE(LEFT(AD108,4))-VALUE(LEFT(AD107,4))</f>
        <v>1</v>
      </c>
      <c r="Y108" s="62">
        <f>RIGHT(D108,LEN(D108)-4)/10000</f>
        <v>23.301300000000001</v>
      </c>
      <c r="Z108" s="62">
        <f>RIGHT(H108,LEN(H108)-4)/10000</f>
        <v>1.52E-2</v>
      </c>
      <c r="AA108" s="62">
        <f>ABS(Z108-Y108)</f>
        <v>23.286100000000001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>IF(LEN(A108)=6,"0"&amp;A108,A108)</f>
        <v>0196-03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08" s="82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/stypes="app*4051*20170403*" /stext=" 23:.+((SYSTEM_STATE.+slice.+state.+changed )|(ment ac)|(multiple cpu faults)|(system.+state.+changed )|(\[timeout)|(PRM\|1\|D)|(kpr)|(kdp)|(\|lc)|(penalty))"</v>
      </c>
      <c r="AG108" s="1" t="str">
        <f>IFERROR(IF(VALUE(LEFT(AD108,2))&lt;=2,"EC",IF(OR(VALUE(LEFT(AD108,2))=8,VALUE(LEFT(AD108,2))=18),"NW","Other")),"Other")</f>
        <v>EC</v>
      </c>
      <c r="AH108" s="86" t="str">
        <f>refinertdcruntimes&amp;" --tripid "&amp;A108&amp;" --locoid "&amp;B108&amp;" --swversion "&amp;C108&amp;" --startMP "&amp;D108&amp;" --initTime "&amp;TEXT(E108,"yyyy-mm-ddTHH:MM:SS")&amp;" --startdatetime "&amp;TEXT(F108,"yyyy-mm-ddTHH:MM:SS")&amp;" --delay "&amp;G108&amp;" --endMP "&amp;H108&amp;" --enddatetime "&amp;TEXT(I108,"yyyy-mm-ddTHH:MM:SS")&amp;" --enforcementcount "&amp;J108&amp;IF(outputrefinedruntimes," &gt;&gt;"&amp;RefinedRTDCRunTimesOutputFile,"")</f>
        <v>"%USERPROFILE%\Documents\GitHub\eaglep3\Utilities\RefineRTDCRunTimes.py" --tripid 196-03 --locoid 4051 --swversion DE.1.0.9.0 --startMP 204:233013 --initTime 2017-04-03T16:25:05 --startdatetime 2017-04-03T16:27:00 --delay 1 --endMP 204:152 --enddatetime 2017-04-03T17:06:45 --enforcementcount 0 &gt;&gt;C:\Users\stu\Documents\GitHub\eaglep3-reporting\EC\2017-04-03-refined-times.txt</v>
      </c>
      <c r="AI108" s="104" t="str">
        <f>"echo {""issue"":{""subject"":"""&amp;R108&amp;""",""project_id"":79,""tracker_id"":40,""status_id"":"&amp;redmine_status&amp;",""priority_id"":"&amp;redmine_priority&amp;",""assigned_to_id"":"&amp;redmine_assignee&amp;",""start_date"":"""&amp;TEXT(I108,"YYYY-mm-dd")&amp;""",""description"":"""&amp;AJ108&amp;""",""custom_fields"":[{""id"":1,""name"":""Subdivision"",""value"":"""&amp;AG108&amp;"""},{""id"":4,""name"":""Milepost"",""value"":"""&amp;Z108&amp;"""},{""id"":17,""name"":""Train ID"",""value"":"""&amp;A108&amp;"""},{""id"":16,""name"":""Locomotive ID"",""value"":"""&amp;B108&amp;"""},{""id"":130,""name"":""Impact"",""value"":"""&amp;AK108&amp;"""},{""id"":150,""name"":""Time of Event (Mountain Time)"",""value"":"""&amp;TEXT(I108,"hh:mm:ss")&amp;"""},{""id"":151,""name"":""Denver Issue ID"",""value"":"""&amp;"""},{""id"":178,""name"":""Operational Impact"",""value"":"""&amp;redmine_op_impact&amp;"""},{""id"":179,""name"":""Denver Segment Assigned"",""value"":"""&amp;AL108&amp;"""}]}}"&amp;"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ID","value":"196-03"},{"id":16,"name":"Locomotive ID","value":"4051"},{"id":130,"name":"Impact","value":""},{"id":150,"name":"Time of Event (Mountain Time)","value":"17:06:45"},{"id":151,"name":"Denver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>"start /low /b "&amp;dls3logs&amp;" --loco "&amp;B108&amp;" --day "&amp;TEXT(F108,"YYYY-MM-DD")</f>
        <v>start /low /b %USERPROFILE%\Documents\GitHub\eaglep3\Utilities\DownloadLogsFromS3.py --loco 4051 --day 2017-04-03</v>
      </c>
      <c r="AN108" s="159" t="str">
        <f>"echo {""issue"":{""subject"":"""&amp;R108&amp;""",""project_id"":30,""tracker_id"":4,""status_id"":"&amp;redmine_status_wcr&amp;",""priority_id"":"&amp;redmine_priority_wcr&amp;",""assigned_to_id"":"&amp;redmine_assignee_wcr&amp;",""start_date"":"""&amp;TEXT(I108-utc_offset/24,"YYYY-mm-dd")&amp;""",""description"":"""&amp;AJ108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4004</v>
      </c>
      <c r="C109" s="21" t="s">
        <v>217</v>
      </c>
      <c r="D109" s="21" t="s">
        <v>449</v>
      </c>
      <c r="E109" s="13">
        <v>42828.652638888889</v>
      </c>
      <c r="F109" s="13">
        <v>42828.656504629631</v>
      </c>
      <c r="G109" s="7">
        <v>1</v>
      </c>
      <c r="H109" s="21" t="s">
        <v>514</v>
      </c>
      <c r="I109" s="13">
        <v>42828.683553240742</v>
      </c>
      <c r="J109" s="7">
        <v>0</v>
      </c>
      <c r="K109" s="97" t="str">
        <f>IF(ISEVEN(B109),(B109-1)&amp;"/"&amp;B109,B109&amp;"/"&amp;(B109+1))</f>
        <v>4003/4004</v>
      </c>
      <c r="L109" s="21" t="str">
        <f>VLOOKUP(A109,'Trips&amp;Operators'!$C$1:$G$99999,5,FALSE)</f>
        <v>SULLIVAN BRANDON</v>
      </c>
      <c r="M109" s="6">
        <f>I109-F109</f>
        <v>2.7048611111240461E-2</v>
      </c>
      <c r="N109" s="7">
        <f>24*60*SUM($M109:$M109)</f>
        <v>38.950000000186265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-04-03T14:39:48-0600',mode:absolute,to:'2017-04-03T17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9" s="183" t="str">
        <f>IF(AA109&lt;IF(AG109="EC",23,5.65),"Y","N")</f>
        <v>N</v>
      </c>
      <c r="X109" s="183">
        <f>VALUE(LEFT(AD109,4))-VALUE(LEFT(AD108,4))</f>
        <v>1</v>
      </c>
      <c r="Y109" s="62">
        <f>RIGHT(D109,LEN(D109)-4)/10000</f>
        <v>4.4699999999999997E-2</v>
      </c>
      <c r="Z109" s="62">
        <f>RIGHT(H109,LEN(H109)-4)/10000</f>
        <v>23.328399999999998</v>
      </c>
      <c r="AA109" s="62">
        <f>ABS(Z109-Y109)</f>
        <v>23.2837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>IF(LEN(A109)=6,"0"&amp;A109,A109)</f>
        <v>0197-03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109" s="82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/stypes="app*4004*20170403*" /stext=" 22:.+((SYSTEM_STATE.+slice.+state.+changed )|(ment ac)|(multiple cpu faults)|(system.+state.+changed )|(\[timeout)|(PRM\|1\|D)|(kpr)|(kdp)|(\|lc)|(penalty))"</v>
      </c>
      <c r="AG109" s="1" t="str">
        <f>IFERROR(IF(VALUE(LEFT(AD109,2))&lt;=2,"EC",IF(OR(VALUE(LEFT(AD109,2))=8,VALUE(LEFT(AD109,2))=18),"NW","Other")),"Other")</f>
        <v>EC</v>
      </c>
      <c r="AH109" s="86" t="str">
        <f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197-03 --locoid 4004 --swversion DE.1.0.9.0 --startMP 204:447 --initTime 2017-04-03T15:39:48 --startdatetime 2017-04-03T15:45:22 --delay 1 --endMP 204:233284 --enddatetime 2017-04-03T16:24:19 --enforcementcount 0 &gt;&gt;C:\Users\stu\Documents\GitHub\eaglep3-reporting\EC\2017-04-03-refined-times.txt</v>
      </c>
      <c r="AI109" s="104" t="str">
        <f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{"issue":{"subject":"","project_id":79,"tracker_id":40,"status_id":1,"priority_id":2,"assigned_to_id":23,"start_date":"2017-04-03","description":"","custom_fields":[{"id":1,"name":"Subdivision","value":"EC"},{"id":4,"name":"Milepost","value":"23.3284"},{"id":17,"name":"Train ID","value":"197-03"},{"id":16,"name":"Locomotive ID","value":"4004"},{"id":130,"name":"Impact","value":""},{"id":150,"name":"Time of Event (Mountain Time)","value":"16:24:19"},{"id":151,"name":"Denver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>"start /low /b "&amp;dls3logs&amp;" --loco "&amp;B109&amp;" --day "&amp;TEXT(F109,"YYYY-MM-DD")</f>
        <v>start /low /b %USERPROFILE%\Documents\GitHub\eaglep3\Utilities\DownloadLogsFromS3.py --loco 4004 --day 2017-04-03</v>
      </c>
      <c r="AN109" s="159" t="str">
        <f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749</v>
      </c>
      <c r="B110" s="7">
        <v>4003</v>
      </c>
      <c r="C110" s="21" t="s">
        <v>217</v>
      </c>
      <c r="D110" s="21" t="s">
        <v>442</v>
      </c>
      <c r="E110" s="13">
        <v>42828.690358796295</v>
      </c>
      <c r="F110" s="13">
        <v>42828.6953125</v>
      </c>
      <c r="G110" s="7">
        <v>1</v>
      </c>
      <c r="H110" s="21" t="s">
        <v>199</v>
      </c>
      <c r="I110" s="13">
        <v>42828.724733796298</v>
      </c>
      <c r="J110" s="7">
        <v>0</v>
      </c>
      <c r="K110" s="97" t="str">
        <f>IF(ISEVEN(B110),(B110-1)&amp;"/"&amp;B110,B110&amp;"/"&amp;(B110+1))</f>
        <v>4003/4004</v>
      </c>
      <c r="L110" s="21" t="str">
        <f>VLOOKUP(A110,'Trips&amp;Operators'!$C$1:$G$99999,5,FALSE)</f>
        <v>SULLIVAN BRANDON</v>
      </c>
      <c r="M110" s="6">
        <f>I110-F110</f>
        <v>2.9421296298096422E-2</v>
      </c>
      <c r="N110" s="7">
        <f>24*60*SUM($M110:$M110)</f>
        <v>42.366666669258848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-04-03T15:34:07-0600',mode:absolute,to:'2017-04-03T18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0" s="183" t="str">
        <f>IF(AA110&lt;IF(AG110="EC",23,5.65),"Y","N")</f>
        <v>N</v>
      </c>
      <c r="X110" s="183">
        <f>VALUE(LEFT(AD110,4))-VALUE(LEFT(AD109,4))</f>
        <v>1</v>
      </c>
      <c r="Y110" s="62">
        <f>RIGHT(D110,LEN(D110)-4)/10000</f>
        <v>23.298200000000001</v>
      </c>
      <c r="Z110" s="62">
        <f>RIGHT(H110,LEN(H110)-4)/10000</f>
        <v>1.52E-2</v>
      </c>
      <c r="AA110" s="62">
        <f>ABS(Z110-Y110)</f>
        <v>23.283000000000001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>IF(LEN(A110)=6,"0"&amp;A110,A110)</f>
        <v>0198-03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10" s="82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/stypes="app*4003*20170403*" /stext=" 23:.+((SYSTEM_STATE.+slice.+state.+changed )|(ment ac)|(multiple cpu faults)|(system.+state.+changed )|(\[timeout)|(PRM\|1\|D)|(kpr)|(kdp)|(\|lc)|(penalty))"</v>
      </c>
      <c r="AG110" s="1" t="str">
        <f>IFERROR(IF(VALUE(LEFT(AD110,2))&lt;=2,"EC",IF(OR(VALUE(LEFT(AD110,2))=8,VALUE(LEFT(AD110,2))=18),"NW","Other")),"Other")</f>
        <v>EC</v>
      </c>
      <c r="AH110" s="86" t="str">
        <f>refinertdcruntimes&amp;" --tripid "&amp;A110&amp;" --locoid "&amp;B110&amp;" --swversion "&amp;C110&amp;" --startMP "&amp;D110&amp;" --initTime "&amp;TEXT(E110,"yyyy-mm-ddTHH:MM:SS")&amp;" --startdatetime "&amp;TEXT(F110,"yyyy-mm-ddTHH:MM:SS")&amp;" --delay "&amp;G110&amp;" --endMP "&amp;H110&amp;" --enddatetime "&amp;TEXT(I110,"yyyy-mm-ddTHH:MM:SS")&amp;" --enforcementcount "&amp;J110&amp;IF(outputrefinedruntimes," &gt;&gt;"&amp;RefinedRTDCRunTimesOutputFile,"")</f>
        <v>"%USERPROFILE%\Documents\GitHub\eaglep3\Utilities\RefineRTDCRunTimes.py" --tripid 198-03 --locoid 4003 --swversion DE.1.0.9.0 --startMP 204:232982 --initTime 2017-04-03T16:34:07 --startdatetime 2017-04-03T16:41:15 --delay 1 --endMP 204:152 --enddatetime 2017-04-03T17:23:37 --enforcementcount 0 &gt;&gt;C:\Users\stu\Documents\GitHub\eaglep3-reporting\EC\2017-04-03-refined-times.txt</v>
      </c>
      <c r="AI110" s="104" t="str">
        <f>"echo {""issue"":{""subject"":"""&amp;R110&amp;""",""project_id"":79,""tracker_id"":40,""status_id"":"&amp;redmine_status&amp;",""priority_id"":"&amp;redmine_priority&amp;",""assigned_to_id"":"&amp;redmine_assignee&amp;",""start_date"":"""&amp;TEXT(I110,"YYYY-mm-dd")&amp;""",""description"":"""&amp;AJ110&amp;""",""custom_fields"":[{""id"":1,""name"":""Subdivision"",""value"":"""&amp;AG110&amp;"""},{""id"":4,""name"":""Milepost"",""value"":"""&amp;Z110&amp;"""},{""id"":17,""name"":""Train ID"",""value"":"""&amp;A110&amp;"""},{""id"":16,""name"":""Locomotive ID"",""value"":"""&amp;B110&amp;"""},{""id"":130,""name"":""Impact"",""value"":"""&amp;AK110&amp;"""},{""id"":150,""name"":""Time of Event (Mountain Time)"",""value"":"""&amp;TEXT(I110,"hh:mm:ss")&amp;"""},{""id"":151,""name"":""Denver Issue ID"",""value"":"""&amp;"""},{""id"":178,""name"":""Operational Impact"",""value"":"""&amp;redmine_op_impact&amp;"""},{""id"":179,""name"":""Denver Segment Assigned"",""value"":"""&amp;AL110&amp;"""}]}}"&amp;"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{"issue":{"subject":"","project_id":79,"tracker_id":40,"status_id":1,"priority_id":2,"assigned_to_id":23,"start_date":"2017-04-03","description":"","custom_fields":[{"id":1,"name":"Subdivision","value":"EC"},{"id":4,"name":"Milepost","value":"0.0152"},{"id":17,"name":"Train ID","value":"198-03"},{"id":16,"name":"Locomotive ID","value":"4003"},{"id":130,"name":"Impact","value":""},{"id":150,"name":"Time of Event (Mountain Time)","value":"17:23:37"},{"id":151,"name":"Denver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>"start /low /b "&amp;dls3logs&amp;" --loco "&amp;B110&amp;" --day "&amp;TEXT(F110,"YYYY-MM-DD")</f>
        <v>start /low /b %USERPROFILE%\Documents\GitHub\eaglep3\Utilities\DownloadLogsFromS3.py --loco 4003 --day 2017-04-03</v>
      </c>
      <c r="AN110" s="159" t="str">
        <f>"echo {""issue"":{""subject"":"""&amp;R110&amp;""",""project_id"":30,""tracker_id"":4,""status_id"":"&amp;redmine_status_wcr&amp;",""priority_id"":"&amp;redmine_priority_wcr&amp;",""assigned_to_id"":"&amp;redmine_assignee_wcr&amp;",""start_date"":"""&amp;TEXT(I110-utc_offset/24,"YYYY-mm-dd")&amp;""",""description"":"""&amp;AJ110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741</v>
      </c>
      <c r="B111" s="7">
        <v>4030</v>
      </c>
      <c r="C111" s="21" t="s">
        <v>217</v>
      </c>
      <c r="D111" s="21" t="s">
        <v>882</v>
      </c>
      <c r="E111" s="13">
        <v>42828.663449074076</v>
      </c>
      <c r="F111" s="13">
        <v>42828.666828703703</v>
      </c>
      <c r="G111" s="7">
        <v>1</v>
      </c>
      <c r="H111" s="21" t="s">
        <v>443</v>
      </c>
      <c r="I111" s="13">
        <v>42828.693541666667</v>
      </c>
      <c r="J111" s="7">
        <v>0</v>
      </c>
      <c r="K111" s="97" t="str">
        <f>IF(ISEVEN(B111),(B111-1)&amp;"/"&amp;B111,B111&amp;"/"&amp;(B111+1))</f>
        <v>4029/4030</v>
      </c>
      <c r="L111" s="21" t="str">
        <f>VLOOKUP(A111,'Trips&amp;Operators'!$C$1:$G$99999,5,FALSE)</f>
        <v>BRANDNER MELINDA</v>
      </c>
      <c r="M111" s="6">
        <f>I111-F111</f>
        <v>2.6712962964666076E-2</v>
      </c>
      <c r="N111" s="7">
        <f>24*60*SUM($M111:$M111)</f>
        <v>38.466666669119149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-04-03T14:55:22-0600',mode:absolute,to:'2017-04-03T17:38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1" s="183" t="str">
        <f>IF(AA111&lt;IF(AG111="EC",23,5.65),"Y","N")</f>
        <v>N</v>
      </c>
      <c r="X111" s="183">
        <f>VALUE(LEFT(AD111,4))-VALUE(LEFT(AD110,4))</f>
        <v>1</v>
      </c>
      <c r="Y111" s="62">
        <f>RIGHT(D111,LEN(D111)-4)/10000</f>
        <v>7.0599999999999996E-2</v>
      </c>
      <c r="Z111" s="62">
        <f>RIGHT(H111,LEN(H111)-4)/10000</f>
        <v>23.329499999999999</v>
      </c>
      <c r="AA111" s="62">
        <f>ABS(Z111-Y111)</f>
        <v>23.258900000000001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>IF(LEN(A111)=6,"0"&amp;A111,A111)</f>
        <v>0199-03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11" s="82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/stypes="app*4030*20170403*" /stext=" 22:.+((SYSTEM_STATE.+slice.+state.+changed )|(ment ac)|(multiple cpu faults)|(system.+state.+changed )|(\[timeout)|(PRM\|1\|D)|(kpr)|(kdp)|(\|lc)|(penalty))"</v>
      </c>
      <c r="AG111" s="1" t="str">
        <f>IFERROR(IF(VALUE(LEFT(AD111,2))&lt;=2,"EC",IF(OR(VALUE(LEFT(AD111,2))=8,VALUE(LEFT(AD111,2))=18),"NW","Other")),"Other")</f>
        <v>EC</v>
      </c>
      <c r="AH111" s="86" t="str">
        <f>refinertdcruntimes&amp;" --tripid "&amp;A111&amp;" --locoid "&amp;B111&amp;" --swversion "&amp;C111&amp;" --startMP "&amp;D111&amp;" --initTime "&amp;TEXT(E111,"yyyy-mm-ddTHH:MM:SS")&amp;" --startdatetime "&amp;TEXT(F111,"yyyy-mm-ddTHH:MM:SS")&amp;" --delay "&amp;G111&amp;" --endMP "&amp;H111&amp;" --enddatetime "&amp;TEXT(I111,"yyyy-mm-ddTHH:MM:SS")&amp;" --enforcementcount "&amp;J111&amp;IF(outputrefinedruntimes," &gt;&gt;"&amp;RefinedRTDCRunTimesOutputFile,"")</f>
        <v>"%USERPROFILE%\Documents\GitHub\eaglep3\Utilities\RefineRTDCRunTimes.py" --tripid 199-03 --locoid 4030 --swversion DE.1.0.9.0 --startMP 204:706 --initTime 2017-04-03T15:55:22 --startdatetime 2017-04-03T16:00:14 --delay 1 --endMP 204:233295 --enddatetime 2017-04-03T16:38:42 --enforcementcount 0 &gt;&gt;C:\Users\stu\Documents\GitHub\eaglep3-reporting\EC\2017-04-03-refined-times.txt</v>
      </c>
      <c r="AI111" s="104" t="str">
        <f>"echo {""issue"":{""subject"":"""&amp;R111&amp;""",""project_id"":79,""tracker_id"":40,""status_id"":"&amp;redmine_status&amp;",""priority_id"":"&amp;redmine_priority&amp;",""assigned_to_id"":"&amp;redmine_assignee&amp;",""start_date"":"""&amp;TEXT(I111,"YYYY-mm-dd")&amp;""",""description"":"""&amp;AJ111&amp;""",""custom_fields"":[{""id"":1,""name"":""Subdivision"",""value"":"""&amp;AG111&amp;"""},{""id"":4,""name"":""Milepost"",""value"":"""&amp;Z111&amp;"""},{""id"":17,""name"":""Train ID"",""value"":"""&amp;A111&amp;"""},{""id"":16,""name"":""Locomotive ID"",""value"":"""&amp;B111&amp;"""},{""id"":130,""name"":""Impact"",""value"":"""&amp;AK111&amp;"""},{""id"":150,""name"":""Time of Event (Mountain Time)"",""value"":"""&amp;TEXT(I111,"hh:mm:ss")&amp;"""},{""id"":151,""name"":""Denver Issue ID"",""value"":"""&amp;"""},{""id"":178,""name"":""Operational Impact"",""value"":"""&amp;redmine_op_impact&amp;"""},{""id"":179,""name"":""Denver Segment Assigned"",""value"":"""&amp;AL111&amp;"""}]}}"&amp;"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ID","value":"199-03"},{"id":16,"name":"Locomotive ID","value":"4030"},{"id":130,"name":"Impact","value":""},{"id":150,"name":"Time of Event (Mountain Time)","value":"16:38:42"},{"id":151,"name":"Denver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>"start /low /b "&amp;dls3logs&amp;" --loco "&amp;B111&amp;" --day "&amp;TEXT(F111,"YYYY-MM-DD")</f>
        <v>start /low /b %USERPROFILE%\Documents\GitHub\eaglep3\Utilities\DownloadLogsFromS3.py --loco 4030 --day 2017-04-03</v>
      </c>
      <c r="AN111" s="159" t="str">
        <f>"echo {""issue"":{""subject"":"""&amp;R111&amp;""",""project_id"":30,""tracker_id"":4,""status_id"":"&amp;redmine_status_wcr&amp;",""priority_id"":"&amp;redmine_priority_wcr&amp;",""assigned_to_id"":"&amp;redmine_assignee_wcr&amp;",""start_date"":"""&amp;TEXT(I111-utc_offset/24,"YYYY-mm-dd")&amp;""",""description"":"""&amp;AJ111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22:38:42"},{"id":29,"name":"Sharepoint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752</v>
      </c>
      <c r="B112" s="7">
        <v>4029</v>
      </c>
      <c r="C112" s="21" t="s">
        <v>217</v>
      </c>
      <c r="D112" s="21" t="s">
        <v>473</v>
      </c>
      <c r="E112" s="13">
        <v>42828.701145833336</v>
      </c>
      <c r="F112" s="13">
        <v>42828.707094907404</v>
      </c>
      <c r="G112" s="7">
        <v>1</v>
      </c>
      <c r="H112" s="21" t="s">
        <v>445</v>
      </c>
      <c r="I112" s="13">
        <v>42828.735983796294</v>
      </c>
      <c r="J112" s="7">
        <v>0</v>
      </c>
      <c r="K112" s="97" t="str">
        <f>IF(ISEVEN(B112),(B112-1)&amp;"/"&amp;B112,B112&amp;"/"&amp;(B112+1))</f>
        <v>4029/4030</v>
      </c>
      <c r="L112" s="21" t="str">
        <f>VLOOKUP(A112,'Trips&amp;Operators'!$C$1:$G$99999,5,FALSE)</f>
        <v>BRANDNER MELINDA</v>
      </c>
      <c r="M112" s="6">
        <f>I112-F112</f>
        <v>2.8888888889923692E-2</v>
      </c>
      <c r="N112" s="7">
        <f>24*60*SUM($M112:$M112)</f>
        <v>41.600000001490116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-04-03T15:49:39-0600',mode:absolute,to:'2017-04-03T18:39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2" s="183" t="str">
        <f>IF(AA112&lt;IF(AG112="EC",23,5.65),"Y","N")</f>
        <v>N</v>
      </c>
      <c r="X112" s="183">
        <f>VALUE(LEFT(AD112,4))-VALUE(LEFT(AD111,4))</f>
        <v>1</v>
      </c>
      <c r="Y112" s="62">
        <f>RIGHT(D112,LEN(D112)-4)/10000</f>
        <v>23.297899999999998</v>
      </c>
      <c r="Z112" s="62">
        <f>RIGHT(H112,LEN(H112)-4)/10000</f>
        <v>1.3899999999999999E-2</v>
      </c>
      <c r="AA112" s="62">
        <f>ABS(Z112-Y112)</f>
        <v>23.283999999999999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>IF(LEN(A112)=6,"0"&amp;A112,A112)</f>
        <v>0200-03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12" s="82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/stypes="app*4029*20170403*" /stext=" 23:.+((SYSTEM_STATE.+slice.+state.+changed )|(ment ac)|(multiple cpu faults)|(system.+state.+changed )|(\[timeout)|(PRM\|1\|D)|(kpr)|(kdp)|(\|lc)|(penalty))"</v>
      </c>
      <c r="AG112" s="1" t="str">
        <f>IFERROR(IF(VALUE(LEFT(AD112,2))&lt;=2,"EC",IF(OR(VALUE(LEFT(AD112,2))=8,VALUE(LEFT(AD112,2))=18),"NW","Other")),"Other")</f>
        <v>EC</v>
      </c>
      <c r="AH112" s="86" t="str">
        <f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200-03 --locoid 4029 --swversion DE.1.0.9.0 --startMP 204:232979 --initTime 2017-04-03T16:49:39 --startdatetime 2017-04-03T16:58:13 --delay 1 --endMP 204:139 --enddatetime 2017-04-03T17:39:49 --enforcementcount 0 &gt;&gt;C:\Users\stu\Documents\GitHub\eaglep3-reporting\EC\2017-04-03-refined-times.txt</v>
      </c>
      <c r="AI112" s="104" t="str">
        <f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{"issue":{"subject":"","project_id":79,"tracker_id":40,"status_id":1,"priority_id":2,"assigned_to_id":23,"start_date":"2017-04-03","description":"","custom_fields":[{"id":1,"name":"Subdivision","value":"EC"},{"id":4,"name":"Milepost","value":"0.0139"},{"id":17,"name":"Train ID","value":"200-03"},{"id":16,"name":"Locomotive ID","value":"4029"},{"id":130,"name":"Impact","value":""},{"id":150,"name":"Time of Event (Mountain Time)","value":"17:39:49"},{"id":151,"name":"Denver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>"start /low /b "&amp;dls3logs&amp;" --loco "&amp;B112&amp;" --day "&amp;TEXT(F112,"YYYY-MM-DD")</f>
        <v>start /low /b %USERPROFILE%\Documents\GitHub\eaglep3\Utilities\DownloadLogsFromS3.py --loco 4029 --day 2017-04-03</v>
      </c>
      <c r="AN112" s="159" t="str">
        <f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x14ac:dyDescent="0.25">
      <c r="A113" s="33" t="s">
        <v>744</v>
      </c>
      <c r="B113" s="7">
        <v>4044</v>
      </c>
      <c r="C113" s="21" t="s">
        <v>217</v>
      </c>
      <c r="D113" s="21" t="s">
        <v>515</v>
      </c>
      <c r="E113" s="13">
        <v>42828.67392361111</v>
      </c>
      <c r="F113" s="13">
        <v>42828.677673611113</v>
      </c>
      <c r="G113" s="7">
        <v>1</v>
      </c>
      <c r="H113" s="21" t="s">
        <v>443</v>
      </c>
      <c r="I113" s="13">
        <v>42828.703125</v>
      </c>
      <c r="J113" s="7">
        <v>0</v>
      </c>
      <c r="K113" s="97" t="str">
        <f>IF(ISEVEN(B113),(B113-1)&amp;"/"&amp;B113,B113&amp;"/"&amp;(B113+1))</f>
        <v>4043/4044</v>
      </c>
      <c r="L113" s="21" t="str">
        <f>VLOOKUP(A113,'Trips&amp;Operators'!$C$1:$G$99999,5,FALSE)</f>
        <v>STEWART MICHAEL</v>
      </c>
      <c r="M113" s="6">
        <f>I113-F113</f>
        <v>2.545138888672227E-2</v>
      </c>
      <c r="N113" s="7">
        <f>24*60*SUM($M113:$M113)</f>
        <v>36.649999996880069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-04-03T15:10:27-0600',mode:absolute,to:'2017-04-03T17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3" s="183" t="str">
        <f>IF(AA113&lt;IF(AG113="EC",23,5.65),"Y","N")</f>
        <v>N</v>
      </c>
      <c r="X113" s="183">
        <f>VALUE(LEFT(AD113,4))-VALUE(LEFT(AD112,4))</f>
        <v>1</v>
      </c>
      <c r="Y113" s="62">
        <f>RIGHT(D113,LEN(D113)-4)/10000</f>
        <v>4.82E-2</v>
      </c>
      <c r="Z113" s="62">
        <f>RIGHT(H113,LEN(H113)-4)/10000</f>
        <v>23.329499999999999</v>
      </c>
      <c r="AA113" s="62">
        <f>ABS(Z113-Y113)</f>
        <v>23.281299999999998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>IF(LEN(A113)=6,"0"&amp;A113,A113)</f>
        <v>0201-03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113" s="82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/stypes="app*4044*20170403*" /stext=" 22:.+((SYSTEM_STATE.+slice.+state.+changed )|(ment ac)|(multiple cpu faults)|(system.+state.+changed )|(\[timeout)|(PRM\|1\|D)|(kpr)|(kdp)|(\|lc)|(penalty))"</v>
      </c>
      <c r="AG113" s="1" t="str">
        <f>IFERROR(IF(VALUE(LEFT(AD113,2))&lt;=2,"EC",IF(OR(VALUE(LEFT(AD113,2))=8,VALUE(LEFT(AD113,2))=18),"NW","Other")),"Other")</f>
        <v>EC</v>
      </c>
      <c r="AH113" s="86" t="str">
        <f>refinertdcruntimes&amp;" --tripid "&amp;A113&amp;" --locoid "&amp;B113&amp;" --swversion "&amp;C113&amp;" --startMP "&amp;D113&amp;" --initTime "&amp;TEXT(E113,"yyyy-mm-ddTHH:MM:SS")&amp;" --startdatetime "&amp;TEXT(F113,"yyyy-mm-ddTHH:MM:SS")&amp;" --delay "&amp;G113&amp;" --endMP "&amp;H113&amp;" --enddatetime "&amp;TEXT(I113,"yyyy-mm-ddTHH:MM:SS")&amp;" --enforcementcount "&amp;J113&amp;IF(outputrefinedruntimes," &gt;&gt;"&amp;RefinedRTDCRunTimesOutputFile,"")</f>
        <v>"%USERPROFILE%\Documents\GitHub\eaglep3\Utilities\RefineRTDCRunTimes.py" --tripid 201-03 --locoid 4044 --swversion DE.1.0.9.0 --startMP 204:482 --initTime 2017-04-03T16:10:27 --startdatetime 2017-04-03T16:15:51 --delay 1 --endMP 204:233295 --enddatetime 2017-04-03T16:52:30 --enforcementcount 0 &gt;&gt;C:\Users\stu\Documents\GitHub\eaglep3-reporting\EC\2017-04-03-refined-times.txt</v>
      </c>
      <c r="AI113" s="104" t="str">
        <f>"echo {""issue"":{""subject"":"""&amp;R113&amp;""",""project_id"":79,""tracker_id"":40,""status_id"":"&amp;redmine_status&amp;",""priority_id"":"&amp;redmine_priority&amp;",""assigned_to_id"":"&amp;redmine_assignee&amp;",""start_date"":"""&amp;TEXT(I113,"YYYY-mm-dd")&amp;""",""description"":"""&amp;AJ113&amp;""",""custom_fields"":[{""id"":1,""name"":""Subdivision"",""value"":"""&amp;AG113&amp;"""},{""id"":4,""name"":""Milepost"",""value"":"""&amp;Z113&amp;"""},{""id"":17,""name"":""Train ID"",""value"":"""&amp;A113&amp;"""},{""id"":16,""name"":""Locomotive ID"",""value"":"""&amp;B113&amp;"""},{""id"":130,""name"":""Impact"",""value"":"""&amp;AK113&amp;"""},{""id"":150,""name"":""Time of Event (Mountain Time)"",""value"":"""&amp;TEXT(I113,"hh:mm:ss")&amp;"""},{""id"":151,""name"":""Denver Issue ID"",""value"":"""&amp;"""},{""id"":178,""name"":""Operational Impact"",""value"":"""&amp;redmine_op_impact&amp;"""},{""id"":179,""name"":""Denver Segment Assigned"",""value"":"""&amp;AL113&amp;"""}]}}"&amp;"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{"issue":{"subject":"","project_id":79,"tracker_id":40,"status_id":1,"priority_id":2,"assigned_to_id":23,"start_date":"2017-04-03","description":"","custom_fields":[{"id":1,"name":"Subdivision","value":"EC"},{"id":4,"name":"Milepost","value":"23.3295"},{"id":17,"name":"Train ID","value":"201-03"},{"id":16,"name":"Locomotive ID","value":"4044"},{"id":130,"name":"Impact","value":""},{"id":150,"name":"Time of Event (Mountain Time)","value":"16:52:30"},{"id":151,"name":"Denver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20"/>
      <c r="AK113" s="48"/>
      <c r="AL113" s="48"/>
      <c r="AM113" s="150" t="str">
        <f>"start /low /b "&amp;dls3logs&amp;" --loco "&amp;B113&amp;" --day "&amp;TEXT(F113,"YYYY-MM-DD")</f>
        <v>start /low /b %USERPROFILE%\Documents\GitHub\eaglep3\Utilities\DownloadLogsFromS3.py --loco 4044 --day 2017-04-03</v>
      </c>
      <c r="AN113" s="159" t="str">
        <f>"echo {""issue"":{""subject"":"""&amp;R113&amp;""",""project_id"":30,""tracker_id"":4,""status_id"":"&amp;redmine_status_wcr&amp;",""priority_id"":"&amp;redmine_priority_wcr&amp;",""assigned_to_id"":"&amp;redmine_assignee_wcr&amp;",""start_date"":"""&amp;TEXT(I113-utc_offset/24,"YYYY-mm-dd")&amp;""",""description"":"""&amp;AJ113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4" spans="1:91" s="20" customFormat="1" x14ac:dyDescent="0.25">
      <c r="A114" s="33" t="s">
        <v>754</v>
      </c>
      <c r="B114" s="7">
        <v>4043</v>
      </c>
      <c r="C114" s="21" t="s">
        <v>217</v>
      </c>
      <c r="D114" s="21" t="s">
        <v>883</v>
      </c>
      <c r="E114" s="13">
        <v>42828.714143518519</v>
      </c>
      <c r="F114" s="13">
        <v>42828.716192129628</v>
      </c>
      <c r="G114" s="7">
        <v>1</v>
      </c>
      <c r="H114" s="21" t="s">
        <v>867</v>
      </c>
      <c r="I114" s="13">
        <v>42828.744513888887</v>
      </c>
      <c r="J114" s="7">
        <v>0</v>
      </c>
      <c r="K114" s="97" t="str">
        <f>IF(ISEVEN(B114),(B114-1)&amp;"/"&amp;B114,B114&amp;"/"&amp;(B114+1))</f>
        <v>4043/4044</v>
      </c>
      <c r="L114" s="21" t="str">
        <f>VLOOKUP(A114,'Trips&amp;Operators'!$C$1:$G$99999,5,FALSE)</f>
        <v>STEWART MICHAEL</v>
      </c>
      <c r="M114" s="6">
        <f>I114-F114</f>
        <v>2.8321759258687962E-2</v>
      </c>
      <c r="N114" s="7">
        <f>24*60*SUM($M114:$M114)</f>
        <v>40.783333332510665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-04-03T16:08:22-0600',mode:absolute,to:'2017-04-03T18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4" s="183" t="str">
        <f>IF(AA114&lt;IF(AG114="EC",23,5.65),"Y","N")</f>
        <v>N</v>
      </c>
      <c r="X114" s="183">
        <f>VALUE(LEFT(AD114,4))-VALUE(LEFT(AD113,4))</f>
        <v>1</v>
      </c>
      <c r="Y114" s="62">
        <f>RIGHT(D114,LEN(D114)-4)/10000</f>
        <v>23.296900000000001</v>
      </c>
      <c r="Z114" s="62">
        <f>RIGHT(H114,LEN(H114)-4)/10000</f>
        <v>1.6899999999999998E-2</v>
      </c>
      <c r="AA114" s="62">
        <f>ABS(Z114-Y114)</f>
        <v>23.28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>IF(LEN(A114)=6,"0"&amp;A114,A114)</f>
        <v>0202-03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14" s="82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/stypes="app*4043*20170403*" /stext=" 23:.+((SYSTEM_STATE.+slice.+state.+changed )|(ment ac)|(multiple cpu faults)|(system.+state.+changed )|(\[timeout)|(PRM\|1\|D)|(kpr)|(kdp)|(\|lc)|(penalty))"</v>
      </c>
      <c r="AG114" s="1" t="str">
        <f>IFERROR(IF(VALUE(LEFT(AD114,2))&lt;=2,"EC",IF(OR(VALUE(LEFT(AD114,2))=8,VALUE(LEFT(AD114,2))=18),"NW","Other")),"Other")</f>
        <v>EC</v>
      </c>
      <c r="AH114" s="86" t="str">
        <f>refinertdcruntimes&amp;" --tripid "&amp;A114&amp;" --locoid "&amp;B114&amp;" --swversion "&amp;C114&amp;" --startMP "&amp;D114&amp;" --initTime "&amp;TEXT(E114,"yyyy-mm-ddTHH:MM:SS")&amp;" --startdatetime "&amp;TEXT(F114,"yyyy-mm-ddTHH:MM:SS")&amp;" --delay "&amp;G114&amp;" --endMP "&amp;H114&amp;" --enddatetime "&amp;TEXT(I114,"yyyy-mm-ddTHH:MM:SS")&amp;" --enforcementcount "&amp;J114&amp;IF(outputrefinedruntimes," &gt;&gt;"&amp;RefinedRTDCRunTimesOutputFile,"")</f>
        <v>"%USERPROFILE%\Documents\GitHub\eaglep3\Utilities\RefineRTDCRunTimes.py" --tripid 202-03 --locoid 4043 --swversion DE.1.0.9.0 --startMP 204:232969 --initTime 2017-04-03T17:08:22 --startdatetime 2017-04-03T17:11:19 --delay 1 --endMP 204:169 --enddatetime 2017-04-03T17:52:06 --enforcementcount 0 &gt;&gt;C:\Users\stu\Documents\GitHub\eaglep3-reporting\EC\2017-04-03-refined-times.txt</v>
      </c>
      <c r="AI114" s="104" t="str">
        <f>"echo {""issue"":{""subject"":"""&amp;R114&amp;""",""project_id"":79,""tracker_id"":40,""status_id"":"&amp;redmine_status&amp;",""priority_id"":"&amp;redmine_priority&amp;",""assigned_to_id"":"&amp;redmine_assignee&amp;",""start_date"":"""&amp;TEXT(I114,"YYYY-mm-dd")&amp;""",""description"":"""&amp;AJ114&amp;""",""custom_fields"":[{""id"":1,""name"":""Subdivision"",""value"":"""&amp;AG114&amp;"""},{""id"":4,""name"":""Milepost"",""value"":"""&amp;Z114&amp;"""},{""id"":17,""name"":""Train ID"",""value"":"""&amp;A114&amp;"""},{""id"":16,""name"":""Locomotive ID"",""value"":"""&amp;B114&amp;"""},{""id"":130,""name"":""Impact"",""value"":"""&amp;AK114&amp;"""},{""id"":150,""name"":""Time of Event (Mountain Time)"",""value"":"""&amp;TEXT(I114,"hh:mm:ss")&amp;"""},{""id"":151,""name"":""Denver Issue ID"",""value"":"""&amp;"""},{""id"":178,""name"":""Operational Impact"",""value"":"""&amp;redmine_op_impact&amp;"""},{""id"":179,""name"":""Denver Segment Assigned"",""value"":"""&amp;AL114&amp;"""}]}}"&amp;"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ID","value":"202-03"},{"id":16,"name":"Locomotive ID","value":"4043"},{"id":130,"name":"Impact","value":""},{"id":150,"name":"Time of Event (Mountain Time)","value":"17:52:06"},{"id":151,"name":"Denver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>"start /low /b "&amp;dls3logs&amp;" --loco "&amp;B114&amp;" --day "&amp;TEXT(F114,"YYYY-MM-DD")</f>
        <v>start /low /b %USERPROFILE%\Documents\GitHub\eaglep3\Utilities\DownloadLogsFromS3.py --loco 4043 --day 2017-04-03</v>
      </c>
      <c r="AN114" s="159" t="str">
        <f>"echo {""issue"":{""subject"":"""&amp;R114&amp;""",""project_id"":30,""tracker_id"":4,""status_id"":"&amp;redmine_status_wcr&amp;",""priority_id"":"&amp;redmine_priority_wcr&amp;",""assigned_to_id"":"&amp;redmine_assignee_wcr&amp;",""start_date"":"""&amp;TEXT(I114-utc_offset/24,"YYYY-mm-dd")&amp;""",""description"":"""&amp;AJ114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748</v>
      </c>
      <c r="B115" s="7">
        <v>4028</v>
      </c>
      <c r="C115" s="21" t="s">
        <v>217</v>
      </c>
      <c r="D115" s="21" t="s">
        <v>206</v>
      </c>
      <c r="E115" s="13">
        <v>42828.687569444446</v>
      </c>
      <c r="F115" s="13">
        <v>42828.68922453704</v>
      </c>
      <c r="G115" s="7">
        <v>1</v>
      </c>
      <c r="H115" s="21" t="s">
        <v>462</v>
      </c>
      <c r="I115" s="13">
        <v>42828.715891203705</v>
      </c>
      <c r="J115" s="7">
        <v>0</v>
      </c>
      <c r="K115" s="97" t="str">
        <f>IF(ISEVEN(B115),(B115-1)&amp;"/"&amp;B115,B115&amp;"/"&amp;(B115+1))</f>
        <v>4027/4028</v>
      </c>
      <c r="L115" s="21" t="str">
        <f>VLOOKUP(A115,'Trips&amp;Operators'!$C$1:$G$99999,5,FALSE)</f>
        <v>DAVIS MICHAEL</v>
      </c>
      <c r="M115" s="6">
        <f>I115-F115</f>
        <v>2.6666666664823424E-2</v>
      </c>
      <c r="N115" s="7">
        <f>24*60*SUM($M115:$M115)</f>
        <v>38.399999997345731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-04-03T15:30:06-0600',mode:absolute,to:'2017-04-03T18:10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5" s="183" t="str">
        <f>IF(AA115&lt;IF(AG115="EC",23,5.65),"Y","N")</f>
        <v>N</v>
      </c>
      <c r="X115" s="183">
        <f>VALUE(LEFT(AD115,4))-VALUE(LEFT(AD114,4))</f>
        <v>1</v>
      </c>
      <c r="Y115" s="62">
        <f>RIGHT(D115,LEN(D115)-4)/10000</f>
        <v>4.5100000000000001E-2</v>
      </c>
      <c r="Z115" s="62">
        <f>RIGHT(H115,LEN(H115)-4)/10000</f>
        <v>23.330400000000001</v>
      </c>
      <c r="AA115" s="62">
        <f>ABS(Z115-Y115)</f>
        <v>23.285299999999999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>IF(LEN(A115)=6,"0"&amp;A115,A115)</f>
        <v>0203-03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15" s="82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/stypes="app*4028*20170403*" /stext=" 23:.+((SYSTEM_STATE.+slice.+state.+changed )|(ment ac)|(multiple cpu faults)|(system.+state.+changed )|(\[timeout)|(PRM\|1\|D)|(kpr)|(kdp)|(\|lc)|(penalty))"</v>
      </c>
      <c r="AG115" s="1" t="str">
        <f>IFERROR(IF(VALUE(LEFT(AD115,2))&lt;=2,"EC",IF(OR(VALUE(LEFT(AD115,2))=8,VALUE(LEFT(AD115,2))=18),"NW","Other")),"Other")</f>
        <v>EC</v>
      </c>
      <c r="AH115" s="86" t="str">
        <f>refinertdcruntimes&amp;" --tripid "&amp;A115&amp;" --locoid "&amp;B115&amp;" --swversion "&amp;C115&amp;" --startMP "&amp;D115&amp;" --initTime "&amp;TEXT(E115,"yyyy-mm-ddTHH:MM:SS")&amp;" --startdatetime "&amp;TEXT(F115,"yyyy-mm-ddTHH:MM:SS")&amp;" --delay "&amp;G115&amp;" --endMP "&amp;H115&amp;" --enddatetime "&amp;TEXT(I115,"yyyy-mm-ddTHH:MM:SS")&amp;" --enforcementcount "&amp;J115&amp;IF(outputrefinedruntimes," &gt;&gt;"&amp;RefinedRTDCRunTimesOutputFile,"")</f>
        <v>"%USERPROFILE%\Documents\GitHub\eaglep3\Utilities\RefineRTDCRunTimes.py" --tripid 203-03 --locoid 4028 --swversion DE.1.0.9.0 --startMP 204:451 --initTime 2017-04-03T16:30:06 --startdatetime 2017-04-03T16:32:29 --delay 1 --endMP 204:233304 --enddatetime 2017-04-03T17:10:53 --enforcementcount 0 &gt;&gt;C:\Users\stu\Documents\GitHub\eaglep3-reporting\EC\2017-04-03-refined-times.txt</v>
      </c>
      <c r="AI115" s="104" t="str">
        <f>"echo {""issue"":{""subject"":"""&amp;R115&amp;""",""project_id"":79,""tracker_id"":40,""status_id"":"&amp;redmine_status&amp;",""priority_id"":"&amp;redmine_priority&amp;",""assigned_to_id"":"&amp;redmine_assignee&amp;",""start_date"":"""&amp;TEXT(I115,"YYYY-mm-dd")&amp;""",""description"":"""&amp;AJ115&amp;""",""custom_fields"":[{""id"":1,""name"":""Subdivision"",""value"":"""&amp;AG115&amp;"""},{""id"":4,""name"":""Milepost"",""value"":"""&amp;Z115&amp;"""},{""id"":17,""name"":""Train ID"",""value"":"""&amp;A115&amp;"""},{""id"":16,""name"":""Locomotive ID"",""value"":"""&amp;B115&amp;"""},{""id"":130,""name"":""Impact"",""value"":"""&amp;AK115&amp;"""},{""id"":150,""name"":""Time of Event (Mountain Time)"",""value"":"""&amp;TEXT(I115,"hh:mm:ss")&amp;"""},{""id"":151,""name"":""Denver Issue ID"",""value"":"""&amp;"""},{""id"":178,""name"":""Operational Impact"",""value"":"""&amp;redmine_op_impact&amp;"""},{""id"":179,""name"":""Denver Segment Assigned"",""value"":"""&amp;AL115&amp;"""}]}}"&amp;"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ID","value":"203-03"},{"id":16,"name":"Locomotive ID","value":"4028"},{"id":130,"name":"Impact","value":""},{"id":150,"name":"Time of Event (Mountain Time)","value":"17:10:53"},{"id":151,"name":"Denver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>"start /low /b "&amp;dls3logs&amp;" --loco "&amp;B115&amp;" --day "&amp;TEXT(F115,"YYYY-MM-DD")</f>
        <v>start /low /b %USERPROFILE%\Documents\GitHub\eaglep3\Utilities\DownloadLogsFromS3.py --loco 4028 --day 2017-04-03</v>
      </c>
      <c r="AN115" s="159" t="str">
        <f>"echo {""issue"":{""subject"":"""&amp;R115&amp;""",""project_id"":30,""tracker_id"":4,""status_id"":"&amp;redmine_status_wcr&amp;",""priority_id"":"&amp;redmine_priority_wcr&amp;",""assigned_to_id"":"&amp;redmine_assignee_wcr&amp;",""start_date"":"""&amp;TEXT(I115-utc_offset/24,"YYYY-mm-dd")&amp;""",""description"":"""&amp;AJ115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23:10:53"},{"id":29,"name":"Sharepoint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616</v>
      </c>
      <c r="B116" s="7">
        <v>4027</v>
      </c>
      <c r="C116" s="21" t="s">
        <v>217</v>
      </c>
      <c r="D116" s="21" t="s">
        <v>433</v>
      </c>
      <c r="E116" s="13">
        <v>42828.726539351854</v>
      </c>
      <c r="F116" s="13">
        <v>42828.724918981483</v>
      </c>
      <c r="G116" s="7">
        <v>1</v>
      </c>
      <c r="H116" s="21" t="s">
        <v>884</v>
      </c>
      <c r="I116" s="13">
        <v>42828.75571759259</v>
      </c>
      <c r="J116" s="7">
        <v>0</v>
      </c>
      <c r="K116" s="97" t="str">
        <f>IF(ISEVEN(B116),(B116-1)&amp;"/"&amp;B116,B116&amp;"/"&amp;(B116+1))</f>
        <v>4027/4028</v>
      </c>
      <c r="L116" s="21" t="str">
        <f>VLOOKUP(A116,'Trips&amp;Operators'!$C$1:$G$99999,5,FALSE)</f>
        <v>DAVIS MICHAEL</v>
      </c>
      <c r="M116" s="6">
        <f>I116-F116</f>
        <v>3.0798611107456964E-2</v>
      </c>
      <c r="N116" s="7">
        <f>24*60*SUM($M116:$M116)</f>
        <v>44.349999994738027</v>
      </c>
      <c r="O116" s="7"/>
      <c r="P116" s="7"/>
      <c r="Q116" s="22"/>
      <c r="R116" s="22" t="s">
        <v>1037</v>
      </c>
      <c r="S116" s="31">
        <f>SUM(U116:U116)/IF(AG116="EC",12,1)</f>
        <v>1</v>
      </c>
      <c r="T116" s="46" t="str">
        <f>IF(ISEVEN(LEFT(AD116,4)),"Southbound","NorthBound")</f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6" s="183" t="str">
        <f>IF(AA116&lt;IF(AG116="EC",23,5.65),"Y","N")</f>
        <v>N</v>
      </c>
      <c r="X116" s="183">
        <f>VALUE(LEFT(AD116,4))-VALUE(LEFT(AD115,4))</f>
        <v>1</v>
      </c>
      <c r="Y116" s="62">
        <f>RIGHT(D116,LEN(D116)-4)/10000</f>
        <v>23.297699999999999</v>
      </c>
      <c r="Z116" s="62">
        <f>RIGHT(H116,LEN(H116)-4)/10000</f>
        <v>5.1999999999999998E-2</v>
      </c>
      <c r="AA116" s="62">
        <f>ABS(Z116-Y116)</f>
        <v>23.245699999999999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>IF(LEN(A116)=6,"0"&amp;A116,A116)</f>
        <v>0204-03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16" s="82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/stypes="app*4027*20170404*" /stext=" 00:.+((SYSTEM_STATE.+slice.+state.+changed )|(ment ac)|(multiple cpu faults)|(system.+state.+changed )|(\[timeout)|(PRM\|1\|D)|(kpr)|(kdp)|(\|lc)|(penalty))"</v>
      </c>
      <c r="AG116" s="1" t="str">
        <f>IFERROR(IF(VALUE(LEFT(AD116,2))&lt;=2,"EC",IF(OR(VALUE(LEFT(AD116,2))=8,VALUE(LEFT(AD116,2))=18),"NW","Other")),"Other")</f>
        <v>EC</v>
      </c>
      <c r="AH116" s="86" t="str">
        <f>refinertdcruntimes&amp;" --tripid "&amp;A116&amp;" --locoid "&amp;B116&amp;" --swversion "&amp;C116&amp;" --startMP "&amp;D116&amp;" --initTime "&amp;TEXT(E116,"yyyy-mm-ddTHH:MM:SS")&amp;" --startdatetime "&amp;TEXT(F116,"yyyy-mm-ddTHH:MM:SS")&amp;" --delay "&amp;G116&amp;" --endMP "&amp;H116&amp;" --enddatetime "&amp;TEXT(I116,"yyyy-mm-ddTHH:MM:SS")&amp;" --enforcementcount "&amp;J116&amp;IF(outputrefinedruntimes," &gt;&gt;"&amp;RefinedRTDCRunTimesOutputFile,"")</f>
        <v>"%USERPROFILE%\Documents\GitHub\eaglep3\Utilities\RefineRTDCRunTimes.py" --tripid 204-03 --locoid 4027 --swversion DE.1.0.9.0 --startMP 204:232977 --initTime 2017-04-03T17:26:13 --startdatetime 2017-04-03T17:23:53 --delay 1 --endMP 204:520 --enddatetime 2017-04-03T18:08:14 --enforcementcount 0 &gt;&gt;C:\Users\stu\Documents\GitHub\eaglep3-reporting\EC\2017-04-03-refined-times.txt</v>
      </c>
      <c r="AI116" s="104" t="str">
        <f>"echo {""issue"":{""subject"":"""&amp;R116&amp;""",""project_id"":79,""tracker_id"":40,""status_id"":"&amp;redmine_status&amp;",""priority_id"":"&amp;redmine_priority&amp;",""assigned_to_id"":"&amp;redmine_assignee&amp;",""start_date"":"""&amp;TEXT(I116,"YYYY-mm-dd")&amp;""",""description"":"""&amp;AJ116&amp;""",""custom_fields"":[{""id"":1,""name"":""Subdivision"",""value"":"""&amp;AG116&amp;"""},{""id"":4,""name"":""Milepost"",""value"":"""&amp;Z116&amp;"""},{""id"":17,""name"":""Train ID"",""value"":"""&amp;A116&amp;"""},{""id"":16,""name"":""Locomotive ID"",""value"":"""&amp;B116&amp;"""},{""id"":130,""name"":""Impact"",""value"":"""&amp;AK116&amp;"""},{""id"":150,""name"":""Time of Event (Mountain Time)"",""value"":"""&amp;TEXT(I116,"hh:mm:ss")&amp;"""},{""id"":151,""name"":""Denver Issue ID"",""value"":"""&amp;"""},{""id"":178,""name"":""Operational Impact"",""value"":"""&amp;redmine_op_impact&amp;"""},{""id"":179,""name"":""Denver Segment Assigned"",""value"":"""&amp;AL116&amp;"""}]}}"&amp;" | curl -X POST -H ""Content-Type: application/json"" -H ""X-Redmine-API-Key: "&amp;redm_api_key&amp;""" "&amp;redm_url&amp;" --data @-"</f>
        <v>echo {"issue":{"subject":"Delayed by poor GPS at DIA","project_id":79,"tracker_id":40,"status_id":1,"priority_id":2,"assigned_to_id":23,"start_date":"2017-04-03","description":"","custom_fields":[{"id":1,"name":"Subdivision","value":"EC"},{"id":4,"name":"Milepost","value":"0.052"},{"id":17,"name":"Train ID","value":"204-03"},{"id":16,"name":"Locomotive ID","value":"4027"},{"id":130,"name":"Impact","value":""},{"id":150,"name":"Time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>"start /low /b "&amp;dls3logs&amp;" --loco "&amp;B116&amp;" --day "&amp;TEXT(F116,"YYYY-MM-DD")</f>
        <v>start /low /b %USERPROFILE%\Documents\GitHub\eaglep3\Utilities\DownloadLogsFromS3.py --loco 4027 --day 2017-04-03</v>
      </c>
      <c r="AN116" s="159" t="str">
        <f>"echo {""issue"":{""subject"":"""&amp;R116&amp;""",""project_id"":30,""tracker_id"":4,""status_id"":"&amp;redmine_status_wcr&amp;",""priority_id"":"&amp;redmine_priority_wcr&amp;",""assigned_to_id"":"&amp;redmine_assignee_wcr&amp;",""start_date"":"""&amp;TEXT(I116-utc_offset/24,"YYYY-mm-dd")&amp;""",""description"":"""&amp;AJ116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by poor GPS at DIA","project_id":30,"tracker_id":4,"status_id":1,"priority_id":1,"assigned_to_id":10,"start_date":"2017-04-04","description":"","custom_fields":[{"id":30,"name":"Category","value":"Issue"},{"id":3,"name":"Functional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751</v>
      </c>
      <c r="B117" s="7">
        <v>4018</v>
      </c>
      <c r="C117" s="21" t="s">
        <v>217</v>
      </c>
      <c r="D117" s="21" t="s">
        <v>513</v>
      </c>
      <c r="E117" s="13">
        <v>42828.697233796294</v>
      </c>
      <c r="F117" s="13">
        <v>42828.698564814818</v>
      </c>
      <c r="G117" s="7">
        <v>1</v>
      </c>
      <c r="H117" s="21" t="s">
        <v>510</v>
      </c>
      <c r="I117" s="13">
        <v>42828.727754629632</v>
      </c>
      <c r="J117" s="7">
        <v>0</v>
      </c>
      <c r="K117" s="97" t="str">
        <f>IF(ISEVEN(B117),(B117-1)&amp;"/"&amp;B117,B117&amp;"/"&amp;(B117+1))</f>
        <v>4017/4018</v>
      </c>
      <c r="L117" s="21" t="str">
        <f>VLOOKUP(A117,'Trips&amp;Operators'!$C$1:$G$99999,5,FALSE)</f>
        <v>CLARK KATHLEEN</v>
      </c>
      <c r="M117" s="6">
        <f>I117-F117</f>
        <v>2.9189814813435078E-2</v>
      </c>
      <c r="N117" s="7">
        <f>24*60*SUM($M117:$M117)</f>
        <v>42.033333331346512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-04-03T15:44:01-0600',mode:absolute,to:'2017-04-03T18:27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183" t="str">
        <f>IF(AA117&lt;IF(AG117="EC",23,5.65),"Y","N")</f>
        <v>N</v>
      </c>
      <c r="X117" s="183">
        <f>VALUE(LEFT(AD117,4))-VALUE(LEFT(AD116,4))</f>
        <v>1</v>
      </c>
      <c r="Y117" s="62">
        <f>RIGHT(D117,LEN(D117)-4)/10000</f>
        <v>4.6600000000000003E-2</v>
      </c>
      <c r="Z117" s="62">
        <f>RIGHT(H117,LEN(H117)-4)/10000</f>
        <v>23.328199999999999</v>
      </c>
      <c r="AA117" s="62">
        <f>ABS(Z117-Y117)</f>
        <v>23.281599999999997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>IF(LEN(A117)=6,"0"&amp;A117,A117)</f>
        <v>0205-03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17" s="82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/stypes="app*4018*20170403*" /stext=" 23:.+((SYSTEM_STATE.+slice.+state.+changed )|(ment ac)|(multiple cpu faults)|(system.+state.+changed )|(\[timeout)|(PRM\|1\|D)|(kpr)|(kdp)|(\|lc)|(penalty))"</v>
      </c>
      <c r="AG117" s="1" t="str">
        <f>IFERROR(IF(VALUE(LEFT(AD117,2))&lt;=2,"EC",IF(OR(VALUE(LEFT(AD117,2))=8,VALUE(LEFT(AD117,2))=18),"NW","Other")),"Other")</f>
        <v>EC</v>
      </c>
      <c r="AH117" s="86" t="str">
        <f>refinertdcruntimes&amp;" --tripid "&amp;A117&amp;" --locoid "&amp;B117&amp;" --swversion "&amp;C117&amp;" --startMP "&amp;D117&amp;" --initTime "&amp;TEXT(E117,"yyyy-mm-ddTHH:MM:SS")&amp;" --startdatetime "&amp;TEXT(F117,"yyyy-mm-ddTHH:MM:SS")&amp;" --delay "&amp;G117&amp;" --endMP "&amp;H117&amp;" --enddatetime "&amp;TEXT(I117,"yyyy-mm-ddTHH:MM:SS")&amp;" --enforcementcount "&amp;J117&amp;IF(outputrefinedruntimes," &gt;&gt;"&amp;RefinedRTDCRunTimesOutputFile,"")</f>
        <v>"%USERPROFILE%\Documents\GitHub\eaglep3\Utilities\RefineRTDCRunTimes.py" --tripid 205-03 --locoid 4018 --swversion DE.1.0.9.0 --startMP 204:466 --initTime 2017-04-03T16:44:01 --startdatetime 2017-04-03T16:45:56 --delay 1 --endMP 204:233282 --enddatetime 2017-04-03T17:27:58 --enforcementcount 0 &gt;&gt;C:\Users\stu\Documents\GitHub\eaglep3-reporting\EC\2017-04-03-refined-times.txt</v>
      </c>
      <c r="AI117" s="104" t="str">
        <f>"echo {""issue"":{""subject"":"""&amp;R117&amp;""",""project_id"":79,""tracker_id"":40,""status_id"":"&amp;redmine_status&amp;",""priority_id"":"&amp;redmine_priority&amp;",""assigned_to_id"":"&amp;redmine_assignee&amp;",""start_date"":"""&amp;TEXT(I117,"YYYY-mm-dd")&amp;""",""description"":"""&amp;AJ117&amp;""",""custom_fields"":[{""id"":1,""name"":""Subdivision"",""value"":"""&amp;AG117&amp;"""},{""id"":4,""name"":""Milepost"",""value"":"""&amp;Z117&amp;"""},{""id"":17,""name"":""Train ID"",""value"":"""&amp;A117&amp;"""},{""id"":16,""name"":""Locomotive ID"",""value"":"""&amp;B117&amp;"""},{""id"":130,""name"":""Impact"",""value"":"""&amp;AK117&amp;"""},{""id"":150,""name"":""Time of Event (Mountain Time)"",""value"":"""&amp;TEXT(I117,"hh:mm:ss")&amp;"""},{""id"":151,""name"":""Denver Issue ID"",""value"":"""&amp;"""},{""id"":178,""name"":""Operational Impact"",""value"":"""&amp;redmine_op_impact&amp;"""},{""id"":179,""name"":""Denver Segment Assigned"",""value"":"""&amp;AL117&amp;"""}]}}"&amp;"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{"issue":{"subject":"","project_id":79,"tracker_id":40,"status_id":1,"priority_id":2,"assigned_to_id":23,"start_date":"2017-04-03","description":"","custom_fields":[{"id":1,"name":"Subdivision","value":"EC"},{"id":4,"name":"Milepost","value":"23.3282"},{"id":17,"name":"Train ID","value":"205-03"},{"id":16,"name":"Locomotive ID","value":"4018"},{"id":130,"name":"Impact","value":""},{"id":150,"name":"Time of Event (Mountain Time)","value":"17:27:58"},{"id":151,"name":"Denver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>"start /low /b "&amp;dls3logs&amp;" --loco "&amp;B117&amp;" --day "&amp;TEXT(F117,"YYYY-MM-DD")</f>
        <v>start /low /b %USERPROFILE%\Documents\GitHub\eaglep3\Utilities\DownloadLogsFromS3.py --loco 4018 --day 2017-04-03</v>
      </c>
      <c r="AN117" s="159" t="str">
        <f>"echo {""issue"":{""subject"":"""&amp;R117&amp;""",""project_id"":30,""tracker_id"":4,""status_id"":"&amp;redmine_status_wcr&amp;",""priority_id"":"&amp;redmine_priority_wcr&amp;",""assigned_to_id"":"&amp;redmine_assignee_wcr&amp;",""start_date"":"""&amp;TEXT(I117-utc_offset/24,"YYYY-mm-dd")&amp;""",""description"":"""&amp;AJ117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758</v>
      </c>
      <c r="B118" s="7">
        <v>4017</v>
      </c>
      <c r="C118" s="21" t="s">
        <v>217</v>
      </c>
      <c r="D118" s="21" t="s">
        <v>885</v>
      </c>
      <c r="E118" s="13">
        <v>42828.734571759262</v>
      </c>
      <c r="F118" s="13">
        <v>42828.736979166664</v>
      </c>
      <c r="G118" s="7">
        <v>1</v>
      </c>
      <c r="H118" s="21" t="s">
        <v>452</v>
      </c>
      <c r="I118" s="13">
        <v>42828.766273148147</v>
      </c>
      <c r="J118" s="7">
        <v>0</v>
      </c>
      <c r="K118" s="97" t="str">
        <f>IF(ISEVEN(B118),(B118-1)&amp;"/"&amp;B118,B118&amp;"/"&amp;(B118+1))</f>
        <v>4017/4018</v>
      </c>
      <c r="L118" s="21" t="str">
        <f>VLOOKUP(A118,'Trips&amp;Operators'!$C$1:$G$99999,5,FALSE)</f>
        <v>CLARK KATHLEEN</v>
      </c>
      <c r="M118" s="6">
        <f>I118-F118</f>
        <v>2.9293981482624076E-2</v>
      </c>
      <c r="N118" s="7">
        <f>24*60*SUM($M118:$M118)</f>
        <v>42.18333333497867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-04-03T16:37:47-0600',mode:absolute,to:'2017-04-03T19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183" t="str">
        <f>IF(AA118&lt;IF(AG118="EC",23,5.65),"Y","N")</f>
        <v>N</v>
      </c>
      <c r="X118" s="183">
        <f>VALUE(LEFT(AD118,4))-VALUE(LEFT(AD117,4))</f>
        <v>1</v>
      </c>
      <c r="Y118" s="62">
        <f>RIGHT(D118,LEN(D118)-4)/10000</f>
        <v>23.2957</v>
      </c>
      <c r="Z118" s="62">
        <f>RIGHT(H118,LEN(H118)-4)/10000</f>
        <v>1.6299999999999999E-2</v>
      </c>
      <c r="AA118" s="62">
        <f>ABS(Z118-Y118)</f>
        <v>23.279399999999999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>IF(LEN(A118)=6,"0"&amp;A118,A118)</f>
        <v>0206-03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18" s="82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/stypes="app*4017*20170404*" /stext=" 00:.+((SYSTEM_STATE.+slice.+state.+changed )|(ment ac)|(multiple cpu faults)|(system.+state.+changed )|(\[timeout)|(PRM\|1\|D)|(kpr)|(kdp)|(\|lc)|(penalty))"</v>
      </c>
      <c r="AG118" s="1" t="str">
        <f>IFERROR(IF(VALUE(LEFT(AD118,2))&lt;=2,"EC",IF(OR(VALUE(LEFT(AD118,2))=8,VALUE(LEFT(AD118,2))=18),"NW","Other")),"Other")</f>
        <v>EC</v>
      </c>
      <c r="AH118" s="86" t="str">
        <f>refinertdcruntimes&amp;" --tripid "&amp;A118&amp;" --locoid "&amp;B118&amp;" --swversion "&amp;C118&amp;" --startMP "&amp;D118&amp;" --initTime "&amp;TEXT(E118,"yyyy-mm-ddTHH:MM:SS")&amp;" --startdatetime "&amp;TEXT(F118,"yyyy-mm-ddTHH:MM:SS")&amp;" --delay "&amp;G118&amp;" --endMP "&amp;H118&amp;" --enddatetime "&amp;TEXT(I118,"yyyy-mm-ddTHH:MM:SS")&amp;" --enforcementcount "&amp;J118&amp;IF(outputrefinedruntimes," &gt;&gt;"&amp;RefinedRTDCRunTimesOutputFile,"")</f>
        <v>"%USERPROFILE%\Documents\GitHub\eaglep3\Utilities\RefineRTDCRunTimes.py" --tripid 206-03 --locoid 4017 --swversion DE.1.0.9.0 --startMP 204:232957 --initTime 2017-04-03T17:37:47 --startdatetime 2017-04-03T17:41:15 --delay 1 --endMP 204:163 --enddatetime 2017-04-03T18:23:26 --enforcementcount 0 &gt;&gt;C:\Users\stu\Documents\GitHub\eaglep3-reporting\EC\2017-04-03-refined-times.txt</v>
      </c>
      <c r="AI118" s="104" t="str">
        <f>"echo {""issue"":{""subject"":"""&amp;R118&amp;""",""project_id"":79,""tracker_id"":40,""status_id"":"&amp;redmine_status&amp;",""priority_id"":"&amp;redmine_priority&amp;",""assigned_to_id"":"&amp;redmine_assignee&amp;",""start_date"":"""&amp;TEXT(I118,"YYYY-mm-dd")&amp;""",""description"":"""&amp;AJ118&amp;""",""custom_fields"":[{""id"":1,""name"":""Subdivision"",""value"":"""&amp;AG118&amp;"""},{""id"":4,""name"":""Milepost"",""value"":"""&amp;Z118&amp;"""},{""id"":17,""name"":""Train ID"",""value"":"""&amp;A118&amp;"""},{""id"":16,""name"":""Locomotive ID"",""value"":"""&amp;B118&amp;"""},{""id"":130,""name"":""Impact"",""value"":"""&amp;AK118&amp;"""},{""id"":150,""name"":""Time of Event (Mountain Time)"",""value"":"""&amp;TEXT(I118,"hh:mm:ss")&amp;"""},{""id"":151,""name"":""Denver Issue ID"",""value"":"""&amp;"""},{""id"":178,""name"":""Operational Impact"",""value"":"""&amp;redmine_op_impact&amp;"""},{""id"":179,""name"":""Denver Segment Assigned"",""value"":"""&amp;AL118&amp;"""}]}}"&amp;"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{"issue":{"subject":"","project_id":79,"tracker_id":40,"status_id":1,"priority_id":2,"assigned_to_id":23,"start_date":"2017-04-03","description":"","custom_fields":[{"id":1,"name":"Subdivision","value":"EC"},{"id":4,"name":"Milepost","value":"0.0163"},{"id":17,"name":"Train ID","value":"206-03"},{"id":16,"name":"Locomotive ID","value":"4017"},{"id":130,"name":"Impact","value":""},{"id":150,"name":"Time of Event (Mountain Time)","value":"18:23:26"},{"id":151,"name":"Denver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>"start /low /b "&amp;dls3logs&amp;" --loco "&amp;B118&amp;" --day "&amp;TEXT(F118,"YYYY-MM-DD")</f>
        <v>start /low /b %USERPROFILE%\Documents\GitHub\eaglep3\Utilities\DownloadLogsFromS3.py --loco 4017 --day 2017-04-03</v>
      </c>
      <c r="AN118" s="159" t="str">
        <f>"echo {""issue"":{""subject"":"""&amp;R118&amp;""",""project_id"":30,""tracker_id"":4,""status_id"":"&amp;redmine_status_wcr&amp;",""priority_id"":"&amp;redmine_priority_wcr&amp;",""assigned_to_id"":"&amp;redmine_assignee_wcr&amp;",""start_date"":"""&amp;TEXT(I118-utc_offset/24,"YYYY-mm-dd")&amp;""",""description"":"""&amp;AJ118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753</v>
      </c>
      <c r="B119" s="7">
        <v>4008</v>
      </c>
      <c r="C119" s="21" t="s">
        <v>217</v>
      </c>
      <c r="D119" s="21" t="s">
        <v>886</v>
      </c>
      <c r="E119" s="13">
        <v>42828.705775462964</v>
      </c>
      <c r="F119" s="13">
        <v>42828.708495370367</v>
      </c>
      <c r="G119" s="7">
        <v>1</v>
      </c>
      <c r="H119" s="21" t="s">
        <v>564</v>
      </c>
      <c r="I119" s="13">
        <v>42828.733773148146</v>
      </c>
      <c r="J119" s="7">
        <v>0</v>
      </c>
      <c r="K119" s="97" t="str">
        <f>IF(ISEVEN(B119),(B119-1)&amp;"/"&amp;B119,B119&amp;"/"&amp;(B119+1))</f>
        <v>4007/4008</v>
      </c>
      <c r="L119" s="21" t="str">
        <f>VLOOKUP(A119,'Trips&amp;Operators'!$C$1:$G$99999,5,FALSE)</f>
        <v>WILLIAMS DONTE</v>
      </c>
      <c r="M119" s="6">
        <f>I119-F119</f>
        <v>2.527777777868323E-2</v>
      </c>
      <c r="N119" s="7">
        <f>24*60*SUM($M119:$M119)</f>
        <v>36.400000001303852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-04-03T15:56:19-0600',mode:absolute,to:'2017-04-03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9" s="183" t="str">
        <f>IF(AA119&lt;IF(AG119="EC",23,5.65),"Y","N")</f>
        <v>N</v>
      </c>
      <c r="X119" s="183">
        <f>VALUE(LEFT(AD119,4))-VALUE(LEFT(AD118,4))</f>
        <v>1</v>
      </c>
      <c r="Y119" s="62">
        <f>RIGHT(D119,LEN(D119)-4)/10000</f>
        <v>4.8899999999999999E-2</v>
      </c>
      <c r="Z119" s="62">
        <f>RIGHT(H119,LEN(H119)-4)/10000</f>
        <v>23.337199999999999</v>
      </c>
      <c r="AA119" s="62">
        <f>ABS(Z119-Y119)</f>
        <v>23.2883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>IF(LEN(A119)=6,"0"&amp;A119,A119)</f>
        <v>0207-03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119" s="82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/stypes="app*4008*20170403*" /stext=" 23:.+((SYSTEM_STATE.+slice.+state.+changed )|(ment ac)|(multiple cpu faults)|(system.+state.+changed )|(\[timeout)|(PRM\|1\|D)|(kpr)|(kdp)|(\|lc)|(penalty))"</v>
      </c>
      <c r="AG119" s="1" t="str">
        <f>IFERROR(IF(VALUE(LEFT(AD119,2))&lt;=2,"EC",IF(OR(VALUE(LEFT(AD119,2))=8,VALUE(LEFT(AD119,2))=18),"NW","Other")),"Other")</f>
        <v>EC</v>
      </c>
      <c r="AH119" s="86" t="str">
        <f>refinertdcruntimes&amp;" --tripid "&amp;A119&amp;" --locoid "&amp;B119&amp;" --swversion "&amp;C119&amp;" --startMP "&amp;D119&amp;" --initTime "&amp;TEXT(E119,"yyyy-mm-ddTHH:MM:SS")&amp;" --startdatetime "&amp;TEXT(F119,"yyyy-mm-ddTHH:MM:SS")&amp;" --delay "&amp;G119&amp;" --endMP "&amp;H119&amp;" --enddatetime "&amp;TEXT(I119,"yyyy-mm-ddTHH:MM:SS")&amp;" --enforcementcount "&amp;J119&amp;IF(outputrefinedruntimes," &gt;&gt;"&amp;RefinedRTDCRunTimesOutputFile,"")</f>
        <v>"%USERPROFILE%\Documents\GitHub\eaglep3\Utilities\RefineRTDCRunTimes.py" --tripid 207-03 --locoid 4008 --swversion DE.1.0.9.0 --startMP 204:489 --initTime 2017-04-03T16:56:19 --startdatetime 2017-04-03T17:00:14 --delay 1 --endMP 204:233372 --enddatetime 2017-04-03T17:36:38 --enforcementcount 0 &gt;&gt;C:\Users\stu\Documents\GitHub\eaglep3-reporting\EC\2017-04-03-refined-times.txt</v>
      </c>
      <c r="AI119" s="104" t="str">
        <f>"echo {""issue"":{""subject"":"""&amp;R119&amp;""",""project_id"":79,""tracker_id"":40,""status_id"":"&amp;redmine_status&amp;",""priority_id"":"&amp;redmine_priority&amp;",""assigned_to_id"":"&amp;redmine_assignee&amp;",""start_date"":"""&amp;TEXT(I119,"YYYY-mm-dd")&amp;""",""description"":"""&amp;AJ119&amp;""",""custom_fields"":[{""id"":1,""name"":""Subdivision"",""value"":"""&amp;AG119&amp;"""},{""id"":4,""name"":""Milepost"",""value"":"""&amp;Z119&amp;"""},{""id"":17,""name"":""Train ID"",""value"":"""&amp;A119&amp;"""},{""id"":16,""name"":""Locomotive ID"",""value"":"""&amp;B119&amp;"""},{""id"":130,""name"":""Impact"",""value"":"""&amp;AK119&amp;"""},{""id"":150,""name"":""Time of Event (Mountain Time)"",""value"":"""&amp;TEXT(I119,"hh:mm:ss")&amp;"""},{""id"":151,""name"":""Denver Issue ID"",""value"":"""&amp;"""},{""id"":178,""name"":""Operational Impact"",""value"":"""&amp;redmine_op_impact&amp;"""},{""id"":179,""name"":""Denver Segment Assigned"",""value"":"""&amp;AL119&amp;"""}]}}"&amp;"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{"issue":{"subject":"","project_id":79,"tracker_id":40,"status_id":1,"priority_id":2,"assigned_to_id":23,"start_date":"2017-04-03","description":"","custom_fields":[{"id":1,"name":"Subdivision","value":"EC"},{"id":4,"name":"Milepost","value":"23.3372"},{"id":17,"name":"Train ID","value":"207-03"},{"id":16,"name":"Locomotive ID","value":"4008"},{"id":130,"name":"Impact","value":""},{"id":150,"name":"Time of Event (Mountain Time)","value":"17:36:38"},{"id":151,"name":"Denver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>"start /low /b "&amp;dls3logs&amp;" --loco "&amp;B119&amp;" --day "&amp;TEXT(F119,"YYYY-MM-DD")</f>
        <v>start /low /b %USERPROFILE%\Documents\GitHub\eaglep3\Utilities\DownloadLogsFromS3.py --loco 4008 --day 2017-04-03</v>
      </c>
      <c r="AN119" s="159" t="str">
        <f>"echo {""issue"":{""subject"":"""&amp;R119&amp;""",""project_id"":30,""tracker_id"":4,""status_id"":"&amp;redmine_status_wcr&amp;",""priority_id"":"&amp;redmine_priority_wcr&amp;",""assigned_to_id"":"&amp;redmine_assignee_wcr&amp;",""start_date"":"""&amp;TEXT(I119-utc_offset/24,"YYYY-mm-dd")&amp;""",""description"":"""&amp;AJ119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617</v>
      </c>
      <c r="B120" s="7">
        <v>4007</v>
      </c>
      <c r="C120" s="21" t="s">
        <v>217</v>
      </c>
      <c r="D120" s="21" t="s">
        <v>887</v>
      </c>
      <c r="E120" s="13">
        <v>42828.736168981479</v>
      </c>
      <c r="F120" s="13">
        <v>42828.747384259259</v>
      </c>
      <c r="G120" s="7">
        <v>1</v>
      </c>
      <c r="H120" s="21" t="s">
        <v>867</v>
      </c>
      <c r="I120" s="13">
        <v>42828.776331018518</v>
      </c>
      <c r="J120" s="7">
        <v>0</v>
      </c>
      <c r="K120" s="97" t="str">
        <f>IF(ISEVEN(B120),(B120-1)&amp;"/"&amp;B120,B120&amp;"/"&amp;(B120+1))</f>
        <v>4007/4008</v>
      </c>
      <c r="L120" s="21" t="str">
        <f>VLOOKUP(A120,'Trips&amp;Operators'!$C$1:$G$99999,5,FALSE)</f>
        <v>WILLIAMS DONTE</v>
      </c>
      <c r="M120" s="6">
        <f>I120-F120</f>
        <v>2.8946759259270038E-2</v>
      </c>
      <c r="N120" s="7">
        <f>24*60*SUM($M120:$M120)</f>
        <v>41.683333333348855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-04-03T16:40:05-0600',mode:absolute,to:'2017-04-03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0" s="183" t="str">
        <f>IF(AA120&lt;IF(AG120="EC",23,5.65),"Y","N")</f>
        <v>N</v>
      </c>
      <c r="X120" s="183">
        <f>VALUE(LEFT(AD120,4))-VALUE(LEFT(AD119,4))</f>
        <v>1</v>
      </c>
      <c r="Y120" s="62">
        <f>RIGHT(D120,LEN(D120)-4)/10000</f>
        <v>23.305900000000001</v>
      </c>
      <c r="Z120" s="62">
        <f>RIGHT(H120,LEN(H120)-4)/10000</f>
        <v>1.6899999999999998E-2</v>
      </c>
      <c r="AA120" s="62">
        <f>ABS(Z120-Y120)</f>
        <v>23.289000000000001</v>
      </c>
      <c r="AB120" s="59" t="str">
        <f>VLOOKUP(A120,Enforcements!$C$7:$K$13,8,0)</f>
        <v>Bulletin (2)</v>
      </c>
      <c r="AC120" s="55" t="str">
        <f>VLOOKUP(A120,Enforcements!$C$7:$E$13,3,0)</f>
        <v>GRADE CROSSING</v>
      </c>
      <c r="AD120" s="56" t="str">
        <f>IF(LEN(A120)=6,"0"&amp;A120,A120)</f>
        <v>0208-03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120" s="82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/stypes="app*4007*20170404*" /stext=" 00:.+((SYSTEM_STATE.+slice.+state.+changed )|(ment ac)|(multiple cpu faults)|(system.+state.+changed )|(\[timeout)|(PRM\|1\|D)|(kpr)|(kdp)|(\|lc)|(penalty))"</v>
      </c>
      <c r="AG120" s="1" t="str">
        <f>IFERROR(IF(VALUE(LEFT(AD120,2))&lt;=2,"EC",IF(OR(VALUE(LEFT(AD120,2))=8,VALUE(LEFT(AD120,2))=18),"NW","Other")),"Other")</f>
        <v>EC</v>
      </c>
      <c r="AH120" s="86" t="str">
        <f>refinertdcruntimes&amp;" --tripid "&amp;A120&amp;" --locoid "&amp;B120&amp;" --swversion "&amp;C120&amp;" --startMP "&amp;D120&amp;" --initTime "&amp;TEXT(E120,"yyyy-mm-ddTHH:MM:SS")&amp;" --startdatetime "&amp;TEXT(F120,"yyyy-mm-ddTHH:MM:SS")&amp;" --delay "&amp;G120&amp;" --endMP "&amp;H120&amp;" --enddatetime "&amp;TEXT(I120,"yyyy-mm-ddTHH:MM:SS")&amp;" --enforcementcount "&amp;J120&amp;IF(outputrefinedruntimes," &gt;&gt;"&amp;RefinedRTDCRunTimesOutputFile,"")</f>
        <v>"%USERPROFILE%\Documents\GitHub\eaglep3\Utilities\RefineRTDCRunTimes.py" --tripid 208-03 --locoid 4007 --swversion DE.1.0.9.0 --startMP 204:233059 --initTime 2017-04-03T17:40:05 --startdatetime 2017-04-03T17:56:14 --delay 1 --endMP 204:169 --enddatetime 2017-04-03T18:37:55 --enforcementcount 0 &gt;&gt;C:\Users\stu\Documents\GitHub\eaglep3-reporting\EC\2017-04-03-refined-times.txt</v>
      </c>
      <c r="AI120" s="104" t="str">
        <f>"echo {""issue"":{""subject"":"""&amp;R120&amp;""",""project_id"":79,""tracker_id"":40,""status_id"":"&amp;redmine_status&amp;",""priority_id"":"&amp;redmine_priority&amp;",""assigned_to_id"":"&amp;redmine_assignee&amp;",""start_date"":"""&amp;TEXT(I120,"YYYY-mm-dd")&amp;""",""description"":"""&amp;AJ120&amp;""",""custom_fields"":[{""id"":1,""name"":""Subdivision"",""value"":"""&amp;AG120&amp;"""},{""id"":4,""name"":""Milepost"",""value"":"""&amp;Z120&amp;"""},{""id"":17,""name"":""Train ID"",""value"":"""&amp;A120&amp;"""},{""id"":16,""name"":""Locomotive ID"",""value"":"""&amp;B120&amp;"""},{""id"":130,""name"":""Impact"",""value"":"""&amp;AK120&amp;"""},{""id"":150,""name"":""Time of Event (Mountain Time)"",""value"":"""&amp;TEXT(I120,"hh:mm:ss")&amp;"""},{""id"":151,""name"":""Denver Issue ID"",""value"":"""&amp;"""},{""id"":178,""name"":""Operational Impact"",""value"":"""&amp;redmine_op_impact&amp;"""},{""id"":179,""name"":""Denver Segment Assigned"",""value"":"""&amp;AL120&amp;"""}]}}"&amp;"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{"issue":{"subject":"","project_id":79,"tracker_id":40,"status_id":1,"priority_id":2,"assigned_to_id":23,"start_date":"2017-04-03","description":"","custom_fields":[{"id":1,"name":"Subdivision","value":"EC"},{"id":4,"name":"Milepost","value":"0.0169"},{"id":17,"name":"Train ID","value":"208-03"},{"id":16,"name":"Locomotive ID","value":"4007"},{"id":130,"name":"Impact","value":""},{"id":150,"name":"Time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>"start /low /b "&amp;dls3logs&amp;" --loco "&amp;B120&amp;" --day "&amp;TEXT(F120,"YYYY-MM-DD")</f>
        <v>start /low /b %USERPROFILE%\Documents\GitHub\eaglep3\Utilities\DownloadLogsFromS3.py --loco 4007 --day 2017-04-03</v>
      </c>
      <c r="AN120" s="159" t="str">
        <f>"echo {""issue"":{""subject"":"""&amp;R120&amp;""",""project_id"":30,""tracker_id"":4,""status_id"":"&amp;redmine_status_wcr&amp;",""priority_id"":"&amp;redmine_priority_wcr&amp;",""assigned_to_id"":"&amp;redmine_assignee_wcr&amp;",""start_date"":"""&amp;TEXT(I120-utc_offset/24,"YYYY-mm-dd")&amp;""",""description"":"""&amp;AJ120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755</v>
      </c>
      <c r="B121" s="7">
        <v>4052</v>
      </c>
      <c r="C121" s="21" t="s">
        <v>217</v>
      </c>
      <c r="D121" s="21" t="s">
        <v>208</v>
      </c>
      <c r="E121" s="13">
        <v>42828.719317129631</v>
      </c>
      <c r="F121" s="13">
        <v>42828.71775462963</v>
      </c>
      <c r="G121" s="7">
        <v>0</v>
      </c>
      <c r="H121" s="21" t="s">
        <v>832</v>
      </c>
      <c r="I121" s="13">
        <v>42828.745682870373</v>
      </c>
      <c r="J121" s="7">
        <v>0</v>
      </c>
      <c r="K121" s="97" t="str">
        <f>IF(ISEVEN(B121),(B121-1)&amp;"/"&amp;B121,B121&amp;"/"&amp;(B121+1))</f>
        <v>4051/4052</v>
      </c>
      <c r="L121" s="21" t="str">
        <f>VLOOKUP(A121,'Trips&amp;Operators'!$C$1:$G$99999,5,FALSE)</f>
        <v>CHANDLER KELVIN</v>
      </c>
      <c r="M121" s="6">
        <f>I121-F121</f>
        <v>2.792824074276723E-2</v>
      </c>
      <c r="N121" s="7">
        <f>24*60*SUM($M121:$M121)</f>
        <v>40.216666669584811</v>
      </c>
      <c r="O121" s="7"/>
      <c r="P121" s="7"/>
      <c r="Q121" s="22"/>
      <c r="R121" s="22" t="s">
        <v>1047</v>
      </c>
      <c r="S121" s="31">
        <f>SUM(U121:U121)/IF(AG121="EC",12,1)</f>
        <v>1</v>
      </c>
      <c r="T121" s="46" t="str">
        <f>IF(ISEVEN(LEFT(AD121,4)),"Southbound","NorthBound")</f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-04-03T16:15:49-0600',mode:absolute,to:'2017-04-03T18:53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83" t="str">
        <f>IF(AA121&lt;IF(AG121="EC",23,5.65),"Y","N")</f>
        <v>N</v>
      </c>
      <c r="X121" s="183">
        <f>VALUE(LEFT(AD121,4))-VALUE(LEFT(AD120,4))</f>
        <v>1</v>
      </c>
      <c r="Y121" s="62">
        <f>RIGHT(D121,LEN(D121)-4)/10000</f>
        <v>4.5999999999999999E-2</v>
      </c>
      <c r="Z121" s="62">
        <f>RIGHT(H121,LEN(H121)-4)/10000</f>
        <v>23.328600000000002</v>
      </c>
      <c r="AA121" s="62">
        <f>ABS(Z121-Y121)</f>
        <v>23.282600000000002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>IF(LEN(A121)=6,"0"&amp;A121,A121)</f>
        <v>0209-03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21" s="82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/stypes="app*4052*20170403*" /stext=" 23:.+((SYSTEM_STATE.+slice.+state.+changed )|(ment ac)|(multiple cpu faults)|(system.+state.+changed )|(\[timeout)|(PRM\|1\|D)|(kpr)|(kdp)|(\|lc)|(penalty))"</v>
      </c>
      <c r="AG121" s="1" t="str">
        <f>IFERROR(IF(VALUE(LEFT(AD121,2))&lt;=2,"EC",IF(OR(VALUE(LEFT(AD121,2))=8,VALUE(LEFT(AD121,2))=18),"NW","Other")),"Other")</f>
        <v>EC</v>
      </c>
      <c r="AH121" s="86" t="str">
        <f>refinertdcruntimes&amp;" --tripid "&amp;A121&amp;" --locoid "&amp;B121&amp;" --swversion "&amp;C121&amp;" --startMP "&amp;D121&amp;" --initTime "&amp;TEXT(E121,"yyyy-mm-ddTHH:MM:SS")&amp;" --startdatetime "&amp;TEXT(F121,"yyyy-mm-ddTHH:MM:SS")&amp;" --delay "&amp;G121&amp;" --endMP "&amp;H121&amp;" --enddatetime "&amp;TEXT(I121,"yyyy-mm-ddTHH:MM:SS")&amp;" --enforcementcount "&amp;J121&amp;IF(outputrefinedruntimes," &gt;&gt;"&amp;RefinedRTDCRunTimesOutputFile,"")</f>
        <v>"%USERPROFILE%\Documents\GitHub\eaglep3\Utilities\RefineRTDCRunTimes.py" --tripid 209-03 --locoid 4052 --swversion DE.1.0.9.0 --startMP 204:460 --initTime 2017-04-03T17:15:49 --startdatetime 2017-04-03T17:13:34 --delay 0 --endMP 204:233286 --enddatetime 2017-04-03T17:53:47 --enforcementcount 0 &gt;&gt;C:\Users\stu\Documents\GitHub\eaglep3-reporting\EC\2017-04-03-refined-times.txt</v>
      </c>
      <c r="AI121" s="104" t="str">
        <f>"echo {""issue"":{""subject"":"""&amp;R121&amp;""",""project_id"":79,""tracker_id"":40,""status_id"":"&amp;redmine_status&amp;",""priority_id"":"&amp;redmine_priority&amp;",""assigned_to_id"":"&amp;redmine_assignee&amp;",""start_date"":"""&amp;TEXT(I121,"YYYY-mm-dd")&amp;""",""description"":"""&amp;AJ121&amp;""",""custom_fields"":[{""id"":1,""name"":""Subdivision"",""value"":"""&amp;AG121&amp;"""},{""id"":4,""name"":""Milepost"",""value"":"""&amp;Z121&amp;"""},{""id"":17,""name"":""Train ID"",""value"":"""&amp;A121&amp;"""},{""id"":16,""name"":""Locomotive ID"",""value"":"""&amp;B121&amp;"""},{""id"":130,""name"":""Impact"",""value"":"""&amp;AK121&amp;"""},{""id"":150,""name"":""Time of Event (Mountain Time)"",""value"":"""&amp;TEXT(I121,"hh:mm:ss")&amp;"""},{""id"":151,""name"":""Denver Issue ID"",""value"":"""&amp;"""},{""id"":178,""name"":""Operational Impact"",""value"":"""&amp;redmine_op_impact&amp;"""},{""id"":179,""name"":""Denver Segment Assigned"",""value"":"""&amp;AL121&amp;"""}]}}"&amp;" | curl -X POST -H ""Content-Type: application/json"" -H ""X-Redmine-API-Key: "&amp;redm_api_key&amp;""" "&amp;redm_url&amp;" --data @-"</f>
        <v>echo {"issue":{"subject":"Delayed due to depart test required","project_id":79,"tracker_id":40,"status_id":1,"priority_id":2,"assigned_to_id":23,"start_date":"2017-04-03","description":"","custom_fields":[{"id":1,"name":"Subdivision","value":"EC"},{"id":4,"name":"Milepost","value":"23.3286"},{"id":17,"name":"Train ID","value":"209-03"},{"id":16,"name":"Locomotive ID","value":"4052"},{"id":130,"name":"Impact","value":""},{"id":150,"name":"Time of Event (Mountain Time)","value":"17:53:47"},{"id":151,"name":"Denver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>"start /low /b "&amp;dls3logs&amp;" --loco "&amp;B121&amp;" --day "&amp;TEXT(F121,"YYYY-MM-DD")</f>
        <v>start /low /b %USERPROFILE%\Documents\GitHub\eaglep3\Utilities\DownloadLogsFromS3.py --loco 4052 --day 2017-04-03</v>
      </c>
      <c r="AN121" s="159" t="str">
        <f>"echo {""issue"":{""subject"":"""&amp;R121&amp;""",""project_id"":30,""tracker_id"":4,""status_id"":"&amp;redmine_status_wcr&amp;",""priority_id"":"&amp;redmine_priority_wcr&amp;",""assigned_to_id"":"&amp;redmine_assignee_wcr&amp;",""start_date"":"""&amp;TEXT(I121-utc_offset/24,"YYYY-mm-dd")&amp;""",""description"":"""&amp;AJ121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{"issue":{"subject":"Delayed due to depart test required","project_id":30,"tracker_id":4,"status_id":1,"priority_id":1,"assigned_to_id":10,"start_date":"2017-04-03","description":"","custom_fields":[{"id":30,"name":"Category","value":"Issue"},{"id":3,"name":"Functional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770</v>
      </c>
      <c r="B122" s="7">
        <v>4051</v>
      </c>
      <c r="C122" s="21" t="s">
        <v>217</v>
      </c>
      <c r="D122" s="21" t="s">
        <v>888</v>
      </c>
      <c r="E122" s="13">
        <v>42828.755370370367</v>
      </c>
      <c r="F122" s="13">
        <v>42828.7580787037</v>
      </c>
      <c r="G122" s="7">
        <v>2</v>
      </c>
      <c r="H122" s="21" t="s">
        <v>839</v>
      </c>
      <c r="I122" s="13">
        <v>42828.786203703705</v>
      </c>
      <c r="J122" s="7">
        <v>0</v>
      </c>
      <c r="K122" s="97" t="str">
        <f>IF(ISEVEN(B122),(B122-1)&amp;"/"&amp;B122,B122&amp;"/"&amp;(B122+1))</f>
        <v>4051/4052</v>
      </c>
      <c r="L122" s="21" t="str">
        <f>VLOOKUP(A122,'Trips&amp;Operators'!$C$1:$G$99999,5,FALSE)</f>
        <v>CHANDLER KELVIN</v>
      </c>
      <c r="M122" s="6">
        <f>I122-F122</f>
        <v>2.8125000004365575E-2</v>
      </c>
      <c r="N122" s="7">
        <f>24*60*SUM($M122:$M122)</f>
        <v>40.500000006286427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-04-03T17:07:44-0600',mode:absolute,to:'2017-04-03T19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3" t="str">
        <f>IF(AA122&lt;IF(AG122="EC",23,5.65),"Y","N")</f>
        <v>N</v>
      </c>
      <c r="X122" s="183">
        <f>VALUE(LEFT(AD122,4))-VALUE(LEFT(AD121,4))</f>
        <v>1</v>
      </c>
      <c r="Y122" s="62">
        <f>RIGHT(D122,LEN(D122)-4)/10000</f>
        <v>23.296299999999999</v>
      </c>
      <c r="Z122" s="62">
        <f>RIGHT(H122,LEN(H122)-4)/10000</f>
        <v>1.7399999999999999E-2</v>
      </c>
      <c r="AA122" s="62">
        <f>ABS(Z122-Y122)</f>
        <v>23.2789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>IF(LEN(A122)=6,"0"&amp;A122,A122)</f>
        <v>0210-03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22" s="82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/stypes="app*4051*20170404*" /stext=" 00:.+((SYSTEM_STATE.+slice.+state.+changed )|(ment ac)|(multiple cpu faults)|(system.+state.+changed )|(\[timeout)|(PRM\|1\|D)|(kpr)|(kdp)|(\|lc)|(penalty))"</v>
      </c>
      <c r="AG122" s="1" t="str">
        <f>IFERROR(IF(VALUE(LEFT(AD122,2))&lt;=2,"EC",IF(OR(VALUE(LEFT(AD122,2))=8,VALUE(LEFT(AD122,2))=18),"NW","Other")),"Other")</f>
        <v>EC</v>
      </c>
      <c r="AH122" s="86" t="str">
        <f>refinertdcruntimes&amp;" --tripid "&amp;A122&amp;" --locoid "&amp;B122&amp;" --swversion "&amp;C122&amp;" --startMP "&amp;D122&amp;" --initTime "&amp;TEXT(E122,"yyyy-mm-ddTHH:MM:SS")&amp;" --startdatetime "&amp;TEXT(F122,"yyyy-mm-ddTHH:MM:SS")&amp;" --delay "&amp;G122&amp;" --endMP "&amp;H122&amp;" --enddatetime "&amp;TEXT(I122,"yyyy-mm-ddTHH:MM:SS")&amp;" --enforcementcount "&amp;J122&amp;IF(outputrefinedruntimes," &gt;&gt;"&amp;RefinedRTDCRunTimesOutputFile,"")</f>
        <v>"%USERPROFILE%\Documents\GitHub\eaglep3\Utilities\RefineRTDCRunTimes.py" --tripid 210-03 --locoid 4051 --swversion DE.1.0.9.0 --startMP 204:232963 --initTime 2017-04-03T18:07:44 --startdatetime 2017-04-03T18:11:38 --delay 2 --endMP 204:174 --enddatetime 2017-04-03T18:52:08 --enforcementcount 0 &gt;&gt;C:\Users\stu\Documents\GitHub\eaglep3-reporting\EC\2017-04-03-refined-times.txt</v>
      </c>
      <c r="AI122" s="104" t="str">
        <f>"echo {""issue"":{""subject"":"""&amp;R122&amp;""",""project_id"":79,""tracker_id"":40,""status_id"":"&amp;redmine_status&amp;",""priority_id"":"&amp;redmine_priority&amp;",""assigned_to_id"":"&amp;redmine_assignee&amp;",""start_date"":"""&amp;TEXT(I122,"YYYY-mm-dd")&amp;""",""description"":"""&amp;AJ122&amp;""",""custom_fields"":[{""id"":1,""name"":""Subdivision"",""value"":"""&amp;AG122&amp;"""},{""id"":4,""name"":""Milepost"",""value"":"""&amp;Z122&amp;"""},{""id"":17,""name"":""Train ID"",""value"":"""&amp;A122&amp;"""},{""id"":16,""name"":""Locomotive ID"",""value"":"""&amp;B122&amp;"""},{""id"":130,""name"":""Impact"",""value"":"""&amp;AK122&amp;"""},{""id"":150,""name"":""Time of Event (Mountain Time)"",""value"":"""&amp;TEXT(I122,"hh:mm:ss")&amp;"""},{""id"":151,""name"":""Denver Issue ID"",""value"":"""&amp;"""},{""id"":178,""name"":""Operational Impact"",""value"":"""&amp;redmine_op_impact&amp;"""},{""id"":179,""name"":""Denver Segment Assigned"",""value"":"""&amp;AL122&amp;"""}]}}"&amp;"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{"issue":{"subject":"","project_id":79,"tracker_id":40,"status_id":1,"priority_id":2,"assigned_to_id":23,"start_date":"2017-04-03","description":"","custom_fields":[{"id":1,"name":"Subdivision","value":"EC"},{"id":4,"name":"Milepost","value":"0.0174"},{"id":17,"name":"Train ID","value":"210-03"},{"id":16,"name":"Locomotive ID","value":"4051"},{"id":130,"name":"Impact","value":""},{"id":150,"name":"Time of Event (Mountain Time)","value":"18:52:08"},{"id":151,"name":"Denver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>"start /low /b "&amp;dls3logs&amp;" --loco "&amp;B122&amp;" --day "&amp;TEXT(F122,"YYYY-MM-DD")</f>
        <v>start /low /b %USERPROFILE%\Documents\GitHub\eaglep3\Utilities\DownloadLogsFromS3.py --loco 4051 --day 2017-04-03</v>
      </c>
      <c r="AN122" s="159" t="str">
        <f>"echo {""issue"":{""subject"":"""&amp;R122&amp;""",""project_id"":30,""tracker_id"":4,""status_id"":"&amp;redmine_status_wcr&amp;",""priority_id"":"&amp;redmine_priority_wcr&amp;",""assigned_to_id"":"&amp;redmine_assignee_wcr&amp;",""start_date"":"""&amp;TEXT(I122-utc_offset/24,"YYYY-mm-dd")&amp;""",""description"":"""&amp;AJ122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614</v>
      </c>
      <c r="B123" s="7">
        <v>4004</v>
      </c>
      <c r="C123" s="21" t="s">
        <v>217</v>
      </c>
      <c r="D123" s="21" t="s">
        <v>546</v>
      </c>
      <c r="E123" s="13">
        <v>42828.727453703701</v>
      </c>
      <c r="F123" s="13">
        <v>42828.729756944442</v>
      </c>
      <c r="G123" s="7">
        <v>1</v>
      </c>
      <c r="H123" s="21" t="s">
        <v>544</v>
      </c>
      <c r="I123" s="13">
        <v>42828.756296296298</v>
      </c>
      <c r="J123" s="7">
        <v>0</v>
      </c>
      <c r="K123" s="97" t="str">
        <f>IF(ISEVEN(B123),(B123-1)&amp;"/"&amp;B123,B123&amp;"/"&amp;(B123+1))</f>
        <v>4003/4004</v>
      </c>
      <c r="L123" s="21" t="str">
        <f>VLOOKUP(A123,'Trips&amp;Operators'!$C$1:$G$99999,5,FALSE)</f>
        <v>LOCKLEAR TRAVIS</v>
      </c>
      <c r="M123" s="6">
        <f>I123-F123</f>
        <v>2.6539351856627036E-2</v>
      </c>
      <c r="N123" s="7">
        <f>24*60*SUM($M123:$M123)</f>
        <v>38.216666673542932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3" s="183" t="str">
        <f>IF(AA123&lt;IF(AG123="EC",23,5.65),"Y","N")</f>
        <v>N</v>
      </c>
      <c r="X123" s="183">
        <f>VALUE(LEFT(AD123,4))-VALUE(LEFT(AD122,4))</f>
        <v>1</v>
      </c>
      <c r="Y123" s="62">
        <f>RIGHT(D123,LEN(D123)-4)/10000</f>
        <v>4.58E-2</v>
      </c>
      <c r="Z123" s="62">
        <f>RIGHT(H123,LEN(H123)-4)/10000</f>
        <v>23.3325</v>
      </c>
      <c r="AA123" s="62">
        <f>ABS(Z123-Y123)</f>
        <v>23.2867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>IF(LEN(A123)=6,"0"&amp;A123,A123)</f>
        <v>0211-03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123" s="82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/stypes="app*4004*20170404*" /stext=" 00:.+((SYSTEM_STATE.+slice.+state.+changed )|(ment ac)|(multiple cpu faults)|(system.+state.+changed )|(\[timeout)|(PRM\|1\|D)|(kpr)|(kdp)|(\|lc)|(penalty))"</v>
      </c>
      <c r="AG123" s="1" t="str">
        <f>IFERROR(IF(VALUE(LEFT(AD123,2))&lt;=2,"EC",IF(OR(VALUE(LEFT(AD123,2))=8,VALUE(LEFT(AD123,2))=18),"NW","Other")),"Other")</f>
        <v>EC</v>
      </c>
      <c r="AH123" s="86" t="str">
        <f>refinertdcruntimes&amp;" --tripid "&amp;A123&amp;" --locoid "&amp;B123&amp;" --swversion "&amp;C123&amp;" --startMP "&amp;D123&amp;" --initTime "&amp;TEXT(E123,"yyyy-mm-ddTHH:MM:SS")&amp;" --startdatetime "&amp;TEXT(F123,"yyyy-mm-ddTHH:MM:SS")&amp;" --delay "&amp;G123&amp;" --endMP "&amp;H123&amp;" --enddatetime "&amp;TEXT(I123,"yyyy-mm-ddTHH:MM:SS")&amp;" --enforcementcount "&amp;J123&amp;IF(outputrefinedruntimes," &gt;&gt;"&amp;RefinedRTDCRunTimesOutputFile,"")</f>
        <v>"%USERPROFILE%\Documents\GitHub\eaglep3\Utilities\RefineRTDCRunTimes.py" --tripid 211-03 --locoid 4004 --swversion DE.1.0.9.0 --startMP 204:458 --initTime 2017-04-03T17:27:32 --startdatetime 2017-04-03T17:30:51 --delay 1 --endMP 204:233325 --enddatetime 2017-04-03T18:09:04 --enforcementcount 0 &gt;&gt;C:\Users\stu\Documents\GitHub\eaglep3-reporting\EC\2017-04-03-refined-times.txt</v>
      </c>
      <c r="AI123" s="104" t="str">
        <f>"echo {""issue"":{""subject"":"""&amp;R123&amp;""",""project_id"":79,""tracker_id"":40,""status_id"":"&amp;redmine_status&amp;",""priority_id"":"&amp;redmine_priority&amp;",""assigned_to_id"":"&amp;redmine_assignee&amp;",""start_date"":"""&amp;TEXT(I123,"YYYY-mm-dd")&amp;""",""description"":"""&amp;AJ123&amp;""",""custom_fields"":[{""id"":1,""name"":""Subdivision"",""value"":"""&amp;AG123&amp;"""},{""id"":4,""name"":""Milepost"",""value"":"""&amp;Z123&amp;"""},{""id"":17,""name"":""Train ID"",""value"":"""&amp;A123&amp;"""},{""id"":16,""name"":""Locomotive ID"",""value"":"""&amp;B123&amp;"""},{""id"":130,""name"":""Impact"",""value"":"""&amp;AK123&amp;"""},{""id"":150,""name"":""Time of Event (Mountain Time)"",""value"":"""&amp;TEXT(I123,"hh:mm:ss")&amp;"""},{""id"":151,""name"":""Denver Issue ID"",""value"":"""&amp;"""},{""id"":178,""name"":""Operational Impact"",""value"":"""&amp;redmine_op_impact&amp;"""},{""id"":179,""name"":""Denver Segment Assigned"",""value"":"""&amp;AL123&amp;"""}]}}"&amp;"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{"issue":{"subject":"","project_id":79,"tracker_id":40,"status_id":1,"priority_id":2,"assigned_to_id":23,"start_date":"2017-04-03","description":"","custom_fields":[{"id":1,"name":"Subdivision","value":"EC"},{"id":4,"name":"Milepost","value":"23.3325"},{"id":17,"name":"Train ID","value":"211-03"},{"id":16,"name":"Locomotive ID","value":"4004"},{"id":130,"name":"Impact","value":""},{"id":150,"name":"Time of Event (Mountain Time)","value":"18:09:04"},{"id":151,"name":"Denver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>"start /low /b "&amp;dls3logs&amp;" --loco "&amp;B123&amp;" --day "&amp;TEXT(F123,"YYYY-MM-DD")</f>
        <v>start /low /b %USERPROFILE%\Documents\GitHub\eaglep3\Utilities\DownloadLogsFromS3.py --loco 4004 --day 2017-04-03</v>
      </c>
      <c r="AN123" s="159" t="str">
        <f>"echo {""issue"":{""subject"":"""&amp;R123&amp;""",""project_id"":30,""tracker_id"":4,""status_id"":"&amp;redmine_status_wcr&amp;",""priority_id"":"&amp;redmine_priority_wcr&amp;",""assigned_to_id"":"&amp;redmine_assignee_wcr&amp;",""start_date"":"""&amp;TEXT(I123-utc_offset/24,"YYYY-mm-dd")&amp;""",""description"":"""&amp;AJ123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00:09:04"},{"id":29,"name":"Sharepoint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774</v>
      </c>
      <c r="B124" s="7">
        <v>4003</v>
      </c>
      <c r="C124" s="21" t="s">
        <v>217</v>
      </c>
      <c r="D124" s="21" t="s">
        <v>507</v>
      </c>
      <c r="E124" s="13">
        <v>42828.766770833332</v>
      </c>
      <c r="F124" s="13">
        <v>42828.768206018518</v>
      </c>
      <c r="G124" s="7">
        <v>1</v>
      </c>
      <c r="H124" s="21" t="s">
        <v>429</v>
      </c>
      <c r="I124" s="13">
        <v>42828.795763888891</v>
      </c>
      <c r="J124" s="7">
        <v>0</v>
      </c>
      <c r="K124" s="97" t="str">
        <f>IF(ISEVEN(B124),(B124-1)&amp;"/"&amp;B124,B124&amp;"/"&amp;(B124+1))</f>
        <v>4003/4004</v>
      </c>
      <c r="L124" s="21" t="str">
        <f>VLOOKUP(A124,'Trips&amp;Operators'!$C$1:$G$99999,5,FALSE)</f>
        <v>LOCKLEAR TRAVIS</v>
      </c>
      <c r="M124" s="6">
        <f>I124-F124</f>
        <v>2.7557870373129845E-2</v>
      </c>
      <c r="N124" s="7">
        <f>24*60*SUM($M124:$M124)</f>
        <v>39.683333337306976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-04-03T17:24:09-0600',mode:absolute,to:'2017-04-03T20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4" s="183" t="str">
        <f>IF(AA124&lt;IF(AG124="EC",23,5.65),"Y","N")</f>
        <v>N</v>
      </c>
      <c r="X124" s="183">
        <f>VALUE(LEFT(AD124,4))-VALUE(LEFT(AD123,4))</f>
        <v>1</v>
      </c>
      <c r="Y124" s="62">
        <f>RIGHT(D124,LEN(D124)-4)/10000</f>
        <v>23.3002</v>
      </c>
      <c r="Z124" s="62">
        <f>RIGHT(H124,LEN(H124)-4)/10000</f>
        <v>1.61E-2</v>
      </c>
      <c r="AA124" s="62">
        <f>ABS(Z124-Y124)</f>
        <v>23.284099999999999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>IF(LEN(A124)=6,"0"&amp;A124,A124)</f>
        <v>0212-03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124" s="82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/stypes="app*4003*20170404*" /stext=" 01:.+((SYSTEM_STATE.+slice.+state.+changed )|(ment ac)|(multiple cpu faults)|(system.+state.+changed )|(\[timeout)|(PRM\|1\|D)|(kpr)|(kdp)|(\|lc)|(penalty))"</v>
      </c>
      <c r="AG124" s="1" t="str">
        <f>IFERROR(IF(VALUE(LEFT(AD124,2))&lt;=2,"EC",IF(OR(VALUE(LEFT(AD124,2))=8,VALUE(LEFT(AD124,2))=18),"NW","Other")),"Other")</f>
        <v>EC</v>
      </c>
      <c r="AH124" s="86" t="str">
        <f>refinertdcruntimes&amp;" --tripid "&amp;A124&amp;" --locoid "&amp;B124&amp;" --swversion "&amp;C124&amp;" --startMP "&amp;D124&amp;" --initTime "&amp;TEXT(E124,"yyyy-mm-ddTHH:MM:SS")&amp;" --startdatetime "&amp;TEXT(F124,"yyyy-mm-ddTHH:MM:SS")&amp;" --delay "&amp;G124&amp;" --endMP "&amp;H124&amp;" --enddatetime "&amp;TEXT(I124,"yyyy-mm-ddTHH:MM:SS")&amp;" --enforcementcount "&amp;J124&amp;IF(outputrefinedruntimes," &gt;&gt;"&amp;RefinedRTDCRunTimesOutputFile,"")</f>
        <v>"%USERPROFILE%\Documents\GitHub\eaglep3\Utilities\RefineRTDCRunTimes.py" --tripid 212-03 --locoid 4003 --swversion DE.1.0.9.0 --startMP 204:233002 --initTime 2017-04-03T18:24:09 --startdatetime 2017-04-03T18:26:13 --delay 1 --endMP 204:161 --enddatetime 2017-04-03T19:05:54 --enforcementcount 0 &gt;&gt;C:\Users\stu\Documents\GitHub\eaglep3-reporting\EC\2017-04-03-refined-times.txt</v>
      </c>
      <c r="AI124" s="104" t="str">
        <f>"echo {""issue"":{""subject"":"""&amp;R124&amp;""",""project_id"":79,""tracker_id"":40,""status_id"":"&amp;redmine_status&amp;",""priority_id"":"&amp;redmine_priority&amp;",""assigned_to_id"":"&amp;redmine_assignee&amp;",""start_date"":"""&amp;TEXT(I124,"YYYY-mm-dd")&amp;""",""description"":"""&amp;AJ124&amp;""",""custom_fields"":[{""id"":1,""name"":""Subdivision"",""value"":"""&amp;AG124&amp;"""},{""id"":4,""name"":""Milepost"",""value"":"""&amp;Z124&amp;"""},{""id"":17,""name"":""Train ID"",""value"":"""&amp;A124&amp;"""},{""id"":16,""name"":""Locomotive ID"",""value"":"""&amp;B124&amp;"""},{""id"":130,""name"":""Impact"",""value"":"""&amp;AK124&amp;"""},{""id"":150,""name"":""Time of Event (Mountain Time)"",""value"":"""&amp;TEXT(I124,"hh:mm:ss")&amp;"""},{""id"":151,""name"":""Denver Issue ID"",""value"":"""&amp;"""},{""id"":178,""name"":""Operational Impact"",""value"":"""&amp;redmine_op_impact&amp;"""},{""id"":179,""name"":""Denver Segment Assigned"",""value"":"""&amp;AL124&amp;"""}]}}"&amp;"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{"issue":{"subject":"","project_id":79,"tracker_id":40,"status_id":1,"priority_id":2,"assigned_to_id":23,"start_date":"2017-04-03","description":"","custom_fields":[{"id":1,"name":"Subdivision","value":"EC"},{"id":4,"name":"Milepost","value":"0.0161"},{"id":17,"name":"Train ID","value":"212-03"},{"id":16,"name":"Locomotive ID","value":"4003"},{"id":130,"name":"Impact","value":""},{"id":150,"name":"Time of Event (Mountain Time)","value":"19:05:54"},{"id":151,"name":"Denver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>"start /low /b "&amp;dls3logs&amp;" --loco "&amp;B124&amp;" --day "&amp;TEXT(F124,"YYYY-MM-DD")</f>
        <v>start /low /b %USERPROFILE%\Documents\GitHub\eaglep3\Utilities\DownloadLogsFromS3.py --loco 4003 --day 2017-04-03</v>
      </c>
      <c r="AN124" s="159" t="str">
        <f>"echo {""issue"":{""subject"":"""&amp;R124&amp;""",""project_id"":30,""tracker_id"":4,""status_id"":"&amp;redmine_status_wcr&amp;",""priority_id"":"&amp;redmine_priority_wcr&amp;",""assigned_to_id"":"&amp;redmine_assignee_wcr&amp;",""start_date"":"""&amp;TEXT(I124-utc_offset/24,"YYYY-mm-dd")&amp;""",""description"":"""&amp;AJ124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762</v>
      </c>
      <c r="B125" s="7">
        <v>4030</v>
      </c>
      <c r="C125" s="21" t="s">
        <v>217</v>
      </c>
      <c r="D125" s="21" t="s">
        <v>449</v>
      </c>
      <c r="E125" s="13">
        <v>42828.737650462965</v>
      </c>
      <c r="F125" s="13">
        <v>42828.739895833336</v>
      </c>
      <c r="G125" s="7">
        <v>1</v>
      </c>
      <c r="H125" s="21" t="s">
        <v>446</v>
      </c>
      <c r="I125" s="13">
        <v>42828.765231481484</v>
      </c>
      <c r="J125" s="7">
        <v>0</v>
      </c>
      <c r="K125" s="97" t="str">
        <f>IF(ISEVEN(B125),(B125-1)&amp;"/"&amp;B125,B125&amp;"/"&amp;(B125+1))</f>
        <v>4029/4030</v>
      </c>
      <c r="L125" s="21" t="str">
        <f>VLOOKUP(A125,'Trips&amp;Operators'!$C$1:$G$99999,5,FALSE)</f>
        <v>SMITH MICHAEL</v>
      </c>
      <c r="M125" s="6">
        <f>I125-F125</f>
        <v>2.5335648148029577E-2</v>
      </c>
      <c r="N125" s="7">
        <f>24*60*SUM($M125:$M125)</f>
        <v>36.483333333162591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-04-03T16:42:13-0600',mode:absolute,to:'2017-04-03T19:21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5" s="183" t="str">
        <f>IF(AA125&lt;IF(AG125="EC",23,5.65),"Y","N")</f>
        <v>N</v>
      </c>
      <c r="X125" s="183">
        <f>VALUE(LEFT(AD125,4))-VALUE(LEFT(AD124,4))</f>
        <v>1</v>
      </c>
      <c r="Y125" s="62">
        <f>RIGHT(D125,LEN(D125)-4)/10000</f>
        <v>4.4699999999999997E-2</v>
      </c>
      <c r="Z125" s="62">
        <f>RIGHT(H125,LEN(H125)-4)/10000</f>
        <v>23.329899999999999</v>
      </c>
      <c r="AA125" s="62">
        <f>ABS(Z125-Y125)</f>
        <v>23.2852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>IF(LEN(A125)=6,"0"&amp;A125,A125)</f>
        <v>0213-03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25" s="82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/stypes="app*4030*20170404*" /stext=" 00:.+((SYSTEM_STATE.+slice.+state.+changed )|(ment ac)|(multiple cpu faults)|(system.+state.+changed )|(\[timeout)|(PRM\|1\|D)|(kpr)|(kdp)|(\|lc)|(penalty))"</v>
      </c>
      <c r="AG125" s="1" t="str">
        <f>IFERROR(IF(VALUE(LEFT(AD125,2))&lt;=2,"EC",IF(OR(VALUE(LEFT(AD125,2))=8,VALUE(LEFT(AD125,2))=18),"NW","Other")),"Other")</f>
        <v>EC</v>
      </c>
      <c r="AH125" s="86" t="str">
        <f>refinertdcruntimes&amp;" --tripid "&amp;A125&amp;" --locoid "&amp;B125&amp;" --swversion "&amp;C125&amp;" --startMP "&amp;D125&amp;" --initTime "&amp;TEXT(E125,"yyyy-mm-ddTHH:MM:SS")&amp;" --startdatetime "&amp;TEXT(F125,"yyyy-mm-ddTHH:MM:SS")&amp;" --delay "&amp;G125&amp;" --endMP "&amp;H125&amp;" --enddatetime "&amp;TEXT(I125,"yyyy-mm-ddTHH:MM:SS")&amp;" --enforcementcount "&amp;J125&amp;IF(outputrefinedruntimes," &gt;&gt;"&amp;RefinedRTDCRunTimesOutputFile,"")</f>
        <v>"%USERPROFILE%\Documents\GitHub\eaglep3\Utilities\RefineRTDCRunTimes.py" --tripid 213-03 --locoid 4030 --swversion DE.1.0.9.0 --startMP 204:447 --initTime 2017-04-03T17:42:13 --startdatetime 2017-04-03T17:45:27 --delay 1 --endMP 204:233299 --enddatetime 2017-04-03T18:21:56 --enforcementcount 0 &gt;&gt;C:\Users\stu\Documents\GitHub\eaglep3-reporting\EC\2017-04-03-refined-times.txt</v>
      </c>
      <c r="AI125" s="104" t="str">
        <f>"echo {""issue"":{""subject"":"""&amp;R125&amp;""",""project_id"":79,""tracker_id"":40,""status_id"":"&amp;redmine_status&amp;",""priority_id"":"&amp;redmine_priority&amp;",""assigned_to_id"":"&amp;redmine_assignee&amp;",""start_date"":"""&amp;TEXT(I125,"YYYY-mm-dd")&amp;""",""description"":"""&amp;AJ125&amp;""",""custom_fields"":[{""id"":1,""name"":""Subdivision"",""value"":"""&amp;AG125&amp;"""},{""id"":4,""name"":""Milepost"",""value"":"""&amp;Z125&amp;"""},{""id"":17,""name"":""Train ID"",""value"":"""&amp;A125&amp;"""},{""id"":16,""name"":""Locomotive ID"",""value"":"""&amp;B125&amp;"""},{""id"":130,""name"":""Impact"",""value"":"""&amp;AK125&amp;"""},{""id"":150,""name"":""Time of Event (Mountain Time)"",""value"":"""&amp;TEXT(I125,"hh:mm:ss")&amp;"""},{""id"":151,""name"":""Denver Issue ID"",""value"":"""&amp;"""},{""id"":178,""name"":""Operational Impact"",""value"":"""&amp;redmine_op_impact&amp;"""},{""id"":179,""name"":""Denver Segment Assigned"",""value"":"""&amp;AL125&amp;"""}]}}"&amp;"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{"issue":{"subject":"","project_id":79,"tracker_id":40,"status_id":1,"priority_id":2,"assigned_to_id":23,"start_date":"2017-04-03","description":"","custom_fields":[{"id":1,"name":"Subdivision","value":"EC"},{"id":4,"name":"Milepost","value":"23.3299"},{"id":17,"name":"Train ID","value":"213-03"},{"id":16,"name":"Locomotive ID","value":"4030"},{"id":130,"name":"Impact","value":""},{"id":150,"name":"Time of Event (Mountain Time)","value":"18:21:56"},{"id":151,"name":"Denver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>"start /low /b "&amp;dls3logs&amp;" --loco "&amp;B125&amp;" --day "&amp;TEXT(F125,"YYYY-MM-DD")</f>
        <v>start /low /b %USERPROFILE%\Documents\GitHub\eaglep3\Utilities\DownloadLogsFromS3.py --loco 4030 --day 2017-04-03</v>
      </c>
      <c r="AN125" s="159" t="str">
        <f>"echo {""issue"":{""subject"":"""&amp;R125&amp;""",""project_id"":30,""tracker_id"":4,""status_id"":"&amp;redmine_status_wcr&amp;",""priority_id"":"&amp;redmine_priority_wcr&amp;",""assigned_to_id"":"&amp;redmine_assignee_wcr&amp;",""start_date"":"""&amp;TEXT(I125-utc_offset/24,"YYYY-mm-dd")&amp;""",""description"":"""&amp;AJ125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775</v>
      </c>
      <c r="B126" s="7">
        <v>4029</v>
      </c>
      <c r="C126" s="21" t="s">
        <v>217</v>
      </c>
      <c r="D126" s="21" t="s">
        <v>889</v>
      </c>
      <c r="E126" s="13">
        <v>42828.767800925925</v>
      </c>
      <c r="F126" s="13">
        <v>42828.778715277775</v>
      </c>
      <c r="G126" s="7">
        <v>1</v>
      </c>
      <c r="H126" s="21" t="s">
        <v>184</v>
      </c>
      <c r="I126" s="13">
        <v>42828.806250000001</v>
      </c>
      <c r="J126" s="7">
        <v>0</v>
      </c>
      <c r="K126" s="97" t="str">
        <f>IF(ISEVEN(B126),(B126-1)&amp;"/"&amp;B126,B126&amp;"/"&amp;(B126+1))</f>
        <v>4029/4030</v>
      </c>
      <c r="L126" s="21" t="str">
        <f>VLOOKUP(A126,'Trips&amp;Operators'!$C$1:$G$99999,5,FALSE)</f>
        <v>SMITH MICHAEL</v>
      </c>
      <c r="M126" s="6">
        <f>I126-F126</f>
        <v>2.7534722226846498E-2</v>
      </c>
      <c r="N126" s="7">
        <f>24*60*SUM($M126:$M126)</f>
        <v>39.650000006658956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-04-03T17:25:38-0600',mode:absolute,to:'2017-04-03T20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6" s="183" t="str">
        <f>IF(AA126&lt;IF(AG126="EC",23,5.65),"Y","N")</f>
        <v>N</v>
      </c>
      <c r="X126" s="183">
        <f>VALUE(LEFT(AD126,4))-VALUE(LEFT(AD125,4))</f>
        <v>1</v>
      </c>
      <c r="Y126" s="62">
        <f>RIGHT(D126,LEN(D126)-4)/10000</f>
        <v>23.297499999999999</v>
      </c>
      <c r="Z126" s="62">
        <f>RIGHT(H126,LEN(H126)-4)/10000</f>
        <v>1.49E-2</v>
      </c>
      <c r="AA126" s="62">
        <f>ABS(Z126-Y126)</f>
        <v>23.282599999999999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>IF(LEN(A126)=6,"0"&amp;A126,A126)</f>
        <v>0214-03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26" s="82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/stypes="app*4029*20170404*" /stext=" 01:.+((SYSTEM_STATE.+slice.+state.+changed )|(ment ac)|(multiple cpu faults)|(system.+state.+changed )|(\[timeout)|(PRM\|1\|D)|(kpr)|(kdp)|(\|lc)|(penalty))"</v>
      </c>
      <c r="AG126" s="1" t="str">
        <f>IFERROR(IF(VALUE(LEFT(AD126,2))&lt;=2,"EC",IF(OR(VALUE(LEFT(AD126,2))=8,VALUE(LEFT(AD126,2))=18),"NW","Other")),"Other")</f>
        <v>EC</v>
      </c>
      <c r="AH126" s="86" t="str">
        <f>refinertdcruntimes&amp;" --tripid "&amp;A126&amp;" --locoid "&amp;B126&amp;" --swversion "&amp;C126&amp;" --startMP "&amp;D126&amp;" --initTime "&amp;TEXT(E126,"yyyy-mm-ddTHH:MM:SS")&amp;" --startdatetime "&amp;TEXT(F126,"yyyy-mm-ddTHH:MM:SS")&amp;" --delay "&amp;G126&amp;" --endMP "&amp;H126&amp;" --enddatetime "&amp;TEXT(I126,"yyyy-mm-ddTHH:MM:SS")&amp;" --enforcementcount "&amp;J126&amp;IF(outputrefinedruntimes," &gt;&gt;"&amp;RefinedRTDCRunTimesOutputFile,"")</f>
        <v>"%USERPROFILE%\Documents\GitHub\eaglep3\Utilities\RefineRTDCRunTimes.py" --tripid 214-03 --locoid 4029 --swversion DE.1.0.9.0 --startMP 204:232975 --initTime 2017-04-03T18:25:38 --startdatetime 2017-04-03T18:41:21 --delay 1 --endMP 204:149 --enddatetime 2017-04-03T19:21:00 --enforcementcount 0 &gt;&gt;C:\Users\stu\Documents\GitHub\eaglep3-reporting\EC\2017-04-03-refined-times.txt</v>
      </c>
      <c r="AI126" s="104" t="str">
        <f>"echo {""issue"":{""subject"":"""&amp;R126&amp;""",""project_id"":79,""tracker_id"":40,""status_id"":"&amp;redmine_status&amp;",""priority_id"":"&amp;redmine_priority&amp;",""assigned_to_id"":"&amp;redmine_assignee&amp;",""start_date"":"""&amp;TEXT(I126,"YYYY-mm-dd")&amp;""",""description"":"""&amp;AJ126&amp;""",""custom_fields"":[{""id"":1,""name"":""Subdivision"",""value"":"""&amp;AG126&amp;"""},{""id"":4,""name"":""Milepost"",""value"":"""&amp;Z126&amp;"""},{""id"":17,""name"":""Train ID"",""value"":"""&amp;A126&amp;"""},{""id"":16,""name"":""Locomotive ID"",""value"":"""&amp;B126&amp;"""},{""id"":130,""name"":""Impact"",""value"":"""&amp;AK126&amp;"""},{""id"":150,""name"":""Time of Event (Mountain Time)"",""value"":"""&amp;TEXT(I126,"hh:mm:ss")&amp;"""},{""id"":151,""name"":""Denver Issue ID"",""value"":"""&amp;"""},{""id"":178,""name"":""Operational Impact"",""value"":"""&amp;redmine_op_impact&amp;"""},{""id"":179,""name"":""Denver Segment Assigned"",""value"":"""&amp;AL126&amp;"""}]}}"&amp;"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ID","value":"214-03"},{"id":16,"name":"Locomotive ID","value":"4029"},{"id":130,"name":"Impact","value":""},{"id":150,"name":"Time of Event (Mountain Time)","value":"19:21:00"},{"id":151,"name":"Denver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>"start /low /b "&amp;dls3logs&amp;" --loco "&amp;B126&amp;" --day "&amp;TEXT(F126,"YYYY-MM-DD")</f>
        <v>start /low /b %USERPROFILE%\Documents\GitHub\eaglep3\Utilities\DownloadLogsFromS3.py --loco 4029 --day 2017-04-03</v>
      </c>
      <c r="AN126" s="159" t="str">
        <f>"echo {""issue"":{""subject"":"""&amp;R126&amp;""",""project_id"":30,""tracker_id"":4,""status_id"":"&amp;redmine_status_wcr&amp;",""priority_id"":"&amp;redmine_priority_wcr&amp;",""assigned_to_id"":"&amp;redmine_assignee_wcr&amp;",""start_date"":"""&amp;TEXT(I126-utc_offset/24,"YYYY-mm-dd")&amp;""",""description"":"""&amp;AJ126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615</v>
      </c>
      <c r="B127" s="7">
        <v>4044</v>
      </c>
      <c r="C127" s="21" t="s">
        <v>217</v>
      </c>
      <c r="D127" s="21" t="s">
        <v>831</v>
      </c>
      <c r="E127" s="13">
        <v>42828.747037037036</v>
      </c>
      <c r="F127" s="13">
        <v>42828.75037037037</v>
      </c>
      <c r="G127" s="7">
        <v>3</v>
      </c>
      <c r="H127" s="21" t="s">
        <v>462</v>
      </c>
      <c r="I127" s="13">
        <v>42828.776770833334</v>
      </c>
      <c r="J127" s="7">
        <v>0</v>
      </c>
      <c r="K127" s="97" t="str">
        <f>IF(ISEVEN(B127),(B127-1)&amp;"/"&amp;B127,B127&amp;"/"&amp;(B127+1))</f>
        <v>4043/4044</v>
      </c>
      <c r="L127" s="21" t="str">
        <f>VLOOKUP(A127,'Trips&amp;Operators'!$C$1:$G$99999,5,FALSE)</f>
        <v>BRANDNER MELINDA</v>
      </c>
      <c r="M127" s="6">
        <f>I127-F127</f>
        <v>2.6400462964375038E-2</v>
      </c>
      <c r="N127" s="7">
        <f>24*60*SUM($M127:$M127)</f>
        <v>38.016666668700054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-04-03T16:55:44-0600',mode:absolute,to:'2017-04-03T19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7" s="183" t="str">
        <f>IF(AA127&lt;IF(AG127="EC",23,5.65),"Y","N")</f>
        <v>N</v>
      </c>
      <c r="X127" s="183">
        <f>VALUE(LEFT(AD127,4))-VALUE(LEFT(AD126,4))</f>
        <v>1</v>
      </c>
      <c r="Y127" s="62">
        <f>RIGHT(D127,LEN(D127)-4)/10000</f>
        <v>4.9299999999999997E-2</v>
      </c>
      <c r="Z127" s="62">
        <f>RIGHT(H127,LEN(H127)-4)/10000</f>
        <v>23.330400000000001</v>
      </c>
      <c r="AA127" s="62">
        <f>ABS(Z127-Y127)</f>
        <v>23.281100000000002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>IF(LEN(A127)=6,"0"&amp;A127,A127)</f>
        <v>0215-03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127" s="82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/stypes="app*4044*20170404*" /stext=" 00:.+((SYSTEM_STATE.+slice.+state.+changed )|(ment ac)|(multiple cpu faults)|(system.+state.+changed )|(\[timeout)|(PRM\|1\|D)|(kpr)|(kdp)|(\|lc)|(penalty))"</v>
      </c>
      <c r="AG127" s="1" t="str">
        <f>IFERROR(IF(VALUE(LEFT(AD127,2))&lt;=2,"EC",IF(OR(VALUE(LEFT(AD127,2))=8,VALUE(LEFT(AD127,2))=18),"NW","Other")),"Other")</f>
        <v>EC</v>
      </c>
      <c r="AH127" s="86" t="str">
        <f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215-03 --locoid 4044 --swversion DE.1.0.9.0 --startMP 204:493 --initTime 2017-04-03T17:55:44 --startdatetime 2017-04-03T18:00:32 --delay 3 --endMP 204:233304 --enddatetime 2017-04-03T18:38:33 --enforcementcount 0 &gt;&gt;C:\Users\stu\Documents\GitHub\eaglep3-reporting\EC\2017-04-03-refined-times.txt</v>
      </c>
      <c r="AI127" s="104" t="str">
        <f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ID","value":"215-03"},{"id":16,"name":"Locomotive ID","value":"4044"},{"id":130,"name":"Impact","value":""},{"id":150,"name":"Time of Event (Mountain Time)","value":"18:38:33"},{"id":151,"name":"Denver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>"start /low /b "&amp;dls3logs&amp;" --loco "&amp;B127&amp;" --day "&amp;TEXT(F127,"YYYY-MM-DD")</f>
        <v>start /low /b %USERPROFILE%\Documents\GitHub\eaglep3\Utilities\DownloadLogsFromS3.py --loco 4044 --day 2017-04-03</v>
      </c>
      <c r="AN127" s="159" t="str">
        <f>"echo {""issue"":{""subject"":"""&amp;R127&amp;""",""project_id"":30,""tracker_id"":4,""status_id"":"&amp;redmine_status_wcr&amp;",""priority_id"":"&amp;redmine_priority_wcr&amp;",""assigned_to_id"":"&amp;redmine_assignee_wcr&amp;",""start_date"":"""&amp;TEXT(I127-utc_offset/24,"YYYY-mm-dd")&amp;""",""description"":"""&amp;AJ127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780</v>
      </c>
      <c r="B128" s="7">
        <v>4043</v>
      </c>
      <c r="C128" s="21" t="s">
        <v>217</v>
      </c>
      <c r="D128" s="21" t="s">
        <v>558</v>
      </c>
      <c r="E128" s="13">
        <v>42828.783807870372</v>
      </c>
      <c r="F128" s="13">
        <v>42828.789097222223</v>
      </c>
      <c r="G128" s="7">
        <v>1</v>
      </c>
      <c r="H128" s="21" t="s">
        <v>214</v>
      </c>
      <c r="I128" s="13">
        <v>42828.817719907405</v>
      </c>
      <c r="J128" s="7">
        <v>0</v>
      </c>
      <c r="K128" s="97" t="str">
        <f>IF(ISEVEN(B128),(B128-1)&amp;"/"&amp;B128,B128&amp;"/"&amp;(B128+1))</f>
        <v>4043/4044</v>
      </c>
      <c r="L128" s="21" t="str">
        <f>VLOOKUP(A128,'Trips&amp;Operators'!$C$1:$G$99999,5,FALSE)</f>
        <v>BRANDNER MELINDA</v>
      </c>
      <c r="M128" s="6">
        <f>I128-F128</f>
        <v>2.8622685182199348E-2</v>
      </c>
      <c r="N128" s="7">
        <f>24*60*SUM($M128:$M128)</f>
        <v>41.216666662367061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-04-03T17:48:41-0600',mode:absolute,to:'2017-04-03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8" s="183" t="str">
        <f>IF(AA128&lt;IF(AG128="EC",23,5.65),"Y","N")</f>
        <v>N</v>
      </c>
      <c r="X128" s="183">
        <f>VALUE(LEFT(AD128,4))-VALUE(LEFT(AD127,4))</f>
        <v>1</v>
      </c>
      <c r="Y128" s="62">
        <f>RIGHT(D128,LEN(D128)-4)/10000</f>
        <v>23.299099999999999</v>
      </c>
      <c r="Z128" s="62">
        <f>RIGHT(H128,LEN(H128)-4)/10000</f>
        <v>1.47E-2</v>
      </c>
      <c r="AA128" s="62">
        <f>ABS(Z128-Y128)</f>
        <v>23.284399999999998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>IF(LEN(A128)=6,"0"&amp;A128,A128)</f>
        <v>0216-03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128" s="82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/stypes="app*4043*20170404*" /stext=" 01:.+((SYSTEM_STATE.+slice.+state.+changed )|(ment ac)|(multiple cpu faults)|(system.+state.+changed )|(\[timeout)|(PRM\|1\|D)|(kpr)|(kdp)|(\|lc)|(penalty))"</v>
      </c>
      <c r="AG128" s="1" t="str">
        <f>IFERROR(IF(VALUE(LEFT(AD128,2))&lt;=2,"EC",IF(OR(VALUE(LEFT(AD128,2))=8,VALUE(LEFT(AD128,2))=18),"NW","Other")),"Other")</f>
        <v>EC</v>
      </c>
      <c r="AH128" s="86" t="str">
        <f>refinertdcruntimes&amp;" --tripid "&amp;A128&amp;" --locoid "&amp;B128&amp;" --swversion "&amp;C128&amp;" --startMP "&amp;D128&amp;" --initTime "&amp;TEXT(E128,"yyyy-mm-ddTHH:MM:SS")&amp;" --startdatetime "&amp;TEXT(F128,"yyyy-mm-ddTHH:MM:SS")&amp;" --delay "&amp;G128&amp;" --endMP "&amp;H128&amp;" --enddatetime "&amp;TEXT(I128,"yyyy-mm-ddTHH:MM:SS")&amp;" --enforcementcount "&amp;J128&amp;IF(outputrefinedruntimes," &gt;&gt;"&amp;RefinedRTDCRunTimesOutputFile,"")</f>
        <v>"%USERPROFILE%\Documents\GitHub\eaglep3\Utilities\RefineRTDCRunTimes.py" --tripid 216-03 --locoid 4043 --swversion DE.1.0.9.0 --startMP 204:232991 --initTime 2017-04-03T18:48:41 --startdatetime 2017-04-03T18:56:18 --delay 1 --endMP 204:147 --enddatetime 2017-04-03T19:37:31 --enforcementcount 0 &gt;&gt;C:\Users\stu\Documents\GitHub\eaglep3-reporting\EC\2017-04-03-refined-times.txt</v>
      </c>
      <c r="AI128" s="104" t="str">
        <f>"echo {""issue"":{""subject"":"""&amp;R128&amp;""",""project_id"":79,""tracker_id"":40,""status_id"":"&amp;redmine_status&amp;",""priority_id"":"&amp;redmine_priority&amp;",""assigned_to_id"":"&amp;redmine_assignee&amp;",""start_date"":"""&amp;TEXT(I128,"YYYY-mm-dd")&amp;""",""description"":"""&amp;AJ128&amp;""",""custom_fields"":[{""id"":1,""name"":""Subdivision"",""value"":"""&amp;AG128&amp;"""},{""id"":4,""name"":""Milepost"",""value"":"""&amp;Z128&amp;"""},{""id"":17,""name"":""Train ID"",""value"":"""&amp;A128&amp;"""},{""id"":16,""name"":""Locomotive ID"",""value"":"""&amp;B128&amp;"""},{""id"":130,""name"":""Impact"",""value"":"""&amp;AK128&amp;"""},{""id"":150,""name"":""Time of Event (Mountain Time)"",""value"":"""&amp;TEXT(I128,"hh:mm:ss")&amp;"""},{""id"":151,""name"":""Denver Issue ID"",""value"":"""&amp;"""},{""id"":178,""name"":""Operational Impact"",""value"":"""&amp;redmine_op_impact&amp;"""},{""id"":179,""name"":""Denver Segment Assigned"",""value"":"""&amp;AL128&amp;"""}]}}"&amp;"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{"issue":{"subject":"","project_id":79,"tracker_id":40,"status_id":1,"priority_id":2,"assigned_to_id":23,"start_date":"2017-04-03","description":"","custom_fields":[{"id":1,"name":"Subdivision","value":"EC"},{"id":4,"name":"Milepost","value":"0.0147"},{"id":17,"name":"Train ID","value":"216-03"},{"id":16,"name":"Locomotive ID","value":"4043"},{"id":130,"name":"Impact","value":""},{"id":150,"name":"Time of Event (Mountain Time)","value":"19:37:31"},{"id":151,"name":"Denver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>"start /low /b "&amp;dls3logs&amp;" --loco "&amp;B128&amp;" --day "&amp;TEXT(F128,"YYYY-MM-DD")</f>
        <v>start /low /b %USERPROFILE%\Documents\GitHub\eaglep3\Utilities\DownloadLogsFromS3.py --loco 4043 --day 2017-04-03</v>
      </c>
      <c r="AN128" s="159" t="str">
        <f>"echo {""issue"":{""subject"":"""&amp;R128&amp;""",""project_id"":30,""tracker_id"":4,""status_id"":"&amp;redmine_status_wcr&amp;",""priority_id"":"&amp;redmine_priority_wcr&amp;",""assigned_to_id"":"&amp;redmine_assignee_wcr&amp;",""start_date"":"""&amp;TEXT(I128-utc_offset/24,"YYYY-mm-dd")&amp;""",""description"":"""&amp;AJ128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771</v>
      </c>
      <c r="B129" s="7">
        <v>4028</v>
      </c>
      <c r="C129" s="21" t="s">
        <v>217</v>
      </c>
      <c r="D129" s="21" t="s">
        <v>207</v>
      </c>
      <c r="E129" s="13">
        <v>42828.758391203701</v>
      </c>
      <c r="F129" s="13">
        <v>42828.760717592595</v>
      </c>
      <c r="G129" s="7">
        <v>2</v>
      </c>
      <c r="H129" s="21" t="s">
        <v>437</v>
      </c>
      <c r="I129" s="13">
        <v>42828.787291666667</v>
      </c>
      <c r="J129" s="7">
        <v>0</v>
      </c>
      <c r="K129" s="97" t="str">
        <f>IF(ISEVEN(B129),(B129-1)&amp;"/"&amp;B129,B129&amp;"/"&amp;(B129+1))</f>
        <v>4027/4028</v>
      </c>
      <c r="L129" s="21" t="str">
        <f>VLOOKUP(A129,'Trips&amp;Operators'!$C$1:$G$99999,5,FALSE)</f>
        <v>GUZMAN DANNY</v>
      </c>
      <c r="M129" s="6">
        <f>I129-F129</f>
        <v>2.6574074072414078E-2</v>
      </c>
      <c r="N129" s="7">
        <f>24*60*SUM($M129:$M129)</f>
        <v>38.266666664276272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-04-03T17:12:05-0600',mode:absolute,to:'2017-04-03T19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9" s="183" t="str">
        <f>IF(AA129&lt;IF(AG129="EC",23,5.65),"Y","N")</f>
        <v>N</v>
      </c>
      <c r="X129" s="183">
        <f>VALUE(LEFT(AD129,4))-VALUE(LEFT(AD128,4))</f>
        <v>1</v>
      </c>
      <c r="Y129" s="62">
        <f>RIGHT(D129,LEN(D129)-4)/10000</f>
        <v>4.5699999999999998E-2</v>
      </c>
      <c r="Z129" s="62">
        <f>RIGHT(H129,LEN(H129)-4)/10000</f>
        <v>23.328900000000001</v>
      </c>
      <c r="AA129" s="62">
        <f>ABS(Z129-Y129)</f>
        <v>23.283200000000001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>IF(LEN(A129)=6,"0"&amp;A129,A129)</f>
        <v>0217-03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29" s="82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/stypes="app*4028*20170404*" /stext=" 00:.+((SYSTEM_STATE.+slice.+state.+changed )|(ment ac)|(multiple cpu faults)|(system.+state.+changed )|(\[timeout)|(PRM\|1\|D)|(kpr)|(kdp)|(\|lc)|(penalty))"</v>
      </c>
      <c r="AG129" s="1" t="str">
        <f>IFERROR(IF(VALUE(LEFT(AD129,2))&lt;=2,"EC",IF(OR(VALUE(LEFT(AD129,2))=8,VALUE(LEFT(AD129,2))=18),"NW","Other")),"Other")</f>
        <v>EC</v>
      </c>
      <c r="AH129" s="86" t="str">
        <f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217-03 --locoid 4028 --swversion DE.1.0.9.0 --startMP 204:457 --initTime 2017-04-03T18:12:05 --startdatetime 2017-04-03T18:15:26 --delay 2 --endMP 204:233289 --enddatetime 2017-04-03T18:53:42 --enforcementcount 0 &gt;&gt;C:\Users\stu\Documents\GitHub\eaglep3-reporting\EC\2017-04-03-refined-times.txt</v>
      </c>
      <c r="AI129" s="104" t="str">
        <f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{"issue":{"subject":"","project_id":79,"tracker_id":40,"status_id":1,"priority_id":2,"assigned_to_id":23,"start_date":"2017-04-03","description":"","custom_fields":[{"id":1,"name":"Subdivision","value":"EC"},{"id":4,"name":"Milepost","value":"23.3289"},{"id":17,"name":"Train ID","value":"217-03"},{"id":16,"name":"Locomotive ID","value":"4028"},{"id":130,"name":"Impact","value":""},{"id":150,"name":"Time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>"start /low /b "&amp;dls3logs&amp;" --loco "&amp;B129&amp;" --day "&amp;TEXT(F129,"YYYY-MM-DD")</f>
        <v>start /low /b %USERPROFILE%\Documents\GitHub\eaglep3\Utilities\DownloadLogsFromS3.py --loco 4028 --day 2017-04-03</v>
      </c>
      <c r="AN129" s="159" t="str">
        <f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782</v>
      </c>
      <c r="B130" s="7">
        <v>4027</v>
      </c>
      <c r="C130" s="21" t="s">
        <v>217</v>
      </c>
      <c r="D130" s="21" t="s">
        <v>833</v>
      </c>
      <c r="E130" s="13">
        <v>42828.797395833331</v>
      </c>
      <c r="F130" s="13">
        <v>42828.800682870373</v>
      </c>
      <c r="G130" s="7">
        <v>4</v>
      </c>
      <c r="H130" s="21" t="s">
        <v>207</v>
      </c>
      <c r="I130" s="13">
        <v>42828.827581018515</v>
      </c>
      <c r="J130" s="7">
        <v>0</v>
      </c>
      <c r="K130" s="97" t="str">
        <f>IF(ISEVEN(B130),(B130-1)&amp;"/"&amp;B130,B130&amp;"/"&amp;(B130+1))</f>
        <v>4027/4028</v>
      </c>
      <c r="L130" s="21" t="str">
        <f>VLOOKUP(A130,'Trips&amp;Operators'!$C$1:$G$99999,5,FALSE)</f>
        <v>GUZMAN DANNY</v>
      </c>
      <c r="M130" s="6">
        <f>I130-F130</f>
        <v>2.6898148142208811E-2</v>
      </c>
      <c r="N130" s="7">
        <f>24*60*SUM($M130:$M130)</f>
        <v>38.733333324780688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-04-03T18:08:15-0600',mode:absolute,to:'2017-04-03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0" s="183" t="str">
        <f>IF(AA130&lt;IF(AG130="EC",23,5.65),"Y","N")</f>
        <v>N</v>
      </c>
      <c r="X130" s="183">
        <f>VALUE(LEFT(AD130,4))-VALUE(LEFT(AD129,4))</f>
        <v>1</v>
      </c>
      <c r="Y130" s="62">
        <f>RIGHT(D130,LEN(D130)-4)/10000</f>
        <v>23.2971</v>
      </c>
      <c r="Z130" s="62">
        <f>RIGHT(H130,LEN(H130)-4)/10000</f>
        <v>4.5699999999999998E-2</v>
      </c>
      <c r="AA130" s="62">
        <f>ABS(Z130-Y130)</f>
        <v>23.2514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>IF(LEN(A130)=6,"0"&amp;A130,A130)</f>
        <v>0218-03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30" s="82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/stypes="app*4027*20170404*" /stext=" 01:.+((SYSTEM_STATE.+slice.+state.+changed )|(ment ac)|(multiple cpu faults)|(system.+state.+changed )|(\[timeout)|(PRM\|1\|D)|(kpr)|(kdp)|(\|lc)|(penalty))"</v>
      </c>
      <c r="AG130" s="1" t="str">
        <f>IFERROR(IF(VALUE(LEFT(AD130,2))&lt;=2,"EC",IF(OR(VALUE(LEFT(AD130,2))=8,VALUE(LEFT(AD130,2))=18),"NW","Other")),"Other")</f>
        <v>EC</v>
      </c>
      <c r="AH130" s="86" t="str">
        <f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218-03 --locoid 4027 --swversion DE.1.0.9.0 --startMP 204:232971 --initTime 2017-04-03T19:08:15 --startdatetime 2017-04-03T19:12:59 --delay 4 --endMP 204:457 --enddatetime 2017-04-03T19:51:43 --enforcementcount 0 &gt;&gt;C:\Users\stu\Documents\GitHub\eaglep3-reporting\EC\2017-04-03-refined-times.txt</v>
      </c>
      <c r="AI130" s="104" t="str">
        <f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{"issue":{"subject":"","project_id":79,"tracker_id":40,"status_id":1,"priority_id":2,"assigned_to_id":23,"start_date":"2017-04-03","description":"","custom_fields":[{"id":1,"name":"Subdivision","value":"EC"},{"id":4,"name":"Milepost","value":"0.0457"},{"id":17,"name":"Train ID","value":"218-03"},{"id":16,"name":"Locomotive ID","value":"4027"},{"id":130,"name":"Impact","value":""},{"id":150,"name":"Time of Event (Mountain Time)","value":"19:51:43"},{"id":151,"name":"Denver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>"start /low /b "&amp;dls3logs&amp;" --loco "&amp;B130&amp;" --day "&amp;TEXT(F130,"YYYY-MM-DD")</f>
        <v>start /low /b %USERPROFILE%\Documents\GitHub\eaglep3\Utilities\DownloadLogsFromS3.py --loco 4027 --day 2017-04-03</v>
      </c>
      <c r="AN130" s="159" t="str">
        <f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777</v>
      </c>
      <c r="B131" s="7">
        <v>4018</v>
      </c>
      <c r="C131" s="21" t="s">
        <v>217</v>
      </c>
      <c r="D131" s="21" t="s">
        <v>890</v>
      </c>
      <c r="E131" s="13">
        <v>42828.769699074073</v>
      </c>
      <c r="F131" s="13">
        <v>42828.771527777775</v>
      </c>
      <c r="G131" s="7">
        <v>1</v>
      </c>
      <c r="H131" s="21" t="s">
        <v>563</v>
      </c>
      <c r="I131" s="13">
        <v>42828.796932870369</v>
      </c>
      <c r="J131" s="7">
        <v>0</v>
      </c>
      <c r="K131" s="97" t="str">
        <f>IF(ISEVEN(B131),(B131-1)&amp;"/"&amp;B131,B131&amp;"/"&amp;(B131+1))</f>
        <v>4017/4018</v>
      </c>
      <c r="L131" s="21" t="str">
        <f>VLOOKUP(A131,'Trips&amp;Operators'!$C$1:$G$99999,5,FALSE)</f>
        <v>STORY SAMANTHA</v>
      </c>
      <c r="M131" s="6">
        <f>I131-F131</f>
        <v>2.5405092594155576E-2</v>
      </c>
      <c r="N131" s="7">
        <f>24*60*SUM($M131:$M131)</f>
        <v>36.58333333558403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-04-03T17:28:22-0600',mode:absolute,to:'2017-04-03T20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83" t="str">
        <f>IF(AA131&lt;IF(AG131="EC",23,5.65),"Y","N")</f>
        <v>N</v>
      </c>
      <c r="X131" s="183">
        <f>VALUE(LEFT(AD131,4))-VALUE(LEFT(AD130,4))</f>
        <v>1</v>
      </c>
      <c r="Y131" s="62">
        <f>RIGHT(D131,LEN(D131)-4)/10000</f>
        <v>4.8000000000000001E-2</v>
      </c>
      <c r="Z131" s="62">
        <f>RIGHT(H131,LEN(H131)-4)/10000</f>
        <v>23.328700000000001</v>
      </c>
      <c r="AA131" s="62">
        <f>ABS(Z131-Y131)</f>
        <v>23.280700000000003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>IF(LEN(A131)=6,"0"&amp;A131,A131)</f>
        <v>0219-03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31" s="82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/stypes="app*4018*20170404*" /stext=" 01:.+((SYSTEM_STATE.+slice.+state.+changed )|(ment ac)|(multiple cpu faults)|(system.+state.+changed )|(\[timeout)|(PRM\|1\|D)|(kpr)|(kdp)|(\|lc)|(penalty))"</v>
      </c>
      <c r="AG131" s="1" t="str">
        <f>IFERROR(IF(VALUE(LEFT(AD131,2))&lt;=2,"EC",IF(OR(VALUE(LEFT(AD131,2))=8,VALUE(LEFT(AD131,2))=18),"NW","Other")),"Other")</f>
        <v>EC</v>
      </c>
      <c r="AH131" s="86" t="str">
        <f>refinertdcruntimes&amp;" --tripid "&amp;A131&amp;" --locoid "&amp;B131&amp;" --swversion "&amp;C131&amp;" --startMP "&amp;D131&amp;" --initTime "&amp;TEXT(E131,"yyyy-mm-ddTHH:MM:SS")&amp;" --startdatetime "&amp;TEXT(F131,"yyyy-mm-ddTHH:MM:SS")&amp;" --delay "&amp;G131&amp;" --endMP "&amp;H131&amp;" --enddatetime "&amp;TEXT(I131,"yyyy-mm-ddTHH:MM:SS")&amp;" --enforcementcount "&amp;J131&amp;IF(outputrefinedruntimes," &gt;&gt;"&amp;RefinedRTDCRunTimesOutputFile,"")</f>
        <v>"%USERPROFILE%\Documents\GitHub\eaglep3\Utilities\RefineRTDCRunTimes.py" --tripid 219-03 --locoid 4018 --swversion DE.1.0.9.0 --startMP 204:480 --initTime 2017-04-03T18:28:22 --startdatetime 2017-04-03T18:31:00 --delay 1 --endMP 204:233287 --enddatetime 2017-04-03T19:07:35 --enforcementcount 0 &gt;&gt;C:\Users\stu\Documents\GitHub\eaglep3-reporting\EC\2017-04-03-refined-times.txt</v>
      </c>
      <c r="AI131" s="104" t="str">
        <f>"echo {""issue"":{""subject"":"""&amp;R131&amp;""",""project_id"":79,""tracker_id"":40,""status_id"":"&amp;redmine_status&amp;",""priority_id"":"&amp;redmine_priority&amp;",""assigned_to_id"":"&amp;redmine_assignee&amp;",""start_date"":"""&amp;TEXT(I131,"YYYY-mm-dd")&amp;""",""description"":"""&amp;AJ131&amp;""",""custom_fields"":[{""id"":1,""name"":""Subdivision"",""value"":"""&amp;AG131&amp;"""},{""id"":4,""name"":""Milepost"",""value"":"""&amp;Z131&amp;"""},{""id"":17,""name"":""Train ID"",""value"":"""&amp;A131&amp;"""},{""id"":16,""name"":""Locomotive ID"",""value"":"""&amp;B131&amp;"""},{""id"":130,""name"":""Impact"",""value"":"""&amp;AK131&amp;"""},{""id"":150,""name"":""Time of Event (Mountain Time)"",""value"":"""&amp;TEXT(I131,"hh:mm:ss")&amp;"""},{""id"":151,""name"":""Denver Issue ID"",""value"":"""&amp;"""},{""id"":178,""name"":""Operational Impact"",""value"":"""&amp;redmine_op_impact&amp;"""},{""id"":179,""name"":""Denver Segment Assigned"",""value"":"""&amp;AL131&amp;"""}]}}"&amp;"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{"issue":{"subject":"","project_id":79,"tracker_id":40,"status_id":1,"priority_id":2,"assigned_to_id":23,"start_date":"2017-04-03","description":"","custom_fields":[{"id":1,"name":"Subdivision","value":"EC"},{"id":4,"name":"Milepost","value":"23.3287"},{"id":17,"name":"Train ID","value":"219-03"},{"id":16,"name":"Locomotive ID","value":"4018"},{"id":130,"name":"Impact","value":""},{"id":150,"name":"Time of Event (Mountain Time)","value":"19:07:35"},{"id":151,"name":"Denver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>"start /low /b "&amp;dls3logs&amp;" --loco "&amp;B131&amp;" --day "&amp;TEXT(F131,"YYYY-MM-DD")</f>
        <v>start /low /b %USERPROFILE%\Documents\GitHub\eaglep3\Utilities\DownloadLogsFromS3.py --loco 4018 --day 2017-04-03</v>
      </c>
      <c r="AN131" s="159" t="str">
        <f>"echo {""issue"":{""subject"":"""&amp;R131&amp;""",""project_id"":30,""tracker_id"":4,""status_id"":"&amp;redmine_status_wcr&amp;",""priority_id"":"&amp;redmine_priority_wcr&amp;",""assigned_to_id"":"&amp;redmine_assignee_wcr&amp;",""start_date"":"""&amp;TEXT(I131-utc_offset/24,"YYYY-mm-dd")&amp;""",""description"":"""&amp;AJ131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786</v>
      </c>
      <c r="B132" s="7">
        <v>4017</v>
      </c>
      <c r="C132" s="21" t="s">
        <v>217</v>
      </c>
      <c r="D132" s="21" t="s">
        <v>877</v>
      </c>
      <c r="E132" s="13">
        <v>42828.804583333331</v>
      </c>
      <c r="F132" s="13">
        <v>42828.81009259259</v>
      </c>
      <c r="G132" s="7">
        <v>1</v>
      </c>
      <c r="H132" s="21" t="s">
        <v>450</v>
      </c>
      <c r="I132" s="13">
        <v>42828.83761574074</v>
      </c>
      <c r="J132" s="7">
        <v>0</v>
      </c>
      <c r="K132" s="97" t="str">
        <f>IF(ISEVEN(B132),(B132-1)&amp;"/"&amp;B132,B132&amp;"/"&amp;(B132+1))</f>
        <v>4017/4018</v>
      </c>
      <c r="L132" s="21" t="str">
        <f>VLOOKUP(A132,'Trips&amp;Operators'!$C$1:$G$99999,5,FALSE)</f>
        <v>STORY SAMANTHA</v>
      </c>
      <c r="M132" s="6">
        <f>I132-F132</f>
        <v>2.7523148150066845E-2</v>
      </c>
      <c r="N132" s="7">
        <f>24*60*SUM($M132:$M132)</f>
        <v>39.633333336096257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-04-03T18:18:36-0600',mode:absolute,to:'2017-04-03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83" t="str">
        <f>IF(AA132&lt;IF(AG132="EC",23,5.65),"Y","N")</f>
        <v>N</v>
      </c>
      <c r="X132" s="183">
        <f>VALUE(LEFT(AD132,4))-VALUE(LEFT(AD131,4))</f>
        <v>1</v>
      </c>
      <c r="Y132" s="62">
        <f>RIGHT(D132,LEN(D132)-4)/10000</f>
        <v>23.296600000000002</v>
      </c>
      <c r="Z132" s="62">
        <f>RIGHT(H132,LEN(H132)-4)/10000</f>
        <v>1.41E-2</v>
      </c>
      <c r="AA132" s="62">
        <f>ABS(Z132-Y132)</f>
        <v>23.282500000000002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>IF(LEN(A132)=6,"0"&amp;A132,A132)</f>
        <v>0220-03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32" s="82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/stypes="app*4017*20170404*" /stext=" 02:.+((SYSTEM_STATE.+slice.+state.+changed )|(ment ac)|(multiple cpu faults)|(system.+state.+changed )|(\[timeout)|(PRM\|1\|D)|(kpr)|(kdp)|(\|lc)|(penalty))"</v>
      </c>
      <c r="AG132" s="1" t="str">
        <f>IFERROR(IF(VALUE(LEFT(AD132,2))&lt;=2,"EC",IF(OR(VALUE(LEFT(AD132,2))=8,VALUE(LEFT(AD132,2))=18),"NW","Other")),"Other")</f>
        <v>EC</v>
      </c>
      <c r="AH132" s="86" t="str">
        <f>refinertdcruntimes&amp;" --tripid "&amp;A132&amp;" --locoid "&amp;B132&amp;" --swversion "&amp;C132&amp;" --startMP "&amp;D132&amp;" --initTime "&amp;TEXT(E132,"yyyy-mm-ddTHH:MM:SS")&amp;" --startdatetime "&amp;TEXT(F132,"yyyy-mm-ddTHH:MM:SS")&amp;" --delay "&amp;G132&amp;" --endMP "&amp;H132&amp;" --enddatetime "&amp;TEXT(I132,"yyyy-mm-ddTHH:MM:SS")&amp;" --enforcementcount "&amp;J132&amp;IF(outputrefinedruntimes," &gt;&gt;"&amp;RefinedRTDCRunTimesOutputFile,"")</f>
        <v>"%USERPROFILE%\Documents\GitHub\eaglep3\Utilities\RefineRTDCRunTimes.py" --tripid 220-03 --locoid 4017 --swversion DE.1.0.9.0 --startMP 204:232966 --initTime 2017-04-03T19:18:36 --startdatetime 2017-04-03T19:26:32 --delay 1 --endMP 204:141 --enddatetime 2017-04-03T20:06:10 --enforcementcount 0 &gt;&gt;C:\Users\stu\Documents\GitHub\eaglep3-reporting\EC\2017-04-03-refined-times.txt</v>
      </c>
      <c r="AI132" s="104" t="str">
        <f>"echo {""issue"":{""subject"":"""&amp;R132&amp;""",""project_id"":79,""tracker_id"":40,""status_id"":"&amp;redmine_status&amp;",""priority_id"":"&amp;redmine_priority&amp;",""assigned_to_id"":"&amp;redmine_assignee&amp;",""start_date"":"""&amp;TEXT(I132,"YYYY-mm-dd")&amp;""",""description"":"""&amp;AJ132&amp;""",""custom_fields"":[{""id"":1,""name"":""Subdivision"",""value"":"""&amp;AG132&amp;"""},{""id"":4,""name"":""Milepost"",""value"":"""&amp;Z132&amp;"""},{""id"":17,""name"":""Train ID"",""value"":"""&amp;A132&amp;"""},{""id"":16,""name"":""Locomotive ID"",""value"":"""&amp;B132&amp;"""},{""id"":130,""name"":""Impact"",""value"":"""&amp;AK132&amp;"""},{""id"":150,""name"":""Time of Event (Mountain Time)"",""value"":"""&amp;TEXT(I132,"hh:mm:ss")&amp;"""},{""id"":151,""name"":""Denver Issue ID"",""value"":"""&amp;"""},{""id"":178,""name"":""Operational Impact"",""value"":"""&amp;redmine_op_impact&amp;"""},{""id"":179,""name"":""Denver Segment Assigned"",""value"":"""&amp;AL132&amp;"""}]}}"&amp;"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{"issue":{"subject":"","project_id":79,"tracker_id":40,"status_id":1,"priority_id":2,"assigned_to_id":23,"start_date":"2017-04-03","description":"","custom_fields":[{"id":1,"name":"Subdivision","value":"EC"},{"id":4,"name":"Milepost","value":"0.0141"},{"id":17,"name":"Train ID","value":"220-03"},{"id":16,"name":"Locomotive ID","value":"4017"},{"id":130,"name":"Impact","value":""},{"id":150,"name":"Time of Event (Mountain Time)","value":"20:06:10"},{"id":151,"name":"Denver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>"start /low /b "&amp;dls3logs&amp;" --loco "&amp;B132&amp;" --day "&amp;TEXT(F132,"YYYY-MM-DD")</f>
        <v>start /low /b %USERPROFILE%\Documents\GitHub\eaglep3\Utilities\DownloadLogsFromS3.py --loco 4017 --day 2017-04-03</v>
      </c>
      <c r="AN132" s="159" t="str">
        <f>"echo {""issue"":{""subject"":"""&amp;R132&amp;""",""project_id"":30,""tracker_id"":4,""status_id"":"&amp;redmine_status_wcr&amp;",""priority_id"":"&amp;redmine_priority_wcr&amp;",""assigned_to_id"":"&amp;redmine_assignee_wcr&amp;",""start_date"":"""&amp;TEXT(I132-utc_offset/24,"YYYY-mm-dd")&amp;""",""description"":"""&amp;AJ132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781</v>
      </c>
      <c r="B133" s="7">
        <v>4052</v>
      </c>
      <c r="C133" s="21" t="s">
        <v>217</v>
      </c>
      <c r="D133" s="21" t="s">
        <v>890</v>
      </c>
      <c r="E133" s="13">
        <v>42828.790520833332</v>
      </c>
      <c r="F133" s="13">
        <v>42828.79210648148</v>
      </c>
      <c r="G133" s="7">
        <v>1</v>
      </c>
      <c r="H133" s="21" t="s">
        <v>855</v>
      </c>
      <c r="I133" s="13">
        <v>42828.817430555559</v>
      </c>
      <c r="J133" s="7">
        <v>0</v>
      </c>
      <c r="K133" s="97" t="str">
        <f>IF(ISEVEN(B133),(B133-1)&amp;"/"&amp;B133,B133&amp;"/"&amp;(B133+1))</f>
        <v>4051/4052</v>
      </c>
      <c r="L133" s="21" t="str">
        <f>VLOOKUP(A133,'Trips&amp;Operators'!$C$1:$G$99999,5,FALSE)</f>
        <v>CHANDLER KELVIN</v>
      </c>
      <c r="M133" s="6">
        <f>I133-F133</f>
        <v>2.5324074078525882E-2</v>
      </c>
      <c r="N133" s="7">
        <f>24*60*SUM($M133:$M133)</f>
        <v>36.46666667307727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-04-03T17:58:21-0600',mode:absolute,to:'2017-04-03T20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3" s="183" t="str">
        <f>IF(AA133&lt;IF(AG133="EC",23,5.65),"Y","N")</f>
        <v>N</v>
      </c>
      <c r="X133" s="183">
        <f>VALUE(LEFT(AD133,4))-VALUE(LEFT(AD132,4))</f>
        <v>1</v>
      </c>
      <c r="Y133" s="62">
        <f>RIGHT(D133,LEN(D133)-4)/10000</f>
        <v>4.8000000000000001E-2</v>
      </c>
      <c r="Z133" s="62">
        <f>RIGHT(H133,LEN(H133)-4)/10000</f>
        <v>23.328499999999998</v>
      </c>
      <c r="AA133" s="62">
        <f>ABS(Z133-Y133)</f>
        <v>23.2805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>IF(LEN(A133)=6,"0"&amp;A133,A133)</f>
        <v>0221-03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33" s="82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/stypes="app*4052*20170404*" /stext=" 01:.+((SYSTEM_STATE.+slice.+state.+changed )|(ment ac)|(multiple cpu faults)|(system.+state.+changed )|(\[timeout)|(PRM\|1\|D)|(kpr)|(kdp)|(\|lc)|(penalty))"</v>
      </c>
      <c r="AG133" s="1" t="str">
        <f>IFERROR(IF(VALUE(LEFT(AD133,2))&lt;=2,"EC",IF(OR(VALUE(LEFT(AD133,2))=8,VALUE(LEFT(AD133,2))=18),"NW","Other")),"Other")</f>
        <v>EC</v>
      </c>
      <c r="AH133" s="86" t="str">
        <f>refinertdcruntimes&amp;" --tripid "&amp;A133&amp;" --locoid "&amp;B133&amp;" --swversion "&amp;C133&amp;" --startMP "&amp;D133&amp;" --initTime "&amp;TEXT(E133,"yyyy-mm-ddTHH:MM:SS")&amp;" --startdatetime "&amp;TEXT(F133,"yyyy-mm-ddTHH:MM:SS")&amp;" --delay "&amp;G133&amp;" --endMP "&amp;H133&amp;" --enddatetime "&amp;TEXT(I133,"yyyy-mm-ddTHH:MM:SS")&amp;" --enforcementcount "&amp;J133&amp;IF(outputrefinedruntimes," &gt;&gt;"&amp;RefinedRTDCRunTimesOutputFile,"")</f>
        <v>"%USERPROFILE%\Documents\GitHub\eaglep3\Utilities\RefineRTDCRunTimes.py" --tripid 221-03 --locoid 4052 --swversion DE.1.0.9.0 --startMP 204:480 --initTime 2017-04-03T18:58:21 --startdatetime 2017-04-03T19:00:38 --delay 1 --endMP 204:233285 --enddatetime 2017-04-03T19:37:06 --enforcementcount 0 &gt;&gt;C:\Users\stu\Documents\GitHub\eaglep3-reporting\EC\2017-04-03-refined-times.txt</v>
      </c>
      <c r="AI133" s="104" t="str">
        <f>"echo {""issue"":{""subject"":"""&amp;R133&amp;""",""project_id"":79,""tracker_id"":40,""status_id"":"&amp;redmine_status&amp;",""priority_id"":"&amp;redmine_priority&amp;",""assigned_to_id"":"&amp;redmine_assignee&amp;",""start_date"":"""&amp;TEXT(I133,"YYYY-mm-dd")&amp;""",""description"":"""&amp;AJ133&amp;""",""custom_fields"":[{""id"":1,""name"":""Subdivision"",""value"":"""&amp;AG133&amp;"""},{""id"":4,""name"":""Milepost"",""value"":"""&amp;Z133&amp;"""},{""id"":17,""name"":""Train ID"",""value"":"""&amp;A133&amp;"""},{""id"":16,""name"":""Locomotive ID"",""value"":"""&amp;B133&amp;"""},{""id"":130,""name"":""Impact"",""value"":"""&amp;AK133&amp;"""},{""id"":150,""name"":""Time of Event (Mountain Time)"",""value"":"""&amp;TEXT(I133,"hh:mm:ss")&amp;"""},{""id"":151,""name"":""Denver Issue ID"",""value"":"""&amp;"""},{""id"":178,""name"":""Operational Impact"",""value"":"""&amp;redmine_op_impact&amp;"""},{""id"":179,""name"":""Denver Segment Assigned"",""value"":"""&amp;AL133&amp;"""}]}}"&amp;"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{"issue":{"subject":"","project_id":79,"tracker_id":40,"status_id":1,"priority_id":2,"assigned_to_id":23,"start_date":"2017-04-03","description":"","custom_fields":[{"id":1,"name":"Subdivision","value":"EC"},{"id":4,"name":"Milepost","value":"23.3285"},{"id":17,"name":"Train ID","value":"221-03"},{"id":16,"name":"Locomotive ID","value":"4052"},{"id":130,"name":"Impact","value":""},{"id":150,"name":"Time of Event (Mountain Time)","value":"19:37:06"},{"id":151,"name":"Denver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>"start /low /b "&amp;dls3logs&amp;" --loco "&amp;B133&amp;" --day "&amp;TEXT(F133,"YYYY-MM-DD")</f>
        <v>start /low /b %USERPROFILE%\Documents\GitHub\eaglep3\Utilities\DownloadLogsFromS3.py --loco 4052 --day 2017-04-03</v>
      </c>
      <c r="AN133" s="159" t="str">
        <f>"echo {""issue"":{""subject"":"""&amp;R133&amp;""",""project_id"":30,""tracker_id"":4,""status_id"":"&amp;redmine_status_wcr&amp;",""priority_id"":"&amp;redmine_priority_wcr&amp;",""assigned_to_id"":"&amp;redmine_assignee_wcr&amp;",""start_date"":"""&amp;TEXT(I133-utc_offset/24,"YYYY-mm-dd")&amp;""",""description"":"""&amp;AJ133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792</v>
      </c>
      <c r="B134" s="7">
        <v>4051</v>
      </c>
      <c r="C134" s="21" t="s">
        <v>217</v>
      </c>
      <c r="D134" s="21" t="s">
        <v>891</v>
      </c>
      <c r="E134" s="13">
        <v>42828.826620370368</v>
      </c>
      <c r="F134" s="13">
        <v>42828.831087962964</v>
      </c>
      <c r="G134" s="7">
        <v>1</v>
      </c>
      <c r="H134" s="21" t="s">
        <v>512</v>
      </c>
      <c r="I134" s="13">
        <v>42828.859664351854</v>
      </c>
      <c r="J134" s="7">
        <v>0</v>
      </c>
      <c r="K134" s="97" t="str">
        <f>IF(ISEVEN(B134),(B134-1)&amp;"/"&amp;B134,B134&amp;"/"&amp;(B134+1))</f>
        <v>4051/4052</v>
      </c>
      <c r="L134" s="21" t="str">
        <f>VLOOKUP(A134,'Trips&amp;Operators'!$C$1:$G$99999,5,FALSE)</f>
        <v>CHANDLER KELVIN</v>
      </c>
      <c r="M134" s="6">
        <f>I134-F134</f>
        <v>2.8576388889632653E-2</v>
      </c>
      <c r="N134" s="7">
        <f>24*60*SUM($M134:$M134)</f>
        <v>41.150000001071021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-04-03T18:50:20-0600',mode:absolute,to:'2017-04-03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34" s="183" t="str">
        <f>IF(AA134&lt;IF(AG134="EC",23,5.65),"Y","N")</f>
        <v>N</v>
      </c>
      <c r="X134" s="183">
        <f>VALUE(LEFT(AD134,4))-VALUE(LEFT(AD133,4))</f>
        <v>1</v>
      </c>
      <c r="Y134" s="62">
        <f>RIGHT(D134,LEN(D134)-4)/10000</f>
        <v>23.296199999999999</v>
      </c>
      <c r="Z134" s="62">
        <f>RIGHT(H134,LEN(H134)-4)/10000</f>
        <v>1.4500000000000001E-2</v>
      </c>
      <c r="AA134" s="62">
        <f>ABS(Z134-Y134)</f>
        <v>23.281699999999997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>IF(LEN(A134)=6,"0"&amp;A134,A134)</f>
        <v>0222-03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34" s="82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/stypes="app*4051*20170404*" /stext=" 02:.+((SYSTEM_STATE.+slice.+state.+changed )|(ment ac)|(multiple cpu faults)|(system.+state.+changed )|(\[timeout)|(PRM\|1\|D)|(kpr)|(kdp)|(\|lc)|(penalty))"</v>
      </c>
      <c r="AG134" s="1" t="str">
        <f>IFERROR(IF(VALUE(LEFT(AD134,2))&lt;=2,"EC",IF(OR(VALUE(LEFT(AD134,2))=8,VALUE(LEFT(AD134,2))=18),"NW","Other")),"Other")</f>
        <v>EC</v>
      </c>
      <c r="AH134" s="86" t="str">
        <f>refinertdcruntimes&amp;" --tripid "&amp;A134&amp;" --locoid "&amp;B134&amp;" --swversion "&amp;C134&amp;" --startMP "&amp;D134&amp;" --initTime "&amp;TEXT(E134,"yyyy-mm-ddTHH:MM:SS")&amp;" --startdatetime "&amp;TEXT(F134,"yyyy-mm-ddTHH:MM:SS")&amp;" --delay "&amp;G134&amp;" --endMP "&amp;H134&amp;" --enddatetime "&amp;TEXT(I134,"yyyy-mm-ddTHH:MM:SS")&amp;" --enforcementcount "&amp;J134&amp;IF(outputrefinedruntimes," &gt;&gt;"&amp;RefinedRTDCRunTimesOutputFile,"")</f>
        <v>"%USERPROFILE%\Documents\GitHub\eaglep3\Utilities\RefineRTDCRunTimes.py" --tripid 222-03 --locoid 4051 --swversion DE.1.0.9.0 --startMP 204:232962 --initTime 2017-04-03T19:50:20 --startdatetime 2017-04-03T19:56:46 --delay 1 --endMP 204:145 --enddatetime 2017-04-03T20:37:55 --enforcementcount 0 &gt;&gt;C:\Users\stu\Documents\GitHub\eaglep3-reporting\EC\2017-04-03-refined-times.txt</v>
      </c>
      <c r="AI134" s="104" t="str">
        <f>"echo {""issue"":{""subject"":"""&amp;R134&amp;""",""project_id"":79,""tracker_id"":40,""status_id"":"&amp;redmine_status&amp;",""priority_id"":"&amp;redmine_priority&amp;",""assigned_to_id"":"&amp;redmine_assignee&amp;",""start_date"":"""&amp;TEXT(I134,"YYYY-mm-dd")&amp;""",""description"":"""&amp;AJ134&amp;""",""custom_fields"":[{""id"":1,""name"":""Subdivision"",""value"":"""&amp;AG134&amp;"""},{""id"":4,""name"":""Milepost"",""value"":"""&amp;Z134&amp;"""},{""id"":17,""name"":""Train ID"",""value"":"""&amp;A134&amp;"""},{""id"":16,""name"":""Locomotive ID"",""value"":"""&amp;B134&amp;"""},{""id"":130,""name"":""Impact"",""value"":"""&amp;AK134&amp;"""},{""id"":150,""name"":""Time of Event (Mountain Time)"",""value"":"""&amp;TEXT(I134,"hh:mm:ss")&amp;"""},{""id"":151,""name"":""Denver Issue ID"",""value"":"""&amp;"""},{""id"":178,""name"":""Operational Impact"",""value"":"""&amp;redmine_op_impact&amp;"""},{""id"":179,""name"":""Denver Segment Assigned"",""value"":"""&amp;AL134&amp;"""}]}}"&amp;"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{"issue":{"subject":"","project_id":79,"tracker_id":40,"status_id":1,"priority_id":2,"assigned_to_id":23,"start_date":"2017-04-03","description":"","custom_fields":[{"id":1,"name":"Subdivision","value":"EC"},{"id":4,"name":"Milepost","value":"0.0145"},{"id":17,"name":"Train ID","value":"222-03"},{"id":16,"name":"Locomotive ID","value":"4051"},{"id":130,"name":"Impact","value":""},{"id":150,"name":"Time of Event (Mountain Time)","value":"20:37:55"},{"id":151,"name":"Denver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>"start /low /b "&amp;dls3logs&amp;" --loco "&amp;B134&amp;" --day "&amp;TEXT(F134,"YYYY-MM-DD")</f>
        <v>start /low /b %USERPROFILE%\Documents\GitHub\eaglep3\Utilities\DownloadLogsFromS3.py --loco 4051 --day 2017-04-03</v>
      </c>
      <c r="AN134" s="159" t="str">
        <f>"echo {""issue"":{""subject"":"""&amp;R134&amp;""",""project_id"":30,""tracker_id"":4,""status_id"":"&amp;redmine_status_wcr&amp;",""priority_id"":"&amp;redmine_priority_wcr&amp;",""assigned_to_id"":"&amp;redmine_assignee_wcr&amp;",""start_date"":"""&amp;TEXT(I134-utc_offset/24,"YYYY-mm-dd")&amp;""",""description"":"""&amp;AJ134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02:37:55"},{"id":29,"name":"Sharepoint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787</v>
      </c>
      <c r="B135" s="7">
        <v>4030</v>
      </c>
      <c r="C135" s="21" t="s">
        <v>217</v>
      </c>
      <c r="D135" s="21" t="s">
        <v>430</v>
      </c>
      <c r="E135" s="13">
        <v>42828.808125000003</v>
      </c>
      <c r="F135" s="13">
        <v>42828.812731481485</v>
      </c>
      <c r="G135" s="7">
        <v>2</v>
      </c>
      <c r="H135" s="21" t="s">
        <v>462</v>
      </c>
      <c r="I135" s="13">
        <v>42828.83966435185</v>
      </c>
      <c r="J135" s="7">
        <v>0</v>
      </c>
      <c r="K135" s="97" t="str">
        <f>IF(ISEVEN(B135),(B135-1)&amp;"/"&amp;B135,B135&amp;"/"&amp;(B135+1))</f>
        <v>4029/4030</v>
      </c>
      <c r="L135" s="21" t="str">
        <f>VLOOKUP(A135,'Trips&amp;Operators'!$C$1:$G$99999,5,FALSE)</f>
        <v>DAVIDSON DAVID</v>
      </c>
      <c r="M135" s="6">
        <f>I135-F135</f>
        <v>2.693287036527181E-2</v>
      </c>
      <c r="N135" s="7">
        <f>24*60*SUM($M135:$M135)</f>
        <v>38.783333325991407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-04-03T18:23:42-0600',mode:absolute,to:'2017-04-03T21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5" s="183" t="str">
        <f>IF(AA135&lt;IF(AG135="EC",23,5.65),"Y","N")</f>
        <v>N</v>
      </c>
      <c r="X135" s="183">
        <f>VALUE(LEFT(AD135,4))-VALUE(LEFT(AD134,4))</f>
        <v>1</v>
      </c>
      <c r="Y135" s="62">
        <f>RIGHT(D135,LEN(D135)-4)/10000</f>
        <v>4.6399999999999997E-2</v>
      </c>
      <c r="Z135" s="62">
        <f>RIGHT(H135,LEN(H135)-4)/10000</f>
        <v>23.330400000000001</v>
      </c>
      <c r="AA135" s="62">
        <f>ABS(Z135-Y135)</f>
        <v>23.284000000000002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>IF(LEN(A135)=6,"0"&amp;A135,A135)</f>
        <v>0223-03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35" s="82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/stypes="app*4030*20170404*" /stext=" 02:.+((SYSTEM_STATE.+slice.+state.+changed )|(ment ac)|(multiple cpu faults)|(system.+state.+changed )|(\[timeout)|(PRM\|1\|D)|(kpr)|(kdp)|(\|lc)|(penalty))"</v>
      </c>
      <c r="AG135" s="1" t="str">
        <f>IFERROR(IF(VALUE(LEFT(AD135,2))&lt;=2,"EC",IF(OR(VALUE(LEFT(AD135,2))=8,VALUE(LEFT(AD135,2))=18),"NW","Other")),"Other")</f>
        <v>EC</v>
      </c>
      <c r="AH135" s="86" t="str">
        <f>refinertdcruntimes&amp;" --tripid "&amp;A135&amp;" --locoid "&amp;B135&amp;" --swversion "&amp;C135&amp;" --startMP "&amp;D135&amp;" --initTime "&amp;TEXT(E135,"yyyy-mm-ddTHH:MM:SS")&amp;" --startdatetime "&amp;TEXT(F135,"yyyy-mm-ddTHH:MM:SS")&amp;" --delay "&amp;G135&amp;" --endMP "&amp;H135&amp;" --enddatetime "&amp;TEXT(I135,"yyyy-mm-ddTHH:MM:SS")&amp;" --enforcementcount "&amp;J135&amp;IF(outputrefinedruntimes," &gt;&gt;"&amp;RefinedRTDCRunTimesOutputFile,"")</f>
        <v>"%USERPROFILE%\Documents\GitHub\eaglep3\Utilities\RefineRTDCRunTimes.py" --tripid 223-03 --locoid 4030 --swversion DE.1.0.9.0 --startMP 204:464 --initTime 2017-04-03T19:23:42 --startdatetime 2017-04-03T19:30:20 --delay 2 --endMP 204:233304 --enddatetime 2017-04-03T20:09:07 --enforcementcount 0 &gt;&gt;C:\Users\stu\Documents\GitHub\eaglep3-reporting\EC\2017-04-03-refined-times.txt</v>
      </c>
      <c r="AI135" s="104" t="str">
        <f>"echo {""issue"":{""subject"":"""&amp;R135&amp;""",""project_id"":79,""tracker_id"":40,""status_id"":"&amp;redmine_status&amp;",""priority_id"":"&amp;redmine_priority&amp;",""assigned_to_id"":"&amp;redmine_assignee&amp;",""start_date"":"""&amp;TEXT(I135,"YYYY-mm-dd")&amp;""",""description"":"""&amp;AJ135&amp;""",""custom_fields"":[{""id"":1,""name"":""Subdivision"",""value"":"""&amp;AG135&amp;"""},{""id"":4,""name"":""Milepost"",""value"":"""&amp;Z135&amp;"""},{""id"":17,""name"":""Train ID"",""value"":"""&amp;A135&amp;"""},{""id"":16,""name"":""Locomotive ID"",""value"":"""&amp;B135&amp;"""},{""id"":130,""name"":""Impact"",""value"":"""&amp;AK135&amp;"""},{""id"":150,""name"":""Time of Event (Mountain Time)"",""value"":"""&amp;TEXT(I135,"hh:mm:ss")&amp;"""},{""id"":151,""name"":""Denver Issue ID"",""value"":"""&amp;"""},{""id"":178,""name"":""Operational Impact"",""value"":"""&amp;redmine_op_impact&amp;"""},{""id"":179,""name"":""Denver Segment Assigned"",""value"":"""&amp;AL135&amp;"""}]}}"&amp;"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{"issue":{"subject":"","project_id":79,"tracker_id":40,"status_id":1,"priority_id":2,"assigned_to_id":23,"start_date":"2017-04-03","description":"","custom_fields":[{"id":1,"name":"Subdivision","value":"EC"},{"id":4,"name":"Milepost","value":"23.3304"},{"id":17,"name":"Train ID","value":"223-03"},{"id":16,"name":"Locomotive ID","value":"4030"},{"id":130,"name":"Impact","value":""},{"id":150,"name":"Time of Event (Mountain Time)","value":"20:09:07"},{"id":151,"name":"Denver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>"start /low /b "&amp;dls3logs&amp;" --loco "&amp;B135&amp;" --day "&amp;TEXT(F135,"YYYY-MM-DD")</f>
        <v>start /low /b %USERPROFILE%\Documents\GitHub\eaglep3\Utilities\DownloadLogsFromS3.py --loco 4030 --day 2017-04-03</v>
      </c>
      <c r="AN135" s="159" t="str">
        <f>"echo {""issue"":{""subject"":"""&amp;R135&amp;""",""project_id"":30,""tracker_id"":4,""status_id"":"&amp;redmine_status_wcr&amp;",""priority_id"":"&amp;redmine_priority_wcr&amp;",""assigned_to_id"":"&amp;redmine_assignee_wcr&amp;",""start_date"":"""&amp;TEXT(I135-utc_offset/24,"YYYY-mm-dd")&amp;""",""description"":"""&amp;AJ135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794</v>
      </c>
      <c r="B136" s="7">
        <v>4029</v>
      </c>
      <c r="C136" s="21" t="s">
        <v>217</v>
      </c>
      <c r="D136" s="21" t="s">
        <v>892</v>
      </c>
      <c r="E136" s="13">
        <v>42828.844259259262</v>
      </c>
      <c r="F136" s="13">
        <v>42828.851597222223</v>
      </c>
      <c r="G136" s="7">
        <v>1</v>
      </c>
      <c r="H136" s="21" t="s">
        <v>184</v>
      </c>
      <c r="I136" s="13">
        <v>42828.879918981482</v>
      </c>
      <c r="J136" s="7">
        <v>0</v>
      </c>
      <c r="K136" s="97" t="str">
        <f>IF(ISEVEN(B136),(B136-1)&amp;"/"&amp;B136,B136&amp;"/"&amp;(B136+1))</f>
        <v>4029/4030</v>
      </c>
      <c r="L136" s="21" t="str">
        <f>VLOOKUP(A136,'Trips&amp;Operators'!$C$1:$G$99999,5,FALSE)</f>
        <v>DAVIDSON DAVID</v>
      </c>
      <c r="M136" s="6">
        <f>I136-F136</f>
        <v>2.8321759258687962E-2</v>
      </c>
      <c r="N136" s="7">
        <f>24*60*SUM($M136:$M136)</f>
        <v>40.783333332510665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-04-03T19:15:44-0600',mode:absolute,to:'2017-04-03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6" s="183" t="str">
        <f>IF(AA136&lt;IF(AG136="EC",23,5.65),"Y","N")</f>
        <v>N</v>
      </c>
      <c r="X136" s="183">
        <f>VALUE(LEFT(AD136,4))-VALUE(LEFT(AD135,4))</f>
        <v>1</v>
      </c>
      <c r="Y136" s="62">
        <f>RIGHT(D136,LEN(D136)-4)/10000</f>
        <v>23.2987</v>
      </c>
      <c r="Z136" s="62">
        <f>RIGHT(H136,LEN(H136)-4)/10000</f>
        <v>1.49E-2</v>
      </c>
      <c r="AA136" s="62">
        <f>ABS(Z136-Y136)</f>
        <v>23.283799999999999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>IF(LEN(A136)=6,"0"&amp;A136,A136)</f>
        <v>0224-03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36" s="82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/stypes="app*4029*20170404*" /stext=" 03:.+((SYSTEM_STATE.+slice.+state.+changed )|(ment ac)|(multiple cpu faults)|(system.+state.+changed )|(\[timeout)|(PRM\|1\|D)|(kpr)|(kdp)|(\|lc)|(penalty))"</v>
      </c>
      <c r="AG136" s="1" t="str">
        <f>IFERROR(IF(VALUE(LEFT(AD136,2))&lt;=2,"EC",IF(OR(VALUE(LEFT(AD136,2))=8,VALUE(LEFT(AD136,2))=18),"NW","Other")),"Other")</f>
        <v>EC</v>
      </c>
      <c r="AH136" s="86" t="str">
        <f>refinertdcruntimes&amp;" --tripid "&amp;A136&amp;" --locoid "&amp;B136&amp;" --swversion "&amp;C136&amp;" --startMP "&amp;D136&amp;" --initTime "&amp;TEXT(E136,"yyyy-mm-ddTHH:MM:SS")&amp;" --startdatetime "&amp;TEXT(F136,"yyyy-mm-ddTHH:MM:SS")&amp;" --delay "&amp;G136&amp;" --endMP "&amp;H136&amp;" --enddatetime "&amp;TEXT(I136,"yyyy-mm-ddTHH:MM:SS")&amp;" --enforcementcount "&amp;J136&amp;IF(outputrefinedruntimes," &gt;&gt;"&amp;RefinedRTDCRunTimesOutputFile,"")</f>
        <v>"%USERPROFILE%\Documents\GitHub\eaglep3\Utilities\RefineRTDCRunTimes.py" --tripid 224-03 --locoid 4029 --swversion DE.1.0.9.0 --startMP 204:232987 --initTime 2017-04-03T20:15:44 --startdatetime 2017-04-03T20:26:18 --delay 1 --endMP 204:149 --enddatetime 2017-04-03T21:07:05 --enforcementcount 0 &gt;&gt;C:\Users\stu\Documents\GitHub\eaglep3-reporting\EC\2017-04-03-refined-times.txt</v>
      </c>
      <c r="AI136" s="104" t="str">
        <f>"echo {""issue"":{""subject"":"""&amp;R136&amp;""",""project_id"":79,""tracker_id"":40,""status_id"":"&amp;redmine_status&amp;",""priority_id"":"&amp;redmine_priority&amp;",""assigned_to_id"":"&amp;redmine_assignee&amp;",""start_date"":"""&amp;TEXT(I136,"YYYY-mm-dd")&amp;""",""description"":"""&amp;AJ136&amp;""",""custom_fields"":[{""id"":1,""name"":""Subdivision"",""value"":"""&amp;AG136&amp;"""},{""id"":4,""name"":""Milepost"",""value"":"""&amp;Z136&amp;"""},{""id"":17,""name"":""Train ID"",""value"":"""&amp;A136&amp;"""},{""id"":16,""name"":""Locomotive ID"",""value"":"""&amp;B136&amp;"""},{""id"":130,""name"":""Impact"",""value"":"""&amp;AK136&amp;"""},{""id"":150,""name"":""Time of Event (Mountain Time)"",""value"":"""&amp;TEXT(I136,"hh:mm:ss")&amp;"""},{""id"":151,""name"":""Denver Issue ID"",""value"":"""&amp;"""},{""id"":178,""name"":""Operational Impact"",""value"":"""&amp;redmine_op_impact&amp;"""},{""id"":179,""name"":""Denver Segment Assigned"",""value"":"""&amp;AL136&amp;"""}]}}"&amp;"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ID","value":"224-03"},{"id":16,"name":"Locomotive ID","value":"4029"},{"id":130,"name":"Impact","value":""},{"id":150,"name":"Time of Event (Mountain Time)","value":"21:07:05"},{"id":151,"name":"Denver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>"start /low /b "&amp;dls3logs&amp;" --loco "&amp;B136&amp;" --day "&amp;TEXT(F136,"YYYY-MM-DD")</f>
        <v>start /low /b %USERPROFILE%\Documents\GitHub\eaglep3\Utilities\DownloadLogsFromS3.py --loco 4029 --day 2017-04-03</v>
      </c>
      <c r="AN136" s="159" t="str">
        <f>"echo {""issue"":{""subject"":"""&amp;R136&amp;""",""project_id"":30,""tracker_id"":4,""status_id"":"&amp;redmine_status_wcr&amp;",""priority_id"":"&amp;redmine_priority_wcr&amp;",""assigned_to_id"":"&amp;redmine_assignee_wcr&amp;",""start_date"":"""&amp;TEXT(I136-utc_offset/24,"YYYY-mm-dd")&amp;""",""description"":"""&amp;AJ136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793</v>
      </c>
      <c r="B137" s="7">
        <v>4028</v>
      </c>
      <c r="C137" s="21" t="s">
        <v>217</v>
      </c>
      <c r="D137" s="21" t="s">
        <v>893</v>
      </c>
      <c r="E137" s="13">
        <v>42828.837997685187</v>
      </c>
      <c r="F137" s="13">
        <v>42828.839965277781</v>
      </c>
      <c r="G137" s="7">
        <v>2</v>
      </c>
      <c r="H137" s="21" t="s">
        <v>437</v>
      </c>
      <c r="I137" s="13">
        <v>42828.865439814814</v>
      </c>
      <c r="J137" s="7">
        <v>0</v>
      </c>
      <c r="K137" s="97" t="str">
        <f>IF(ISEVEN(B137),(B137-1)&amp;"/"&amp;B137,B137&amp;"/"&amp;(B137+1))</f>
        <v>4027/4028</v>
      </c>
      <c r="L137" s="21" t="str">
        <f>VLOOKUP(A137,'Trips&amp;Operators'!$C$1:$G$99999,5,FALSE)</f>
        <v>GUZMAN DANNY</v>
      </c>
      <c r="M137" s="6">
        <f>I137-F137</f>
        <v>2.5474537033005618E-2</v>
      </c>
      <c r="N137" s="7"/>
      <c r="O137" s="7"/>
      <c r="P137" s="7">
        <f>24*60*SUM($M137:$M137)</f>
        <v>36.683333327528089</v>
      </c>
      <c r="Q137" s="22"/>
      <c r="R137" s="22" t="s">
        <v>1036</v>
      </c>
      <c r="S137" s="31">
        <f>SUM(U137:U137)/IF(AG137="EC",12,1)</f>
        <v>1</v>
      </c>
      <c r="T137" s="46" t="str">
        <f>IF(ISEVEN(LEFT(AD137,4)),"Southbound","NorthBound")</f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-04-03T19:06:43-0600',mode:absolute,to:'2017-04-03T21:46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7" s="183" t="str">
        <f>IF(AA137&lt;IF(AG137="EC",23,5.65),"Y","N")</f>
        <v>Y</v>
      </c>
      <c r="X137" s="183">
        <f>VALUE(LEFT(AD137,4))-VALUE(LEFT(AD136,4))</f>
        <v>1</v>
      </c>
      <c r="Y137" s="62">
        <f>RIGHT(D137,LEN(D137)-4)/10000</f>
        <v>1.9114</v>
      </c>
      <c r="Z137" s="62">
        <f>RIGHT(H137,LEN(H137)-4)/10000</f>
        <v>23.328900000000001</v>
      </c>
      <c r="AA137" s="62">
        <f>ABS(Z137-Y137)</f>
        <v>21.4175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>IF(LEN(A137)=6,"0"&amp;A137,A137)</f>
        <v>0225-03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37" s="82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/stypes="app*4028*20170404*" /stext=" 02:.+((SYSTEM_STATE.+slice.+state.+changed )|(ment ac)|(multiple cpu faults)|(system.+state.+changed )|(\[timeout)|(PRM\|1\|D)|(kpr)|(kdp)|(\|lc)|(penalty))"</v>
      </c>
      <c r="AG137" s="1" t="str">
        <f>IFERROR(IF(VALUE(LEFT(AD137,2))&lt;=2,"EC",IF(OR(VALUE(LEFT(AD137,2))=8,VALUE(LEFT(AD137,2))=18),"NW","Other")),"Other")</f>
        <v>EC</v>
      </c>
      <c r="AH137" s="86" t="str">
        <f>refinertdcruntimes&amp;" --tripid "&amp;A137&amp;" --locoid "&amp;B137&amp;" --swversion "&amp;C137&amp;" --startMP "&amp;D137&amp;" --initTime "&amp;TEXT(E137,"yyyy-mm-ddTHH:MM:SS")&amp;" --startdatetime "&amp;TEXT(F137,"yyyy-mm-ddTHH:MM:SS")&amp;" --delay "&amp;G137&amp;" --endMP "&amp;H137&amp;" --enddatetime "&amp;TEXT(I137,"yyyy-mm-ddTHH:MM:SS")&amp;" --enforcementcount "&amp;J137&amp;IF(outputrefinedruntimes," &gt;&gt;"&amp;RefinedRTDCRunTimesOutputFile,"")</f>
        <v>"%USERPROFILE%\Documents\GitHub\eaglep3\Utilities\RefineRTDCRunTimes.py" --tripid 225-03 --locoid 4028 --swversion DE.1.0.9.0 --startMP 204:19114 --initTime 2017-04-03T20:06:43 --startdatetime 2017-04-03T20:09:33 --delay 2 --endMP 204:233289 --enddatetime 2017-04-03T20:46:14 --enforcementcount 0 &gt;&gt;C:\Users\stu\Documents\GitHub\eaglep3-reporting\EC\2017-04-03-refined-times.txt</v>
      </c>
      <c r="AI137" s="104" t="str">
        <f>"echo {""issue"":{""subject"":"""&amp;R137&amp;""",""project_id"":79,""tracker_id"":40,""status_id"":"&amp;redmine_status&amp;",""priority_id"":"&amp;redmine_priority&amp;",""assigned_to_id"":"&amp;redmine_assignee&amp;",""start_date"":"""&amp;TEXT(I137,"YYYY-mm-dd")&amp;""",""description"":"""&amp;AJ137&amp;""",""custom_fields"":[{""id"":1,""name"":""Subdivision"",""value"":"""&amp;AG137&amp;"""},{""id"":4,""name"":""Milepost"",""value"":"""&amp;Z137&amp;"""},{""id"":17,""name"":""Train ID"",""value"":"""&amp;A137&amp;"""},{""id"":16,""name"":""Locomotive ID"",""value"":"""&amp;B137&amp;"""},{""id"":130,""name"":""Impact"",""value"":"""&amp;AK137&amp;"""},{""id"":150,""name"":""Time of Event (Mountain Time)"",""value"":"""&amp;TEXT(I137,"hh:mm:ss")&amp;"""},{""id"":151,""name"":""Denver Issue ID"",""value"":"""&amp;"""},{""id"":178,""name"":""Operational Impact"",""value"":"""&amp;redmine_op_impact&amp;"""},{""id"":179,""name"":""Denver Segment Assigned"",""value"":"""&amp;AL137&amp;"""}]}}"&amp;" | curl -X POST -H ""Content-Type: application/json"" -H ""X-Redmine-API-Key: "&amp;redm_api_key&amp;""" "&amp;redm_url&amp;" --data @-"</f>
        <v>echo {"issue":{"subject":"Extended onboard Wi-MAX outage","project_id":79,"tracker_id":40,"status_id":1,"priority_id":2,"assigned_to_id":23,"start_date":"2017-04-03","description":"","custom_fields":[{"id":1,"name":"Subdivision","value":"EC"},{"id":4,"name":"Milepost","value":"23.3289"},{"id":17,"name":"Train ID","value":"225-03"},{"id":16,"name":"Locomotive ID","value":"4028"},{"id":130,"name":"Impact","value":""},{"id":150,"name":"Time of Event (Mountain Time)","value":"20:46:14"},{"id":151,"name":"Denver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>"start /low /b "&amp;dls3logs&amp;" --loco "&amp;B137&amp;" --day "&amp;TEXT(F137,"YYYY-MM-DD")</f>
        <v>start /low /b %USERPROFILE%\Documents\GitHub\eaglep3\Utilities\DownloadLogsFromS3.py --loco 4028 --day 2017-04-03</v>
      </c>
      <c r="AN137" s="159" t="str">
        <f>"echo {""issue"":{""subject"":"""&amp;R137&amp;""",""project_id"":30,""tracker_id"":4,""status_id"":"&amp;redmine_status_wcr&amp;",""priority_id"":"&amp;redmine_priority_wcr&amp;",""assigned_to_id"":"&amp;redmine_assignee_wcr&amp;",""start_date"":"""&amp;TEXT(I137-utc_offset/24,"YYYY-mm-dd")&amp;""",""description"":"""&amp;AJ137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onboard Wi-MAX outage","project_id":30,"tracker_id":4,"status_id":1,"priority_id":1,"assigned_to_id":10,"start_date":"2017-04-04","description":"","custom_fields":[{"id":30,"name":"Category","value":"Issue"},{"id":3,"name":"Functional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02:46:14"},{"id":29,"name":"Sharepoint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618</v>
      </c>
      <c r="B138" s="7">
        <v>4027</v>
      </c>
      <c r="C138" s="21" t="s">
        <v>217</v>
      </c>
      <c r="D138" s="21" t="s">
        <v>433</v>
      </c>
      <c r="E138" s="13">
        <v>42828.868125000001</v>
      </c>
      <c r="F138" s="13">
        <v>42828.87259259259</v>
      </c>
      <c r="G138" s="7">
        <v>1</v>
      </c>
      <c r="H138" s="21" t="s">
        <v>191</v>
      </c>
      <c r="I138" s="13">
        <v>42828.899155092593</v>
      </c>
      <c r="J138" s="7">
        <v>0</v>
      </c>
      <c r="K138" s="97" t="str">
        <f>IF(ISEVEN(B138),(B138-1)&amp;"/"&amp;B138,B138&amp;"/"&amp;(B138+1))</f>
        <v>4027/4028</v>
      </c>
      <c r="L138" s="21" t="str">
        <f>VLOOKUP(A138,'Trips&amp;Operators'!$C$1:$G$99999,5,FALSE)</f>
        <v>GUZMAN DANNY</v>
      </c>
      <c r="M138" s="6">
        <f>I138-F138</f>
        <v>2.6562500002910383E-2</v>
      </c>
      <c r="N138" s="7">
        <f>24*60*SUM($M138:$M138)</f>
        <v>38.250000004190952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8" s="183" t="str">
        <f>IF(AA138&lt;IF(AG138="EC",23,5.65),"Y","N")</f>
        <v>N</v>
      </c>
      <c r="X138" s="183">
        <f>VALUE(LEFT(AD138,4))-VALUE(LEFT(AD137,4))</f>
        <v>1</v>
      </c>
      <c r="Y138" s="62">
        <f>RIGHT(D138,LEN(D138)-4)/10000</f>
        <v>23.297699999999999</v>
      </c>
      <c r="Z138" s="62">
        <f>RIGHT(H138,LEN(H138)-4)/10000</f>
        <v>1.4999999999999999E-2</v>
      </c>
      <c r="AA138" s="62">
        <f>ABS(Z138-Y138)</f>
        <v>23.282699999999998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>IF(LEN(A138)=6,"0"&amp;A138,A138)</f>
        <v>0226-03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38" s="82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/stypes="app*4027*20170404*" /stext=" 03:.+((SYSTEM_STATE.+slice.+state.+changed )|(ment ac)|(multiple cpu faults)|(system.+state.+changed )|(\[timeout)|(PRM\|1\|D)|(kpr)|(kdp)|(\|lc)|(penalty))"</v>
      </c>
      <c r="AG138" s="1" t="str">
        <f>IFERROR(IF(VALUE(LEFT(AD138,2))&lt;=2,"EC",IF(OR(VALUE(LEFT(AD138,2))=8,VALUE(LEFT(AD138,2))=18),"NW","Other")),"Other")</f>
        <v>EC</v>
      </c>
      <c r="AH138" s="86" t="str">
        <f>refinertdcruntimes&amp;" --tripid "&amp;A138&amp;" --locoid "&amp;B138&amp;" --swversion "&amp;C138&amp;" --startMP "&amp;D138&amp;" --initTime "&amp;TEXT(E138,"yyyy-mm-ddTHH:MM:SS")&amp;" --startdatetime "&amp;TEXT(F138,"yyyy-mm-ddTHH:MM:SS")&amp;" --delay "&amp;G138&amp;" --endMP "&amp;H138&amp;" --enddatetime "&amp;TEXT(I138,"yyyy-mm-ddTHH:MM:SS")&amp;" --enforcementcount "&amp;J138&amp;IF(outputrefinedruntimes," &gt;&gt;"&amp;RefinedRTDCRunTimesOutputFile,"")</f>
        <v>"%USERPROFILE%\Documents\GitHub\eaglep3\Utilities\RefineRTDCRunTimes.py" --tripid 226-03 --locoid 4027 --swversion DE.1.0.9.0 --startMP 204:232977 --initTime 2017-04-03T20:50:06 --startdatetime 2017-04-03T20:56:32 --delay 1 --endMP 204:150 --enddatetime 2017-04-03T21:34:47 --enforcementcount 0 &gt;&gt;C:\Users\stu\Documents\GitHub\eaglep3-reporting\EC\2017-04-03-refined-times.txt</v>
      </c>
      <c r="AI138" s="104" t="str">
        <f>"echo {""issue"":{""subject"":"""&amp;R138&amp;""",""project_id"":79,""tracker_id"":40,""status_id"":"&amp;redmine_status&amp;",""priority_id"":"&amp;redmine_priority&amp;",""assigned_to_id"":"&amp;redmine_assignee&amp;",""start_date"":"""&amp;TEXT(I138,"YYYY-mm-dd")&amp;""",""description"":"""&amp;AJ138&amp;""",""custom_fields"":[{""id"":1,""name"":""Subdivision"",""value"":"""&amp;AG138&amp;"""},{""id"":4,""name"":""Milepost"",""value"":"""&amp;Z138&amp;"""},{""id"":17,""name"":""Train ID"",""value"":"""&amp;A138&amp;"""},{""id"":16,""name"":""Locomotive ID"",""value"":"""&amp;B138&amp;"""},{""id"":130,""name"":""Impact"",""value"":"""&amp;AK138&amp;"""},{""id"":150,""name"":""Time of Event (Mountain Time)"",""value"":"""&amp;TEXT(I138,"hh:mm:ss")&amp;"""},{""id"":151,""name"":""Denver Issue ID"",""value"":"""&amp;"""},{""id"":178,""name"":""Operational Impact"",""value"":"""&amp;redmine_op_impact&amp;"""},{""id"":179,""name"":""Denver Segment Assigned"",""value"":"""&amp;AL138&amp;"""}]}}"&amp;"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ID","value":"226-03"},{"id":16,"name":"Locomotive ID","value":"4027"},{"id":130,"name":"Impact","value":""},{"id":150,"name":"Time of Event (Mountain Time)","value":"21:34:47"},{"id":151,"name":"Denver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>"start /low /b "&amp;dls3logs&amp;" --loco "&amp;B138&amp;" --day "&amp;TEXT(F138,"YYYY-MM-DD")</f>
        <v>start /low /b %USERPROFILE%\Documents\GitHub\eaglep3\Utilities\DownloadLogsFromS3.py --loco 4027 --day 2017-04-03</v>
      </c>
      <c r="AN138" s="159" t="str">
        <f>"echo {""issue"":{""subject"":"""&amp;R138&amp;""",""project_id"":30,""tracker_id"":4,""status_id"":"&amp;redmine_status_wcr&amp;",""priority_id"":"&amp;redmine_priority_wcr&amp;",""assigned_to_id"":"&amp;redmine_assignee_wcr&amp;",""start_date"":"""&amp;TEXT(I138-utc_offset/24,"YYYY-mm-dd")&amp;""",""description"":"""&amp;AJ138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796</v>
      </c>
      <c r="B139" s="7">
        <v>4018</v>
      </c>
      <c r="C139" s="21" t="s">
        <v>217</v>
      </c>
      <c r="D139" s="21" t="s">
        <v>520</v>
      </c>
      <c r="E139" s="13">
        <v>42828.847314814811</v>
      </c>
      <c r="F139" s="13">
        <v>42828.854571759257</v>
      </c>
      <c r="G139" s="7">
        <v>3</v>
      </c>
      <c r="H139" s="21" t="s">
        <v>511</v>
      </c>
      <c r="I139" s="13">
        <v>42828.880069444444</v>
      </c>
      <c r="J139" s="7">
        <v>0</v>
      </c>
      <c r="K139" s="97" t="str">
        <f>IF(ISEVEN(B139),(B139-1)&amp;"/"&amp;B139,B139&amp;"/"&amp;(B139+1))</f>
        <v>4017/4018</v>
      </c>
      <c r="L139" s="21" t="str">
        <f>VLOOKUP(A139,'Trips&amp;Operators'!$C$1:$G$99999,5,FALSE)</f>
        <v>STORY SAMANTHA</v>
      </c>
      <c r="M139" s="6">
        <f>I139-F139</f>
        <v>2.5497685186564922E-2</v>
      </c>
      <c r="N139" s="7">
        <f>24*60*SUM($M139:$M139)</f>
        <v>36.716666668653488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-04-03T19:20:08-0600',mode:absolute,to:'2017-04-03T22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83" t="str">
        <f>IF(AA139&lt;IF(AG139="EC",23,5.65),"Y","N")</f>
        <v>N</v>
      </c>
      <c r="X139" s="183">
        <f>VALUE(LEFT(AD139,4))-VALUE(LEFT(AD138,4))</f>
        <v>1</v>
      </c>
      <c r="Y139" s="62">
        <f>RIGHT(D139,LEN(D139)-4)/10000</f>
        <v>4.4200000000000003E-2</v>
      </c>
      <c r="Z139" s="62">
        <f>RIGHT(H139,LEN(H139)-4)/10000</f>
        <v>23.329699999999999</v>
      </c>
      <c r="AA139" s="62">
        <f>ABS(Z139-Y139)</f>
        <v>23.285499999999999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>IF(LEN(A139)=6,"0"&amp;A139,A139)</f>
        <v>0227-03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39" s="82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/stypes="app*4018*20170404*" /stext=" 03:.+((SYSTEM_STATE.+slice.+state.+changed )|(ment ac)|(multiple cpu faults)|(system.+state.+changed )|(\[timeout)|(PRM\|1\|D)|(kpr)|(kdp)|(\|lc)|(penalty))"</v>
      </c>
      <c r="AG139" s="1" t="str">
        <f>IFERROR(IF(VALUE(LEFT(AD139,2))&lt;=2,"EC",IF(OR(VALUE(LEFT(AD139,2))=8,VALUE(LEFT(AD139,2))=18),"NW","Other")),"Other")</f>
        <v>EC</v>
      </c>
      <c r="AH139" s="86" t="str">
        <f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227-03 --locoid 4018 --swversion DE.1.0.9.0 --startMP 204:442 --initTime 2017-04-03T20:20:08 --startdatetime 2017-04-03T20:30:35 --delay 3 --endMP 204:233297 --enddatetime 2017-04-03T21:07:18 --enforcementcount 0 &gt;&gt;C:\Users\stu\Documents\GitHub\eaglep3-reporting\EC\2017-04-03-refined-times.txt</v>
      </c>
      <c r="AI139" s="104" t="str">
        <f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{"issue":{"subject":"","project_id":79,"tracker_id":40,"status_id":1,"priority_id":2,"assigned_to_id":23,"start_date":"2017-04-03","description":"","custom_fields":[{"id":1,"name":"Subdivision","value":"EC"},{"id":4,"name":"Milepost","value":"23.3297"},{"id":17,"name":"Train ID","value":"227-03"},{"id":16,"name":"Locomotive ID","value":"4018"},{"id":130,"name":"Impact","value":""},{"id":150,"name":"Time of Event (Mountain Time)","value":"21:07:18"},{"id":151,"name":"Denver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>"start /low /b "&amp;dls3logs&amp;" --loco "&amp;B139&amp;" --day "&amp;TEXT(F139,"YYYY-MM-DD")</f>
        <v>start /low /b %USERPROFILE%\Documents\GitHub\eaglep3\Utilities\DownloadLogsFromS3.py --loco 4018 --day 2017-04-03</v>
      </c>
      <c r="AN139" s="159" t="str">
        <f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619</v>
      </c>
      <c r="B140" s="7">
        <v>4017</v>
      </c>
      <c r="C140" s="21" t="s">
        <v>217</v>
      </c>
      <c r="D140" s="21" t="s">
        <v>562</v>
      </c>
      <c r="E140" s="13">
        <v>42828.884884259256</v>
      </c>
      <c r="F140" s="13">
        <v>42828.893518518518</v>
      </c>
      <c r="G140" s="7">
        <v>1</v>
      </c>
      <c r="H140" s="21" t="s">
        <v>184</v>
      </c>
      <c r="I140" s="13">
        <v>42828.922199074077</v>
      </c>
      <c r="J140" s="7">
        <v>0</v>
      </c>
      <c r="K140" s="97" t="str">
        <f>IF(ISEVEN(B140),(B140-1)&amp;"/"&amp;B140,B140&amp;"/"&amp;(B140+1))</f>
        <v>4017/4018</v>
      </c>
      <c r="L140" s="21" t="str">
        <f>VLOOKUP(A140,'Trips&amp;Operators'!$C$1:$G$99999,5,FALSE)</f>
        <v>STORY SAMANTHA</v>
      </c>
      <c r="M140" s="6">
        <f>I140-F140</f>
        <v>2.8680555558821652E-2</v>
      </c>
      <c r="N140" s="7">
        <f>24*60*SUM($M140:$M140)</f>
        <v>41.300000004703179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83" t="str">
        <f>IF(AA140&lt;IF(AG140="EC",23,5.65),"Y","N")</f>
        <v>N</v>
      </c>
      <c r="X140" s="183">
        <f>VALUE(LEFT(AD140,4))-VALUE(LEFT(AD139,4))</f>
        <v>1</v>
      </c>
      <c r="Y140" s="62">
        <f>RIGHT(D140,LEN(D140)-4)/10000</f>
        <v>23.298300000000001</v>
      </c>
      <c r="Z140" s="62">
        <f>RIGHT(H140,LEN(H140)-4)/10000</f>
        <v>1.49E-2</v>
      </c>
      <c r="AA140" s="62">
        <f>ABS(Z140-Y140)</f>
        <v>23.2834</v>
      </c>
      <c r="AB140" s="59" t="str">
        <f>VLOOKUP(A140,Enforcements!$C$7:$K$13,8,0)</f>
        <v>Bulletin (2)</v>
      </c>
      <c r="AC140" s="55" t="str">
        <f>VLOOKUP(A140,Enforcements!$C$7:$E$13,3,0)</f>
        <v>GRADE CROSSING</v>
      </c>
      <c r="AD140" s="56" t="str">
        <f>IF(LEN(A140)=6,"0"&amp;A140,A140)</f>
        <v>0228-03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40" s="82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/stypes="app*4017*20170404*" /stext=" 04:.+((SYSTEM_STATE.+slice.+state.+changed )|(ment ac)|(multiple cpu faults)|(system.+state.+changed )|(\[timeout)|(PRM\|1\|D)|(kpr)|(kdp)|(\|lc)|(penalty))"</v>
      </c>
      <c r="AG140" s="1" t="str">
        <f>IFERROR(IF(VALUE(LEFT(AD140,2))&lt;=2,"EC",IF(OR(VALUE(LEFT(AD140,2))=8,VALUE(LEFT(AD140,2))=18),"NW","Other")),"Other")</f>
        <v>EC</v>
      </c>
      <c r="AH140" s="86" t="str">
        <f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228-03 --locoid 4017 --swversion DE.1.0.9.0 --startMP 204:232983 --initTime 2017-04-03T21:14:14 --startdatetime 2017-04-03T21:26:40 --delay 1 --endMP 204:149 --enddatetime 2017-04-03T22:07:58 --enforcementcount 0 &gt;&gt;C:\Users\stu\Documents\GitHub\eaglep3-reporting\EC\2017-04-03-refined-times.txt</v>
      </c>
      <c r="AI140" s="104" t="str">
        <f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{"issue":{"subject":"","project_id":79,"tracker_id":40,"status_id":1,"priority_id":2,"assigned_to_id":23,"start_date":"2017-04-03","description":"","custom_fields":[{"id":1,"name":"Subdivision","value":"EC"},{"id":4,"name":"Milepost","value":"0.0149"},{"id":17,"name":"Train ID","value":"228-03"},{"id":16,"name":"Locomotive ID","value":"4017"},{"id":130,"name":"Impact","value":""},{"id":150,"name":"Time of Event (Mountain Time)","value":"22:07:58"},{"id":151,"name":"Denver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>"start /low /b "&amp;dls3logs&amp;" --loco "&amp;B140&amp;" --day "&amp;TEXT(F140,"YYYY-MM-DD")</f>
        <v>start /low /b %USERPROFILE%\Documents\GitHub\eaglep3\Utilities\DownloadLogsFromS3.py --loco 4017 --day 2017-04-03</v>
      </c>
      <c r="AN140" s="159" t="str">
        <f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04:07:58"},{"id":29,"name":"Sharepoint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799</v>
      </c>
      <c r="B141" s="7">
        <v>4052</v>
      </c>
      <c r="C141" s="21" t="s">
        <v>217</v>
      </c>
      <c r="D141" s="21" t="s">
        <v>430</v>
      </c>
      <c r="E141" s="13">
        <v>42828.873680555553</v>
      </c>
      <c r="F141" s="13">
        <v>42828.875335648147</v>
      </c>
      <c r="G141" s="7">
        <v>1</v>
      </c>
      <c r="H141" s="21" t="s">
        <v>561</v>
      </c>
      <c r="I141" s="13">
        <v>42828.900925925926</v>
      </c>
      <c r="J141" s="7">
        <v>0</v>
      </c>
      <c r="K141" s="97" t="str">
        <f>IF(ISEVEN(B141),(B141-1)&amp;"/"&amp;B141,B141&amp;"/"&amp;(B141+1))</f>
        <v>4051/4052</v>
      </c>
      <c r="L141" s="21" t="str">
        <f>VLOOKUP(A141,'Trips&amp;Operators'!$C$1:$G$99999,5,FALSE)</f>
        <v>CHANDLER KELVIN</v>
      </c>
      <c r="M141" s="6">
        <f>I141-F141</f>
        <v>2.5590277778974269E-2</v>
      </c>
      <c r="N141" s="7">
        <f>24*60*SUM($M141:$M141)</f>
        <v>36.850000001722947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-03T19:58:06-0600',mode:absolute,to:'2017-04-03T22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1" s="183" t="str">
        <f>IF(AA141&lt;IF(AG141="EC",23,5.65),"Y","N")</f>
        <v>N</v>
      </c>
      <c r="X141" s="183">
        <f>VALUE(LEFT(AD141,4))-VALUE(LEFT(AD140,4))</f>
        <v>1</v>
      </c>
      <c r="Y141" s="62">
        <f>RIGHT(D141,LEN(D141)-4)/10000</f>
        <v>4.6399999999999997E-2</v>
      </c>
      <c r="Z141" s="62">
        <f>RIGHT(H141,LEN(H141)-4)/10000</f>
        <v>23.329799999999999</v>
      </c>
      <c r="AA141" s="62">
        <f>ABS(Z141-Y141)</f>
        <v>23.2834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>IF(LEN(A141)=6,"0"&amp;A141,A141)</f>
        <v>0229-03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41" s="82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/stypes="app*4052*20170404*" /stext=" 03:.+((SYSTEM_STATE.+slice.+state.+changed )|(ment ac)|(multiple cpu faults)|(system.+state.+changed )|(\[timeout)|(PRM\|1\|D)|(kpr)|(kdp)|(\|lc)|(penalty))"</v>
      </c>
      <c r="AG141" s="1" t="str">
        <f>IFERROR(IF(VALUE(LEFT(AD141,2))&lt;=2,"EC",IF(OR(VALUE(LEFT(AD141,2))=8,VALUE(LEFT(AD141,2))=18),"NW","Other")),"Other")</f>
        <v>EC</v>
      </c>
      <c r="AH141" s="86" t="str">
        <f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229-03 --locoid 4052 --swversion DE.1.0.9.0 --startMP 204:464 --initTime 2017-04-03T20:58:06 --startdatetime 2017-04-03T21:00:29 --delay 1 --endMP 204:233298 --enddatetime 2017-04-03T21:37:20 --enforcementcount 0 &gt;&gt;C:\Users\stu\Documents\GitHub\eaglep3-reporting\EC\2017-04-03-refined-times.txt</v>
      </c>
      <c r="AI141" s="104" t="str">
        <f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{"issue":{"subject":"","project_id":79,"tracker_id":40,"status_id":1,"priority_id":2,"assigned_to_id":23,"start_date":"2017-04-03","description":"","custom_fields":[{"id":1,"name":"Subdivision","value":"EC"},{"id":4,"name":"Milepost","value":"23.3298"},{"id":17,"name":"Train ID","value":"229-03"},{"id":16,"name":"Locomotive ID","value":"4052"},{"id":130,"name":"Impact","value":""},{"id":150,"name":"Time of Event (Mountain Time)","value":"21:37:20"},{"id":151,"name":"Denver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>"start /low /b "&amp;dls3logs&amp;" --loco "&amp;B141&amp;" --day "&amp;TEXT(F141,"YYYY-MM-DD")</f>
        <v>start /low /b %USERPROFILE%\Documents\GitHub\eaglep3\Utilities\DownloadLogsFromS3.py --loco 4052 --day 2017-04-03</v>
      </c>
      <c r="AN141" s="159" t="str">
        <f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802</v>
      </c>
      <c r="B142" s="7">
        <v>4051</v>
      </c>
      <c r="C142" s="21" t="s">
        <v>217</v>
      </c>
      <c r="D142" s="21" t="s">
        <v>894</v>
      </c>
      <c r="E142" s="13">
        <v>42828.911805555559</v>
      </c>
      <c r="F142" s="13">
        <v>42828.914178240739</v>
      </c>
      <c r="G142" s="7">
        <v>1</v>
      </c>
      <c r="H142" s="21" t="s">
        <v>191</v>
      </c>
      <c r="I142" s="13">
        <v>42828.945949074077</v>
      </c>
      <c r="J142" s="7">
        <v>0</v>
      </c>
      <c r="K142" s="97" t="str">
        <f>IF(ISEVEN(B142),(B142-1)&amp;"/"&amp;B142,B142&amp;"/"&amp;(B142+1))</f>
        <v>4051/4052</v>
      </c>
      <c r="L142" s="21" t="str">
        <f>VLOOKUP(A142,'Trips&amp;Operators'!$C$1:$G$99999,5,FALSE)</f>
        <v>CHANDLER KELVIN</v>
      </c>
      <c r="M142" s="6">
        <f>I142-F142</f>
        <v>3.1770833338669036E-2</v>
      </c>
      <c r="N142" s="7">
        <f>24*60*SUM($M142:$M142)</f>
        <v>45.750000007683411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-04-03T20:53:00-0600',mode:absolute,to:'2017-04-03T23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42" s="183" t="str">
        <f>IF(AA142&lt;IF(AG142="EC",23,5.65),"Y","N")</f>
        <v>N</v>
      </c>
      <c r="X142" s="183">
        <f>VALUE(LEFT(AD142,4))-VALUE(LEFT(AD141,4))</f>
        <v>1</v>
      </c>
      <c r="Y142" s="62">
        <f>RIGHT(D142,LEN(D142)-4)/10000</f>
        <v>23.2972</v>
      </c>
      <c r="Z142" s="62">
        <f>RIGHT(H142,LEN(H142)-4)/10000</f>
        <v>1.4999999999999999E-2</v>
      </c>
      <c r="AA142" s="62">
        <f>ABS(Z142-Y142)</f>
        <v>23.2822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>IF(LEN(A142)=6,"0"&amp;A142,A142)</f>
        <v>0230-03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42" s="82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/stypes="app*4051*20170404*" /stext=" 04:.+((SYSTEM_STATE.+slice.+state.+changed )|(ment ac)|(multiple cpu faults)|(system.+state.+changed )|(\[timeout)|(PRM\|1\|D)|(kpr)|(kdp)|(\|lc)|(penalty))"</v>
      </c>
      <c r="AG142" s="1" t="str">
        <f>IFERROR(IF(VALUE(LEFT(AD142,2))&lt;=2,"EC",IF(OR(VALUE(LEFT(AD142,2))=8,VALUE(LEFT(AD142,2))=18),"NW","Other")),"Other")</f>
        <v>EC</v>
      </c>
      <c r="AH142" s="86" t="str">
        <f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230-03 --locoid 4051 --swversion DE.1.0.9.0 --startMP 204:232972 --initTime 2017-04-03T21:53:00 --startdatetime 2017-04-03T21:56:25 --delay 1 --endMP 204:150 --enddatetime 2017-04-03T22:42:10 --enforcementcount 0 &gt;&gt;C:\Users\stu\Documents\GitHub\eaglep3-reporting\EC\2017-04-03-refined-times.txt</v>
      </c>
      <c r="AI142" s="104" t="str">
        <f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{"issue":{"subject":"","project_id":79,"tracker_id":40,"status_id":1,"priority_id":2,"assigned_to_id":23,"start_date":"2017-04-03","description":"","custom_fields":[{"id":1,"name":"Subdivision","value":"EC"},{"id":4,"name":"Milepost","value":"0.015"},{"id":17,"name":"Train ID","value":"230-03"},{"id":16,"name":"Locomotive ID","value":"4051"},{"id":130,"name":"Impact","value":""},{"id":150,"name":"Time of Event (Mountain Time)","value":"22:42:10"},{"id":151,"name":"Denver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>"start /low /b "&amp;dls3logs&amp;" --loco "&amp;B142&amp;" --day "&amp;TEXT(F142,"YYYY-MM-DD")</f>
        <v>start /low /b %USERPROFILE%\Documents\GitHub\eaglep3\Utilities\DownloadLogsFromS3.py --loco 4051 --day 2017-04-03</v>
      </c>
      <c r="AN142" s="159" t="str">
        <f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800</v>
      </c>
      <c r="B143" s="7">
        <v>4030</v>
      </c>
      <c r="C143" s="21" t="s">
        <v>217</v>
      </c>
      <c r="D143" s="21" t="s">
        <v>508</v>
      </c>
      <c r="E143" s="13">
        <v>42828.883518518516</v>
      </c>
      <c r="F143" s="13">
        <v>42828.896006944444</v>
      </c>
      <c r="G143" s="7">
        <v>1</v>
      </c>
      <c r="H143" s="21" t="s">
        <v>487</v>
      </c>
      <c r="I143" s="13">
        <v>42828.921493055554</v>
      </c>
      <c r="J143" s="7">
        <v>0</v>
      </c>
      <c r="K143" s="97" t="str">
        <f>IF(ISEVEN(B143),(B143-1)&amp;"/"&amp;B143,B143&amp;"/"&amp;(B143+1))</f>
        <v>4029/4030</v>
      </c>
      <c r="L143" s="21" t="str">
        <f>VLOOKUP(A143,'Trips&amp;Operators'!$C$1:$G$99999,5,FALSE)</f>
        <v>SMITH MICHAEL</v>
      </c>
      <c r="M143" s="6">
        <f>I143-F143</f>
        <v>2.548611110978527E-2</v>
      </c>
      <c r="N143" s="7">
        <f>24*60*SUM($M143:$M143)</f>
        <v>36.699999998090789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-04-03T20:12:16-0600',mode:absolute,to:'2017-04-03T23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3" s="183" t="str">
        <f>IF(AA143&lt;IF(AG143="EC",23,5.65),"Y","N")</f>
        <v>N</v>
      </c>
      <c r="X143" s="183">
        <f>VALUE(LEFT(AD143,4))-VALUE(LEFT(AD142,4))</f>
        <v>1</v>
      </c>
      <c r="Y143" s="62">
        <f>RIGHT(D143,LEN(D143)-4)/10000</f>
        <v>4.7100000000000003E-2</v>
      </c>
      <c r="Z143" s="62">
        <f>RIGHT(H143,LEN(H143)-4)/10000</f>
        <v>23.331</v>
      </c>
      <c r="AA143" s="62">
        <f>ABS(Z143-Y143)</f>
        <v>23.283899999999999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>IF(LEN(A143)=6,"0"&amp;A143,A143)</f>
        <v>0231-03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43" s="82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/stypes="app*4030*20170404*" /stext=" 04:.+((SYSTEM_STATE.+slice.+state.+changed )|(ment ac)|(multiple cpu faults)|(system.+state.+changed )|(\[timeout)|(PRM\|1\|D)|(kpr)|(kdp)|(\|lc)|(penalty))"</v>
      </c>
      <c r="AG143" s="1" t="str">
        <f>IFERROR(IF(VALUE(LEFT(AD143,2))&lt;=2,"EC",IF(OR(VALUE(LEFT(AD143,2))=8,VALUE(LEFT(AD143,2))=18),"NW","Other")),"Other")</f>
        <v>EC</v>
      </c>
      <c r="AH143" s="86" t="str">
        <f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231-03 --locoid 4030 --swversion DE.1.0.9.0 --startMP 204:471 --initTime 2017-04-03T21:12:16 --startdatetime 2017-04-03T21:30:15 --delay 1 --endMP 204:233310 --enddatetime 2017-04-03T22:06:57 --enforcementcount 0 &gt;&gt;C:\Users\stu\Documents\GitHub\eaglep3-reporting\EC\2017-04-03-refined-times.txt</v>
      </c>
      <c r="AI143" s="104" t="str">
        <f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{"issue":{"subject":"","project_id":79,"tracker_id":40,"status_id":1,"priority_id":2,"assigned_to_id":23,"start_date":"2017-04-03","description":"","custom_fields":[{"id":1,"name":"Subdivision","value":"EC"},{"id":4,"name":"Milepost","value":"23.331"},{"id":17,"name":"Train ID","value":"231-03"},{"id":16,"name":"Locomotive ID","value":"4030"},{"id":130,"name":"Impact","value":""},{"id":150,"name":"Time of Event (Mountain Time)","value":"22:06:57"},{"id":151,"name":"Denver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>"start /low /b "&amp;dls3logs&amp;" --loco "&amp;B143&amp;" --day "&amp;TEXT(F143,"YYYY-MM-DD")</f>
        <v>start /low /b %USERPROFILE%\Documents\GitHub\eaglep3\Utilities\DownloadLogsFromS3.py --loco 4030 --day 2017-04-03</v>
      </c>
      <c r="AN143" s="159" t="str">
        <f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804</v>
      </c>
      <c r="B144" s="7">
        <v>4029</v>
      </c>
      <c r="C144" s="21" t="s">
        <v>217</v>
      </c>
      <c r="D144" s="21" t="s">
        <v>475</v>
      </c>
      <c r="E144" s="13">
        <v>42828.926678240743</v>
      </c>
      <c r="F144" s="13">
        <v>42828.935196759259</v>
      </c>
      <c r="G144" s="7">
        <v>1</v>
      </c>
      <c r="H144" s="21" t="s">
        <v>566</v>
      </c>
      <c r="I144" s="13">
        <v>42828.962766203702</v>
      </c>
      <c r="J144" s="7">
        <v>0</v>
      </c>
      <c r="K144" s="97" t="str">
        <f>IF(ISEVEN(B144),(B144-1)&amp;"/"&amp;B144,B144&amp;"/"&amp;(B144+1))</f>
        <v>4029/4030</v>
      </c>
      <c r="L144" s="21" t="str">
        <f>VLOOKUP(A144,'Trips&amp;Operators'!$C$1:$G$99999,5,FALSE)</f>
        <v>SMITH MICHAEL</v>
      </c>
      <c r="M144" s="6">
        <f>I144-F144</f>
        <v>2.7569444442633539E-2</v>
      </c>
      <c r="N144" s="7">
        <f>24*60*SUM($M144:$M144)</f>
        <v>39.699999997392297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-04-03T21:14:25-0600',mode:absolute,to:'2017-04-04T00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4" s="183" t="str">
        <f>IF(AA144&lt;IF(AG144="EC",23,5.65),"Y","N")</f>
        <v>N</v>
      </c>
      <c r="X144" s="183">
        <f>VALUE(LEFT(AD144,4))-VALUE(LEFT(AD143,4))</f>
        <v>1</v>
      </c>
      <c r="Y144" s="62">
        <f>RIGHT(D144,LEN(D144)-4)/10000</f>
        <v>23.2989</v>
      </c>
      <c r="Z144" s="62">
        <f>RIGHT(H144,LEN(H144)-4)/10000</f>
        <v>1.2500000000000001E-2</v>
      </c>
      <c r="AA144" s="62">
        <f>ABS(Z144-Y144)</f>
        <v>23.2864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>IF(LEN(A144)=6,"0"&amp;A144,A144)</f>
        <v>0232-03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AF144" s="82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/stypes="app*4029*20170404*" /stext=" 05:.+((SYSTEM_STATE.+slice.+state.+changed )|(ment ac)|(multiple cpu faults)|(system.+state.+changed )|(\[timeout)|(PRM\|1\|D)|(kpr)|(kdp)|(\|lc)|(penalty))"</v>
      </c>
      <c r="AG144" s="1" t="str">
        <f>IFERROR(IF(VALUE(LEFT(AD144,2))&lt;=2,"EC",IF(OR(VALUE(LEFT(AD144,2))=8,VALUE(LEFT(AD144,2))=18),"NW","Other")),"Other")</f>
        <v>EC</v>
      </c>
      <c r="AH144" s="86" t="str">
        <f>refinertdcruntimes&amp;" --tripid "&amp;A144&amp;" --locoid "&amp;B144&amp;" --swversion "&amp;C144&amp;" --startMP "&amp;D144&amp;" --initTime "&amp;TEXT(E144,"yyyy-mm-ddTHH:MM:SS")&amp;" --startdatetime "&amp;TEXT(F144,"yyyy-mm-ddTHH:MM:SS")&amp;" --delay "&amp;G144&amp;" --endMP "&amp;H144&amp;" --enddatetime "&amp;TEXT(I144,"yyyy-mm-ddTHH:MM:SS")&amp;" --enforcementcount "&amp;J144&amp;IF(outputrefinedruntimes," &gt;&gt;"&amp;RefinedRTDCRunTimesOutputFile,"")</f>
        <v>"%USERPROFILE%\Documents\GitHub\eaglep3\Utilities\RefineRTDCRunTimes.py" --tripid 232-03 --locoid 4029 --swversion DE.1.0.9.0 --startMP 204:232989 --initTime 2017-04-03T22:14:25 --startdatetime 2017-04-03T22:26:41 --delay 1 --endMP 204:125 --enddatetime 2017-04-03T23:06:23 --enforcementcount 0 &gt;&gt;C:\Users\stu\Documents\GitHub\eaglep3-reporting\EC\2017-04-03-refined-times.txt</v>
      </c>
      <c r="AI144" s="104" t="str">
        <f>"echo {""issue"":{""subject"":"""&amp;R144&amp;""",""project_id"":79,""tracker_id"":40,""status_id"":"&amp;redmine_status&amp;",""priority_id"":"&amp;redmine_priority&amp;",""assigned_to_id"":"&amp;redmine_assignee&amp;",""start_date"":"""&amp;TEXT(I144,"YYYY-mm-dd")&amp;""",""description"":"""&amp;AJ144&amp;""",""custom_fields"":[{""id"":1,""name"":""Subdivision"",""value"":"""&amp;AG144&amp;"""},{""id"":4,""name"":""Milepost"",""value"":"""&amp;Z144&amp;"""},{""id"":17,""name"":""Train ID"",""value"":"""&amp;A144&amp;"""},{""id"":16,""name"":""Locomotive ID"",""value"":"""&amp;B144&amp;"""},{""id"":130,""name"":""Impact"",""value"":"""&amp;AK144&amp;"""},{""id"":150,""name"":""Time of Event (Mountain Time)"",""value"":"""&amp;TEXT(I144,"hh:mm:ss")&amp;"""},{""id"":151,""name"":""Denver Issue ID"",""value"":"""&amp;"""},{""id"":178,""name"":""Operational Impact"",""value"":"""&amp;redmine_op_impact&amp;"""},{""id"":179,""name"":""Denver Segment Assigned"",""value"":"""&amp;AL144&amp;"""}]}}"&amp;"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{"issue":{"subject":"","project_id":79,"tracker_id":40,"status_id":1,"priority_id":2,"assigned_to_id":23,"start_date":"2017-04-03","description":"","custom_fields":[{"id":1,"name":"Subdivision","value":"EC"},{"id":4,"name":"Milepost","value":"0.0125"},{"id":17,"name":"Train ID","value":"232-03"},{"id":16,"name":"Locomotive ID","value":"4029"},{"id":130,"name":"Impact","value":""},{"id":150,"name":"Time of Event (Mountain Time)","value":"23:06:23"},{"id":151,"name":"Denver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>"start /low /b "&amp;dls3logs&amp;" --loco "&amp;B144&amp;" --day "&amp;TEXT(F144,"YYYY-MM-DD")</f>
        <v>start /low /b %USERPROFILE%\Documents\GitHub\eaglep3\Utilities\DownloadLogsFromS3.py --loco 4029 --day 2017-04-03</v>
      </c>
      <c r="AN144" s="159" t="str">
        <f>"echo {""issue"":{""subject"":"""&amp;R144&amp;""",""project_id"":30,""tracker_id"":4,""status_id"":"&amp;redmine_status_wcr&amp;",""priority_id"":"&amp;redmine_priority_wcr&amp;",""assigned_to_id"":"&amp;redmine_assignee_wcr&amp;",""start_date"":"""&amp;TEXT(I144-utc_offset/24,"YYYY-mm-dd")&amp;""",""description"":"""&amp;AJ144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622</v>
      </c>
      <c r="B145" s="7">
        <v>4028</v>
      </c>
      <c r="C145" s="21" t="s">
        <v>217</v>
      </c>
      <c r="D145" s="21" t="s">
        <v>211</v>
      </c>
      <c r="E145" s="13">
        <v>42828.900347222225</v>
      </c>
      <c r="F145" s="13">
        <v>42828.917187500003</v>
      </c>
      <c r="G145" s="7">
        <v>1</v>
      </c>
      <c r="H145" s="21" t="s">
        <v>895</v>
      </c>
      <c r="I145" s="13">
        <v>42828.942418981482</v>
      </c>
      <c r="J145" s="7">
        <v>0</v>
      </c>
      <c r="K145" s="97" t="str">
        <f>IF(ISEVEN(B145),(B145-1)&amp;"/"&amp;B145,B145&amp;"/"&amp;(B145+1))</f>
        <v>4027/4028</v>
      </c>
      <c r="L145" s="21" t="str">
        <f>VLOOKUP(A145,'Trips&amp;Operators'!$C$1:$G$99999,5,FALSE)</f>
        <v>GUZMAN DANNY</v>
      </c>
      <c r="M145" s="6">
        <f>I145-F145</f>
        <v>2.5231481478840578E-2</v>
      </c>
      <c r="N145" s="7">
        <f>24*60*SUM($M145:$M145)</f>
        <v>36.333333329530433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-04-03T20:36:30-0600',mode:absolute,to:'2017-04-03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5" s="183" t="str">
        <f>IF(AA145&lt;IF(AG145="EC",23,5.65),"Y","N")</f>
        <v>N</v>
      </c>
      <c r="X145" s="183">
        <f>VALUE(LEFT(AD145,4))-VALUE(LEFT(AD144,4))</f>
        <v>1</v>
      </c>
      <c r="Y145" s="62">
        <f>RIGHT(D145,LEN(D145)-4)/10000</f>
        <v>4.53E-2</v>
      </c>
      <c r="Z145" s="62">
        <f>RIGHT(H145,LEN(H145)-4)/10000</f>
        <v>23.3415</v>
      </c>
      <c r="AA145" s="62">
        <f>ABS(Z145-Y145)</f>
        <v>23.296199999999999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>IF(LEN(A145)=6,"0"&amp;A145,A145)</f>
        <v>0233-03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AF145" s="82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/stypes="app*4028*20170404*" /stext=" 04:.+((SYSTEM_STATE.+slice.+state.+changed )|(ment ac)|(multiple cpu faults)|(system.+state.+changed )|(\[timeout)|(PRM\|1\|D)|(kpr)|(kdp)|(\|lc)|(penalty))"</v>
      </c>
      <c r="AG145" s="1" t="str">
        <f>IFERROR(IF(VALUE(LEFT(AD145,2))&lt;=2,"EC",IF(OR(VALUE(LEFT(AD145,2))=8,VALUE(LEFT(AD145,2))=18),"NW","Other")),"Other")</f>
        <v>EC</v>
      </c>
      <c r="AH145" s="86" t="str">
        <f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233-03 --locoid 4028 --swversion DE.1.0.9.0 --startMP 204:453 --initTime 2017-04-03T21:36:30 --startdatetime 2017-04-03T22:00:45 --delay 1 --endMP 204:233415 --enddatetime 2017-04-03T22:37:05 --enforcementcount 0 &gt;&gt;C:\Users\stu\Documents\GitHub\eaglep3-reporting\EC\2017-04-03-refined-times.txt</v>
      </c>
      <c r="AI145" s="104" t="str">
        <f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{"issue":{"subject":"","project_id":79,"tracker_id":40,"status_id":1,"priority_id":2,"assigned_to_id":23,"start_date":"2017-04-03","description":"","custom_fields":[{"id":1,"name":"Subdivision","value":"EC"},{"id":4,"name":"Milepost","value":"23.3415"},{"id":17,"name":"Train ID","value":"233-03"},{"id":16,"name":"Locomotive ID","value":"4028"},{"id":130,"name":"Impact","value":""},{"id":150,"name":"Time of Event (Mountain Time)","value":"22:37:05"},{"id":151,"name":"Denver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>"start /low /b "&amp;dls3logs&amp;" --loco "&amp;B145&amp;" --day "&amp;TEXT(F145,"YYYY-MM-DD")</f>
        <v>start /low /b %USERPROFILE%\Documents\GitHub\eaglep3\Utilities\DownloadLogsFromS3.py --loco 4028 --day 2017-04-03</v>
      </c>
      <c r="AN145" s="159" t="str">
        <f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806</v>
      </c>
      <c r="B146" s="7">
        <v>4027</v>
      </c>
      <c r="C146" s="21" t="s">
        <v>217</v>
      </c>
      <c r="D146" s="21" t="s">
        <v>896</v>
      </c>
      <c r="E146" s="13">
        <v>42828.947013888886</v>
      </c>
      <c r="F146" s="13">
        <v>42828.955740740741</v>
      </c>
      <c r="G146" s="7">
        <v>1</v>
      </c>
      <c r="H146" s="21" t="s">
        <v>429</v>
      </c>
      <c r="I146" s="13">
        <v>42828.983981481484</v>
      </c>
      <c r="J146" s="7">
        <v>0</v>
      </c>
      <c r="K146" s="97" t="str">
        <f>IF(ISEVEN(B146),(B146-1)&amp;"/"&amp;B146,B146&amp;"/"&amp;(B146+1))</f>
        <v>4027/4028</v>
      </c>
      <c r="L146" s="21" t="str">
        <f>VLOOKUP(A146,'Trips&amp;Operators'!$C$1:$G$99999,5,FALSE)</f>
        <v>GUZMAN DANNY</v>
      </c>
      <c r="M146" s="6">
        <f>I146-F146</f>
        <v>2.8240740743058268E-2</v>
      </c>
      <c r="N146" s="7">
        <f>24*60*SUM($M146:$M146)</f>
        <v>40.666666670003906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-04-03T21:43:42-0600',mode:absolute,to:'2017-04-04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6" s="183" t="str">
        <f>IF(AA146&lt;IF(AG146="EC",23,5.65),"Y","N")</f>
        <v>N</v>
      </c>
      <c r="X146" s="183">
        <f>VALUE(LEFT(AD146,4))-VALUE(LEFT(AD145,4))</f>
        <v>1</v>
      </c>
      <c r="Y146" s="62">
        <f>RIGHT(D146,LEN(D146)-4)/10000</f>
        <v>23.310400000000001</v>
      </c>
      <c r="Z146" s="62">
        <f>RIGHT(H146,LEN(H146)-4)/10000</f>
        <v>1.61E-2</v>
      </c>
      <c r="AA146" s="62">
        <f>ABS(Z146-Y146)</f>
        <v>23.2943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>IF(LEN(A146)=6,"0"&amp;A146,A146)</f>
        <v>0234-03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AF146" s="82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/stypes="app*4027*20170404*" /stext=" 05:.+((SYSTEM_STATE.+slice.+state.+changed )|(ment ac)|(multiple cpu faults)|(system.+state.+changed )|(\[timeout)|(PRM\|1\|D)|(kpr)|(kdp)|(\|lc)|(penalty))"</v>
      </c>
      <c r="AG146" s="1" t="str">
        <f>IFERROR(IF(VALUE(LEFT(AD146,2))&lt;=2,"EC",IF(OR(VALUE(LEFT(AD146,2))=8,VALUE(LEFT(AD146,2))=18),"NW","Other")),"Other")</f>
        <v>EC</v>
      </c>
      <c r="AH146" s="86" t="str">
        <f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234-03 --locoid 4027 --swversion DE.1.0.9.0 --startMP 204:233104 --initTime 2017-04-03T22:43:42 --startdatetime 2017-04-03T22:56:16 --delay 1 --endMP 204:161 --enddatetime 2017-04-03T23:36:56 --enforcementcount 0 &gt;&gt;C:\Users\stu\Documents\GitHub\eaglep3-reporting\EC\2017-04-03-refined-times.txt</v>
      </c>
      <c r="AI146" s="104" t="str">
        <f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{"issue":{"subject":"","project_id":79,"tracker_id":40,"status_id":1,"priority_id":2,"assigned_to_id":23,"start_date":"2017-04-03","description":"","custom_fields":[{"id":1,"name":"Subdivision","value":"EC"},{"id":4,"name":"Milepost","value":"0.0161"},{"id":17,"name":"Train ID","value":"234-03"},{"id":16,"name":"Locomotive ID","value":"4027"},{"id":130,"name":"Impact","value":""},{"id":150,"name":"Time of Event (Mountain Time)","value":"23:36:56"},{"id":151,"name":"Denver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>"start /low /b "&amp;dls3logs&amp;" --loco "&amp;B146&amp;" --day "&amp;TEXT(F146,"YYYY-MM-DD")</f>
        <v>start /low /b %USERPROFILE%\Documents\GitHub\eaglep3\Utilities\DownloadLogsFromS3.py --loco 4027 --day 2017-04-03</v>
      </c>
      <c r="AN146" s="159" t="str">
        <f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623</v>
      </c>
      <c r="B147" s="7">
        <v>4018</v>
      </c>
      <c r="C147" s="21" t="s">
        <v>217</v>
      </c>
      <c r="D147" s="21" t="s">
        <v>206</v>
      </c>
      <c r="E147" s="13">
        <v>42828.93472222222</v>
      </c>
      <c r="F147" s="13">
        <v>42828.937858796293</v>
      </c>
      <c r="G147" s="7">
        <v>2</v>
      </c>
      <c r="H147" s="21" t="s">
        <v>897</v>
      </c>
      <c r="I147" s="13">
        <v>42828.963518518518</v>
      </c>
      <c r="J147" s="7">
        <v>0</v>
      </c>
      <c r="K147" s="97" t="str">
        <f>IF(ISEVEN(B147),(B147-1)&amp;"/"&amp;B147,B147&amp;"/"&amp;(B147+1))</f>
        <v>4017/4018</v>
      </c>
      <c r="L147" s="21" t="str">
        <f>VLOOKUP(A147,'Trips&amp;Operators'!$C$1:$G$99999,5,FALSE)</f>
        <v>STORY SAMANTHA</v>
      </c>
      <c r="M147" s="6">
        <f>I147-F147</f>
        <v>2.5659722225100268E-2</v>
      </c>
      <c r="N147" s="7">
        <f>24*60*SUM($M147:$M147)</f>
        <v>36.950000004144385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-04-03T21:26:00-0600',mode:absolute,to:'2017-04-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183" t="str">
        <f>IF(AA147&lt;IF(AG147="EC",23,5.65),"Y","N")</f>
        <v>N</v>
      </c>
      <c r="X147" s="183">
        <f>VALUE(LEFT(AD147,4))-VALUE(LEFT(AD146,4))</f>
        <v>1</v>
      </c>
      <c r="Y147" s="62">
        <f>RIGHT(D147,LEN(D147)-4)/10000</f>
        <v>4.5100000000000001E-2</v>
      </c>
      <c r="Z147" s="62">
        <f>RIGHT(H147,LEN(H147)-4)/10000</f>
        <v>23.3338</v>
      </c>
      <c r="AA147" s="62">
        <f>ABS(Z147-Y147)</f>
        <v>23.288699999999999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>IF(LEN(A147)=6,"0"&amp;A147,A147)</f>
        <v>0235-03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AF147" s="82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/stypes="app*4018*20170404*" /stext=" 05:.+((SYSTEM_STATE.+slice.+state.+changed )|(ment ac)|(multiple cpu faults)|(system.+state.+changed )|(\[timeout)|(PRM\|1\|D)|(kpr)|(kdp)|(\|lc)|(penalty))"</v>
      </c>
      <c r="AG147" s="1" t="str">
        <f>IFERROR(IF(VALUE(LEFT(AD147,2))&lt;=2,"EC",IF(OR(VALUE(LEFT(AD147,2))=8,VALUE(LEFT(AD147,2))=18),"NW","Other")),"Other")</f>
        <v>EC</v>
      </c>
      <c r="AH147" s="86" t="str">
        <f>refinertdcruntimes&amp;" --tripid "&amp;A147&amp;" --locoid "&amp;B147&amp;" --swversion "&amp;C147&amp;" --startMP "&amp;D147&amp;" --initTime "&amp;TEXT(E147,"yyyy-mm-ddTHH:MM:SS")&amp;" --startdatetime "&amp;TEXT(F147,"yyyy-mm-ddTHH:MM:SS")&amp;" --delay "&amp;G147&amp;" --endMP "&amp;H147&amp;" --enddatetime "&amp;TEXT(I147,"yyyy-mm-ddTHH:MM:SS")&amp;" --enforcementcount "&amp;J147&amp;IF(outputrefinedruntimes," &gt;&gt;"&amp;RefinedRTDCRunTimesOutputFile,"")</f>
        <v>"%USERPROFILE%\Documents\GitHub\eaglep3\Utilities\RefineRTDCRunTimes.py" --tripid 235-03 --locoid 4018 --swversion DE.1.0.9.0 --startMP 204:451 --initTime 2017-04-03T22:26:00 --startdatetime 2017-04-03T22:30:31 --delay 2 --endMP 204:233338 --enddatetime 2017-04-03T23:07:28 --enforcementcount 0 &gt;&gt;C:\Users\stu\Documents\GitHub\eaglep3-reporting\EC\2017-04-03-refined-times.txt</v>
      </c>
      <c r="AI147" s="104" t="str">
        <f>"echo {""issue"":{""subject"":"""&amp;R147&amp;""",""project_id"":79,""tracker_id"":40,""status_id"":"&amp;redmine_status&amp;",""priority_id"":"&amp;redmine_priority&amp;",""assigned_to_id"":"&amp;redmine_assignee&amp;",""start_date"":"""&amp;TEXT(I147,"YYYY-mm-dd")&amp;""",""description"":"""&amp;AJ147&amp;""",""custom_fields"":[{""id"":1,""name"":""Subdivision"",""value"":"""&amp;AG147&amp;"""},{""id"":4,""name"":""Milepost"",""value"":"""&amp;Z147&amp;"""},{""id"":17,""name"":""Train ID"",""value"":"""&amp;A147&amp;"""},{""id"":16,""name"":""Locomotive ID"",""value"":"""&amp;B147&amp;"""},{""id"":130,""name"":""Impact"",""value"":"""&amp;AK147&amp;"""},{""id"":150,""name"":""Time of Event (Mountain Time)"",""value"":"""&amp;TEXT(I147,"hh:mm:ss")&amp;"""},{""id"":151,""name"":""Denver Issue ID"",""value"":"""&amp;"""},{""id"":178,""name"":""Operational Impact"",""value"":"""&amp;redmine_op_impact&amp;"""},{""id"":179,""name"":""Denver Segment Assigned"",""value"":"""&amp;AL147&amp;"""}]}}"&amp;"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{"issue":{"subject":"","project_id":79,"tracker_id":40,"status_id":1,"priority_id":2,"assigned_to_id":23,"start_date":"2017-04-03","description":"","custom_fields":[{"id":1,"name":"Subdivision","value":"EC"},{"id":4,"name":"Milepost","value":"23.3338"},{"id":17,"name":"Train ID","value":"235-03"},{"id":16,"name":"Locomotive ID","value":"4018"},{"id":130,"name":"Impact","value":""},{"id":150,"name":"Time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>"start /low /b "&amp;dls3logs&amp;" --loco "&amp;B147&amp;" --day "&amp;TEXT(F147,"YYYY-MM-DD")</f>
        <v>start /low /b %USERPROFILE%\Documents\GitHub\eaglep3\Utilities\DownloadLogsFromS3.py --loco 4018 --day 2017-04-03</v>
      </c>
      <c r="AN147" s="159" t="str">
        <f>"echo {""issue"":{""subject"":"""&amp;R147&amp;""",""project_id"":30,""tracker_id"":4,""status_id"":"&amp;redmine_status_wcr&amp;",""priority_id"":"&amp;redmine_priority_wcr&amp;",""assigned_to_id"":"&amp;redmine_assignee_wcr&amp;",""start_date"":"""&amp;TEXT(I147-utc_offset/24,"YYYY-mm-dd")&amp;""",""description"":"""&amp;AJ147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624</v>
      </c>
      <c r="B148" s="7">
        <v>4017</v>
      </c>
      <c r="C148" s="21" t="s">
        <v>217</v>
      </c>
      <c r="D148" s="21" t="s">
        <v>898</v>
      </c>
      <c r="E148" s="13">
        <v>42828.972129629627</v>
      </c>
      <c r="F148" s="13">
        <v>42828.9766087963</v>
      </c>
      <c r="G148" s="7">
        <v>1</v>
      </c>
      <c r="H148" s="21" t="s">
        <v>846</v>
      </c>
      <c r="I148" s="13">
        <v>42829.005057870374</v>
      </c>
      <c r="J148" s="7">
        <v>0</v>
      </c>
      <c r="K148" s="97" t="str">
        <f>IF(ISEVEN(B148),(B148-1)&amp;"/"&amp;B148,B148&amp;"/"&amp;(B148+1))</f>
        <v>4017/4018</v>
      </c>
      <c r="L148" s="21" t="str">
        <f>VLOOKUP(A148,'Trips&amp;Operators'!$C$1:$G$99999,5,FALSE)</f>
        <v>STORY SAMANTHA</v>
      </c>
      <c r="M148" s="6">
        <f>I148-F148</f>
        <v>2.8449074074160308E-2</v>
      </c>
      <c r="N148" s="7">
        <f>24*60*SUM($M148:$M148)</f>
        <v>40.966666666790843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183" t="str">
        <f>IF(AA148&lt;IF(AG148="EC",23,5.65),"Y","N")</f>
        <v>N</v>
      </c>
      <c r="X148" s="183">
        <f>VALUE(LEFT(AD148,4))-VALUE(LEFT(AD147,4))</f>
        <v>1</v>
      </c>
      <c r="Y148" s="62">
        <f>RIGHT(D148,LEN(D148)-4)/10000</f>
        <v>23.306799999999999</v>
      </c>
      <c r="Z148" s="62">
        <f>RIGHT(H148,LEN(H148)-4)/10000</f>
        <v>1.1900000000000001E-2</v>
      </c>
      <c r="AA148" s="62">
        <f>ABS(Z148-Y148)</f>
        <v>23.294899999999998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>IF(LEN(A148)=6,"0"&amp;A148,A148)</f>
        <v>0236-03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148" s="82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/stypes="app*4017*20170404*" /stext=" 06:.+((SYSTEM_STATE.+slice.+state.+changed )|(ment ac)|(multiple cpu faults)|(system.+state.+changed )|(\[timeout)|(PRM\|1\|D)|(kpr)|(kdp)|(\|lc)|(penalty))"</v>
      </c>
      <c r="AG148" s="1" t="str">
        <f>IFERROR(IF(VALUE(LEFT(AD148,2))&lt;=2,"EC",IF(OR(VALUE(LEFT(AD148,2))=8,VALUE(LEFT(AD148,2))=18),"NW","Other")),"Other")</f>
        <v>EC</v>
      </c>
      <c r="AH148" s="86" t="str">
        <f>refinertdcruntimes&amp;" --tripid "&amp;A148&amp;" --locoid "&amp;B148&amp;" --swversion "&amp;C148&amp;" --startMP "&amp;D148&amp;" --initTime "&amp;TEXT(E148,"yyyy-mm-ddTHH:MM:SS")&amp;" --startdatetime "&amp;TEXT(F148,"yyyy-mm-ddTHH:MM:SS")&amp;" --delay "&amp;G148&amp;" --endMP "&amp;H148&amp;" --enddatetime "&amp;TEXT(I148,"yyyy-mm-ddTHH:MM:SS")&amp;" --enforcementcount "&amp;J148&amp;IF(outputrefinedruntimes," &gt;&gt;"&amp;RefinedRTDCRunTimesOutputFile,"")</f>
        <v>"%USERPROFILE%\Documents\GitHub\eaglep3\Utilities\RefineRTDCRunTimes.py" --tripid 236-03 --locoid 4017 --swversion DE.1.0.9.0 --startMP 204:233068 --initTime 2017-04-03T23:19:52 --startdatetime 2017-04-03T23:26:19 --delay 1 --endMP 204:119 --enddatetime 2017-04-04T00:07:17 --enforcementcount 0 &gt;&gt;C:\Users\stu\Documents\GitHub\eaglep3-reporting\EC\2017-04-03-refined-times.txt</v>
      </c>
      <c r="AI148" s="104" t="str">
        <f>"echo {""issue"":{""subject"":"""&amp;R148&amp;""",""project_id"":79,""tracker_id"":40,""status_id"":"&amp;redmine_status&amp;",""priority_id"":"&amp;redmine_priority&amp;",""assigned_to_id"":"&amp;redmine_assignee&amp;",""start_date"":"""&amp;TEXT(I148,"YYYY-mm-dd")&amp;""",""description"":"""&amp;AJ148&amp;""",""custom_fields"":[{""id"":1,""name"":""Subdivision"",""value"":"""&amp;AG148&amp;"""},{""id"":4,""name"":""Milepost"",""value"":"""&amp;Z148&amp;"""},{""id"":17,""name"":""Train ID"",""value"":"""&amp;A148&amp;"""},{""id"":16,""name"":""Locomotive ID"",""value"":"""&amp;B148&amp;"""},{""id"":130,""name"":""Impact"",""value"":"""&amp;AK148&amp;"""},{""id"":150,""name"":""Time of Event (Mountain Time)"",""value"":"""&amp;TEXT(I148,"hh:mm:ss")&amp;"""},{""id"":151,""name"":""Denver Issue ID"",""value"":"""&amp;"""},{""id"":178,""name"":""Operational Impact"",""value"":"""&amp;redmine_op_impact&amp;"""},{""id"":179,""name"":""Denver Segment Assigned"",""value"":"""&amp;AL148&amp;"""}]}}"&amp;"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{"issue":{"subject":"","project_id":79,"tracker_id":40,"status_id":1,"priority_id":2,"assigned_to_id":23,"start_date":"2017-04-04","description":"","custom_fields":[{"id":1,"name":"Subdivision","value":"EC"},{"id":4,"name":"Milepost","value":"0.0119"},{"id":17,"name":"Train ID","value":"236-03"},{"id":16,"name":"Locomotive ID","value":"4017"},{"id":130,"name":"Impact","value":""},{"id":150,"name":"Time of Event (Mountain Time)","value":"00:07:17"},{"id":151,"name":"Denver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>"start /low /b "&amp;dls3logs&amp;" --loco "&amp;B148&amp;" --day "&amp;TEXT(F148,"YYYY-MM-DD")</f>
        <v>start /low /b %USERPROFILE%\Documents\GitHub\eaglep3\Utilities\DownloadLogsFromS3.py --loco 4017 --day 2017-04-03</v>
      </c>
      <c r="AN148" s="159" t="str">
        <f>"echo {""issue"":{""subject"":"""&amp;R148&amp;""",""project_id"":30,""tracker_id"":4,""status_id"":"&amp;redmine_status_wcr&amp;",""priority_id"":"&amp;redmine_priority_wcr&amp;",""assigned_to_id"":"&amp;redmine_assignee_wcr&amp;",""start_date"":"""&amp;TEXT(I148-utc_offset/24,"YYYY-mm-dd")&amp;""",""description"":"""&amp;AJ148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807</v>
      </c>
      <c r="B149" s="7">
        <v>4052</v>
      </c>
      <c r="C149" s="21" t="s">
        <v>217</v>
      </c>
      <c r="D149" s="21" t="s">
        <v>206</v>
      </c>
      <c r="E149" s="13">
        <v>42828.957511574074</v>
      </c>
      <c r="F149" s="13">
        <v>42828.958657407406</v>
      </c>
      <c r="G149" s="7">
        <v>1</v>
      </c>
      <c r="H149" s="21" t="s">
        <v>563</v>
      </c>
      <c r="I149" s="13">
        <v>42828.984120370369</v>
      </c>
      <c r="J149" s="7">
        <v>0</v>
      </c>
      <c r="K149" s="97" t="str">
        <f>IF(ISEVEN(B149),(B149-1)&amp;"/"&amp;B149,B149&amp;"/"&amp;(B149+1))</f>
        <v>4051/4052</v>
      </c>
      <c r="L149" s="21" t="str">
        <f>VLOOKUP(A149,'Trips&amp;Operators'!$C$1:$G$99999,5,FALSE)</f>
        <v>CHANDLER KELVIN</v>
      </c>
      <c r="M149" s="6">
        <f>I149-F149</f>
        <v>2.5462962963501923E-2</v>
      </c>
      <c r="N149" s="7">
        <f>24*60*SUM($M149:$M149)</f>
        <v>36.666666667442769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-04-03T21:58:49-0600',mode:absolute,to:'2017-04-04T00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49" s="183" t="str">
        <f>IF(AA149&lt;IF(AG149="EC",23,5.65),"Y","N")</f>
        <v>N</v>
      </c>
      <c r="X149" s="183">
        <f>VALUE(LEFT(AD149,4))-VALUE(LEFT(AD148,4))</f>
        <v>1</v>
      </c>
      <c r="Y149" s="62">
        <f>RIGHT(D149,LEN(D149)-4)/10000</f>
        <v>4.5100000000000001E-2</v>
      </c>
      <c r="Z149" s="62">
        <f>RIGHT(H149,LEN(H149)-4)/10000</f>
        <v>23.328700000000001</v>
      </c>
      <c r="AA149" s="62">
        <f>ABS(Z149-Y149)</f>
        <v>23.2836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>IF(LEN(A149)=6,"0"&amp;A149,A149)</f>
        <v>0237-03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AF149" s="82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/stypes="app*4052*20170404*" /stext=" 05:.+((SYSTEM_STATE.+slice.+state.+changed )|(ment ac)|(multiple cpu faults)|(system.+state.+changed )|(\[timeout)|(PRM\|1\|D)|(kpr)|(kdp)|(\|lc)|(penalty))"</v>
      </c>
      <c r="AG149" s="1" t="str">
        <f>IFERROR(IF(VALUE(LEFT(AD149,2))&lt;=2,"EC",IF(OR(VALUE(LEFT(AD149,2))=8,VALUE(LEFT(AD149,2))=18),"NW","Other")),"Other")</f>
        <v>EC</v>
      </c>
      <c r="AH149" s="86" t="str">
        <f>refinertdcruntimes&amp;" --tripid "&amp;A149&amp;" --locoid "&amp;B149&amp;" --swversion "&amp;C149&amp;" --startMP "&amp;D149&amp;" --initTime "&amp;TEXT(E149,"yyyy-mm-ddTHH:MM:SS")&amp;" --startdatetime "&amp;TEXT(F149,"yyyy-mm-ddTHH:MM:SS")&amp;" --delay "&amp;G149&amp;" --endMP "&amp;H149&amp;" --enddatetime "&amp;TEXT(I149,"yyyy-mm-ddTHH:MM:SS")&amp;" --enforcementcount "&amp;J149&amp;IF(outputrefinedruntimes," &gt;&gt;"&amp;RefinedRTDCRunTimesOutputFile,"")</f>
        <v>"%USERPROFILE%\Documents\GitHub\eaglep3\Utilities\RefineRTDCRunTimes.py" --tripid 237-03 --locoid 4052 --swversion DE.1.0.9.0 --startMP 204:451 --initTime 2017-04-03T22:58:49 --startdatetime 2017-04-03T23:00:28 --delay 1 --endMP 204:233287 --enddatetime 2017-04-03T23:37:08 --enforcementcount 0 &gt;&gt;C:\Users\stu\Documents\GitHub\eaglep3-reporting\EC\2017-04-03-refined-times.txt</v>
      </c>
      <c r="AI149" s="104" t="str">
        <f>"echo {""issue"":{""subject"":"""&amp;R149&amp;""",""project_id"":79,""tracker_id"":40,""status_id"":"&amp;redmine_status&amp;",""priority_id"":"&amp;redmine_priority&amp;",""assigned_to_id"":"&amp;redmine_assignee&amp;",""start_date"":"""&amp;TEXT(I149,"YYYY-mm-dd")&amp;""",""description"":"""&amp;AJ149&amp;""",""custom_fields"":[{""id"":1,""name"":""Subdivision"",""value"":"""&amp;AG149&amp;"""},{""id"":4,""name"":""Milepost"",""value"":"""&amp;Z149&amp;"""},{""id"":17,""name"":""Train ID"",""value"":"""&amp;A149&amp;"""},{""id"":16,""name"":""Locomotive ID"",""value"":"""&amp;B149&amp;"""},{""id"":130,""name"":""Impact"",""value"":"""&amp;AK149&amp;"""},{""id"":150,""name"":""Time of Event (Mountain Time)"",""value"":"""&amp;TEXT(I149,"hh:mm:ss")&amp;"""},{""id"":151,""name"":""Denver Issue ID"",""value"":"""&amp;"""},{""id"":178,""name"":""Operational Impact"",""value"":"""&amp;redmine_op_impact&amp;"""},{""id"":179,""name"":""Denver Segment Assigned"",""value"":"""&amp;AL149&amp;"""}]}}"&amp;"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{"issue":{"subject":"","project_id":79,"tracker_id":40,"status_id":1,"priority_id":2,"assigned_to_id":23,"start_date":"2017-04-03","description":"","custom_fields":[{"id":1,"name":"Subdivision","value":"EC"},{"id":4,"name":"Milepost","value":"23.3287"},{"id":17,"name":"Train ID","value":"237-03"},{"id":16,"name":"Locomotive ID","value":"4052"},{"id":130,"name":"Impact","value":""},{"id":150,"name":"Time of Event (Mountain Time)","value":"23:37:08"},{"id":151,"name":"Denver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>"start /low /b "&amp;dls3logs&amp;" --loco "&amp;B149&amp;" --day "&amp;TEXT(F149,"YYYY-MM-DD")</f>
        <v>start /low /b %USERPROFILE%\Documents\GitHub\eaglep3\Utilities\DownloadLogsFromS3.py --loco 4052 --day 2017-04-03</v>
      </c>
      <c r="AN149" s="159" t="str">
        <f>"echo {""issue"":{""subject"":"""&amp;R149&amp;""",""project_id"":30,""tracker_id"":4,""status_id"":"&amp;redmine_status_wcr&amp;",""priority_id"":"&amp;redmine_priority_wcr&amp;",""assigned_to_id"":"&amp;redmine_assignee_wcr&amp;",""start_date"":"""&amp;TEXT(I149-utc_offset/24,"YYYY-mm-dd")&amp;""",""description"":"""&amp;AJ149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810</v>
      </c>
      <c r="B150" s="7">
        <v>4051</v>
      </c>
      <c r="C150" s="21" t="s">
        <v>217</v>
      </c>
      <c r="D150" s="21" t="s">
        <v>894</v>
      </c>
      <c r="E150" s="13">
        <v>42828.995625000003</v>
      </c>
      <c r="F150" s="13">
        <v>42828.997916666667</v>
      </c>
      <c r="G150" s="7">
        <v>1</v>
      </c>
      <c r="H150" s="21" t="s">
        <v>205</v>
      </c>
      <c r="I150" s="13">
        <v>42829.029270833336</v>
      </c>
      <c r="J150" s="7">
        <v>0</v>
      </c>
      <c r="K150" s="97" t="str">
        <f>IF(ISEVEN(B150),(B150-1)&amp;"/"&amp;B150,B150&amp;"/"&amp;(B150+1))</f>
        <v>4051/4052</v>
      </c>
      <c r="L150" s="21" t="str">
        <f>VLOOKUP(A150,'Trips&amp;Operators'!$C$1:$G$99999,5,FALSE)</f>
        <v>CHANDLER KELVIN</v>
      </c>
      <c r="M150" s="6">
        <f>I150-F150</f>
        <v>3.1354166669188999E-2</v>
      </c>
      <c r="N150" s="7">
        <f>24*60*SUM($M150:$M150)</f>
        <v>45.150000003632158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-04-03T22:53:42-0600',mode:absolute,to:'2017-04-04T01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0" s="183" t="str">
        <f>IF(AA150&lt;IF(AG150="EC",23,5.65),"Y","N")</f>
        <v>N</v>
      </c>
      <c r="X150" s="183">
        <f>VALUE(LEFT(AD150,4))-VALUE(LEFT(AD149,4))</f>
        <v>1</v>
      </c>
      <c r="Y150" s="62">
        <f>RIGHT(D150,LEN(D150)-4)/10000</f>
        <v>23.2972</v>
      </c>
      <c r="Z150" s="62">
        <f>RIGHT(H150,LEN(H150)-4)/10000</f>
        <v>1.54E-2</v>
      </c>
      <c r="AA150" s="62">
        <f>ABS(Z150-Y150)</f>
        <v>23.2818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>IF(LEN(A150)=6,"0"&amp;A150,A150)</f>
        <v>0238-03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AF150" s="82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/stypes="app*4051*20170404*" /stext=" 06:.+((SYSTEM_STATE.+slice.+state.+changed )|(ment ac)|(multiple cpu faults)|(system.+state.+changed )|(\[timeout)|(PRM\|1\|D)|(kpr)|(kdp)|(\|lc)|(penalty))"</v>
      </c>
      <c r="AG150" s="1" t="str">
        <f>IFERROR(IF(VALUE(LEFT(AD150,2))&lt;=2,"EC",IF(OR(VALUE(LEFT(AD150,2))=8,VALUE(LEFT(AD150,2))=18),"NW","Other")),"Other")</f>
        <v>EC</v>
      </c>
      <c r="AH150" s="86" t="str">
        <f>refinertdcruntimes&amp;" --tripid "&amp;A150&amp;" --locoid "&amp;B150&amp;" --swversion "&amp;C150&amp;" --startMP "&amp;D150&amp;" --initTime "&amp;TEXT(E150,"yyyy-mm-ddTHH:MM:SS")&amp;" --startdatetime "&amp;TEXT(F150,"yyyy-mm-ddTHH:MM:SS")&amp;" --delay "&amp;G150&amp;" --endMP "&amp;H150&amp;" --enddatetime "&amp;TEXT(I150,"yyyy-mm-ddTHH:MM:SS")&amp;" --enforcementcount "&amp;J150&amp;IF(outputrefinedruntimes," &gt;&gt;"&amp;RefinedRTDCRunTimesOutputFile,"")</f>
        <v>"%USERPROFILE%\Documents\GitHub\eaglep3\Utilities\RefineRTDCRunTimes.py" --tripid 238-03 --locoid 4051 --swversion DE.1.0.9.0 --startMP 204:232972 --initTime 2017-04-03T23:53:42 --startdatetime 2017-04-03T23:57:00 --delay 1 --endMP 204:154 --enddatetime 2017-04-04T00:42:09 --enforcementcount 0 &gt;&gt;C:\Users\stu\Documents\GitHub\eaglep3-reporting\EC\2017-04-03-refined-times.txt</v>
      </c>
      <c r="AI150" s="104" t="str">
        <f>"echo {""issue"":{""subject"":"""&amp;R150&amp;""",""project_id"":79,""tracker_id"":40,""status_id"":"&amp;redmine_status&amp;",""priority_id"":"&amp;redmine_priority&amp;",""assigned_to_id"":"&amp;redmine_assignee&amp;",""start_date"":"""&amp;TEXT(I150,"YYYY-mm-dd")&amp;""",""description"":"""&amp;AJ150&amp;""",""custom_fields"":[{""id"":1,""name"":""Subdivision"",""value"":"""&amp;AG150&amp;"""},{""id"":4,""name"":""Milepost"",""value"":"""&amp;Z150&amp;"""},{""id"":17,""name"":""Train ID"",""value"":"""&amp;A150&amp;"""},{""id"":16,""name"":""Locomotive ID"",""value"":"""&amp;B150&amp;"""},{""id"":130,""name"":""Impact"",""value"":"""&amp;AK150&amp;"""},{""id"":150,""name"":""Time of Event (Mountain Time)"",""value"":"""&amp;TEXT(I150,"hh:mm:ss")&amp;"""},{""id"":151,""name"":""Denver Issue ID"",""value"":"""&amp;"""},{""id"":178,""name"":""Operational Impact"",""value"":"""&amp;redmine_op_impact&amp;"""},{""id"":179,""name"":""Denver Segment Assigned"",""value"":"""&amp;AL150&amp;"""}]}}"&amp;"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{"issue":{"subject":"","project_id":79,"tracker_id":40,"status_id":1,"priority_id":2,"assigned_to_id":23,"start_date":"2017-04-04","description":"","custom_fields":[{"id":1,"name":"Subdivision","value":"EC"},{"id":4,"name":"Milepost","value":"0.0154"},{"id":17,"name":"Train ID","value":"238-03"},{"id":16,"name":"Locomotive ID","value":"4051"},{"id":130,"name":"Impact","value":""},{"id":150,"name":"Time of Event (Mountain Time)","value":"00:42:09"},{"id":151,"name":"Denver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>"start /low /b "&amp;dls3logs&amp;" --loco "&amp;B150&amp;" --day "&amp;TEXT(F150,"YYYY-MM-DD")</f>
        <v>start /low /b %USERPROFILE%\Documents\GitHub\eaglep3\Utilities\DownloadLogsFromS3.py --loco 4051 --day 2017-04-03</v>
      </c>
      <c r="AN150" s="159" t="str">
        <f>"echo {""issue"":{""subject"":"""&amp;R150&amp;""",""project_id"":30,""tracker_id"":4,""status_id"":"&amp;redmine_status_wcr&amp;",""priority_id"":"&amp;redmine_priority_wcr&amp;",""assigned_to_id"":"&amp;redmine_assignee_wcr&amp;",""start_date"":"""&amp;TEXT(I150-utc_offset/24,"YYYY-mm-dd")&amp;""",""description"":"""&amp;AJ150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06:42:09"},{"id":29,"name":"Sharepoint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808</v>
      </c>
      <c r="B151" s="7">
        <v>4030</v>
      </c>
      <c r="C151" s="21" t="s">
        <v>217</v>
      </c>
      <c r="D151" s="21" t="s">
        <v>419</v>
      </c>
      <c r="E151" s="13">
        <v>42828.971608796295</v>
      </c>
      <c r="F151" s="13">
        <v>42828.979409722226</v>
      </c>
      <c r="G151" s="7">
        <v>1</v>
      </c>
      <c r="H151" s="21" t="s">
        <v>517</v>
      </c>
      <c r="I151" s="13">
        <v>42829.00503472222</v>
      </c>
      <c r="J151" s="7">
        <v>0</v>
      </c>
      <c r="K151" s="97" t="str">
        <f>IF(ISEVEN(B151),(B151-1)&amp;"/"&amp;B151,B151&amp;"/"&amp;(B151+1))</f>
        <v>4029/4030</v>
      </c>
      <c r="L151" s="21" t="str">
        <f>VLOOKUP(A151,'Trips&amp;Operators'!$C$1:$G$99999,5,FALSE)</f>
        <v>SMITH MICHAEL</v>
      </c>
      <c r="M151" s="6">
        <f>I151-F151</f>
        <v>2.5624999994761311E-2</v>
      </c>
      <c r="N151" s="7">
        <f>24*60*SUM($M151:$M151)</f>
        <v>36.899999992456287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-04-03T22:19:07-0600',mode:absolute,to:'2017-04-04T01:07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1" s="183" t="str">
        <f>IF(AA151&lt;IF(AG151="EC",23,5.65),"Y","N")</f>
        <v>N</v>
      </c>
      <c r="X151" s="183">
        <f>VALUE(LEFT(AD151,4))-VALUE(LEFT(AD150,4))</f>
        <v>1</v>
      </c>
      <c r="Y151" s="62">
        <f>RIGHT(D151,LEN(D151)-4)/10000</f>
        <v>4.4900000000000002E-2</v>
      </c>
      <c r="Z151" s="62">
        <f>RIGHT(H151,LEN(H151)-4)/10000</f>
        <v>23.327999999999999</v>
      </c>
      <c r="AA151" s="62">
        <f>ABS(Z151-Y151)</f>
        <v>23.283100000000001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>IF(LEN(A151)=6,"0"&amp;A151,A151)</f>
        <v>0239-03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AF151" s="82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/stypes="app*4030*20170404*" /stext=" 06:.+((SYSTEM_STATE.+slice.+state.+changed )|(ment ac)|(multiple cpu faults)|(system.+state.+changed )|(\[timeout)|(PRM\|1\|D)|(kpr)|(kdp)|(\|lc)|(penalty))"</v>
      </c>
      <c r="AG151" s="1" t="str">
        <f>IFERROR(IF(VALUE(LEFT(AD151,2))&lt;=2,"EC",IF(OR(VALUE(LEFT(AD151,2))=8,VALUE(LEFT(AD151,2))=18),"NW","Other")),"Other")</f>
        <v>EC</v>
      </c>
      <c r="AH151" s="86" t="str">
        <f>refinertdcruntimes&amp;" --tripid "&amp;A151&amp;" --locoid "&amp;B151&amp;" --swversion "&amp;C151&amp;" --startMP "&amp;D151&amp;" --initTime "&amp;TEXT(E151,"yyyy-mm-ddTHH:MM:SS")&amp;" --startdatetime "&amp;TEXT(F151,"yyyy-mm-ddTHH:MM:SS")&amp;" --delay "&amp;G151&amp;" --endMP "&amp;H151&amp;" --enddatetime "&amp;TEXT(I151,"yyyy-mm-ddTHH:MM:SS")&amp;" --enforcementcount "&amp;J151&amp;IF(outputrefinedruntimes," &gt;&gt;"&amp;RefinedRTDCRunTimesOutputFile,"")</f>
        <v>"%USERPROFILE%\Documents\GitHub\eaglep3\Utilities\RefineRTDCRunTimes.py" --tripid 239-03 --locoid 4030 --swversion DE.1.0.9.0 --startMP 204:449 --initTime 2017-04-03T23:19:07 --startdatetime 2017-04-03T23:30:21 --delay 1 --endMP 204:233280 --enddatetime 2017-04-04T00:07:15 --enforcementcount 0 &gt;&gt;C:\Users\stu\Documents\GitHub\eaglep3-reporting\EC\2017-04-03-refined-times.txt</v>
      </c>
      <c r="AI151" s="104" t="str">
        <f>"echo {""issue"":{""subject"":"""&amp;R151&amp;""",""project_id"":79,""tracker_id"":40,""status_id"":"&amp;redmine_status&amp;",""priority_id"":"&amp;redmine_priority&amp;",""assigned_to_id"":"&amp;redmine_assignee&amp;",""start_date"":"""&amp;TEXT(I151,"YYYY-mm-dd")&amp;""",""description"":"""&amp;AJ151&amp;""",""custom_fields"":[{""id"":1,""name"":""Subdivision"",""value"":"""&amp;AG151&amp;"""},{""id"":4,""name"":""Milepost"",""value"":"""&amp;Z151&amp;"""},{""id"":17,""name"":""Train ID"",""value"":"""&amp;A151&amp;"""},{""id"":16,""name"":""Locomotive ID"",""value"":"""&amp;B151&amp;"""},{""id"":130,""name"":""Impact"",""value"":"""&amp;AK151&amp;"""},{""id"":150,""name"":""Time of Event (Mountain Time)"",""value"":"""&amp;TEXT(I151,"hh:mm:ss")&amp;"""},{""id"":151,""name"":""Denver Issue ID"",""value"":"""&amp;"""},{""id"":178,""name"":""Operational Impact"",""value"":"""&amp;redmine_op_impact&amp;"""},{""id"":179,""name"":""Denver Segment Assigned"",""value"":"""&amp;AL151&amp;"""}]}}"&amp;"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{"issue":{"subject":"","project_id":79,"tracker_id":40,"status_id":1,"priority_id":2,"assigned_to_id":23,"start_date":"2017-04-04","description":"","custom_fields":[{"id":1,"name":"Subdivision","value":"EC"},{"id":4,"name":"Milepost","value":"23.328"},{"id":17,"name":"Train ID","value":"239-03"},{"id":16,"name":"Locomotive ID","value":"4030"},{"id":130,"name":"Impact","value":""},{"id":150,"name":"Time of Event (Mountain Time)","value":"00:07:15"},{"id":151,"name":"Denver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>"start /low /b "&amp;dls3logs&amp;" --loco "&amp;B151&amp;" --day "&amp;TEXT(F151,"YYYY-MM-DD")</f>
        <v>start /low /b %USERPROFILE%\Documents\GitHub\eaglep3\Utilities\DownloadLogsFromS3.py --loco 4030 --day 2017-04-03</v>
      </c>
      <c r="AN151" s="159" t="str">
        <f>"echo {""issue"":{""subject"":"""&amp;R151&amp;""",""project_id"":30,""tracker_id"":4,""status_id"":"&amp;redmine_status_wcr&amp;",""priority_id"":"&amp;redmine_priority_wcr&amp;",""assigned_to_id"":"&amp;redmine_assignee_wcr&amp;",""start_date"":"""&amp;TEXT(I151-utc_offset/24,"YYYY-mm-dd")&amp;""",""description"":"""&amp;AJ151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06:07:15"},{"id":29,"name":"Sharepoint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811</v>
      </c>
      <c r="B152" s="7">
        <v>4029</v>
      </c>
      <c r="C152" s="21" t="s">
        <v>217</v>
      </c>
      <c r="D152" s="21" t="s">
        <v>889</v>
      </c>
      <c r="E152" s="13">
        <v>42829.009050925924</v>
      </c>
      <c r="F152" s="13">
        <v>42829.01829861111</v>
      </c>
      <c r="G152" s="7">
        <v>1</v>
      </c>
      <c r="H152" s="21" t="s">
        <v>214</v>
      </c>
      <c r="I152" s="13">
        <v>42829.046493055554</v>
      </c>
      <c r="J152" s="7">
        <v>0</v>
      </c>
      <c r="K152" s="97" t="str">
        <f>IF(ISEVEN(B152),(B152-1)&amp;"/"&amp;B152,B152&amp;"/"&amp;(B152+1))</f>
        <v>4029/4030</v>
      </c>
      <c r="L152" s="21" t="str">
        <f>VLOOKUP(A152,'Trips&amp;Operators'!$C$1:$G$99999,5,FALSE)</f>
        <v>SMITH MICHAEL</v>
      </c>
      <c r="M152" s="6">
        <f>I152-F152</f>
        <v>2.8194444443215616E-2</v>
      </c>
      <c r="N152" s="7">
        <f>24*60*SUM($M152:$M152)</f>
        <v>40.599999998230487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2" s="183" t="str">
        <f>IF(AA152&lt;IF(AG152="EC",23,5.65),"Y","N")</f>
        <v>N</v>
      </c>
      <c r="X152" s="183">
        <f>VALUE(LEFT(AD152,4))-VALUE(LEFT(AD151,4))</f>
        <v>1</v>
      </c>
      <c r="Y152" s="62">
        <f>RIGHT(D152,LEN(D152)-4)/10000</f>
        <v>23.297499999999999</v>
      </c>
      <c r="Z152" s="62">
        <f>RIGHT(H152,LEN(H152)-4)/10000</f>
        <v>1.47E-2</v>
      </c>
      <c r="AA152" s="62">
        <f>ABS(Z152-Y152)</f>
        <v>23.282799999999998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>IF(LEN(A152)=6,"0"&amp;A152,A152)</f>
        <v>0240-03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 &amp; aws s3 cp s3://rtdc.mdm.uploadarchive.raw/RTDC4029/ "%USERPROFILE%\AppData\Local\Temp\OnboardLogs"\RTDC4029\2017-04-05 --exclude "*" --recursive --include "*20170405*" &amp; "%USERPROFILE%\Documents\GitHub\mrs-test-scripts\Headless Mode &amp; Sideloading\WalkAndUnGZ.bat" "%USERPROFILE%\AppData\Local\Temp\OnboardLogs"\RTDC4029\2017-04-05</v>
      </c>
      <c r="AF152" s="82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/stypes="app*4029*20170404*" /stext=" 07:.+((SYSTEM_STATE.+slice.+state.+changed )|(ment ac)|(multiple cpu faults)|(system.+state.+changed )|(\[timeout)|(PRM\|1\|D)|(kpr)|(kdp)|(\|lc)|(penalty))"</v>
      </c>
      <c r="AG152" s="1" t="str">
        <f>IFERROR(IF(VALUE(LEFT(AD152,2))&lt;=2,"EC",IF(OR(VALUE(LEFT(AD152,2))=8,VALUE(LEFT(AD152,2))=18),"NW","Other")),"Other")</f>
        <v>EC</v>
      </c>
      <c r="AH152" s="86" t="str">
        <f>refinertdcruntimes&amp;" --tripid "&amp;A152&amp;" --locoid "&amp;B152&amp;" --swversion "&amp;C152&amp;" --startMP "&amp;D152&amp;" --initTime "&amp;TEXT(E152,"yyyy-mm-ddTHH:MM:SS")&amp;" --startdatetime "&amp;TEXT(F152,"yyyy-mm-ddTHH:MM:SS")&amp;" --delay "&amp;G152&amp;" --endMP "&amp;H152&amp;" --enddatetime "&amp;TEXT(I152,"yyyy-mm-ddTHH:MM:SS")&amp;" --enforcementcount "&amp;J152&amp;IF(outputrefinedruntimes," &gt;&gt;"&amp;RefinedRTDCRunTimesOutputFile,"")</f>
        <v>"%USERPROFILE%\Documents\GitHub\eaglep3\Utilities\RefineRTDCRunTimes.py" --tripid 240-03 --locoid 4029 --swversion DE.1.0.9.0 --startMP 204:232975 --initTime 2017-04-04T00:13:02 --startdatetime 2017-04-04T00:26:21 --delay 1 --endMP 204:147 --enddatetime 2017-04-04T01:06:57 --enforcementcount 0 &gt;&gt;C:\Users\stu\Documents\GitHub\eaglep3-reporting\EC\2017-04-03-refined-times.txt</v>
      </c>
      <c r="AI152" s="104" t="str">
        <f>"echo {""issue"":{""subject"":"""&amp;R152&amp;""",""project_id"":79,""tracker_id"":40,""status_id"":"&amp;redmine_status&amp;",""priority_id"":"&amp;redmine_priority&amp;",""assigned_to_id"":"&amp;redmine_assignee&amp;",""start_date"":"""&amp;TEXT(I152,"YYYY-mm-dd")&amp;""",""description"":"""&amp;AJ152&amp;""",""custom_fields"":[{""id"":1,""name"":""Subdivision"",""value"":"""&amp;AG152&amp;"""},{""id"":4,""name"":""Milepost"",""value"":"""&amp;Z152&amp;"""},{""id"":17,""name"":""Train ID"",""value"":"""&amp;A152&amp;"""},{""id"":16,""name"":""Locomotive ID"",""value"":"""&amp;B152&amp;"""},{""id"":130,""name"":""Impact"",""value"":"""&amp;AK152&amp;"""},{""id"":150,""name"":""Time of Event (Mountain Time)"",""value"":"""&amp;TEXT(I152,"hh:mm:ss")&amp;"""},{""id"":151,""name"":""Denver Issue ID"",""value"":"""&amp;"""},{""id"":178,""name"":""Operational Impact"",""value"":"""&amp;redmine_op_impact&amp;"""},{""id"":179,""name"":""Denver Segment Assigned"",""value"":"""&amp;AL152&amp;"""}]}}"&amp;"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{"issue":{"subject":"","project_id":79,"tracker_id":40,"status_id":1,"priority_id":2,"assigned_to_id":23,"start_date":"2017-04-04","description":"","custom_fields":[{"id":1,"name":"Subdivision","value":"EC"},{"id":4,"name":"Milepost","value":"0.0147"},{"id":17,"name":"Train ID","value":"240-03"},{"id":16,"name":"Locomotive ID","value":"4029"},{"id":130,"name":"Impact","value":""},{"id":150,"name":"Time of Event (Mountain Time)","value":"01:06:57"},{"id":151,"name":"Denver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>"start /low /b "&amp;dls3logs&amp;" --loco "&amp;B152&amp;" --day "&amp;TEXT(F152,"YYYY-MM-DD")</f>
        <v>start /low /b %USERPROFILE%\Documents\GitHub\eaglep3\Utilities\DownloadLogsFromS3.py --loco 4029 --day 2017-04-04</v>
      </c>
      <c r="AN152" s="159" t="str">
        <f>"echo {""issue"":{""subject"":"""&amp;R152&amp;""",""project_id"":30,""tracker_id"":4,""status_id"":"&amp;redmine_status_wcr&amp;",""priority_id"":"&amp;redmine_priority_wcr&amp;",""assigned_to_id"":"&amp;redmine_assignee_wcr&amp;",""start_date"":"""&amp;TEXT(I152-utc_offset/24,"YYYY-mm-dd")&amp;""",""description"":"""&amp;AJ152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809</v>
      </c>
      <c r="B153" s="7">
        <v>4028</v>
      </c>
      <c r="C153" s="21" t="s">
        <v>217</v>
      </c>
      <c r="D153" s="21" t="s">
        <v>212</v>
      </c>
      <c r="E153" s="13">
        <v>42828.985972222225</v>
      </c>
      <c r="F153" s="13">
        <v>42829.000196759262</v>
      </c>
      <c r="G153" s="7">
        <v>1</v>
      </c>
      <c r="H153" s="21" t="s">
        <v>443</v>
      </c>
      <c r="I153" s="13">
        <v>42829.027581018519</v>
      </c>
      <c r="J153" s="7">
        <v>0</v>
      </c>
      <c r="K153" s="97" t="str">
        <f>IF(ISEVEN(B153),(B153-1)&amp;"/"&amp;B153,B153&amp;"/"&amp;(B153+1))</f>
        <v>4027/4028</v>
      </c>
      <c r="L153" s="21" t="str">
        <f>VLOOKUP(A153,'Trips&amp;Operators'!$C$1:$G$99999,5,FALSE)</f>
        <v>GUZMAN DANNY</v>
      </c>
      <c r="M153" s="6">
        <f>I153-F153</f>
        <v>2.7384259257814847E-2</v>
      </c>
      <c r="N153" s="7">
        <f>24*60*SUM($M153:$M153)</f>
        <v>39.43333333125338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-04-03T22:39:48-0600',mode:absolute,to:'2017-04-04T01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3" s="183" t="str">
        <f>IF(AA153&lt;IF(AG153="EC",23,5.65),"Y","N")</f>
        <v>N</v>
      </c>
      <c r="X153" s="183">
        <f>VALUE(LEFT(AD153,4))-VALUE(LEFT(AD152,4))</f>
        <v>1</v>
      </c>
      <c r="Y153" s="62">
        <f>RIGHT(D153,LEN(D153)-4)/10000</f>
        <v>4.5499999999999999E-2</v>
      </c>
      <c r="Z153" s="62">
        <f>RIGHT(H153,LEN(H153)-4)/10000</f>
        <v>23.329499999999999</v>
      </c>
      <c r="AA153" s="62">
        <f>ABS(Z153-Y153)</f>
        <v>23.283999999999999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>IF(LEN(A153)=6,"0"&amp;A153,A153)</f>
        <v>0241-03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153" s="82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/stypes="app*4028*20170404*" /stext=" 06:.+((SYSTEM_STATE.+slice.+state.+changed )|(ment ac)|(multiple cpu faults)|(system.+state.+changed )|(\[timeout)|(PRM\|1\|D)|(kpr)|(kdp)|(\|lc)|(penalty))"</v>
      </c>
      <c r="AG153" s="1" t="str">
        <f>IFERROR(IF(VALUE(LEFT(AD153,2))&lt;=2,"EC",IF(OR(VALUE(LEFT(AD153,2))=8,VALUE(LEFT(AD153,2))=18),"NW","Other")),"Other")</f>
        <v>EC</v>
      </c>
      <c r="AH153" s="86" t="str">
        <f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241-03 --locoid 4028 --swversion DE.1.0.9.0 --startMP 204:455 --initTime 2017-04-03T23:39:48 --startdatetime 2017-04-04T00:00:17 --delay 1 --endMP 204:233295 --enddatetime 2017-04-04T00:39:43 --enforcementcount 0 &gt;&gt;C:\Users\stu\Documents\GitHub\eaglep3-reporting\EC\2017-04-03-refined-times.txt</v>
      </c>
      <c r="AI153" s="104" t="str">
        <f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Z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{"issue":{"subject":"","project_id":79,"tracker_id":40,"status_id":1,"priority_id":2,"assigned_to_id":23,"start_date":"2017-04-04","description":"","custom_fields":[{"id":1,"name":"Subdivision","value":"EC"},{"id":4,"name":"Milepost","value":"23.3295"},{"id":17,"name":"Train ID","value":"241-03"},{"id":16,"name":"Locomotive ID","value":"4028"},{"id":130,"name":"Impact","value":""},{"id":150,"name":"Time of Event (Mountain Time)","value":"00:39:43"},{"id":151,"name":"Denver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>"start /low /b "&amp;dls3logs&amp;" --loco "&amp;B153&amp;" --day "&amp;TEXT(F153,"YYYY-MM-DD")</f>
        <v>start /low /b %USERPROFILE%\Documents\GitHub\eaglep3\Utilities\DownloadLogsFromS3.py --loco 4028 --day 2017-04-04</v>
      </c>
      <c r="AN153" s="159" t="str">
        <f>"echo {""issue"":{""subject"":"""&amp;R153&amp;""",""project_id"":30,""tracker_id"":4,""status_id"":"&amp;redmine_status_wcr&amp;",""priority_id"":"&amp;redmine_priority_wcr&amp;",""assigned_to_id"":"&amp;redmine_assignee_wcr&amp;",""start_date"":"""&amp;TEXT(I153-utc_offset/24,"YYYY-mm-dd")&amp;""",""description"":"""&amp;AJ153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3" t="s">
        <v>813</v>
      </c>
      <c r="B154" s="7">
        <v>4027</v>
      </c>
      <c r="C154" s="21" t="s">
        <v>217</v>
      </c>
      <c r="D154" s="21" t="s">
        <v>442</v>
      </c>
      <c r="E154" s="13">
        <v>42829.029386574075</v>
      </c>
      <c r="F154" s="13">
        <v>42829.039212962962</v>
      </c>
      <c r="G154" s="7">
        <v>1</v>
      </c>
      <c r="H154" s="21" t="s">
        <v>516</v>
      </c>
      <c r="I154" s="13">
        <v>42829.070717592593</v>
      </c>
      <c r="J154" s="7">
        <v>0</v>
      </c>
      <c r="K154" s="97" t="str">
        <f>IF(ISEVEN(B154),(B154-1)&amp;"/"&amp;B154,B154&amp;"/"&amp;(B154+1))</f>
        <v>4027/4028</v>
      </c>
      <c r="L154" s="21" t="str">
        <f>VLOOKUP(A154,'Trips&amp;Operators'!$C$1:$G$99999,5,FALSE)</f>
        <v>GUZMAN DANNY</v>
      </c>
      <c r="M154" s="6">
        <f>I154-F154</f>
        <v>3.1504629630944692E-2</v>
      </c>
      <c r="N154" s="7">
        <f>24*60*SUM($M154:$M154)</f>
        <v>45.366666668560356</v>
      </c>
      <c r="O154" s="7"/>
      <c r="P154" s="7"/>
      <c r="Q154" s="22"/>
      <c r="R154" s="22"/>
      <c r="S154" s="31">
        <f>SUM(U154:U154)/IF(AG154="EC",12,1)</f>
        <v>1</v>
      </c>
      <c r="T154" s="46" t="str">
        <f>IF(ISEVEN(LEFT(AD154,4)),"Southbound","NorthBound")</f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-04-03T23:42:19-0600',mode:absolute,to:'2017-04-04T02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4" s="183" t="str">
        <f>IF(AA154&lt;IF(AG154="EC",23,5.65),"Y","N")</f>
        <v>N</v>
      </c>
      <c r="X154" s="183">
        <f>VALUE(LEFT(AD154,4))-VALUE(LEFT(AD153,4))</f>
        <v>1</v>
      </c>
      <c r="Y154" s="62">
        <f>RIGHT(D154,LEN(D154)-4)/10000</f>
        <v>23.298200000000001</v>
      </c>
      <c r="Z154" s="62">
        <f>RIGHT(H154,LEN(H154)-4)/10000</f>
        <v>1.6E-2</v>
      </c>
      <c r="AA154" s="62">
        <f>ABS(Z154-Y154)</f>
        <v>23.282200000000003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>IF(LEN(A154)=6,"0"&amp;A154,A154)</f>
        <v>0242-03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 &amp; aws s3 cp s3://rtdc.mdm.uploadarchive.raw/RTDC4027/ "%USERPROFILE%\AppData\Local\Temp\OnboardLogs"\RTDC4027\2017-04-05 --exclude "*" --recursive --include "*20170405*" &amp; "%USERPROFILE%\Documents\GitHub\mrs-test-scripts\Headless Mode &amp; Sideloading\WalkAndUnGZ.bat" "%USERPROFILE%\AppData\Local\Temp\OnboardLogs"\RTDC4027\2017-04-05</v>
      </c>
      <c r="AF154" s="82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/stypes="app*4027*20170404*" /stext=" 07:.+((SYSTEM_STATE.+slice.+state.+changed )|(ment ac)|(multiple cpu faults)|(system.+state.+changed )|(\[timeout)|(PRM\|1\|D)|(kpr)|(kdp)|(\|lc)|(penalty))"</v>
      </c>
      <c r="AG154" s="1" t="str">
        <f>IFERROR(IF(VALUE(LEFT(AD154,2))&lt;=2,"EC",IF(OR(VALUE(LEFT(AD154,2))=8,VALUE(LEFT(AD154,2))=18),"NW","Other")),"Other")</f>
        <v>EC</v>
      </c>
      <c r="AH154" s="86" t="str">
        <f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242-03 --locoid 4027 --swversion DE.1.0.9.0 --startMP 204:232982 --initTime 2017-04-04T00:42:19 --startdatetime 2017-04-04T00:56:28 --delay 1 --endMP 204:160 --enddatetime 2017-04-04T01:41:50 --enforcementcount 0 &gt;&gt;C:\Users\stu\Documents\GitHub\eaglep3-reporting\EC\2017-04-03-refined-times.txt</v>
      </c>
      <c r="AI154" s="104" t="str">
        <f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{"issue":{"subject":"","project_id":79,"tracker_id":40,"status_id":1,"priority_id":2,"assigned_to_id":23,"start_date":"2017-04-04","description":"","custom_fields":[{"id":1,"name":"Subdivision","value":"EC"},{"id":4,"name":"Milepost","value":"0.016"},{"id":17,"name":"Train ID","value":"242-03"},{"id":16,"name":"Locomotive ID","value":"4027"},{"id":130,"name":"Impact","value":""},{"id":150,"name":"Time of Event (Mountain Time)","value":"01:41:50"},{"id":151,"name":"Denver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>"start /low /b "&amp;dls3logs&amp;" --loco "&amp;B154&amp;" --day "&amp;TEXT(F154,"YYYY-MM-DD")</f>
        <v>start /low /b %USERPROFILE%\Documents\GitHub\eaglep3\Utilities\DownloadLogsFromS3.py --loco 4027 --day 2017-04-04</v>
      </c>
      <c r="AN154" s="159" t="str">
        <f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812</v>
      </c>
      <c r="B155" s="7">
        <v>4018</v>
      </c>
      <c r="C155" s="21" t="s">
        <v>217</v>
      </c>
      <c r="D155" s="21" t="s">
        <v>520</v>
      </c>
      <c r="E155" s="13">
        <v>42829.013680555552</v>
      </c>
      <c r="F155" s="13">
        <v>42829.014745370368</v>
      </c>
      <c r="G155" s="7">
        <v>1</v>
      </c>
      <c r="H155" s="21" t="s">
        <v>900</v>
      </c>
      <c r="I155" s="13">
        <v>42829.04583333333</v>
      </c>
      <c r="J155" s="7">
        <v>0</v>
      </c>
      <c r="K155" s="97" t="str">
        <f>IF(ISEVEN(B155),(B155-1)&amp;"/"&amp;B155,B155&amp;"/"&amp;(B155+1))</f>
        <v>4017/4018</v>
      </c>
      <c r="L155" s="21" t="str">
        <f>VLOOKUP(A155,'Trips&amp;Operators'!$C$1:$G$99999,5,FALSE)</f>
        <v>STORY SAMANTHA</v>
      </c>
      <c r="M155" s="6">
        <f>I155-F155</f>
        <v>3.1087962961464655E-2</v>
      </c>
      <c r="N155" s="7"/>
      <c r="O155" s="7"/>
      <c r="P155" s="7"/>
      <c r="Q155" s="22"/>
      <c r="R155" s="22"/>
      <c r="S155" s="31"/>
      <c r="T155" s="46" t="str">
        <f>IF(ISEVEN(LEFT(AD155,4)),"Southbound","NorthBound")</f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-04-03T23:19:42-0600',mode:absolute,to:'2017-04-04T02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5" s="183" t="str">
        <f>IF(AA155&lt;IF(AG155="EC",23,5.65),"Y","N")</f>
        <v>Y</v>
      </c>
      <c r="X155" s="183">
        <f>VALUE(LEFT(AD155,4))-VALUE(LEFT(AD154,4))</f>
        <v>1</v>
      </c>
      <c r="Y155" s="62">
        <f>RIGHT(D155,LEN(D155)-4)/10000</f>
        <v>4.4200000000000003E-2</v>
      </c>
      <c r="Z155" s="62">
        <f>RIGHT(H155,LEN(H155)-4)/10000</f>
        <v>15.4445</v>
      </c>
      <c r="AA155" s="62">
        <f>ABS(Z155-Y155)</f>
        <v>15.4003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>IF(LEN(A155)=6,"0"&amp;A155,A155)</f>
        <v>0243-03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155" s="82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/stypes="app*4018*20170404*" /stext=" 07:.+((SYSTEM_STATE.+slice.+state.+changed )|(ment ac)|(multiple cpu faults)|(system.+state.+changed )|(\[timeout)|(PRM\|1\|D)|(kpr)|(kdp)|(\|lc)|(penalty))"</v>
      </c>
      <c r="AG155" s="1" t="str">
        <f>IFERROR(IF(VALUE(LEFT(AD155,2))&lt;=2,"EC",IF(OR(VALUE(LEFT(AD155,2))=8,VALUE(LEFT(AD155,2))=18),"NW","Other")),"Other")</f>
        <v>EC</v>
      </c>
      <c r="AH155" s="86" t="str">
        <f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243-03 --locoid 4018 --swversion DE.1.0.9.0 --startMP 204:442 --initTime 2017-04-04T00:19:42 --startdatetime 2017-04-04T00:21:14 --delay 1 --endMP 204:154445 --enddatetime 2017-04-04T01:06:00 --enforcementcount 0 &gt;&gt;C:\Users\stu\Documents\GitHub\eaglep3-reporting\EC\2017-04-03-refined-times.txt</v>
      </c>
      <c r="AI155" s="104" t="str">
        <f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{"issue":{"subject":"","project_id":79,"tracker_id":40,"status_id":1,"priority_id":2,"assigned_to_id":23,"start_date":"2017-04-04","description":"","custom_fields":[{"id":1,"name":"Subdivision","value":"EC"},{"id":4,"name":"Milepost","value":"15.4445"},{"id":17,"name":"Train ID","value":"243-03"},{"id":16,"name":"Locomotive ID","value":"4018"},{"id":130,"name":"Impact","value":""},{"id":150,"name":"Time of Event (Mountain Time)","value":"01:06:00"},{"id":151,"name":"Denver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>"start /low /b "&amp;dls3logs&amp;" --loco "&amp;B155&amp;" --day "&amp;TEXT(F155,"YYYY-MM-DD")</f>
        <v>start /low /b %USERPROFILE%\Documents\GitHub\eaglep3\Utilities\DownloadLogsFromS3.py --loco 4018 --day 2017-04-04</v>
      </c>
      <c r="AN155" s="159" t="str">
        <f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812</v>
      </c>
      <c r="B156" s="7">
        <v>4018</v>
      </c>
      <c r="C156" s="21" t="s">
        <v>217</v>
      </c>
      <c r="D156" s="21" t="s">
        <v>899</v>
      </c>
      <c r="E156" s="13">
        <v>42829.046550925923</v>
      </c>
      <c r="F156" s="13">
        <v>42829.047465277778</v>
      </c>
      <c r="G156" s="7">
        <v>1</v>
      </c>
      <c r="H156" s="21" t="s">
        <v>842</v>
      </c>
      <c r="I156" s="13">
        <v>42829.056875000002</v>
      </c>
      <c r="J156" s="7">
        <v>0</v>
      </c>
      <c r="K156" s="97" t="str">
        <f>IF(ISEVEN(B156),(B156-1)&amp;"/"&amp;B156,B156&amp;"/"&amp;(B156+1))</f>
        <v>4017/4018</v>
      </c>
      <c r="L156" s="21" t="str">
        <f>VLOOKUP(A156,'Trips&amp;Operators'!$C$1:$G$99999,5,FALSE)</f>
        <v>STORY SAMANTHA</v>
      </c>
      <c r="M156" s="6">
        <f>I156-F156</f>
        <v>9.4097222245181911E-3</v>
      </c>
      <c r="N156" s="7">
        <f>24*60*SUM($M156:$M157)</f>
        <v>53.199999999487773</v>
      </c>
      <c r="O156" s="7"/>
      <c r="P156" s="7"/>
      <c r="Q156" s="22"/>
      <c r="R156" s="22" t="s">
        <v>1038</v>
      </c>
      <c r="S156" s="31">
        <f>SUM(U156:U157)/IF(AG156="EC",12,1)</f>
        <v>1</v>
      </c>
      <c r="T156" s="46" t="str">
        <f>IF(ISEVEN(LEFT(AD156,4)),"Southbound","NorthBound")</f>
        <v>NorthBound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182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-04-04T00:07:02-0600',mode:absolute,to:'2017-04-04T02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6" s="183" t="str">
        <f>IF(AA156&lt;IF(AG156="EC",23,5.65),"Y","N")</f>
        <v>Y</v>
      </c>
      <c r="X156" s="183">
        <f>VALUE(LEFT(AD156,4))-VALUE(LEFT(AD155,4))</f>
        <v>0</v>
      </c>
      <c r="Y156" s="62">
        <f>RIGHT(D156,LEN(D156)-4)/10000</f>
        <v>15.442600000000001</v>
      </c>
      <c r="Z156" s="62">
        <f>RIGHT(H156,LEN(H156)-4)/10000</f>
        <v>23.328800000000001</v>
      </c>
      <c r="AA156" s="62">
        <f>ABS(Z156-Y156)</f>
        <v>7.8862000000000005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>IF(LEN(A156)=6,"0"&amp;A156,A156)</f>
        <v>0243-03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156" s="82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/stypes="app*4018*20170404*" /stext=" 07:.+((SYSTEM_STATE.+slice.+state.+changed )|(ment ac)|(multiple cpu faults)|(system.+state.+changed )|(\[timeout)|(PRM\|1\|D)|(kpr)|(kdp)|(\|lc)|(penalty))"</v>
      </c>
      <c r="AG156" s="1" t="str">
        <f>IFERROR(IF(VALUE(LEFT(AD156,2))&lt;=2,"EC",IF(OR(VALUE(LEFT(AD156,2))=8,VALUE(LEFT(AD156,2))=18),"NW","Other")),"Other")</f>
        <v>EC</v>
      </c>
      <c r="AH156" s="86" t="str">
        <f>refinertdcruntimes&amp;" --tripid "&amp;A156&amp;" --locoid "&amp;B156&amp;" --swversion "&amp;C156&amp;" --startMP "&amp;D156&amp;" --initTime "&amp;TEXT(E156,"yyyy-mm-ddTHH:MM:SS")&amp;" --startdatetime "&amp;TEXT(F156,"yyyy-mm-ddTHH:MM:SS")&amp;" --delay "&amp;G156&amp;" --endMP "&amp;H156&amp;" --enddatetime "&amp;TEXT(I156,"yyyy-mm-ddTHH:MM:SS")&amp;" --enforcementcount "&amp;J156&amp;IF(outputrefinedruntimes," &gt;&gt;"&amp;RefinedRTDCRunTimesOutputFile,"")</f>
        <v>"%USERPROFILE%\Documents\GitHub\eaglep3\Utilities\RefineRTDCRunTimes.py" --tripid 243-03 --locoid 4018 --swversion DE.1.0.9.0 --startMP 204:154426 --initTime 2017-04-04T01:07:02 --startdatetime 2017-04-04T01:08:21 --delay 1 --endMP 204:233288 --enddatetime 2017-04-04T01:21:54 --enforcementcount 0 &gt;&gt;C:\Users\stu\Documents\GitHub\eaglep3-reporting\EC\2017-04-03-refined-times.txt</v>
      </c>
      <c r="AI156" s="104" t="str">
        <f>"echo {""issue"":{""subject"":"""&amp;R156&amp;""",""project_id"":79,""tracker_id"":40,""status_id"":"&amp;redmine_status&amp;",""priority_id"":"&amp;redmine_priority&amp;",""assigned_to_id"":"&amp;redmine_assignee&amp;",""start_date"":"""&amp;TEXT(I156,"YYYY-mm-dd")&amp;""",""description"":"""&amp;AJ156&amp;""",""custom_fields"":[{""id"":1,""name"":""Subdivision"",""value"":"""&amp;AG156&amp;"""},{""id"":4,""name"":""Milepost"",""value"":"""&amp;Z156&amp;"""},{""id"":17,""name"":""Train ID"",""value"":"""&amp;A156&amp;"""},{""id"":16,""name"":""Locomotive ID"",""value"":"""&amp;B156&amp;"""},{""id"":130,""name"":""Impact"",""value"":"""&amp;AK156&amp;"""},{""id"":150,""name"":""Time of Event (Mountain Time)"",""value"":"""&amp;TEXT(I156,"hh:mm:ss")&amp;"""},{""id"":151,""name"":""Denver Issue ID"",""value"":"""&amp;"""},{""id"":178,""name"":""Operational Impact"",""value"":"""&amp;redmine_op_impact&amp;"""},{""id"":179,""name"":""Denver Segment Assigned"",""value"":"""&amp;AL156&amp;"""}]}}"&amp;" | curl -X POST -H ""Content-Type: application/json"" -H ""X-Redmine-API-Key: "&amp;redm_api_key&amp;""" "&amp;redm_url&amp;" --data @-"</f>
        <v>echo {"issue":{"subject":"Wheel slip at 2017-04-04 00:52:00","project_id":79,"tracker_id":40,"status_id":1,"priority_id":2,"assigned_to_id":23,"start_date":"2017-04-04","description":"","custom_fields":[{"id":1,"name":"Subdivision","value":"EC"},{"id":4,"name":"Milepost","value":"23.3288"},{"id":17,"name":"Train ID","value":"243-03"},{"id":16,"name":"Locomotive ID","value":"4018"},{"id":130,"name":"Impact","value":""},{"id":150,"name":"Time of Event (Mountain Time)","value":"01:21:54"},{"id":151,"name":"Denver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>"start /low /b "&amp;dls3logs&amp;" --loco "&amp;B156&amp;" --day "&amp;TEXT(F156,"YYYY-MM-DD")</f>
        <v>start /low /b %USERPROFILE%\Documents\GitHub\eaglep3\Utilities\DownloadLogsFromS3.py --loco 4018 --day 2017-04-04</v>
      </c>
      <c r="AN156" s="159" t="str">
        <f>"echo {""issue"":{""subject"":"""&amp;R156&amp;""",""project_id"":30,""tracker_id"":4,""status_id"":"&amp;redmine_status_wcr&amp;",""priority_id"":"&amp;redmine_priority_wcr&amp;",""assigned_to_id"":"&amp;redmine_assignee_wcr&amp;",""start_date"":"""&amp;TEXT(I156-utc_offset/24,"YYYY-mm-dd")&amp;""",""description"":"""&amp;AJ156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{"issue":{"subject":"Wheel slip at 2017-04-04 00:52:00","project_id":30,"tracker_id":4,"status_id":1,"priority_id":1,"assigned_to_id":10,"start_date":"2017-04-04","description":"","custom_fields":[{"id":30,"name":"Category","value":"Issue"},{"id":3,"name":"Functional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816</v>
      </c>
      <c r="B157" s="7">
        <v>4017</v>
      </c>
      <c r="C157" s="21" t="s">
        <v>217</v>
      </c>
      <c r="D157" s="21" t="s">
        <v>485</v>
      </c>
      <c r="E157" s="13">
        <v>42829.05878472222</v>
      </c>
      <c r="F157" s="13">
        <v>42829.060486111113</v>
      </c>
      <c r="G157" s="7">
        <v>1</v>
      </c>
      <c r="H157" s="21" t="s">
        <v>199</v>
      </c>
      <c r="I157" s="13">
        <v>42829.088020833333</v>
      </c>
      <c r="J157" s="7">
        <v>0</v>
      </c>
      <c r="K157" s="97" t="str">
        <f>IF(ISEVEN(B157),(B157-1)&amp;"/"&amp;B157,B157&amp;"/"&amp;(B157+1))</f>
        <v>4017/4018</v>
      </c>
      <c r="L157" s="21" t="str">
        <f>VLOOKUP(A157,'Trips&amp;Operators'!$C$1:$G$99999,5,FALSE)</f>
        <v>STORY SAMANTHA</v>
      </c>
      <c r="M157" s="6">
        <f>I157-F157</f>
        <v>2.753472221957054E-2</v>
      </c>
      <c r="N157" s="7">
        <f>24*60*SUM($M157:$M157)</f>
        <v>39.649999996181577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-04-04T00:24:39-0600',mode:absolute,to:'2017-04-04T03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7" s="183" t="str">
        <f>IF(AA157&lt;IF(AG157="EC",23,5.65),"Y","N")</f>
        <v>N</v>
      </c>
      <c r="X157" s="183">
        <f>VALUE(LEFT(AD157,4))-VALUE(LEFT(AD156,4))</f>
        <v>1</v>
      </c>
      <c r="Y157" s="62">
        <f>RIGHT(D157,LEN(D157)-4)/10000</f>
        <v>23.2986</v>
      </c>
      <c r="Z157" s="62">
        <f>RIGHT(H157,LEN(H157)-4)/10000</f>
        <v>1.52E-2</v>
      </c>
      <c r="AA157" s="62">
        <f>ABS(Z157-Y157)</f>
        <v>23.2834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>IF(LEN(A157)=6,"0"&amp;A157,A157)</f>
        <v>0244-03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 &amp; aws s3 cp s3://rtdc.mdm.uploadarchive.raw/RTDC4017/ "%USERPROFILE%\AppData\Local\Temp\OnboardLogs"\RTDC4017\2017-04-05 --exclude "*" --recursive --include "*20170405*" &amp; "%USERPROFILE%\Documents\GitHub\mrs-test-scripts\Headless Mode &amp; Sideloading\WalkAndUnGZ.bat" "%USERPROFILE%\AppData\Local\Temp\OnboardLogs"\RTDC4017\2017-04-05</v>
      </c>
      <c r="AF157" s="82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/stypes="app*4017*20170404*" /stext=" 08:.+((SYSTEM_STATE.+slice.+state.+changed )|(ment ac)|(multiple cpu faults)|(system.+state.+changed )|(\[timeout)|(PRM\|1\|D)|(kpr)|(kdp)|(\|lc)|(penalty))"</v>
      </c>
      <c r="AG157" s="1" t="str">
        <f>IFERROR(IF(VALUE(LEFT(AD157,2))&lt;=2,"EC",IF(OR(VALUE(LEFT(AD157,2))=8,VALUE(LEFT(AD157,2))=18),"NW","Other")),"Other")</f>
        <v>EC</v>
      </c>
      <c r="AH157" s="86" t="str">
        <f>refinertdcruntimes&amp;" --tripid "&amp;A157&amp;" --locoid "&amp;B157&amp;" --swversion "&amp;C157&amp;" --startMP "&amp;D157&amp;" --initTime "&amp;TEXT(E157,"yyyy-mm-ddTHH:MM:SS")&amp;" --startdatetime "&amp;TEXT(F157,"yyyy-mm-ddTHH:MM:SS")&amp;" --delay "&amp;G157&amp;" --endMP "&amp;H157&amp;" --enddatetime "&amp;TEXT(I157,"yyyy-mm-ddTHH:MM:SS")&amp;" --enforcementcount "&amp;J157&amp;IF(outputrefinedruntimes," &gt;&gt;"&amp;RefinedRTDCRunTimesOutputFile,"")</f>
        <v>"%USERPROFILE%\Documents\GitHub\eaglep3\Utilities\RefineRTDCRunTimes.py" --tripid 244-03 --locoid 4017 --swversion DE.1.0.9.0 --startMP 204:232986 --initTime 2017-04-04T01:24:39 --startdatetime 2017-04-04T01:27:06 --delay 1 --endMP 204:152 --enddatetime 2017-04-04T02:06:45 --enforcementcount 0 &gt;&gt;C:\Users\stu\Documents\GitHub\eaglep3-reporting\EC\2017-04-03-refined-times.txt</v>
      </c>
      <c r="AI157" s="104" t="str">
        <f>"echo {""issue"":{""subject"":"""&amp;R157&amp;""",""project_id"":79,""tracker_id"":40,""status_id"":"&amp;redmine_status&amp;",""priority_id"":"&amp;redmine_priority&amp;",""assigned_to_id"":"&amp;redmine_assignee&amp;",""start_date"":"""&amp;TEXT(I157,"YYYY-mm-dd")&amp;""",""description"":"""&amp;AJ157&amp;""",""custom_fields"":[{""id"":1,""name"":""Subdivision"",""value"":"""&amp;AG157&amp;"""},{""id"":4,""name"":""Milepost"",""value"":"""&amp;Z157&amp;"""},{""id"":17,""name"":""Train ID"",""value"":"""&amp;A157&amp;"""},{""id"":16,""name"":""Locomotive ID"",""value"":"""&amp;B157&amp;"""},{""id"":130,""name"":""Impact"",""value"":"""&amp;AK157&amp;"""},{""id"":150,""name"":""Time of Event (Mountain Time)"",""value"":"""&amp;TEXT(I157,"hh:mm:ss")&amp;"""},{""id"":151,""name"":""Denver Issue ID"",""value"":"""&amp;"""},{""id"":178,""name"":""Operational Impact"",""value"":"""&amp;redmine_op_impact&amp;"""},{""id"":179,""name"":""Denver Segment Assigned"",""value"":"""&amp;AL157&amp;"""}]}}"&amp;"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{"issue":{"subject":"","project_id":79,"tracker_id":40,"status_id":1,"priority_id":2,"assigned_to_id":23,"start_date":"2017-04-04","description":"","custom_fields":[{"id":1,"name":"Subdivision","value":"EC"},{"id":4,"name":"Milepost","value":"0.0152"},{"id":17,"name":"Train ID","value":"244-03"},{"id":16,"name":"Locomotive ID","value":"4017"},{"id":130,"name":"Impact","value":""},{"id":150,"name":"Time of Event (Mountain Time)","value":"02:06:45"},{"id":151,"name":"Denver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>"start /low /b "&amp;dls3logs&amp;" --loco "&amp;B157&amp;" --day "&amp;TEXT(F157,"YYYY-MM-DD")</f>
        <v>start /low /b %USERPROFILE%\Documents\GitHub\eaglep3\Utilities\DownloadLogsFromS3.py --loco 4017 --day 2017-04-04</v>
      </c>
      <c r="AN157" s="159" t="str">
        <f>"echo {""issue"":{""subject"":"""&amp;R157&amp;""",""project_id"":30,""tracker_id"":4,""status_id"":"&amp;redmine_status_wcr&amp;",""priority_id"":"&amp;redmine_priority_wcr&amp;",""assigned_to_id"":"&amp;redmine_assignee_wcr&amp;",""start_date"":"""&amp;TEXT(I157-utc_offset/24,"YYYY-mm-dd")&amp;""",""description"":"""&amp;AJ157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645</v>
      </c>
      <c r="B158" s="7">
        <v>4013</v>
      </c>
      <c r="C158" s="21" t="s">
        <v>217</v>
      </c>
      <c r="D158" s="21" t="s">
        <v>937</v>
      </c>
      <c r="E158" s="13">
        <v>42828.210648148146</v>
      </c>
      <c r="F158" s="13">
        <v>42828.211886574078</v>
      </c>
      <c r="G158" s="7">
        <v>1</v>
      </c>
      <c r="H158" s="21" t="s">
        <v>938</v>
      </c>
      <c r="I158" s="13">
        <v>42828.225810185184</v>
      </c>
      <c r="J158" s="7">
        <v>0</v>
      </c>
      <c r="K158" s="97" t="str">
        <f>IF(ISEVEN(B158),(B158-1)&amp;"/"&amp;B158,B158&amp;"/"&amp;(B158+1))</f>
        <v>4013/4014</v>
      </c>
      <c r="L158" s="21" t="str">
        <f>VLOOKUP(A158,'Trips&amp;Operators'!$C$1:$G$99999,5,FALSE)</f>
        <v>DAVIS WENDY</v>
      </c>
      <c r="M158" s="6">
        <f>I158-F158</f>
        <v>1.392361110629281E-2</v>
      </c>
      <c r="N158" s="7">
        <f>24*60*SUM($M158:$M158)</f>
        <v>20.049999993061647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-04-03T04:03:20-0600',mode:absolute,to:'2017-04-03T06:25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83" t="str">
        <f>IF(AA158&lt;IF(AG158="EC",23,5.65),"Y","N")</f>
        <v>N</v>
      </c>
      <c r="X158" s="183">
        <f>VALUE(LEFT(AD158,4))-VALUE(LEFT(AD157,4))</f>
        <v>556</v>
      </c>
      <c r="Y158" s="62">
        <f>RIGHT(D158,LEN(D158)-4)/10000</f>
        <v>5.8692000000000002</v>
      </c>
      <c r="Z158" s="62">
        <f>RIGHT(H158,LEN(H158)-4)/10000</f>
        <v>6.59E-2</v>
      </c>
      <c r="AA158" s="62">
        <f>ABS(Z158-Y158)</f>
        <v>5.8033000000000001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>IF(LEN(A158)=6,"0"&amp;A158,A158)</f>
        <v>0800-03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58" s="82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/stypes="app*4013*20170403*" /stext=" 11:.+((SYSTEM_STATE.+slice.+state.+changed )|(ment ac)|(multiple cpu faults)|(system.+state.+changed )|(\[timeout)|(PRM\|1\|D)|(kpr)|(kdp)|(\|lc)|(penalty))"</v>
      </c>
      <c r="AG158" s="1" t="str">
        <f>IFERROR(IF(VALUE(LEFT(AD158,2))&lt;=2,"EC",IF(OR(VALUE(LEFT(AD158,2))=8,VALUE(LEFT(AD158,2))=18),"NW","Other")),"Other")</f>
        <v>NW</v>
      </c>
      <c r="AH158" s="86" t="str">
        <f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800-03 --locoid 4013 --swversion DE.1.0.9.0 --startMP 300:58692 --initTime 2017-04-03T05:03:20 --startdatetime 2017-04-03T05:05:07 --delay 1 --endMP 204:659 --enddatetime 2017-04-03T05:25:10 --enforcementcount 0 &gt;&gt;C:\Users\stu\Documents\GitHub\eaglep3-reporting\EC\2017-04-03-refined-times.txt</v>
      </c>
      <c r="AI158" s="104" t="str">
        <f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{"issue":{"subject":"","project_id":79,"tracker_id":40,"status_id":1,"priority_id":2,"assigned_to_id":23,"start_date":"2017-04-03","description":"","custom_fields":[{"id":1,"name":"Subdivision","value":"NW"},{"id":4,"name":"Milepost","value":"0.0659"},{"id":17,"name":"Train ID","value":"800-03"},{"id":16,"name":"Locomotive ID","value":"4013"},{"id":130,"name":"Impact","value":""},{"id":150,"name":"Time of Event (Mountain Time)","value":"05:25:10"},{"id":151,"name":"Denver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>"start /low /b "&amp;dls3logs&amp;" --loco "&amp;B158&amp;" --day "&amp;TEXT(F158,"YYYY-MM-DD")</f>
        <v>start /low /b %USERPROFILE%\Documents\GitHub\eaglep3\Utilities\DownloadLogsFromS3.py --loco 4013 --day 2017-04-03</v>
      </c>
      <c r="AN158" s="159" t="str">
        <f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11:25:10"},{"id":29,"name":"Sharepoint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651</v>
      </c>
      <c r="B159" s="7">
        <v>4014</v>
      </c>
      <c r="C159" s="21" t="s">
        <v>217</v>
      </c>
      <c r="D159" s="21" t="s">
        <v>939</v>
      </c>
      <c r="E159" s="13">
        <v>42828.242430555554</v>
      </c>
      <c r="F159" s="13">
        <v>42828.24391203704</v>
      </c>
      <c r="G159" s="7">
        <v>1</v>
      </c>
      <c r="H159" s="21" t="s">
        <v>940</v>
      </c>
      <c r="I159" s="13">
        <v>42828.253703703704</v>
      </c>
      <c r="J159" s="7">
        <v>0</v>
      </c>
      <c r="K159" s="97" t="str">
        <f>IF(ISEVEN(B159),(B159-1)&amp;"/"&amp;B159,B159&amp;"/"&amp;(B159+1))</f>
        <v>4013/4014</v>
      </c>
      <c r="L159" s="21" t="str">
        <f>VLOOKUP(A159,'Trips&amp;Operators'!$C$1:$G$99999,5,FALSE)</f>
        <v>DAVIS WENDY</v>
      </c>
      <c r="M159" s="6">
        <f>I159-F159</f>
        <v>9.7916666636592709E-3</v>
      </c>
      <c r="N159" s="7">
        <f>24*60*SUM($M159:$M159)</f>
        <v>14.09999999566935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-04-03T04:49:06-0600',mode:absolute,to:'2017-04-03T07:05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9" s="183" t="str">
        <f>IF(AA159&lt;IF(AG159="EC",23,5.65),"Y","N")</f>
        <v>N</v>
      </c>
      <c r="X159" s="183">
        <f>VALUE(LEFT(AD159,4))-VALUE(LEFT(AD158,4))</f>
        <v>1</v>
      </c>
      <c r="Y159" s="62">
        <f>RIGHT(D159,LEN(D159)-4)/10000</f>
        <v>9.2499999999999999E-2</v>
      </c>
      <c r="Z159" s="62">
        <f>RIGHT(H159,LEN(H159)-4)/10000</f>
        <v>5.9009999999999998</v>
      </c>
      <c r="AA159" s="62">
        <f>ABS(Z159-Y159)</f>
        <v>5.8084999999999996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>IF(LEN(A159)=6,"0"&amp;A159,A159)</f>
        <v>0801-03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59" s="82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/stypes="app*4014*20170403*" /stext=" 12:.+((SYSTEM_STATE.+slice.+state.+changed )|(ment ac)|(multiple cpu faults)|(system.+state.+changed )|(\[timeout)|(PRM\|1\|D)|(kpr)|(kdp)|(\|lc)|(penalty))"</v>
      </c>
      <c r="AG159" s="1" t="str">
        <f>IFERROR(IF(VALUE(LEFT(AD159,2))&lt;=2,"EC",IF(OR(VALUE(LEFT(AD159,2))=8,VALUE(LEFT(AD159,2))=18),"NW","Other")),"Other")</f>
        <v>NW</v>
      </c>
      <c r="AH159" s="86" t="str">
        <f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801-03 --locoid 4014 --swversion DE.1.0.9.0 --startMP 204:925 --initTime 2017-04-03T05:49:06 --startdatetime 2017-04-03T05:51:14 --delay 1 --endMP 300:59010 --enddatetime 2017-04-03T06:05:20 --enforcementcount 0 &gt;&gt;C:\Users\stu\Documents\GitHub\eaglep3-reporting\EC\2017-04-03-refined-times.txt</v>
      </c>
      <c r="AI159" s="104" t="str">
        <f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{"issue":{"subject":"","project_id":79,"tracker_id":40,"status_id":1,"priority_id":2,"assigned_to_id":23,"start_date":"2017-04-03","description":"","custom_fields":[{"id":1,"name":"Subdivision","value":"NW"},{"id":4,"name":"Milepost","value":"5.901"},{"id":17,"name":"Train ID","value":"801-03"},{"id":16,"name":"Locomotive ID","value":"4014"},{"id":130,"name":"Impact","value":""},{"id":150,"name":"Time of Event (Mountain Time)","value":"06:05:20"},{"id":151,"name":"Denver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>"start /low /b "&amp;dls3logs&amp;" --loco "&amp;B159&amp;" --day "&amp;TEXT(F159,"YYYY-MM-DD")</f>
        <v>start /low /b %USERPROFILE%\Documents\GitHub\eaglep3\Utilities\DownloadLogsFromS3.py --loco 4014 --day 2017-04-03</v>
      </c>
      <c r="AN159" s="159" t="str">
        <f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12:05:20"},{"id":29,"name":"Sharepoint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574</v>
      </c>
      <c r="B160" s="7">
        <v>4013</v>
      </c>
      <c r="C160" s="21" t="s">
        <v>217</v>
      </c>
      <c r="D160" s="21" t="s">
        <v>941</v>
      </c>
      <c r="E160" s="13">
        <v>42828.255069444444</v>
      </c>
      <c r="F160" s="13">
        <v>42828.256168981483</v>
      </c>
      <c r="G160" s="7">
        <v>0</v>
      </c>
      <c r="H160" s="21" t="s">
        <v>840</v>
      </c>
      <c r="I160" s="13">
        <v>42828.268020833333</v>
      </c>
      <c r="J160" s="7">
        <v>0</v>
      </c>
      <c r="K160" s="97" t="str">
        <f>IF(ISEVEN(B160),(B160-1)&amp;"/"&amp;B160,B160&amp;"/"&amp;(B160+1))</f>
        <v>4013/4014</v>
      </c>
      <c r="L160" s="21" t="str">
        <f>VLOOKUP(A160,'Trips&amp;Operators'!$C$1:$G$99999,5,FALSE)</f>
        <v>DAVIS WENDY</v>
      </c>
      <c r="M160" s="6">
        <f>I160-F160</f>
        <v>1.1851851850224193E-2</v>
      </c>
      <c r="N160" s="7">
        <f>24*60*SUM($M160:$M160)</f>
        <v>17.066666664322838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-04-03T05:07:18-0600',mode:absolute,to:'2017-04-03T07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0" s="183" t="str">
        <f>IF(AA160&lt;IF(AG160="EC",23,5.65),"Y","N")</f>
        <v>N</v>
      </c>
      <c r="X160" s="183">
        <f>VALUE(LEFT(AD160,4))-VALUE(LEFT(AD159,4))</f>
        <v>1</v>
      </c>
      <c r="Y160" s="62">
        <f>RIGHT(D160,LEN(D160)-4)/10000</f>
        <v>5.87</v>
      </c>
      <c r="Z160" s="62">
        <f>RIGHT(H160,LEN(H160)-4)/10000</f>
        <v>6.3299999999999995E-2</v>
      </c>
      <c r="AA160" s="62">
        <f>ABS(Z160-Y160)</f>
        <v>5.8067000000000002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>IF(LEN(A160)=6,"0"&amp;A160,A160)</f>
        <v>0802-03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0" s="82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/stypes="app*4013*20170403*" /stext=" 12:.+((SYSTEM_STATE.+slice.+state.+changed )|(ment ac)|(multiple cpu faults)|(system.+state.+changed )|(\[timeout)|(PRM\|1\|D)|(kpr)|(kdp)|(\|lc)|(penalty))"</v>
      </c>
      <c r="AG160" s="1" t="str">
        <f>IFERROR(IF(VALUE(LEFT(AD160,2))&lt;=2,"EC",IF(OR(VALUE(LEFT(AD160,2))=8,VALUE(LEFT(AD160,2))=18),"NW","Other")),"Other")</f>
        <v>NW</v>
      </c>
      <c r="AH160" s="86" t="str">
        <f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802-03 --locoid 4013 --swversion DE.1.0.9.0 --startMP 300:58700 --initTime 2017-04-03T06:07:18 --startdatetime 2017-04-03T06:08:53 --delay 0 --endMP 204:633 --enddatetime 2017-04-03T06:25:57 --enforcementcount 0 &gt;&gt;C:\Users\stu\Documents\GitHub\eaglep3-reporting\EC\2017-04-03-refined-times.txt</v>
      </c>
      <c r="AI160" s="104" t="str">
        <f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{"issue":{"subject":"","project_id":79,"tracker_id":40,"status_id":1,"priority_id":2,"assigned_to_id":23,"start_date":"2017-04-03","description":"","custom_fields":[{"id":1,"name":"Subdivision","value":"NW"},{"id":4,"name":"Milepost","value":"0.0633"},{"id":17,"name":"Train ID","value":"802-03"},{"id":16,"name":"Locomotive ID","value":"4013"},{"id":130,"name":"Impact","value":""},{"id":150,"name":"Time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>"start /low /b "&amp;dls3logs&amp;" --loco "&amp;B160&amp;" --day "&amp;TEXT(F160,"YYYY-MM-DD")</f>
        <v>start /low /b %USERPROFILE%\Documents\GitHub\eaglep3\Utilities\DownloadLogsFromS3.py --loco 4013 --day 2017-04-03</v>
      </c>
      <c r="AN160" s="159" t="str">
        <f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658</v>
      </c>
      <c r="B161" s="7">
        <v>4006</v>
      </c>
      <c r="C161" s="21" t="s">
        <v>217</v>
      </c>
      <c r="D161" s="21" t="s">
        <v>942</v>
      </c>
      <c r="E161" s="13">
        <v>42828.263958333337</v>
      </c>
      <c r="F161" s="13">
        <v>42828.265173611115</v>
      </c>
      <c r="G161" s="7">
        <v>1</v>
      </c>
      <c r="H161" s="21" t="s">
        <v>551</v>
      </c>
      <c r="I161" s="13">
        <v>42828.273993055554</v>
      </c>
      <c r="J161" s="7">
        <v>0</v>
      </c>
      <c r="K161" s="97" t="str">
        <f>IF(ISEVEN(B161),(B161-1)&amp;"/"&amp;B161,B161&amp;"/"&amp;(B161+1))</f>
        <v>4005/4006</v>
      </c>
      <c r="L161" s="21" t="str">
        <f>VLOOKUP(A161,'Trips&amp;Operators'!$C$1:$G$99999,5,FALSE)</f>
        <v>MENGES BRAD</v>
      </c>
      <c r="M161" s="6">
        <f>I161-F161</f>
        <v>8.8194444397231564E-3</v>
      </c>
      <c r="N161" s="7">
        <f>24*60*SUM($M161:$M161)</f>
        <v>12.699999993201345</v>
      </c>
      <c r="O161" s="7"/>
      <c r="P161" s="7"/>
      <c r="Q161" s="22"/>
      <c r="R161" s="22"/>
      <c r="S161" s="31">
        <f>SUM(U161:U161)/IF(AG161="EC",12,1)</f>
        <v>1</v>
      </c>
      <c r="T161" s="46" t="str">
        <f>IF(ISEVEN(LEFT(AD161,4)),"Southbound","NorthBound")</f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-04-03T05:20:06-0600',mode:absolute,to:'2017-04-03T07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1" s="183" t="str">
        <f>IF(AA161&lt;IF(AG161="EC",23,5.65),"Y","N")</f>
        <v>N</v>
      </c>
      <c r="X161" s="183">
        <f>VALUE(LEFT(AD161,4))-VALUE(LEFT(AD160,4))</f>
        <v>1</v>
      </c>
      <c r="Y161" s="62">
        <f>RIGHT(D161,LEN(D161)-4)/10000</f>
        <v>9.5500000000000002E-2</v>
      </c>
      <c r="Z161" s="62">
        <f>RIGHT(H161,LEN(H161)-4)/10000</f>
        <v>5.8935000000000004</v>
      </c>
      <c r="AA161" s="62">
        <f>ABS(Z161-Y161)</f>
        <v>5.798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>IF(LEN(A161)=6,"0"&amp;A161,A161)</f>
        <v>0803-03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1" s="82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/stypes="app*4006*20170403*" /stext=" 12:.+((SYSTEM_STATE.+slice.+state.+changed )|(ment ac)|(multiple cpu faults)|(system.+state.+changed )|(\[timeout)|(PRM\|1\|D)|(kpr)|(kdp)|(\|lc)|(penalty))"</v>
      </c>
      <c r="AG161" s="1" t="str">
        <f>IFERROR(IF(VALUE(LEFT(AD161,2))&lt;=2,"EC",IF(OR(VALUE(LEFT(AD161,2))=8,VALUE(LEFT(AD161,2))=18),"NW","Other")),"Other")</f>
        <v>NW</v>
      </c>
      <c r="AH161" s="86" t="str">
        <f>refinertdcruntimes&amp;" --tripid "&amp;A161&amp;" --locoid "&amp;B161&amp;" --swversion "&amp;C161&amp;" --startMP "&amp;D161&amp;" --initTime "&amp;TEXT(E161,"yyyy-mm-ddTHH:MM:SS")&amp;" --startdatetime "&amp;TEXT(F161,"yyyy-mm-ddTHH:MM:SS")&amp;" --delay "&amp;G161&amp;" --endMP "&amp;H161&amp;" --enddatetime "&amp;TEXT(I161,"yyyy-mm-ddTHH:MM:SS")&amp;" --enforcementcount "&amp;J161&amp;IF(outputrefinedruntimes," &gt;&gt;"&amp;RefinedRTDCRunTimesOutputFile,"")</f>
        <v>"%USERPROFILE%\Documents\GitHub\eaglep3\Utilities\RefineRTDCRunTimes.py" --tripid 803-03 --locoid 4006 --swversion DE.1.0.9.0 --startMP 204:955 --initTime 2017-04-03T06:20:06 --startdatetime 2017-04-03T06:21:51 --delay 1 --endMP 300:58935 --enddatetime 2017-04-03T06:34:33 --enforcementcount 0 &gt;&gt;C:\Users\stu\Documents\GitHub\eaglep3-reporting\EC\2017-04-03-refined-times.txt</v>
      </c>
      <c r="AI161" s="104" t="str">
        <f>"echo {""issue"":{""subject"":"""&amp;R161&amp;""",""project_id"":79,""tracker_id"":40,""status_id"":"&amp;redmine_status&amp;",""priority_id"":"&amp;redmine_priority&amp;",""assigned_to_id"":"&amp;redmine_assignee&amp;",""start_date"":"""&amp;TEXT(I161,"YYYY-mm-dd")&amp;""",""description"":"""&amp;AJ161&amp;""",""custom_fields"":[{""id"":1,""name"":""Subdivision"",""value"":"""&amp;AG161&amp;"""},{""id"":4,""name"":""Milepost"",""value"":"""&amp;Z161&amp;"""},{""id"":17,""name"":""Train ID"",""value"":"""&amp;A161&amp;"""},{""id"":16,""name"":""Locomotive ID"",""value"":"""&amp;B161&amp;"""},{""id"":130,""name"":""Impact"",""value"":"""&amp;AK161&amp;"""},{""id"":150,""name"":""Time of Event (Mountain Time)"",""value"":"""&amp;TEXT(I161,"hh:mm:ss")&amp;"""},{""id"":151,""name"":""Denver Issue ID"",""value"":"""&amp;"""},{""id"":178,""name"":""Operational Impact"",""value"":"""&amp;redmine_op_impact&amp;"""},{""id"":179,""name"":""Denver Segment Assigned"",""value"":"""&amp;AL161&amp;"""}]}}"&amp;"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{"issue":{"subject":"","project_id":79,"tracker_id":40,"status_id":1,"priority_id":2,"assigned_to_id":23,"start_date":"2017-04-03","description":"","custom_fields":[{"id":1,"name":"Subdivision","value":"NW"},{"id":4,"name":"Milepost","value":"5.8935"},{"id":17,"name":"Train ID","value":"803-03"},{"id":16,"name":"Locomotive ID","value":"4006"},{"id":130,"name":"Impact","value":""},{"id":150,"name":"Time of Event (Mountain Time)","value":"06:34:33"},{"id":151,"name":"Denver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>"start /low /b "&amp;dls3logs&amp;" --loco "&amp;B161&amp;" --day "&amp;TEXT(F161,"YYYY-MM-DD")</f>
        <v>start /low /b %USERPROFILE%\Documents\GitHub\eaglep3\Utilities\DownloadLogsFromS3.py --loco 4006 --day 2017-04-03</v>
      </c>
      <c r="AN161" s="159" t="str">
        <f>"echo {""issue"":{""subject"":"""&amp;R161&amp;""",""project_id"":30,""tracker_id"":4,""status_id"":"&amp;redmine_status_wcr&amp;",""priority_id"":"&amp;redmine_priority_wcr&amp;",""assigned_to_id"":"&amp;redmine_assignee_wcr&amp;",""start_date"":"""&amp;TEXT(I161-utc_offset/24,"YYYY-mm-dd")&amp;""",""description"":"""&amp;AJ161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3" t="s">
        <v>661</v>
      </c>
      <c r="B162" s="7">
        <v>4005</v>
      </c>
      <c r="C162" s="21" t="s">
        <v>217</v>
      </c>
      <c r="D162" s="21" t="s">
        <v>943</v>
      </c>
      <c r="E162" s="13">
        <v>42828.275104166663</v>
      </c>
      <c r="F162" s="13">
        <v>42828.276701388888</v>
      </c>
      <c r="G162" s="7">
        <v>1</v>
      </c>
      <c r="H162" s="21" t="s">
        <v>944</v>
      </c>
      <c r="I162" s="13">
        <v>42828.288541666669</v>
      </c>
      <c r="J162" s="7">
        <v>0</v>
      </c>
      <c r="K162" s="97" t="str">
        <f>IF(ISEVEN(B162),(B162-1)&amp;"/"&amp;B162,B162&amp;"/"&amp;(B162+1))</f>
        <v>4005/4006</v>
      </c>
      <c r="L162" s="21" t="str">
        <f>VLOOKUP(A162,'Trips&amp;Operators'!$C$1:$G$99999,5,FALSE)</f>
        <v>MENGES BRAD</v>
      </c>
      <c r="M162" s="6">
        <f>I162-F162</f>
        <v>1.1840277780720498E-2</v>
      </c>
      <c r="N162" s="7">
        <f>24*60*SUM($M162:$M162)</f>
        <v>17.050000004237518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-04-03T05:36:09-0600',mode:absolute,to:'2017-04-03T07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2" s="183" t="str">
        <f>IF(AA162&lt;IF(AG162="EC",23,5.65),"Y","N")</f>
        <v>N</v>
      </c>
      <c r="X162" s="183">
        <f>VALUE(LEFT(AD162,4))-VALUE(LEFT(AD161,4))</f>
        <v>1</v>
      </c>
      <c r="Y162" s="62">
        <f>RIGHT(D162,LEN(D162)-4)/10000</f>
        <v>5.8628</v>
      </c>
      <c r="Z162" s="62">
        <f>RIGHT(H162,LEN(H162)-4)/10000</f>
        <v>6.7799999999999999E-2</v>
      </c>
      <c r="AA162" s="62">
        <f>ABS(Z162-Y162)</f>
        <v>5.7949999999999999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>IF(LEN(A162)=6,"0"&amp;A162,A162)</f>
        <v>0804-03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62" s="82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/stypes="app*4005*20170403*" /stext=" 12:.+((SYSTEM_STATE.+slice.+state.+changed )|(ment ac)|(multiple cpu faults)|(system.+state.+changed )|(\[timeout)|(PRM\|1\|D)|(kpr)|(kdp)|(\|lc)|(penalty))"</v>
      </c>
      <c r="AG162" s="1" t="str">
        <f>IFERROR(IF(VALUE(LEFT(AD162,2))&lt;=2,"EC",IF(OR(VALUE(LEFT(AD162,2))=8,VALUE(LEFT(AD162,2))=18),"NW","Other")),"Other")</f>
        <v>NW</v>
      </c>
      <c r="AH162" s="86" t="str">
        <f>refinertdcruntimes&amp;" --tripid "&amp;A162&amp;" --locoid "&amp;B162&amp;" --swversion "&amp;C162&amp;" --startMP "&amp;D162&amp;" --initTime "&amp;TEXT(E162,"yyyy-mm-ddTHH:MM:SS")&amp;" --startdatetime "&amp;TEXT(F162,"yyyy-mm-ddTHH:MM:SS")&amp;" --delay "&amp;G162&amp;" --endMP "&amp;H162&amp;" --enddatetime "&amp;TEXT(I162,"yyyy-mm-ddTHH:MM:SS")&amp;" --enforcementcount "&amp;J162&amp;IF(outputrefinedruntimes," &gt;&gt;"&amp;RefinedRTDCRunTimesOutputFile,"")</f>
        <v>"%USERPROFILE%\Documents\GitHub\eaglep3\Utilities\RefineRTDCRunTimes.py" --tripid 804-03 --locoid 4005 --swversion DE.1.0.9.0 --startMP 300:58628 --initTime 2017-04-03T06:36:09 --startdatetime 2017-04-03T06:38:27 --delay 1 --endMP 204:678 --enddatetime 2017-04-03T06:55:30 --enforcementcount 0 &gt;&gt;C:\Users\stu\Documents\GitHub\eaglep3-reporting\EC\2017-04-03-refined-times.txt</v>
      </c>
      <c r="AI162" s="104" t="str">
        <f>"echo {""issue"":{""subject"":"""&amp;R162&amp;""",""project_id"":79,""tracker_id"":40,""status_id"":"&amp;redmine_status&amp;",""priority_id"":"&amp;redmine_priority&amp;",""assigned_to_id"":"&amp;redmine_assignee&amp;",""start_date"":"""&amp;TEXT(I162,"YYYY-mm-dd")&amp;""",""description"":"""&amp;AJ162&amp;""",""custom_fields"":[{""id"":1,""name"":""Subdivision"",""value"":"""&amp;AG162&amp;"""},{""id"":4,""name"":""Milepost"",""value"":"""&amp;Z162&amp;"""},{""id"":17,""name"":""Train ID"",""value"":"""&amp;A162&amp;"""},{""id"":16,""name"":""Locomotive ID"",""value"":"""&amp;B162&amp;"""},{""id"":130,""name"":""Impact"",""value"":"""&amp;AK162&amp;"""},{""id"":150,""name"":""Time of Event (Mountain Time)"",""value"":"""&amp;TEXT(I162,"hh:mm:ss")&amp;"""},{""id"":151,""name"":""Denver Issue ID"",""value"":"""&amp;"""},{""id"":178,""name"":""Operational Impact"",""value"":"""&amp;redmine_op_impact&amp;"""},{""id"":179,""name"":""Denver Segment Assigned"",""value"":"""&amp;AL162&amp;"""}]}}"&amp;"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{"issue":{"subject":"","project_id":79,"tracker_id":40,"status_id":1,"priority_id":2,"assigned_to_id":23,"start_date":"2017-04-03","description":"","custom_fields":[{"id":1,"name":"Subdivision","value":"NW"},{"id":4,"name":"Milepost","value":"0.0678"},{"id":17,"name":"Train ID","value":"804-03"},{"id":16,"name":"Locomotive ID","value":"4005"},{"id":130,"name":"Impact","value":""},{"id":150,"name":"Time of Event (Mountain Time)","value":"06:55:30"},{"id":151,"name":"Denver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>"start /low /b "&amp;dls3logs&amp;" --loco "&amp;B162&amp;" --day "&amp;TEXT(F162,"YYYY-MM-DD")</f>
        <v>start /low /b %USERPROFILE%\Documents\GitHub\eaglep3\Utilities\DownloadLogsFromS3.py --loco 4005 --day 2017-04-03</v>
      </c>
      <c r="AN162" s="159" t="str">
        <f>"echo {""issue"":{""subject"":"""&amp;R162&amp;""",""project_id"":30,""tracker_id"":4,""status_id"":"&amp;redmine_status_wcr&amp;",""priority_id"":"&amp;redmine_priority_wcr&amp;",""assigned_to_id"":"&amp;redmine_assignee_wcr&amp;",""start_date"":"""&amp;TEXT(I162-utc_offset/24,"YYYY-mm-dd")&amp;""",""description"":"""&amp;AJ162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576</v>
      </c>
      <c r="B163" s="7">
        <v>4014</v>
      </c>
      <c r="C163" s="21" t="s">
        <v>217</v>
      </c>
      <c r="D163" s="21" t="s">
        <v>945</v>
      </c>
      <c r="E163" s="13">
        <v>42828.282280092593</v>
      </c>
      <c r="F163" s="13">
        <v>42828.285671296297</v>
      </c>
      <c r="G163" s="7">
        <v>1</v>
      </c>
      <c r="H163" s="21" t="s">
        <v>940</v>
      </c>
      <c r="I163" s="13">
        <v>42828.295474537037</v>
      </c>
      <c r="J163" s="7">
        <v>0</v>
      </c>
      <c r="K163" s="97" t="str">
        <f>IF(ISEVEN(B163),(B163-1)&amp;"/"&amp;B163,B163&amp;"/"&amp;(B163+1))</f>
        <v>4013/4014</v>
      </c>
      <c r="L163" s="21" t="str">
        <f>VLOOKUP(A163,'Trips&amp;Operators'!$C$1:$G$99999,5,FALSE)</f>
        <v>DAVIS WENDY</v>
      </c>
      <c r="M163" s="6">
        <f>I163-F163</f>
        <v>9.8032407404389232E-3</v>
      </c>
      <c r="N163" s="7">
        <f>24*60*SUM($M163:$M163)</f>
        <v>14.116666666232049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-04-03T05:46:29-0600',mode:absolute,to:'2017-04-03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3" s="183" t="str">
        <f>IF(AA163&lt;IF(AG163="EC",23,5.65),"Y","N")</f>
        <v>N</v>
      </c>
      <c r="X163" s="183">
        <f>VALUE(LEFT(AD163,4))-VALUE(LEFT(AD162,4))</f>
        <v>1</v>
      </c>
      <c r="Y163" s="62">
        <f>RIGHT(D163,LEN(D163)-4)/10000</f>
        <v>9.3200000000000005E-2</v>
      </c>
      <c r="Z163" s="62">
        <f>RIGHT(H163,LEN(H163)-4)/10000</f>
        <v>5.9009999999999998</v>
      </c>
      <c r="AA163" s="62">
        <f>ABS(Z163-Y163)</f>
        <v>5.8077999999999994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>IF(LEN(A163)=6,"0"&amp;A163,A163)</f>
        <v>0805-03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63" s="82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/stypes="app*4014*20170403*" /stext=" 13:.+((SYSTEM_STATE.+slice.+state.+changed )|(ment ac)|(multiple cpu faults)|(system.+state.+changed )|(\[timeout)|(PRM\|1\|D)|(kpr)|(kdp)|(\|lc)|(penalty))"</v>
      </c>
      <c r="AG163" s="1" t="str">
        <f>IFERROR(IF(VALUE(LEFT(AD163,2))&lt;=2,"EC",IF(OR(VALUE(LEFT(AD163,2))=8,VALUE(LEFT(AD163,2))=18),"NW","Other")),"Other")</f>
        <v>NW</v>
      </c>
      <c r="AH163" s="86" t="str">
        <f>refinertdcruntimes&amp;" --tripid "&amp;A163&amp;" --locoid "&amp;B163&amp;" --swversion "&amp;C163&amp;" --startMP "&amp;D163&amp;" --initTime "&amp;TEXT(E163,"yyyy-mm-ddTHH:MM:SS")&amp;" --startdatetime "&amp;TEXT(F163,"yyyy-mm-ddTHH:MM:SS")&amp;" --delay "&amp;G163&amp;" --endMP "&amp;H163&amp;" --enddatetime "&amp;TEXT(I163,"yyyy-mm-ddTHH:MM:SS")&amp;" --enforcementcount "&amp;J163&amp;IF(outputrefinedruntimes," &gt;&gt;"&amp;RefinedRTDCRunTimesOutputFile,"")</f>
        <v>"%USERPROFILE%\Documents\GitHub\eaglep3\Utilities\RefineRTDCRunTimes.py" --tripid 805-03 --locoid 4014 --swversion DE.1.0.9.0 --startMP 204:932 --initTime 2017-04-03T06:46:29 --startdatetime 2017-04-03T06:51:22 --delay 1 --endMP 300:59010 --enddatetime 2017-04-03T07:05:29 --enforcementcount 0 &gt;&gt;C:\Users\stu\Documents\GitHub\eaglep3-reporting\EC\2017-04-03-refined-times.txt</v>
      </c>
      <c r="AI163" s="104" t="str">
        <f>"echo {""issue"":{""subject"":"""&amp;R163&amp;""",""project_id"":79,""tracker_id"":40,""status_id"":"&amp;redmine_status&amp;",""priority_id"":"&amp;redmine_priority&amp;",""assigned_to_id"":"&amp;redmine_assignee&amp;",""start_date"":"""&amp;TEXT(I163,"YYYY-mm-dd")&amp;""",""description"":"""&amp;AJ163&amp;""",""custom_fields"":[{""id"":1,""name"":""Subdivision"",""value"":"""&amp;AG163&amp;"""},{""id"":4,""name"":""Milepost"",""value"":"""&amp;Z163&amp;"""},{""id"":17,""name"":""Train ID"",""value"":"""&amp;A163&amp;"""},{""id"":16,""name"":""Locomotive ID"",""value"":"""&amp;B163&amp;"""},{""id"":130,""name"":""Impact"",""value"":"""&amp;AK163&amp;"""},{""id"":150,""name"":""Time of Event (Mountain Time)"",""value"":"""&amp;TEXT(I163,"hh:mm:ss")&amp;"""},{""id"":151,""name"":""Denver Issue ID"",""value"":"""&amp;"""},{""id"":178,""name"":""Operational Impact"",""value"":"""&amp;redmine_op_impact&amp;"""},{""id"":179,""name"":""Denver Segment Assigned"",""value"":"""&amp;AL163&amp;"""}]}}"&amp;"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{"issue":{"subject":"","project_id":79,"tracker_id":40,"status_id":1,"priority_id":2,"assigned_to_id":23,"start_date":"2017-04-03","description":"","custom_fields":[{"id":1,"name":"Subdivision","value":"NW"},{"id":4,"name":"Milepost","value":"5.901"},{"id":17,"name":"Train ID","value":"805-03"},{"id":16,"name":"Locomotive ID","value":"4014"},{"id":130,"name":"Impact","value":""},{"id":150,"name":"Time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>"start /low /b "&amp;dls3logs&amp;" --loco "&amp;B163&amp;" --day "&amp;TEXT(F163,"YYYY-MM-DD")</f>
        <v>start /low /b %USERPROFILE%\Documents\GitHub\eaglep3\Utilities\DownloadLogsFromS3.py --loco 4014 --day 2017-04-03</v>
      </c>
      <c r="AN163" s="159" t="str">
        <f>"echo {""issue"":{""subject"":"""&amp;R163&amp;""",""project_id"":30,""tracker_id"":4,""status_id"":"&amp;redmine_status_wcr&amp;",""priority_id"":"&amp;redmine_priority_wcr&amp;",""assigned_to_id"":"&amp;redmine_assignee_wcr&amp;",""start_date"":"""&amp;TEXT(I163-utc_offset/24,"YYYY-mm-dd")&amp;""",""description"":"""&amp;AJ163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577</v>
      </c>
      <c r="B164" s="7">
        <v>4013</v>
      </c>
      <c r="C164" s="21" t="s">
        <v>217</v>
      </c>
      <c r="D164" s="21" t="s">
        <v>946</v>
      </c>
      <c r="E164" s="13">
        <v>42828.296469907407</v>
      </c>
      <c r="F164" s="13">
        <v>42828.297546296293</v>
      </c>
      <c r="G164" s="7">
        <v>1</v>
      </c>
      <c r="H164" s="21" t="s">
        <v>947</v>
      </c>
      <c r="I164" s="13">
        <v>42828.309178240743</v>
      </c>
      <c r="J164" s="7">
        <v>0</v>
      </c>
      <c r="K164" s="97" t="str">
        <f>IF(ISEVEN(B164),(B164-1)&amp;"/"&amp;B164,B164&amp;"/"&amp;(B164+1))</f>
        <v>4013/4014</v>
      </c>
      <c r="L164" s="21" t="str">
        <f>VLOOKUP(A164,'Trips&amp;Operators'!$C$1:$G$99999,5,FALSE)</f>
        <v>DAVIS WENDY</v>
      </c>
      <c r="M164" s="6">
        <f>I164-F164</f>
        <v>1.1631944449618459E-2</v>
      </c>
      <c r="N164" s="7">
        <f>24*60*SUM($M164:$M164)</f>
        <v>16.750000007450581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-04-03T06:06:55-0600',mode:absolute,to:'2017-04-03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4" s="183" t="str">
        <f>IF(AA164&lt;IF(AG164="EC",23,5.65),"Y","N")</f>
        <v>N</v>
      </c>
      <c r="X164" s="183">
        <f>VALUE(LEFT(AD164,4))-VALUE(LEFT(AD163,4))</f>
        <v>1</v>
      </c>
      <c r="Y164" s="62">
        <f>RIGHT(D164,LEN(D164)-4)/10000</f>
        <v>5.8697999999999997</v>
      </c>
      <c r="Z164" s="62">
        <f>RIGHT(H164,LEN(H164)-4)/10000</f>
        <v>6.9800000000000001E-2</v>
      </c>
      <c r="AA164" s="62">
        <f>ABS(Z164-Y164)</f>
        <v>5.8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>IF(LEN(A164)=6,"0"&amp;A164,A164)</f>
        <v>0806-03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4" s="82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/stypes="app*4013*20170403*" /stext=" 13:.+((SYSTEM_STATE.+slice.+state.+changed )|(ment ac)|(multiple cpu faults)|(system.+state.+changed )|(\[timeout)|(PRM\|1\|D)|(kpr)|(kdp)|(\|lc)|(penalty))"</v>
      </c>
      <c r="AG164" s="1" t="str">
        <f>IFERROR(IF(VALUE(LEFT(AD164,2))&lt;=2,"EC",IF(OR(VALUE(LEFT(AD164,2))=8,VALUE(LEFT(AD164,2))=18),"NW","Other")),"Other")</f>
        <v>NW</v>
      </c>
      <c r="AH164" s="86" t="str">
        <f>refinertdcruntimes&amp;" --tripid "&amp;A164&amp;" --locoid "&amp;B164&amp;" --swversion "&amp;C164&amp;" --startMP "&amp;D164&amp;" --initTime "&amp;TEXT(E164,"yyyy-mm-ddTHH:MM:SS")&amp;" --startdatetime "&amp;TEXT(F164,"yyyy-mm-ddTHH:MM:SS")&amp;" --delay "&amp;G164&amp;" --endMP "&amp;H164&amp;" --enddatetime "&amp;TEXT(I164,"yyyy-mm-ddTHH:MM:SS")&amp;" --enforcementcount "&amp;J164&amp;IF(outputrefinedruntimes," &gt;&gt;"&amp;RefinedRTDCRunTimesOutputFile,"")</f>
        <v>"%USERPROFILE%\Documents\GitHub\eaglep3\Utilities\RefineRTDCRunTimes.py" --tripid 806-03 --locoid 4013 --swversion DE.1.0.9.0 --startMP 300:58698 --initTime 2017-04-03T07:06:55 --startdatetime 2017-04-03T07:08:28 --delay 1 --endMP 204:698 --enddatetime 2017-04-03T07:25:13 --enforcementcount 0 &gt;&gt;C:\Users\stu\Documents\GitHub\eaglep3-reporting\EC\2017-04-03-refined-times.txt</v>
      </c>
      <c r="AI164" s="104" t="str">
        <f>"echo {""issue"":{""subject"":"""&amp;R164&amp;""",""project_id"":79,""tracker_id"":40,""status_id"":"&amp;redmine_status&amp;",""priority_id"":"&amp;redmine_priority&amp;",""assigned_to_id"":"&amp;redmine_assignee&amp;",""start_date"":"""&amp;TEXT(I164,"YYYY-mm-dd")&amp;""",""description"":"""&amp;AJ164&amp;""",""custom_fields"":[{""id"":1,""name"":""Subdivision"",""value"":"""&amp;AG164&amp;"""},{""id"":4,""name"":""Milepost"",""value"":"""&amp;Z164&amp;"""},{""id"":17,""name"":""Train ID"",""value"":"""&amp;A164&amp;"""},{""id"":16,""name"":""Locomotive ID"",""value"":"""&amp;B164&amp;"""},{""id"":130,""name"":""Impact"",""value"":"""&amp;AK164&amp;"""},{""id"":150,""name"":""Time of Event (Mountain Time)"",""value"":"""&amp;TEXT(I164,"hh:mm:ss")&amp;"""},{""id"":151,""name"":""Denver Issue ID"",""value"":"""&amp;"""},{""id"":178,""name"":""Operational Impact"",""value"":"""&amp;redmine_op_impact&amp;"""},{""id"":179,""name"":""Denver Segment Assigned"",""value"":"""&amp;AL164&amp;"""}]}}"&amp;"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{"issue":{"subject":"","project_id":79,"tracker_id":40,"status_id":1,"priority_id":2,"assigned_to_id":23,"start_date":"2017-04-03","description":"","custom_fields":[{"id":1,"name":"Subdivision","value":"NW"},{"id":4,"name":"Milepost","value":"0.0698"},{"id":17,"name":"Train ID","value":"806-03"},{"id":16,"name":"Locomotive ID","value":"4013"},{"id":130,"name":"Impact","value":""},{"id":150,"name":"Time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>"start /low /b "&amp;dls3logs&amp;" --loco "&amp;B164&amp;" --day "&amp;TEXT(F164,"YYYY-MM-DD")</f>
        <v>start /low /b %USERPROFILE%\Documents\GitHub\eaglep3\Utilities\DownloadLogsFromS3.py --loco 4013 --day 2017-04-03</v>
      </c>
      <c r="AN164" s="159" t="str">
        <f>"echo {""issue"":{""subject"":"""&amp;R164&amp;""",""project_id"":30,""tracker_id"":4,""status_id"":"&amp;redmine_status_wcr&amp;",""priority_id"":"&amp;redmine_priority_wcr&amp;",""assigned_to_id"":"&amp;redmine_assignee_wcr&amp;",""start_date"":"""&amp;TEXT(I164-utc_offset/24,"YYYY-mm-dd")&amp;""",""description"":"""&amp;AJ164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3" t="s">
        <v>667</v>
      </c>
      <c r="B165" s="7">
        <v>4006</v>
      </c>
      <c r="C165" s="21" t="s">
        <v>217</v>
      </c>
      <c r="D165" s="21" t="s">
        <v>948</v>
      </c>
      <c r="E165" s="13">
        <v>42828.301990740743</v>
      </c>
      <c r="F165" s="13">
        <v>42828.306550925925</v>
      </c>
      <c r="G165" s="7">
        <v>1</v>
      </c>
      <c r="H165" s="21" t="s">
        <v>521</v>
      </c>
      <c r="I165" s="13">
        <v>42828.315393518518</v>
      </c>
      <c r="J165" s="7">
        <v>0</v>
      </c>
      <c r="K165" s="97" t="str">
        <f>IF(ISEVEN(B165),(B165-1)&amp;"/"&amp;B165,B165&amp;"/"&amp;(B165+1))</f>
        <v>4005/4006</v>
      </c>
      <c r="L165" s="21" t="str">
        <f>VLOOKUP(A165,'Trips&amp;Operators'!$C$1:$G$99999,5,FALSE)</f>
        <v>MENGES BRAD</v>
      </c>
      <c r="M165" s="6">
        <f>I165-F165</f>
        <v>8.8425925932824612E-3</v>
      </c>
      <c r="N165" s="7">
        <f>24*60*SUM($M165:$M165)</f>
        <v>12.733333334326744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-04-03T06:14:52-0600',mode:absolute,to:'2017-04-03T08:34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5" s="183" t="str">
        <f>IF(AA165&lt;IF(AG165="EC",23,5.65),"Y","N")</f>
        <v>N</v>
      </c>
      <c r="X165" s="183">
        <f>VALUE(LEFT(AD165,4))-VALUE(LEFT(AD164,4))</f>
        <v>1</v>
      </c>
      <c r="Y165" s="62">
        <f>RIGHT(D165,LEN(D165)-4)/10000</f>
        <v>9.5799999999999996E-2</v>
      </c>
      <c r="Z165" s="62">
        <f>RIGHT(H165,LEN(H165)-4)/10000</f>
        <v>5.8949999999999996</v>
      </c>
      <c r="AA165" s="62">
        <f>ABS(Z165-Y165)</f>
        <v>5.7991999999999999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>IF(LEN(A165)=6,"0"&amp;A165,A165)</f>
        <v>0807-03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5" s="82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/stypes="app*4006*20170403*" /stext=" 13:.+((SYSTEM_STATE.+slice.+state.+changed )|(ment ac)|(multiple cpu faults)|(system.+state.+changed )|(\[timeout)|(PRM\|1\|D)|(kpr)|(kdp)|(\|lc)|(penalty))"</v>
      </c>
      <c r="AG165" s="1" t="str">
        <f>IFERROR(IF(VALUE(LEFT(AD165,2))&lt;=2,"EC",IF(OR(VALUE(LEFT(AD165,2))=8,VALUE(LEFT(AD165,2))=18),"NW","Other")),"Other")</f>
        <v>NW</v>
      </c>
      <c r="AH165" s="86" t="str">
        <f>refinertdcruntimes&amp;" --tripid "&amp;A165&amp;" --locoid "&amp;B165&amp;" --swversion "&amp;C165&amp;" --startMP "&amp;D165&amp;" --initTime "&amp;TEXT(E165,"yyyy-mm-ddTHH:MM:SS")&amp;" --startdatetime "&amp;TEXT(F165,"yyyy-mm-ddTHH:MM:SS")&amp;" --delay "&amp;G165&amp;" --endMP "&amp;H165&amp;" --enddatetime "&amp;TEXT(I165,"yyyy-mm-ddTHH:MM:SS")&amp;" --enforcementcount "&amp;J165&amp;IF(outputrefinedruntimes," &gt;&gt;"&amp;RefinedRTDCRunTimesOutputFile,"")</f>
        <v>"%USERPROFILE%\Documents\GitHub\eaglep3\Utilities\RefineRTDCRunTimes.py" --tripid 807-03 --locoid 4006 --swversion DE.1.0.9.0 --startMP 204:958 --initTime 2017-04-03T07:14:52 --startdatetime 2017-04-03T07:21:26 --delay 1 --endMP 300:58950 --enddatetime 2017-04-03T07:34:10 --enforcementcount 0 &gt;&gt;C:\Users\stu\Documents\GitHub\eaglep3-reporting\EC\2017-04-03-refined-times.txt</v>
      </c>
      <c r="AI165" s="104" t="str">
        <f>"echo {""issue"":{""subject"":"""&amp;R165&amp;""",""project_id"":79,""tracker_id"":40,""status_id"":"&amp;redmine_status&amp;",""priority_id"":"&amp;redmine_priority&amp;",""assigned_to_id"":"&amp;redmine_assignee&amp;",""start_date"":"""&amp;TEXT(I165,"YYYY-mm-dd")&amp;""",""description"":"""&amp;AJ165&amp;""",""custom_fields"":[{""id"":1,""name"":""Subdivision"",""value"":"""&amp;AG165&amp;"""},{""id"":4,""name"":""Milepost"",""value"":"""&amp;Z165&amp;"""},{""id"":17,""name"":""Train ID"",""value"":"""&amp;A165&amp;"""},{""id"":16,""name"":""Locomotive ID"",""value"":"""&amp;B165&amp;"""},{""id"":130,""name"":""Impact"",""value"":"""&amp;AK165&amp;"""},{""id"":150,""name"":""Time of Event (Mountain Time)"",""value"":"""&amp;TEXT(I165,"hh:mm:ss")&amp;"""},{""id"":151,""name"":""Denver Issue ID"",""value"":"""&amp;"""},{""id"":178,""name"":""Operational Impact"",""value"":"""&amp;redmine_op_impact&amp;"""},{""id"":179,""name"":""Denver Segment Assigned"",""value"":"""&amp;AL165&amp;"""}]}}"&amp;"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{"issue":{"subject":"","project_id":79,"tracker_id":40,"status_id":1,"priority_id":2,"assigned_to_id":23,"start_date":"2017-04-03","description":"","custom_fields":[{"id":1,"name":"Subdivision","value":"NW"},{"id":4,"name":"Milepost","value":"5.895"},{"id":17,"name":"Train ID","value":"807-03"},{"id":16,"name":"Locomotive ID","value":"4006"},{"id":130,"name":"Impact","value":""},{"id":150,"name":"Time of Event (Mountain Time)","value":"07:34:10"},{"id":151,"name":"Denver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>"start /low /b "&amp;dls3logs&amp;" --loco "&amp;B165&amp;" --day "&amp;TEXT(F165,"YYYY-MM-DD")</f>
        <v>start /low /b %USERPROFILE%\Documents\GitHub\eaglep3\Utilities\DownloadLogsFromS3.py --loco 4006 --day 2017-04-03</v>
      </c>
      <c r="AN165" s="159" t="str">
        <f>"echo {""issue"":{""subject"":"""&amp;R165&amp;""",""project_id"":30,""tracker_id"":4,""status_id"":"&amp;redmine_status_wcr&amp;",""priority_id"":"&amp;redmine_priority_wcr&amp;",""assigned_to_id"":"&amp;redmine_assignee_wcr&amp;",""start_date"":"""&amp;TEXT(I165-utc_offset/24,"YYYY-mm-dd")&amp;""",""description"":"""&amp;AJ165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13:34:10"},{"id":29,"name":"Sharepoint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3" t="s">
        <v>669</v>
      </c>
      <c r="B166" s="7">
        <v>4005</v>
      </c>
      <c r="C166" s="21" t="s">
        <v>217</v>
      </c>
      <c r="D166" s="21" t="s">
        <v>949</v>
      </c>
      <c r="E166" s="13">
        <v>42828.316423611112</v>
      </c>
      <c r="F166" s="13">
        <v>42828.318009259259</v>
      </c>
      <c r="G166" s="7">
        <v>1</v>
      </c>
      <c r="H166" s="21" t="s">
        <v>950</v>
      </c>
      <c r="I166" s="13">
        <v>42828.330023148148</v>
      </c>
      <c r="J166" s="7">
        <v>0</v>
      </c>
      <c r="K166" s="97" t="str">
        <f>IF(ISEVEN(B166),(B166-1)&amp;"/"&amp;B166,B166&amp;"/"&amp;(B166+1))</f>
        <v>4005/4006</v>
      </c>
      <c r="L166" s="21" t="str">
        <f>VLOOKUP(A166,'Trips&amp;Operators'!$C$1:$G$99999,5,FALSE)</f>
        <v>MENGES BRAD</v>
      </c>
      <c r="M166" s="6">
        <f>I166-F166</f>
        <v>1.2013888888759539E-2</v>
      </c>
      <c r="N166" s="7">
        <f>24*60*SUM($M166:$M166)</f>
        <v>17.299999999813735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-04-03T06:35:39-0600',mode:absolute,to:'2017-04-03T08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6" s="183" t="str">
        <f>IF(AA166&lt;IF(AG166="EC",23,5.65),"Y","N")</f>
        <v>N</v>
      </c>
      <c r="X166" s="183">
        <f>VALUE(LEFT(AD166,4))-VALUE(LEFT(AD165,4))</f>
        <v>1</v>
      </c>
      <c r="Y166" s="62">
        <f>RIGHT(D166,LEN(D166)-4)/10000</f>
        <v>5.8634000000000004</v>
      </c>
      <c r="Z166" s="62">
        <f>RIGHT(H166,LEN(H166)-4)/10000</f>
        <v>6.5699999999999995E-2</v>
      </c>
      <c r="AA166" s="62">
        <f>ABS(Z166-Y166)</f>
        <v>5.7977000000000007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>IF(LEN(A166)=6,"0"&amp;A166,A166)</f>
        <v>0808-03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66" s="82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/stypes="app*4005*20170403*" /stext=" 13:.+((SYSTEM_STATE.+slice.+state.+changed )|(ment ac)|(multiple cpu faults)|(system.+state.+changed )|(\[timeout)|(PRM\|1\|D)|(kpr)|(kdp)|(\|lc)|(penalty))"</v>
      </c>
      <c r="AG166" s="1" t="str">
        <f>IFERROR(IF(VALUE(LEFT(AD166,2))&lt;=2,"EC",IF(OR(VALUE(LEFT(AD166,2))=8,VALUE(LEFT(AD166,2))=18),"NW","Other")),"Other")</f>
        <v>NW</v>
      </c>
      <c r="AH166" s="86" t="str">
        <f>refinertdcruntimes&amp;" --tripid "&amp;A166&amp;" --locoid "&amp;B166&amp;" --swversion "&amp;C166&amp;" --startMP "&amp;D166&amp;" --initTime "&amp;TEXT(E166,"yyyy-mm-ddTHH:MM:SS")&amp;" --startdatetime "&amp;TEXT(F166,"yyyy-mm-ddTHH:MM:SS")&amp;" --delay "&amp;G166&amp;" --endMP "&amp;H166&amp;" --enddatetime "&amp;TEXT(I166,"yyyy-mm-ddTHH:MM:SS")&amp;" --enforcementcount "&amp;J166&amp;IF(outputrefinedruntimes," &gt;&gt;"&amp;RefinedRTDCRunTimesOutputFile,"")</f>
        <v>"%USERPROFILE%\Documents\GitHub\eaglep3\Utilities\RefineRTDCRunTimes.py" --tripid 808-03 --locoid 4005 --swversion DE.1.0.9.0 --startMP 300:58634 --initTime 2017-04-03T07:35:39 --startdatetime 2017-04-03T07:37:56 --delay 1 --endMP 204:657 --enddatetime 2017-04-03T07:55:14 --enforcementcount 0 &gt;&gt;C:\Users\stu\Documents\GitHub\eaglep3-reporting\EC\2017-04-03-refined-times.txt</v>
      </c>
      <c r="AI166" s="104" t="str">
        <f>"echo {""issue"":{""subject"":"""&amp;R166&amp;""",""project_id"":79,""tracker_id"":40,""status_id"":"&amp;redmine_status&amp;",""priority_id"":"&amp;redmine_priority&amp;",""assigned_to_id"":"&amp;redmine_assignee&amp;",""start_date"":"""&amp;TEXT(I166,"YYYY-mm-dd")&amp;""",""description"":"""&amp;AJ166&amp;""",""custom_fields"":[{""id"":1,""name"":""Subdivision"",""value"":"""&amp;AG166&amp;"""},{""id"":4,""name"":""Milepost"",""value"":"""&amp;Z166&amp;"""},{""id"":17,""name"":""Train ID"",""value"":"""&amp;A166&amp;"""},{""id"":16,""name"":""Locomotive ID"",""value"":"""&amp;B166&amp;"""},{""id"":130,""name"":""Impact"",""value"":"""&amp;AK166&amp;"""},{""id"":150,""name"":""Time of Event (Mountain Time)"",""value"":"""&amp;TEXT(I166,"hh:mm:ss")&amp;"""},{""id"":151,""name"":""Denver Issue ID"",""value"":"""&amp;"""},{""id"":178,""name"":""Operational Impact"",""value"":"""&amp;redmine_op_impact&amp;"""},{""id"":179,""name"":""Denver Segment Assigned"",""value"":"""&amp;AL166&amp;"""}]}}"&amp;"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{"issue":{"subject":"","project_id":79,"tracker_id":40,"status_id":1,"priority_id":2,"assigned_to_id":23,"start_date":"2017-04-03","description":"","custom_fields":[{"id":1,"name":"Subdivision","value":"NW"},{"id":4,"name":"Milepost","value":"0.0657"},{"id":17,"name":"Train ID","value":"808-03"},{"id":16,"name":"Locomotive ID","value":"4005"},{"id":130,"name":"Impact","value":""},{"id":150,"name":"Time of Event (Mountain Time)","value":"07:55:14"},{"id":151,"name":"Denver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8"/>
      <c r="AL166" s="48"/>
      <c r="AM166" s="150" t="str">
        <f>"start /low /b "&amp;dls3logs&amp;" --loco "&amp;B166&amp;" --day "&amp;TEXT(F166,"YYYY-MM-DD")</f>
        <v>start /low /b %USERPROFILE%\Documents\GitHub\eaglep3\Utilities\DownloadLogsFromS3.py --loco 4005 --day 2017-04-03</v>
      </c>
      <c r="AN166" s="159" t="str">
        <f>"echo {""issue"":{""subject"":"""&amp;R166&amp;""",""project_id"":30,""tracker_id"":4,""status_id"":"&amp;redmine_status_wcr&amp;",""priority_id"":"&amp;redmine_priority_wcr&amp;",""assigned_to_id"":"&amp;redmine_assignee_wcr&amp;",""start_date"":"""&amp;TEXT(I166-utc_offset/24,"YYYY-mm-dd")&amp;""",""description"":"""&amp;AJ166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13:55:14"},{"id":29,"name":"Sharepoint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671</v>
      </c>
      <c r="B167" s="7">
        <v>4014</v>
      </c>
      <c r="C167" s="21" t="s">
        <v>217</v>
      </c>
      <c r="D167" s="21" t="s">
        <v>951</v>
      </c>
      <c r="E167" s="13">
        <v>42828.326041666667</v>
      </c>
      <c r="F167" s="13">
        <v>42828.327245370368</v>
      </c>
      <c r="G167" s="7">
        <v>1</v>
      </c>
      <c r="H167" s="21" t="s">
        <v>952</v>
      </c>
      <c r="I167" s="13">
        <v>42828.336562500001</v>
      </c>
      <c r="J167" s="7">
        <v>0</v>
      </c>
      <c r="K167" s="97" t="str">
        <f>IF(ISEVEN(B167),(B167-1)&amp;"/"&amp;B167,B167&amp;"/"&amp;(B167+1))</f>
        <v>4013/4014</v>
      </c>
      <c r="L167" s="21" t="str">
        <f>VLOOKUP(A167,'Trips&amp;Operators'!$C$1:$G$99999,5,FALSE)</f>
        <v>DAVIS WENDY</v>
      </c>
      <c r="M167" s="6">
        <f>I167-F167</f>
        <v>9.3171296321088448E-3</v>
      </c>
      <c r="N167" s="7">
        <f>24*60*SUM($M167:$M167)</f>
        <v>13.416666670236737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-04-03T06:49:30-0600',mode:absolute,to:'2017-04-03T09:04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7" s="183" t="str">
        <f>IF(AA167&lt;IF(AG167="EC",23,5.65),"Y","N")</f>
        <v>N</v>
      </c>
      <c r="X167" s="183">
        <f>VALUE(LEFT(AD167,4))-VALUE(LEFT(AD166,4))</f>
        <v>1</v>
      </c>
      <c r="Y167" s="62">
        <f>RIGHT(D167,LEN(D167)-4)/10000</f>
        <v>9.7799999999999998E-2</v>
      </c>
      <c r="Z167" s="62">
        <f>RIGHT(H167,LEN(H167)-4)/10000</f>
        <v>5.9013999999999998</v>
      </c>
      <c r="AA167" s="62">
        <f>ABS(Z167-Y167)</f>
        <v>5.8035999999999994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>IF(LEN(A167)=6,"0"&amp;A167,A167)</f>
        <v>0809-03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67" s="82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/stypes="app*4014*20170403*" /stext=" 14:.+((SYSTEM_STATE.+slice.+state.+changed )|(ment ac)|(multiple cpu faults)|(system.+state.+changed )|(\[timeout)|(PRM\|1\|D)|(kpr)|(kdp)|(\|lc)|(penalty))"</v>
      </c>
      <c r="AG167" s="1" t="str">
        <f>IFERROR(IF(VALUE(LEFT(AD167,2))&lt;=2,"EC",IF(OR(VALUE(LEFT(AD167,2))=8,VALUE(LEFT(AD167,2))=18),"NW","Other")),"Other")</f>
        <v>NW</v>
      </c>
      <c r="AH167" s="86" t="str">
        <f>refinertdcruntimes&amp;" --tripid "&amp;A167&amp;" --locoid "&amp;B167&amp;" --swversion "&amp;C167&amp;" --startMP "&amp;D167&amp;" --initTime "&amp;TEXT(E167,"yyyy-mm-ddTHH:MM:SS")&amp;" --startdatetime "&amp;TEXT(F167,"yyyy-mm-ddTHH:MM:SS")&amp;" --delay "&amp;G167&amp;" --endMP "&amp;H167&amp;" --enddatetime "&amp;TEXT(I167,"yyyy-mm-ddTHH:MM:SS")&amp;" --enforcementcount "&amp;J167&amp;IF(outputrefinedruntimes," &gt;&gt;"&amp;RefinedRTDCRunTimesOutputFile,"")</f>
        <v>"%USERPROFILE%\Documents\GitHub\eaglep3\Utilities\RefineRTDCRunTimes.py" --tripid 809-03 --locoid 4014 --swversion DE.1.0.9.0 --startMP 204:978 --initTime 2017-04-03T07:49:30 --startdatetime 2017-04-03T07:51:14 --delay 1 --endMP 300:59014 --enddatetime 2017-04-03T08:04:39 --enforcementcount 0 &gt;&gt;C:\Users\stu\Documents\GitHub\eaglep3-reporting\EC\2017-04-03-refined-times.txt</v>
      </c>
      <c r="AI167" s="104" t="str">
        <f>"echo {""issue"":{""subject"":"""&amp;R167&amp;""",""project_id"":79,""tracker_id"":40,""status_id"":"&amp;redmine_status&amp;",""priority_id"":"&amp;redmine_priority&amp;",""assigned_to_id"":"&amp;redmine_assignee&amp;",""start_date"":"""&amp;TEXT(I167,"YYYY-mm-dd")&amp;""",""description"":"""&amp;AJ167&amp;""",""custom_fields"":[{""id"":1,""name"":""Subdivision"",""value"":"""&amp;AG167&amp;"""},{""id"":4,""name"":""Milepost"",""value"":"""&amp;Z167&amp;"""},{""id"":17,""name"":""Train ID"",""value"":"""&amp;A167&amp;"""},{""id"":16,""name"":""Locomotive ID"",""value"":"""&amp;B167&amp;"""},{""id"":130,""name"":""Impact"",""value"":"""&amp;AK167&amp;"""},{""id"":150,""name"":""Time of Event (Mountain Time)"",""value"":"""&amp;TEXT(I167,"hh:mm:ss")&amp;"""},{""id"":151,""name"":""Denver Issue ID"",""value"":"""&amp;"""},{""id"":178,""name"":""Operational Impact"",""value"":"""&amp;redmine_op_impact&amp;"""},{""id"":179,""name"":""Denver Segment Assigned"",""value"":"""&amp;AL167&amp;"""}]}}"&amp;"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{"issue":{"subject":"","project_id":79,"tracker_id":40,"status_id":1,"priority_id":2,"assigned_to_id":23,"start_date":"2017-04-03","description":"","custom_fields":[{"id":1,"name":"Subdivision","value":"NW"},{"id":4,"name":"Milepost","value":"5.9014"},{"id":17,"name":"Train ID","value":"809-03"},{"id":16,"name":"Locomotive ID","value":"4014"},{"id":130,"name":"Impact","value":""},{"id":150,"name":"Time of Event (Mountain Time)","value":"08:04:39"},{"id":151,"name":"Denver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>"start /low /b "&amp;dls3logs&amp;" --loco "&amp;B167&amp;" --day "&amp;TEXT(F167,"YYYY-MM-DD")</f>
        <v>start /low /b %USERPROFILE%\Documents\GitHub\eaglep3\Utilities\DownloadLogsFromS3.py --loco 4014 --day 2017-04-03</v>
      </c>
      <c r="AN167" s="159" t="str">
        <f>"echo {""issue"":{""subject"":"""&amp;R167&amp;""",""project_id"":30,""tracker_id"":4,""status_id"":"&amp;redmine_status_wcr&amp;",""priority_id"":"&amp;redmine_priority_wcr&amp;",""assigned_to_id"":"&amp;redmine_assignee_wcr&amp;",""start_date"":"""&amp;TEXT(I167-utc_offset/24,"YYYY-mm-dd")&amp;""",""description"":"""&amp;AJ167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14:04:39"},{"id":29,"name":"Sharepoint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582</v>
      </c>
      <c r="B168" s="7">
        <v>4013</v>
      </c>
      <c r="C168" s="21" t="s">
        <v>217</v>
      </c>
      <c r="D168" s="21" t="s">
        <v>960</v>
      </c>
      <c r="E168" s="13">
        <v>42828.337534722225</v>
      </c>
      <c r="F168" s="13">
        <v>42828.338761574072</v>
      </c>
      <c r="G168" s="7">
        <v>1</v>
      </c>
      <c r="H168" s="21" t="s">
        <v>479</v>
      </c>
      <c r="I168" s="13">
        <v>42828.35083333333</v>
      </c>
      <c r="J168" s="7">
        <v>0</v>
      </c>
      <c r="K168" s="97" t="str">
        <f>IF(ISEVEN(B168),(B168-1)&amp;"/"&amp;B168,B168&amp;"/"&amp;(B168+1))</f>
        <v>4013/4014</v>
      </c>
      <c r="L168" s="21" t="str">
        <f>VLOOKUP(A168,'Trips&amp;Operators'!$C$1:$G$99999,5,FALSE)</f>
        <v>DAVIS WENDY</v>
      </c>
      <c r="M168" s="6">
        <f>I168-F168</f>
        <v>1.2071759258105885E-2</v>
      </c>
      <c r="N168" s="7">
        <f>24*60*SUM($M168:$M168)</f>
        <v>17.383333331672475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-04-03T07:06:03-0600',mode:absolute,to:'2017-04-03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8" s="183" t="str">
        <f>IF(AA168&lt;IF(AG168="EC",23,5.65),"Y","N")</f>
        <v>N</v>
      </c>
      <c r="X168" s="183">
        <f>VALUE(LEFT(AD168,4))-VALUE(LEFT(AD167,4))</f>
        <v>1</v>
      </c>
      <c r="Y168" s="62">
        <f>RIGHT(D168,LEN(D168)-4)/10000</f>
        <v>5.8704999999999998</v>
      </c>
      <c r="Z168" s="62">
        <f>RIGHT(H168,LEN(H168)-4)/10000</f>
        <v>7.6100000000000001E-2</v>
      </c>
      <c r="AA168" s="62">
        <f>ABS(Z168-Y168)</f>
        <v>5.7943999999999996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>IF(LEN(A168)=6,"0"&amp;A168,A168)</f>
        <v>0810-03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68" s="82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/stypes="app*4013*20170403*" /stext=" 14:.+((SYSTEM_STATE.+slice.+state.+changed )|(ment ac)|(multiple cpu faults)|(system.+state.+changed )|(\[timeout)|(PRM\|1\|D)|(kpr)|(kdp)|(\|lc)|(penalty))"</v>
      </c>
      <c r="AG168" s="1" t="str">
        <f>IFERROR(IF(VALUE(LEFT(AD168,2))&lt;=2,"EC",IF(OR(VALUE(LEFT(AD168,2))=8,VALUE(LEFT(AD168,2))=18),"NW","Other")),"Other")</f>
        <v>NW</v>
      </c>
      <c r="AH168" s="86" t="str">
        <f>refinertdcruntimes&amp;" --tripid "&amp;A168&amp;" --locoid "&amp;B168&amp;" --swversion "&amp;C168&amp;" --startMP "&amp;D168&amp;" --initTime "&amp;TEXT(E168,"yyyy-mm-ddTHH:MM:SS")&amp;" --startdatetime "&amp;TEXT(F168,"yyyy-mm-ddTHH:MM:SS")&amp;" --delay "&amp;G168&amp;" --endMP "&amp;H168&amp;" --enddatetime "&amp;TEXT(I168,"yyyy-mm-ddTHH:MM:SS")&amp;" --enforcementcount "&amp;J168&amp;IF(outputrefinedruntimes," &gt;&gt;"&amp;RefinedRTDCRunTimesOutputFile,"")</f>
        <v>"%USERPROFILE%\Documents\GitHub\eaglep3\Utilities\RefineRTDCRunTimes.py" --tripid 810-03 --locoid 4013 --swversion DE.1.0.9.0 --startMP 300:58705 --initTime 2017-04-03T08:06:03 --startdatetime 2017-04-03T08:07:49 --delay 1 --endMP 204:761 --enddatetime 2017-04-03T08:25:12 --enforcementcount 0 &gt;&gt;C:\Users\stu\Documents\GitHub\eaglep3-reporting\EC\2017-04-03-refined-times.txt</v>
      </c>
      <c r="AI168" s="104" t="str">
        <f>"echo {""issue"":{""subject"":"""&amp;R168&amp;""",""project_id"":79,""tracker_id"":40,""status_id"":"&amp;redmine_status&amp;",""priority_id"":"&amp;redmine_priority&amp;",""assigned_to_id"":"&amp;redmine_assignee&amp;",""start_date"":"""&amp;TEXT(I168,"YYYY-mm-dd")&amp;""",""description"":"""&amp;AJ168&amp;""",""custom_fields"":[{""id"":1,""name"":""Subdivision"",""value"":"""&amp;AG168&amp;"""},{""id"":4,""name"":""Milepost"",""value"":"""&amp;Z168&amp;"""},{""id"":17,""name"":""Train ID"",""value"":"""&amp;A168&amp;"""},{""id"":16,""name"":""Locomotive ID"",""value"":"""&amp;B168&amp;"""},{""id"":130,""name"":""Impact"",""value"":"""&amp;AK168&amp;"""},{""id"":150,""name"":""Time of Event (Mountain Time)"",""value"":"""&amp;TEXT(I168,"hh:mm:ss")&amp;"""},{""id"":151,""name"":""Denver Issue ID"",""value"":"""&amp;"""},{""id"":178,""name"":""Operational Impact"",""value"":"""&amp;redmine_op_impact&amp;"""},{""id"":179,""name"":""Denver Segment Assigned"",""value"":"""&amp;AL168&amp;"""}]}}"&amp;"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{"issue":{"subject":"","project_id":79,"tracker_id":40,"status_id":1,"priority_id":2,"assigned_to_id":23,"start_date":"2017-04-03","description":"","custom_fields":[{"id":1,"name":"Subdivision","value":"NW"},{"id":4,"name":"Milepost","value":"0.0761"},{"id":17,"name":"Train ID","value":"810-03"},{"id":16,"name":"Locomotive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>"start /low /b "&amp;dls3logs&amp;" --loco "&amp;B168&amp;" --day "&amp;TEXT(F168,"YYYY-MM-DD")</f>
        <v>start /low /b %USERPROFILE%\Documents\GitHub\eaglep3\Utilities\DownloadLogsFromS3.py --loco 4013 --day 2017-04-03</v>
      </c>
      <c r="AN168" s="159" t="str">
        <f>"echo {""issue"":{""subject"":"""&amp;R168&amp;""",""project_id"":30,""tracker_id"":4,""status_id"":"&amp;redmine_status_wcr&amp;",""priority_id"":"&amp;redmine_priority_wcr&amp;",""assigned_to_id"":"&amp;redmine_assignee_wcr&amp;",""start_date"":"""&amp;TEXT(I168-utc_offset/24,"YYYY-mm-dd")&amp;""",""description"":"""&amp;AJ168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14:25:12"},{"id":29,"name":"Sharepoint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675</v>
      </c>
      <c r="B169" s="7">
        <v>4006</v>
      </c>
      <c r="C169" s="21" t="s">
        <v>217</v>
      </c>
      <c r="D169" s="21" t="s">
        <v>961</v>
      </c>
      <c r="E169" s="13">
        <v>42828.344849537039</v>
      </c>
      <c r="F169" s="13">
        <v>42828.348171296297</v>
      </c>
      <c r="G169" s="7">
        <v>1</v>
      </c>
      <c r="H169" s="21" t="s">
        <v>492</v>
      </c>
      <c r="I169" s="13">
        <v>42828.357997685183</v>
      </c>
      <c r="J169" s="7">
        <v>0</v>
      </c>
      <c r="K169" s="97" t="str">
        <f>IF(ISEVEN(B169),(B169-1)&amp;"/"&amp;B169,B169&amp;"/"&amp;(B169+1))</f>
        <v>4005/4006</v>
      </c>
      <c r="L169" s="21" t="str">
        <f>VLOOKUP(A169,'Trips&amp;Operators'!$C$1:$G$99999,5,FALSE)</f>
        <v>MENGES BRAD</v>
      </c>
      <c r="M169" s="6">
        <f>I169-F169</f>
        <v>9.8263888867222704E-3</v>
      </c>
      <c r="N169" s="7">
        <f>24*60*SUM($M169:$M169)</f>
        <v>14.149999996880069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-04-03T07:16:35-0600',mode:absolute,to:'2017-04-03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9" s="183" t="str">
        <f>IF(AA169&lt;IF(AG169="EC",23,5.65),"Y","N")</f>
        <v>N</v>
      </c>
      <c r="X169" s="183">
        <f>VALUE(LEFT(AD169,4))-VALUE(LEFT(AD168,4))</f>
        <v>1</v>
      </c>
      <c r="Y169" s="62">
        <f>RIGHT(D169,LEN(D169)-4)/10000</f>
        <v>9.4600000000000004E-2</v>
      </c>
      <c r="Z169" s="62">
        <f>RIGHT(H169,LEN(H169)-4)/10000</f>
        <v>5.8959999999999999</v>
      </c>
      <c r="AA169" s="62">
        <f>ABS(Z169-Y169)</f>
        <v>5.8014000000000001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>IF(LEN(A169)=6,"0"&amp;A169,A169)</f>
        <v>0811-03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69" s="82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/stypes="app*4006*20170403*" /stext=" 14:.+((SYSTEM_STATE.+slice.+state.+changed )|(ment ac)|(multiple cpu faults)|(system.+state.+changed )|(\[timeout)|(PRM\|1\|D)|(kpr)|(kdp)|(\|lc)|(penalty))"</v>
      </c>
      <c r="AG169" s="1" t="str">
        <f>IFERROR(IF(VALUE(LEFT(AD169,2))&lt;=2,"EC",IF(OR(VALUE(LEFT(AD169,2))=8,VALUE(LEFT(AD169,2))=18),"NW","Other")),"Other")</f>
        <v>NW</v>
      </c>
      <c r="AH169" s="86" t="str">
        <f>refinertdcruntimes&amp;" --tripid "&amp;A169&amp;" --locoid "&amp;B169&amp;" --swversion "&amp;C169&amp;" --startMP "&amp;D169&amp;" --initTime "&amp;TEXT(E169,"yyyy-mm-ddTHH:MM:SS")&amp;" --startdatetime "&amp;TEXT(F169,"yyyy-mm-ddTHH:MM:SS")&amp;" --delay "&amp;G169&amp;" --endMP "&amp;H169&amp;" --enddatetime "&amp;TEXT(I169,"yyyy-mm-ddTHH:MM:SS")&amp;" --enforcementcount "&amp;J169&amp;IF(outputrefinedruntimes," &gt;&gt;"&amp;RefinedRTDCRunTimesOutputFile,"")</f>
        <v>"%USERPROFILE%\Documents\GitHub\eaglep3\Utilities\RefineRTDCRunTimes.py" --tripid 811-03 --locoid 4006 --swversion DE.1.0.9.0 --startMP 204:946 --initTime 2017-04-03T08:16:35 --startdatetime 2017-04-03T08:21:22 --delay 1 --endMP 300:58960 --enddatetime 2017-04-03T08:35:31 --enforcementcount 0 &gt;&gt;C:\Users\stu\Documents\GitHub\eaglep3-reporting\EC\2017-04-03-refined-times.txt</v>
      </c>
      <c r="AI169" s="104" t="str">
        <f>"echo {""issue"":{""subject"":"""&amp;R169&amp;""",""project_id"":79,""tracker_id"":40,""status_id"":"&amp;redmine_status&amp;",""priority_id"":"&amp;redmine_priority&amp;",""assigned_to_id"":"&amp;redmine_assignee&amp;",""start_date"":"""&amp;TEXT(I169,"YYYY-mm-dd")&amp;""",""description"":"""&amp;AJ169&amp;""",""custom_fields"":[{""id"":1,""name"":""Subdivision"",""value"":"""&amp;AG169&amp;"""},{""id"":4,""name"":""Milepost"",""value"":"""&amp;Z169&amp;"""},{""id"":17,""name"":""Train ID"",""value"":"""&amp;A169&amp;"""},{""id"":16,""name"":""Locomotive ID"",""value"":"""&amp;B169&amp;"""},{""id"":130,""name"":""Impact"",""value"":"""&amp;AK169&amp;"""},{""id"":150,""name"":""Time of Event (Mountain Time)"",""value"":"""&amp;TEXT(I169,"hh:mm:ss")&amp;"""},{""id"":151,""name"":""Denver Issue ID"",""value"":"""&amp;"""},{""id"":178,""name"":""Operational Impact"",""value"":"""&amp;redmine_op_impact&amp;"""},{""id"":179,""name"":""Denver Segment Assigned"",""value"":"""&amp;AL169&amp;"""}]}}"&amp;"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{"issue":{"subject":"","project_id":79,"tracker_id":40,"status_id":1,"priority_id":2,"assigned_to_id":23,"start_date":"2017-04-03","description":"","custom_fields":[{"id":1,"name":"Subdivision","value":"NW"},{"id":4,"name":"Milepost","value":"5.896"},{"id":17,"name":"Train ID","value":"811-03"},{"id":16,"name":"Locomotive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>"start /low /b "&amp;dls3logs&amp;" --loco "&amp;B169&amp;" --day "&amp;TEXT(F169,"YYYY-MM-DD")</f>
        <v>start /low /b %USERPROFILE%\Documents\GitHub\eaglep3\Utilities\DownloadLogsFromS3.py --loco 4006 --day 2017-04-03</v>
      </c>
      <c r="AN169" s="159" t="str">
        <f>"echo {""issue"":{""subject"":"""&amp;R169&amp;""",""project_id"":30,""tracker_id"":4,""status_id"":"&amp;redmine_status_wcr&amp;",""priority_id"":"&amp;redmine_priority_wcr&amp;",""assigned_to_id"":"&amp;redmine_assignee_wcr&amp;",""start_date"":"""&amp;TEXT(I169-utc_offset/24,"YYYY-mm-dd")&amp;""",""description"":"""&amp;AJ169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s="20" customFormat="1" x14ac:dyDescent="0.25">
      <c r="A170" s="33" t="s">
        <v>677</v>
      </c>
      <c r="B170" s="7">
        <v>4005</v>
      </c>
      <c r="C170" s="21" t="s">
        <v>217</v>
      </c>
      <c r="D170" s="21" t="s">
        <v>962</v>
      </c>
      <c r="E170" s="13">
        <v>42828.3593287037</v>
      </c>
      <c r="F170" s="13">
        <v>42828.361828703702</v>
      </c>
      <c r="G170" s="7">
        <v>1</v>
      </c>
      <c r="H170" s="21" t="s">
        <v>963</v>
      </c>
      <c r="I170" s="13">
        <v>42828.372025462966</v>
      </c>
      <c r="J170" s="7">
        <v>0</v>
      </c>
      <c r="K170" s="97" t="str">
        <f>IF(ISEVEN(B170),(B170-1)&amp;"/"&amp;B170,B170&amp;"/"&amp;(B170+1))</f>
        <v>4005/4006</v>
      </c>
      <c r="L170" s="21" t="str">
        <f>VLOOKUP(A170,'Trips&amp;Operators'!$C$1:$G$99999,5,FALSE)</f>
        <v>MENGES BRAD</v>
      </c>
      <c r="M170" s="6">
        <f>I170-F170</f>
        <v>1.0196759263635613E-2</v>
      </c>
      <c r="N170" s="7">
        <f>24*60*SUM($M170:$M170)</f>
        <v>14.683333339635283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-04-03T07:37:26-0600',mode:absolute,to:'2017-04-03T09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0" s="183" t="str">
        <f>IF(AA170&lt;IF(AG170="EC",23,5.65),"Y","N")</f>
        <v>N</v>
      </c>
      <c r="X170" s="183">
        <f>VALUE(LEFT(AD170,4))-VALUE(LEFT(AD169,4))</f>
        <v>1</v>
      </c>
      <c r="Y170" s="62">
        <f>RIGHT(D170,LEN(D170)-4)/10000</f>
        <v>5.8635999999999999</v>
      </c>
      <c r="Z170" s="62">
        <f>RIGHT(H170,LEN(H170)-4)/10000</f>
        <v>6.7000000000000004E-2</v>
      </c>
      <c r="AA170" s="62">
        <f>ABS(Z170-Y170)</f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>IF(LEN(A170)=6,"0"&amp;A170,A170)</f>
        <v>0812-03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0" s="82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/stypes="app*4005*20170403*" /stext=" 14:.+((SYSTEM_STATE.+slice.+state.+changed )|(ment ac)|(multiple cpu faults)|(system.+state.+changed )|(\[timeout)|(PRM\|1\|D)|(kpr)|(kdp)|(\|lc)|(penalty))"</v>
      </c>
      <c r="AG170" s="1" t="str">
        <f>IFERROR(IF(VALUE(LEFT(AD170,2))&lt;=2,"EC",IF(OR(VALUE(LEFT(AD170,2))=8,VALUE(LEFT(AD170,2))=18),"NW","Other")),"Other")</f>
        <v>NW</v>
      </c>
      <c r="AH170" s="86" t="str">
        <f>refinertdcruntimes&amp;" --tripid "&amp;A170&amp;" --locoid "&amp;B170&amp;" --swversion "&amp;C170&amp;" --startMP "&amp;D170&amp;" --initTime "&amp;TEXT(E170,"yyyy-mm-ddTHH:MM:SS")&amp;" --startdatetime "&amp;TEXT(F170,"yyyy-mm-ddTHH:MM:SS")&amp;" --delay "&amp;G170&amp;" --endMP "&amp;H170&amp;" --enddatetime "&amp;TEXT(I170,"yyyy-mm-ddTHH:MM:SS")&amp;" --enforcementcount "&amp;J170&amp;IF(outputrefinedruntimes," &gt;&gt;"&amp;RefinedRTDCRunTimesOutputFile,"")</f>
        <v>"%USERPROFILE%\Documents\GitHub\eaglep3\Utilities\RefineRTDCRunTimes.py" --tripid 812-03 --locoid 4005 --swversion DE.1.0.9.0 --startMP 300:58636 --initTime 2017-04-03T08:37:26 --startdatetime 2017-04-03T08:41:02 --delay 1 --endMP 204:670 --enddatetime 2017-04-03T08:55:43 --enforcementcount 0 &gt;&gt;C:\Users\stu\Documents\GitHub\eaglep3-reporting\EC\2017-04-03-refined-times.txt</v>
      </c>
      <c r="AI170" s="104" t="str">
        <f>"echo {""issue"":{""subject"":"""&amp;R170&amp;""",""project_id"":79,""tracker_id"":40,""status_id"":"&amp;redmine_status&amp;",""priority_id"":"&amp;redmine_priority&amp;",""assigned_to_id"":"&amp;redmine_assignee&amp;",""start_date"":"""&amp;TEXT(I170,"YYYY-mm-dd")&amp;""",""description"":"""&amp;AJ170&amp;""",""custom_fields"":[{""id"":1,""name"":""Subdivision"",""value"":"""&amp;AG170&amp;"""},{""id"":4,""name"":""Milepost"",""value"":"""&amp;Z170&amp;"""},{""id"":17,""name"":""Train ID"",""value"":"""&amp;A170&amp;"""},{""id"":16,""name"":""Locomotive ID"",""value"":"""&amp;B170&amp;"""},{""id"":130,""name"":""Impact"",""value"":"""&amp;AK170&amp;"""},{""id"":150,""name"":""Time of Event (Mountain Time)"",""value"":"""&amp;TEXT(I170,"hh:mm:ss")&amp;"""},{""id"":151,""name"":""Denver Issue ID"",""value"":"""&amp;"""},{""id"":178,""name"":""Operational Impact"",""value"":"""&amp;redmine_op_impact&amp;"""},{""id"":179,""name"":""Denver Segment Assigned"",""value"":"""&amp;AL170&amp;"""}]}}"&amp;"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{"issue":{"subject":"","project_id":79,"tracker_id":40,"status_id":1,"priority_id":2,"assigned_to_id":23,"start_date":"2017-04-03","description":"","custom_fields":[{"id":1,"name":"Subdivision","value":"NW"},{"id":4,"name":"Milepost","value":"0.067"},{"id":17,"name":"Train ID","value":"812-03"},{"id":16,"name":"Locomotive ID","value":"4005"},{"id":130,"name":"Impact","value":""},{"id":150,"name":"Time of Event (Mountain Time)","value":"08:55:43"},{"id":151,"name":"Denver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8"/>
      <c r="AL170" s="48"/>
      <c r="AM170" s="150" t="str">
        <f>"start /low /b "&amp;dls3logs&amp;" --loco "&amp;B170&amp;" --day "&amp;TEXT(F170,"YYYY-MM-DD")</f>
        <v>start /low /b %USERPROFILE%\Documents\GitHub\eaglep3\Utilities\DownloadLogsFromS3.py --loco 4005 --day 2017-04-03</v>
      </c>
      <c r="AN170" s="159" t="str">
        <f>"echo {""issue"":{""subject"":"""&amp;R170&amp;""",""project_id"":30,""tracker_id"":4,""status_id"":"&amp;redmine_status_wcr&amp;",""priority_id"":"&amp;redmine_priority_wcr&amp;",""assigned_to_id"":"&amp;redmine_assignee_wcr&amp;",""start_date"":"""&amp;TEXT(I170-utc_offset/24,"YYYY-mm-dd")&amp;""",""description"":"""&amp;AJ170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587</v>
      </c>
      <c r="B171" s="7">
        <v>4006</v>
      </c>
      <c r="C171" s="21" t="s">
        <v>217</v>
      </c>
      <c r="D171" s="21" t="s">
        <v>964</v>
      </c>
      <c r="E171" s="13">
        <v>42828.387395833335</v>
      </c>
      <c r="F171" s="13">
        <v>42828.389768518522</v>
      </c>
      <c r="G171" s="7">
        <v>2</v>
      </c>
      <c r="H171" s="21" t="s">
        <v>965</v>
      </c>
      <c r="I171" s="13">
        <v>42828.399155092593</v>
      </c>
      <c r="J171" s="7">
        <v>0</v>
      </c>
      <c r="K171" s="97" t="str">
        <f>IF(ISEVEN(B171),(B171-1)&amp;"/"&amp;B171,B171&amp;"/"&amp;(B171+1))</f>
        <v>4005/4006</v>
      </c>
      <c r="L171" s="21" t="str">
        <f>VLOOKUP(A171,'Trips&amp;Operators'!$C$1:$G$99999,5,FALSE)</f>
        <v>MENGES BRAD</v>
      </c>
      <c r="M171" s="6">
        <f>I171-F171</f>
        <v>9.3865740709588863E-3</v>
      </c>
      <c r="N171" s="7">
        <f>24*60*SUM($M171:$M171)</f>
        <v>13.516666662180796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-04-03T08:17:51-0600',mode:absolute,to:'2017-04-03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83" t="str">
        <f>IF(AA171&lt;IF(AG171="EC",23,5.65),"Y","N")</f>
        <v>N</v>
      </c>
      <c r="X171" s="183">
        <f>VALUE(LEFT(AD171,4))-VALUE(LEFT(AD170,4))</f>
        <v>1</v>
      </c>
      <c r="Y171" s="62">
        <f>RIGHT(D171,LEN(D171)-4)/10000</f>
        <v>9.7600000000000006E-2</v>
      </c>
      <c r="Z171" s="62">
        <f>RIGHT(H171,LEN(H171)-4)/10000</f>
        <v>5.8924000000000003</v>
      </c>
      <c r="AA171" s="62">
        <f>ABS(Z171-Y171)</f>
        <v>5.7948000000000004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>IF(LEN(A171)=6,"0"&amp;A171,A171)</f>
        <v>0813-03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1" s="82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/stypes="app*4006*20170403*" /stext=" 15:.+((SYSTEM_STATE.+slice.+state.+changed )|(ment ac)|(multiple cpu faults)|(system.+state.+changed )|(\[timeout)|(PRM\|1\|D)|(kpr)|(kdp)|(\|lc)|(penalty))"</v>
      </c>
      <c r="AG171" s="1" t="str">
        <f>IFERROR(IF(VALUE(LEFT(AD171,2))&lt;=2,"EC",IF(OR(VALUE(LEFT(AD171,2))=8,VALUE(LEFT(AD171,2))=18),"NW","Other")),"Other")</f>
        <v>NW</v>
      </c>
      <c r="AH171" s="86" t="str">
        <f>refinertdcruntimes&amp;" --tripid "&amp;A171&amp;" --locoid "&amp;B171&amp;" --swversion "&amp;C171&amp;" --startMP "&amp;D171&amp;" --initTime "&amp;TEXT(E171,"yyyy-mm-ddTHH:MM:SS")&amp;" --startdatetime "&amp;TEXT(F171,"yyyy-mm-ddTHH:MM:SS")&amp;" --delay "&amp;G171&amp;" --endMP "&amp;H171&amp;" --enddatetime "&amp;TEXT(I171,"yyyy-mm-ddTHH:MM:SS")&amp;" --enforcementcount "&amp;J171&amp;IF(outputrefinedruntimes," &gt;&gt;"&amp;RefinedRTDCRunTimesOutputFile,"")</f>
        <v>"%USERPROFILE%\Documents\GitHub\eaglep3\Utilities\RefineRTDCRunTimes.py" --tripid 813-03 --locoid 4006 --swversion DE.1.0.9.0 --startMP 204:976 --initTime 2017-04-03T09:17:51 --startdatetime 2017-04-03T09:21:16 --delay 2 --endMP 300:58924 --enddatetime 2017-04-03T09:34:47 --enforcementcount 0 &gt;&gt;C:\Users\stu\Documents\GitHub\eaglep3-reporting\EC\2017-04-03-refined-times.txt</v>
      </c>
      <c r="AI171" s="104" t="str">
        <f>"echo {""issue"":{""subject"":"""&amp;R171&amp;""",""project_id"":79,""tracker_id"":40,""status_id"":"&amp;redmine_status&amp;",""priority_id"":"&amp;redmine_priority&amp;",""assigned_to_id"":"&amp;redmine_assignee&amp;",""start_date"":"""&amp;TEXT(I171,"YYYY-mm-dd")&amp;""",""description"":"""&amp;AJ171&amp;""",""custom_fields"":[{""id"":1,""name"":""Subdivision"",""value"":"""&amp;AG171&amp;"""},{""id"":4,""name"":""Milepost"",""value"":"""&amp;Z171&amp;"""},{""id"":17,""name"":""Train ID"",""value"":"""&amp;A171&amp;"""},{""id"":16,""name"":""Locomotive ID"",""value"":"""&amp;B171&amp;"""},{""id"":130,""name"":""Impact"",""value"":"""&amp;AK171&amp;"""},{""id"":150,""name"":""Time of Event (Mountain Time)"",""value"":"""&amp;TEXT(I171,"hh:mm:ss")&amp;"""},{""id"":151,""name"":""Denver Issue ID"",""value"":"""&amp;"""},{""id"":178,""name"":""Operational Impact"",""value"":"""&amp;redmine_op_impact&amp;"""},{""id"":179,""name"":""Denver Segment Assigned"",""value"":"""&amp;AL171&amp;"""}]}}"&amp;"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{"issue":{"subject":"","project_id":79,"tracker_id":40,"status_id":1,"priority_id":2,"assigned_to_id":23,"start_date":"2017-04-03","description":"","custom_fields":[{"id":1,"name":"Subdivision","value":"NW"},{"id":4,"name":"Milepost","value":"5.8924"},{"id":17,"name":"Train ID","value":"813-03"},{"id":16,"name":"Locomotive ID","value":"4006"},{"id":130,"name":"Impact","value":""},{"id":150,"name":"Time of Event (Mountain Time)","value":"09:34:47"},{"id":151,"name":"Denver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8"/>
      <c r="AL171" s="48"/>
      <c r="AM171" s="150" t="str">
        <f>"start /low /b "&amp;dls3logs&amp;" --loco "&amp;B171&amp;" --day "&amp;TEXT(F171,"YYYY-MM-DD")</f>
        <v>start /low /b %USERPROFILE%\Documents\GitHub\eaglep3\Utilities\DownloadLogsFromS3.py --loco 4006 --day 2017-04-03</v>
      </c>
      <c r="AN171" s="159" t="str">
        <f>"echo {""issue"":{""subject"":"""&amp;R171&amp;""",""project_id"":30,""tracker_id"":4,""status_id"":"&amp;redmine_status_wcr&amp;",""priority_id"":"&amp;redmine_priority_wcr&amp;",""assigned_to_id"":"&amp;redmine_assignee_wcr&amp;",""start_date"":"""&amp;TEXT(I171-utc_offset/24,"YYYY-mm-dd")&amp;""",""description"":"""&amp;AJ171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s="20" customFormat="1" x14ac:dyDescent="0.25">
      <c r="A172" s="33" t="s">
        <v>685</v>
      </c>
      <c r="B172" s="7">
        <v>4005</v>
      </c>
      <c r="C172" s="21" t="s">
        <v>217</v>
      </c>
      <c r="D172" s="21" t="s">
        <v>553</v>
      </c>
      <c r="E172" s="13">
        <v>42828.400648148148</v>
      </c>
      <c r="F172" s="13">
        <v>42828.402731481481</v>
      </c>
      <c r="G172" s="7">
        <v>1</v>
      </c>
      <c r="H172" s="21" t="s">
        <v>966</v>
      </c>
      <c r="I172" s="13">
        <v>42828.412754629629</v>
      </c>
      <c r="J172" s="7">
        <v>0</v>
      </c>
      <c r="K172" s="97" t="str">
        <f>IF(ISEVEN(B172),(B172-1)&amp;"/"&amp;B172,B172&amp;"/"&amp;(B172+1))</f>
        <v>4005/4006</v>
      </c>
      <c r="L172" s="21" t="str">
        <f>VLOOKUP(A172,'Trips&amp;Operators'!$C$1:$G$99999,5,FALSE)</f>
        <v>MENGES BRAD</v>
      </c>
      <c r="M172" s="6">
        <f>I172-F172</f>
        <v>1.0023148148320615E-2</v>
      </c>
      <c r="N172" s="7">
        <f>24*60*SUM($M172:$M172)</f>
        <v>14.433333333581686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-04-03T08:36:56-0600',mode:absolute,to:'2017-04-03T10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83" t="str">
        <f>IF(AA172&lt;IF(AG172="EC",23,5.65),"Y","N")</f>
        <v>N</v>
      </c>
      <c r="X172" s="183">
        <f>VALUE(LEFT(AD172,4))-VALUE(LEFT(AD171,4))</f>
        <v>1</v>
      </c>
      <c r="Y172" s="62">
        <f>RIGHT(D172,LEN(D172)-4)/10000</f>
        <v>5.8619000000000003</v>
      </c>
      <c r="Z172" s="62">
        <f>RIGHT(H172,LEN(H172)-4)/10000</f>
        <v>6.5199999999999994E-2</v>
      </c>
      <c r="AA172" s="62">
        <f>ABS(Z172-Y172)</f>
        <v>5.7967000000000004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>IF(LEN(A172)=6,"0"&amp;A172,A172)</f>
        <v>0814-03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2" s="82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/stypes="app*4005*20170403*" /stext=" 15:.+((SYSTEM_STATE.+slice.+state.+changed )|(ment ac)|(multiple cpu faults)|(system.+state.+changed )|(\[timeout)|(PRM\|1\|D)|(kpr)|(kdp)|(\|lc)|(penalty))"</v>
      </c>
      <c r="AG172" s="1" t="str">
        <f>IFERROR(IF(VALUE(LEFT(AD172,2))&lt;=2,"EC",IF(OR(VALUE(LEFT(AD172,2))=8,VALUE(LEFT(AD172,2))=18),"NW","Other")),"Other")</f>
        <v>NW</v>
      </c>
      <c r="AH172" s="86" t="str">
        <f>refinertdcruntimes&amp;" --tripid "&amp;A172&amp;" --locoid "&amp;B172&amp;" --swversion "&amp;C172&amp;" --startMP "&amp;D172&amp;" --initTime "&amp;TEXT(E172,"yyyy-mm-ddTHH:MM:SS")&amp;" --startdatetime "&amp;TEXT(F172,"yyyy-mm-ddTHH:MM:SS")&amp;" --delay "&amp;G172&amp;" --endMP "&amp;H172&amp;" --enddatetime "&amp;TEXT(I172,"yyyy-mm-ddTHH:MM:SS")&amp;" --enforcementcount "&amp;J172&amp;IF(outputrefinedruntimes," &gt;&gt;"&amp;RefinedRTDCRunTimesOutputFile,"")</f>
        <v>"%USERPROFILE%\Documents\GitHub\eaglep3\Utilities\RefineRTDCRunTimes.py" --tripid 814-03 --locoid 4005 --swversion DE.1.0.9.0 --startMP 300:58619 --initTime 2017-04-03T09:36:56 --startdatetime 2017-04-03T09:39:56 --delay 1 --endMP 204:652 --enddatetime 2017-04-03T09:54:22 --enforcementcount 0 &gt;&gt;C:\Users\stu\Documents\GitHub\eaglep3-reporting\EC\2017-04-03-refined-times.txt</v>
      </c>
      <c r="AI172" s="104" t="str">
        <f>"echo {""issue"":{""subject"":"""&amp;R172&amp;""",""project_id"":79,""tracker_id"":40,""status_id"":"&amp;redmine_status&amp;",""priority_id"":"&amp;redmine_priority&amp;",""assigned_to_id"":"&amp;redmine_assignee&amp;",""start_date"":"""&amp;TEXT(I172,"YYYY-mm-dd")&amp;""",""description"":"""&amp;AJ172&amp;""",""custom_fields"":[{""id"":1,""name"":""Subdivision"",""value"":"""&amp;AG172&amp;"""},{""id"":4,""name"":""Milepost"",""value"":"""&amp;Z172&amp;"""},{""id"":17,""name"":""Train ID"",""value"":"""&amp;A172&amp;"""},{""id"":16,""name"":""Locomotive ID"",""value"":"""&amp;B172&amp;"""},{""id"":130,""name"":""Impact"",""value"":"""&amp;AK172&amp;"""},{""id"":150,""name"":""Time of Event (Mountain Time)"",""value"":"""&amp;TEXT(I172,"hh:mm:ss")&amp;"""},{""id"":151,""name"":""Denver Issue ID"",""value"":"""&amp;"""},{""id"":178,""name"":""Operational Impact"",""value"":"""&amp;redmine_op_impact&amp;"""},{""id"":179,""name"":""Denver Segment Assigned"",""value"":"""&amp;AL172&amp;"""}]}}"&amp;"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{"issue":{"subject":"","project_id":79,"tracker_id":40,"status_id":1,"priority_id":2,"assigned_to_id":23,"start_date":"2017-04-03","description":"","custom_fields":[{"id":1,"name":"Subdivision","value":"NW"},{"id":4,"name":"Milepost","value":"0.0652"},{"id":17,"name":"Train ID","value":"814-03"},{"id":16,"name":"Locomotive ID","value":"4005"},{"id":130,"name":"Impact","value":""},{"id":150,"name":"Time of Event (Mountain Time)","value":"09:54:22"},{"id":151,"name":"Denver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8"/>
      <c r="AL172" s="48"/>
      <c r="AM172" s="150" t="str">
        <f>"start /low /b "&amp;dls3logs&amp;" --loco "&amp;B172&amp;" --day "&amp;TEXT(F172,"YYYY-MM-DD")</f>
        <v>start /low /b %USERPROFILE%\Documents\GitHub\eaglep3\Utilities\DownloadLogsFromS3.py --loco 4005 --day 2017-04-03</v>
      </c>
      <c r="AN172" s="159" t="str">
        <f>"echo {""issue"":{""subject"":"""&amp;R172&amp;""",""project_id"":30,""tracker_id"":4,""status_id"":"&amp;redmine_status_wcr&amp;",""priority_id"":"&amp;redmine_priority_wcr&amp;",""assigned_to_id"":"&amp;redmine_assignee_wcr&amp;",""start_date"":"""&amp;TEXT(I172-utc_offset/24,"YYYY-mm-dd")&amp;""",""description"":"""&amp;AJ172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15:54:22"},{"id":29,"name":"Sharepoint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3" t="s">
        <v>589</v>
      </c>
      <c r="B173" s="7">
        <v>4006</v>
      </c>
      <c r="C173" s="21" t="s">
        <v>217</v>
      </c>
      <c r="D173" s="21" t="s">
        <v>967</v>
      </c>
      <c r="E173" s="13">
        <v>42828.428726851853</v>
      </c>
      <c r="F173" s="13">
        <v>42828.431481481479</v>
      </c>
      <c r="G173" s="7">
        <v>1</v>
      </c>
      <c r="H173" s="21" t="s">
        <v>555</v>
      </c>
      <c r="I173" s="13">
        <v>42828.441874999997</v>
      </c>
      <c r="J173" s="7">
        <v>0</v>
      </c>
      <c r="K173" s="97" t="str">
        <f>IF(ISEVEN(B173),(B173-1)&amp;"/"&amp;B173,B173&amp;"/"&amp;(B173+1))</f>
        <v>4005/4006</v>
      </c>
      <c r="L173" s="21" t="str">
        <f>VLOOKUP(A173,'Trips&amp;Operators'!$C$1:$G$99999,5,FALSE)</f>
        <v>MENGES BRAD</v>
      </c>
      <c r="M173" s="6">
        <f>I173-F173</f>
        <v>1.0393518517958E-2</v>
      </c>
      <c r="N173" s="7">
        <f>24*60*SUM($M173:$M173)</f>
        <v>14.96666666585952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83" t="str">
        <f>IF(AA173&lt;IF(AG173="EC",23,5.65),"Y","N")</f>
        <v>N</v>
      </c>
      <c r="X173" s="183">
        <f>VALUE(LEFT(AD173,4))-VALUE(LEFT(AD172,4))</f>
        <v>1</v>
      </c>
      <c r="Y173" s="62">
        <f>RIGHT(D173,LEN(D173)-4)/10000</f>
        <v>9.69E-2</v>
      </c>
      <c r="Z173" s="62">
        <f>RIGHT(H173,LEN(H173)-4)/10000</f>
        <v>5.8945999999999996</v>
      </c>
      <c r="AA173" s="62">
        <f>ABS(Z173-Y173)</f>
        <v>5.7976999999999999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>IF(LEN(A173)=6,"0"&amp;A173,A173)</f>
        <v>0815-03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3" s="82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/stypes="app*4006*20170403*" /stext=" 16:.+((SYSTEM_STATE.+slice.+state.+changed )|(ment ac)|(multiple cpu faults)|(system.+state.+changed )|(\[timeout)|(PRM\|1\|D)|(kpr)|(kdp)|(\|lc)|(penalty))"</v>
      </c>
      <c r="AG173" s="1" t="str">
        <f>IFERROR(IF(VALUE(LEFT(AD173,2))&lt;=2,"EC",IF(OR(VALUE(LEFT(AD173,2))=8,VALUE(LEFT(AD173,2))=18),"NW","Other")),"Other")</f>
        <v>NW</v>
      </c>
      <c r="AH173" s="86" t="str">
        <f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815-03 --locoid 4006 --swversion DE.1.0.9.0 --startMP 204:969 --initTime 2017-04-03T10:17:22 --startdatetime 2017-04-03T10:21:20 --delay 1 --endMP 300:58946 --enddatetime 2017-04-03T10:36:18 --enforcementcount 0 &gt;&gt;C:\Users\stu\Documents\GitHub\eaglep3-reporting\EC\2017-04-03-refined-times.txt</v>
      </c>
      <c r="AI173" s="104" t="str">
        <f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{"issue":{"subject":"","project_id":79,"tracker_id":40,"status_id":1,"priority_id":2,"assigned_to_id":23,"start_date":"2017-04-03","description":"","custom_fields":[{"id":1,"name":"Subdivision","value":"NW"},{"id":4,"name":"Milepost","value":"5.8946"},{"id":17,"name":"Train ID","value":"815-03"},{"id":16,"name":"Locomotive ID","value":"4006"},{"id":130,"name":"Impact","value":""},{"id":150,"name":"Time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8"/>
      <c r="AL173" s="48"/>
      <c r="AM173" s="150" t="str">
        <f>"start /low /b "&amp;dls3logs&amp;" --loco "&amp;B173&amp;" --day "&amp;TEXT(F173,"YYYY-MM-DD")</f>
        <v>start /low /b %USERPROFILE%\Documents\GitHub\eaglep3\Utilities\DownloadLogsFromS3.py --loco 4006 --day 2017-04-03</v>
      </c>
      <c r="AN173" s="159" t="str">
        <f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4" spans="1:91" x14ac:dyDescent="0.25">
      <c r="A174" s="33" t="s">
        <v>695</v>
      </c>
      <c r="B174" s="7">
        <v>4005</v>
      </c>
      <c r="C174" s="21" t="s">
        <v>217</v>
      </c>
      <c r="D174" s="21" t="s">
        <v>968</v>
      </c>
      <c r="E174" s="13">
        <v>42828.44295138889</v>
      </c>
      <c r="F174" s="13">
        <v>42828.444756944446</v>
      </c>
      <c r="G174" s="7">
        <v>1</v>
      </c>
      <c r="H174" s="21" t="s">
        <v>969</v>
      </c>
      <c r="I174" s="13">
        <v>42828.455381944441</v>
      </c>
      <c r="J174" s="7">
        <v>0</v>
      </c>
      <c r="K174" s="97" t="str">
        <f>IF(ISEVEN(B174),(B174-1)&amp;"/"&amp;B174,B174&amp;"/"&amp;(B174+1))</f>
        <v>4005/4006</v>
      </c>
      <c r="L174" s="21" t="str">
        <f>VLOOKUP(A174,'Trips&amp;Operators'!$C$1:$G$99999,5,FALSE)</f>
        <v>MENGES BRAD</v>
      </c>
      <c r="M174" s="6">
        <f>I174-F174</f>
        <v>1.0624999995343387E-2</v>
      </c>
      <c r="N174" s="7">
        <f>24*60*SUM($M174:$M174)</f>
        <v>15.299999993294477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-04-03T09:37:51-0600',mode:absolute,to:'2017-04-03T11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83" t="str">
        <f>IF(AA174&lt;IF(AG174="EC",23,5.65),"Y","N")</f>
        <v>N</v>
      </c>
      <c r="X174" s="183">
        <f>VALUE(LEFT(AD174,4))-VALUE(LEFT(AD173,4))</f>
        <v>1</v>
      </c>
      <c r="Y174" s="62">
        <f>RIGHT(D174,LEN(D174)-4)/10000</f>
        <v>5.8632</v>
      </c>
      <c r="Z174" s="62">
        <f>RIGHT(H174,LEN(H174)-4)/10000</f>
        <v>6.8400000000000002E-2</v>
      </c>
      <c r="AA174" s="62">
        <f>ABS(Z174-Y174)</f>
        <v>5.7948000000000004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>IF(LEN(A174)=6,"0"&amp;A174,A174)</f>
        <v>0816-03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4" s="82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/stypes="app*4005*20170403*" /stext=" 16:.+((SYSTEM_STATE.+slice.+state.+changed )|(ment ac)|(multiple cpu faults)|(system.+state.+changed )|(\[timeout)|(PRM\|1\|D)|(kpr)|(kdp)|(\|lc)|(penalty))"</v>
      </c>
      <c r="AG174" s="1" t="str">
        <f>IFERROR(IF(VALUE(LEFT(AD174,2))&lt;=2,"EC",IF(OR(VALUE(LEFT(AD174,2))=8,VALUE(LEFT(AD174,2))=18),"NW","Other")),"Other")</f>
        <v>NW</v>
      </c>
      <c r="AH174" s="86" t="str">
        <f>refinertdcruntimes&amp;" --tripid "&amp;A174&amp;" --locoid "&amp;B174&amp;" --swversion "&amp;C174&amp;" --startMP "&amp;D174&amp;" --initTime "&amp;TEXT(E174,"yyyy-mm-ddTHH:MM:SS")&amp;" --startdatetime "&amp;TEXT(F174,"yyyy-mm-ddTHH:MM:SS")&amp;" --delay "&amp;G174&amp;" --endMP "&amp;H174&amp;" --enddatetime "&amp;TEXT(I174,"yyyy-mm-ddTHH:MM:SS")&amp;" --enforcementcount "&amp;J174&amp;IF(outputrefinedruntimes," &gt;&gt;"&amp;RefinedRTDCRunTimesOutputFile,"")</f>
        <v>"%USERPROFILE%\Documents\GitHub\eaglep3\Utilities\RefineRTDCRunTimes.py" --tripid 816-03 --locoid 4005 --swversion DE.1.0.9.0 --startMP 300:58632 --initTime 2017-04-03T10:37:51 --startdatetime 2017-04-03T10:40:27 --delay 1 --endMP 204:684 --enddatetime 2017-04-03T10:55:45 --enforcementcount 0 &gt;&gt;C:\Users\stu\Documents\GitHub\eaglep3-reporting\EC\2017-04-03-refined-times.txt</v>
      </c>
      <c r="AI174" s="104" t="str">
        <f>"echo {""issue"":{""subject"":"""&amp;R174&amp;""",""project_id"":79,""tracker_id"":40,""status_id"":"&amp;redmine_status&amp;",""priority_id"":"&amp;redmine_priority&amp;",""assigned_to_id"":"&amp;redmine_assignee&amp;",""start_date"":"""&amp;TEXT(I174,"YYYY-mm-dd")&amp;""",""description"":"""&amp;AJ174&amp;""",""custom_fields"":[{""id"":1,""name"":""Subdivision"",""value"":"""&amp;AG174&amp;"""},{""id"":4,""name"":""Milepost"",""value"":"""&amp;Z174&amp;"""},{""id"":17,""name"":""Train ID"",""value"":"""&amp;A174&amp;"""},{""id"":16,""name"":""Locomotive ID"",""value"":"""&amp;B174&amp;"""},{""id"":130,""name"":""Impact"",""value"":"""&amp;AK174&amp;"""},{""id"":150,""name"":""Time of Event (Mountain Time)"",""value"":"""&amp;TEXT(I174,"hh:mm:ss")&amp;"""},{""id"":151,""name"":""Denver Issue ID"",""value"":"""&amp;"""},{""id"":178,""name"":""Operational Impact"",""value"":"""&amp;redmine_op_impact&amp;"""},{""id"":179,""name"":""Denver Segment Assigned"",""value"":"""&amp;AL174&amp;"""}]}}"&amp;"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{"issue":{"subject":"","project_id":79,"tracker_id":40,"status_id":1,"priority_id":2,"assigned_to_id":23,"start_date":"2017-04-03","description":"","custom_fields":[{"id":1,"name":"Subdivision","value":"NW"},{"id":4,"name":"Milepost","value":"0.0684"},{"id":17,"name":"Train ID","value":"816-03"},{"id":16,"name":"Locomotive ID","value":"4005"},{"id":130,"name":"Impact","value":""},{"id":150,"name":"Time of Event (Mountain Time)","value":"10:55:45"},{"id":151,"name":"Denver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>"start /low /b "&amp;dls3logs&amp;" --loco "&amp;B174&amp;" --day "&amp;TEXT(F174,"YYYY-MM-DD")</f>
        <v>start /low /b %USERPROFILE%\Documents\GitHub\eaglep3\Utilities\DownloadLogsFromS3.py --loco 4005 --day 2017-04-03</v>
      </c>
      <c r="AN174" s="159" t="str">
        <f>"echo {""issue"":{""subject"":"""&amp;R174&amp;""",""project_id"":30,""tracker_id"":4,""status_id"":"&amp;redmine_status_wcr&amp;",""priority_id"":"&amp;redmine_priority_wcr&amp;",""assigned_to_id"":"&amp;redmine_assignee_wcr&amp;",""start_date"":"""&amp;TEXT(I174-utc_offset/24,"YYYY-mm-dd")&amp;""",""description"":"""&amp;AJ174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703</v>
      </c>
      <c r="B175" s="7">
        <v>4006</v>
      </c>
      <c r="C175" s="21" t="s">
        <v>217</v>
      </c>
      <c r="D175" s="21" t="s">
        <v>970</v>
      </c>
      <c r="E175" s="13">
        <v>42828.470289351855</v>
      </c>
      <c r="F175" s="13">
        <v>42828.473182870373</v>
      </c>
      <c r="G175" s="7">
        <v>1</v>
      </c>
      <c r="H175" s="21" t="s">
        <v>521</v>
      </c>
      <c r="I175" s="13">
        <v>42828.482164351852</v>
      </c>
      <c r="J175" s="7">
        <v>0</v>
      </c>
      <c r="K175" s="97" t="str">
        <f>IF(ISEVEN(B175),(B175-1)&amp;"/"&amp;B175,B175&amp;"/"&amp;(B175+1))</f>
        <v>4005/4006</v>
      </c>
      <c r="L175" s="21" t="str">
        <f>VLOOKUP(A175,'Trips&amp;Operators'!$C$1:$G$99999,5,FALSE)</f>
        <v>MENGES BRAD</v>
      </c>
      <c r="M175" s="6">
        <f>I175-F175</f>
        <v>8.9814814782585017E-3</v>
      </c>
      <c r="N175" s="7">
        <f>24*60*SUM($M175:$M175)</f>
        <v>12.933333328692243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-04-03T10:17:13-0600',mode:absolute,to:'2017-04-03T12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83" t="str">
        <f>IF(AA175&lt;IF(AG175="EC",23,5.65),"Y","N")</f>
        <v>N</v>
      </c>
      <c r="X175" s="183">
        <f>VALUE(LEFT(AD175,4))-VALUE(LEFT(AD174,4))</f>
        <v>1</v>
      </c>
      <c r="Y175" s="62">
        <f>RIGHT(D175,LEN(D175)-4)/10000</f>
        <v>9.74E-2</v>
      </c>
      <c r="Z175" s="62">
        <f>RIGHT(H175,LEN(H175)-4)/10000</f>
        <v>5.8949999999999996</v>
      </c>
      <c r="AA175" s="62">
        <f>ABS(Z175-Y175)</f>
        <v>5.7975999999999992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>IF(LEN(A175)=6,"0"&amp;A175,A175)</f>
        <v>0817-03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5" s="82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/stypes="app*4006*20170403*" /stext=" 17:.+((SYSTEM_STATE.+slice.+state.+changed )|(ment ac)|(multiple cpu faults)|(system.+state.+changed )|(\[timeout)|(PRM\|1\|D)|(kpr)|(kdp)|(\|lc)|(penalty))"</v>
      </c>
      <c r="AG175" s="1" t="str">
        <f>IFERROR(IF(VALUE(LEFT(AD175,2))&lt;=2,"EC",IF(OR(VALUE(LEFT(AD175,2))=8,VALUE(LEFT(AD175,2))=18),"NW","Other")),"Other")</f>
        <v>NW</v>
      </c>
      <c r="AH175" s="86" t="str">
        <f>refinertdcruntimes&amp;" --tripid "&amp;A175&amp;" --locoid "&amp;B175&amp;" --swversion "&amp;C175&amp;" --startMP "&amp;D175&amp;" --initTime "&amp;TEXT(E175,"yyyy-mm-ddTHH:MM:SS")&amp;" --startdatetime "&amp;TEXT(F175,"yyyy-mm-ddTHH:MM:SS")&amp;" --delay "&amp;G175&amp;" --endMP "&amp;H175&amp;" --enddatetime "&amp;TEXT(I175,"yyyy-mm-ddTHH:MM:SS")&amp;" --enforcementcount "&amp;J175&amp;IF(outputrefinedruntimes," &gt;&gt;"&amp;RefinedRTDCRunTimesOutputFile,"")</f>
        <v>"%USERPROFILE%\Documents\GitHub\eaglep3\Utilities\RefineRTDCRunTimes.py" --tripid 817-03 --locoid 4006 --swversion DE.1.0.9.0 --startMP 204:974 --initTime 2017-04-03T11:17:13 --startdatetime 2017-04-03T11:21:23 --delay 1 --endMP 300:58950 --enddatetime 2017-04-03T11:34:19 --enforcementcount 0 &gt;&gt;C:\Users\stu\Documents\GitHub\eaglep3-reporting\EC\2017-04-03-refined-times.txt</v>
      </c>
      <c r="AI175" s="104" t="str">
        <f>"echo {""issue"":{""subject"":"""&amp;R175&amp;""",""project_id"":79,""tracker_id"":40,""status_id"":"&amp;redmine_status&amp;",""priority_id"":"&amp;redmine_priority&amp;",""assigned_to_id"":"&amp;redmine_assignee&amp;",""start_date"":"""&amp;TEXT(I175,"YYYY-mm-dd")&amp;""",""description"":"""&amp;AJ175&amp;""",""custom_fields"":[{""id"":1,""name"":""Subdivision"",""value"":"""&amp;AG175&amp;"""},{""id"":4,""name"":""Milepost"",""value"":"""&amp;Z175&amp;"""},{""id"":17,""name"":""Train ID"",""value"":"""&amp;A175&amp;"""},{""id"":16,""name"":""Locomotive ID"",""value"":"""&amp;B175&amp;"""},{""id"":130,""name"":""Impact"",""value"":"""&amp;AK175&amp;"""},{""id"":150,""name"":""Time of Event (Mountain Time)"",""value"":"""&amp;TEXT(I175,"hh:mm:ss")&amp;"""},{""id"":151,""name"":""Denver Issue ID"",""value"":"""&amp;"""},{""id"":178,""name"":""Operational Impact"",""value"":"""&amp;redmine_op_impact&amp;"""},{""id"":179,""name"":""Denver Segment Assigned"",""value"":"""&amp;AL175&amp;"""}]}}"&amp;"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{"issue":{"subject":"","project_id":79,"tracker_id":40,"status_id":1,"priority_id":2,"assigned_to_id":23,"start_date":"2017-04-03","description":"","custom_fields":[{"id":1,"name":"Subdivision","value":"NW"},{"id":4,"name":"Milepost","value":"5.895"},{"id":17,"name":"Train ID","value":"817-03"},{"id":16,"name":"Locomotive ID","value":"4006"},{"id":130,"name":"Impact","value":""},{"id":150,"name":"Time of Event (Mountain Time)","value":"11:34:19"},{"id":151,"name":"Denver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>"start /low /b "&amp;dls3logs&amp;" --loco "&amp;B175&amp;" --day "&amp;TEXT(F175,"YYYY-MM-DD")</f>
        <v>start /low /b %USERPROFILE%\Documents\GitHub\eaglep3\Utilities\DownloadLogsFromS3.py --loco 4006 --day 2017-04-03</v>
      </c>
      <c r="AN175" s="159" t="str">
        <f>"echo {""issue"":{""subject"":"""&amp;R175&amp;""",""project_id"":30,""tracker_id"":4,""status_id"":"&amp;redmine_status_wcr&amp;",""priority_id"":"&amp;redmine_priority_wcr&amp;",""assigned_to_id"":"&amp;redmine_assignee_wcr&amp;",""start_date"":"""&amp;TEXT(I175-utc_offset/24,"YYYY-mm-dd")&amp;""",""description"":"""&amp;AJ175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596</v>
      </c>
      <c r="B176" s="7">
        <v>4005</v>
      </c>
      <c r="C176" s="21" t="s">
        <v>217</v>
      </c>
      <c r="D176" s="21" t="s">
        <v>968</v>
      </c>
      <c r="E176" s="13">
        <v>42828.483298611114</v>
      </c>
      <c r="F176" s="13">
        <v>42828.484618055554</v>
      </c>
      <c r="G176" s="7">
        <v>1</v>
      </c>
      <c r="H176" s="21" t="s">
        <v>971</v>
      </c>
      <c r="I176" s="13">
        <v>42828.496064814812</v>
      </c>
      <c r="J176" s="7">
        <v>0</v>
      </c>
      <c r="K176" s="97" t="str">
        <f>IF(ISEVEN(B176),(B176-1)&amp;"/"&amp;B176,B176&amp;"/"&amp;(B176+1))</f>
        <v>4005/4006</v>
      </c>
      <c r="L176" s="21" t="str">
        <f>VLOOKUP(A176,'Trips&amp;Operators'!$C$1:$G$99999,5,FALSE)</f>
        <v>MENGES BRAD</v>
      </c>
      <c r="M176" s="6">
        <f>I176-F176</f>
        <v>1.1446759257523809E-2</v>
      </c>
      <c r="N176" s="7">
        <f>24*60*SUM($M176:$M176)</f>
        <v>16.483333330834284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-04-03T10:35:57-0600',mode:absolute,to:'2017-04-03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83" t="str">
        <f>IF(AA176&lt;IF(AG176="EC",23,5.65),"Y","N")</f>
        <v>N</v>
      </c>
      <c r="X176" s="183">
        <f>VALUE(LEFT(AD176,4))-VALUE(LEFT(AD175,4))</f>
        <v>1</v>
      </c>
      <c r="Y176" s="62">
        <f>RIGHT(D176,LEN(D176)-4)/10000</f>
        <v>5.8632</v>
      </c>
      <c r="Z176" s="62">
        <f>RIGHT(H176,LEN(H176)-4)/10000</f>
        <v>6.3100000000000003E-2</v>
      </c>
      <c r="AA176" s="62">
        <f>ABS(Z176-Y176)</f>
        <v>5.8000999999999996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>IF(LEN(A176)=6,"0"&amp;A176,A176)</f>
        <v>0818-03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6" s="82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/stypes="app*4005*20170403*" /stext=" 17:.+((SYSTEM_STATE.+slice.+state.+changed )|(ment ac)|(multiple cpu faults)|(system.+state.+changed )|(\[timeout)|(PRM\|1\|D)|(kpr)|(kdp)|(\|lc)|(penalty))"</v>
      </c>
      <c r="AG176" s="1" t="str">
        <f>IFERROR(IF(VALUE(LEFT(AD176,2))&lt;=2,"EC",IF(OR(VALUE(LEFT(AD176,2))=8,VALUE(LEFT(AD176,2))=18),"NW","Other")),"Other")</f>
        <v>NW</v>
      </c>
      <c r="AH176" s="86" t="str">
        <f>refinertdcruntimes&amp;" --tripid "&amp;A176&amp;" --locoid "&amp;B176&amp;" --swversion "&amp;C176&amp;" --startMP "&amp;D176&amp;" --initTime "&amp;TEXT(E176,"yyyy-mm-ddTHH:MM:SS")&amp;" --startdatetime "&amp;TEXT(F176,"yyyy-mm-ddTHH:MM:SS")&amp;" --delay "&amp;G176&amp;" --endMP "&amp;H176&amp;" --enddatetime "&amp;TEXT(I176,"yyyy-mm-ddTHH:MM:SS")&amp;" --enforcementcount "&amp;J176&amp;IF(outputrefinedruntimes," &gt;&gt;"&amp;RefinedRTDCRunTimesOutputFile,"")</f>
        <v>"%USERPROFILE%\Documents\GitHub\eaglep3\Utilities\RefineRTDCRunTimes.py" --tripid 818-03 --locoid 4005 --swversion DE.1.0.9.0 --startMP 300:58632 --initTime 2017-04-03T11:35:57 --startdatetime 2017-04-03T11:37:51 --delay 1 --endMP 204:631 --enddatetime 2017-04-03T11:54:20 --enforcementcount 0 &gt;&gt;C:\Users\stu\Documents\GitHub\eaglep3-reporting\EC\2017-04-03-refined-times.txt</v>
      </c>
      <c r="AI176" s="104" t="str">
        <f>"echo {""issue"":{""subject"":"""&amp;R176&amp;""",""project_id"":79,""tracker_id"":40,""status_id"":"&amp;redmine_status&amp;",""priority_id"":"&amp;redmine_priority&amp;",""assigned_to_id"":"&amp;redmine_assignee&amp;",""start_date"":"""&amp;TEXT(I176,"YYYY-mm-dd")&amp;""",""description"":"""&amp;AJ176&amp;""",""custom_fields"":[{""id"":1,""name"":""Subdivision"",""value"":"""&amp;AG176&amp;"""},{""id"":4,""name"":""Milepost"",""value"":"""&amp;Z176&amp;"""},{""id"":17,""name"":""Train ID"",""value"":"""&amp;A176&amp;"""},{""id"":16,""name"":""Locomotive ID"",""value"":"""&amp;B176&amp;"""},{""id"":130,""name"":""Impact"",""value"":"""&amp;AK176&amp;"""},{""id"":150,""name"":""Time of Event (Mountain Time)"",""value"":"""&amp;TEXT(I176,"hh:mm:ss")&amp;"""},{""id"":151,""name"":""Denver Issue ID"",""value"":"""&amp;"""},{""id"":178,""name"":""Operational Impact"",""value"":"""&amp;redmine_op_impact&amp;"""},{""id"":179,""name"":""Denver Segment Assigned"",""value"":"""&amp;AL176&amp;"""}]}}"&amp;"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{"issue":{"subject":"","project_id":79,"tracker_id":40,"status_id":1,"priority_id":2,"assigned_to_id":23,"start_date":"2017-04-03","description":"","custom_fields":[{"id":1,"name":"Subdivision","value":"NW"},{"id":4,"name":"Milepost","value":"0.0631"},{"id":17,"name":"Train ID","value":"818-03"},{"id":16,"name":"Locomotive ID","value":"4005"},{"id":130,"name":"Impact","value":""},{"id":150,"name":"Time of Event (Mountain Time)","value":"11:54:20"},{"id":151,"name":"Denver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>"start /low /b "&amp;dls3logs&amp;" --loco "&amp;B176&amp;" --day "&amp;TEXT(F176,"YYYY-MM-DD")</f>
        <v>start /low /b %USERPROFILE%\Documents\GitHub\eaglep3\Utilities\DownloadLogsFromS3.py --loco 4005 --day 2017-04-03</v>
      </c>
      <c r="AN176" s="159" t="str">
        <f>"echo {""issue"":{""subject"":"""&amp;R176&amp;""",""project_id"":30,""tracker_id"":4,""status_id"":"&amp;redmine_status_wcr&amp;",""priority_id"":"&amp;redmine_priority_wcr&amp;",""assigned_to_id"":"&amp;redmine_assignee_wcr&amp;",""start_date"":"""&amp;TEXT(I176-utc_offset/24,"YYYY-mm-dd")&amp;""",""description"":"""&amp;AJ176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17:54:20"},{"id":29,"name":"Sharepoint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s="20" customFormat="1" x14ac:dyDescent="0.25">
      <c r="A177" s="33" t="s">
        <v>597</v>
      </c>
      <c r="B177" s="7">
        <v>4006</v>
      </c>
      <c r="C177" s="21" t="s">
        <v>217</v>
      </c>
      <c r="D177" s="21" t="s">
        <v>972</v>
      </c>
      <c r="E177" s="13">
        <v>42828.510277777779</v>
      </c>
      <c r="F177" s="13">
        <v>42828.514861111114</v>
      </c>
      <c r="G177" s="7">
        <v>1</v>
      </c>
      <c r="H177" s="21" t="s">
        <v>551</v>
      </c>
      <c r="I177" s="13">
        <v>42828.52447916667</v>
      </c>
      <c r="J177" s="7">
        <v>0</v>
      </c>
      <c r="K177" s="97" t="str">
        <f>IF(ISEVEN(B177),(B177-1)&amp;"/"&amp;B177,B177&amp;"/"&amp;(B177+1))</f>
        <v>4005/4006</v>
      </c>
      <c r="L177" s="21" t="str">
        <f>VLOOKUP(A177,'Trips&amp;Operators'!$C$1:$G$99999,5,FALSE)</f>
        <v>MENGES BRAD</v>
      </c>
      <c r="M177" s="6">
        <f>I177-F177</f>
        <v>9.6180555556202307E-3</v>
      </c>
      <c r="N177" s="7">
        <f>24*60*SUM($M177:$M177)</f>
        <v>13.850000000093132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-04-03T11:14:48-0600',mode:absolute,to:'2017-04-03T13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83" t="str">
        <f>IF(AA177&lt;IF(AG177="EC",23,5.65),"Y","N")</f>
        <v>N</v>
      </c>
      <c r="X177" s="183">
        <f>VALUE(LEFT(AD177,4))-VALUE(LEFT(AD176,4))</f>
        <v>1</v>
      </c>
      <c r="Y177" s="62">
        <f>RIGHT(D177,LEN(D177)-4)/10000</f>
        <v>9.3700000000000006E-2</v>
      </c>
      <c r="Z177" s="62">
        <f>RIGHT(H177,LEN(H177)-4)/10000</f>
        <v>5.8935000000000004</v>
      </c>
      <c r="AA177" s="62">
        <f>ABS(Z177-Y177)</f>
        <v>5.7998000000000003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>IF(LEN(A177)=6,"0"&amp;A177,A177)</f>
        <v>0819-03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7" s="82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/stypes="app*4006*20170403*" /stext=" 18:.+((SYSTEM_STATE.+slice.+state.+changed )|(ment ac)|(multiple cpu faults)|(system.+state.+changed )|(\[timeout)|(PRM\|1\|D)|(kpr)|(kdp)|(\|lc)|(penalty))"</v>
      </c>
      <c r="AG177" s="1" t="str">
        <f>IFERROR(IF(VALUE(LEFT(AD177,2))&lt;=2,"EC",IF(OR(VALUE(LEFT(AD177,2))=8,VALUE(LEFT(AD177,2))=18),"NW","Other")),"Other")</f>
        <v>NW</v>
      </c>
      <c r="AH177" s="86" t="str">
        <f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819-03 --locoid 4006 --swversion DE.1.0.9.0 --startMP 204:937 --initTime 2017-04-03T12:14:48 --startdatetime 2017-04-03T12:21:24 --delay 1 --endMP 300:58935 --enddatetime 2017-04-03T12:35:15 --enforcementcount 0 &gt;&gt;C:\Users\stu\Documents\GitHub\eaglep3-reporting\EC\2017-04-03-refined-times.txt</v>
      </c>
      <c r="AI177" s="104" t="str">
        <f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{"issue":{"subject":"","project_id":79,"tracker_id":40,"status_id":1,"priority_id":2,"assigned_to_id":23,"start_date":"2017-04-03","description":"","custom_fields":[{"id":1,"name":"Subdivision","value":"NW"},{"id":4,"name":"Milepost","value":"5.8935"},{"id":17,"name":"Train ID","value":"819-03"},{"id":16,"name":"Locomotive ID","value":"4006"},{"id":130,"name":"Impact","value":""},{"id":150,"name":"Time of Event (Mountain Time)","value":"12:35:15"},{"id":151,"name":"Denver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8"/>
      <c r="AL177" s="48"/>
      <c r="AM177" s="150" t="str">
        <f>"start /low /b "&amp;dls3logs&amp;" --loco "&amp;B177&amp;" --day "&amp;TEXT(F177,"YYYY-MM-DD")</f>
        <v>start /low /b %USERPROFILE%\Documents\GitHub\eaglep3\Utilities\DownloadLogsFromS3.py --loco 4006 --day 2017-04-03</v>
      </c>
      <c r="AN177" s="159" t="str">
        <f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716</v>
      </c>
      <c r="B178" s="7">
        <v>4005</v>
      </c>
      <c r="C178" s="21" t="s">
        <v>217</v>
      </c>
      <c r="D178" s="21" t="s">
        <v>552</v>
      </c>
      <c r="E178" s="13">
        <v>42828.525520833333</v>
      </c>
      <c r="F178" s="13">
        <v>42828.527199074073</v>
      </c>
      <c r="G178" s="7">
        <v>1</v>
      </c>
      <c r="H178" s="21" t="s">
        <v>973</v>
      </c>
      <c r="I178" s="13">
        <v>42828.538715277777</v>
      </c>
      <c r="J178" s="7">
        <v>0</v>
      </c>
      <c r="K178" s="97" t="str">
        <f>IF(ISEVEN(B178),(B178-1)&amp;"/"&amp;B178,B178&amp;"/"&amp;(B178+1))</f>
        <v>4005/4006</v>
      </c>
      <c r="L178" s="21" t="str">
        <f>VLOOKUP(A178,'Trips&amp;Operators'!$C$1:$G$99999,5,FALSE)</f>
        <v>MENGES BRAD</v>
      </c>
      <c r="M178" s="6">
        <f>I178-F178</f>
        <v>1.1516203703649808E-2</v>
      </c>
      <c r="N178" s="7">
        <f>24*60*SUM($M178:$M178)</f>
        <v>16.583333333255723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-04-03T11:36:45-0600',mode:absolute,to:'2017-04-03T13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83" t="str">
        <f>IF(AA178&lt;IF(AG178="EC",23,5.65),"Y","N")</f>
        <v>N</v>
      </c>
      <c r="X178" s="183">
        <f>VALUE(LEFT(AD178,4))-VALUE(LEFT(AD177,4))</f>
        <v>1</v>
      </c>
      <c r="Y178" s="62">
        <f>RIGHT(D178,LEN(D178)-4)/10000</f>
        <v>5.8616999999999999</v>
      </c>
      <c r="Z178" s="62">
        <f>RIGHT(H178,LEN(H178)-4)/10000</f>
        <v>6.4500000000000002E-2</v>
      </c>
      <c r="AA178" s="62">
        <f>ABS(Z178-Y178)</f>
        <v>5.7972000000000001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>IF(LEN(A178)=6,"0"&amp;A178,A178)</f>
        <v>0820-03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78" s="82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/stypes="app*4005*20170403*" /stext=" 18:.+((SYSTEM_STATE.+slice.+state.+changed )|(ment ac)|(multiple cpu faults)|(system.+state.+changed )|(\[timeout)|(PRM\|1\|D)|(kpr)|(kdp)|(\|lc)|(penalty))"</v>
      </c>
      <c r="AG178" s="1" t="str">
        <f>IFERROR(IF(VALUE(LEFT(AD178,2))&lt;=2,"EC",IF(OR(VALUE(LEFT(AD178,2))=8,VALUE(LEFT(AD178,2))=18),"NW","Other")),"Other")</f>
        <v>NW</v>
      </c>
      <c r="AH178" s="86" t="str">
        <f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820-03 --locoid 4005 --swversion DE.1.0.9.0 --startMP 300:58617 --initTime 2017-04-03T12:36:45 --startdatetime 2017-04-03T12:39:10 --delay 1 --endMP 204:645 --enddatetime 2017-04-03T12:55:45 --enforcementcount 0 &gt;&gt;C:\Users\stu\Documents\GitHub\eaglep3-reporting\EC\2017-04-03-refined-times.txt</v>
      </c>
      <c r="AI178" s="104" t="str">
        <f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{"issue":{"subject":"","project_id":79,"tracker_id":40,"status_id":1,"priority_id":2,"assigned_to_id":23,"start_date":"2017-04-03","description":"","custom_fields":[{"id":1,"name":"Subdivision","value":"NW"},{"id":4,"name":"Milepost","value":"0.0645"},{"id":17,"name":"Train ID","value":"820-03"},{"id":16,"name":"Locomotive ID","value":"4005"},{"id":130,"name":"Impact","value":""},{"id":150,"name":"Time of Event (Mountain Time)","value":"12:55:45"},{"id":151,"name":"Denver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>"start /low /b "&amp;dls3logs&amp;" --loco "&amp;B178&amp;" --day "&amp;TEXT(F178,"YYYY-MM-DD")</f>
        <v>start /low /b %USERPROFILE%\Documents\GitHub\eaglep3\Utilities\DownloadLogsFromS3.py --loco 4005 --day 2017-04-03</v>
      </c>
      <c r="AN178" s="159" t="str">
        <f>"echo {""issue"":{""subject"":"""&amp;R178&amp;""",""project_id"":30,""tracker_id"":4,""status_id"":"&amp;redmine_status_wcr&amp;",""priority_id"":"&amp;redmine_priority_wcr&amp;",""assigned_to_id"":"&amp;redmine_assignee_wcr&amp;",""start_date"":"""&amp;TEXT(I178-utc_offset/24,"YYYY-mm-dd")&amp;""",""description"":"""&amp;AJ178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719</v>
      </c>
      <c r="B179" s="7">
        <v>4006</v>
      </c>
      <c r="C179" s="21" t="s">
        <v>217</v>
      </c>
      <c r="D179" s="21" t="s">
        <v>914</v>
      </c>
      <c r="E179" s="13">
        <v>42828.55159722222</v>
      </c>
      <c r="F179" s="13">
        <v>42828.55641203704</v>
      </c>
      <c r="G179" s="7">
        <v>2</v>
      </c>
      <c r="H179" s="21" t="s">
        <v>974</v>
      </c>
      <c r="I179" s="13">
        <v>42828.565578703703</v>
      </c>
      <c r="J179" s="7">
        <v>0</v>
      </c>
      <c r="K179" s="97" t="str">
        <f>IF(ISEVEN(B179),(B179-1)&amp;"/"&amp;B179,B179&amp;"/"&amp;(B179+1))</f>
        <v>4005/4006</v>
      </c>
      <c r="L179" s="21" t="str">
        <f>VLOOKUP(A179,'Trips&amp;Operators'!$C$1:$G$99999,5,FALSE)</f>
        <v>LEVIN SCOTT</v>
      </c>
      <c r="M179" s="6">
        <f>I179-F179</f>
        <v>9.1666666630771942E-3</v>
      </c>
      <c r="N179" s="7">
        <f>24*60*SUM($M179:$M179)</f>
        <v>13.19999999483116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-04-03T12:14:18-0600',mode:absolute,to:'2017-04-03T14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83" t="str">
        <f>IF(AA179&lt;IF(AG179="EC",23,5.65),"Y","N")</f>
        <v>N</v>
      </c>
      <c r="X179" s="183">
        <f>VALUE(LEFT(AD179,4))-VALUE(LEFT(AD178,4))</f>
        <v>1</v>
      </c>
      <c r="Y179" s="62">
        <f>RIGHT(D179,LEN(D179)-4)/10000</f>
        <v>9.5000000000000001E-2</v>
      </c>
      <c r="Z179" s="62">
        <f>RIGHT(H179,LEN(H179)-4)/10000</f>
        <v>5.8948</v>
      </c>
      <c r="AA179" s="62">
        <f>ABS(Z179-Y179)</f>
        <v>5.7998000000000003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>IF(LEN(A179)=6,"0"&amp;A179,A179)</f>
        <v>0821-03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79" s="82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/stypes="app*4006*20170403*" /stext=" 19:.+((SYSTEM_STATE.+slice.+state.+changed )|(ment ac)|(multiple cpu faults)|(system.+state.+changed )|(\[timeout)|(PRM\|1\|D)|(kpr)|(kdp)|(\|lc)|(penalty))"</v>
      </c>
      <c r="AG179" s="1" t="str">
        <f>IFERROR(IF(VALUE(LEFT(AD179,2))&lt;=2,"EC",IF(OR(VALUE(LEFT(AD179,2))=8,VALUE(LEFT(AD179,2))=18),"NW","Other")),"Other")</f>
        <v>NW</v>
      </c>
      <c r="AH179" s="86" t="str">
        <f>refinertdcruntimes&amp;" --tripid "&amp;A179&amp;" --locoid "&amp;B179&amp;" --swversion "&amp;C179&amp;" --startMP "&amp;D179&amp;" --initTime "&amp;TEXT(E179,"yyyy-mm-ddTHH:MM:SS")&amp;" --startdatetime "&amp;TEXT(F179,"yyyy-mm-ddTHH:MM:SS")&amp;" --delay "&amp;G179&amp;" --endMP "&amp;H179&amp;" --enddatetime "&amp;TEXT(I179,"yyyy-mm-ddTHH:MM:SS")&amp;" --enforcementcount "&amp;J179&amp;IF(outputrefinedruntimes," &gt;&gt;"&amp;RefinedRTDCRunTimesOutputFile,"")</f>
        <v>"%USERPROFILE%\Documents\GitHub\eaglep3\Utilities\RefineRTDCRunTimes.py" --tripid 821-03 --locoid 4006 --swversion DE.1.0.9.0 --startMP 204:950 --initTime 2017-04-03T13:14:18 --startdatetime 2017-04-03T13:21:14 --delay 2 --endMP 300:58948 --enddatetime 2017-04-03T13:34:26 --enforcementcount 0 &gt;&gt;C:\Users\stu\Documents\GitHub\eaglep3-reporting\EC\2017-04-03-refined-times.txt</v>
      </c>
      <c r="AI179" s="104" t="str">
        <f>"echo {""issue"":{""subject"":"""&amp;R179&amp;""",""project_id"":79,""tracker_id"":40,""status_id"":"&amp;redmine_status&amp;",""priority_id"":"&amp;redmine_priority&amp;",""assigned_to_id"":"&amp;redmine_assignee&amp;",""start_date"":"""&amp;TEXT(I179,"YYYY-mm-dd")&amp;""",""description"":"""&amp;AJ179&amp;""",""custom_fields"":[{""id"":1,""name"":""Subdivision"",""value"":"""&amp;AG179&amp;"""},{""id"":4,""name"":""Milepost"",""value"":"""&amp;Z179&amp;"""},{""id"":17,""name"":""Train ID"",""value"":"""&amp;A179&amp;"""},{""id"":16,""name"":""Locomotive ID"",""value"":"""&amp;B179&amp;"""},{""id"":130,""name"":""Impact"",""value"":"""&amp;AK179&amp;"""},{""id"":150,""name"":""Time of Event (Mountain Time)"",""value"":"""&amp;TEXT(I179,"hh:mm:ss")&amp;"""},{""id"":151,""name"":""Denver Issue ID"",""value"":"""&amp;"""},{""id"":178,""name"":""Operational Impact"",""value"":"""&amp;redmine_op_impact&amp;"""},{""id"":179,""name"":""Denver Segment Assigned"",""value"":"""&amp;AL179&amp;"""}]}}"&amp;"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{"issue":{"subject":"","project_id":79,"tracker_id":40,"status_id":1,"priority_id":2,"assigned_to_id":23,"start_date":"2017-04-03","description":"","custom_fields":[{"id":1,"name":"Subdivision","value":"NW"},{"id":4,"name":"Milepost","value":"5.8948"},{"id":17,"name":"Train ID","value":"821-03"},{"id":16,"name":"Locomotive ID","value":"4006"},{"id":130,"name":"Impact","value":""},{"id":150,"name":"Time of Event (Mountain Time)","value":"13:34:26"},{"id":151,"name":"Denver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>"start /low /b "&amp;dls3logs&amp;" --loco "&amp;B179&amp;" --day "&amp;TEXT(F179,"YYYY-MM-DD")</f>
        <v>start /low /b %USERPROFILE%\Documents\GitHub\eaglep3\Utilities\DownloadLogsFromS3.py --loco 4006 --day 2017-04-03</v>
      </c>
      <c r="AN179" s="159" t="str">
        <f>"echo {""issue"":{""subject"":"""&amp;R179&amp;""",""project_id"":30,""tracker_id"":4,""status_id"":"&amp;redmine_status_wcr&amp;",""priority_id"":"&amp;redmine_priority_wcr&amp;",""assigned_to_id"":"&amp;redmine_assignee_wcr&amp;",""start_date"":"""&amp;TEXT(I179-utc_offset/24,"YYYY-mm-dd")&amp;""",""description"":"""&amp;AJ179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722</v>
      </c>
      <c r="B180" s="7">
        <v>4005</v>
      </c>
      <c r="C180" s="21" t="s">
        <v>217</v>
      </c>
      <c r="D180" s="21" t="s">
        <v>975</v>
      </c>
      <c r="E180" s="13">
        <v>42828.566770833335</v>
      </c>
      <c r="F180" s="13">
        <v>42828.568043981482</v>
      </c>
      <c r="G180" s="7">
        <v>1</v>
      </c>
      <c r="H180" s="21" t="s">
        <v>976</v>
      </c>
      <c r="I180" s="13">
        <v>42828.579722222225</v>
      </c>
      <c r="J180" s="7">
        <v>0</v>
      </c>
      <c r="K180" s="97" t="str">
        <f>IF(ISEVEN(B180),(B180-1)&amp;"/"&amp;B180,B180&amp;"/"&amp;(B180+1))</f>
        <v>4005/4006</v>
      </c>
      <c r="L180" s="21" t="str">
        <f>VLOOKUP(A180,'Trips&amp;Operators'!$C$1:$G$99999,5,FALSE)</f>
        <v>LEVIN SCOTT</v>
      </c>
      <c r="M180" s="6">
        <f>I180-F180</f>
        <v>1.1678240742185153E-2</v>
      </c>
      <c r="N180" s="7">
        <f>24*60*SUM($M180:$M180)</f>
        <v>16.81666666874662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-04-03T12:36:09-0600',mode:absolute,to:'2017-04-03T14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83" t="str">
        <f>IF(AA180&lt;IF(AG180="EC",23,5.65),"Y","N")</f>
        <v>N</v>
      </c>
      <c r="X180" s="183">
        <f>VALUE(LEFT(AD180,4))-VALUE(LEFT(AD179,4))</f>
        <v>1</v>
      </c>
      <c r="Y180" s="62">
        <f>RIGHT(D180,LEN(D180)-4)/10000</f>
        <v>5.8611000000000004</v>
      </c>
      <c r="Z180" s="62">
        <f>RIGHT(H180,LEN(H180)-4)/10000</f>
        <v>6.54E-2</v>
      </c>
      <c r="AA180" s="62">
        <f>ABS(Z180-Y180)</f>
        <v>5.7957000000000001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>IF(LEN(A180)=6,"0"&amp;A180,A180)</f>
        <v>0822-03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0" s="82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/stypes="app*4005*20170403*" /stext=" 19:.+((SYSTEM_STATE.+slice.+state.+changed )|(ment ac)|(multiple cpu faults)|(system.+state.+changed )|(\[timeout)|(PRM\|1\|D)|(kpr)|(kdp)|(\|lc)|(penalty))"</v>
      </c>
      <c r="AG180" s="1" t="str">
        <f>IFERROR(IF(VALUE(LEFT(AD180,2))&lt;=2,"EC",IF(OR(VALUE(LEFT(AD180,2))=8,VALUE(LEFT(AD180,2))=18),"NW","Other")),"Other")</f>
        <v>NW</v>
      </c>
      <c r="AH180" s="86" t="str">
        <f>refinertdcruntimes&amp;" --tripid "&amp;A180&amp;" --locoid "&amp;B180&amp;" --swversion "&amp;C180&amp;" --startMP "&amp;D180&amp;" --initTime "&amp;TEXT(E180,"yyyy-mm-ddTHH:MM:SS")&amp;" --startdatetime "&amp;TEXT(F180,"yyyy-mm-ddTHH:MM:SS")&amp;" --delay "&amp;G180&amp;" --endMP "&amp;H180&amp;" --enddatetime "&amp;TEXT(I180,"yyyy-mm-ddTHH:MM:SS")&amp;" --enforcementcount "&amp;J180&amp;IF(outputrefinedruntimes," &gt;&gt;"&amp;RefinedRTDCRunTimesOutputFile,"")</f>
        <v>"%USERPROFILE%\Documents\GitHub\eaglep3\Utilities\RefineRTDCRunTimes.py" --tripid 822-03 --locoid 4005 --swversion DE.1.0.9.0 --startMP 300:58611 --initTime 2017-04-03T13:36:09 --startdatetime 2017-04-03T13:37:59 --delay 1 --endMP 204:654 --enddatetime 2017-04-03T13:54:48 --enforcementcount 0 &gt;&gt;C:\Users\stu\Documents\GitHub\eaglep3-reporting\EC\2017-04-03-refined-times.txt</v>
      </c>
      <c r="AI180" s="104" t="str">
        <f>"echo {""issue"":{""subject"":"""&amp;R180&amp;""",""project_id"":79,""tracker_id"":40,""status_id"":"&amp;redmine_status&amp;",""priority_id"":"&amp;redmine_priority&amp;",""assigned_to_id"":"&amp;redmine_assignee&amp;",""start_date"":"""&amp;TEXT(I180,"YYYY-mm-dd")&amp;""",""description"":"""&amp;AJ180&amp;""",""custom_fields"":[{""id"":1,""name"":""Subdivision"",""value"":"""&amp;AG180&amp;"""},{""id"":4,""name"":""Milepost"",""value"":"""&amp;Z180&amp;"""},{""id"":17,""name"":""Train ID"",""value"":"""&amp;A180&amp;"""},{""id"":16,""name"":""Locomotive ID"",""value"":"""&amp;B180&amp;"""},{""id"":130,""name"":""Impact"",""value"":"""&amp;AK180&amp;"""},{""id"":150,""name"":""Time of Event (Mountain Time)"",""value"":"""&amp;TEXT(I180,"hh:mm:ss")&amp;"""},{""id"":151,""name"":""Denver Issue ID"",""value"":"""&amp;"""},{""id"":178,""name"":""Operational Impact"",""value"":"""&amp;redmine_op_impact&amp;"""},{""id"":179,""name"":""Denver Segment Assigned"",""value"":"""&amp;AL180&amp;"""}]}}"&amp;"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{"issue":{"subject":"","project_id":79,"tracker_id":40,"status_id":1,"priority_id":2,"assigned_to_id":23,"start_date":"2017-04-03","description":"","custom_fields":[{"id":1,"name":"Subdivision","value":"NW"},{"id":4,"name":"Milepost","value":"0.0654"},{"id":17,"name":"Train ID","value":"822-03"},{"id":16,"name":"Locomotive ID","value":"4005"},{"id":130,"name":"Impact","value":""},{"id":150,"name":"Time of Event (Mountain Time)","value":"13:54:48"},{"id":151,"name":"Denver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>"start /low /b "&amp;dls3logs&amp;" --loco "&amp;B180&amp;" --day "&amp;TEXT(F180,"YYYY-MM-DD")</f>
        <v>start /low /b %USERPROFILE%\Documents\GitHub\eaglep3\Utilities\DownloadLogsFromS3.py --loco 4005 --day 2017-04-03</v>
      </c>
      <c r="AN180" s="159" t="str">
        <f>"echo {""issue"":{""subject"":"""&amp;R180&amp;""",""project_id"":30,""tracker_id"":4,""status_id"":"&amp;redmine_status_wcr&amp;",""priority_id"":"&amp;redmine_priority_wcr&amp;",""assigned_to_id"":"&amp;redmine_assignee_wcr&amp;",""start_date"":"""&amp;TEXT(I180-utc_offset/24,"YYYY-mm-dd")&amp;""",""description"":"""&amp;AJ180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19:54:48"},{"id":29,"name":"Sharepoint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727</v>
      </c>
      <c r="B181" s="7">
        <v>4006</v>
      </c>
      <c r="C181" s="21" t="s">
        <v>217</v>
      </c>
      <c r="D181" s="21" t="s">
        <v>977</v>
      </c>
      <c r="E181" s="13">
        <v>42828.595694444448</v>
      </c>
      <c r="F181" s="13">
        <v>42828.598090277781</v>
      </c>
      <c r="G181" s="7">
        <v>0</v>
      </c>
      <c r="H181" s="21" t="s">
        <v>978</v>
      </c>
      <c r="I181" s="13">
        <v>42828.608611111114</v>
      </c>
      <c r="J181" s="7">
        <v>0</v>
      </c>
      <c r="K181" s="97" t="str">
        <f>IF(ISEVEN(B181),(B181-1)&amp;"/"&amp;B181,B181&amp;"/"&amp;(B181+1))</f>
        <v>4005/4006</v>
      </c>
      <c r="L181" s="21" t="str">
        <f>VLOOKUP(A181,'Trips&amp;Operators'!$C$1:$G$99999,5,FALSE)</f>
        <v>LEVIN SCOTT</v>
      </c>
      <c r="M181" s="6">
        <f>I181-F181</f>
        <v>1.0520833333430346E-2</v>
      </c>
      <c r="N181" s="7">
        <f>24*60*SUM($M181:$M181)</f>
        <v>15.150000000139698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-04-03T13:17:48-0600',mode:absolute,to:'2017-04-03T15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83" t="str">
        <f>IF(AA181&lt;IF(AG181="EC",23,5.65),"Y","N")</f>
        <v>N</v>
      </c>
      <c r="X181" s="183">
        <f>VALUE(LEFT(AD181,4))-VALUE(LEFT(AD180,4))</f>
        <v>1</v>
      </c>
      <c r="Y181" s="62">
        <f>RIGHT(D181,LEN(D181)-4)/10000</f>
        <v>9.2899999999999996E-2</v>
      </c>
      <c r="Z181" s="62">
        <f>RIGHT(H181,LEN(H181)-4)/10000</f>
        <v>5.8929</v>
      </c>
      <c r="AA181" s="62">
        <f>ABS(Z181-Y181)</f>
        <v>5.8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>IF(LEN(A181)=6,"0"&amp;A181,A181)</f>
        <v>0823-03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1" s="82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/stypes="app*4006*20170403*" /stext=" 20:.+((SYSTEM_STATE.+slice.+state.+changed )|(ment ac)|(multiple cpu faults)|(system.+state.+changed )|(\[timeout)|(PRM\|1\|D)|(kpr)|(kdp)|(\|lc)|(penalty))"</v>
      </c>
      <c r="AG181" s="1" t="str">
        <f>IFERROR(IF(VALUE(LEFT(AD181,2))&lt;=2,"EC",IF(OR(VALUE(LEFT(AD181,2))=8,VALUE(LEFT(AD181,2))=18),"NW","Other")),"Other")</f>
        <v>NW</v>
      </c>
      <c r="AH181" s="86" t="str">
        <f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823-03 --locoid 4006 --swversion DE.1.0.9.0 --startMP 204:929 --initTime 2017-04-03T14:17:48 --startdatetime 2017-04-03T14:21:15 --delay 0 --endMP 300:58929 --enddatetime 2017-04-03T14:36:24 --enforcementcount 0 &gt;&gt;C:\Users\stu\Documents\GitHub\eaglep3-reporting\EC\2017-04-03-refined-times.txt</v>
      </c>
      <c r="AI181" s="104" t="str">
        <f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ID","value":"823-03"},{"id":16,"name":"Locomotive ID","value":"4006"},{"id":130,"name":"Impact","value":""},{"id":150,"name":"Time of Event (Mountain Time)","value":"14:36:24"},{"id":151,"name":"Denver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>"start /low /b "&amp;dls3logs&amp;" --loco "&amp;B181&amp;" --day "&amp;TEXT(F181,"YYYY-MM-DD")</f>
        <v>start /low /b %USERPROFILE%\Documents\GitHub\eaglep3\Utilities\DownloadLogsFromS3.py --loco 4006 --day 2017-04-03</v>
      </c>
      <c r="AN181" s="159" t="str">
        <f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729</v>
      </c>
      <c r="B182" s="7">
        <v>4005</v>
      </c>
      <c r="C182" s="21" t="s">
        <v>217</v>
      </c>
      <c r="D182" s="21" t="s">
        <v>493</v>
      </c>
      <c r="E182" s="13">
        <v>42828.609895833331</v>
      </c>
      <c r="F182" s="13">
        <v>42828.611203703702</v>
      </c>
      <c r="G182" s="7">
        <v>1</v>
      </c>
      <c r="H182" s="21" t="s">
        <v>979</v>
      </c>
      <c r="I182" s="13">
        <v>42828.621377314812</v>
      </c>
      <c r="J182" s="7">
        <v>0</v>
      </c>
      <c r="K182" s="97" t="str">
        <f>IF(ISEVEN(B182),(B182-1)&amp;"/"&amp;B182,B182&amp;"/"&amp;(B182+1))</f>
        <v>4005/4006</v>
      </c>
      <c r="L182" s="21" t="str">
        <f>VLOOKUP(A182,'Trips&amp;Operators'!$C$1:$G$99999,5,FALSE)</f>
        <v>LEVIN SCOTT</v>
      </c>
      <c r="M182" s="6">
        <f>I182-F182</f>
        <v>1.0173611110076308E-2</v>
      </c>
      <c r="N182" s="7">
        <f>24*60*SUM($M182:$M182)</f>
        <v>14.649999998509884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-04-03T13:38:15-0600',mode:absolute,to:'2017-04-03T15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83" t="str">
        <f>IF(AA182&lt;IF(AG182="EC",23,5.65),"Y","N")</f>
        <v>N</v>
      </c>
      <c r="X182" s="183">
        <f>VALUE(LEFT(AD182,4))-VALUE(LEFT(AD181,4))</f>
        <v>1</v>
      </c>
      <c r="Y182" s="62">
        <f>RIGHT(D182,LEN(D182)-4)/10000</f>
        <v>5.8623000000000003</v>
      </c>
      <c r="Z182" s="62">
        <f>RIGHT(H182,LEN(H182)-4)/10000</f>
        <v>6.4199999999999993E-2</v>
      </c>
      <c r="AA182" s="62">
        <f>ABS(Z182-Y182)</f>
        <v>5.7981000000000007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>IF(LEN(A182)=6,"0"&amp;A182,A182)</f>
        <v>0824-03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2" s="82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/stypes="app*4005*20170403*" /stext=" 20:.+((SYSTEM_STATE.+slice.+state.+changed )|(ment ac)|(multiple cpu faults)|(system.+state.+changed )|(\[timeout)|(PRM\|1\|D)|(kpr)|(kdp)|(\|lc)|(penalty))"</v>
      </c>
      <c r="AG182" s="1" t="str">
        <f>IFERROR(IF(VALUE(LEFT(AD182,2))&lt;=2,"EC",IF(OR(VALUE(LEFT(AD182,2))=8,VALUE(LEFT(AD182,2))=18),"NW","Other")),"Other")</f>
        <v>NW</v>
      </c>
      <c r="AH182" s="86" t="str">
        <f>refinertdcruntimes&amp;" --tripid "&amp;A182&amp;" --locoid "&amp;B182&amp;" --swversion "&amp;C182&amp;" --startMP "&amp;D182&amp;" --initTime "&amp;TEXT(E182,"yyyy-mm-ddTHH:MM:SS")&amp;" --startdatetime "&amp;TEXT(F182,"yyyy-mm-ddTHH:MM:SS")&amp;" --delay "&amp;G182&amp;" --endMP "&amp;H182&amp;" --enddatetime "&amp;TEXT(I182,"yyyy-mm-ddTHH:MM:SS")&amp;" --enforcementcount "&amp;J182&amp;IF(outputrefinedruntimes," &gt;&gt;"&amp;RefinedRTDCRunTimesOutputFile,"")</f>
        <v>"%USERPROFILE%\Documents\GitHub\eaglep3\Utilities\RefineRTDCRunTimes.py" --tripid 824-03 --locoid 4005 --swversion DE.1.0.9.0 --startMP 300:58623 --initTime 2017-04-03T14:38:15 --startdatetime 2017-04-03T14:40:08 --delay 1 --endMP 204:642 --enddatetime 2017-04-03T14:54:47 --enforcementcount 0 &gt;&gt;C:\Users\stu\Documents\GitHub\eaglep3-reporting\EC\2017-04-03-refined-times.txt</v>
      </c>
      <c r="AI182" s="104" t="str">
        <f>"echo {""issue"":{""subject"":"""&amp;R182&amp;""",""project_id"":79,""tracker_id"":40,""status_id"":"&amp;redmine_status&amp;",""priority_id"":"&amp;redmine_priority&amp;",""assigned_to_id"":"&amp;redmine_assignee&amp;",""start_date"":"""&amp;TEXT(I182,"YYYY-mm-dd")&amp;""",""description"":"""&amp;AJ182&amp;""",""custom_fields"":[{""id"":1,""name"":""Subdivision"",""value"":"""&amp;AG182&amp;"""},{""id"":4,""name"":""Milepost"",""value"":"""&amp;Z182&amp;"""},{""id"":17,""name"":""Train ID"",""value"":"""&amp;A182&amp;"""},{""id"":16,""name"":""Locomotive ID"",""value"":"""&amp;B182&amp;"""},{""id"":130,""name"":""Impact"",""value"":"""&amp;AK182&amp;"""},{""id"":150,""name"":""Time of Event (Mountain Time)"",""value"":"""&amp;TEXT(I182,"hh:mm:ss")&amp;"""},{""id"":151,""name"":""Denver Issue ID"",""value"":"""&amp;"""},{""id"":178,""name"":""Operational Impact"",""value"":"""&amp;redmine_op_impact&amp;"""},{""id"":179,""name"":""Denver Segment Assigned"",""value"":"""&amp;AL182&amp;"""}]}}"&amp;"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{"issue":{"subject":"","project_id":79,"tracker_id":40,"status_id":1,"priority_id":2,"assigned_to_id":23,"start_date":"2017-04-03","description":"","custom_fields":[{"id":1,"name":"Subdivision","value":"NW"},{"id":4,"name":"Milepost","value":"0.0642"},{"id":17,"name":"Train ID","value":"824-03"},{"id":16,"name":"Locomotive ID","value":"4005"},{"id":130,"name":"Impact","value":""},{"id":150,"name":"Time of Event (Mountain Time)","value":"14:54:47"},{"id":151,"name":"Denver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>"start /low /b "&amp;dls3logs&amp;" --loco "&amp;B182&amp;" --day "&amp;TEXT(F182,"YYYY-MM-DD")</f>
        <v>start /low /b %USERPROFILE%\Documents\GitHub\eaglep3\Utilities\DownloadLogsFromS3.py --loco 4005 --day 2017-04-03</v>
      </c>
      <c r="AN182" s="159" t="str">
        <f>"echo {""issue"":{""subject"":"""&amp;R182&amp;""",""project_id"":30,""tracker_id"":4,""status_id"":"&amp;redmine_status_wcr&amp;",""priority_id"":"&amp;redmine_priority_wcr&amp;",""assigned_to_id"":"&amp;redmine_assignee_wcr&amp;",""start_date"":"""&amp;TEXT(I182-utc_offset/24,"YYYY-mm-dd")&amp;""",""description"":"""&amp;AJ182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20:54:47"},{"id":29,"name":"Sharepoint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734</v>
      </c>
      <c r="B183" s="7">
        <v>4006</v>
      </c>
      <c r="C183" s="21" t="s">
        <v>217</v>
      </c>
      <c r="D183" s="21" t="s">
        <v>977</v>
      </c>
      <c r="E183" s="13">
        <v>42828.637337962966</v>
      </c>
      <c r="F183" s="13">
        <v>42828.639756944445</v>
      </c>
      <c r="G183" s="7">
        <v>1</v>
      </c>
      <c r="H183" s="21" t="s">
        <v>980</v>
      </c>
      <c r="I183" s="13">
        <v>42828.648796296293</v>
      </c>
      <c r="J183" s="7">
        <v>0</v>
      </c>
      <c r="K183" s="97" t="str">
        <f>IF(ISEVEN(B183),(B183-1)&amp;"/"&amp;B183,B183&amp;"/"&amp;(B183+1))</f>
        <v>4005/4006</v>
      </c>
      <c r="L183" s="21" t="str">
        <f>VLOOKUP(A183,'Trips&amp;Operators'!$C$1:$G$99999,5,FALSE)</f>
        <v>LEVIN SCOTT</v>
      </c>
      <c r="M183" s="6">
        <f>I183-F183</f>
        <v>9.0393518476048484E-3</v>
      </c>
      <c r="N183" s="7">
        <f>24*60*SUM($M183:$M183)</f>
        <v>13.016666660550982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-04-03T14:17:46-0600',mode:absolute,to:'2017-04-03T16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83" t="str">
        <f>IF(AA183&lt;IF(AG183="EC",23,5.65),"Y","N")</f>
        <v>N</v>
      </c>
      <c r="X183" s="183">
        <f>VALUE(LEFT(AD183,4))-VALUE(LEFT(AD182,4))</f>
        <v>1</v>
      </c>
      <c r="Y183" s="62">
        <f>RIGHT(D183,LEN(D183)-4)/10000</f>
        <v>9.2899999999999996E-2</v>
      </c>
      <c r="Z183" s="62">
        <f>RIGHT(H183,LEN(H183)-4)/10000</f>
        <v>5.8921999999999999</v>
      </c>
      <c r="AA183" s="62">
        <f>ABS(Z183-Y183)</f>
        <v>5.7992999999999997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>IF(LEN(A183)=6,"0"&amp;A183,A183)</f>
        <v>0825-03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3" s="82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/stypes="app*4006*20170403*" /stext=" 21:.+((SYSTEM_STATE.+slice.+state.+changed )|(ment ac)|(multiple cpu faults)|(system.+state.+changed )|(\[timeout)|(PRM\|1\|D)|(kpr)|(kdp)|(\|lc)|(penalty))"</v>
      </c>
      <c r="AG183" s="1" t="str">
        <f>IFERROR(IF(VALUE(LEFT(AD183,2))&lt;=2,"EC",IF(OR(VALUE(LEFT(AD183,2))=8,VALUE(LEFT(AD183,2))=18),"NW","Other")),"Other")</f>
        <v>NW</v>
      </c>
      <c r="AH183" s="86" t="str">
        <f>refinertdcruntimes&amp;" --tripid "&amp;A183&amp;" --locoid "&amp;B183&amp;" --swversion "&amp;C183&amp;" --startMP "&amp;D183&amp;" --initTime "&amp;TEXT(E183,"yyyy-mm-ddTHH:MM:SS")&amp;" --startdatetime "&amp;TEXT(F183,"yyyy-mm-ddTHH:MM:SS")&amp;" --delay "&amp;G183&amp;" --endMP "&amp;H183&amp;" --enddatetime "&amp;TEXT(I183,"yyyy-mm-ddTHH:MM:SS")&amp;" --enforcementcount "&amp;J183&amp;IF(outputrefinedruntimes," &gt;&gt;"&amp;RefinedRTDCRunTimesOutputFile,"")</f>
        <v>"%USERPROFILE%\Documents\GitHub\eaglep3\Utilities\RefineRTDCRunTimes.py" --tripid 825-03 --locoid 4006 --swversion DE.1.0.9.0 --startMP 204:929 --initTime 2017-04-03T15:17:46 --startdatetime 2017-04-03T15:21:15 --delay 1 --endMP 300:58922 --enddatetime 2017-04-03T15:34:16 --enforcementcount 0 &gt;&gt;C:\Users\stu\Documents\GitHub\eaglep3-reporting\EC\2017-04-03-refined-times.txt</v>
      </c>
      <c r="AI183" s="104" t="str">
        <f>"echo {""issue"":{""subject"":"""&amp;R183&amp;""",""project_id"":79,""tracker_id"":40,""status_id"":"&amp;redmine_status&amp;",""priority_id"":"&amp;redmine_priority&amp;",""assigned_to_id"":"&amp;redmine_assignee&amp;",""start_date"":"""&amp;TEXT(I183,"YYYY-mm-dd")&amp;""",""description"":"""&amp;AJ183&amp;""",""custom_fields"":[{""id"":1,""name"":""Subdivision"",""value"":"""&amp;AG183&amp;"""},{""id"":4,""name"":""Milepost"",""value"":"""&amp;Z183&amp;"""},{""id"":17,""name"":""Train ID"",""value"":"""&amp;A183&amp;"""},{""id"":16,""name"":""Locomotive ID"",""value"":"""&amp;B183&amp;"""},{""id"":130,""name"":""Impact"",""value"":"""&amp;AK183&amp;"""},{""id"":150,""name"":""Time of Event (Mountain Time)"",""value"":"""&amp;TEXT(I183,"hh:mm:ss")&amp;"""},{""id"":151,""name"":""Denver Issue ID"",""value"":"""&amp;"""},{""id"":178,""name"":""Operational Impact"",""value"":"""&amp;redmine_op_impact&amp;"""},{""id"":179,""name"":""Denver Segment Assigned"",""value"":"""&amp;AL183&amp;"""}]}}"&amp;"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{"issue":{"subject":"","project_id":79,"tracker_id":40,"status_id":1,"priority_id":2,"assigned_to_id":23,"start_date":"2017-04-03","description":"","custom_fields":[{"id":1,"name":"Subdivision","value":"NW"},{"id":4,"name":"Milepost","value":"5.8922"},{"id":17,"name":"Train ID","value":"825-03"},{"id":16,"name":"Locomotive ID","value":"4006"},{"id":130,"name":"Impact","value":""},{"id":150,"name":"Time of Event (Mountain Time)","value":"15:34:16"},{"id":151,"name":"Denver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>"start /low /b "&amp;dls3logs&amp;" --loco "&amp;B183&amp;" --day "&amp;TEXT(F183,"YYYY-MM-DD")</f>
        <v>start /low /b %USERPROFILE%\Documents\GitHub\eaglep3\Utilities\DownloadLogsFromS3.py --loco 4006 --day 2017-04-03</v>
      </c>
      <c r="AN183" s="159" t="str">
        <f>"echo {""issue"":{""subject"":"""&amp;R183&amp;""",""project_id"":30,""tracker_id"":4,""status_id"":"&amp;redmine_status_wcr&amp;",""priority_id"":"&amp;redmine_priority_wcr&amp;",""assigned_to_id"":"&amp;redmine_assignee_wcr&amp;",""start_date"":"""&amp;TEXT(I183-utc_offset/24,"YYYY-mm-dd")&amp;""",""description"":"""&amp;AJ183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736</v>
      </c>
      <c r="B184" s="7">
        <v>4005</v>
      </c>
      <c r="C184" s="21" t="s">
        <v>217</v>
      </c>
      <c r="D184" s="21" t="s">
        <v>975</v>
      </c>
      <c r="E184" s="13">
        <v>42828.649826388886</v>
      </c>
      <c r="F184" s="13">
        <v>42828.650972222225</v>
      </c>
      <c r="G184" s="7">
        <v>1</v>
      </c>
      <c r="H184" s="21" t="s">
        <v>973</v>
      </c>
      <c r="I184" s="13">
        <v>42828.663657407407</v>
      </c>
      <c r="J184" s="7">
        <v>0</v>
      </c>
      <c r="K184" s="97" t="str">
        <f>IF(ISEVEN(B184),(B184-1)&amp;"/"&amp;B184,B184&amp;"/"&amp;(B184+1))</f>
        <v>4005/4006</v>
      </c>
      <c r="L184" s="21" t="str">
        <f>VLOOKUP(A184,'Trips&amp;Operators'!$C$1:$G$99999,5,FALSE)</f>
        <v>LEVIN SCOTT</v>
      </c>
      <c r="M184" s="6">
        <f>I184-F184</f>
        <v>1.2685185181908309E-2</v>
      </c>
      <c r="N184" s="7">
        <f>24*60*SUM($M184:$M184)</f>
        <v>18.266666661947966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-04-03T14:35:45-0600',mode:absolute,to:'2017-04-03T16:55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83" t="str">
        <f>IF(AA184&lt;IF(AG184="EC",23,5.65),"Y","N")</f>
        <v>N</v>
      </c>
      <c r="X184" s="183">
        <f>VALUE(LEFT(AD184,4))-VALUE(LEFT(AD183,4))</f>
        <v>1</v>
      </c>
      <c r="Y184" s="62">
        <f>RIGHT(D184,LEN(D184)-4)/10000</f>
        <v>5.8611000000000004</v>
      </c>
      <c r="Z184" s="62">
        <f>RIGHT(H184,LEN(H184)-4)/10000</f>
        <v>6.4500000000000002E-2</v>
      </c>
      <c r="AA184" s="62">
        <f>ABS(Z184-Y184)</f>
        <v>5.7966000000000006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>IF(LEN(A184)=6,"0"&amp;A184,A184)</f>
        <v>0826-03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4" s="82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/stypes="app*4005*20170403*" /stext=" 21:.+((SYSTEM_STATE.+slice.+state.+changed )|(ment ac)|(multiple cpu faults)|(system.+state.+changed )|(\[timeout)|(PRM\|1\|D)|(kpr)|(kdp)|(\|lc)|(penalty))"</v>
      </c>
      <c r="AG184" s="1" t="str">
        <f>IFERROR(IF(VALUE(LEFT(AD184,2))&lt;=2,"EC",IF(OR(VALUE(LEFT(AD184,2))=8,VALUE(LEFT(AD184,2))=18),"NW","Other")),"Other")</f>
        <v>NW</v>
      </c>
      <c r="AH184" s="86" t="str">
        <f>refinertdcruntimes&amp;" --tripid "&amp;A184&amp;" --locoid "&amp;B184&amp;" --swversion "&amp;C184&amp;" --startMP "&amp;D184&amp;" --initTime "&amp;TEXT(E184,"yyyy-mm-ddTHH:MM:SS")&amp;" --startdatetime "&amp;TEXT(F184,"yyyy-mm-ddTHH:MM:SS")&amp;" --delay "&amp;G184&amp;" --endMP "&amp;H184&amp;" --enddatetime "&amp;TEXT(I184,"yyyy-mm-ddTHH:MM:SS")&amp;" --enforcementcount "&amp;J184&amp;IF(outputrefinedruntimes," &gt;&gt;"&amp;RefinedRTDCRunTimesOutputFile,"")</f>
        <v>"%USERPROFILE%\Documents\GitHub\eaglep3\Utilities\RefineRTDCRunTimes.py" --tripid 826-03 --locoid 4005 --swversion DE.1.0.9.0 --startMP 300:58611 --initTime 2017-04-03T15:35:45 --startdatetime 2017-04-03T15:37:24 --delay 1 --endMP 204:645 --enddatetime 2017-04-03T15:55:40 --enforcementcount 0 &gt;&gt;C:\Users\stu\Documents\GitHub\eaglep3-reporting\EC\2017-04-03-refined-times.txt</v>
      </c>
      <c r="AI184" s="104" t="str">
        <f>"echo {""issue"":{""subject"":"""&amp;R184&amp;""",""project_id"":79,""tracker_id"":40,""status_id"":"&amp;redmine_status&amp;",""priority_id"":"&amp;redmine_priority&amp;",""assigned_to_id"":"&amp;redmine_assignee&amp;",""start_date"":"""&amp;TEXT(I184,"YYYY-mm-dd")&amp;""",""description"":"""&amp;AJ184&amp;""",""custom_fields"":[{""id"":1,""name"":""Subdivision"",""value"":"""&amp;AG184&amp;"""},{""id"":4,""name"":""Milepost"",""value"":"""&amp;Z184&amp;"""},{""id"":17,""name"":""Train ID"",""value"":"""&amp;A184&amp;"""},{""id"":16,""name"":""Locomotive ID"",""value"":"""&amp;B184&amp;"""},{""id"":130,""name"":""Impact"",""value"":"""&amp;AK184&amp;"""},{""id"":150,""name"":""Time of Event (Mountain Time)"",""value"":"""&amp;TEXT(I184,"hh:mm:ss")&amp;"""},{""id"":151,""name"":""Denver Issue ID"",""value"":"""&amp;"""},{""id"":178,""name"":""Operational Impact"",""value"":"""&amp;redmine_op_impact&amp;"""},{""id"":179,""name"":""Denver Segment Assigned"",""value"":"""&amp;AL184&amp;"""}]}}"&amp;"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{"issue":{"subject":"","project_id":79,"tracker_id":40,"status_id":1,"priority_id":2,"assigned_to_id":23,"start_date":"2017-04-03","description":"","custom_fields":[{"id":1,"name":"Subdivision","value":"NW"},{"id":4,"name":"Milepost","value":"0.0645"},{"id":17,"name":"Train ID","value":"826-03"},{"id":16,"name":"Locomotive ID","value":"4005"},{"id":130,"name":"Impact","value":""},{"id":150,"name":"Time of Event (Mountain Time)","value":"15:55:40"},{"id":151,"name":"Denver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>"start /low /b "&amp;dls3logs&amp;" --loco "&amp;B184&amp;" --day "&amp;TEXT(F184,"YYYY-MM-DD")</f>
        <v>start /low /b %USERPROFILE%\Documents\GitHub\eaglep3\Utilities\DownloadLogsFromS3.py --loco 4005 --day 2017-04-03</v>
      </c>
      <c r="AN184" s="159" t="str">
        <f>"echo {""issue"":{""subject"":"""&amp;R184&amp;""",""project_id"":30,""tracker_id"":4,""status_id"":"&amp;redmine_status_wcr&amp;",""priority_id"":"&amp;redmine_priority_wcr&amp;",""assigned_to_id"":"&amp;redmine_assignee_wcr&amp;",""start_date"":"""&amp;TEXT(I184-utc_offset/24,"YYYY-mm-dd")&amp;""",""description"":"""&amp;AJ184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21:55:40"},{"id":29,"name":"Sharepoint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739</v>
      </c>
      <c r="B185" s="7">
        <v>4014</v>
      </c>
      <c r="C185" s="21" t="s">
        <v>217</v>
      </c>
      <c r="D185" s="21" t="s">
        <v>981</v>
      </c>
      <c r="E185" s="13">
        <v>42828.652754629627</v>
      </c>
      <c r="F185" s="13">
        <v>42828.660567129627</v>
      </c>
      <c r="G185" s="7">
        <v>2</v>
      </c>
      <c r="H185" s="21" t="s">
        <v>978</v>
      </c>
      <c r="I185" s="13">
        <v>42828.669629629629</v>
      </c>
      <c r="J185" s="7">
        <v>0</v>
      </c>
      <c r="K185" s="97" t="str">
        <f>IF(ISEVEN(B185),(B185-1)&amp;"/"&amp;B185,B185&amp;"/"&amp;(B185+1))</f>
        <v>4013/4014</v>
      </c>
      <c r="L185" s="21" t="str">
        <f>VLOOKUP(A185,'Trips&amp;Operators'!$C$1:$G$99999,5,FALSE)</f>
        <v>NEWELL JAMES</v>
      </c>
      <c r="M185" s="6">
        <f>I185-F185</f>
        <v>9.0625000011641532E-3</v>
      </c>
      <c r="N185" s="7">
        <f>24*60*SUM($M185:$M185)</f>
        <v>13.050000001676381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-04-03T14:39:58-0600',mode:absolute,to:'2017-04-03T17:04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5" s="183" t="str">
        <f>IF(AA185&lt;IF(AG185="EC",23,5.65),"Y","N")</f>
        <v>N</v>
      </c>
      <c r="X185" s="183">
        <f>VALUE(LEFT(AD185,4))-VALUE(LEFT(AD184,4))</f>
        <v>1</v>
      </c>
      <c r="Y185" s="62">
        <f>RIGHT(D185,LEN(D185)-4)/10000</f>
        <v>9.8299999999999998E-2</v>
      </c>
      <c r="Z185" s="62">
        <f>RIGHT(H185,LEN(H185)-4)/10000</f>
        <v>5.8929</v>
      </c>
      <c r="AA185" s="62">
        <f>ABS(Z185-Y185)</f>
        <v>5.7946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>IF(LEN(A185)=6,"0"&amp;A185,A185)</f>
        <v>0827-03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85" s="82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/stypes="app*4014*20170403*" /stext=" 22:.+((SYSTEM_STATE.+slice.+state.+changed )|(ment ac)|(multiple cpu faults)|(system.+state.+changed )|(\[timeout)|(PRM\|1\|D)|(kpr)|(kdp)|(\|lc)|(penalty))"</v>
      </c>
      <c r="AG185" s="1" t="str">
        <f>IFERROR(IF(VALUE(LEFT(AD185,2))&lt;=2,"EC",IF(OR(VALUE(LEFT(AD185,2))=8,VALUE(LEFT(AD185,2))=18),"NW","Other")),"Other")</f>
        <v>NW</v>
      </c>
      <c r="AH185" s="86" t="str">
        <f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827-03 --locoid 4014 --swversion DE.1.0.9.0 --startMP 204:983 --initTime 2017-04-03T15:39:58 --startdatetime 2017-04-03T15:51:13 --delay 2 --endMP 300:58929 --enddatetime 2017-04-03T16:04:16 --enforcementcount 0 &gt;&gt;C:\Users\stu\Documents\GitHub\eaglep3-reporting\EC\2017-04-03-refined-times.txt</v>
      </c>
      <c r="AI185" s="104" t="str">
        <f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ID","value":"827-03"},{"id":16,"name":"Locomotive ID","value":"4014"},{"id":130,"name":"Impact","value":""},{"id":150,"name":"Time of Event (Mountain Time)","value":"16:04:16"},{"id":151,"name":"Denver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>"start /low /b "&amp;dls3logs&amp;" --loco "&amp;B185&amp;" --day "&amp;TEXT(F185,"YYYY-MM-DD")</f>
        <v>start /low /b %USERPROFILE%\Documents\GitHub\eaglep3\Utilities\DownloadLogsFromS3.py --loco 4014 --day 2017-04-03</v>
      </c>
      <c r="AN185" s="159" t="str">
        <f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743</v>
      </c>
      <c r="B186" s="7">
        <v>4013</v>
      </c>
      <c r="C186" s="21" t="s">
        <v>217</v>
      </c>
      <c r="D186" s="21" t="s">
        <v>982</v>
      </c>
      <c r="E186" s="13">
        <v>42828.670520833337</v>
      </c>
      <c r="F186" s="13">
        <v>42828.672094907408</v>
      </c>
      <c r="G186" s="7">
        <v>1</v>
      </c>
      <c r="H186" s="21" t="s">
        <v>983</v>
      </c>
      <c r="I186" s="13">
        <v>42828.683912037035</v>
      </c>
      <c r="J186" s="7">
        <v>0</v>
      </c>
      <c r="K186" s="97" t="str">
        <f>IF(ISEVEN(B186),(B186-1)&amp;"/"&amp;B186,B186&amp;"/"&amp;(B186+1))</f>
        <v>4013/4014</v>
      </c>
      <c r="L186" s="21" t="str">
        <f>VLOOKUP(A186,'Trips&amp;Operators'!$C$1:$G$99999,5,FALSE)</f>
        <v>NEWELL JAMES</v>
      </c>
      <c r="M186" s="6">
        <f>I186-F186</f>
        <v>1.1817129627161194E-2</v>
      </c>
      <c r="N186" s="7">
        <f>24*60*SUM($M186:$M186)</f>
        <v>17.016666663112119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-04-03T15:05:33-0600',mode:absolute,to:'2017-04-03T17:24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6" s="183" t="str">
        <f>IF(AA186&lt;IF(AG186="EC",23,5.65),"Y","N")</f>
        <v>N</v>
      </c>
      <c r="X186" s="183">
        <f>VALUE(LEFT(AD186,4))-VALUE(LEFT(AD185,4))</f>
        <v>1</v>
      </c>
      <c r="Y186" s="62">
        <f>RIGHT(D186,LEN(D186)-4)/10000</f>
        <v>5.8604000000000003</v>
      </c>
      <c r="Z186" s="62">
        <f>RIGHT(H186,LEN(H186)-4)/10000</f>
        <v>6.4000000000000001E-2</v>
      </c>
      <c r="AA186" s="62">
        <f>ABS(Z186-Y186)</f>
        <v>5.7964000000000002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>IF(LEN(A186)=6,"0"&amp;A186,A186)</f>
        <v>0828-03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86" s="82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/stypes="app*4013*20170403*" /stext=" 22:.+((SYSTEM_STATE.+slice.+state.+changed )|(ment ac)|(multiple cpu faults)|(system.+state.+changed )|(\[timeout)|(PRM\|1\|D)|(kpr)|(kdp)|(\|lc)|(penalty))"</v>
      </c>
      <c r="AG186" s="1" t="str">
        <f>IFERROR(IF(VALUE(LEFT(AD186,2))&lt;=2,"EC",IF(OR(VALUE(LEFT(AD186,2))=8,VALUE(LEFT(AD186,2))=18),"NW","Other")),"Other")</f>
        <v>NW</v>
      </c>
      <c r="AH186" s="86" t="str">
        <f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828-03 --locoid 4013 --swversion DE.1.0.9.0 --startMP 300:58604 --initTime 2017-04-03T16:05:33 --startdatetime 2017-04-03T16:07:49 --delay 1 --endMP 204:640 --enddatetime 2017-04-03T16:24:50 --enforcementcount 0 &gt;&gt;C:\Users\stu\Documents\GitHub\eaglep3-reporting\EC\2017-04-03-refined-times.txt</v>
      </c>
      <c r="AI186" s="104" t="str">
        <f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{"issue":{"subject":"","project_id":79,"tracker_id":40,"status_id":1,"priority_id":2,"assigned_to_id":23,"start_date":"2017-04-03","description":"","custom_fields":[{"id":1,"name":"Subdivision","value":"NW"},{"id":4,"name":"Milepost","value":"0.064"},{"id":17,"name":"Train ID","value":"828-03"},{"id":16,"name":"Locomotive ID","value":"4013"},{"id":130,"name":"Impact","value":""},{"id":150,"name":"Time of Event (Mountain Time)","value":"16:24:50"},{"id":151,"name":"Denver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>"start /low /b "&amp;dls3logs&amp;" --loco "&amp;B186&amp;" --day "&amp;TEXT(F186,"YYYY-MM-DD")</f>
        <v>start /low /b %USERPROFILE%\Documents\GitHub\eaglep3\Utilities\DownloadLogsFromS3.py --loco 4013 --day 2017-04-03</v>
      </c>
      <c r="AN186" s="159" t="str">
        <f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22:24:50"},{"id":29,"name":"Sharepoint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745</v>
      </c>
      <c r="B187" s="7">
        <v>4006</v>
      </c>
      <c r="C187" s="21" t="s">
        <v>217</v>
      </c>
      <c r="D187" s="21" t="s">
        <v>984</v>
      </c>
      <c r="E187" s="13">
        <v>42828.679016203707</v>
      </c>
      <c r="F187" s="13">
        <v>42828.68141203704</v>
      </c>
      <c r="G187" s="7">
        <v>1</v>
      </c>
      <c r="H187" s="21" t="s">
        <v>554</v>
      </c>
      <c r="I187" s="13">
        <v>42828.690347222226</v>
      </c>
      <c r="J187" s="7">
        <v>0</v>
      </c>
      <c r="K187" s="97" t="str">
        <f>IF(ISEVEN(B187),(B187-1)&amp;"/"&amp;B187,B187&amp;"/"&amp;(B187+1))</f>
        <v>4005/4006</v>
      </c>
      <c r="L187" s="21" t="str">
        <f>VLOOKUP(A187,'Trips&amp;Operators'!$C$1:$G$99999,5,FALSE)</f>
        <v>LEVIN SCOTT</v>
      </c>
      <c r="M187" s="6">
        <f>I187-F187</f>
        <v>8.9351851856918074E-3</v>
      </c>
      <c r="N187" s="7">
        <f>24*60*SUM($M187:$M187)</f>
        <v>12.866666667396203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-04-03T15:17:47-0600',mode:absolute,to:'2017-04-03T17:34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7" s="183" t="str">
        <f>IF(AA187&lt;IF(AG187="EC",23,5.65),"Y","N")</f>
        <v>N</v>
      </c>
      <c r="X187" s="183">
        <f>VALUE(LEFT(AD187,4))-VALUE(LEFT(AD186,4))</f>
        <v>1</v>
      </c>
      <c r="Y187" s="62">
        <f>RIGHT(D187,LEN(D187)-4)/10000</f>
        <v>9.4299999999999995E-2</v>
      </c>
      <c r="Z187" s="62">
        <f>RIGHT(H187,LEN(H187)-4)/10000</f>
        <v>5.8928000000000003</v>
      </c>
      <c r="AA187" s="62">
        <f>ABS(Z187-Y187)</f>
        <v>5.7985000000000007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>IF(LEN(A187)=6,"0"&amp;A187,A187)</f>
        <v>0829-03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87" s="82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/stypes="app*4006*20170403*" /stext=" 22:.+((SYSTEM_STATE.+slice.+state.+changed )|(ment ac)|(multiple cpu faults)|(system.+state.+changed )|(\[timeout)|(PRM\|1\|D)|(kpr)|(kdp)|(\|lc)|(penalty))"</v>
      </c>
      <c r="AG187" s="1" t="str">
        <f>IFERROR(IF(VALUE(LEFT(AD187,2))&lt;=2,"EC",IF(OR(VALUE(LEFT(AD187,2))=8,VALUE(LEFT(AD187,2))=18),"NW","Other")),"Other")</f>
        <v>NW</v>
      </c>
      <c r="AH187" s="86" t="str">
        <f>refinertdcruntimes&amp;" --tripid "&amp;A187&amp;" --locoid "&amp;B187&amp;" --swversion "&amp;C187&amp;" --startMP "&amp;D187&amp;" --initTime "&amp;TEXT(E187,"yyyy-mm-ddTHH:MM:SS")&amp;" --startdatetime "&amp;TEXT(F187,"yyyy-mm-ddTHH:MM:SS")&amp;" --delay "&amp;G187&amp;" --endMP "&amp;H187&amp;" --enddatetime "&amp;TEXT(I187,"yyyy-mm-ddTHH:MM:SS")&amp;" --enforcementcount "&amp;J187&amp;IF(outputrefinedruntimes," &gt;&gt;"&amp;RefinedRTDCRunTimesOutputFile,"")</f>
        <v>"%USERPROFILE%\Documents\GitHub\eaglep3\Utilities\RefineRTDCRunTimes.py" --tripid 829-03 --locoid 4006 --swversion DE.1.0.9.0 --startMP 204:943 --initTime 2017-04-03T16:17:47 --startdatetime 2017-04-03T16:21:14 --delay 1 --endMP 300:58928 --enddatetime 2017-04-03T16:34:06 --enforcementcount 0 &gt;&gt;C:\Users\stu\Documents\GitHub\eaglep3-reporting\EC\2017-04-03-refined-times.txt</v>
      </c>
      <c r="AI187" s="104" t="str">
        <f>"echo {""issue"":{""subject"":"""&amp;R187&amp;""",""project_id"":79,""tracker_id"":40,""status_id"":"&amp;redmine_status&amp;",""priority_id"":"&amp;redmine_priority&amp;",""assigned_to_id"":"&amp;redmine_assignee&amp;",""start_date"":"""&amp;TEXT(I187,"YYYY-mm-dd")&amp;""",""description"":"""&amp;AJ187&amp;""",""custom_fields"":[{""id"":1,""name"":""Subdivision"",""value"":"""&amp;AG187&amp;"""},{""id"":4,""name"":""Milepost"",""value"":"""&amp;Z187&amp;"""},{""id"":17,""name"":""Train ID"",""value"":"""&amp;A187&amp;"""},{""id"":16,""name"":""Locomotive ID"",""value"":"""&amp;B187&amp;"""},{""id"":130,""name"":""Impact"",""value"":"""&amp;AK187&amp;"""},{""id"":150,""name"":""Time of Event (Mountain Time)"",""value"":"""&amp;TEXT(I187,"hh:mm:ss")&amp;"""},{""id"":151,""name"":""Denver Issue ID"",""value"":"""&amp;"""},{""id"":178,""name"":""Operational Impact"",""value"":"""&amp;redmine_op_impact&amp;"""},{""id"":179,""name"":""Denver Segment Assigned"",""value"":"""&amp;AL187&amp;"""}]}}"&amp;"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{"issue":{"subject":"","project_id":79,"tracker_id":40,"status_id":1,"priority_id":2,"assigned_to_id":23,"start_date":"2017-04-03","description":"","custom_fields":[{"id":1,"name":"Subdivision","value":"NW"},{"id":4,"name":"Milepost","value":"5.8928"},{"id":17,"name":"Train ID","value":"829-03"},{"id":16,"name":"Locomotive ID","value":"4006"},{"id":130,"name":"Impact","value":""},{"id":150,"name":"Time of Event (Mountain Time)","value":"16:34:06"},{"id":151,"name":"Denver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>"start /low /b "&amp;dls3logs&amp;" --loco "&amp;B187&amp;" --day "&amp;TEXT(F187,"YYYY-MM-DD")</f>
        <v>start /low /b %USERPROFILE%\Documents\GitHub\eaglep3\Utilities\DownloadLogsFromS3.py --loco 4006 --day 2017-04-03</v>
      </c>
      <c r="AN187" s="159" t="str">
        <f>"echo {""issue"":{""subject"":"""&amp;R187&amp;""",""project_id"":30,""tracker_id"":4,""status_id"":"&amp;redmine_status_wcr&amp;",""priority_id"":"&amp;redmine_priority_wcr&amp;",""assigned_to_id"":"&amp;redmine_assignee_wcr&amp;",""start_date"":"""&amp;TEXT(I187-utc_offset/24,"YYYY-mm-dd")&amp;""",""description"":"""&amp;AJ187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22:34:06"},{"id":29,"name":"Sharepoint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750</v>
      </c>
      <c r="B188" s="7">
        <v>4005</v>
      </c>
      <c r="C188" s="21" t="s">
        <v>217</v>
      </c>
      <c r="D188" s="21" t="s">
        <v>949</v>
      </c>
      <c r="E188" s="13">
        <v>42828.691435185188</v>
      </c>
      <c r="F188" s="13">
        <v>42828.692627314813</v>
      </c>
      <c r="G188" s="7">
        <v>1</v>
      </c>
      <c r="H188" s="21" t="s">
        <v>985</v>
      </c>
      <c r="I188" s="13">
        <v>42828.704826388886</v>
      </c>
      <c r="J188" s="7">
        <v>0</v>
      </c>
      <c r="K188" s="97" t="str">
        <f>IF(ISEVEN(B188),(B188-1)&amp;"/"&amp;B188,B188&amp;"/"&amp;(B188+1))</f>
        <v>4005/4006</v>
      </c>
      <c r="L188" s="21" t="str">
        <f>VLOOKUP(A188,'Trips&amp;Operators'!$C$1:$G$99999,5,FALSE)</f>
        <v>LEVIN SCOTT</v>
      </c>
      <c r="M188" s="6">
        <f>I188-F188</f>
        <v>1.2199074073578231E-2</v>
      </c>
      <c r="N188" s="7">
        <f>24*60*SUM($M188:$M188)</f>
        <v>17.566666665952653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-04-03T15:35:40-0600',mode:absolute,to:'2017-04-03T17:54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8" s="183" t="str">
        <f>IF(AA188&lt;IF(AG188="EC",23,5.65),"Y","N")</f>
        <v>N</v>
      </c>
      <c r="X188" s="183">
        <f>VALUE(LEFT(AD188,4))-VALUE(LEFT(AD187,4))</f>
        <v>1</v>
      </c>
      <c r="Y188" s="62">
        <f>RIGHT(D188,LEN(D188)-4)/10000</f>
        <v>5.8634000000000004</v>
      </c>
      <c r="Z188" s="62">
        <f>RIGHT(H188,LEN(H188)-4)/10000</f>
        <v>6.5600000000000006E-2</v>
      </c>
      <c r="AA188" s="62">
        <f>ABS(Z188-Y188)</f>
        <v>5.7978000000000005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>IF(LEN(A188)=6,"0"&amp;A188,A188)</f>
        <v>0830-03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88" s="82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/stypes="app*4005*20170403*" /stext=" 22:.+((SYSTEM_STATE.+slice.+state.+changed )|(ment ac)|(multiple cpu faults)|(system.+state.+changed )|(\[timeout)|(PRM\|1\|D)|(kpr)|(kdp)|(\|lc)|(penalty))"</v>
      </c>
      <c r="AG188" s="1" t="str">
        <f>IFERROR(IF(VALUE(LEFT(AD188,2))&lt;=2,"EC",IF(OR(VALUE(LEFT(AD188,2))=8,VALUE(LEFT(AD188,2))=18),"NW","Other")),"Other")</f>
        <v>NW</v>
      </c>
      <c r="AH188" s="86" t="str">
        <f>refinertdcruntimes&amp;" --tripid "&amp;A188&amp;" --locoid "&amp;B188&amp;" --swversion "&amp;C188&amp;" --startMP "&amp;D188&amp;" --initTime "&amp;TEXT(E188,"yyyy-mm-ddTHH:MM:SS")&amp;" --startdatetime "&amp;TEXT(F188,"yyyy-mm-ddTHH:MM:SS")&amp;" --delay "&amp;G188&amp;" --endMP "&amp;H188&amp;" --enddatetime "&amp;TEXT(I188,"yyyy-mm-ddTHH:MM:SS")&amp;" --enforcementcount "&amp;J188&amp;IF(outputrefinedruntimes," &gt;&gt;"&amp;RefinedRTDCRunTimesOutputFile,"")</f>
        <v>"%USERPROFILE%\Documents\GitHub\eaglep3\Utilities\RefineRTDCRunTimes.py" --tripid 830-03 --locoid 4005 --swversion DE.1.0.9.0 --startMP 300:58634 --initTime 2017-04-03T16:35:40 --startdatetime 2017-04-03T16:37:23 --delay 1 --endMP 204:656 --enddatetime 2017-04-03T16:54:57 --enforcementcount 0 &gt;&gt;C:\Users\stu\Documents\GitHub\eaglep3-reporting\EC\2017-04-03-refined-times.txt</v>
      </c>
      <c r="AI188" s="104" t="str">
        <f>"echo {""issue"":{""subject"":"""&amp;R188&amp;""",""project_id"":79,""tracker_id"":40,""status_id"":"&amp;redmine_status&amp;",""priority_id"":"&amp;redmine_priority&amp;",""assigned_to_id"":"&amp;redmine_assignee&amp;",""start_date"":"""&amp;TEXT(I188,"YYYY-mm-dd")&amp;""",""description"":"""&amp;AJ188&amp;""",""custom_fields"":[{""id"":1,""name"":""Subdivision"",""value"":"""&amp;AG188&amp;"""},{""id"":4,""name"":""Milepost"",""value"":"""&amp;Z188&amp;"""},{""id"":17,""name"":""Train ID"",""value"":"""&amp;A188&amp;"""},{""id"":16,""name"":""Locomotive ID"",""value"":"""&amp;B188&amp;"""},{""id"":130,""name"":""Impact"",""value"":"""&amp;AK188&amp;"""},{""id"":150,""name"":""Time of Event (Mountain Time)"",""value"":"""&amp;TEXT(I188,"hh:mm:ss")&amp;"""},{""id"":151,""name"":""Denver Issue ID"",""value"":"""&amp;"""},{""id"":178,""name"":""Operational Impact"",""value"":"""&amp;redmine_op_impact&amp;"""},{""id"":179,""name"":""Denver Segment Assigned"",""value"":"""&amp;AL188&amp;"""}]}}"&amp;"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{"issue":{"subject":"","project_id":79,"tracker_id":40,"status_id":1,"priority_id":2,"assigned_to_id":23,"start_date":"2017-04-03","description":"","custom_fields":[{"id":1,"name":"Subdivision","value":"NW"},{"id":4,"name":"Milepost","value":"0.0656"},{"id":17,"name":"Train ID","value":"830-03"},{"id":16,"name":"Locomotive ID","value":"4005"},{"id":130,"name":"Impact","value":""},{"id":150,"name":"Time of Event (Mountain Time)","value":"16:54:57"},{"id":151,"name":"Denver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>"start /low /b "&amp;dls3logs&amp;" --loco "&amp;B188&amp;" --day "&amp;TEXT(F188,"YYYY-MM-DD")</f>
        <v>start /low /b %USERPROFILE%\Documents\GitHub\eaglep3\Utilities\DownloadLogsFromS3.py --loco 4005 --day 2017-04-03</v>
      </c>
      <c r="AN188" s="159" t="str">
        <f>"echo {""issue"":{""subject"":"""&amp;R188&amp;""",""project_id"":30,""tracker_id"":4,""status_id"":"&amp;redmine_status_wcr&amp;",""priority_id"":"&amp;redmine_priority_wcr&amp;",""assigned_to_id"":"&amp;redmine_assignee_wcr&amp;",""start_date"":"""&amp;TEXT(I188-utc_offset/24,"YYYY-mm-dd")&amp;""",""description"":"""&amp;AJ188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22:54:57"},{"id":29,"name":"Sharepoint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747</v>
      </c>
      <c r="B189" s="7">
        <v>4014</v>
      </c>
      <c r="C189" s="21" t="s">
        <v>217</v>
      </c>
      <c r="D189" s="21" t="s">
        <v>977</v>
      </c>
      <c r="E189" s="13">
        <v>42828.685196759259</v>
      </c>
      <c r="F189" s="13">
        <v>42828.702222222222</v>
      </c>
      <c r="G189" s="7">
        <v>1</v>
      </c>
      <c r="H189" s="21" t="s">
        <v>478</v>
      </c>
      <c r="I189" s="13">
        <v>42828.711041666669</v>
      </c>
      <c r="J189" s="7">
        <v>0</v>
      </c>
      <c r="K189" s="97" t="str">
        <f>IF(ISEVEN(B189),(B189-1)&amp;"/"&amp;B189,B189&amp;"/"&amp;(B189+1))</f>
        <v>4013/4014</v>
      </c>
      <c r="L189" s="21" t="str">
        <f>VLOOKUP(A189,'Trips&amp;Operators'!$C$1:$G$99999,5,FALSE)</f>
        <v>NEWELL JAMES</v>
      </c>
      <c r="M189" s="6">
        <f>I189-F189</f>
        <v>8.819444446999114E-3</v>
      </c>
      <c r="N189" s="7">
        <f>24*60*SUM($M189:$M189)</f>
        <v>12.700000003678724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-04-03T15:26:41-0600',mode:absolute,to:'2017-04-03T18:03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9" s="183" t="str">
        <f>IF(AA189&lt;IF(AG189="EC",23,5.65),"Y","N")</f>
        <v>N</v>
      </c>
      <c r="X189" s="183">
        <f>VALUE(LEFT(AD189,4))-VALUE(LEFT(AD188,4))</f>
        <v>1</v>
      </c>
      <c r="Y189" s="62">
        <f>RIGHT(D189,LEN(D189)-4)/10000</f>
        <v>9.2899999999999996E-2</v>
      </c>
      <c r="Z189" s="62">
        <f>RIGHT(H189,LEN(H189)-4)/10000</f>
        <v>5.8939000000000004</v>
      </c>
      <c r="AA189" s="62">
        <f>ABS(Z189-Y189)</f>
        <v>5.8010000000000002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>IF(LEN(A189)=6,"0"&amp;A189,A189)</f>
        <v>0831-03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89" s="82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/stypes="app*4014*20170403*" /stext=" 23:.+((SYSTEM_STATE.+slice.+state.+changed )|(ment ac)|(multiple cpu faults)|(system.+state.+changed )|(\[timeout)|(PRM\|1\|D)|(kpr)|(kdp)|(\|lc)|(penalty))"</v>
      </c>
      <c r="AG189" s="1" t="str">
        <f>IFERROR(IF(VALUE(LEFT(AD189,2))&lt;=2,"EC",IF(OR(VALUE(LEFT(AD189,2))=8,VALUE(LEFT(AD189,2))=18),"NW","Other")),"Other")</f>
        <v>NW</v>
      </c>
      <c r="AH189" s="86" t="str">
        <f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831-03 --locoid 4014 --swversion DE.1.0.9.0 --startMP 204:929 --initTime 2017-04-03T16:26:41 --startdatetime 2017-04-03T16:51:12 --delay 1 --endMP 300:58939 --enddatetime 2017-04-03T17:03:54 --enforcementcount 0 &gt;&gt;C:\Users\stu\Documents\GitHub\eaglep3-reporting\EC\2017-04-03-refined-times.txt</v>
      </c>
      <c r="AI189" s="104" t="str">
        <f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{"issue":{"subject":"","project_id":79,"tracker_id":40,"status_id":1,"priority_id":2,"assigned_to_id":23,"start_date":"2017-04-03","description":"","custom_fields":[{"id":1,"name":"Subdivision","value":"NW"},{"id":4,"name":"Milepost","value":"5.8939"},{"id":17,"name":"Train ID","value":"831-03"},{"id":16,"name":"Locomotive ID","value":"4014"},{"id":130,"name":"Impact","value":""},{"id":150,"name":"Time of Event (Mountain Time)","value":"17:03:54"},{"id":151,"name":"Denver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>"start /low /b "&amp;dls3logs&amp;" --loco "&amp;B189&amp;" --day "&amp;TEXT(F189,"YYYY-MM-DD")</f>
        <v>start /low /b %USERPROFILE%\Documents\GitHub\eaglep3\Utilities\DownloadLogsFromS3.py --loco 4014 --day 2017-04-03</v>
      </c>
      <c r="AN189" s="159" t="str">
        <f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23:03:54"},{"id":29,"name":"Sharepoint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s="20" customFormat="1" x14ac:dyDescent="0.25">
      <c r="A190" s="33" t="s">
        <v>613</v>
      </c>
      <c r="B190" s="7">
        <v>4013</v>
      </c>
      <c r="C190" s="21" t="s">
        <v>217</v>
      </c>
      <c r="D190" s="21" t="s">
        <v>493</v>
      </c>
      <c r="E190" s="13">
        <v>42828.711840277778</v>
      </c>
      <c r="F190" s="13">
        <v>42828.713229166664</v>
      </c>
      <c r="G190" s="7">
        <v>1</v>
      </c>
      <c r="H190" s="21" t="s">
        <v>986</v>
      </c>
      <c r="I190" s="13">
        <v>42828.725624999999</v>
      </c>
      <c r="J190" s="7">
        <v>0</v>
      </c>
      <c r="K190" s="97" t="str">
        <f>IF(ISEVEN(B190),(B190-1)&amp;"/"&amp;B190,B190&amp;"/"&amp;(B190+1))</f>
        <v>4013/4014</v>
      </c>
      <c r="L190" s="21" t="str">
        <f>VLOOKUP(A190,'Trips&amp;Operators'!$C$1:$G$99999,5,FALSE)</f>
        <v>NEWELL JAMES</v>
      </c>
      <c r="M190" s="6">
        <f>I190-F190</f>
        <v>1.2395833335176576E-2</v>
      </c>
      <c r="N190" s="7">
        <f>24*60*SUM($M190:$M190)</f>
        <v>17.850000002654269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-04-03T16:05:03-0600',mode:absolute,to:'2017-04-03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0" s="183" t="str">
        <f>IF(AA190&lt;IF(AG190="EC",23,5.65),"Y","N")</f>
        <v>N</v>
      </c>
      <c r="X190" s="183">
        <f>VALUE(LEFT(AD190,4))-VALUE(LEFT(AD189,4))</f>
        <v>1</v>
      </c>
      <c r="Y190" s="62">
        <f>RIGHT(D190,LEN(D190)-4)/10000</f>
        <v>5.8623000000000003</v>
      </c>
      <c r="Z190" s="62">
        <f>RIGHT(H190,LEN(H190)-4)/10000</f>
        <v>6.3600000000000004E-2</v>
      </c>
      <c r="AA190" s="62">
        <f>ABS(Z190-Y190)</f>
        <v>5.7987000000000002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>IF(LEN(A190)=6,"0"&amp;A190,A190)</f>
        <v>0832-03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90" s="82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/stypes="app*4013*20170403*" /stext=" 23:.+((SYSTEM_STATE.+slice.+state.+changed )|(ment ac)|(multiple cpu faults)|(system.+state.+changed )|(\[timeout)|(PRM\|1\|D)|(kpr)|(kdp)|(\|lc)|(penalty))"</v>
      </c>
      <c r="AG190" s="1" t="str">
        <f>IFERROR(IF(VALUE(LEFT(AD190,2))&lt;=2,"EC",IF(OR(VALUE(LEFT(AD190,2))=8,VALUE(LEFT(AD190,2))=18),"NW","Other")),"Other")</f>
        <v>NW</v>
      </c>
      <c r="AH190" s="86" t="str">
        <f>refinertdcruntimes&amp;" --tripid "&amp;A190&amp;" --locoid "&amp;B190&amp;" --swversion "&amp;C190&amp;" --startMP "&amp;D190&amp;" --initTime "&amp;TEXT(E190,"yyyy-mm-ddTHH:MM:SS")&amp;" --startdatetime "&amp;TEXT(F190,"yyyy-mm-ddTHH:MM:SS")&amp;" --delay "&amp;G190&amp;" --endMP "&amp;H190&amp;" --enddatetime "&amp;TEXT(I190,"yyyy-mm-ddTHH:MM:SS")&amp;" --enforcementcount "&amp;J190&amp;IF(outputrefinedruntimes," &gt;&gt;"&amp;RefinedRTDCRunTimesOutputFile,"")</f>
        <v>"%USERPROFILE%\Documents\GitHub\eaglep3\Utilities\RefineRTDCRunTimes.py" --tripid 832-03 --locoid 4013 --swversion DE.1.0.9.0 --startMP 300:58623 --initTime 2017-04-03T17:05:03 --startdatetime 2017-04-03T17:07:03 --delay 1 --endMP 204:636 --enddatetime 2017-04-03T17:24:54 --enforcementcount 0 &gt;&gt;C:\Users\stu\Documents\GitHub\eaglep3-reporting\EC\2017-04-03-refined-times.txt</v>
      </c>
      <c r="AI190" s="104" t="str">
        <f>"echo {""issue"":{""subject"":"""&amp;R190&amp;""",""project_id"":79,""tracker_id"":40,""status_id"":"&amp;redmine_status&amp;",""priority_id"":"&amp;redmine_priority&amp;",""assigned_to_id"":"&amp;redmine_assignee&amp;",""start_date"":"""&amp;TEXT(I190,"YYYY-mm-dd")&amp;""",""description"":"""&amp;AJ190&amp;""",""custom_fields"":[{""id"":1,""name"":""Subdivision"",""value"":"""&amp;AG190&amp;"""},{""id"":4,""name"":""Milepost"",""value"":"""&amp;Z190&amp;"""},{""id"":17,""name"":""Train ID"",""value"":"""&amp;A190&amp;"""},{""id"":16,""name"":""Locomotive ID"",""value"":"""&amp;B190&amp;"""},{""id"":130,""name"":""Impact"",""value"":"""&amp;AK190&amp;"""},{""id"":150,""name"":""Time of Event (Mountain Time)"",""value"":"""&amp;TEXT(I190,"hh:mm:ss")&amp;"""},{""id"":151,""name"":""Denver Issue ID"",""value"":"""&amp;"""},{""id"":178,""name"":""Operational Impact"",""value"":"""&amp;redmine_op_impact&amp;"""},{""id"":179,""name"":""Denver Segment Assigned"",""value"":"""&amp;AL190&amp;"""}]}}"&amp;"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{"issue":{"subject":"","project_id":79,"tracker_id":40,"status_id":1,"priority_id":2,"assigned_to_id":23,"start_date":"2017-04-03","description":"","custom_fields":[{"id":1,"name":"Subdivision","value":"NW"},{"id":4,"name":"Milepost","value":"0.0636"},{"id":17,"name":"Train ID","value":"832-03"},{"id":16,"name":"Locomotive ID","value":"4013"},{"id":130,"name":"Impact","value":""},{"id":150,"name":"Time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0" s="48"/>
      <c r="AL190" s="48"/>
      <c r="AM190" s="150" t="str">
        <f>"start /low /b "&amp;dls3logs&amp;" --loco "&amp;B190&amp;" --day "&amp;TEXT(F190,"YYYY-MM-DD")</f>
        <v>start /low /b %USERPROFILE%\Documents\GitHub\eaglep3\Utilities\DownloadLogsFromS3.py --loco 4013 --day 2017-04-03</v>
      </c>
      <c r="AN190" s="159" t="str">
        <f>"echo {""issue"":{""subject"":"""&amp;R190&amp;""",""project_id"":30,""tracker_id"":4,""status_id"":"&amp;redmine_status_wcr&amp;",""priority_id"":"&amp;redmine_priority_wcr&amp;",""assigned_to_id"":"&amp;redmine_assignee_wcr&amp;",""start_date"":"""&amp;TEXT(I190-utc_offset/24,"YYYY-mm-dd")&amp;""",""description"":"""&amp;AJ190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23:24:54"},{"id":29,"name":"Sharepoint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3" t="s">
        <v>756</v>
      </c>
      <c r="B191" s="7">
        <v>4006</v>
      </c>
      <c r="C191" s="21" t="s">
        <v>217</v>
      </c>
      <c r="D191" s="21" t="s">
        <v>987</v>
      </c>
      <c r="E191" s="13">
        <v>42828.720462962963</v>
      </c>
      <c r="F191" s="13">
        <v>42828.723090277781</v>
      </c>
      <c r="G191" s="7">
        <v>1</v>
      </c>
      <c r="H191" s="21" t="s">
        <v>557</v>
      </c>
      <c r="I191" s="13">
        <v>42828.732256944444</v>
      </c>
      <c r="J191" s="7">
        <v>0</v>
      </c>
      <c r="K191" s="97" t="str">
        <f>IF(ISEVEN(B191),(B191-1)&amp;"/"&amp;B191,B191&amp;"/"&amp;(B191+1))</f>
        <v>4005/4006</v>
      </c>
      <c r="L191" s="21" t="str">
        <f>VLOOKUP(A191,'Trips&amp;Operators'!$C$1:$G$99999,5,FALSE)</f>
        <v>LEVIN SCOTT</v>
      </c>
      <c r="M191" s="6">
        <f>I191-F191</f>
        <v>9.1666666630771942E-3</v>
      </c>
      <c r="N191" s="7">
        <f>24*60*SUM($M191:$M191)</f>
        <v>13.19999999483116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-04-03T16:17:28-0600',mode:absolute,to:'2017-04-03T18:34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1" s="183" t="str">
        <f>IF(AA191&lt;IF(AG191="EC",23,5.65),"Y","N")</f>
        <v>N</v>
      </c>
      <c r="X191" s="183">
        <f>VALUE(LEFT(AD191,4))-VALUE(LEFT(AD190,4))</f>
        <v>1</v>
      </c>
      <c r="Y191" s="62">
        <f>RIGHT(D191,LEN(D191)-4)/10000</f>
        <v>9.4399999999999998E-2</v>
      </c>
      <c r="Z191" s="62">
        <f>RIGHT(H191,LEN(H191)-4)/10000</f>
        <v>5.8933</v>
      </c>
      <c r="AA191" s="62">
        <f>ABS(Z191-Y191)</f>
        <v>5.7988999999999997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>IF(LEN(A191)=6,"0"&amp;A191,A191)</f>
        <v>0833-03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1" s="82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/stypes="app*4006*20170403*" /stext=" 23:.+((SYSTEM_STATE.+slice.+state.+changed )|(ment ac)|(multiple cpu faults)|(system.+state.+changed )|(\[timeout)|(PRM\|1\|D)|(kpr)|(kdp)|(\|lc)|(penalty))"</v>
      </c>
      <c r="AG191" s="1" t="str">
        <f>IFERROR(IF(VALUE(LEFT(AD191,2))&lt;=2,"EC",IF(OR(VALUE(LEFT(AD191,2))=8,VALUE(LEFT(AD191,2))=18),"NW","Other")),"Other")</f>
        <v>NW</v>
      </c>
      <c r="AH191" s="86" t="str">
        <f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833-03 --locoid 4006 --swversion DE.1.0.9.0 --startMP 204:944 --initTime 2017-04-03T17:17:28 --startdatetime 2017-04-03T17:21:15 --delay 1 --endMP 300:58933 --enddatetime 2017-04-03T17:34:27 --enforcementcount 0 &gt;&gt;C:\Users\stu\Documents\GitHub\eaglep3-reporting\EC\2017-04-03-refined-times.txt</v>
      </c>
      <c r="AI191" s="104" t="str">
        <f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{"issue":{"subject":"","project_id":79,"tracker_id":40,"status_id":1,"priority_id":2,"assigned_to_id":23,"start_date":"2017-04-03","description":"","custom_fields":[{"id":1,"name":"Subdivision","value":"NW"},{"id":4,"name":"Milepost","value":"5.8933"},{"id":17,"name":"Train ID","value":"833-03"},{"id":16,"name":"Locomotive ID","value":"4006"},{"id":130,"name":"Impact","value":""},{"id":150,"name":"Time of Event (Mountain Time)","value":"17:34:27"},{"id":151,"name":"Denver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>"start /low /b "&amp;dls3logs&amp;" --loco "&amp;B191&amp;" --day "&amp;TEXT(F191,"YYYY-MM-DD")</f>
        <v>start /low /b %USERPROFILE%\Documents\GitHub\eaglep3\Utilities\DownloadLogsFromS3.py --loco 4006 --day 2017-04-03</v>
      </c>
      <c r="AN191" s="159" t="str">
        <f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23:34:27"},{"id":29,"name":"Sharepoint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757</v>
      </c>
      <c r="B192" s="7">
        <v>4005</v>
      </c>
      <c r="C192" s="21" t="s">
        <v>217</v>
      </c>
      <c r="D192" s="21" t="s">
        <v>988</v>
      </c>
      <c r="E192" s="13">
        <v>42828.733611111114</v>
      </c>
      <c r="F192" s="13">
        <v>42828.734930555554</v>
      </c>
      <c r="G192" s="7">
        <v>1</v>
      </c>
      <c r="H192" s="21" t="s">
        <v>989</v>
      </c>
      <c r="I192" s="13">
        <v>42828.747928240744</v>
      </c>
      <c r="J192" s="7">
        <v>0</v>
      </c>
      <c r="K192" s="97" t="str">
        <f>IF(ISEVEN(B192),(B192-1)&amp;"/"&amp;B192,B192&amp;"/"&amp;(B192+1))</f>
        <v>4005/4006</v>
      </c>
      <c r="L192" s="21" t="str">
        <f>VLOOKUP(A192,'Trips&amp;Operators'!$C$1:$G$99999,5,FALSE)</f>
        <v>LEVIN SCOTT</v>
      </c>
      <c r="M192" s="6">
        <f>I192-F192</f>
        <v>1.2997685189475305E-2</v>
      </c>
      <c r="N192" s="7">
        <f>24*60*SUM($M192:$M192)</f>
        <v>18.71666667284444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-04-03T16:36:24-0600',mode:absolute,to:'2017-04-03T18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2" s="183" t="str">
        <f>IF(AA192&lt;IF(AG192="EC",23,5.65),"Y","N")</f>
        <v>N</v>
      </c>
      <c r="X192" s="183">
        <f>VALUE(LEFT(AD192,4))-VALUE(LEFT(AD191,4))</f>
        <v>1</v>
      </c>
      <c r="Y192" s="62">
        <f>RIGHT(D192,LEN(D192)-4)/10000</f>
        <v>5.8613</v>
      </c>
      <c r="Z192" s="62">
        <f>RIGHT(H192,LEN(H192)-4)/10000</f>
        <v>6.4699999999999994E-2</v>
      </c>
      <c r="AA192" s="62">
        <f>ABS(Z192-Y192)</f>
        <v>5.7965999999999998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>IF(LEN(A192)=6,"0"&amp;A192,A192)</f>
        <v>0834-03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2" s="82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/stypes="app*4005*20170403*" /stext=" 23:.+((SYSTEM_STATE.+slice.+state.+changed )|(ment ac)|(multiple cpu faults)|(system.+state.+changed )|(\[timeout)|(PRM\|1\|D)|(kpr)|(kdp)|(\|lc)|(penalty))"</v>
      </c>
      <c r="AG192" s="1" t="str">
        <f>IFERROR(IF(VALUE(LEFT(AD192,2))&lt;=2,"EC",IF(OR(VALUE(LEFT(AD192,2))=8,VALUE(LEFT(AD192,2))=18),"NW","Other")),"Other")</f>
        <v>NW</v>
      </c>
      <c r="AH192" s="86" t="str">
        <f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834-03 --locoid 4005 --swversion DE.1.0.9.0 --startMP 300:58613 --initTime 2017-04-03T17:36:24 --startdatetime 2017-04-03T17:38:18 --delay 1 --endMP 204:647 --enddatetime 2017-04-03T17:57:01 --enforcementcount 0 &gt;&gt;C:\Users\stu\Documents\GitHub\eaglep3-reporting\EC\2017-04-03-refined-times.txt</v>
      </c>
      <c r="AI192" s="104" t="str">
        <f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ID","value":"834-03"},{"id":16,"name":"Locomotive ID","value":"4005"},{"id":130,"name":"Impact","value":""},{"id":150,"name":"Time of Event (Mountain Time)","value":"17:57:01"},{"id":151,"name":"Denver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>"start /low /b "&amp;dls3logs&amp;" --loco "&amp;B192&amp;" --day "&amp;TEXT(F192,"YYYY-MM-DD")</f>
        <v>start /low /b %USERPROFILE%\Documents\GitHub\eaglep3\Utilities\DownloadLogsFromS3.py --loco 4005 --day 2017-04-03</v>
      </c>
      <c r="AN192" s="159" t="str">
        <f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761</v>
      </c>
      <c r="B193" s="7">
        <v>4014</v>
      </c>
      <c r="C193" s="21" t="s">
        <v>217</v>
      </c>
      <c r="D193" s="21" t="s">
        <v>914</v>
      </c>
      <c r="E193" s="13">
        <v>42828.736215277779</v>
      </c>
      <c r="F193" s="13">
        <v>42828.74391203704</v>
      </c>
      <c r="G193" s="7">
        <v>1</v>
      </c>
      <c r="H193" s="21" t="s">
        <v>556</v>
      </c>
      <c r="I193" s="13">
        <v>42828.753159722219</v>
      </c>
      <c r="J193" s="7">
        <v>0</v>
      </c>
      <c r="K193" s="97" t="str">
        <f>IF(ISEVEN(B193),(B193-1)&amp;"/"&amp;B193,B193&amp;"/"&amp;(B193+1))</f>
        <v>4013/4014</v>
      </c>
      <c r="L193" s="21" t="str">
        <f>VLOOKUP(A193,'Trips&amp;Operators'!$C$1:$G$99999,5,FALSE)</f>
        <v>NEWELL JAMES</v>
      </c>
      <c r="M193" s="6">
        <f>I193-F193</f>
        <v>9.2476851787068881E-3</v>
      </c>
      <c r="N193" s="7">
        <f>24*60*SUM($M193:$M193)</f>
        <v>13.316666657337919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-04-03T16:40:09-0600',mode:absolute,to:'2017-04-03T19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3" s="183" t="str">
        <f>IF(AA193&lt;IF(AG193="EC",23,5.65),"Y","N")</f>
        <v>N</v>
      </c>
      <c r="X193" s="183">
        <f>VALUE(LEFT(AD193,4))-VALUE(LEFT(AD192,4))</f>
        <v>1</v>
      </c>
      <c r="Y193" s="62">
        <f>RIGHT(D193,LEN(D193)-4)/10000</f>
        <v>9.5000000000000001E-2</v>
      </c>
      <c r="Z193" s="62">
        <f>RIGHT(H193,LEN(H193)-4)/10000</f>
        <v>5.8925999999999998</v>
      </c>
      <c r="AA193" s="62">
        <f>ABS(Z193-Y193)</f>
        <v>5.7976000000000001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>IF(LEN(A193)=6,"0"&amp;A193,A193)</f>
        <v>0835-03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93" s="82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/stypes="app*4014*20170404*" /stext=" 00:.+((SYSTEM_STATE.+slice.+state.+changed )|(ment ac)|(multiple cpu faults)|(system.+state.+changed )|(\[timeout)|(PRM\|1\|D)|(kpr)|(kdp)|(\|lc)|(penalty))"</v>
      </c>
      <c r="AG193" s="1" t="str">
        <f>IFERROR(IF(VALUE(LEFT(AD193,2))&lt;=2,"EC",IF(OR(VALUE(LEFT(AD193,2))=8,VALUE(LEFT(AD193,2))=18),"NW","Other")),"Other")</f>
        <v>NW</v>
      </c>
      <c r="AH193" s="86" t="str">
        <f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835-03 --locoid 4014 --swversion DE.1.0.9.0 --startMP 204:950 --initTime 2017-04-03T17:40:09 --startdatetime 2017-04-03T17:51:14 --delay 1 --endMP 300:58926 --enddatetime 2017-04-03T18:04:33 --enforcementcount 0 &gt;&gt;C:\Users\stu\Documents\GitHub\eaglep3-reporting\EC\2017-04-03-refined-times.txt</v>
      </c>
      <c r="AI193" s="104" t="str">
        <f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{"issue":{"subject":"","project_id":79,"tracker_id":40,"status_id":1,"priority_id":2,"assigned_to_id":23,"start_date":"2017-04-03","description":"","custom_fields":[{"id":1,"name":"Subdivision","value":"NW"},{"id":4,"name":"Milepost","value":"5.8926"},{"id":17,"name":"Train ID","value":"835-03"},{"id":16,"name":"Locomotive ID","value":"4014"},{"id":130,"name":"Impact","value":""},{"id":150,"name":"Time of Event (Mountain Time)","value":"18:04:33"},{"id":151,"name":"Denver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>"start /low /b "&amp;dls3logs&amp;" --loco "&amp;B193&amp;" --day "&amp;TEXT(F193,"YYYY-MM-DD")</f>
        <v>start /low /b %USERPROFILE%\Documents\GitHub\eaglep3\Utilities\DownloadLogsFromS3.py --loco 4014 --day 2017-04-03</v>
      </c>
      <c r="AN193" s="159" t="str">
        <f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769</v>
      </c>
      <c r="B194" s="7">
        <v>4013</v>
      </c>
      <c r="C194" s="21" t="s">
        <v>217</v>
      </c>
      <c r="D194" s="21" t="s">
        <v>988</v>
      </c>
      <c r="E194" s="13">
        <v>42828.754143518519</v>
      </c>
      <c r="F194" s="13">
        <v>42828.755624999998</v>
      </c>
      <c r="G194" s="7">
        <v>1</v>
      </c>
      <c r="H194" s="21" t="s">
        <v>989</v>
      </c>
      <c r="I194" s="13">
        <v>42828.767372685186</v>
      </c>
      <c r="J194" s="7">
        <v>0</v>
      </c>
      <c r="K194" s="97" t="str">
        <f>IF(ISEVEN(B194),(B194-1)&amp;"/"&amp;B194,B194&amp;"/"&amp;(B194+1))</f>
        <v>4013/4014</v>
      </c>
      <c r="L194" s="21" t="str">
        <f>VLOOKUP(A194,'Trips&amp;Operators'!$C$1:$G$99999,5,FALSE)</f>
        <v>NEWELL JAMES</v>
      </c>
      <c r="M194" s="6">
        <f>I194-F194</f>
        <v>1.1747685188311152E-2</v>
      </c>
      <c r="N194" s="7">
        <f>24*60*SUM($M194:$M194)</f>
        <v>16.916666671168059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-04-03T17:05:58-0600',mode:absolute,to:'2017-04-03T19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4" s="183" t="str">
        <f>IF(AA194&lt;IF(AG194="EC",23,5.65),"Y","N")</f>
        <v>N</v>
      </c>
      <c r="X194" s="183">
        <f>VALUE(LEFT(AD194,4))-VALUE(LEFT(AD193,4))</f>
        <v>1</v>
      </c>
      <c r="Y194" s="62">
        <f>RIGHT(D194,LEN(D194)-4)/10000</f>
        <v>5.8613</v>
      </c>
      <c r="Z194" s="62">
        <f>RIGHT(H194,LEN(H194)-4)/10000</f>
        <v>6.4699999999999994E-2</v>
      </c>
      <c r="AA194" s="62">
        <f>ABS(Z194-Y194)</f>
        <v>5.7965999999999998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>IF(LEN(A194)=6,"0"&amp;A194,A194)</f>
        <v>0836-03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194" s="82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/stypes="app*4013*20170404*" /stext=" 00:.+((SYSTEM_STATE.+slice.+state.+changed )|(ment ac)|(multiple cpu faults)|(system.+state.+changed )|(\[timeout)|(PRM\|1\|D)|(kpr)|(kdp)|(\|lc)|(penalty))"</v>
      </c>
      <c r="AG194" s="1" t="str">
        <f>IFERROR(IF(VALUE(LEFT(AD194,2))&lt;=2,"EC",IF(OR(VALUE(LEFT(AD194,2))=8,VALUE(LEFT(AD194,2))=18),"NW","Other")),"Other")</f>
        <v>NW</v>
      </c>
      <c r="AH194" s="86" t="str">
        <f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836-03 --locoid 4013 --swversion DE.1.0.9.0 --startMP 300:58613 --initTime 2017-04-03T18:05:58 --startdatetime 2017-04-03T18:08:06 --delay 1 --endMP 204:647 --enddatetime 2017-04-03T18:25:01 --enforcementcount 0 &gt;&gt;C:\Users\stu\Documents\GitHub\eaglep3-reporting\EC\2017-04-03-refined-times.txt</v>
      </c>
      <c r="AI194" s="104" t="str">
        <f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ID","value":"836-03"},{"id":16,"name":"Locomotive ID","value":"4013"},{"id":130,"name":"Impact","value":""},{"id":150,"name":"Time of Event (Mountain Time)","value":"18:25:01"},{"id":151,"name":"Denver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>"start /low /b "&amp;dls3logs&amp;" --loco "&amp;B194&amp;" --day "&amp;TEXT(F194,"YYYY-MM-DD")</f>
        <v>start /low /b %USERPROFILE%\Documents\GitHub\eaglep3\Utilities\DownloadLogsFromS3.py --loco 4013 --day 2017-04-03</v>
      </c>
      <c r="AN194" s="159" t="str">
        <f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772</v>
      </c>
      <c r="B195" s="7">
        <v>4006</v>
      </c>
      <c r="C195" s="21" t="s">
        <v>217</v>
      </c>
      <c r="D195" s="21" t="s">
        <v>990</v>
      </c>
      <c r="E195" s="13">
        <v>42828.760057870371</v>
      </c>
      <c r="F195" s="13">
        <v>42828.764756944445</v>
      </c>
      <c r="G195" s="7">
        <v>1</v>
      </c>
      <c r="H195" s="21" t="s">
        <v>455</v>
      </c>
      <c r="I195" s="13">
        <v>42828.774074074077</v>
      </c>
      <c r="J195" s="7">
        <v>0</v>
      </c>
      <c r="K195" s="97" t="str">
        <f>IF(ISEVEN(B195),(B195-1)&amp;"/"&amp;B195,B195&amp;"/"&amp;(B195+1))</f>
        <v>4005/4006</v>
      </c>
      <c r="L195" s="21" t="str">
        <f>VLOOKUP(A195,'Trips&amp;Operators'!$C$1:$G$99999,5,FALSE)</f>
        <v>LEVIN SCOTT</v>
      </c>
      <c r="M195" s="6">
        <f>I195-F195</f>
        <v>9.3171296321088448E-3</v>
      </c>
      <c r="N195" s="7">
        <f>24*60*SUM($M195:$M195)</f>
        <v>13.416666670236737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-04-03T17:14:29-0600',mode:absolute,to:'2017-04-03T19:34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5" s="183" t="str">
        <f>IF(AA195&lt;IF(AG195="EC",23,5.65),"Y","N")</f>
        <v>N</v>
      </c>
      <c r="X195" s="183">
        <f>VALUE(LEFT(AD195,4))-VALUE(LEFT(AD194,4))</f>
        <v>1</v>
      </c>
      <c r="Y195" s="62">
        <f>RIGHT(D195,LEN(D195)-4)/10000</f>
        <v>9.3399999999999997E-2</v>
      </c>
      <c r="Z195" s="62">
        <f>RIGHT(H195,LEN(H195)-4)/10000</f>
        <v>5.8940999999999999</v>
      </c>
      <c r="AA195" s="62">
        <f>ABS(Z195-Y195)</f>
        <v>5.8007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>IF(LEN(A195)=6,"0"&amp;A195,A195)</f>
        <v>0837-03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5" s="82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/stypes="app*4006*20170404*" /stext=" 00:.+((SYSTEM_STATE.+slice.+state.+changed )|(ment ac)|(multiple cpu faults)|(system.+state.+changed )|(\[timeout)|(PRM\|1\|D)|(kpr)|(kdp)|(\|lc)|(penalty))"</v>
      </c>
      <c r="AG195" s="1" t="str">
        <f>IFERROR(IF(VALUE(LEFT(AD195,2))&lt;=2,"EC",IF(OR(VALUE(LEFT(AD195,2))=8,VALUE(LEFT(AD195,2))=18),"NW","Other")),"Other")</f>
        <v>NW</v>
      </c>
      <c r="AH195" s="86" t="str">
        <f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837-03 --locoid 4006 --swversion DE.1.0.9.0 --startMP 204:934 --initTime 2017-04-03T18:14:29 --startdatetime 2017-04-03T18:21:15 --delay 1 --endMP 300:58941 --enddatetime 2017-04-03T18:34:40 --enforcementcount 0 &gt;&gt;C:\Users\stu\Documents\GitHub\eaglep3-reporting\EC\2017-04-03-refined-times.txt</v>
      </c>
      <c r="AI195" s="104" t="str">
        <f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{"issue":{"subject":"","project_id":79,"tracker_id":40,"status_id":1,"priority_id":2,"assigned_to_id":23,"start_date":"2017-04-03","description":"","custom_fields":[{"id":1,"name":"Subdivision","value":"NW"},{"id":4,"name":"Milepost","value":"5.8941"},{"id":17,"name":"Train ID","value":"837-03"},{"id":16,"name":"Locomotive ID","value":"4006"},{"id":130,"name":"Impact","value":""},{"id":150,"name":"Time of Event (Mountain Time)","value":"18:34:40"},{"id":151,"name":"Denver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>"start /low /b "&amp;dls3logs&amp;" --loco "&amp;B195&amp;" --day "&amp;TEXT(F195,"YYYY-MM-DD")</f>
        <v>start /low /b %USERPROFILE%\Documents\GitHub\eaglep3\Utilities\DownloadLogsFromS3.py --loco 4006 --day 2017-04-03</v>
      </c>
      <c r="AN195" s="159" t="str">
        <f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778</v>
      </c>
      <c r="B196" s="7">
        <v>4005</v>
      </c>
      <c r="C196" s="21" t="s">
        <v>217</v>
      </c>
      <c r="D196" s="21" t="s">
        <v>553</v>
      </c>
      <c r="E196" s="13">
        <v>42828.776041666664</v>
      </c>
      <c r="F196" s="13">
        <v>42828.777465277781</v>
      </c>
      <c r="G196" s="7">
        <v>1</v>
      </c>
      <c r="H196" s="21" t="s">
        <v>991</v>
      </c>
      <c r="I196" s="13">
        <v>42828.789548611108</v>
      </c>
      <c r="J196" s="7">
        <v>0</v>
      </c>
      <c r="K196" s="97" t="str">
        <f>IF(ISEVEN(B196),(B196-1)&amp;"/"&amp;B196,B196&amp;"/"&amp;(B196+1))</f>
        <v>4005/4006</v>
      </c>
      <c r="L196" s="21" t="str">
        <f>VLOOKUP(A196,'Trips&amp;Operators'!$C$1:$G$99999,5,FALSE)</f>
        <v>LEVIN SCOTT</v>
      </c>
      <c r="M196" s="6">
        <f>I196-F196</f>
        <v>1.208333332760958E-2</v>
      </c>
      <c r="N196" s="7">
        <f>24*60*SUM($M196:$M196)</f>
        <v>17.399999991757795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-04-03T17:37:30-0600',mode:absolute,to:'2017-04-03T19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6" s="183" t="str">
        <f>IF(AA196&lt;IF(AG196="EC",23,5.65),"Y","N")</f>
        <v>N</v>
      </c>
      <c r="X196" s="183">
        <f>VALUE(LEFT(AD196,4))-VALUE(LEFT(AD195,4))</f>
        <v>1</v>
      </c>
      <c r="Y196" s="62">
        <f>RIGHT(D196,LEN(D196)-4)/10000</f>
        <v>5.8619000000000003</v>
      </c>
      <c r="Z196" s="62">
        <f>RIGHT(H196,LEN(H196)-4)/10000</f>
        <v>6.5000000000000002E-2</v>
      </c>
      <c r="AA196" s="62">
        <f>ABS(Z196-Y196)</f>
        <v>5.7968999999999999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>IF(LEN(A196)=6,"0"&amp;A196,A196)</f>
        <v>0838-03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6" s="82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/stypes="app*4005*20170404*" /stext=" 00:.+((SYSTEM_STATE.+slice.+state.+changed )|(ment ac)|(multiple cpu faults)|(system.+state.+changed )|(\[timeout)|(PRM\|1\|D)|(kpr)|(kdp)|(\|lc)|(penalty))"</v>
      </c>
      <c r="AG196" s="1" t="str">
        <f>IFERROR(IF(VALUE(LEFT(AD196,2))&lt;=2,"EC",IF(OR(VALUE(LEFT(AD196,2))=8,VALUE(LEFT(AD196,2))=18),"NW","Other")),"Other")</f>
        <v>NW</v>
      </c>
      <c r="AH196" s="86" t="str">
        <f>refinertdcruntimes&amp;" --tripid "&amp;A196&amp;" --locoid "&amp;B196&amp;" --swversion "&amp;C196&amp;" --startMP "&amp;D196&amp;" --initTime "&amp;TEXT(E196,"yyyy-mm-ddTHH:MM:SS")&amp;" --startdatetime "&amp;TEXT(F196,"yyyy-mm-ddTHH:MM:SS")&amp;" --delay "&amp;G196&amp;" --endMP "&amp;H196&amp;" --enddatetime "&amp;TEXT(I196,"yyyy-mm-ddTHH:MM:SS")&amp;" --enforcementcount "&amp;J196&amp;IF(outputrefinedruntimes," &gt;&gt;"&amp;RefinedRTDCRunTimesOutputFile,"")</f>
        <v>"%USERPROFILE%\Documents\GitHub\eaglep3\Utilities\RefineRTDCRunTimes.py" --tripid 838-03 --locoid 4005 --swversion DE.1.0.9.0 --startMP 300:58619 --initTime 2017-04-03T18:37:30 --startdatetime 2017-04-03T18:39:33 --delay 1 --endMP 204:650 --enddatetime 2017-04-03T18:56:57 --enforcementcount 0 &gt;&gt;C:\Users\stu\Documents\GitHub\eaglep3-reporting\EC\2017-04-03-refined-times.txt</v>
      </c>
      <c r="AI196" s="104" t="str">
        <f>"echo {""issue"":{""subject"":"""&amp;R196&amp;""",""project_id"":79,""tracker_id"":40,""status_id"":"&amp;redmine_status&amp;",""priority_id"":"&amp;redmine_priority&amp;",""assigned_to_id"":"&amp;redmine_assignee&amp;",""start_date"":"""&amp;TEXT(I196,"YYYY-mm-dd")&amp;""",""description"":"""&amp;AJ196&amp;""",""custom_fields"":[{""id"":1,""name"":""Subdivision"",""value"":"""&amp;AG196&amp;"""},{""id"":4,""name"":""Milepost"",""value"":"""&amp;Z196&amp;"""},{""id"":17,""name"":""Train ID"",""value"":"""&amp;A196&amp;"""},{""id"":16,""name"":""Locomotive ID"",""value"":"""&amp;B196&amp;"""},{""id"":130,""name"":""Impact"",""value"":"""&amp;AK196&amp;"""},{""id"":150,""name"":""Time of Event (Mountain Time)"",""value"":"""&amp;TEXT(I196,"hh:mm:ss")&amp;"""},{""id"":151,""name"":""Denver Issue ID"",""value"":"""&amp;"""},{""id"":178,""name"":""Operational Impact"",""value"":"""&amp;redmine_op_impact&amp;"""},{""id"":179,""name"":""Denver Segment Assigned"",""value"":"""&amp;AL196&amp;"""}]}}"&amp;"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{"issue":{"subject":"","project_id":79,"tracker_id":40,"status_id":1,"priority_id":2,"assigned_to_id":23,"start_date":"2017-04-03","description":"","custom_fields":[{"id":1,"name":"Subdivision","value":"NW"},{"id":4,"name":"Milepost","value":"0.065"},{"id":17,"name":"Train ID","value":"838-03"},{"id":16,"name":"Locomotive ID","value":"4005"},{"id":130,"name":"Impact","value":""},{"id":150,"name":"Time of Event (Mountain Time)","value":"18:56:57"},{"id":151,"name":"Denver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>"start /low /b "&amp;dls3logs&amp;" --loco "&amp;B196&amp;" --day "&amp;TEXT(F196,"YYYY-MM-DD")</f>
        <v>start /low /b %USERPROFILE%\Documents\GitHub\eaglep3\Utilities\DownloadLogsFromS3.py --loco 4005 --day 2017-04-03</v>
      </c>
      <c r="AN196" s="159" t="str">
        <f>"echo {""issue"":{""subject"":"""&amp;R196&amp;""",""project_id"":30,""tracker_id"":4,""status_id"":"&amp;redmine_status_wcr&amp;",""priority_id"":"&amp;redmine_priority_wcr&amp;",""assigned_to_id"":"&amp;redmine_assignee_wcr&amp;",""start_date"":"""&amp;TEXT(I196-utc_offset/24,"YYYY-mm-dd")&amp;""",""description"":"""&amp;AJ196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776</v>
      </c>
      <c r="B197" s="7">
        <v>4014</v>
      </c>
      <c r="C197" s="21" t="s">
        <v>217</v>
      </c>
      <c r="D197" s="21" t="s">
        <v>987</v>
      </c>
      <c r="E197" s="13">
        <v>42828.76866898148</v>
      </c>
      <c r="F197" s="13">
        <v>42828.785624999997</v>
      </c>
      <c r="G197" s="7">
        <v>1</v>
      </c>
      <c r="H197" s="21" t="s">
        <v>992</v>
      </c>
      <c r="I197" s="13">
        <v>42828.794814814813</v>
      </c>
      <c r="J197" s="7">
        <v>0</v>
      </c>
      <c r="K197" s="97" t="str">
        <f>IF(ISEVEN(B197),(B197-1)&amp;"/"&amp;B197,B197&amp;"/"&amp;(B197+1))</f>
        <v>4013/4014</v>
      </c>
      <c r="L197" s="21" t="str">
        <f>VLOOKUP(A197,'Trips&amp;Operators'!$C$1:$G$99999,5,FALSE)</f>
        <v>NEWELL JAMES</v>
      </c>
      <c r="M197" s="6">
        <f>I197-F197</f>
        <v>9.189814816636499E-3</v>
      </c>
      <c r="N197" s="7">
        <f>24*60*SUM($M197:$M197)</f>
        <v>13.233333335956559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-04-03T17:26:53-0600',mode:absolute,to:'2017-04-03T20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7" s="183" t="str">
        <f>IF(AA197&lt;IF(AG197="EC",23,5.65),"Y","N")</f>
        <v>N</v>
      </c>
      <c r="X197" s="183">
        <f>VALUE(LEFT(AD197,4))-VALUE(LEFT(AD196,4))</f>
        <v>1</v>
      </c>
      <c r="Y197" s="62">
        <f>RIGHT(D197,LEN(D197)-4)/10000</f>
        <v>9.4399999999999998E-2</v>
      </c>
      <c r="Z197" s="62">
        <f>RIGHT(H197,LEN(H197)-4)/10000</f>
        <v>5.8930999999999996</v>
      </c>
      <c r="AA197" s="62">
        <f>ABS(Z197-Y197)</f>
        <v>5.7986999999999993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>IF(LEN(A197)=6,"0"&amp;A197,A197)</f>
        <v>0839-03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197" s="82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/stypes="app*4014*20170404*" /stext=" 01:.+((SYSTEM_STATE.+slice.+state.+changed )|(ment ac)|(multiple cpu faults)|(system.+state.+changed )|(\[timeout)|(PRM\|1\|D)|(kpr)|(kdp)|(\|lc)|(penalty))"</v>
      </c>
      <c r="AG197" s="1" t="str">
        <f>IFERROR(IF(VALUE(LEFT(AD197,2))&lt;=2,"EC",IF(OR(VALUE(LEFT(AD197,2))=8,VALUE(LEFT(AD197,2))=18),"NW","Other")),"Other")</f>
        <v>NW</v>
      </c>
      <c r="AH197" s="86" t="str">
        <f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839-03 --locoid 4014 --swversion DE.1.0.9.0 --startMP 204:944 --initTime 2017-04-03T18:26:53 --startdatetime 2017-04-03T18:51:18 --delay 1 --endMP 300:58931 --enddatetime 2017-04-03T19:04:32 --enforcementcount 0 &gt;&gt;C:\Users\stu\Documents\GitHub\eaglep3-reporting\EC\2017-04-03-refined-times.txt</v>
      </c>
      <c r="AI197" s="104" t="str">
        <f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{"issue":{"subject":"","project_id":79,"tracker_id":40,"status_id":1,"priority_id":2,"assigned_to_id":23,"start_date":"2017-04-03","description":"","custom_fields":[{"id":1,"name":"Subdivision","value":"NW"},{"id":4,"name":"Milepost","value":"5.8931"},{"id":17,"name":"Train ID","value":"839-03"},{"id":16,"name":"Locomotive ID","value":"4014"},{"id":130,"name":"Impact","value":""},{"id":150,"name":"Time of Event (Mountain Time)","value":"19:04:32"},{"id":151,"name":"Denver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>"start /low /b "&amp;dls3logs&amp;" --loco "&amp;B197&amp;" --day "&amp;TEXT(F197,"YYYY-MM-DD")</f>
        <v>start /low /b %USERPROFILE%\Documents\GitHub\eaglep3\Utilities\DownloadLogsFromS3.py --loco 4014 --day 2017-04-03</v>
      </c>
      <c r="AN197" s="159" t="str">
        <f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790</v>
      </c>
      <c r="B198" s="7">
        <v>4005</v>
      </c>
      <c r="C198" s="21" t="s">
        <v>217</v>
      </c>
      <c r="D198" s="21" t="s">
        <v>988</v>
      </c>
      <c r="E198" s="13">
        <v>42828.817187499997</v>
      </c>
      <c r="F198" s="13">
        <v>42828.818483796298</v>
      </c>
      <c r="G198" s="7">
        <v>1</v>
      </c>
      <c r="H198" s="21" t="s">
        <v>989</v>
      </c>
      <c r="I198" s="13">
        <v>42828.831689814811</v>
      </c>
      <c r="J198" s="7">
        <v>0</v>
      </c>
      <c r="K198" s="97" t="str">
        <f>IF(ISEVEN(B198),(B198-1)&amp;"/"&amp;B198,B198&amp;"/"&amp;(B198+1))</f>
        <v>4005/4006</v>
      </c>
      <c r="L198" s="21" t="str">
        <f>VLOOKUP(A198,'Trips&amp;Operators'!$C$1:$G$99999,5,FALSE)</f>
        <v>LEVIN SCOTT</v>
      </c>
      <c r="M198" s="6">
        <f>I198-F198</f>
        <v>1.3206018513301387E-2</v>
      </c>
      <c r="N198" s="7">
        <f>24*60*SUM($M198:$M198)</f>
        <v>19.016666659153998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-04-03T18:36:45-0600',mode:absolute,to:'2017-04-03T20:57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183" t="str">
        <f>IF(AA198&lt;IF(AG198="EC",23,5.65),"Y","N")</f>
        <v>N</v>
      </c>
      <c r="X198" s="183">
        <f>VALUE(LEFT(AD198,4))-VALUE(LEFT(AD197,4))</f>
        <v>1</v>
      </c>
      <c r="Y198" s="62">
        <f>RIGHT(D198,LEN(D198)-4)/10000</f>
        <v>5.8613</v>
      </c>
      <c r="Z198" s="62">
        <f>RIGHT(H198,LEN(H198)-4)/10000</f>
        <v>6.4699999999999994E-2</v>
      </c>
      <c r="AA198" s="62">
        <f>ABS(Z198-Y198)</f>
        <v>5.7965999999999998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>IF(LEN(A198)=6,"0"&amp;A198,A198)</f>
        <v>0840-03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198" s="82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/stypes="app*4005*20170404*" /stext=" 01:.+((SYSTEM_STATE.+slice.+state.+changed )|(ment ac)|(multiple cpu faults)|(system.+state.+changed )|(\[timeout)|(PRM\|1\|D)|(kpr)|(kdp)|(\|lc)|(penalty))"</v>
      </c>
      <c r="AG198" s="1" t="str">
        <f>IFERROR(IF(VALUE(LEFT(AD198,2))&lt;=2,"EC",IF(OR(VALUE(LEFT(AD198,2))=8,VALUE(LEFT(AD198,2))=18),"NW","Other")),"Other")</f>
        <v>NW</v>
      </c>
      <c r="AH198" s="86" t="str">
        <f>refinertdcruntimes&amp;" --tripid "&amp;A198&amp;" --locoid "&amp;B198&amp;" --swversion "&amp;C198&amp;" --startMP "&amp;D198&amp;" --initTime "&amp;TEXT(E198,"yyyy-mm-ddTHH:MM:SS")&amp;" --startdatetime "&amp;TEXT(F198,"yyyy-mm-ddTHH:MM:SS")&amp;" --delay "&amp;G198&amp;" --endMP "&amp;H198&amp;" --enddatetime "&amp;TEXT(I198,"yyyy-mm-ddTHH:MM:SS")&amp;" --enforcementcount "&amp;J198&amp;IF(outputrefinedruntimes," &gt;&gt;"&amp;RefinedRTDCRunTimesOutputFile,"")</f>
        <v>"%USERPROFILE%\Documents\GitHub\eaglep3\Utilities\RefineRTDCRunTimes.py" --tripid 840-03 --locoid 4005 --swversion DE.1.0.9.0 --startMP 300:58613 --initTime 2017-04-03T19:36:45 --startdatetime 2017-04-03T19:38:37 --delay 1 --endMP 204:647 --enddatetime 2017-04-03T19:57:38 --enforcementcount 0 &gt;&gt;C:\Users\stu\Documents\GitHub\eaglep3-reporting\EC\2017-04-03-refined-times.txt</v>
      </c>
      <c r="AI198" s="104" t="str">
        <f>"echo {""issue"":{""subject"":"""&amp;R198&amp;""",""project_id"":79,""tracker_id"":40,""status_id"":"&amp;redmine_status&amp;",""priority_id"":"&amp;redmine_priority&amp;",""assigned_to_id"":"&amp;redmine_assignee&amp;",""start_date"":"""&amp;TEXT(I198,"YYYY-mm-dd")&amp;""",""description"":"""&amp;AJ198&amp;""",""custom_fields"":[{""id"":1,""name"":""Subdivision"",""value"":"""&amp;AG198&amp;"""},{""id"":4,""name"":""Milepost"",""value"":"""&amp;Z198&amp;"""},{""id"":17,""name"":""Train ID"",""value"":"""&amp;A198&amp;"""},{""id"":16,""name"":""Locomotive ID"",""value"":"""&amp;B198&amp;"""},{""id"":130,""name"":""Impact"",""value"":"""&amp;AK198&amp;"""},{""id"":150,""name"":""Time of Event (Mountain Time)"",""value"":"""&amp;TEXT(I198,"hh:mm:ss")&amp;"""},{""id"":151,""name"":""Denver Issue ID"",""value"":"""&amp;"""},{""id"":178,""name"":""Operational Impact"",""value"":"""&amp;redmine_op_impact&amp;"""},{""id"":179,""name"":""Denver Segment Assigned"",""value"":"""&amp;AL198&amp;"""}]}}"&amp;"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{"issue":{"subject":"","project_id":79,"tracker_id":40,"status_id":1,"priority_id":2,"assigned_to_id":23,"start_date":"2017-04-03","description":"","custom_fields":[{"id":1,"name":"Subdivision","value":"NW"},{"id":4,"name":"Milepost","value":"0.0647"},{"id":17,"name":"Train ID","value":"840-03"},{"id":16,"name":"Locomotive ID","value":"4005"},{"id":130,"name":"Impact","value":""},{"id":150,"name":"Time of Event (Mountain Time)","value":"19:57:38"},{"id":151,"name":"Denver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>"start /low /b "&amp;dls3logs&amp;" --loco "&amp;B198&amp;" --day "&amp;TEXT(F198,"YYYY-MM-DD")</f>
        <v>start /low /b %USERPROFILE%\Documents\GitHub\eaglep3\Utilities\DownloadLogsFromS3.py --loco 4005 --day 2017-04-03</v>
      </c>
      <c r="AN198" s="159" t="str">
        <f>"echo {""issue"":{""subject"":"""&amp;R198&amp;""",""project_id"":30,""tracker_id"":4,""status_id"":"&amp;redmine_status_wcr&amp;",""priority_id"":"&amp;redmine_priority_wcr&amp;",""assigned_to_id"":"&amp;redmine_assignee_wcr&amp;",""start_date"":"""&amp;TEXT(I198-utc_offset/24,"YYYY-mm-dd")&amp;""",""description"":"""&amp;AJ198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785</v>
      </c>
      <c r="B199" s="7">
        <v>4006</v>
      </c>
      <c r="C199" s="21" t="s">
        <v>217</v>
      </c>
      <c r="D199" s="21" t="s">
        <v>993</v>
      </c>
      <c r="E199" s="13">
        <v>42828.798611111109</v>
      </c>
      <c r="F199" s="13">
        <v>42828.806435185186</v>
      </c>
      <c r="G199" s="7">
        <v>2</v>
      </c>
      <c r="H199" s="21" t="s">
        <v>554</v>
      </c>
      <c r="I199" s="13">
        <v>42828.815196759257</v>
      </c>
      <c r="J199" s="7">
        <v>0</v>
      </c>
      <c r="K199" s="97" t="str">
        <f>IF(ISEVEN(B199),(B199-1)&amp;"/"&amp;B199,B199&amp;"/"&amp;(B199+1))</f>
        <v>4005/4006</v>
      </c>
      <c r="L199" s="21" t="str">
        <f>VLOOKUP(A199,'Trips&amp;Operators'!$C$1:$G$99999,5,FALSE)</f>
        <v>LEVIN SCOTT</v>
      </c>
      <c r="M199" s="6">
        <f>I199-F199</f>
        <v>8.7615740703768097E-3</v>
      </c>
      <c r="N199" s="7">
        <f>24*60*SUM($M199:$M199)</f>
        <v>12.616666661342606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-04-03T18:10:00-0600',mode:absolute,to:'2017-04-03T20:33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9" s="183" t="str">
        <f>IF(AA199&lt;IF(AG199="EC",23,5.65),"Y","N")</f>
        <v>N</v>
      </c>
      <c r="X199" s="183">
        <f>VALUE(LEFT(AD199,4))-VALUE(LEFT(AD198,4))</f>
        <v>1</v>
      </c>
      <c r="Y199" s="62">
        <f>RIGHT(D199,LEN(D199)-4)/10000</f>
        <v>9.2999999999999999E-2</v>
      </c>
      <c r="Z199" s="62">
        <f>RIGHT(H199,LEN(H199)-4)/10000</f>
        <v>5.8928000000000003</v>
      </c>
      <c r="AA199" s="62">
        <f>ABS(Z199-Y199)</f>
        <v>5.7998000000000003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>IF(LEN(A199)=6,"0"&amp;A199,A199)</f>
        <v>0841-03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199" s="82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/stypes="app*4006*20170404*" /stext=" 01:.+((SYSTEM_STATE.+slice.+state.+changed )|(ment ac)|(multiple cpu faults)|(system.+state.+changed )|(\[timeout)|(PRM\|1\|D)|(kpr)|(kdp)|(\|lc)|(penalty))"</v>
      </c>
      <c r="AG199" s="1" t="str">
        <f>IFERROR(IF(VALUE(LEFT(AD199,2))&lt;=2,"EC",IF(OR(VALUE(LEFT(AD199,2))=8,VALUE(LEFT(AD199,2))=18),"NW","Other")),"Other")</f>
        <v>NW</v>
      </c>
      <c r="AH199" s="86" t="str">
        <f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841-03 --locoid 4006 --swversion DE.1.0.9.0 --startMP 204:930 --initTime 2017-04-03T19:10:00 --startdatetime 2017-04-03T19:21:16 --delay 2 --endMP 300:58928 --enddatetime 2017-04-03T19:33:53 --enforcementcount 0 &gt;&gt;C:\Users\stu\Documents\GitHub\eaglep3-reporting\EC\2017-04-03-refined-times.txt</v>
      </c>
      <c r="AI199" s="104" t="str">
        <f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{"issue":{"subject":"","project_id":79,"tracker_id":40,"status_id":1,"priority_id":2,"assigned_to_id":23,"start_date":"2017-04-03","description":"","custom_fields":[{"id":1,"name":"Subdivision","value":"NW"},{"id":4,"name":"Milepost","value":"5.8928"},{"id":17,"name":"Train ID","value":"841-03"},{"id":16,"name":"Locomotive ID","value":"4006"},{"id":130,"name":"Impact","value":""},{"id":150,"name":"Time of Event (Mountain Time)","value":"19:33:53"},{"id":151,"name":"Denver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>"start /low /b "&amp;dls3logs&amp;" --loco "&amp;B199&amp;" --day "&amp;TEXT(F199,"YYYY-MM-DD")</f>
        <v>start /low /b %USERPROFILE%\Documents\GitHub\eaglep3\Utilities\DownloadLogsFromS3.py --loco 4006 --day 2017-04-03</v>
      </c>
      <c r="AN199" s="159" t="str">
        <f>"echo {""issue"":{""subject"":"""&amp;R199&amp;""",""project_id"":30,""tracker_id"":4,""status_id"":"&amp;redmine_status_wcr&amp;",""priority_id"":"&amp;redmine_priority_wcr&amp;",""assigned_to_id"":"&amp;redmine_assignee_wcr&amp;",""start_date"":"""&amp;TEXT(I199-utc_offset/24,"YYYY-mm-dd")&amp;""",""description"":"""&amp;AJ199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01:33:53"},{"id":29,"name":"Sharepoint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798</v>
      </c>
      <c r="B200" s="7">
        <v>4005</v>
      </c>
      <c r="C200" s="21" t="s">
        <v>217</v>
      </c>
      <c r="D200" s="21" t="s">
        <v>994</v>
      </c>
      <c r="E200" s="13">
        <v>42828.859016203707</v>
      </c>
      <c r="F200" s="13">
        <v>42828.860682870371</v>
      </c>
      <c r="G200" s="7">
        <v>1</v>
      </c>
      <c r="H200" s="21" t="s">
        <v>995</v>
      </c>
      <c r="I200" s="13">
        <v>42828.871539351851</v>
      </c>
      <c r="J200" s="7">
        <v>0</v>
      </c>
      <c r="K200" s="97" t="str">
        <f>IF(ISEVEN(B200),(B200-1)&amp;"/"&amp;B200,B200&amp;"/"&amp;(B200+1))</f>
        <v>4005/4006</v>
      </c>
      <c r="L200" s="21" t="str">
        <f>VLOOKUP(A200,'Trips&amp;Operators'!$C$1:$G$99999,5,FALSE)</f>
        <v>MAGEE KENYA</v>
      </c>
      <c r="M200" s="6">
        <f>I200-F200</f>
        <v>1.0856481480004732E-2</v>
      </c>
      <c r="N200" s="7">
        <f>24*60*SUM($M200:$M200)</f>
        <v>15.633333331206813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-04-03T19:36:59-0600',mode:absolute,to:'2017-04-03T21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83" t="str">
        <f>IF(AA200&lt;IF(AG200="EC",23,5.65),"Y","N")</f>
        <v>N</v>
      </c>
      <c r="X200" s="183">
        <f>VALUE(LEFT(AD200,4))-VALUE(LEFT(AD199,4))</f>
        <v>1</v>
      </c>
      <c r="Y200" s="62">
        <f>RIGHT(D200,LEN(D200)-4)/10000</f>
        <v>5.8655999999999997</v>
      </c>
      <c r="Z200" s="62">
        <f>RIGHT(H200,LEN(H200)-4)/10000</f>
        <v>7.0999999999999994E-2</v>
      </c>
      <c r="AA200" s="62">
        <f>ABS(Z200-Y200)</f>
        <v>5.7946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>IF(LEN(A200)=6,"0"&amp;A200,A200)</f>
        <v>0842-03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00" s="82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/stypes="app*4005*20170404*" /stext=" 02:.+((SYSTEM_STATE.+slice.+state.+changed )|(ment ac)|(multiple cpu faults)|(system.+state.+changed )|(\[timeout)|(PRM\|1\|D)|(kpr)|(kdp)|(\|lc)|(penalty))"</v>
      </c>
      <c r="AG200" s="1" t="str">
        <f>IFERROR(IF(VALUE(LEFT(AD200,2))&lt;=2,"EC",IF(OR(VALUE(LEFT(AD200,2))=8,VALUE(LEFT(AD200,2))=18),"NW","Other")),"Other")</f>
        <v>NW</v>
      </c>
      <c r="AH200" s="86" t="str">
        <f>refinertdcruntimes&amp;" --tripid "&amp;A200&amp;" --locoid "&amp;B200&amp;" --swversion "&amp;C200&amp;" --startMP "&amp;D200&amp;" --initTime "&amp;TEXT(E200,"yyyy-mm-ddTHH:MM:SS")&amp;" --startdatetime "&amp;TEXT(F200,"yyyy-mm-ddTHH:MM:SS")&amp;" --delay "&amp;G200&amp;" --endMP "&amp;H200&amp;" --enddatetime "&amp;TEXT(I200,"yyyy-mm-ddTHH:MM:SS")&amp;" --enforcementcount "&amp;J200&amp;IF(outputrefinedruntimes," &gt;&gt;"&amp;RefinedRTDCRunTimesOutputFile,"")</f>
        <v>"%USERPROFILE%\Documents\GitHub\eaglep3\Utilities\RefineRTDCRunTimes.py" --tripid 842-03 --locoid 4005 --swversion DE.1.0.9.0 --startMP 300:58656 --initTime 2017-04-03T20:36:59 --startdatetime 2017-04-03T20:39:23 --delay 1 --endMP 204:710 --enddatetime 2017-04-03T20:55:01 --enforcementcount 0 &gt;&gt;C:\Users\stu\Documents\GitHub\eaglep3-reporting\EC\2017-04-03-refined-times.txt</v>
      </c>
      <c r="AI200" s="104" t="str">
        <f>"echo {""issue"":{""subject"":"""&amp;R200&amp;""",""project_id"":79,""tracker_id"":40,""status_id"":"&amp;redmine_status&amp;",""priority_id"":"&amp;redmine_priority&amp;",""assigned_to_id"":"&amp;redmine_assignee&amp;",""start_date"":"""&amp;TEXT(I200,"YYYY-mm-dd")&amp;""",""description"":"""&amp;AJ200&amp;""",""custom_fields"":[{""id"":1,""name"":""Subdivision"",""value"":"""&amp;AG200&amp;"""},{""id"":4,""name"":""Milepost"",""value"":"""&amp;Z200&amp;"""},{""id"":17,""name"":""Train ID"",""value"":"""&amp;A200&amp;"""},{""id"":16,""name"":""Locomotive ID"",""value"":"""&amp;B200&amp;"""},{""id"":130,""name"":""Impact"",""value"":"""&amp;AK200&amp;"""},{""id"":150,""name"":""Time of Event (Mountain Time)"",""value"":"""&amp;TEXT(I200,"hh:mm:ss")&amp;"""},{""id"":151,""name"":""Denver Issue ID"",""value"":"""&amp;"""},{""id"":178,""name"":""Operational Impact"",""value"":"""&amp;redmine_op_impact&amp;"""},{""id"":179,""name"":""Denver Segment Assigned"",""value"":"""&amp;AL200&amp;"""}]}}"&amp;"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{"issue":{"subject":"","project_id":79,"tracker_id":40,"status_id":1,"priority_id":2,"assigned_to_id":23,"start_date":"2017-04-03","description":"","custom_fields":[{"id":1,"name":"Subdivision","value":"NW"},{"id":4,"name":"Milepost","value":"0.071"},{"id":17,"name":"Train ID","value":"842-03"},{"id":16,"name":"Locomotive ID","value":"4005"},{"id":130,"name":"Impact","value":""},{"id":150,"name":"Time of Event (Mountain Time)","value":"20:55:01"},{"id":151,"name":"Denver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>"start /low /b "&amp;dls3logs&amp;" --loco "&amp;B200&amp;" --day "&amp;TEXT(F200,"YYYY-MM-DD")</f>
        <v>start /low /b %USERPROFILE%\Documents\GitHub\eaglep3\Utilities\DownloadLogsFromS3.py --loco 4005 --day 2017-04-03</v>
      </c>
      <c r="AN200" s="159" t="str">
        <f>"echo {""issue"":{""subject"":"""&amp;R200&amp;""",""project_id"":30,""tracker_id"":4,""status_id"":"&amp;redmine_status_wcr&amp;",""priority_id"":"&amp;redmine_priority_wcr&amp;",""assigned_to_id"":"&amp;redmine_assignee_wcr&amp;",""start_date"":"""&amp;TEXT(I200-utc_offset/24,"YYYY-mm-dd")&amp;""",""description"":"""&amp;AJ200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795</v>
      </c>
      <c r="B201" s="7">
        <v>4006</v>
      </c>
      <c r="C201" s="21" t="s">
        <v>217</v>
      </c>
      <c r="D201" s="21" t="s">
        <v>996</v>
      </c>
      <c r="E201" s="13">
        <v>42828.845590277779</v>
      </c>
      <c r="F201" s="13">
        <v>42828.848113425927</v>
      </c>
      <c r="G201" s="7">
        <v>1</v>
      </c>
      <c r="H201" s="21" t="s">
        <v>997</v>
      </c>
      <c r="I201" s="13">
        <v>42828.857719907406</v>
      </c>
      <c r="J201" s="7">
        <v>0</v>
      </c>
      <c r="K201" s="97" t="str">
        <f>IF(ISEVEN(B201),(B201-1)&amp;"/"&amp;B201,B201&amp;"/"&amp;(B201+1))</f>
        <v>4005/4006</v>
      </c>
      <c r="L201" s="21" t="str">
        <f>VLOOKUP(A201,'Trips&amp;Operators'!$C$1:$G$99999,5,FALSE)</f>
        <v>MAGEE KENYA</v>
      </c>
      <c r="M201" s="6">
        <f>I201-F201</f>
        <v>9.6064814788405783E-3</v>
      </c>
      <c r="N201" s="7">
        <f>24*60*SUM($M201:$M201)</f>
        <v>13.833333329530433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-04-03T19:17:39-0600',mode:absolute,to:'2017-04-03T21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183" t="str">
        <f>IF(AA201&lt;IF(AG201="EC",23,5.65),"Y","N")</f>
        <v>N</v>
      </c>
      <c r="X201" s="183">
        <f>VALUE(LEFT(AD201,4))-VALUE(LEFT(AD200,4))</f>
        <v>1</v>
      </c>
      <c r="Y201" s="62">
        <f>RIGHT(D201,LEN(D201)-4)/10000</f>
        <v>9.4100000000000003E-2</v>
      </c>
      <c r="Z201" s="62">
        <f>RIGHT(H201,LEN(H201)-4)/10000</f>
        <v>5.8978000000000002</v>
      </c>
      <c r="AA201" s="62">
        <f>ABS(Z201-Y201)</f>
        <v>5.8037000000000001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>IF(LEN(A201)=6,"0"&amp;A201,A201)</f>
        <v>0843-03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1" s="82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/stypes="app*4006*20170404*" /stext=" 02:.+((SYSTEM_STATE.+slice.+state.+changed )|(ment ac)|(multiple cpu faults)|(system.+state.+changed )|(\[timeout)|(PRM\|1\|D)|(kpr)|(kdp)|(\|lc)|(penalty))"</v>
      </c>
      <c r="AG201" s="1" t="str">
        <f>IFERROR(IF(VALUE(LEFT(AD201,2))&lt;=2,"EC",IF(OR(VALUE(LEFT(AD201,2))=8,VALUE(LEFT(AD201,2))=18),"NW","Other")),"Other")</f>
        <v>NW</v>
      </c>
      <c r="AH201" s="86" t="str">
        <f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843-03 --locoid 4006 --swversion DE.1.0.9.0 --startMP 204:941 --initTime 2017-04-03T20:17:39 --startdatetime 2017-04-03T20:21:17 --delay 1 --endMP 300:58978 --enddatetime 2017-04-03T20:35:07 --enforcementcount 0 &gt;&gt;C:\Users\stu\Documents\GitHub\eaglep3-reporting\EC\2017-04-03-refined-times.txt</v>
      </c>
      <c r="AI201" s="104" t="str">
        <f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{"issue":{"subject":"","project_id":79,"tracker_id":40,"status_id":1,"priority_id":2,"assigned_to_id":23,"start_date":"2017-04-03","description":"","custom_fields":[{"id":1,"name":"Subdivision","value":"NW"},{"id":4,"name":"Milepost","value":"5.8978"},{"id":17,"name":"Train ID","value":"843-03"},{"id":16,"name":"Locomotive ID","value":"4006"},{"id":130,"name":"Impact","value":""},{"id":150,"name":"Time of Event (Mountain Time)","value":"20:35:07"},{"id":151,"name":"Denver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>"start /low /b "&amp;dls3logs&amp;" --loco "&amp;B201&amp;" --day "&amp;TEXT(F201,"YYYY-MM-DD")</f>
        <v>start /low /b %USERPROFILE%\Documents\GitHub\eaglep3\Utilities\DownloadLogsFromS3.py --loco 4006 --day 2017-04-03</v>
      </c>
      <c r="AN201" s="159" t="str">
        <f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02:35:07"},{"id":29,"name":"Sharepoint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801</v>
      </c>
      <c r="B202" s="7">
        <v>4005</v>
      </c>
      <c r="C202" s="21" t="s">
        <v>217</v>
      </c>
      <c r="D202" s="21" t="s">
        <v>988</v>
      </c>
      <c r="E202" s="13">
        <v>42828.89980324074</v>
      </c>
      <c r="F202" s="13">
        <v>42828.901273148149</v>
      </c>
      <c r="G202" s="7">
        <v>1</v>
      </c>
      <c r="H202" s="21" t="s">
        <v>998</v>
      </c>
      <c r="I202" s="13">
        <v>42828.912870370368</v>
      </c>
      <c r="J202" s="7">
        <v>0</v>
      </c>
      <c r="K202" s="97" t="str">
        <f>IF(ISEVEN(B202),(B202-1)&amp;"/"&amp;B202,B202&amp;"/"&amp;(B202+1))</f>
        <v>4005/4006</v>
      </c>
      <c r="L202" s="21" t="str">
        <f>VLOOKUP(A202,'Trips&amp;Operators'!$C$1:$G$99999,5,FALSE)</f>
        <v>NEWELL JAMES</v>
      </c>
      <c r="M202" s="6">
        <f>I202-F202</f>
        <v>1.1597222219279502E-2</v>
      </c>
      <c r="N202" s="7">
        <f>24*60*SUM($M202:$M202)</f>
        <v>16.699999995762482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Southbound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-04-03T20:35:43-0600',mode:absolute,to:'2017-04-03T22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183" t="str">
        <f>IF(AA202&lt;IF(AG202="EC",23,5.65),"Y","N")</f>
        <v>N</v>
      </c>
      <c r="X202" s="183">
        <f>VALUE(LEFT(AD202,4))-VALUE(LEFT(AD201,4))</f>
        <v>1</v>
      </c>
      <c r="Y202" s="62">
        <f>RIGHT(D202,LEN(D202)-4)/10000</f>
        <v>5.8613</v>
      </c>
      <c r="Z202" s="62">
        <f>RIGHT(H202,LEN(H202)-4)/10000</f>
        <v>6.6100000000000006E-2</v>
      </c>
      <c r="AA202" s="62">
        <f>ABS(Z202-Y202)</f>
        <v>5.7952000000000004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>IF(LEN(A202)=6,"0"&amp;A202,A202)</f>
        <v>0844-03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02" s="82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/stypes="app*4005*20170404*" /stext=" 03:.+((SYSTEM_STATE.+slice.+state.+changed )|(ment ac)|(multiple cpu faults)|(system.+state.+changed )|(\[timeout)|(PRM\|1\|D)|(kpr)|(kdp)|(\|lc)|(penalty))"</v>
      </c>
      <c r="AG202" s="1" t="str">
        <f>IFERROR(IF(VALUE(LEFT(AD202,2))&lt;=2,"EC",IF(OR(VALUE(LEFT(AD202,2))=8,VALUE(LEFT(AD202,2))=18),"NW","Other")),"Other")</f>
        <v>NW</v>
      </c>
      <c r="AH202" s="86" t="str">
        <f>refinertdcruntimes&amp;" --tripid "&amp;A202&amp;" --locoid "&amp;B202&amp;" --swversion "&amp;C202&amp;" --startMP "&amp;D202&amp;" --initTime "&amp;TEXT(E202,"yyyy-mm-ddTHH:MM:SS")&amp;" --startdatetime "&amp;TEXT(F202,"yyyy-mm-ddTHH:MM:SS")&amp;" --delay "&amp;G202&amp;" --endMP "&amp;H202&amp;" --enddatetime "&amp;TEXT(I202,"yyyy-mm-ddTHH:MM:SS")&amp;" --enforcementcount "&amp;J202&amp;IF(outputrefinedruntimes," &gt;&gt;"&amp;RefinedRTDCRunTimesOutputFile,"")</f>
        <v>"%USERPROFILE%\Documents\GitHub\eaglep3\Utilities\RefineRTDCRunTimes.py" --tripid 844-03 --locoid 4005 --swversion DE.1.0.9.0 --startMP 300:58613 --initTime 2017-04-03T21:35:43 --startdatetime 2017-04-03T21:37:50 --delay 1 --endMP 204:661 --enddatetime 2017-04-03T21:54:32 --enforcementcount 0 &gt;&gt;C:\Users\stu\Documents\GitHub\eaglep3-reporting\EC\2017-04-03-refined-times.txt</v>
      </c>
      <c r="AI202" s="104" t="str">
        <f>"echo {""issue"":{""subject"":"""&amp;R202&amp;""",""project_id"":79,""tracker_id"":40,""status_id"":"&amp;redmine_status&amp;",""priority_id"":"&amp;redmine_priority&amp;",""assigned_to_id"":"&amp;redmine_assignee&amp;",""start_date"":"""&amp;TEXT(I202,"YYYY-mm-dd")&amp;""",""description"":"""&amp;AJ202&amp;""",""custom_fields"":[{""id"":1,""name"":""Subdivision"",""value"":"""&amp;AG202&amp;"""},{""id"":4,""name"":""Milepost"",""value"":"""&amp;Z202&amp;"""},{""id"":17,""name"":""Train ID"",""value"":"""&amp;A202&amp;"""},{""id"":16,""name"":""Locomotive ID"",""value"":"""&amp;B202&amp;"""},{""id"":130,""name"":""Impact"",""value"":"""&amp;AK202&amp;"""},{""id"":150,""name"":""Time of Event (Mountain Time)"",""value"":"""&amp;TEXT(I202,"hh:mm:ss")&amp;"""},{""id"":151,""name"":""Denver Issue ID"",""value"":"""&amp;"""},{""id"":178,""name"":""Operational Impact"",""value"":"""&amp;redmine_op_impact&amp;"""},{""id"":179,""name"":""Denver Segment Assigned"",""value"":"""&amp;AL202&amp;"""}]}}"&amp;"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{"issue":{"subject":"","project_id":79,"tracker_id":40,"status_id":1,"priority_id":2,"assigned_to_id":23,"start_date":"2017-04-03","description":"","custom_fields":[{"id":1,"name":"Subdivision","value":"NW"},{"id":4,"name":"Milepost","value":"0.0661"},{"id":17,"name":"Train ID","value":"844-03"},{"id":16,"name":"Locomotive ID","value":"4005"},{"id":130,"name":"Impact","value":""},{"id":150,"name":"Time of Event (Mountain Time)","value":"21:54:32"},{"id":151,"name":"Denver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>"start /low /b "&amp;dls3logs&amp;" --loco "&amp;B202&amp;" --day "&amp;TEXT(F202,"YYYY-MM-DD")</f>
        <v>start /low /b %USERPROFILE%\Documents\GitHub\eaglep3\Utilities\DownloadLogsFromS3.py --loco 4005 --day 2017-04-03</v>
      </c>
      <c r="AN202" s="159" t="str">
        <f>"echo {""issue"":{""subject"":"""&amp;R202&amp;""",""project_id"":30,""tracker_id"":4,""status_id"":"&amp;redmine_status_wcr&amp;",""priority_id"":"&amp;redmine_priority_wcr&amp;",""assigned_to_id"":"&amp;redmine_assignee_wcr&amp;",""start_date"":"""&amp;TEXT(I202-utc_offset/24,"YYYY-mm-dd")&amp;""",""description"":"""&amp;AJ202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620</v>
      </c>
      <c r="B203" s="7">
        <v>4006</v>
      </c>
      <c r="C203" s="21" t="s">
        <v>217</v>
      </c>
      <c r="D203" s="21" t="s">
        <v>999</v>
      </c>
      <c r="E203" s="13">
        <v>42828.874756944446</v>
      </c>
      <c r="F203" s="13">
        <v>42828.889722222222</v>
      </c>
      <c r="G203" s="7">
        <v>1</v>
      </c>
      <c r="H203" s="21" t="s">
        <v>978</v>
      </c>
      <c r="I203" s="13">
        <v>42828.898379629631</v>
      </c>
      <c r="J203" s="7">
        <v>0</v>
      </c>
      <c r="K203" s="97" t="str">
        <f>IF(ISEVEN(B203),(B203-1)&amp;"/"&amp;B203,B203&amp;"/"&amp;(B203+1))</f>
        <v>4005/4006</v>
      </c>
      <c r="L203" s="21" t="str">
        <f>VLOOKUP(A203,'Trips&amp;Operators'!$C$1:$G$99999,5,FALSE)</f>
        <v>NEWELL JAMES</v>
      </c>
      <c r="M203" s="6">
        <f>I203-F203</f>
        <v>8.6574074084637687E-3</v>
      </c>
      <c r="N203" s="7">
        <f>24*60*SUM($M203:$M203)</f>
        <v>12.466666668187827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-04-03T19:59:39-0600',mode:absolute,to:'2017-04-03T22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83" t="str">
        <f>IF(AA203&lt;IF(AG203="EC",23,5.65),"Y","N")</f>
        <v>N</v>
      </c>
      <c r="X203" s="183">
        <f>VALUE(LEFT(AD203,4))-VALUE(LEFT(AD202,4))</f>
        <v>1</v>
      </c>
      <c r="Y203" s="62">
        <f>RIGHT(D203,LEN(D203)-4)/10000</f>
        <v>9.9199999999999997E-2</v>
      </c>
      <c r="Z203" s="62">
        <f>RIGHT(H203,LEN(H203)-4)/10000</f>
        <v>5.8929</v>
      </c>
      <c r="AA203" s="62">
        <f>ABS(Z203-Y203)</f>
        <v>5.7937000000000003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>IF(LEN(A203)=6,"0"&amp;A203,A203)</f>
        <v>0845-03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3" s="82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/stypes="app*4006*20170404*" /stext=" 03:.+((SYSTEM_STATE.+slice.+state.+changed )|(ment ac)|(multiple cpu faults)|(system.+state.+changed )|(\[timeout)|(PRM\|1\|D)|(kpr)|(kdp)|(\|lc)|(penalty))"</v>
      </c>
      <c r="AG203" s="1" t="str">
        <f>IFERROR(IF(VALUE(LEFT(AD203,2))&lt;=2,"EC",IF(OR(VALUE(LEFT(AD203,2))=8,VALUE(LEFT(AD203,2))=18),"NW","Other")),"Other")</f>
        <v>NW</v>
      </c>
      <c r="AH203" s="86" t="str">
        <f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845-03 --locoid 4006 --swversion DE.1.0.9.0 --startMP 204:992 --initTime 2017-04-03T20:59:39 --startdatetime 2017-04-03T21:21:12 --delay 1 --endMP 300:58929 --enddatetime 2017-04-03T21:33:40 --enforcementcount 0 &gt;&gt;C:\Users\stu\Documents\GitHub\eaglep3-reporting\EC\2017-04-03-refined-times.txt</v>
      </c>
      <c r="AI203" s="104" t="str">
        <f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Z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ID","value":"845-03"},{"id":16,"name":"Locomotive ID","value":"4006"},{"id":130,"name":"Impact","value":""},{"id":150,"name":"Time of Event (Mountain Time)","value":"21:33:40"},{"id":151,"name":"Denver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>"start /low /b "&amp;dls3logs&amp;" --loco "&amp;B203&amp;" --day "&amp;TEXT(F203,"YYYY-MM-DD")</f>
        <v>start /low /b %USERPROFILE%\Documents\GitHub\eaglep3\Utilities\DownloadLogsFromS3.py --loco 4006 --day 2017-04-03</v>
      </c>
      <c r="AN203" s="159" t="str">
        <f>"echo {""issue"":{""subject"":"""&amp;R203&amp;""",""project_id"":30,""tracker_id"":4,""status_id"":"&amp;redmine_status_wcr&amp;",""priority_id"":"&amp;redmine_priority_wcr&amp;",""assigned_to_id"":"&amp;redmine_assignee_wcr&amp;",""start_date"":"""&amp;TEXT(I203-utc_offset/24,"YYYY-mm-dd")&amp;""",""description"":"""&amp;AJ203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803</v>
      </c>
      <c r="B204" s="7">
        <v>4006</v>
      </c>
      <c r="C204" s="21" t="s">
        <v>217</v>
      </c>
      <c r="D204" s="21" t="s">
        <v>990</v>
      </c>
      <c r="E204" s="13">
        <v>42828.915277777778</v>
      </c>
      <c r="F204" s="13">
        <v>42828.931400462963</v>
      </c>
      <c r="G204" s="7">
        <v>1</v>
      </c>
      <c r="H204" s="21" t="s">
        <v>978</v>
      </c>
      <c r="I204" s="13">
        <v>42828.94027777778</v>
      </c>
      <c r="J204" s="7">
        <v>0</v>
      </c>
      <c r="K204" s="97" t="str">
        <f>IF(ISEVEN(B204),(B204-1)&amp;"/"&amp;B204,B204&amp;"/"&amp;(B204+1))</f>
        <v>4005/4006</v>
      </c>
      <c r="L204" s="21" t="str">
        <f>VLOOKUP(A204,'Trips&amp;Operators'!$C$1:$G$99999,5,FALSE)</f>
        <v>NEWELL JAMES</v>
      </c>
      <c r="M204" s="6">
        <f>I204-F204</f>
        <v>8.8773148163454607E-3</v>
      </c>
      <c r="N204" s="7">
        <f>24*60*SUM($M204:$M204)</f>
        <v>12.783333335537463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-03T20:58:00-0600',mode:absolute,to:'2017-04-03T23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4" s="183" t="str">
        <f>IF(AA204&lt;IF(AG204="EC",23,5.65),"Y","N")</f>
        <v>N</v>
      </c>
      <c r="X204" s="183">
        <f>VALUE(LEFT(AD204,4))-VALUE(LEFT(AD203,4))</f>
        <v>2</v>
      </c>
      <c r="Y204" s="62">
        <f>RIGHT(D204,LEN(D204)-4)/10000</f>
        <v>9.3399999999999997E-2</v>
      </c>
      <c r="Z204" s="62">
        <f>RIGHT(H204,LEN(H204)-4)/10000</f>
        <v>5.8929</v>
      </c>
      <c r="AA204" s="62">
        <f>ABS(Z204-Y204)</f>
        <v>5.7995000000000001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>IF(LEN(A204)=6,"0"&amp;A204,A204)</f>
        <v>0847-03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s3://rtdc.mdm.uploadarchive.raw/RTDC4006/ "%USERPROFILE%\AppData\Local\Temp\OnboardLogs"\RTDC4006\2017-04-03 --exclude "*" --recursive --include "*20170403*" &amp; "%USERPROFILE%\Documents\GitHub\mrs-test-scripts\Headless Mode &amp; Sideloading\WalkAndUnGZ.bat" "%USERPROFILE%\AppData\Local\Temp\OnboardLogs"\RTDC4006\2017-04-03 &amp; aws s3 cp s3://rtdc.mdm.uploadarchive.raw/RTDC4006/ "%USERPROFILE%\AppData\Local\Temp\OnboardLogs"\RTDC4006\2017-04-04 --exclude "*" --recursive --include "*20170404*" &amp; "%USERPROFILE%\Documents\GitHub\mrs-test-scripts\Headless Mode &amp; Sideloading\WalkAndUnGZ.bat" "%USERPROFILE%\AppData\Local\Temp\OnboardLogs"\RTDC4006\2017-04-04</v>
      </c>
      <c r="AF204" s="82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/stypes="app*4006*20170404*" /stext=" 04:.+((SYSTEM_STATE.+slice.+state.+changed )|(ment ac)|(multiple cpu faults)|(system.+state.+changed )|(\[timeout)|(PRM\|1\|D)|(kpr)|(kdp)|(\|lc)|(penalty))"</v>
      </c>
      <c r="AG204" s="1" t="str">
        <f>IFERROR(IF(VALUE(LEFT(AD204,2))&lt;=2,"EC",IF(OR(VALUE(LEFT(AD204,2))=8,VALUE(LEFT(AD204,2))=18),"NW","Other")),"Other")</f>
        <v>NW</v>
      </c>
      <c r="AH204" s="86" t="str">
        <f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847-03 --locoid 4006 --swversion DE.1.0.9.0 --startMP 204:934 --initTime 2017-04-03T21:58:00 --startdatetime 2017-04-03T22:21:13 --delay 1 --endMP 300:58929 --enddatetime 2017-04-03T22:34:00 --enforcementcount 0 &gt;&gt;C:\Users\stu\Documents\GitHub\eaglep3-reporting\EC\2017-04-03-refined-times.txt</v>
      </c>
      <c r="AI204" s="104" t="str">
        <f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{"issue":{"subject":"","project_id":79,"tracker_id":40,"status_id":1,"priority_id":2,"assigned_to_id":23,"start_date":"2017-04-03","description":"","custom_fields":[{"id":1,"name":"Subdivision","value":"NW"},{"id":4,"name":"Milepost","value":"5.8929"},{"id":17,"name":"Train ID","value":"847-03"},{"id":16,"name":"Locomotive ID","value":"4006"},{"id":130,"name":"Impact","value":""},{"id":150,"name":"Time of Event (Mountain Time)","value":"22:34:00"},{"id":151,"name":"Denver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>"start /low /b "&amp;dls3logs&amp;" --loco "&amp;B204&amp;" --day "&amp;TEXT(F204,"YYYY-MM-DD")</f>
        <v>start /low /b %USERPROFILE%\Documents\GitHub\eaglep3\Utilities\DownloadLogsFromS3.py --loco 4006 --day 2017-04-03</v>
      </c>
      <c r="AN204" s="159" t="str">
        <f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626</v>
      </c>
      <c r="B205" s="7">
        <v>4003</v>
      </c>
      <c r="C205" s="21" t="s">
        <v>217</v>
      </c>
      <c r="D205" s="21" t="s">
        <v>901</v>
      </c>
      <c r="E205" s="13">
        <v>42828.118148148147</v>
      </c>
      <c r="F205" s="13">
        <v>42828.121041666665</v>
      </c>
      <c r="G205" s="7">
        <v>4</v>
      </c>
      <c r="H205" s="21" t="s">
        <v>386</v>
      </c>
      <c r="I205" s="13">
        <v>42828.125324074077</v>
      </c>
      <c r="J205" s="7">
        <v>0</v>
      </c>
      <c r="K205" s="97" t="str">
        <f>IF(ISEVEN(B205),(B205-1)&amp;"/"&amp;B205,B205&amp;"/"&amp;(B205+1))</f>
        <v>4003/4004</v>
      </c>
      <c r="L205" s="21" t="str">
        <f>VLOOKUP(A205,'Trips&amp;Operators'!$C$1:$G$99999,5,FALSE)</f>
        <v>SANTIZO D. EDY</v>
      </c>
      <c r="M205" s="6">
        <f>I205-F205</f>
        <v>4.28240741166519E-3</v>
      </c>
      <c r="N205" s="7">
        <f>24*60*SUM($M205:$M205)</f>
        <v>6.1666666727978736</v>
      </c>
      <c r="O205" s="7"/>
      <c r="P205" s="7"/>
      <c r="Q205" s="22"/>
      <c r="R205" s="22"/>
      <c r="S205" s="31">
        <f>SUM(U205:U205)/IF(AG205="EC",12,1)</f>
        <v>1</v>
      </c>
      <c r="T205" s="46" t="str">
        <f>IF(ISEVEN(LEFT(AD205,4)),"Southbound","NorthBound")</f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-03T01:50:08-0600',mode:absolute,to:'2017-04-03T04:00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5" s="183" t="str">
        <f>IF(AA205&lt;IF(AG205="EC",23,5.65),"Y","N")</f>
        <v>Y</v>
      </c>
      <c r="X205" s="183">
        <f>VALUE(LEFT(AD205,4))-VALUE(LEFT(AD204,4))</f>
        <v>-545</v>
      </c>
      <c r="Y205" s="62">
        <f>RIGHT(D205,LEN(D205)-4)/10000</f>
        <v>1.9778</v>
      </c>
      <c r="Z205" s="62">
        <f>RIGHT(H205,LEN(H205)-4)/10000</f>
        <v>1.43E-2</v>
      </c>
      <c r="AA205" s="62">
        <f>ABS(Z205-Y205)</f>
        <v>1.9635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>IF(LEN(A205)=6,"0"&amp;A205,A205)</f>
        <v>0302-03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AF205" s="82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/stypes="app*4003*20170403*" /stext=" 09:.+((SYSTEM_STATE.+slice.+state.+changed )|(ment ac)|(multiple cpu faults)|(system.+state.+changed )|(\[timeout)|(PRM\|1\|D)|(kpr)|(kdp)|(\|lc)|(penalty))"</v>
      </c>
      <c r="AG205" s="1" t="str">
        <f>IFERROR(IF(VALUE(LEFT(AD205,2))&lt;=2,"EC",IF(OR(VALUE(LEFT(AD205,2))=8,VALUE(LEFT(AD205,2))=18),"NW","Other")),"Other")</f>
        <v>Other</v>
      </c>
      <c r="AH205" s="86" t="str">
        <f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302-03 --locoid 4003 --swversion DE.1.0.9.0 --startMP 300:19778 --initTime 2017-04-03T02:50:08 --startdatetime 2017-04-03T02:54:18 --delay 4 --endMP 204:143 --enddatetime 2017-04-03T03:00:28 --enforcementcount 0 &gt;&gt;C:\Users\stu\Documents\GitHub\eaglep3-reporting\EC\2017-04-03-refined-times.txt</v>
      </c>
      <c r="AI205" s="104" t="str">
        <f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{"issue":{"subject":"","project_id":79,"tracker_id":40,"status_id":1,"priority_id":2,"assigned_to_id":23,"start_date":"2017-04-03","description":"","custom_fields":[{"id":1,"name":"Subdivision","value":"Other"},{"id":4,"name":"Milepost","value":"0.0143"},{"id":17,"name":"Train ID","value":"302-03"},{"id":16,"name":"Locomotive ID","value":"4003"},{"id":130,"name":"Impact","value":""},{"id":150,"name":"Time of Event (Mountain Time)","value":"03:00:28"},{"id":151,"name":"Denver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>"start /low /b "&amp;dls3logs&amp;" --loco "&amp;B205&amp;" --day "&amp;TEXT(F205,"YYYY-MM-DD")</f>
        <v>start /low /b %USERPROFILE%\Documents\GitHub\eaglep3\Utilities\DownloadLogsFromS3.py --loco 4003 --day 2017-04-03</v>
      </c>
      <c r="AN205" s="159" t="str">
        <f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09:00:28"},{"id":29,"name":"Sharepoint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779</v>
      </c>
      <c r="B206" s="7">
        <v>4008</v>
      </c>
      <c r="C206" s="21" t="s">
        <v>217</v>
      </c>
      <c r="D206" s="21" t="s">
        <v>390</v>
      </c>
      <c r="E206" s="13">
        <v>42828.779039351852</v>
      </c>
      <c r="F206" s="13">
        <v>42828.780949074076</v>
      </c>
      <c r="G206" s="7">
        <v>1</v>
      </c>
      <c r="H206" s="21" t="s">
        <v>477</v>
      </c>
      <c r="I206" s="13">
        <v>42828.789918981478</v>
      </c>
      <c r="J206" s="7">
        <v>0</v>
      </c>
      <c r="K206" s="97" t="str">
        <f>IF(ISEVEN(B206),(B206-1)&amp;"/"&amp;B206,B206&amp;"/"&amp;(B206+1))</f>
        <v>4007/4008</v>
      </c>
      <c r="L206" s="21" t="str">
        <f>VLOOKUP(A206,'Trips&amp;Operators'!$C$1:$G$99999,5,FALSE)</f>
        <v>WILLIAMS DONTE</v>
      </c>
      <c r="M206" s="6">
        <f>I206-F206</f>
        <v>8.9699074014788494E-3</v>
      </c>
      <c r="N206" s="7">
        <f>24*60*SUM($M206:$M206)</f>
        <v>12.916666658129543</v>
      </c>
      <c r="O206" s="7"/>
      <c r="P206" s="7"/>
      <c r="Q206" s="22"/>
      <c r="R206" s="22"/>
      <c r="S206" s="31">
        <f>SUM(U206:U206)/IF(AG206="EC",12,1)</f>
        <v>1</v>
      </c>
      <c r="T206" s="46" t="str">
        <f>IF(ISEVEN(LEFT(AD206,4)),"Southbound","NorthBound")</f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-04-03T17:41:49-0600',mode:absolute,to:'2017-04-03T19:57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183" t="str">
        <f>IF(AA206&lt;IF(AG206="EC",23,5.65),"Y","N")</f>
        <v>Y</v>
      </c>
      <c r="X206" s="183">
        <f>VALUE(LEFT(AD206,4))-VALUE(LEFT(AD205,4))</f>
        <v>1</v>
      </c>
      <c r="Y206" s="62">
        <f>RIGHT(D206,LEN(D206)-4)/10000</f>
        <v>4.7300000000000002E-2</v>
      </c>
      <c r="Z206" s="62">
        <f>RIGHT(H206,LEN(H206)-4)/10000</f>
        <v>2.3346</v>
      </c>
      <c r="AA206" s="62">
        <f>ABS(Z206-Y206)</f>
        <v>2.2873000000000001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>IF(LEN(A206)=6,"0"&amp;A206,A206)</f>
        <v>0303-03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s3://rtdc.mdm.uploadarchive.raw/RTDC4008/ "%USERPROFILE%\AppData\Local\Temp\OnboardLogs"\RTDC4008\2017-04-03 --exclude "*" --recursive --include "*20170403*" &amp; "%USERPROFILE%\Documents\GitHub\mrs-test-scripts\Headless Mode &amp; Sideloading\WalkAndUnGZ.bat" "%USERPROFILE%\AppData\Local\Temp\OnboardLogs"\RTDC4008\2017-04-03 &amp; aws s3 cp s3://rtdc.mdm.uploadarchive.raw/RTDC4008/ "%USERPROFILE%\AppData\Local\Temp\OnboardLogs"\RTDC4008\2017-04-04 --exclude "*" --recursive --include "*20170404*" &amp; "%USERPROFILE%\Documents\GitHub\mrs-test-scripts\Headless Mode &amp; Sideloading\WalkAndUnGZ.bat" "%USERPROFILE%\AppData\Local\Temp\OnboardLogs"\RTDC4008\2017-04-04</v>
      </c>
      <c r="AF206" s="82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/stypes="app*4008*20170404*" /stext=" 00:.+((SYSTEM_STATE.+slice.+state.+changed )|(ment ac)|(multiple cpu faults)|(system.+state.+changed )|(\[timeout)|(PRM\|1\|D)|(kpr)|(kdp)|(\|lc)|(penalty))"</v>
      </c>
      <c r="AG206" s="1" t="str">
        <f>IFERROR(IF(VALUE(LEFT(AD206,2))&lt;=2,"EC",IF(OR(VALUE(LEFT(AD206,2))=8,VALUE(LEFT(AD206,2))=18),"NW","Other")),"Other")</f>
        <v>Other</v>
      </c>
      <c r="AH206" s="86" t="str">
        <f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303-03 --locoid 4008 --swversion DE.1.0.9.0 --startMP 204:473 --initTime 2017-04-03T18:41:49 --startdatetime 2017-04-03T18:44:34 --delay 1 --endMP 300:23346 --enddatetime 2017-04-03T18:57:29 --enforcementcount 0 &gt;&gt;C:\Users\stu\Documents\GitHub\eaglep3-reporting\EC\2017-04-03-refined-times.txt</v>
      </c>
      <c r="AI206" s="104" t="str">
        <f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ID","value":"303-03"},{"id":16,"name":"Locomotive ID","value":"4008"},{"id":130,"name":"Impact","value":""},{"id":150,"name":"Time of Event (Mountain Time)","value":"18:57:29"},{"id":151,"name":"Denver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>"start /low /b "&amp;dls3logs&amp;" --loco "&amp;B206&amp;" --day "&amp;TEXT(F206,"YYYY-MM-DD")</f>
        <v>start /low /b %USERPROFILE%\Documents\GitHub\eaglep3\Utilities\DownloadLogsFromS3.py --loco 4008 --day 2017-04-03</v>
      </c>
      <c r="AN206" s="159" t="str">
        <f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00:57:29"},{"id":29,"name":"Sharepoint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s="20" customFormat="1" x14ac:dyDescent="0.25">
      <c r="A207" s="33" t="s">
        <v>628</v>
      </c>
      <c r="B207" s="7">
        <v>4043</v>
      </c>
      <c r="C207" s="21" t="s">
        <v>217</v>
      </c>
      <c r="D207" s="21" t="s">
        <v>902</v>
      </c>
      <c r="E207" s="13">
        <v>42828.13821759259</v>
      </c>
      <c r="F207" s="13">
        <v>42828.142280092594</v>
      </c>
      <c r="G207" s="7">
        <v>5</v>
      </c>
      <c r="H207" s="21" t="s">
        <v>191</v>
      </c>
      <c r="I207" s="13">
        <v>42828.148275462961</v>
      </c>
      <c r="J207" s="7">
        <v>0</v>
      </c>
      <c r="K207" s="97" t="str">
        <f>IF(ISEVEN(B207),(B207-1)&amp;"/"&amp;B207,B207&amp;"/"&amp;(B207+1))</f>
        <v>4043/4044</v>
      </c>
      <c r="L207" s="21" t="str">
        <f>VLOOKUP(A207,'Trips&amp;Operators'!$C$1:$G$99999,5,FALSE)</f>
        <v>MAELZER KURT</v>
      </c>
      <c r="M207" s="6">
        <f>I207-F207</f>
        <v>5.9953703676001169E-3</v>
      </c>
      <c r="N207" s="7">
        <f>24*60*SUM($M207:$M207)</f>
        <v>8.6333333293441683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-04-03T02:19:02-0600',mode:absolute,to:'2017-04-03T04:33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7" s="183" t="str">
        <f>IF(AA207&lt;IF(AG207="EC",23,5.65),"Y","N")</f>
        <v>Y</v>
      </c>
      <c r="X207" s="183">
        <f>VALUE(LEFT(AD207,4))-VALUE(LEFT(AD206,4))</f>
        <v>1</v>
      </c>
      <c r="Y207" s="62">
        <f>RIGHT(D207,LEN(D207)-4)/10000</f>
        <v>2.3624999999999998</v>
      </c>
      <c r="Z207" s="62">
        <f>RIGHT(H207,LEN(H207)-4)/10000</f>
        <v>1.4999999999999999E-2</v>
      </c>
      <c r="AA207" s="62">
        <f>ABS(Z207-Y207)</f>
        <v>2.3474999999999997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>IF(LEN(A207)=6,"0"&amp;A207,A207)</f>
        <v>0304-03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AF207" s="82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/stypes="app*4043*20170403*" /stext=" 09:.+((SYSTEM_STATE.+slice.+state.+changed )|(ment ac)|(multiple cpu faults)|(system.+state.+changed )|(\[timeout)|(PRM\|1\|D)|(kpr)|(kdp)|(\|lc)|(penalty))"</v>
      </c>
      <c r="AG207" s="1" t="str">
        <f>IFERROR(IF(VALUE(LEFT(AD207,2))&lt;=2,"EC",IF(OR(VALUE(LEFT(AD207,2))=8,VALUE(LEFT(AD207,2))=18),"NW","Other")),"Other")</f>
        <v>Other</v>
      </c>
      <c r="AH207" s="86" t="str">
        <f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304-03 --locoid 4043 --swversion DE.1.0.9.0 --startMP 300:23625 --initTime 2017-04-03T03:19:02 --startdatetime 2017-04-03T03:24:53 --delay 5 --endMP 204:150 --enddatetime 2017-04-03T03:33:31 --enforcementcount 0 &gt;&gt;C:\Users\stu\Documents\GitHub\eaglep3-reporting\EC\2017-04-03-refined-times.txt</v>
      </c>
      <c r="AI207" s="104" t="str">
        <f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{"issue":{"subject":"","project_id":79,"tracker_id":40,"status_id":1,"priority_id":2,"assigned_to_id":23,"start_date":"2017-04-03","description":"","custom_fields":[{"id":1,"name":"Subdivision","value":"Other"},{"id":4,"name":"Milepost","value":"0.015"},{"id":17,"name":"Train ID","value":"304-03"},{"id":16,"name":"Locomotive ID","value":"4043"},{"id":130,"name":"Impact","value":""},{"id":150,"name":"Time of Event (Mountain Time)","value":"03:33:31"},{"id":151,"name":"Denver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8"/>
      <c r="AL207" s="48"/>
      <c r="AM207" s="150" t="str">
        <f>"start /low /b "&amp;dls3logs&amp;" --loco "&amp;B207&amp;" --day "&amp;TEXT(F207,"YYYY-MM-DD")</f>
        <v>start /low /b %USERPROFILE%\Documents\GitHub\eaglep3\Utilities\DownloadLogsFromS3.py --loco 4043 --day 2017-04-03</v>
      </c>
      <c r="AN207" s="159" t="str">
        <f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09:33:31"},{"id":29,"name":"Sharepoint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784</v>
      </c>
      <c r="B208" s="7">
        <v>4004</v>
      </c>
      <c r="C208" s="21" t="s">
        <v>217</v>
      </c>
      <c r="D208" s="21" t="s">
        <v>419</v>
      </c>
      <c r="E208" s="13">
        <v>42828.797094907408</v>
      </c>
      <c r="F208" s="13">
        <v>42828.798344907409</v>
      </c>
      <c r="G208" s="7">
        <v>1</v>
      </c>
      <c r="H208" s="21" t="s">
        <v>903</v>
      </c>
      <c r="I208" s="13">
        <v>42828.811666666668</v>
      </c>
      <c r="J208" s="7">
        <v>0</v>
      </c>
      <c r="K208" s="97" t="str">
        <f>IF(ISEVEN(B208),(B208-1)&amp;"/"&amp;B208,B208&amp;"/"&amp;(B208+1))</f>
        <v>4003/4004</v>
      </c>
      <c r="L208" s="21" t="str">
        <f>VLOOKUP(A208,'Trips&amp;Operators'!$C$1:$G$99999,5,FALSE)</f>
        <v>LOCKLEAR TRAVIS</v>
      </c>
      <c r="M208" s="6">
        <f>I208-F208</f>
        <v>1.3321759259270038E-2</v>
      </c>
      <c r="N208" s="7">
        <f>24*60*SUM($M208:$M208)</f>
        <v>19.183333333348855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-04-03T18:07:49-0600',mode:absolute,to:'2017-04-03T20:28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8" s="183" t="str">
        <f>IF(AA208&lt;IF(AG208="EC",23,5.65),"Y","N")</f>
        <v>Y</v>
      </c>
      <c r="X208" s="183">
        <f>VALUE(LEFT(AD208,4))-VALUE(LEFT(AD207,4))</f>
        <v>1</v>
      </c>
      <c r="Y208" s="62">
        <f>RIGHT(D208,LEN(D208)-4)/10000</f>
        <v>4.4900000000000002E-2</v>
      </c>
      <c r="Z208" s="62">
        <f>RIGHT(H208,LEN(H208)-4)/10000</f>
        <v>2.3308</v>
      </c>
      <c r="AA208" s="62">
        <f>ABS(Z208-Y208)</f>
        <v>2.2858999999999998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>IF(LEN(A208)=6,"0"&amp;A208,A208)</f>
        <v>0305-03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AF208" s="82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/stypes="app*4004*20170404*" /stext=" 01:.+((SYSTEM_STATE.+slice.+state.+changed )|(ment ac)|(multiple cpu faults)|(system.+state.+changed )|(\[timeout)|(PRM\|1\|D)|(kpr)|(kdp)|(\|lc)|(penalty))"</v>
      </c>
      <c r="AG208" s="1" t="str">
        <f>IFERROR(IF(VALUE(LEFT(AD208,2))&lt;=2,"EC",IF(OR(VALUE(LEFT(AD208,2))=8,VALUE(LEFT(AD208,2))=18),"NW","Other")),"Other")</f>
        <v>Other</v>
      </c>
      <c r="AH208" s="86" t="str">
        <f>refinertdcruntimes&amp;" --tripid "&amp;A208&amp;" --locoid "&amp;B208&amp;" --swversion "&amp;C208&amp;" --startMP "&amp;D208&amp;" --initTime "&amp;TEXT(E208,"yyyy-mm-ddTHH:MM:SS")&amp;" --startdatetime "&amp;TEXT(F208,"yyyy-mm-ddTHH:MM:SS")&amp;" --delay "&amp;G208&amp;" --endMP "&amp;H208&amp;" --enddatetime "&amp;TEXT(I208,"yyyy-mm-ddTHH:MM:SS")&amp;" --enforcementcount "&amp;J208&amp;IF(outputrefinedruntimes," &gt;&gt;"&amp;RefinedRTDCRunTimesOutputFile,"")</f>
        <v>"%USERPROFILE%\Documents\GitHub\eaglep3\Utilities\RefineRTDCRunTimes.py" --tripid 305-03 --locoid 4004 --swversion DE.1.0.9.0 --startMP 204:449 --initTime 2017-04-03T19:07:49 --startdatetime 2017-04-03T19:09:37 --delay 1 --endMP 300:23308 --enddatetime 2017-04-03T19:28:48 --enforcementcount 0 &gt;&gt;C:\Users\stu\Documents\GitHub\eaglep3-reporting\EC\2017-04-03-refined-times.txt</v>
      </c>
      <c r="AI208" s="104" t="str">
        <f>"echo {""issue"":{""subject"":"""&amp;R208&amp;""",""project_id"":79,""tracker_id"":40,""status_id"":"&amp;redmine_status&amp;",""priority_id"":"&amp;redmine_priority&amp;",""assigned_to_id"":"&amp;redmine_assignee&amp;",""start_date"":"""&amp;TEXT(I208,"YYYY-mm-dd")&amp;""",""description"":"""&amp;AJ208&amp;""",""custom_fields"":[{""id"":1,""name"":""Subdivision"",""value"":"""&amp;AG208&amp;"""},{""id"":4,""name"":""Milepost"",""value"":"""&amp;Z208&amp;"""},{""id"":17,""name"":""Train ID"",""value"":"""&amp;A208&amp;"""},{""id"":16,""name"":""Locomotive ID"",""value"":"""&amp;B208&amp;"""},{""id"":130,""name"":""Impact"",""value"":"""&amp;AK208&amp;"""},{""id"":150,""name"":""Time of Event (Mountain Time)"",""value"":"""&amp;TEXT(I208,"hh:mm:ss")&amp;"""},{""id"":151,""name"":""Denver Issue ID"",""value"":"""&amp;"""},{""id"":178,""name"":""Operational Impact"",""value"":"""&amp;redmine_op_impact&amp;"""},{""id"":179,""name"":""Denver Segment Assigned"",""value"":"""&amp;AL208&amp;"""}]}}"&amp;"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{"issue":{"subject":"","project_id":79,"tracker_id":40,"status_id":1,"priority_id":2,"assigned_to_id":23,"start_date":"2017-04-03","description":"","custom_fields":[{"id":1,"name":"Subdivision","value":"Other"},{"id":4,"name":"Milepost","value":"2.3308"},{"id":17,"name":"Train ID","value":"305-03"},{"id":16,"name":"Locomotive ID","value":"4004"},{"id":130,"name":"Impact","value":""},{"id":150,"name":"Time of Event (Mountain Time)","value":"19:28:48"},{"id":151,"name":"Denver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>"start /low /b "&amp;dls3logs&amp;" --loco "&amp;B208&amp;" --day "&amp;TEXT(F208,"YYYY-MM-DD")</f>
        <v>start /low /b %USERPROFILE%\Documents\GitHub\eaglep3\Utilities\DownloadLogsFromS3.py --loco 4004 --day 2017-04-03</v>
      </c>
      <c r="AN208" s="159" t="str">
        <f>"echo {""issue"":{""subject"":"""&amp;R208&amp;""",""project_id"":30,""tracker_id"":4,""status_id"":"&amp;redmine_status_wcr&amp;",""priority_id"":"&amp;redmine_priority_wcr&amp;",""assigned_to_id"":"&amp;redmine_assignee_wcr&amp;",""start_date"":"""&amp;TEXT(I208-utc_offset/24,"YYYY-mm-dd")&amp;""",""description"":"""&amp;AJ208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01:28:48"},{"id":29,"name":"Sharepoint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631</v>
      </c>
      <c r="B209" s="7">
        <v>4041</v>
      </c>
      <c r="C209" s="21" t="s">
        <v>217</v>
      </c>
      <c r="D209" s="21" t="s">
        <v>904</v>
      </c>
      <c r="E209" s="13">
        <v>42828.162141203706</v>
      </c>
      <c r="F209" s="13">
        <v>42828.165208333332</v>
      </c>
      <c r="G209" s="7">
        <v>4</v>
      </c>
      <c r="H209" s="21" t="s">
        <v>545</v>
      </c>
      <c r="I209" s="13">
        <v>42828.171018518522</v>
      </c>
      <c r="J209" s="7">
        <v>0</v>
      </c>
      <c r="K209" s="97" t="str">
        <f>IF(ISEVEN(B209),(B209-1)&amp;"/"&amp;B209,B209&amp;"/"&amp;(B209+1))</f>
        <v>4041/4042</v>
      </c>
      <c r="L209" s="21" t="str">
        <f>VLOOKUP(A209,'Trips&amp;Operators'!$C$1:$G$99999,5,FALSE)</f>
        <v>STARKS ANGELINA</v>
      </c>
      <c r="M209" s="6">
        <f>I209-F209</f>
        <v>5.810185190057382E-3</v>
      </c>
      <c r="N209" s="7">
        <f>24*60*SUM($M209:$M209)</f>
        <v>8.3666666736826301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-04-03T02:53:29-0600',mode:absolute,to:'2017-04-03T05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9" s="183" t="str">
        <f>IF(AA209&lt;IF(AG209="EC",23,5.65),"Y","N")</f>
        <v>Y</v>
      </c>
      <c r="X209" s="183">
        <f>VALUE(LEFT(AD209,4))-VALUE(LEFT(AD208,4))</f>
        <v>1</v>
      </c>
      <c r="Y209" s="62">
        <f>RIGHT(D209,LEN(D209)-4)/10000</f>
        <v>2.3050000000000002</v>
      </c>
      <c r="Z209" s="62">
        <f>RIGHT(H209,LEN(H209)-4)/10000</f>
        <v>1.2999999999999999E-2</v>
      </c>
      <c r="AA209" s="62">
        <f>ABS(Z209-Y209)</f>
        <v>2.2920000000000003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>IF(LEN(A209)=6,"0"&amp;A209,A209)</f>
        <v>0306-03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AF209" s="82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/stypes="app*4041*20170403*" /stext=" 10:.+((SYSTEM_STATE.+slice.+state.+changed )|(ment ac)|(multiple cpu faults)|(system.+state.+changed )|(\[timeout)|(PRM\|1\|D)|(kpr)|(kdp)|(\|lc)|(penalty))"</v>
      </c>
      <c r="AG209" s="1" t="str">
        <f>IFERROR(IF(VALUE(LEFT(AD209,2))&lt;=2,"EC",IF(OR(VALUE(LEFT(AD209,2))=8,VALUE(LEFT(AD209,2))=18),"NW","Other")),"Other")</f>
        <v>Other</v>
      </c>
      <c r="AH209" s="86" t="str">
        <f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306-03 --locoid 4041 --swversion DE.1.0.9.0 --startMP 300:23050 --initTime 2017-04-03T03:53:29 --startdatetime 2017-04-03T03:57:54 --delay 4 --endMP 204:130 --enddatetime 2017-04-03T04:06:16 --enforcementcount 0 &gt;&gt;C:\Users\stu\Documents\GitHub\eaglep3-reporting\EC\2017-04-03-refined-times.txt</v>
      </c>
      <c r="AI209" s="104" t="str">
        <f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{"issue":{"subject":"","project_id":79,"tracker_id":40,"status_id":1,"priority_id":2,"assigned_to_id":23,"start_date":"2017-04-03","description":"","custom_fields":[{"id":1,"name":"Subdivision","value":"Other"},{"id":4,"name":"Milepost","value":"0.013"},{"id":17,"name":"Train ID","value":"306-03"},{"id":16,"name":"Locomotive ID","value":"4041"},{"id":130,"name":"Impact","value":""},{"id":150,"name":"Time of Event (Mountain Time)","value":"04:06:16"},{"id":151,"name":"Denver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>"start /low /b "&amp;dls3logs&amp;" --loco "&amp;B209&amp;" --day "&amp;TEXT(F209,"YYYY-MM-DD")</f>
        <v>start /low /b %USERPROFILE%\Documents\GitHub\eaglep3\Utilities\DownloadLogsFromS3.py --loco 4041 --day 2017-04-03</v>
      </c>
      <c r="AN209" s="159" t="str">
        <f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791</v>
      </c>
      <c r="B210" s="7">
        <v>4044</v>
      </c>
      <c r="C210" s="21" t="s">
        <v>217</v>
      </c>
      <c r="D210" s="21" t="s">
        <v>207</v>
      </c>
      <c r="E210" s="13">
        <v>42828.820833333331</v>
      </c>
      <c r="F210" s="13">
        <v>42828.821956018517</v>
      </c>
      <c r="G210" s="7">
        <v>1</v>
      </c>
      <c r="H210" s="21" t="s">
        <v>905</v>
      </c>
      <c r="I210" s="13">
        <v>42828.827928240738</v>
      </c>
      <c r="J210" s="7">
        <v>0</v>
      </c>
      <c r="K210" s="97" t="str">
        <f>IF(ISEVEN(B210),(B210-1)&amp;"/"&amp;B210,B210&amp;"/"&amp;(B210+1))</f>
        <v>4043/4044</v>
      </c>
      <c r="L210" s="21" t="str">
        <f>VLOOKUP(A210,'Trips&amp;Operators'!$C$1:$G$99999,5,FALSE)</f>
        <v>BRANDNER MELINDA</v>
      </c>
      <c r="M210" s="6">
        <f>I210-F210</f>
        <v>5.9722222213167697E-3</v>
      </c>
      <c r="N210" s="7">
        <f>24*60*SUM($M210:$M210)</f>
        <v>8.5999999986961484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-04-03T18:42:00-0600',mode:absolute,to:'2017-04-03T20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83" t="str">
        <f>IF(AA210&lt;IF(AG210="EC",23,5.65),"Y","N")</f>
        <v>Y</v>
      </c>
      <c r="X210" s="183">
        <f>VALUE(LEFT(AD210,4))-VALUE(LEFT(AD209,4))</f>
        <v>1</v>
      </c>
      <c r="Y210" s="62">
        <f>RIGHT(D210,LEN(D210)-4)/10000</f>
        <v>4.5699999999999998E-2</v>
      </c>
      <c r="Z210" s="62">
        <f>RIGHT(H210,LEN(H210)-4)/10000</f>
        <v>2.2982999999999998</v>
      </c>
      <c r="AA210" s="62">
        <f>ABS(Z210-Y210)</f>
        <v>2.2525999999999997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>IF(LEN(A210)=6,"0"&amp;A210,A210)</f>
        <v>0307-03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AF210" s="82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/stypes="app*4044*20170404*" /stext=" 01:.+((SYSTEM_STATE.+slice.+state.+changed )|(ment ac)|(multiple cpu faults)|(system.+state.+changed )|(\[timeout)|(PRM\|1\|D)|(kpr)|(kdp)|(\|lc)|(penalty))"</v>
      </c>
      <c r="AG210" s="1" t="str">
        <f>IFERROR(IF(VALUE(LEFT(AD210,2))&lt;=2,"EC",IF(OR(VALUE(LEFT(AD210,2))=8,VALUE(LEFT(AD210,2))=18),"NW","Other")),"Other")</f>
        <v>Other</v>
      </c>
      <c r="AH210" s="86" t="str">
        <f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307-03 --locoid 4044 --swversion DE.1.0.9.0 --startMP 204:457 --initTime 2017-04-03T19:42:00 --startdatetime 2017-04-03T19:43:37 --delay 1 --endMP 300:22983 --enddatetime 2017-04-03T19:52:13 --enforcementcount 0 &gt;&gt;C:\Users\stu\Documents\GitHub\eaglep3-reporting\EC\2017-04-03-refined-times.txt</v>
      </c>
      <c r="AI210" s="104" t="str">
        <f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{"issue":{"subject":"","project_id":79,"tracker_id":40,"status_id":1,"priority_id":2,"assigned_to_id":23,"start_date":"2017-04-03","description":"","custom_fields":[{"id":1,"name":"Subdivision","value":"Other"},{"id":4,"name":"Milepost","value":"2.2983"},{"id":17,"name":"Train ID","value":"307-03"},{"id":16,"name":"Locomotive ID","value":"4044"},{"id":130,"name":"Impact","value":""},{"id":150,"name":"Time of Event (Mountain Time)","value":"19:52:13"},{"id":151,"name":"Denver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>"start /low /b "&amp;dls3logs&amp;" --loco "&amp;B210&amp;" --day "&amp;TEXT(F210,"YYYY-MM-DD")</f>
        <v>start /low /b %USERPROFILE%\Documents\GitHub\eaglep3\Utilities\DownloadLogsFromS3.py --loco 4044 --day 2017-04-03</v>
      </c>
      <c r="AN210" s="159" t="str">
        <f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570</v>
      </c>
      <c r="B211" s="7">
        <v>4017</v>
      </c>
      <c r="C211" s="21" t="s">
        <v>217</v>
      </c>
      <c r="D211" s="21" t="s">
        <v>906</v>
      </c>
      <c r="E211" s="13">
        <v>42828.169444444444</v>
      </c>
      <c r="F211" s="13">
        <v>42828.171956018516</v>
      </c>
      <c r="G211" s="7">
        <v>3</v>
      </c>
      <c r="H211" s="21" t="s">
        <v>907</v>
      </c>
      <c r="I211" s="13">
        <v>42828.177442129629</v>
      </c>
      <c r="J211" s="7">
        <v>0</v>
      </c>
      <c r="K211" s="97" t="str">
        <f>IF(ISEVEN(B211),(B211-1)&amp;"/"&amp;B211,B211&amp;"/"&amp;(B211+1))</f>
        <v>4017/4018</v>
      </c>
      <c r="L211" s="21" t="str">
        <f>VLOOKUP(A211,'Trips&amp;Operators'!$C$1:$G$99999,5,FALSE)</f>
        <v>FORTUNATO FRANK</v>
      </c>
      <c r="M211" s="6">
        <f>I211-F211</f>
        <v>5.4861111129866913E-3</v>
      </c>
      <c r="N211" s="7">
        <f>24*60*SUM($M211:$M211)</f>
        <v>7.9000000027008355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-04-03T03:04:00-0600',mode:absolute,to:'2017-04-03T05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3" t="str">
        <f>IF(AA211&lt;IF(AG211="EC",23,5.65),"Y","N")</f>
        <v>Y</v>
      </c>
      <c r="X211" s="183">
        <f>VALUE(LEFT(AD211,4))-VALUE(LEFT(AD210,4))</f>
        <v>1</v>
      </c>
      <c r="Y211" s="62">
        <f>RIGHT(D211,LEN(D211)-4)/10000</f>
        <v>2.3704999999999998</v>
      </c>
      <c r="Z211" s="62">
        <f>RIGHT(H211,LEN(H211)-4)/10000</f>
        <v>1.83E-2</v>
      </c>
      <c r="AA211" s="62">
        <f>ABS(Z211-Y211)</f>
        <v>2.3521999999999998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>IF(LEN(A211)=6,"0"&amp;A211,A211)</f>
        <v>0308-03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AF211" s="82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/stypes="app*4017*20170403*" /stext=" 10:.+((SYSTEM_STATE.+slice.+state.+changed )|(ment ac)|(multiple cpu faults)|(system.+state.+changed )|(\[timeout)|(PRM\|1\|D)|(kpr)|(kdp)|(\|lc)|(penalty))"</v>
      </c>
      <c r="AG211" s="1" t="str">
        <f>IFERROR(IF(VALUE(LEFT(AD211,2))&lt;=2,"EC",IF(OR(VALUE(LEFT(AD211,2))=8,VALUE(LEFT(AD211,2))=18),"NW","Other")),"Other")</f>
        <v>Other</v>
      </c>
      <c r="AH211" s="86" t="str">
        <f>refinertdcruntimes&amp;" --tripid "&amp;A211&amp;" --locoid "&amp;B211&amp;" --swversion "&amp;C211&amp;" --startMP "&amp;D211&amp;" --initTime "&amp;TEXT(E211,"yyyy-mm-ddTHH:MM:SS")&amp;" --startdatetime "&amp;TEXT(F211,"yyyy-mm-ddTHH:MM:SS")&amp;" --delay "&amp;G211&amp;" --endMP "&amp;H211&amp;" --enddatetime "&amp;TEXT(I211,"yyyy-mm-ddTHH:MM:SS")&amp;" --enforcementcount "&amp;J211&amp;IF(outputrefinedruntimes," &gt;&gt;"&amp;RefinedRTDCRunTimesOutputFile,"")</f>
        <v>"%USERPROFILE%\Documents\GitHub\eaglep3\Utilities\RefineRTDCRunTimes.py" --tripid 308-03 --locoid 4017 --swversion DE.1.0.9.0 --startMP 300:23705 --initTime 2017-04-03T04:04:00 --startdatetime 2017-04-03T04:07:37 --delay 3 --endMP 204:183 --enddatetime 2017-04-03T04:15:31 --enforcementcount 0 &gt;&gt;C:\Users\stu\Documents\GitHub\eaglep3-reporting\EC\2017-04-03-refined-times.txt</v>
      </c>
      <c r="AI211" s="104" t="str">
        <f>"echo {""issue"":{""subject"":"""&amp;R211&amp;""",""project_id"":79,""tracker_id"":40,""status_id"":"&amp;redmine_status&amp;",""priority_id"":"&amp;redmine_priority&amp;",""assigned_to_id"":"&amp;redmine_assignee&amp;",""start_date"":"""&amp;TEXT(I211,"YYYY-mm-dd")&amp;""",""description"":"""&amp;AJ211&amp;""",""custom_fields"":[{""id"":1,""name"":""Subdivision"",""value"":"""&amp;AG211&amp;"""},{""id"":4,""name"":""Milepost"",""value"":"""&amp;Z211&amp;"""},{""id"":17,""name"":""Train ID"",""value"":"""&amp;A211&amp;"""},{""id"":16,""name"":""Locomotive ID"",""value"":"""&amp;B211&amp;"""},{""id"":130,""name"":""Impact"",""value"":"""&amp;AK211&amp;"""},{""id"":150,""name"":""Time of Event (Mountain Time)"",""value"":"""&amp;TEXT(I211,"hh:mm:ss")&amp;"""},{""id"":151,""name"":""Denver Issue ID"",""value"":"""&amp;"""},{""id"":178,""name"":""Operational Impact"",""value"":"""&amp;redmine_op_impact&amp;"""},{""id"":179,""name"":""Denver Segment Assigned"",""value"":"""&amp;AL211&amp;"""}]}}"&amp;"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{"issue":{"subject":"","project_id":79,"tracker_id":40,"status_id":1,"priority_id":2,"assigned_to_id":23,"start_date":"2017-04-03","description":"","custom_fields":[{"id":1,"name":"Subdivision","value":"Other"},{"id":4,"name":"Milepost","value":"0.0183"},{"id":17,"name":"Train ID","value":"308-03"},{"id":16,"name":"Locomotive ID","value":"4017"},{"id":130,"name":"Impact","value":""},{"id":150,"name":"Time of Event (Mountain Time)","value":"04:15:31"},{"id":151,"name":"Denver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>"start /low /b "&amp;dls3logs&amp;" --loco "&amp;B211&amp;" --day "&amp;TEXT(F211,"YYYY-MM-DD")</f>
        <v>start /low /b %USERPROFILE%\Documents\GitHub\eaglep3\Utilities\DownloadLogsFromS3.py --loco 4017 --day 2017-04-03</v>
      </c>
      <c r="AN211" s="159" t="str">
        <f>"echo {""issue"":{""subject"":"""&amp;R211&amp;""",""project_id"":30,""tracker_id"":4,""status_id"":"&amp;redmine_status_wcr&amp;",""priority_id"":"&amp;redmine_priority_wcr&amp;",""assigned_to_id"":"&amp;redmine_assignee_wcr&amp;",""start_date"":"""&amp;TEXT(I211-utc_offset/24,"YYYY-mm-dd")&amp;""",""description"":"""&amp;AJ211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10:15:31"},{"id":29,"name":"Sharepoint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815</v>
      </c>
      <c r="B212" s="7">
        <v>4030</v>
      </c>
      <c r="C212" s="21" t="s">
        <v>217</v>
      </c>
      <c r="D212" s="21" t="s">
        <v>206</v>
      </c>
      <c r="E212" s="13">
        <v>42829.049490740741</v>
      </c>
      <c r="F212" s="13">
        <v>42829.051203703704</v>
      </c>
      <c r="G212" s="7">
        <v>1</v>
      </c>
      <c r="H212" s="21" t="s">
        <v>908</v>
      </c>
      <c r="I212" s="13">
        <v>42829.056712962964</v>
      </c>
      <c r="J212" s="7">
        <v>0</v>
      </c>
      <c r="K212" s="97" t="str">
        <f>IF(ISEVEN(B212),(B212-1)&amp;"/"&amp;B212,B212&amp;"/"&amp;(B212+1))</f>
        <v>4029/4030</v>
      </c>
      <c r="L212" s="21" t="str">
        <f>VLOOKUP(A212,'Trips&amp;Operators'!$C$1:$G$99999,5,FALSE)</f>
        <v>SMITH MICHAEL</v>
      </c>
      <c r="M212" s="6">
        <f>I212-F212</f>
        <v>5.5092592592700385E-3</v>
      </c>
      <c r="N212" s="7">
        <f>24*60*SUM($M212:$M212)</f>
        <v>7.9333333333488554</v>
      </c>
      <c r="O212" s="7"/>
      <c r="P212" s="7"/>
      <c r="Q212" s="22"/>
      <c r="R212" s="22"/>
      <c r="S212" s="31">
        <f>SUM(U212:U212)/IF(AG212="EC",12,1)</f>
        <v>1</v>
      </c>
      <c r="T212" s="46" t="str">
        <f>IF(ISEVEN(LEFT(AD212,4)),"Southbound","NorthBound")</f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-04-04T00:11:16-0600',mode:absolute,to:'2017-04-04T02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2" s="183" t="str">
        <f>IF(AA212&lt;IF(AG212="EC",23,5.65),"Y","N")</f>
        <v>Y</v>
      </c>
      <c r="X212" s="183">
        <f>VALUE(LEFT(AD212,4))-VALUE(LEFT(AD211,4))</f>
        <v>1</v>
      </c>
      <c r="Y212" s="62">
        <f>RIGHT(D212,LEN(D212)-4)/10000</f>
        <v>4.5100000000000001E-2</v>
      </c>
      <c r="Z212" s="62">
        <f>RIGHT(H212,LEN(H212)-4)/10000</f>
        <v>2.3298999999999999</v>
      </c>
      <c r="AA212" s="62">
        <f>ABS(Z212-Y212)</f>
        <v>2.2847999999999997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>IF(LEN(A212)=6,"0"&amp;A212,A212)</f>
        <v>0309-03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 &amp; aws s3 cp s3://rtdc.mdm.uploadarchive.raw/RTDC4030/ "%USERPROFILE%\AppData\Local\Temp\OnboardLogs"\RTDC4030\2017-04-05 --exclude "*" --recursive --include "*20170405*" &amp; "%USERPROFILE%\Documents\GitHub\mrs-test-scripts\Headless Mode &amp; Sideloading\WalkAndUnGZ.bat" "%USERPROFILE%\AppData\Local\Temp\OnboardLogs"\RTDC4030\2017-04-05</v>
      </c>
      <c r="AF212" s="82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/stypes="app*4030*20170404*" /stext=" 07:.+((SYSTEM_STATE.+slice.+state.+changed )|(ment ac)|(multiple cpu faults)|(system.+state.+changed )|(\[timeout)|(PRM\|1\|D)|(kpr)|(kdp)|(\|lc)|(penalty))"</v>
      </c>
      <c r="AG212" s="1" t="str">
        <f>IFERROR(IF(VALUE(LEFT(AD212,2))&lt;=2,"EC",IF(OR(VALUE(LEFT(AD212,2))=8,VALUE(LEFT(AD212,2))=18),"NW","Other")),"Other")</f>
        <v>Other</v>
      </c>
      <c r="AH212" s="86" t="str">
        <f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309-03 --locoid 4030 --swversion DE.1.0.9.0 --startMP 204:451 --initTime 2017-04-04T01:11:16 --startdatetime 2017-04-04T01:13:44 --delay 1 --endMP 300:23299 --enddatetime 2017-04-04T01:21:40 --enforcementcount 0 &gt;&gt;C:\Users\stu\Documents\GitHub\eaglep3-reporting\EC\2017-04-03-refined-times.txt</v>
      </c>
      <c r="AI212" s="104" t="str">
        <f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{"issue":{"subject":"","project_id":79,"tracker_id":40,"status_id":1,"priority_id":2,"assigned_to_id":23,"start_date":"2017-04-04","description":"","custom_fields":[{"id":1,"name":"Subdivision","value":"Other"},{"id":4,"name":"Milepost","value":"2.3299"},{"id":17,"name":"Train ID","value":"309-03"},{"id":16,"name":"Locomotive ID","value":"4030"},{"id":130,"name":"Impact","value":""},{"id":150,"name":"Time of Event (Mountain Time)","value":"01:21:40"},{"id":151,"name":"Denver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>"start /low /b "&amp;dls3logs&amp;" --loco "&amp;B212&amp;" --day "&amp;TEXT(F212,"YYYY-MM-DD")</f>
        <v>start /low /b %USERPROFILE%\Documents\GitHub\eaglep3\Utilities\DownloadLogsFromS3.py --loco 4030 --day 2017-04-04</v>
      </c>
      <c r="AN212" s="159" t="str">
        <f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638</v>
      </c>
      <c r="B213" s="7">
        <v>4007</v>
      </c>
      <c r="C213" s="21" t="s">
        <v>217</v>
      </c>
      <c r="D213" s="21" t="s">
        <v>909</v>
      </c>
      <c r="E213" s="13">
        <v>42828.177430555559</v>
      </c>
      <c r="F213" s="13">
        <v>42828.181655092594</v>
      </c>
      <c r="G213" s="7">
        <v>6</v>
      </c>
      <c r="H213" s="21" t="s">
        <v>213</v>
      </c>
      <c r="I213" s="13">
        <v>42828.187256944446</v>
      </c>
      <c r="J213" s="7">
        <v>0</v>
      </c>
      <c r="K213" s="97" t="str">
        <f>IF(ISEVEN(B213),(B213-1)&amp;"/"&amp;B213,B213&amp;"/"&amp;(B213+1))</f>
        <v>4007/4008</v>
      </c>
      <c r="L213" s="21" t="str">
        <f>VLOOKUP(A213,'Trips&amp;Operators'!$C$1:$G$99999,5,FALSE)</f>
        <v>SHOOK JOHN</v>
      </c>
      <c r="M213" s="6">
        <f>I213-F213</f>
        <v>5.6018518516793847E-3</v>
      </c>
      <c r="N213" s="7">
        <f>24*60*SUM($M213:$M213)</f>
        <v>8.066666666418314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-04-03T03:15:30-0600',mode:absolute,to:'2017-04-03T05:29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3" s="183" t="str">
        <f>IF(AA213&lt;IF(AG213="EC",23,5.65),"Y","N")</f>
        <v>Y</v>
      </c>
      <c r="X213" s="183">
        <f>VALUE(LEFT(AD213,4))-VALUE(LEFT(AD212,4))</f>
        <v>1</v>
      </c>
      <c r="Y213" s="62">
        <f>RIGHT(D213,LEN(D213)-4)/10000</f>
        <v>2.2927</v>
      </c>
      <c r="Z213" s="62">
        <f>RIGHT(H213,LEN(H213)-4)/10000</f>
        <v>1.5599999999999999E-2</v>
      </c>
      <c r="AA213" s="62">
        <f>ABS(Z213-Y213)</f>
        <v>2.2770999999999999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>IF(LEN(A213)=6,"0"&amp;A213,A213)</f>
        <v>0310-03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AF213" s="82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/stypes="app*4007*20170403*" /stext=" 10:.+((SYSTEM_STATE.+slice.+state.+changed )|(ment ac)|(multiple cpu faults)|(system.+state.+changed )|(\[timeout)|(PRM\|1\|D)|(kpr)|(kdp)|(\|lc)|(penalty))"</v>
      </c>
      <c r="AG213" s="1" t="str">
        <f>IFERROR(IF(VALUE(LEFT(AD213,2))&lt;=2,"EC",IF(OR(VALUE(LEFT(AD213,2))=8,VALUE(LEFT(AD213,2))=18),"NW","Other")),"Other")</f>
        <v>Other</v>
      </c>
      <c r="AH213" s="86" t="str">
        <f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310-03 --locoid 4007 --swversion DE.1.0.9.0 --startMP 300:22927 --initTime 2017-04-03T04:15:30 --startdatetime 2017-04-03T04:21:35 --delay 6 --endMP 204:156 --enddatetime 2017-04-03T04:29:39 --enforcementcount 0 &gt;&gt;C:\Users\stu\Documents\GitHub\eaglep3-reporting\EC\2017-04-03-refined-times.txt</v>
      </c>
      <c r="AI213" s="104" t="str">
        <f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{"issue":{"subject":"","project_id":79,"tracker_id":40,"status_id":1,"priority_id":2,"assigned_to_id":23,"start_date":"2017-04-03","description":"","custom_fields":[{"id":1,"name":"Subdivision","value":"Other"},{"id":4,"name":"Milepost","value":"0.0156"},{"id":17,"name":"Train ID","value":"310-03"},{"id":16,"name":"Locomotive ID","value":"4007"},{"id":130,"name":"Impact","value":""},{"id":150,"name":"Time of Event (Mountain Time)","value":"04:29:39"},{"id":151,"name":"Denver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>"start /low /b "&amp;dls3logs&amp;" --loco "&amp;B213&amp;" --day "&amp;TEXT(F213,"YYYY-MM-DD")</f>
        <v>start /low /b %USERPROFILE%\Documents\GitHub\eaglep3\Utilities\DownloadLogsFromS3.py --loco 4007 --day 2017-04-03</v>
      </c>
      <c r="AN213" s="159" t="str">
        <f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10:29:39"},{"id":29,"name":"Sharepoint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817</v>
      </c>
      <c r="B214" s="7">
        <v>4028</v>
      </c>
      <c r="C214" s="21" t="s">
        <v>217</v>
      </c>
      <c r="D214" s="21" t="s">
        <v>463</v>
      </c>
      <c r="E214" s="13">
        <v>42829.072581018518</v>
      </c>
      <c r="F214" s="13">
        <v>42829.074074074073</v>
      </c>
      <c r="G214" s="7">
        <v>1</v>
      </c>
      <c r="H214" s="21" t="s">
        <v>565</v>
      </c>
      <c r="I214" s="13">
        <v>42829.081018518518</v>
      </c>
      <c r="J214" s="7">
        <v>0</v>
      </c>
      <c r="K214" s="97" t="str">
        <f>IF(ISEVEN(B214),(B214-1)&amp;"/"&amp;B214,B214&amp;"/"&amp;(B214+1))</f>
        <v>4027/4028</v>
      </c>
      <c r="L214" s="21" t="str">
        <f>VLOOKUP(A214,'Trips&amp;Operators'!$C$1:$G$99999,5,FALSE)</f>
        <v>GUZMAN DANNY</v>
      </c>
      <c r="M214" s="6">
        <f>I214-F214</f>
        <v>6.9444444452528842E-3</v>
      </c>
      <c r="N214" s="7">
        <f>24*60*SUM($M214:$M214)</f>
        <v>10.000000001164153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-04-04T00:44:31-0600',mode:absolute,to:'2017-04-04T02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4" s="183" t="str">
        <f>IF(AA214&lt;IF(AG214="EC",23,5.65),"Y","N")</f>
        <v>Y</v>
      </c>
      <c r="X214" s="183">
        <f>VALUE(LEFT(AD214,4))-VALUE(LEFT(AD213,4))</f>
        <v>1</v>
      </c>
      <c r="Y214" s="62">
        <f>RIGHT(D214,LEN(D214)-4)/10000</f>
        <v>4.6199999999999998E-2</v>
      </c>
      <c r="Z214" s="62">
        <f>RIGHT(H214,LEN(H214)-4)/10000</f>
        <v>2.3306</v>
      </c>
      <c r="AA214" s="62">
        <f>ABS(Z214-Y214)</f>
        <v>2.2844000000000002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>IF(LEN(A214)=6,"0"&amp;A214,A214)</f>
        <v>0311-03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 &amp; aws s3 cp s3://rtdc.mdm.uploadarchive.raw/RTDC4028/ "%USERPROFILE%\AppData\Local\Temp\OnboardLogs"\RTDC4028\2017-04-05 --exclude "*" --recursive --include "*20170405*" &amp; "%USERPROFILE%\Documents\GitHub\mrs-test-scripts\Headless Mode &amp; Sideloading\WalkAndUnGZ.bat" "%USERPROFILE%\AppData\Local\Temp\OnboardLogs"\RTDC4028\2017-04-05</v>
      </c>
      <c r="AF214" s="82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/stypes="app*4028*20170404*" /stext=" 07:.+((SYSTEM_STATE.+slice.+state.+changed )|(ment ac)|(multiple cpu faults)|(system.+state.+changed )|(\[timeout)|(PRM\|1\|D)|(kpr)|(kdp)|(\|lc)|(penalty))"</v>
      </c>
      <c r="AG214" s="1" t="str">
        <f>IFERROR(IF(VALUE(LEFT(AD214,2))&lt;=2,"EC",IF(OR(VALUE(LEFT(AD214,2))=8,VALUE(LEFT(AD214,2))=18),"NW","Other")),"Other")</f>
        <v>Other</v>
      </c>
      <c r="AH214" s="86" t="str">
        <f>refinertdcruntimes&amp;" --tripid "&amp;A214&amp;" --locoid "&amp;B214&amp;" --swversion "&amp;C214&amp;" --startMP "&amp;D214&amp;" --initTime "&amp;TEXT(E214,"yyyy-mm-ddTHH:MM:SS")&amp;" --startdatetime "&amp;TEXT(F214,"yyyy-mm-ddTHH:MM:SS")&amp;" --delay "&amp;G214&amp;" --endMP "&amp;H214&amp;" --enddatetime "&amp;TEXT(I214,"yyyy-mm-ddTHH:MM:SS")&amp;" --enforcementcount "&amp;J214&amp;IF(outputrefinedruntimes," &gt;&gt;"&amp;RefinedRTDCRunTimesOutputFile,"")</f>
        <v>"%USERPROFILE%\Documents\GitHub\eaglep3\Utilities\RefineRTDCRunTimes.py" --tripid 311-03 --locoid 4028 --swversion DE.1.0.9.0 --startMP 204:462 --initTime 2017-04-04T01:44:31 --startdatetime 2017-04-04T01:46:40 --delay 1 --endMP 300:23306 --enddatetime 2017-04-04T01:56:40 --enforcementcount 0 &gt;&gt;C:\Users\stu\Documents\GitHub\eaglep3-reporting\EC\2017-04-03-refined-times.txt</v>
      </c>
      <c r="AI214" s="104" t="str">
        <f>"echo {""issue"":{""subject"":"""&amp;R214&amp;""",""project_id"":79,""tracker_id"":40,""status_id"":"&amp;redmine_status&amp;",""priority_id"":"&amp;redmine_priority&amp;",""assigned_to_id"":"&amp;redmine_assignee&amp;",""start_date"":"""&amp;TEXT(I214,"YYYY-mm-dd")&amp;""",""description"":"""&amp;AJ214&amp;""",""custom_fields"":[{""id"":1,""name"":""Subdivision"",""value"":"""&amp;AG214&amp;"""},{""id"":4,""name"":""Milepost"",""value"":"""&amp;Z214&amp;"""},{""id"":17,""name"":""Train ID"",""value"":"""&amp;A214&amp;"""},{""id"":16,""name"":""Locomotive ID"",""value"":"""&amp;B214&amp;"""},{""id"":130,""name"":""Impact"",""value"":"""&amp;AK214&amp;"""},{""id"":150,""name"":""Time of Event (Mountain Time)"",""value"":"""&amp;TEXT(I214,"hh:mm:ss")&amp;"""},{""id"":151,""name"":""Denver Issue ID"",""value"":"""&amp;"""},{""id"":178,""name"":""Operational Impact"",""value"":"""&amp;redmine_op_impact&amp;"""},{""id"":179,""name"":""Denver Segment Assigned"",""value"":"""&amp;AL214&amp;"""}]}}"&amp;"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ID","value":"311-03"},{"id":16,"name":"Locomotive ID","value":"4028"},{"id":130,"name":"Impact","value":""},{"id":150,"name":"Time of Event (Mountain Time)","value":"01:56:40"},{"id":151,"name":"Denver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>"start /low /b "&amp;dls3logs&amp;" --loco "&amp;B214&amp;" --day "&amp;TEXT(F214,"YYYY-MM-DD")</f>
        <v>start /low /b %USERPROFILE%\Documents\GitHub\eaglep3\Utilities\DownloadLogsFromS3.py --loco 4028 --day 2017-04-04</v>
      </c>
      <c r="AN214" s="159" t="str">
        <f>"echo {""issue"":{""subject"":"""&amp;R214&amp;""",""project_id"":30,""tracker_id"":4,""status_id"":"&amp;redmine_status_wcr&amp;",""priority_id"":"&amp;redmine_priority_wcr&amp;",""assigned_to_id"":"&amp;redmine_assignee_wcr&amp;",""start_date"":"""&amp;TEXT(I214-utc_offset/24,"YYYY-mm-dd")&amp;""",""description"":"""&amp;AJ214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07:56:40"},{"id":29,"name":"Sharepoint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541</v>
      </c>
      <c r="B215" s="7">
        <v>4010</v>
      </c>
      <c r="C215" s="21" t="s">
        <v>217</v>
      </c>
      <c r="D215" s="21" t="s">
        <v>546</v>
      </c>
      <c r="E215" s="13">
        <v>42828.086921296293</v>
      </c>
      <c r="F215" s="13">
        <v>42828.088541666664</v>
      </c>
      <c r="G215" s="7">
        <v>1</v>
      </c>
      <c r="H215" s="21" t="s">
        <v>477</v>
      </c>
      <c r="I215" s="13">
        <v>42828.094907407409</v>
      </c>
      <c r="J215" s="7">
        <v>0</v>
      </c>
      <c r="K215" s="97" t="str">
        <f>IF(ISEVEN(B215),(B215-1)&amp;"/"&amp;B215,B215&amp;"/"&amp;(B215+1))</f>
        <v>4009/4010</v>
      </c>
      <c r="L215" s="21" t="str">
        <f>VLOOKUP(A215,'Trips&amp;Operators'!$C$1:$G$99999,5,FALSE)</f>
        <v>STAMBAUGH JAMES</v>
      </c>
      <c r="M215" s="6">
        <f>I215-F215</f>
        <v>6.3657407445134595E-3</v>
      </c>
      <c r="N215" s="7">
        <f>24*60*SUM($M215:$M215)</f>
        <v>9.1666666720993817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-04-03T01:05:10-0600',mode:absolute,to:'2017-04-03T03:16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5" s="183" t="str">
        <f>IF(AA215&lt;IF(AG215="EC",23,5.65),"Y","N")</f>
        <v>Y</v>
      </c>
      <c r="X215" s="183">
        <f>VALUE(LEFT(AD215,4))-VALUE(LEFT(AD214,4))</f>
        <v>2</v>
      </c>
      <c r="Y215" s="62">
        <f>RIGHT(D215,LEN(D215)-4)/10000</f>
        <v>4.58E-2</v>
      </c>
      <c r="Z215" s="62">
        <f>RIGHT(H215,LEN(H215)-4)/10000</f>
        <v>2.3346</v>
      </c>
      <c r="AA215" s="62">
        <f>ABS(Z215-Y215)</f>
        <v>2.2888000000000002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>IF(LEN(A215)=6,"0"&amp;A215,A215)</f>
        <v>0313-02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s3://rtdc.mdm.uploadarchive.raw/RTDC4010/ "%USERPROFILE%\AppData\Local\Temp\OnboardLogs"\RTDC4010\2017-04-03 --exclude "*" --recursive --include "*20170403*" &amp; "%USERPROFILE%\Documents\GitHub\mrs-test-scripts\Headless Mode &amp; Sideloading\WalkAndUnGZ.bat" "%USERPROFILE%\AppData\Local\Temp\OnboardLogs"\RTDC4010\2017-04-03 &amp; aws s3 cp s3://rtdc.mdm.uploadarchive.raw/RTDC4010/ "%USERPROFILE%\AppData\Local\Temp\OnboardLogs"\RTDC4010\2017-04-04 --exclude "*" --recursive --include "*20170404*" &amp; "%USERPROFILE%\Documents\GitHub\mrs-test-scripts\Headless Mode &amp; Sideloading\WalkAndUnGZ.bat" "%USERPROFILE%\AppData\Local\Temp\OnboardLogs"\RTDC4010\2017-04-04</v>
      </c>
      <c r="AF215" s="82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/stypes="app*4010*20170403*" /stext=" 08:.+((SYSTEM_STATE.+slice.+state.+changed )|(ment ac)|(multiple cpu faults)|(system.+state.+changed )|(\[timeout)|(PRM\|1\|D)|(kpr)|(kdp)|(\|lc)|(penalty))"</v>
      </c>
      <c r="AG215" s="1" t="str">
        <f>IFERROR(IF(VALUE(LEFT(AD215,2))&lt;=2,"EC",IF(OR(VALUE(LEFT(AD215,2))=8,VALUE(LEFT(AD215,2))=18),"NW","Other")),"Other")</f>
        <v>Other</v>
      </c>
      <c r="AH215" s="86" t="str">
        <f>refinertdcruntimes&amp;" --tripid "&amp;A215&amp;" --locoid "&amp;B215&amp;" --swversion "&amp;C215&amp;" --startMP "&amp;D215&amp;" --initTime "&amp;TEXT(E215,"yyyy-mm-ddTHH:MM:SS")&amp;" --startdatetime "&amp;TEXT(F215,"yyyy-mm-ddTHH:MM:SS")&amp;" --delay "&amp;G215&amp;" --endMP "&amp;H215&amp;" --enddatetime "&amp;TEXT(I215,"yyyy-mm-ddTHH:MM:SS")&amp;" --enforcementcount "&amp;J215&amp;IF(outputrefinedruntimes," &gt;&gt;"&amp;RefinedRTDCRunTimesOutputFile,"")</f>
        <v>"%USERPROFILE%\Documents\GitHub\eaglep3\Utilities\RefineRTDCRunTimes.py" --tripid 313-02 --locoid 4010 --swversion DE.1.0.9.0 --startMP 204:458 --initTime 2017-04-03T02:05:10 --startdatetime 2017-04-03T02:07:30 --delay 1 --endMP 300:23346 --enddatetime 2017-04-03T02:16:40 --enforcementcount 0 &gt;&gt;C:\Users\stu\Documents\GitHub\eaglep3-reporting\EC\2017-04-03-refined-times.txt</v>
      </c>
      <c r="AI215" s="104" t="str">
        <f>"echo {""issue"":{""subject"":"""&amp;R215&amp;""",""project_id"":79,""tracker_id"":40,""status_id"":"&amp;redmine_status&amp;",""priority_id"":"&amp;redmine_priority&amp;",""assigned_to_id"":"&amp;redmine_assignee&amp;",""start_date"":"""&amp;TEXT(I215,"YYYY-mm-dd")&amp;""",""description"":"""&amp;AJ215&amp;""",""custom_fields"":[{""id"":1,""name"":""Subdivision"",""value"":"""&amp;AG215&amp;"""},{""id"":4,""name"":""Milepost"",""value"":"""&amp;Z215&amp;"""},{""id"":17,""name"":""Train ID"",""value"":"""&amp;A215&amp;"""},{""id"":16,""name"":""Locomotive ID"",""value"":"""&amp;B215&amp;"""},{""id"":130,""name"":""Impact"",""value"":"""&amp;AK215&amp;"""},{""id"":150,""name"":""Time of Event (Mountain Time)"",""value"":"""&amp;TEXT(I215,"hh:mm:ss")&amp;"""},{""id"":151,""name"":""Denver Issue ID"",""value"":"""&amp;"""},{""id"":178,""name"":""Operational Impact"",""value"":"""&amp;redmine_op_impact&amp;"""},{""id"":179,""name"":""Denver Segment Assigned"",""value"":"""&amp;AL215&amp;"""}]}}"&amp;"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ID","value":"313-02"},{"id":16,"name":"Locomotive ID","value":"4010"},{"id":130,"name":"Impact","value":""},{"id":150,"name":"Time of Event (Mountain Time)","value":"02:16:40"},{"id":151,"name":"Denver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>"start /low /b "&amp;dls3logs&amp;" --loco "&amp;B215&amp;" --day "&amp;TEXT(F215,"YYYY-MM-DD")</f>
        <v>start /low /b %USERPROFILE%\Documents\GitHub\eaglep3\Utilities\DownloadLogsFromS3.py --loco 4010 --day 2017-04-03</v>
      </c>
      <c r="AN215" s="159" t="str">
        <f>"echo {""issue"":{""subject"":"""&amp;R215&amp;""",""project_id"":30,""tracker_id"":4,""status_id"":"&amp;redmine_status_wcr&amp;",""priority_id"":"&amp;redmine_priority_wcr&amp;",""assigned_to_id"":"&amp;redmine_assignee_wcr&amp;",""start_date"":"""&amp;TEXT(I215-utc_offset/24,"YYYY-mm-dd")&amp;""",""description"":"""&amp;AJ215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08:16:40"},{"id":29,"name":"Sharepoint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818</v>
      </c>
      <c r="B216" s="7">
        <v>4018</v>
      </c>
      <c r="C216" s="21" t="s">
        <v>217</v>
      </c>
      <c r="D216" s="21" t="s">
        <v>207</v>
      </c>
      <c r="E216" s="13">
        <v>42829.089861111112</v>
      </c>
      <c r="F216" s="13">
        <v>42829.090914351851</v>
      </c>
      <c r="G216" s="7">
        <v>1</v>
      </c>
      <c r="H216" s="21" t="s">
        <v>910</v>
      </c>
      <c r="I216" s="13">
        <v>42829.099861111114</v>
      </c>
      <c r="J216" s="7">
        <v>0</v>
      </c>
      <c r="K216" s="97" t="str">
        <f>IF(ISEVEN(B216),(B216-1)&amp;"/"&amp;B216,B216&amp;"/"&amp;(B216+1))</f>
        <v>4017/4018</v>
      </c>
      <c r="L216" s="21" t="str">
        <f>VLOOKUP(A216,'Trips&amp;Operators'!$C$1:$G$99999,5,FALSE)</f>
        <v>STORY SAMANTHA</v>
      </c>
      <c r="M216" s="6">
        <f>I216-F216</f>
        <v>8.9467592624714598E-3</v>
      </c>
      <c r="N216" s="7">
        <f>24*60*SUM($M216:$M216)</f>
        <v>12.883333337958902</v>
      </c>
      <c r="O216" s="7"/>
      <c r="P216" s="7"/>
      <c r="Q216" s="22"/>
      <c r="R216" s="22"/>
      <c r="S216" s="31">
        <f>SUM(U216:U216)/IF(AG216="EC",12,1)</f>
        <v>1</v>
      </c>
      <c r="T216" s="46" t="str">
        <f>IF(ISEVEN(LEFT(AD216,4)),"Southbound","NorthBound")</f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-04-04T01:09:24-0600',mode:absolute,to:'2017-04-04T03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6" s="183" t="str">
        <f>IF(AA216&lt;IF(AG216="EC",23,5.65),"Y","N")</f>
        <v>Y</v>
      </c>
      <c r="X216" s="183">
        <f>VALUE(LEFT(AD216,4))-VALUE(LEFT(AD215,4))</f>
        <v>0</v>
      </c>
      <c r="Y216" s="62">
        <f>RIGHT(D216,LEN(D216)-4)/10000</f>
        <v>4.5699999999999998E-2</v>
      </c>
      <c r="Z216" s="62">
        <f>RIGHT(H216,LEN(H216)-4)/10000</f>
        <v>2.3311999999999999</v>
      </c>
      <c r="AA216" s="62">
        <f>ABS(Z216-Y216)</f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>IF(LEN(A216)=6,"0"&amp;A216,A216)</f>
        <v>0313-03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 &amp; aws s3 cp s3://rtdc.mdm.uploadarchive.raw/RTDC4018/ "%USERPROFILE%\AppData\Local\Temp\OnboardLogs"\RTDC4018\2017-04-05 --exclude "*" --recursive --include "*20170405*" &amp; "%USERPROFILE%\Documents\GitHub\mrs-test-scripts\Headless Mode &amp; Sideloading\WalkAndUnGZ.bat" "%USERPROFILE%\AppData\Local\Temp\OnboardLogs"\RTDC4018\2017-04-05</v>
      </c>
      <c r="AF216" s="82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/stypes="app*4018*20170404*" /stext=" 08:.+((SYSTEM_STATE.+slice.+state.+changed )|(ment ac)|(multiple cpu faults)|(system.+state.+changed )|(\[timeout)|(PRM\|1\|D)|(kpr)|(kdp)|(\|lc)|(penalty))"</v>
      </c>
      <c r="AG216" s="1" t="str">
        <f>IFERROR(IF(VALUE(LEFT(AD216,2))&lt;=2,"EC",IF(OR(VALUE(LEFT(AD216,2))=8,VALUE(LEFT(AD216,2))=18),"NW","Other")),"Other")</f>
        <v>Other</v>
      </c>
      <c r="AH216" s="86" t="str">
        <f>refinertdcruntimes&amp;" --tripid "&amp;A216&amp;" --locoid "&amp;B216&amp;" --swversion "&amp;C216&amp;" --startMP "&amp;D216&amp;" --initTime "&amp;TEXT(E216,"yyyy-mm-ddTHH:MM:SS")&amp;" --startdatetime "&amp;TEXT(F216,"yyyy-mm-ddTHH:MM:SS")&amp;" --delay "&amp;G216&amp;" --endMP "&amp;H216&amp;" --enddatetime "&amp;TEXT(I216,"yyyy-mm-ddTHH:MM:SS")&amp;" --enforcementcount "&amp;J216&amp;IF(outputrefinedruntimes," &gt;&gt;"&amp;RefinedRTDCRunTimesOutputFile,"")</f>
        <v>"%USERPROFILE%\Documents\GitHub\eaglep3\Utilities\RefineRTDCRunTimes.py" --tripid 313-03 --locoid 4018 --swversion DE.1.0.9.0 --startMP 204:457 --initTime 2017-04-04T02:09:24 --startdatetime 2017-04-04T02:10:55 --delay 1 --endMP 300:23312 --enddatetime 2017-04-04T02:23:48 --enforcementcount 0 &gt;&gt;C:\Users\stu\Documents\GitHub\eaglep3-reporting\EC\2017-04-03-refined-times.txt</v>
      </c>
      <c r="AI216" s="104" t="str">
        <f>"echo {""issue"":{""subject"":"""&amp;R216&amp;""",""project_id"":79,""tracker_id"":40,""status_id"":"&amp;redmine_status&amp;",""priority_id"":"&amp;redmine_priority&amp;",""assigned_to_id"":"&amp;redmine_assignee&amp;",""start_date"":"""&amp;TEXT(I216,"YYYY-mm-dd")&amp;""",""description"":"""&amp;AJ216&amp;""",""custom_fields"":[{""id"":1,""name"":""Subdivision"",""value"":"""&amp;AG216&amp;"""},{""id"":4,""name"":""Milepost"",""value"":"""&amp;Z216&amp;"""},{""id"":17,""name"":""Train ID"",""value"":"""&amp;A216&amp;"""},{""id"":16,""name"":""Locomotive ID"",""value"":"""&amp;B216&amp;"""},{""id"":130,""name"":""Impact"",""value"":"""&amp;AK216&amp;"""},{""id"":150,""name"":""Time of Event (Mountain Time)"",""value"":"""&amp;TEXT(I216,"hh:mm:ss")&amp;"""},{""id"":151,""name"":""Denver Issue ID"",""value"":"""&amp;"""},{""id"":178,""name"":""Operational Impact"",""value"":"""&amp;redmine_op_impact&amp;"""},{""id"":179,""name"":""Denver Segment Assigned"",""value"":"""&amp;AL216&amp;"""}]}}"&amp;"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{"issue":{"subject":"","project_id":79,"tracker_id":40,"status_id":1,"priority_id":2,"assigned_to_id":23,"start_date":"2017-04-04","description":"","custom_fields":[{"id":1,"name":"Subdivision","value":"Other"},{"id":4,"name":"Milepost","value":"2.3312"},{"id":17,"name":"Train ID","value":"313-03"},{"id":16,"name":"Locomotive ID","value":"4018"},{"id":130,"name":"Impact","value":""},{"id":150,"name":"Time of Event (Mountain Time)","value":"02:23:48"},{"id":151,"name":"Denver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>"start /low /b "&amp;dls3logs&amp;" --loco "&amp;B216&amp;" --day "&amp;TEXT(F216,"YYYY-MM-DD")</f>
        <v>start /low /b %USERPROFILE%\Documents\GitHub\eaglep3\Utilities\DownloadLogsFromS3.py --loco 4018 --day 2017-04-04</v>
      </c>
      <c r="AN216" s="159" t="str">
        <f>"echo {""issue"":{""subject"":"""&amp;R216&amp;""",""project_id"":30,""tracker_id"":4,""status_id"":"&amp;redmine_status_wcr&amp;",""priority_id"":"&amp;redmine_priority_wcr&amp;",""assigned_to_id"":"&amp;redmine_assignee_wcr&amp;",""start_date"":"""&amp;TEXT(I216-utc_offset/24,"YYYY-mm-dd")&amp;""",""description"":"""&amp;AJ216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814</v>
      </c>
      <c r="B217" s="7">
        <v>4052</v>
      </c>
      <c r="C217" s="21" t="s">
        <v>217</v>
      </c>
      <c r="D217" s="21" t="s">
        <v>218</v>
      </c>
      <c r="E217" s="13">
        <v>42829.032361111109</v>
      </c>
      <c r="F217" s="13">
        <v>42829.033842592595</v>
      </c>
      <c r="G217" s="7">
        <v>1</v>
      </c>
      <c r="H217" s="21" t="s">
        <v>565</v>
      </c>
      <c r="I217" s="13">
        <v>42829.041412037041</v>
      </c>
      <c r="J217" s="7">
        <v>0</v>
      </c>
      <c r="K217" s="97" t="str">
        <f>IF(ISEVEN(B217),(B217-1)&amp;"/"&amp;B217,B217&amp;"/"&amp;(B217+1))</f>
        <v>4051/4052</v>
      </c>
      <c r="L217" s="21" t="str">
        <f>VLOOKUP(A217,'Trips&amp;Operators'!$C$1:$G$99999,5,FALSE)</f>
        <v>CHANDLER KELVIN</v>
      </c>
      <c r="M217" s="6">
        <f>I217-F217</f>
        <v>7.5694444458349608E-3</v>
      </c>
      <c r="N217" s="7">
        <f>24*60*SUM($M217:$M217)</f>
        <v>10.900000002002344</v>
      </c>
      <c r="O217" s="7"/>
      <c r="P217" s="7"/>
      <c r="Q217" s="22"/>
      <c r="R217" s="22"/>
      <c r="S217" s="31">
        <f>SUM(U217:U217)/IF(AG217="EC",12,1)</f>
        <v>1</v>
      </c>
      <c r="T217" s="46" t="str">
        <f>IF(ISEVEN(LEFT(AD217,4)),"Southbound","NorthBound")</f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-04-03T23:46:36-0600',mode:absolute,to:'2017-04-04T01:59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7" s="183" t="str">
        <f>IF(AA217&lt;IF(AG217="EC",23,5.65),"Y","N")</f>
        <v>Y</v>
      </c>
      <c r="X217" s="183">
        <f>VALUE(LEFT(AD217,4))-VALUE(LEFT(AD216,4))</f>
        <v>2</v>
      </c>
      <c r="Y217" s="62">
        <f>RIGHT(D217,LEN(D217)-4)/10000</f>
        <v>4.6699999999999998E-2</v>
      </c>
      <c r="Z217" s="62">
        <f>RIGHT(H217,LEN(H217)-4)/10000</f>
        <v>2.3306</v>
      </c>
      <c r="AA217" s="62">
        <f>ABS(Z217-Y217)</f>
        <v>2.2839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>IF(LEN(A217)=6,"0"&amp;A217,A217)</f>
        <v>0315-03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 &amp; aws s3 cp s3://rtdc.mdm.uploadarchive.raw/RTDC4052/ "%USERPROFILE%\AppData\Local\Temp\OnboardLogs"\RTDC4052\2017-04-05 --exclude "*" --recursive --include "*20170405*" &amp; "%USERPROFILE%\Documents\GitHub\mrs-test-scripts\Headless Mode &amp; Sideloading\WalkAndUnGZ.bat" "%USERPROFILE%\AppData\Local\Temp\OnboardLogs"\RTDC4052\2017-04-05</v>
      </c>
      <c r="AF217" s="82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/stypes="app*4052*20170404*" /stext=" 06:.+((SYSTEM_STATE.+slice.+state.+changed )|(ment ac)|(multiple cpu faults)|(system.+state.+changed )|(\[timeout)|(PRM\|1\|D)|(kpr)|(kdp)|(\|lc)|(penalty))"</v>
      </c>
      <c r="AG217" s="1" t="str">
        <f>IFERROR(IF(VALUE(LEFT(AD217,2))&lt;=2,"EC",IF(OR(VALUE(LEFT(AD217,2))=8,VALUE(LEFT(AD217,2))=18),"NW","Other")),"Other")</f>
        <v>Other</v>
      </c>
      <c r="AH217" s="86" t="str">
        <f>refinertdcruntimes&amp;" --tripid "&amp;A217&amp;" --locoid "&amp;B217&amp;" --swversion "&amp;C217&amp;" --startMP "&amp;D217&amp;" --initTime "&amp;TEXT(E217,"yyyy-mm-ddTHH:MM:SS")&amp;" --startdatetime "&amp;TEXT(F217,"yyyy-mm-ddTHH:MM:SS")&amp;" --delay "&amp;G217&amp;" --endMP "&amp;H217&amp;" --enddatetime "&amp;TEXT(I217,"yyyy-mm-ddTHH:MM:SS")&amp;" --enforcementcount "&amp;J217&amp;IF(outputrefinedruntimes," &gt;&gt;"&amp;RefinedRTDCRunTimesOutputFile,"")</f>
        <v>"%USERPROFILE%\Documents\GitHub\eaglep3\Utilities\RefineRTDCRunTimes.py" --tripid 315-03 --locoid 4052 --swversion DE.1.0.9.0 --startMP 204:467 --initTime 2017-04-04T00:46:36 --startdatetime 2017-04-04T00:48:44 --delay 1 --endMP 300:23306 --enddatetime 2017-04-04T00:59:38 --enforcementcount 0 &gt;&gt;C:\Users\stu\Documents\GitHub\eaglep3-reporting\EC\2017-04-03-refined-times.txt</v>
      </c>
      <c r="AI217" s="104" t="str">
        <f>"echo {""issue"":{""subject"":"""&amp;R217&amp;""",""project_id"":79,""tracker_id"":40,""status_id"":"&amp;redmine_status&amp;",""priority_id"":"&amp;redmine_priority&amp;",""assigned_to_id"":"&amp;redmine_assignee&amp;",""start_date"":"""&amp;TEXT(I217,"YYYY-mm-dd")&amp;""",""description"":"""&amp;AJ217&amp;""",""custom_fields"":[{""id"":1,""name"":""Subdivision"",""value"":"""&amp;AG217&amp;"""},{""id"":4,""name"":""Milepost"",""value"":"""&amp;Z217&amp;"""},{""id"":17,""name"":""Train ID"",""value"":"""&amp;A217&amp;"""},{""id"":16,""name"":""Locomotive ID"",""value"":"""&amp;B217&amp;"""},{""id"":130,""name"":""Impact"",""value"":"""&amp;AK217&amp;"""},{""id"":150,""name"":""Time of Event (Mountain Time)"",""value"":"""&amp;TEXT(I217,"hh:mm:ss")&amp;"""},{""id"":151,""name"":""Denver Issue ID"",""value"":"""&amp;"""},{""id"":178,""name"":""Operational Impact"",""value"":"""&amp;redmine_op_impact&amp;"""},{""id"":179,""name"":""Denver Segment Assigned"",""value"":"""&amp;AL217&amp;"""}]}}"&amp;"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{"issue":{"subject":"","project_id":79,"tracker_id":40,"status_id":1,"priority_id":2,"assigned_to_id":23,"start_date":"2017-04-04","description":"","custom_fields":[{"id":1,"name":"Subdivision","value":"Other"},{"id":4,"name":"Milepost","value":"2.3306"},{"id":17,"name":"Train ID","value":"315-03"},{"id":16,"name":"Locomotive ID","value":"4052"},{"id":130,"name":"Impact","value":""},{"id":150,"name":"Time of Event (Mountain Time)","value":"00:59:38"},{"id":151,"name":"Denver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>"start /low /b "&amp;dls3logs&amp;" --loco "&amp;B217&amp;" --day "&amp;TEXT(F217,"YYYY-MM-DD")</f>
        <v>start /low /b %USERPROFILE%\Documents\GitHub\eaglep3\Utilities\DownloadLogsFromS3.py --loco 4052 --day 2017-04-04</v>
      </c>
      <c r="AN217" s="159" t="str">
        <f>"echo {""issue"":{""subject"":"""&amp;R217&amp;""",""project_id"":30,""tracker_id"":4,""status_id"":"&amp;redmine_status_wcr&amp;",""priority_id"":"&amp;redmine_priority_wcr&amp;",""assigned_to_id"":"&amp;redmine_assignee_wcr&amp;",""start_date"":"""&amp;TEXT(I217-utc_offset/24,"YYYY-mm-dd")&amp;""",""description"":"""&amp;AJ217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06:59:38"},{"id":29,"name":"Sharepoint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571</v>
      </c>
      <c r="B218" s="7">
        <v>4014</v>
      </c>
      <c r="C218" s="21" t="s">
        <v>217</v>
      </c>
      <c r="D218" s="21" t="s">
        <v>1000</v>
      </c>
      <c r="E218" s="13">
        <v>42828.198009259257</v>
      </c>
      <c r="F218" s="13">
        <v>42828.203310185185</v>
      </c>
      <c r="G218" s="7">
        <v>7</v>
      </c>
      <c r="H218" s="21" t="s">
        <v>1001</v>
      </c>
      <c r="I218" s="13">
        <v>42828.209780092591</v>
      </c>
      <c r="J218" s="7">
        <v>0</v>
      </c>
      <c r="K218" s="97" t="str">
        <f>IF(ISEVEN(B218),(B218-1)&amp;"/"&amp;B218,B218&amp;"/"&amp;(B218+1))</f>
        <v>4013/4014</v>
      </c>
      <c r="L218" s="21" t="str">
        <f>VLOOKUP(A218,'Trips&amp;Operators'!$C$1:$G$99999,5,FALSE)</f>
        <v>DAVIS WENDY</v>
      </c>
      <c r="M218" s="6">
        <f>I218-F218</f>
        <v>6.4699074064265005E-3</v>
      </c>
      <c r="N218" s="7">
        <f>24*60*SUM($M218:$M218)</f>
        <v>9.3166666652541608</v>
      </c>
      <c r="O218" s="7"/>
      <c r="P218" s="7"/>
      <c r="Q218" s="22"/>
      <c r="R218" s="22"/>
      <c r="S218" s="31">
        <f>SUM(U218:U218)/IF(AG218="EC",12,1)</f>
        <v>0</v>
      </c>
      <c r="T218" s="46" t="str">
        <f>IF(ISEVEN(LEFT(AD218,4)),"Southbound","NorthBound")</f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-04-03T03:45:08-0600',mode:absolute,to:'2017-04-03T06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8" s="183" t="str">
        <f>IF(AA218&lt;IF(AG218="EC",23,5.65),"Y","N")</f>
        <v>Y</v>
      </c>
      <c r="X218" s="183">
        <f>VALUE(LEFT(AD218,4))-VALUE(LEFT(AD217,4))</f>
        <v>586</v>
      </c>
      <c r="Y218" s="62">
        <f>RIGHT(D218,LEN(D218)-4)/10000</f>
        <v>2.9691000000000001</v>
      </c>
      <c r="Z218" s="62">
        <f>RIGHT(H218,LEN(H218)-4)/10000</f>
        <v>5.9008000000000003</v>
      </c>
      <c r="AA218" s="62">
        <f>ABS(Z218-Y218)</f>
        <v>2.9317000000000002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>IF(LEN(A218)=6,"0"&amp;A218,A218)</f>
        <v>0901-03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218" s="82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/stypes="app*4014*20170403*" /stext=" 11:.+((SYSTEM_STATE.+slice.+state.+changed )|(ment ac)|(multiple cpu faults)|(system.+state.+changed )|(\[timeout)|(PRM\|1\|D)|(kpr)|(kdp)|(\|lc)|(penalty))"</v>
      </c>
      <c r="AG218" s="1" t="str">
        <f>IFERROR(IF(VALUE(LEFT(AD218,2))&lt;=2,"EC",IF(OR(VALUE(LEFT(AD218,2))=8,VALUE(LEFT(AD218,2))=18),"NW","Other")),"Other")</f>
        <v>Other</v>
      </c>
      <c r="AH218" s="86" t="str">
        <f>refinertdcruntimes&amp;" --tripid "&amp;A218&amp;" --locoid "&amp;B218&amp;" --swversion "&amp;C218&amp;" --startMP "&amp;D218&amp;" --initTime "&amp;TEXT(E218,"yyyy-mm-ddTHH:MM:SS")&amp;" --startdatetime "&amp;TEXT(F218,"yyyy-mm-ddTHH:MM:SS")&amp;" --delay "&amp;G218&amp;" --endMP "&amp;H218&amp;" --enddatetime "&amp;TEXT(I218,"yyyy-mm-ddTHH:MM:SS")&amp;" --enforcementcount "&amp;J218&amp;IF(outputrefinedruntimes," &gt;&gt;"&amp;RefinedRTDCRunTimesOutputFile,"")</f>
        <v>"%USERPROFILE%\Documents\GitHub\eaglep3\Utilities\RefineRTDCRunTimes.py" --tripid 901-03 --locoid 4014 --swversion DE.1.0.9.0 --startMP 300:29691 --initTime 2017-04-03T04:45:08 --startdatetime 2017-04-03T04:52:46 --delay 7 --endMP 300:59008 --enddatetime 2017-04-03T05:02:05 --enforcementcount 0 &gt;&gt;C:\Users\stu\Documents\GitHub\eaglep3-reporting\EC\2017-04-03-refined-times.txt</v>
      </c>
      <c r="AI218" s="104" t="str">
        <f>"echo {""issue"":{""subject"":"""&amp;R218&amp;""",""project_id"":79,""tracker_id"":40,""status_id"":"&amp;redmine_status&amp;",""priority_id"":"&amp;redmine_priority&amp;",""assigned_to_id"":"&amp;redmine_assignee&amp;",""start_date"":"""&amp;TEXT(I218,"YYYY-mm-dd")&amp;""",""description"":"""&amp;AJ218&amp;""",""custom_fields"":[{""id"":1,""name"":""Subdivision"",""value"":"""&amp;AG218&amp;"""},{""id"":4,""name"":""Milepost"",""value"":"""&amp;Z218&amp;"""},{""id"":17,""name"":""Train ID"",""value"":"""&amp;A218&amp;"""},{""id"":16,""name"":""Locomotive ID"",""value"":"""&amp;B218&amp;"""},{""id"":130,""name"":""Impact"",""value"":"""&amp;AK218&amp;"""},{""id"":150,""name"":""Time of Event (Mountain Time)"",""value"":"""&amp;TEXT(I218,"hh:mm:ss")&amp;"""},{""id"":151,""name"":""Denver Issue ID"",""value"":"""&amp;"""},{""id"":178,""name"":""Operational Impact"",""value"":"""&amp;redmine_op_impact&amp;"""},{""id"":179,""name"":""Denver Segment Assigned"",""value"":"""&amp;AL218&amp;"""}]}}"&amp;"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{"issue":{"subject":"","project_id":79,"tracker_id":40,"status_id":1,"priority_id":2,"assigned_to_id":23,"start_date":"2017-04-03","description":"","custom_fields":[{"id":1,"name":"Subdivision","value":"Other"},{"id":4,"name":"Milepost","value":"5.9008"},{"id":17,"name":"Train ID","value":"901-03"},{"id":16,"name":"Locomotive ID","value":"4014"},{"id":130,"name":"Impact","value":""},{"id":150,"name":"Time of Event (Mountain Time)","value":"05:02:05"},{"id":151,"name":"Denver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>"start /low /b "&amp;dls3logs&amp;" --loco "&amp;B218&amp;" --day "&amp;TEXT(F218,"YYYY-MM-DD")</f>
        <v>start /low /b %USERPROFILE%\Documents\GitHub\eaglep3\Utilities\DownloadLogsFromS3.py --loco 4014 --day 2017-04-03</v>
      </c>
      <c r="AN218" s="159" t="str">
        <f>"echo {""issue"":{""subject"":"""&amp;R218&amp;""",""project_id"":30,""tracker_id"":4,""status_id"":"&amp;redmine_status_wcr&amp;",""priority_id"":"&amp;redmine_priority_wcr&amp;",""assigned_to_id"":"&amp;redmine_assignee_wcr&amp;",""start_date"":"""&amp;TEXT(I218-utc_offset/24,"YYYY-mm-dd")&amp;""",""description"":"""&amp;AJ218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11:02:05"},{"id":29,"name":"Sharepoint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653</v>
      </c>
      <c r="B219" s="7">
        <v>4005</v>
      </c>
      <c r="C219" s="21" t="s">
        <v>217</v>
      </c>
      <c r="D219" s="21" t="s">
        <v>1002</v>
      </c>
      <c r="E219" s="13">
        <v>42828.252013888887</v>
      </c>
      <c r="F219" s="13">
        <v>42828.256631944445</v>
      </c>
      <c r="G219" s="7">
        <v>6</v>
      </c>
      <c r="H219" s="21" t="s">
        <v>1003</v>
      </c>
      <c r="I219" s="13">
        <v>42828.261736111112</v>
      </c>
      <c r="J219" s="7">
        <v>0</v>
      </c>
      <c r="K219" s="97" t="str">
        <f>IF(ISEVEN(B219),(B219-1)&amp;"/"&amp;B219,B219&amp;"/"&amp;(B219+1))</f>
        <v>4005/4006</v>
      </c>
      <c r="L219" s="21" t="str">
        <f>VLOOKUP(A219,'Trips&amp;Operators'!$C$1:$G$99999,5,FALSE)</f>
        <v>MENGES BRAD</v>
      </c>
      <c r="M219" s="6">
        <f>I219-F219</f>
        <v>5.1041666665696539E-3</v>
      </c>
      <c r="N219" s="7">
        <f>24*60*SUM($M219:$M219)</f>
        <v>7.3499999998603016</v>
      </c>
      <c r="O219" s="7"/>
      <c r="P219" s="7"/>
      <c r="Q219" s="22"/>
      <c r="R219" s="22"/>
      <c r="S219" s="31">
        <f>SUM(U219:U219)/IF(AG219="EC",12,1)</f>
        <v>1</v>
      </c>
      <c r="T219" s="46" t="str">
        <f>IF(ISEVEN(LEFT(AD219,4)),"Southbound","NorthBound")</f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2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-04-03T05:02:54-0600',mode:absolute,to:'2017-04-03T07:16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9" s="183" t="str">
        <f>IF(AA219&lt;IF(AG219="EC",23,5.65),"Y","N")</f>
        <v>Y</v>
      </c>
      <c r="X219" s="183">
        <f>VALUE(LEFT(AD219,4))-VALUE(LEFT(AD218,4))</f>
        <v>1</v>
      </c>
      <c r="Y219" s="62">
        <f>RIGHT(D219,LEN(D219)-4)/10000</f>
        <v>2.3368000000000002</v>
      </c>
      <c r="Z219" s="62">
        <f>RIGHT(H219,LEN(H219)-4)/10000</f>
        <v>6.6600000000000006E-2</v>
      </c>
      <c r="AA219" s="62">
        <f>ABS(Z219-Y219)</f>
        <v>2.2702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>IF(LEN(A219)=6,"0"&amp;A219,A219)</f>
        <v>0902-03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19" s="82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/stypes="app*4005*20170403*" /stext=" 12:.+((SYSTEM_STATE.+slice.+state.+changed )|(ment ac)|(multiple cpu faults)|(system.+state.+changed )|(\[timeout)|(PRM\|1\|D)|(kpr)|(kdp)|(\|lc)|(penalty))"</v>
      </c>
      <c r="AG219" s="1" t="str">
        <f>IFERROR(IF(VALUE(LEFT(AD219,2))&lt;=2,"EC",IF(OR(VALUE(LEFT(AD219,2))=8,VALUE(LEFT(AD219,2))=18),"NW","Other")),"Other")</f>
        <v>Other</v>
      </c>
      <c r="AH219" s="86" t="str">
        <f>refinertdcruntimes&amp;" --tripid "&amp;A219&amp;" --locoid "&amp;B219&amp;" --swversion "&amp;C219&amp;" --startMP "&amp;D219&amp;" --initTime "&amp;TEXT(E219,"yyyy-mm-ddTHH:MM:SS")&amp;" --startdatetime "&amp;TEXT(F219,"yyyy-mm-ddTHH:MM:SS")&amp;" --delay "&amp;G219&amp;" --endMP "&amp;H219&amp;" --enddatetime "&amp;TEXT(I219,"yyyy-mm-ddTHH:MM:SS")&amp;" --enforcementcount "&amp;J219&amp;IF(outputrefinedruntimes," &gt;&gt;"&amp;RefinedRTDCRunTimesOutputFile,"")</f>
        <v>"%USERPROFILE%\Documents\GitHub\eaglep3\Utilities\RefineRTDCRunTimes.py" --tripid 902-03 --locoid 4005 --swversion DE.1.0.9.0 --startMP 300:23368 --initTime 2017-04-03T06:02:54 --startdatetime 2017-04-03T06:09:33 --delay 6 --endMP 204:666 --enddatetime 2017-04-03T06:16:54 --enforcementcount 0 &gt;&gt;C:\Users\stu\Documents\GitHub\eaglep3-reporting\EC\2017-04-03-refined-times.txt</v>
      </c>
      <c r="AI219" s="104" t="str">
        <f>"echo {""issue"":{""subject"":"""&amp;R219&amp;""",""project_id"":79,""tracker_id"":40,""status_id"":"&amp;redmine_status&amp;",""priority_id"":"&amp;redmine_priority&amp;",""assigned_to_id"":"&amp;redmine_assignee&amp;",""start_date"":"""&amp;TEXT(I219,"YYYY-mm-dd")&amp;""",""description"":"""&amp;AJ219&amp;""",""custom_fields"":[{""id"":1,""name"":""Subdivision"",""value"":"""&amp;AG219&amp;"""},{""id"":4,""name"":""Milepost"",""value"":"""&amp;Z219&amp;"""},{""id"":17,""name"":""Train ID"",""value"":"""&amp;A219&amp;"""},{""id"":16,""name"":""Locomotive ID"",""value"":"""&amp;B219&amp;"""},{""id"":130,""name"":""Impact"",""value"":"""&amp;AK219&amp;"""},{""id"":150,""name"":""Time of Event (Mountain Time)"",""value"":"""&amp;TEXT(I219,"hh:mm:ss")&amp;"""},{""id"":151,""name"":""Denver Issue ID"",""value"":"""&amp;"""},{""id"":178,""name"":""Operational Impact"",""value"":"""&amp;redmine_op_impact&amp;"""},{""id"":179,""name"":""Denver Segment Assigned"",""value"":"""&amp;AL219&amp;"""}]}}"&amp;"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{"issue":{"subject":"","project_id":79,"tracker_id":40,"status_id":1,"priority_id":2,"assigned_to_id":23,"start_date":"2017-04-03","description":"","custom_fields":[{"id":1,"name":"Subdivision","value":"Other"},{"id":4,"name":"Milepost","value":"0.0666"},{"id":17,"name":"Train ID","value":"902-03"},{"id":16,"name":"Locomotive ID","value":"4005"},{"id":130,"name":"Impact","value":""},{"id":150,"name":"Time of Event (Mountain Time)","value":"06:16:54"},{"id":151,"name":"Denver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>"start /low /b "&amp;dls3logs&amp;" --loco "&amp;B219&amp;" --day "&amp;TEXT(F219,"YYYY-MM-DD")</f>
        <v>start /low /b %USERPROFILE%\Documents\GitHub\eaglep3\Utilities\DownloadLogsFromS3.py --loco 4005 --day 2017-04-03</v>
      </c>
      <c r="AN219" s="159" t="str">
        <f>"echo {""issue"":{""subject"":"""&amp;R219&amp;""",""project_id"":30,""tracker_id"":4,""status_id"":"&amp;redmine_status_wcr&amp;",""priority_id"":"&amp;redmine_priority_wcr&amp;",""assigned_to_id"":"&amp;redmine_assignee_wcr&amp;",""start_date"":"""&amp;TEXT(I219-utc_offset/24,"YYYY-mm-dd")&amp;""",""description"":"""&amp;AJ219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12:16:54"},{"id":29,"name":"Sharepoint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676</v>
      </c>
      <c r="B220" s="7">
        <v>4014</v>
      </c>
      <c r="C220" s="21" t="s">
        <v>217</v>
      </c>
      <c r="D220" s="21" t="s">
        <v>1004</v>
      </c>
      <c r="E220" s="13">
        <v>42828.352407407408</v>
      </c>
      <c r="F220" s="13">
        <v>42828.353425925925</v>
      </c>
      <c r="G220" s="7">
        <v>1</v>
      </c>
      <c r="H220" s="21" t="s">
        <v>1005</v>
      </c>
      <c r="I220" s="13">
        <v>42828.358530092592</v>
      </c>
      <c r="J220" s="7">
        <v>0</v>
      </c>
      <c r="K220" s="97" t="str">
        <f>IF(ISEVEN(B220),(B220-1)&amp;"/"&amp;B220,B220&amp;"/"&amp;(B220+1))</f>
        <v>4013/4014</v>
      </c>
      <c r="L220" s="21" t="str">
        <f>VLOOKUP(A220,'Trips&amp;Operators'!$C$1:$G$99999,5,FALSE)</f>
        <v>DAVIS WENDY</v>
      </c>
      <c r="M220" s="6">
        <f>I220-F220</f>
        <v>5.1041666665696539E-3</v>
      </c>
      <c r="N220" s="7">
        <f>24*60*SUM($M220:$M220)</f>
        <v>7.3499999998603016</v>
      </c>
      <c r="O220" s="7"/>
      <c r="P220" s="7"/>
      <c r="Q220" s="22"/>
      <c r="R220" s="22"/>
      <c r="S220" s="31">
        <f>SUM(U220:U220)/IF(AG220="EC",12,1)</f>
        <v>1</v>
      </c>
      <c r="T220" s="46" t="str">
        <f>IF(ISEVEN(LEFT(AD220,4)),"Southbound","NorthBound")</f>
        <v>NorthBound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-04-03T07:27:28-0600',mode:absolute,to:'2017-04-03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0" s="183" t="str">
        <f>IF(AA220&lt;IF(AG220="EC",23,5.65),"Y","N")</f>
        <v>Y</v>
      </c>
      <c r="X220" s="183">
        <f>VALUE(LEFT(AD220,4))-VALUE(LEFT(AD219,4))</f>
        <v>1</v>
      </c>
      <c r="Y220" s="62">
        <f>RIGHT(D220,LEN(D220)-4)/10000</f>
        <v>0.1048</v>
      </c>
      <c r="Z220" s="62">
        <f>RIGHT(H220,LEN(H220)-4)/10000</f>
        <v>2.5432999999999999</v>
      </c>
      <c r="AA220" s="62">
        <f>ABS(Z220-Y220)</f>
        <v>2.4384999999999999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>IF(LEN(A220)=6,"0"&amp;A220,A220)</f>
        <v>0903-03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AF220" s="82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/stypes="app*4014*20170403*" /stext=" 14:.+((SYSTEM_STATE.+slice.+state.+changed )|(ment ac)|(multiple cpu faults)|(system.+state.+changed )|(\[timeout)|(PRM\|1\|D)|(kpr)|(kdp)|(\|lc)|(penalty))"</v>
      </c>
      <c r="AG220" s="1" t="str">
        <f>IFERROR(IF(VALUE(LEFT(AD220,2))&lt;=2,"EC",IF(OR(VALUE(LEFT(AD220,2))=8,VALUE(LEFT(AD220,2))=18),"NW","Other")),"Other")</f>
        <v>Other</v>
      </c>
      <c r="AH220" s="86" t="str">
        <f>refinertdcruntimes&amp;" --tripid "&amp;A220&amp;" --locoid "&amp;B220&amp;" --swversion "&amp;C220&amp;" --startMP "&amp;D220&amp;" --initTime "&amp;TEXT(E220,"yyyy-mm-ddTHH:MM:SS")&amp;" --startdatetime "&amp;TEXT(F220,"yyyy-mm-ddTHH:MM:SS")&amp;" --delay "&amp;G220&amp;" --endMP "&amp;H220&amp;" --enddatetime "&amp;TEXT(I220,"yyyy-mm-ddTHH:MM:SS")&amp;" --enforcementcount "&amp;J220&amp;IF(outputrefinedruntimes," &gt;&gt;"&amp;RefinedRTDCRunTimesOutputFile,"")</f>
        <v>"%USERPROFILE%\Documents\GitHub\eaglep3\Utilities\RefineRTDCRunTimes.py" --tripid 903-03 --locoid 4014 --swversion DE.1.0.9.0 --startMP 204:1048 --initTime 2017-04-03T08:27:28 --startdatetime 2017-04-03T08:28:56 --delay 1 --endMP 300:25433 --enddatetime 2017-04-03T08:36:17 --enforcementcount 0 &gt;&gt;C:\Users\stu\Documents\GitHub\eaglep3-reporting\EC\2017-04-03-refined-times.txt</v>
      </c>
      <c r="AI220" s="104" t="str">
        <f>"echo {""issue"":{""subject"":"""&amp;R220&amp;""",""project_id"":79,""tracker_id"":40,""status_id"":"&amp;redmine_status&amp;",""priority_id"":"&amp;redmine_priority&amp;",""assigned_to_id"":"&amp;redmine_assignee&amp;",""start_date"":"""&amp;TEXT(I220,"YYYY-mm-dd")&amp;""",""description"":"""&amp;AJ220&amp;""",""custom_fields"":[{""id"":1,""name"":""Subdivision"",""value"":"""&amp;AG220&amp;"""},{""id"":4,""name"":""Milepost"",""value"":"""&amp;Z220&amp;"""},{""id"":17,""name"":""Train ID"",""value"":"""&amp;A220&amp;"""},{""id"":16,""name"":""Locomotive ID"",""value"":"""&amp;B220&amp;"""},{""id"":130,""name"":""Impact"",""value"":"""&amp;AK220&amp;"""},{""id"":150,""name"":""Time of Event (Mountain Time)"",""value"":"""&amp;TEXT(I220,"hh:mm:ss")&amp;"""},{""id"":151,""name"":""Denver Issue ID"",""value"":"""&amp;"""},{""id"":178,""name"":""Operational Impact"",""value"":"""&amp;redmine_op_impact&amp;"""},{""id"":179,""name"":""Denver Segment Assigned"",""value"":"""&amp;AL220&amp;"""}]}}"&amp;"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{"issue":{"subject":"","project_id":79,"tracker_id":40,"status_id":1,"priority_id":2,"assigned_to_id":23,"start_date":"2017-04-03","description":"","custom_fields":[{"id":1,"name":"Subdivision","value":"Other"},{"id":4,"name":"Milepost","value":"2.5433"},{"id":17,"name":"Train ID","value":"903-03"},{"id":16,"name":"Locomotive ID","value":"4014"},{"id":130,"name":"Impact","value":""},{"id":150,"name":"Time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>"start /low /b "&amp;dls3logs&amp;" --loco "&amp;B220&amp;" --day "&amp;TEXT(F220,"YYYY-MM-DD")</f>
        <v>start /low /b %USERPROFILE%\Documents\GitHub\eaglep3\Utilities\DownloadLogsFromS3.py --loco 4014 --day 2017-04-03</v>
      </c>
      <c r="AN220" s="159" t="str">
        <f>"echo {""issue"":{""subject"":"""&amp;R220&amp;""",""project_id"":30,""tracker_id"":4,""status_id"":"&amp;redmine_status_wcr&amp;",""priority_id"":"&amp;redmine_priority_wcr&amp;",""assigned_to_id"":"&amp;redmine_assignee_wcr&amp;",""start_date"":"""&amp;TEXT(I220-utc_offset/24,"YYYY-mm-dd")&amp;""",""description"":"""&amp;AJ220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610</v>
      </c>
      <c r="B221" s="7">
        <v>4013</v>
      </c>
      <c r="C221" s="21" t="s">
        <v>217</v>
      </c>
      <c r="D221" s="21" t="s">
        <v>1006</v>
      </c>
      <c r="E221" s="13">
        <v>42828.636967592596</v>
      </c>
      <c r="F221" s="13">
        <v>42828.638182870367</v>
      </c>
      <c r="G221" s="7">
        <v>1</v>
      </c>
      <c r="H221" s="21" t="s">
        <v>1007</v>
      </c>
      <c r="I221" s="13">
        <v>42828.643819444442</v>
      </c>
      <c r="J221" s="7">
        <v>0</v>
      </c>
      <c r="K221" s="97" t="str">
        <f>IF(ISEVEN(B221),(B221-1)&amp;"/"&amp;B221,B221&amp;"/"&amp;(B221+1))</f>
        <v>4013/4014</v>
      </c>
      <c r="L221" s="21" t="str">
        <f>VLOOKUP(A221,'Trips&amp;Operators'!$C$1:$G$99999,5,FALSE)</f>
        <v>NEWELL JAMES</v>
      </c>
      <c r="M221" s="6">
        <f>I221-F221</f>
        <v>5.6365740747423843E-3</v>
      </c>
      <c r="N221" s="7">
        <f>24*60*SUM($M221:$M221)</f>
        <v>8.1166666676290333</v>
      </c>
      <c r="O221" s="7"/>
      <c r="P221" s="7"/>
      <c r="Q221" s="22"/>
      <c r="R221" s="22"/>
      <c r="S221" s="31">
        <f>SUM(U221:U221)/IF(AG221="EC",12,1)</f>
        <v>1</v>
      </c>
      <c r="T221" s="46" t="str">
        <f>IF(ISEVEN(LEFT(AD221,4)),"Southbound","NorthBound")</f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-04-03T14:17:14-0600',mode:absolute,to:'2017-04-03T16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1" s="183" t="str">
        <f>IF(AA221&lt;IF(AG221="EC",23,5.65),"Y","N")</f>
        <v>Y</v>
      </c>
      <c r="X221" s="183">
        <f>VALUE(LEFT(AD221,4))-VALUE(LEFT(AD220,4))</f>
        <v>1</v>
      </c>
      <c r="Y221" s="62">
        <f>RIGHT(D221,LEN(D221)-4)/10000</f>
        <v>2.3123999999999998</v>
      </c>
      <c r="Z221" s="62">
        <f>RIGHT(H221,LEN(H221)-4)/10000</f>
        <v>6.9400000000000003E-2</v>
      </c>
      <c r="AA221" s="62">
        <f>ABS(Z221-Y221)</f>
        <v>2.2429999999999999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>IF(LEN(A221)=6,"0"&amp;A221,A221)</f>
        <v>0904-03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221" s="82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/stypes="app*4013*20170403*" /stext=" 21:.+((SYSTEM_STATE.+slice.+state.+changed )|(ment ac)|(multiple cpu faults)|(system.+state.+changed )|(\[timeout)|(PRM\|1\|D)|(kpr)|(kdp)|(\|lc)|(penalty))"</v>
      </c>
      <c r="AG221" s="1" t="str">
        <f>IFERROR(IF(VALUE(LEFT(AD221,2))&lt;=2,"EC",IF(OR(VALUE(LEFT(AD221,2))=8,VALUE(LEFT(AD221,2))=18),"NW","Other")),"Other")</f>
        <v>Other</v>
      </c>
      <c r="AH221" s="86" t="str">
        <f>refinertdcruntimes&amp;" --tripid "&amp;A221&amp;" --locoid "&amp;B221&amp;" --swversion "&amp;C221&amp;" --startMP "&amp;D221&amp;" --initTime "&amp;TEXT(E221,"yyyy-mm-ddTHH:MM:SS")&amp;" --startdatetime "&amp;TEXT(F221,"yyyy-mm-ddTHH:MM:SS")&amp;" --delay "&amp;G221&amp;" --endMP "&amp;H221&amp;" --enddatetime "&amp;TEXT(I221,"yyyy-mm-ddTHH:MM:SS")&amp;" --enforcementcount "&amp;J221&amp;IF(outputrefinedruntimes," &gt;&gt;"&amp;RefinedRTDCRunTimesOutputFile,"")</f>
        <v>"%USERPROFILE%\Documents\GitHub\eaglep3\Utilities\RefineRTDCRunTimes.py" --tripid 904-03 --locoid 4013 --swversion DE.1.0.9.0 --startMP 300:23124 --initTime 2017-04-03T15:17:14 --startdatetime 2017-04-03T15:18:59 --delay 1 --endMP 204:694 --enddatetime 2017-04-03T15:27:06 --enforcementcount 0 &gt;&gt;C:\Users\stu\Documents\GitHub\eaglep3-reporting\EC\2017-04-03-refined-times.txt</v>
      </c>
      <c r="AI221" s="104" t="str">
        <f>"echo {""issue"":{""subject"":"""&amp;R221&amp;""",""project_id"":79,""tracker_id"":40,""status_id"":"&amp;redmine_status&amp;",""priority_id"":"&amp;redmine_priority&amp;",""assigned_to_id"":"&amp;redmine_assignee&amp;",""start_date"":"""&amp;TEXT(I221,"YYYY-mm-dd")&amp;""",""description"":"""&amp;AJ221&amp;""",""custom_fields"":[{""id"":1,""name"":""Subdivision"",""value"":"""&amp;AG221&amp;"""},{""id"":4,""name"":""Milepost"",""value"":"""&amp;Z221&amp;"""},{""id"":17,""name"":""Train ID"",""value"":"""&amp;A221&amp;"""},{""id"":16,""name"":""Locomotive ID"",""value"":"""&amp;B221&amp;"""},{""id"":130,""name"":""Impact"",""value"":"""&amp;AK221&amp;"""},{""id"":150,""name"":""Time of Event (Mountain Time)"",""value"":"""&amp;TEXT(I221,"hh:mm:ss")&amp;"""},{""id"":151,""name"":""Denver Issue ID"",""value"":"""&amp;"""},{""id"":178,""name"":""Operational Impact"",""value"":"""&amp;redmine_op_impact&amp;"""},{""id"":179,""name"":""Denver Segment Assigned"",""value"":"""&amp;AL221&amp;"""}]}}"&amp;"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{"issue":{"subject":"","project_id":79,"tracker_id":40,"status_id":1,"priority_id":2,"assigned_to_id":23,"start_date":"2017-04-03","description":"","custom_fields":[{"id":1,"name":"Subdivision","value":"Other"},{"id":4,"name":"Milepost","value":"0.0694"},{"id":17,"name":"Train ID","value":"904-03"},{"id":16,"name":"Locomotive ID","value":"4013"},{"id":130,"name":"Impact","value":""},{"id":150,"name":"Time of Event (Mountain Time)","value":"15:27:06"},{"id":151,"name":"Denver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>"start /low /b "&amp;dls3logs&amp;" --loco "&amp;B221&amp;" --day "&amp;TEXT(F221,"YYYY-MM-DD")</f>
        <v>start /low /b %USERPROFILE%\Documents\GitHub\eaglep3\Utilities\DownloadLogsFromS3.py --loco 4013 --day 2017-04-03</v>
      </c>
      <c r="AN221" s="159" t="str">
        <f>"echo {""issue"":{""subject"":"""&amp;R221&amp;""",""project_id"":30,""tracker_id"":4,""status_id"":"&amp;redmine_status_wcr&amp;",""priority_id"":"&amp;redmine_priority_wcr&amp;",""assigned_to_id"":"&amp;redmine_assignee_wcr&amp;",""start_date"":"""&amp;TEXT(I221-utc_offset/24,"YYYY-mm-dd")&amp;""",""description"":"""&amp;AJ221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21:27:06"},{"id":29,"name":"Sharepoint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783</v>
      </c>
      <c r="B222" s="7">
        <v>4013</v>
      </c>
      <c r="C222" s="21" t="s">
        <v>217</v>
      </c>
      <c r="D222" s="21" t="s">
        <v>493</v>
      </c>
      <c r="E222" s="13">
        <v>42828.795601851853</v>
      </c>
      <c r="F222" s="13">
        <v>42828.797083333331</v>
      </c>
      <c r="G222" s="7">
        <v>1</v>
      </c>
      <c r="H222" s="21" t="s">
        <v>1008</v>
      </c>
      <c r="I222" s="13">
        <v>42828.8046875</v>
      </c>
      <c r="J222" s="7">
        <v>0</v>
      </c>
      <c r="K222" s="97" t="str">
        <f>IF(ISEVEN(B222),(B222-1)&amp;"/"&amp;B222,B222&amp;"/"&amp;(B222+1))</f>
        <v>4013/4014</v>
      </c>
      <c r="L222" s="21" t="str">
        <f>VLOOKUP(A222,'Trips&amp;Operators'!$C$1:$G$99999,5,FALSE)</f>
        <v>NEWELL JAMES</v>
      </c>
      <c r="M222" s="6">
        <f>I222-F222</f>
        <v>7.6041666688979603E-3</v>
      </c>
      <c r="N222" s="7">
        <f>24*60*SUM($M222:$M222)</f>
        <v>10.950000003213063</v>
      </c>
      <c r="O222" s="7"/>
      <c r="P222" s="7"/>
      <c r="Q222" s="22"/>
      <c r="R222" s="22"/>
      <c r="S222" s="31">
        <f>SUM(U222:U222)/IF(AG222="EC",12,1)</f>
        <v>0</v>
      </c>
      <c r="T222" s="46" t="str">
        <f>IF(ISEVEN(LEFT(AD222,4)),"Southbound","NorthBound")</f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-04-03T18:05:40-0600',mode:absolute,to:'2017-04-03T20:18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2" s="183" t="str">
        <f>IF(AA222&lt;IF(AG222="EC",23,5.65),"Y","N")</f>
        <v>Y</v>
      </c>
      <c r="X222" s="183">
        <f>VALUE(LEFT(AD222,4))-VALUE(LEFT(AD221,4))</f>
        <v>2</v>
      </c>
      <c r="Y222" s="62">
        <f>RIGHT(D222,LEN(D222)-4)/10000</f>
        <v>5.8623000000000003</v>
      </c>
      <c r="Z222" s="62">
        <f>RIGHT(H222,LEN(H222)-4)/10000</f>
        <v>2.8778000000000001</v>
      </c>
      <c r="AA222" s="62">
        <f>ABS(Z222-Y222)</f>
        <v>2.9845000000000002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>IF(LEN(A222)=6,"0"&amp;A222,A222)</f>
        <v>0906-03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AF222" s="82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/stypes="app*4013*20170404*" /stext=" 01:.+((SYSTEM_STATE.+slice.+state.+changed )|(ment ac)|(multiple cpu faults)|(system.+state.+changed )|(\[timeout)|(PRM\|1\|D)|(kpr)|(kdp)|(\|lc)|(penalty))"</v>
      </c>
      <c r="AG222" s="1" t="str">
        <f>IFERROR(IF(VALUE(LEFT(AD222,2))&lt;=2,"EC",IF(OR(VALUE(LEFT(AD222,2))=8,VALUE(LEFT(AD222,2))=18),"NW","Other")),"Other")</f>
        <v>Other</v>
      </c>
      <c r="AH222" s="86" t="str">
        <f>refinertdcruntimes&amp;" --tripid "&amp;A222&amp;" --locoid "&amp;B222&amp;" --swversion "&amp;C222&amp;" --startMP "&amp;D222&amp;" --initTime "&amp;TEXT(E222,"yyyy-mm-ddTHH:MM:SS")&amp;" --startdatetime "&amp;TEXT(F222,"yyyy-mm-ddTHH:MM:SS")&amp;" --delay "&amp;G222&amp;" --endMP "&amp;H222&amp;" --enddatetime "&amp;TEXT(I222,"yyyy-mm-ddTHH:MM:SS")&amp;" --enforcementcount "&amp;J222&amp;IF(outputrefinedruntimes," &gt;&gt;"&amp;RefinedRTDCRunTimesOutputFile,"")</f>
        <v>"%USERPROFILE%\Documents\GitHub\eaglep3\Utilities\RefineRTDCRunTimes.py" --tripid 906-03 --locoid 4013 --swversion DE.1.0.9.0 --startMP 300:58623 --initTime 2017-04-03T19:05:40 --startdatetime 2017-04-03T19:07:48 --delay 1 --endMP 300:28778 --enddatetime 2017-04-03T19:18:45 --enforcementcount 0 &gt;&gt;C:\Users\stu\Documents\GitHub\eaglep3-reporting\EC\2017-04-03-refined-times.txt</v>
      </c>
      <c r="AI222" s="104" t="str">
        <f>"echo {""issue"":{""subject"":"""&amp;R222&amp;""",""project_id"":79,""tracker_id"":40,""status_id"":"&amp;redmine_status&amp;",""priority_id"":"&amp;redmine_priority&amp;",""assigned_to_id"":"&amp;redmine_assignee&amp;",""start_date"":"""&amp;TEXT(I222,"YYYY-mm-dd")&amp;""",""description"":"""&amp;AJ222&amp;""",""custom_fields"":[{""id"":1,""name"":""Subdivision"",""value"":"""&amp;AG222&amp;"""},{""id"":4,""name"":""Milepost"",""value"":"""&amp;Z222&amp;"""},{""id"":17,""name"":""Train ID"",""value"":"""&amp;A222&amp;"""},{""id"":16,""name"":""Locomotive ID"",""value"":"""&amp;B222&amp;"""},{""id"":130,""name"":""Impact"",""value"":"""&amp;AK222&amp;"""},{""id"":150,""name"":""Time of Event (Mountain Time)"",""value"":"""&amp;TEXT(I222,"hh:mm:ss")&amp;"""},{""id"":151,""name"":""Denver Issue ID"",""value"":"""&amp;"""},{""id"":178,""name"":""Operational Impact"",""value"":"""&amp;redmine_op_impact&amp;"""},{""id"":179,""name"":""Denver Segment Assigned"",""value"":"""&amp;AL222&amp;"""}]}}"&amp;"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{"issue":{"subject":"","project_id":79,"tracker_id":40,"status_id":1,"priority_id":2,"assigned_to_id":23,"start_date":"2017-04-03","description":"","custom_fields":[{"id":1,"name":"Subdivision","value":"Other"},{"id":4,"name":"Milepost","value":"2.8778"},{"id":17,"name":"Train ID","value":"906-03"},{"id":16,"name":"Locomotive ID","value":"4013"},{"id":130,"name":"Impact","value":""},{"id":150,"name":"Time of Event (Mountain Time)","value":"19:18:45"},{"id":151,"name":"Denver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>"start /low /b "&amp;dls3logs&amp;" --loco "&amp;B222&amp;" --day "&amp;TEXT(F222,"YYYY-MM-DD")</f>
        <v>start /low /b %USERPROFILE%\Documents\GitHub\eaglep3\Utilities\DownloadLogsFromS3.py --loco 4013 --day 2017-04-03</v>
      </c>
      <c r="AN222" s="159" t="str">
        <f>"echo {""issue"":{""subject"":"""&amp;R222&amp;""",""project_id"":30,""tracker_id"":4,""status_id"":"&amp;redmine_status_wcr&amp;",""priority_id"":"&amp;redmine_priority_wcr&amp;",""assigned_to_id"":"&amp;redmine_assignee_wcr&amp;",""start_date"":"""&amp;TEXT(I222-utc_offset/24,"YYYY-mm-dd")&amp;""",""description"":"""&amp;AJ222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01:18:45"},{"id":29,"name":"Sharepoint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805</v>
      </c>
      <c r="B223" s="7">
        <v>4005</v>
      </c>
      <c r="C223" s="21" t="s">
        <v>217</v>
      </c>
      <c r="D223" s="21" t="s">
        <v>553</v>
      </c>
      <c r="E223" s="13">
        <v>42828.941493055558</v>
      </c>
      <c r="F223" s="13">
        <v>42828.943715277775</v>
      </c>
      <c r="G223" s="7">
        <v>1</v>
      </c>
      <c r="H223" s="21" t="s">
        <v>1009</v>
      </c>
      <c r="I223" s="13">
        <v>42828.947835648149</v>
      </c>
      <c r="J223" s="7">
        <v>0</v>
      </c>
      <c r="K223" s="97" t="str">
        <f>IF(ISEVEN(B223),(B223-1)&amp;"/"&amp;B223,B223&amp;"/"&amp;(B223+1))</f>
        <v>4005/4006</v>
      </c>
      <c r="L223" s="21" t="str">
        <f>VLOOKUP(A223,'Trips&amp;Operators'!$C$1:$G$99999,5,FALSE)</f>
        <v>NEWELL JAMES</v>
      </c>
      <c r="M223" s="6">
        <f>I223-F223</f>
        <v>4.1203703731298447E-3</v>
      </c>
      <c r="N223" s="7">
        <f>24*60*SUM($M223:$M223)</f>
        <v>5.9333333373069763</v>
      </c>
      <c r="O223" s="7"/>
      <c r="P223" s="7"/>
      <c r="Q223" s="22"/>
      <c r="R223" s="22"/>
      <c r="S223" s="31">
        <f>SUM(U223:U223)/IF(AG223="EC",12,1)</f>
        <v>0</v>
      </c>
      <c r="T223" s="46" t="str">
        <f>IF(ISEVEN(LEFT(AD223,4)),"Southbound","NorthBound")</f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-04-03T21:35:45-0600',mode:absolute,to:'2017-04-03T23:44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183" t="str">
        <f>IF(AA223&lt;IF(AG223="EC",23,5.65),"Y","N")</f>
        <v>Y</v>
      </c>
      <c r="X223" s="183">
        <f>VALUE(LEFT(AD223,4))-VALUE(LEFT(AD222,4))</f>
        <v>2</v>
      </c>
      <c r="Y223" s="62">
        <f>RIGHT(D223,LEN(D223)-4)/10000</f>
        <v>5.8619000000000003</v>
      </c>
      <c r="Z223" s="62">
        <f>RIGHT(H223,LEN(H223)-4)/10000</f>
        <v>2.1736</v>
      </c>
      <c r="AA223" s="62">
        <f>ABS(Z223-Y223)</f>
        <v>3.6883000000000004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>IF(LEN(A223)=6,"0"&amp;A223,A223)</f>
        <v>0908-03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s3://rtdc.mdm.uploadarchive.raw/RTDC4005/ "%USERPROFILE%\AppData\Local\Temp\OnboardLogs"\RTDC4005\2017-04-03 --exclude "*" --recursive --include "*20170403*" &amp; "%USERPROFILE%\Documents\GitHub\mrs-test-scripts\Headless Mode &amp; Sideloading\WalkAndUnGZ.bat" "%USERPROFILE%\AppData\Local\Temp\OnboardLogs"\RTDC4005\2017-04-03 &amp; aws s3 cp s3://rtdc.mdm.uploadarchive.raw/RTDC4005/ "%USERPROFILE%\AppData\Local\Temp\OnboardLogs"\RTDC4005\2017-04-04 --exclude "*" --recursive --include "*20170404*" &amp; "%USERPROFILE%\Documents\GitHub\mrs-test-scripts\Headless Mode &amp; Sideloading\WalkAndUnGZ.bat" "%USERPROFILE%\AppData\Local\Temp\OnboardLogs"\RTDC4005\2017-04-04</v>
      </c>
      <c r="AF223" s="82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/stypes="app*4005*20170404*" /stext=" 04:.+((SYSTEM_STATE.+slice.+state.+changed )|(ment ac)|(multiple cpu faults)|(system.+state.+changed )|(\[timeout)|(PRM\|1\|D)|(kpr)|(kdp)|(\|lc)|(penalty))"</v>
      </c>
      <c r="AG223" s="1" t="str">
        <f>IFERROR(IF(VALUE(LEFT(AD223,2))&lt;=2,"EC",IF(OR(VALUE(LEFT(AD223,2))=8,VALUE(LEFT(AD223,2))=18),"NW","Other")),"Other")</f>
        <v>Other</v>
      </c>
      <c r="AH223" s="86" t="str">
        <f>refinertdcruntimes&amp;" --tripid "&amp;A223&amp;" --locoid "&amp;B223&amp;" --swversion "&amp;C223&amp;" --startMP "&amp;D223&amp;" --initTime "&amp;TEXT(E223,"yyyy-mm-ddTHH:MM:SS")&amp;" --startdatetime "&amp;TEXT(F223,"yyyy-mm-ddTHH:MM:SS")&amp;" --delay "&amp;G223&amp;" --endMP "&amp;H223&amp;" --enddatetime "&amp;TEXT(I223,"yyyy-mm-ddTHH:MM:SS")&amp;" --enforcementcount "&amp;J223&amp;IF(outputrefinedruntimes," &gt;&gt;"&amp;RefinedRTDCRunTimesOutputFile,"")</f>
        <v>"%USERPROFILE%\Documents\GitHub\eaglep3\Utilities\RefineRTDCRunTimes.py" --tripid 908-03 --locoid 4005 --swversion DE.1.0.9.0 --startMP 300:58619 --initTime 2017-04-03T22:35:45 --startdatetime 2017-04-03T22:38:57 --delay 1 --endMP 300:21736 --enddatetime 2017-04-03T22:44:53 --enforcementcount 0 &gt;&gt;C:\Users\stu\Documents\GitHub\eaglep3-reporting\EC\2017-04-03-refined-times.txt</v>
      </c>
      <c r="AI223" s="104" t="str">
        <f>"echo {""issue"":{""subject"":"""&amp;R223&amp;""",""project_id"":79,""tracker_id"":40,""status_id"":"&amp;redmine_status&amp;",""priority_id"":"&amp;redmine_priority&amp;",""assigned_to_id"":"&amp;redmine_assignee&amp;",""start_date"":"""&amp;TEXT(I223,"YYYY-mm-dd")&amp;""",""description"":"""&amp;AJ223&amp;""",""custom_fields"":[{""id"":1,""name"":""Subdivision"",""value"":"""&amp;AG223&amp;"""},{""id"":4,""name"":""Milepost"",""value"":"""&amp;Z223&amp;"""},{""id"":17,""name"":""Train ID"",""value"":"""&amp;A223&amp;"""},{""id"":16,""name"":""Locomotive ID"",""value"":"""&amp;B223&amp;"""},{""id"":130,""name"":""Impact"",""value"":"""&amp;AK223&amp;"""},{""id"":150,""name"":""Time of Event (Mountain Time)"",""value"":"""&amp;TEXT(I223,"hh:mm:ss")&amp;"""},{""id"":151,""name"":""Denver Issue ID"",""value"":"""&amp;"""},{""id"":178,""name"":""Operational Impact"",""value"":"""&amp;redmine_op_impact&amp;"""},{""id"":179,""name"":""Denver Segment Assigned"",""value"":"""&amp;AL223&amp;"""}]}}"&amp;"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{"issue":{"subject":"","project_id":79,"tracker_id":40,"status_id":1,"priority_id":2,"assigned_to_id":23,"start_date":"2017-04-03","description":"","custom_fields":[{"id":1,"name":"Subdivision","value":"Other"},{"id":4,"name":"Milepost","value":"2.1736"},{"id":17,"name":"Train ID","value":"908-03"},{"id":16,"name":"Locomotive ID","value":"4005"},{"id":130,"name":"Impact","value":""},{"id":150,"name":"Time of Event (Mountain Time)","value":"22:44:53"},{"id":151,"name":"Denver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>"start /low /b "&amp;dls3logs&amp;" --loco "&amp;B223&amp;" --day "&amp;TEXT(F223,"YYYY-MM-DD")</f>
        <v>start /low /b %USERPROFILE%\Documents\GitHub\eaglep3\Utilities\DownloadLogsFromS3.py --loco 4005 --day 2017-04-03</v>
      </c>
      <c r="AN223" s="159" t="str">
        <f>"echo {""issue"":{""subject"":"""&amp;R223&amp;""",""project_id"":30,""tracker_id"":4,""status_id"":"&amp;redmine_status_wcr&amp;",""priority_id"":"&amp;redmine_priority_wcr&amp;",""assigned_to_id"":"&amp;redmine_assignee_wcr&amp;",""start_date"":"""&amp;TEXT(I223-utc_offset/24,"YYYY-mm-dd")&amp;""",""description"":"""&amp;AJ223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629</v>
      </c>
      <c r="B224" s="7">
        <v>4045</v>
      </c>
      <c r="C224" s="21" t="s">
        <v>217</v>
      </c>
      <c r="D224" s="21" t="s">
        <v>911</v>
      </c>
      <c r="E224" s="13">
        <v>42828.144259259258</v>
      </c>
      <c r="F224" s="13">
        <v>42828.152141203704</v>
      </c>
      <c r="G224" s="7">
        <v>1</v>
      </c>
      <c r="H224" s="21" t="s">
        <v>912</v>
      </c>
      <c r="I224" s="13">
        <v>42828.166967592595</v>
      </c>
      <c r="J224" s="7">
        <v>0</v>
      </c>
      <c r="K224" s="97" t="str">
        <f>IF(ISEVEN(B224),(B224-1)&amp;"/"&amp;B224,B224&amp;"/"&amp;(B224+1))</f>
        <v>4045/4046</v>
      </c>
      <c r="L224" s="21" t="str">
        <f>VLOOKUP(A224,'Trips&amp;Operators'!$C$1:$G$99999,5,FALSE)</f>
        <v>YANG JAN</v>
      </c>
      <c r="M224" s="6">
        <f>I224-F224</f>
        <v>1.4826388891378883E-2</v>
      </c>
      <c r="N224" s="7">
        <f>24*60*SUM($M224:$M224)</f>
        <v>21.350000003585592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-04-03T02:27:44-0600',mode:absolute,to:'2017-04-03T05:00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4" s="183" t="str">
        <f>IF(AA224&lt;IF(AG224="EC",23,5.65),"Y","N")</f>
        <v>N</v>
      </c>
      <c r="X224" s="183" t="e">
        <f>VALUE(LEFT(AD224,4))-VALUE(LEFT(AD223,4))</f>
        <v>#VALUE!</v>
      </c>
      <c r="Y224" s="62">
        <f>RIGHT(D224,LEN(D224)-4)/10000</f>
        <v>10.6928</v>
      </c>
      <c r="Z224" s="62">
        <f>RIGHT(H224,LEN(H224)-4)/10000</f>
        <v>0.1111</v>
      </c>
      <c r="AA224" s="62">
        <f>ABS(Z224-Y224)</f>
        <v>10.5817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>IF(LEN(A224)=6,"0"&amp;A224,A224)</f>
        <v>50-03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s3://rtdc.mdm.uploadarchive.raw/RTDC4045/ "%USERPROFILE%\AppData\Local\Temp\OnboardLogs"\RTDC4045\2017-04-03 --exclude "*" --recursive --include "*20170403*" &amp; "%USERPROFILE%\Documents\GitHub\mrs-test-scripts\Headless Mode &amp; Sideloading\WalkAndUnGZ.bat" "%USERPROFILE%\AppData\Local\Temp\OnboardLogs"\RTDC4045\2017-04-03 &amp; aws s3 cp s3://rtdc.mdm.uploadarchive.raw/RTDC4045/ "%USERPROFILE%\AppData\Local\Temp\OnboardLogs"\RTDC4045\2017-04-04 --exclude "*" --recursive --include "*20170404*" &amp; "%USERPROFILE%\Documents\GitHub\mrs-test-scripts\Headless Mode &amp; Sideloading\WalkAndUnGZ.bat" "%USERPROFILE%\AppData\Local\Temp\OnboardLogs"\RTDC4045\2017-04-04</v>
      </c>
      <c r="AF224" s="82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/stypes="app*4045*20170403*" /stext=" 10:.+((SYSTEM_STATE.+slice.+state.+changed )|(ment ac)|(multiple cpu faults)|(system.+state.+changed )|(\[timeout)|(PRM\|1\|D)|(kpr)|(kdp)|(\|lc)|(penalty))"</v>
      </c>
      <c r="AG224" s="1" t="str">
        <f>IFERROR(IF(VALUE(LEFT(AD224,2))&lt;=2,"EC",IF(OR(VALUE(LEFT(AD224,2))=8,VALUE(LEFT(AD224,2))=18),"NW","Other")),"Other")</f>
        <v>Other</v>
      </c>
      <c r="AH224" s="86" t="str">
        <f>refinertdcruntimes&amp;" --tripid "&amp;A224&amp;" --locoid "&amp;B224&amp;" --swversion "&amp;C224&amp;" --startMP "&amp;D224&amp;" --initTime "&amp;TEXT(E224,"yyyy-mm-ddTHH:MM:SS")&amp;" --startdatetime "&amp;TEXT(F224,"yyyy-mm-ddTHH:MM:SS")&amp;" --delay "&amp;G224&amp;" --endMP "&amp;H224&amp;" --enddatetime "&amp;TEXT(I224,"yyyy-mm-ddTHH:MM:SS")&amp;" --enforcementcount "&amp;J224&amp;IF(outputrefinedruntimes," &gt;&gt;"&amp;RefinedRTDCRunTimesOutputFile,"")</f>
        <v>"%USERPROFILE%\Documents\GitHub\eaglep3\Utilities\RefineRTDCRunTimes.py" --tripid 50-03 --locoid 4045 --swversion DE.1.0.9.0 --startMP 204:106928 --initTime 2017-04-03T03:27:44 --startdatetime 2017-04-03T03:39:05 --delay 1 --endMP 204:1111 --enddatetime 2017-04-03T04:00:26 --enforcementcount 0 &gt;&gt;C:\Users\stu\Documents\GitHub\eaglep3-reporting\EC\2017-04-03-refined-times.txt</v>
      </c>
      <c r="AI224" s="104" t="str">
        <f>"echo {""issue"":{""subject"":"""&amp;R224&amp;""",""project_id"":79,""tracker_id"":40,""status_id"":"&amp;redmine_status&amp;",""priority_id"":"&amp;redmine_priority&amp;",""assigned_to_id"":"&amp;redmine_assignee&amp;",""start_date"":"""&amp;TEXT(I224,"YYYY-mm-dd")&amp;""",""description"":"""&amp;AJ224&amp;""",""custom_fields"":[{""id"":1,""name"":""Subdivision"",""value"":"""&amp;AG224&amp;"""},{""id"":4,""name"":""Milepost"",""value"":"""&amp;Z224&amp;"""},{""id"":17,""name"":""Train ID"",""value"":"""&amp;A224&amp;"""},{""id"":16,""name"":""Locomotive ID"",""value"":"""&amp;B224&amp;"""},{""id"":130,""name"":""Impact"",""value"":"""&amp;AK224&amp;"""},{""id"":150,""name"":""Time of Event (Mountain Time)"",""value"":"""&amp;TEXT(I224,"hh:mm:ss")&amp;"""},{""id"":151,""name"":""Denver Issue ID"",""value"":"""&amp;"""},{""id"":178,""name"":""Operational Impact"",""value"":"""&amp;redmine_op_impact&amp;"""},{""id"":179,""name"":""Denver Segment Assigned"",""value"":"""&amp;AL224&amp;"""}]}}"&amp;"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{"issue":{"subject":"","project_id":79,"tracker_id":40,"status_id":1,"priority_id":2,"assigned_to_id":23,"start_date":"2017-04-03","description":"","custom_fields":[{"id":1,"name":"Subdivision","value":"Other"},{"id":4,"name":"Milepost","value":"0.1111"},{"id":17,"name":"Train ID","value":"50-03"},{"id":16,"name":"Locomotive ID","value":"4045"},{"id":130,"name":"Impact","value":""},{"id":150,"name":"Time of Event (Mountain Time)","value":"04:00:26"},{"id":151,"name":"Denver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>"start /low /b "&amp;dls3logs&amp;" --loco "&amp;B224&amp;" --day "&amp;TEXT(F224,"YYYY-MM-DD")</f>
        <v>start /low /b %USERPROFILE%\Documents\GitHub\eaglep3\Utilities\DownloadLogsFromS3.py --loco 4045 --day 2017-04-03</v>
      </c>
      <c r="AN224" s="159" t="str">
        <f>"echo {""issue"":{""subject"":"""&amp;R224&amp;""",""project_id"":30,""tracker_id"":4,""status_id"":"&amp;redmine_status_wcr&amp;",""priority_id"":"&amp;redmine_priority_wcr&amp;",""assigned_to_id"":"&amp;redmine_assignee_wcr&amp;",""start_date"":"""&amp;TEXT(I224-utc_offset/24,"YYYY-mm-dd")&amp;""",""description"":"""&amp;AJ224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10:00:26"},{"id":29,"name":"Sharepoint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542</v>
      </c>
      <c r="B225" s="7">
        <v>4046</v>
      </c>
      <c r="C225" s="21" t="s">
        <v>217</v>
      </c>
      <c r="D225" s="21" t="s">
        <v>568</v>
      </c>
      <c r="E225" s="13">
        <v>42828.104664351849</v>
      </c>
      <c r="F225" s="13">
        <v>42828.113865740743</v>
      </c>
      <c r="G225" s="7">
        <v>1</v>
      </c>
      <c r="H225" s="21" t="s">
        <v>569</v>
      </c>
      <c r="I225" s="13">
        <v>42828.143067129633</v>
      </c>
      <c r="J225" s="7">
        <v>0</v>
      </c>
      <c r="K225" s="97" t="str">
        <f>IF(ISEVEN(B225),(B225-1)&amp;"/"&amp;B225,B225&amp;"/"&amp;(B225+1))</f>
        <v>4045/4046</v>
      </c>
      <c r="L225" s="21" t="str">
        <f>VLOOKUP(A225,'Trips&amp;Operators'!$C$1:$G$99999,5,FALSE)</f>
        <v>YANG JAN</v>
      </c>
      <c r="M225" s="6">
        <f>I225-F225</f>
        <v>2.920138889021473E-2</v>
      </c>
      <c r="N225" s="7">
        <f>24*60*SUM($M225:$M225)</f>
        <v>42.050000001909211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-04-03T01:30:43-0600',mode:absolute,to:'2017-04-03T04:26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5" s="183" t="str">
        <f>IF(AA225&lt;IF(AG225="EC",23,5.65),"Y","N")</f>
        <v>N</v>
      </c>
      <c r="X225" s="183" t="e">
        <f>VALUE(LEFT(AD225,4))-VALUE(LEFT(AD224,4))</f>
        <v>#VALUE!</v>
      </c>
      <c r="Y225" s="62">
        <f>RIGHT(D225,LEN(D225)-4)/10000</f>
        <v>0.1158</v>
      </c>
      <c r="Z225" s="62">
        <f>RIGHT(H225,LEN(H225)-4)/10000</f>
        <v>10.7249</v>
      </c>
      <c r="AA225" s="62">
        <f>ABS(Z225-Y225)</f>
        <v>10.6091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>IF(LEN(A225)=6,"0"&amp;A225,A225)</f>
        <v>51-03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s3://rtdc.mdm.uploadarchive.raw/RTDC4046/ "%USERPROFILE%\AppData\Local\Temp\OnboardLogs"\RTDC4046\2017-04-03 --exclude "*" --recursive --include "*20170403*" &amp; "%USERPROFILE%\Documents\GitHub\mrs-test-scripts\Headless Mode &amp; Sideloading\WalkAndUnGZ.bat" "%USERPROFILE%\AppData\Local\Temp\OnboardLogs"\RTDC4046\2017-04-03 &amp; aws s3 cp s3://rtdc.mdm.uploadarchive.raw/RTDC4046/ "%USERPROFILE%\AppData\Local\Temp\OnboardLogs"\RTDC4046\2017-04-04 --exclude "*" --recursive --include "*20170404*" &amp; "%USERPROFILE%\Documents\GitHub\mrs-test-scripts\Headless Mode &amp; Sideloading\WalkAndUnGZ.bat" "%USERPROFILE%\AppData\Local\Temp\OnboardLogs"\RTDC4046\2017-04-04</v>
      </c>
      <c r="AF225" s="82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/stypes="app*4046*20170403*" /stext=" 09:.+((SYSTEM_STATE.+slice.+state.+changed )|(ment ac)|(multiple cpu faults)|(system.+state.+changed )|(\[timeout)|(PRM\|1\|D)|(kpr)|(kdp)|(\|lc)|(penalty))"</v>
      </c>
      <c r="AG225" s="1" t="str">
        <f>IFERROR(IF(VALUE(LEFT(AD225,2))&lt;=2,"EC",IF(OR(VALUE(LEFT(AD225,2))=8,VALUE(LEFT(AD225,2))=18),"NW","Other")),"Other")</f>
        <v>Other</v>
      </c>
      <c r="AH225" s="86" t="str">
        <f>refinertdcruntimes&amp;" --tripid "&amp;A225&amp;" --locoid "&amp;B225&amp;" --swversion "&amp;C225&amp;" --startMP "&amp;D225&amp;" --initTime "&amp;TEXT(E225,"yyyy-mm-ddTHH:MM:SS")&amp;" --startdatetime "&amp;TEXT(F225,"yyyy-mm-ddTHH:MM:SS")&amp;" --delay "&amp;G225&amp;" --endMP "&amp;H225&amp;" --enddatetime "&amp;TEXT(I225,"yyyy-mm-ddTHH:MM:SS")&amp;" --enforcementcount "&amp;J225&amp;IF(outputrefinedruntimes," &gt;&gt;"&amp;RefinedRTDCRunTimesOutputFile,"")</f>
        <v>"%USERPROFILE%\Documents\GitHub\eaglep3\Utilities\RefineRTDCRunTimes.py" --tripid 51-03 --locoid 4046 --swversion DE.1.0.9.0 --startMP 204:1158 --initTime 2017-04-03T02:30:43 --startdatetime 2017-04-03T02:43:58 --delay 1 --endMP 204:107249 --enddatetime 2017-04-03T03:26:01 --enforcementcount 0 &gt;&gt;C:\Users\stu\Documents\GitHub\eaglep3-reporting\EC\2017-04-03-refined-times.txt</v>
      </c>
      <c r="AI225" s="104" t="str">
        <f>"echo {""issue"":{""subject"":"""&amp;R225&amp;""",""project_id"":79,""tracker_id"":40,""status_id"":"&amp;redmine_status&amp;",""priority_id"":"&amp;redmine_priority&amp;",""assigned_to_id"":"&amp;redmine_assignee&amp;",""start_date"":"""&amp;TEXT(I225,"YYYY-mm-dd")&amp;""",""description"":"""&amp;AJ225&amp;""",""custom_fields"":[{""id"":1,""name"":""Subdivision"",""value"":"""&amp;AG225&amp;"""},{""id"":4,""name"":""Milepost"",""value"":"""&amp;Z225&amp;"""},{""id"":17,""name"":""Train ID"",""value"":"""&amp;A225&amp;"""},{""id"":16,""name"":""Locomotive ID"",""value"":"""&amp;B225&amp;"""},{""id"":130,""name"":""Impact"",""value"":"""&amp;AK225&amp;"""},{""id"":150,""name"":""Time of Event (Mountain Time)"",""value"":"""&amp;TEXT(I225,"hh:mm:ss")&amp;"""},{""id"":151,""name"":""Denver Issue ID"",""value"":"""&amp;"""},{""id"":178,""name"":""Operational Impact"",""value"":"""&amp;redmine_op_impact&amp;"""},{""id"":179,""name"":""Denver Segment Assigned"",""value"":"""&amp;AL225&amp;"""}]}}"&amp;"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{"issue":{"subject":"","project_id":79,"tracker_id":40,"status_id":1,"priority_id":2,"assigned_to_id":23,"start_date":"2017-04-03","description":"","custom_fields":[{"id":1,"name":"Subdivision","value":"Other"},{"id":4,"name":"Milepost","value":"10.7249"},{"id":17,"name":"Train ID","value":"51-03"},{"id":16,"name":"Locomotive ID","value":"4046"},{"id":130,"name":"Impact","value":""},{"id":150,"name":"Time of Event (Mountain Time)","value":"03:26:01"},{"id":151,"name":"Denver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>"start /low /b "&amp;dls3logs&amp;" --loco "&amp;B225&amp;" --day "&amp;TEXT(F225,"YYYY-MM-DD")</f>
        <v>start /low /b %USERPROFILE%\Documents\GitHub\eaglep3\Utilities\DownloadLogsFromS3.py --loco 4046 --day 2017-04-03</v>
      </c>
      <c r="AN225" s="159" t="str">
        <f>"echo {""issue"":{""subject"":"""&amp;R225&amp;""",""project_id"":30,""tracker_id"":4,""status_id"":"&amp;redmine_status_wcr&amp;",""priority_id"":"&amp;redmine_priority_wcr&amp;",""assigned_to_id"":"&amp;redmine_assignee_wcr&amp;",""start_date"":"""&amp;TEXT(I225-utc_offset/24,"YYYY-mm-dd")&amp;""",""description"":"""&amp;AJ225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09:26:01"},{"id":29,"name":"Sharepoint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590</v>
      </c>
      <c r="B226" s="7">
        <v>4039</v>
      </c>
      <c r="C226" s="21" t="s">
        <v>217</v>
      </c>
      <c r="D226" s="21" t="s">
        <v>913</v>
      </c>
      <c r="E226" s="13">
        <v>42828.432812500003</v>
      </c>
      <c r="F226" s="13">
        <v>42828.437372685185</v>
      </c>
      <c r="G226" s="7">
        <v>6</v>
      </c>
      <c r="H226" s="21" t="s">
        <v>914</v>
      </c>
      <c r="I226" s="13">
        <v>42828.442476851851</v>
      </c>
      <c r="J226" s="7">
        <v>0</v>
      </c>
      <c r="K226" s="97" t="str">
        <f>IF(ISEVEN(B226),(B226-1)&amp;"/"&amp;B226,B226&amp;"/"&amp;(B226+1))</f>
        <v>4039/4040</v>
      </c>
      <c r="L226" s="21" t="str">
        <f>VLOOKUP(A226,'Trips&amp;Operators'!$C$1:$G$99999,5,FALSE)</f>
        <v>MOSES BRADLEY</v>
      </c>
      <c r="M226" s="6">
        <f>I226-F226</f>
        <v>5.1041666665696539E-3</v>
      </c>
      <c r="N226" s="7">
        <f>24*60*SUM($M226:$M226)</f>
        <v>7.3499999998603016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-04-03T09:23:15-0600',mode:absolute,to:'2017-04-03T11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6" s="183" t="str">
        <f>IF(AA226&lt;IF(AG226="EC",23,5.65),"Y","N")</f>
        <v>Y</v>
      </c>
      <c r="X226" s="183" t="e">
        <f>VALUE(LEFT(AD226,4))-VALUE(LEFT(AD225,4))</f>
        <v>#VALUE!</v>
      </c>
      <c r="Y226" s="62">
        <f>RIGHT(D226,LEN(D226)-4)/10000</f>
        <v>2.2288999999999999</v>
      </c>
      <c r="Z226" s="62">
        <f>RIGHT(H226,LEN(H226)-4)/10000</f>
        <v>9.5000000000000001E-2</v>
      </c>
      <c r="AA226" s="62">
        <f>ABS(Z226-Y226)</f>
        <v>2.1338999999999997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>IF(LEN(A226)=6,"0"&amp;A226,A226)</f>
        <v>52-03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s3://rtdc.mdm.uploadarchive.raw/RTDC4039/ "%USERPROFILE%\AppData\Local\Temp\OnboardLogs"\RTDC4039\2017-04-03 --exclude "*" --recursive --include "*20170403*" &amp; "%USERPROFILE%\Documents\GitHub\mrs-test-scripts\Headless Mode &amp; Sideloading\WalkAndUnGZ.bat" "%USERPROFILE%\AppData\Local\Temp\OnboardLogs"\RTDC4039\2017-04-03 &amp; aws s3 cp s3://rtdc.mdm.uploadarchive.raw/RTDC4039/ "%USERPROFILE%\AppData\Local\Temp\OnboardLogs"\RTDC4039\2017-04-04 --exclude "*" --recursive --include "*20170404*" &amp; "%USERPROFILE%\Documents\GitHub\mrs-test-scripts\Headless Mode &amp; Sideloading\WalkAndUnGZ.bat" "%USERPROFILE%\AppData\Local\Temp\OnboardLogs"\RTDC4039\2017-04-04</v>
      </c>
      <c r="AF226" s="82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/stypes="app*4039*20170403*" /stext=" 16:.+((SYSTEM_STATE.+slice.+state.+changed )|(ment ac)|(multiple cpu faults)|(system.+state.+changed )|(\[timeout)|(PRM\|1\|D)|(kpr)|(kdp)|(\|lc)|(penalty))"</v>
      </c>
      <c r="AG226" s="1" t="str">
        <f>IFERROR(IF(VALUE(LEFT(AD226,2))&lt;=2,"EC",IF(OR(VALUE(LEFT(AD226,2))=8,VALUE(LEFT(AD226,2))=18),"NW","Other")),"Other")</f>
        <v>Other</v>
      </c>
      <c r="AH226" s="86" t="str">
        <f>refinertdcruntimes&amp;" --tripid "&amp;A226&amp;" --locoid "&amp;B226&amp;" --swversion "&amp;C226&amp;" --startMP "&amp;D226&amp;" --initTime "&amp;TEXT(E226,"yyyy-mm-ddTHH:MM:SS")&amp;" --startdatetime "&amp;TEXT(F226,"yyyy-mm-ddTHH:MM:SS")&amp;" --delay "&amp;G226&amp;" --endMP "&amp;H226&amp;" --enddatetime "&amp;TEXT(I226,"yyyy-mm-ddTHH:MM:SS")&amp;" --enforcementcount "&amp;J226&amp;IF(outputrefinedruntimes," &gt;&gt;"&amp;RefinedRTDCRunTimesOutputFile,"")</f>
        <v>"%USERPROFILE%\Documents\GitHub\eaglep3\Utilities\RefineRTDCRunTimes.py" --tripid 52-03 --locoid 4039 --swversion DE.1.0.9.0 --startMP 300:22289 --initTime 2017-04-03T10:23:15 --startdatetime 2017-04-03T10:29:49 --delay 6 --endMP 204:950 --enddatetime 2017-04-03T10:37:10 --enforcementcount 0 &gt;&gt;C:\Users\stu\Documents\GitHub\eaglep3-reporting\EC\2017-04-03-refined-times.txt</v>
      </c>
      <c r="AI226" s="104" t="str">
        <f>"echo {""issue"":{""subject"":"""&amp;R226&amp;""",""project_id"":79,""tracker_id"":40,""status_id"":"&amp;redmine_status&amp;",""priority_id"":"&amp;redmine_priority&amp;",""assigned_to_id"":"&amp;redmine_assignee&amp;",""start_date"":"""&amp;TEXT(I226,"YYYY-mm-dd")&amp;""",""description"":"""&amp;AJ226&amp;""",""custom_fields"":[{""id"":1,""name"":""Subdivision"",""value"":"""&amp;AG226&amp;"""},{""id"":4,""name"":""Milepost"",""value"":"""&amp;Z226&amp;"""},{""id"":17,""name"":""Train ID"",""value"":"""&amp;A226&amp;"""},{""id"":16,""name"":""Locomotive ID"",""value"":"""&amp;B226&amp;"""},{""id"":130,""name"":""Impact"",""value"":"""&amp;AK226&amp;"""},{""id"":150,""name"":""Time of Event (Mountain Time)"",""value"":"""&amp;TEXT(I226,"hh:mm:ss")&amp;"""},{""id"":151,""name"":""Denver Issue ID"",""value"":"""&amp;"""},{""id"":178,""name"":""Operational Impact"",""value"":"""&amp;redmine_op_impact&amp;"""},{""id"":179,""name"":""Denver Segment Assigned"",""value"":"""&amp;AL226&amp;"""}]}}"&amp;"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{"issue":{"subject":"","project_id":79,"tracker_id":40,"status_id":1,"priority_id":2,"assigned_to_id":23,"start_date":"2017-04-03","description":"","custom_fields":[{"id":1,"name":"Subdivision","value":"Other"},{"id":4,"name":"Milepost","value":"0.095"},{"id":17,"name":"Train ID","value":"52-03"},{"id":16,"name":"Locomotive ID","value":"4039"},{"id":130,"name":"Impact","value":""},{"id":150,"name":"Time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>"start /low /b "&amp;dls3logs&amp;" --loco "&amp;B226&amp;" --day "&amp;TEXT(F226,"YYYY-MM-DD")</f>
        <v>start /low /b %USERPROFILE%\Documents\GitHub\eaglep3\Utilities\DownloadLogsFromS3.py --loco 4039 --day 2017-04-03</v>
      </c>
      <c r="AN226" s="159" t="str">
        <f>"echo {""issue"":{""subject"":"""&amp;R226&amp;""",""project_id"":30,""tracker_id"":4,""status_id"":"&amp;redmine_status_wcr&amp;",""priority_id"":"&amp;redmine_priority_wcr&amp;",""assigned_to_id"":"&amp;redmine_assignee_wcr&amp;",""start_date"":"""&amp;TEXT(I226-utc_offset/24,"YYYY-mm-dd")&amp;""",""description"":"""&amp;AJ226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16:37:10"},{"id":29,"name":"Sharepoint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701</v>
      </c>
      <c r="B227" s="7">
        <v>4040</v>
      </c>
      <c r="C227" s="21" t="s">
        <v>217</v>
      </c>
      <c r="D227" s="21" t="s">
        <v>915</v>
      </c>
      <c r="E227" s="13">
        <v>42828.468472222223</v>
      </c>
      <c r="F227" s="13">
        <v>42828.470451388886</v>
      </c>
      <c r="G227" s="7">
        <v>2</v>
      </c>
      <c r="H227" s="21" t="s">
        <v>916</v>
      </c>
      <c r="I227" s="13">
        <v>42828.476354166669</v>
      </c>
      <c r="J227" s="7">
        <v>0</v>
      </c>
      <c r="K227" s="97" t="str">
        <f>IF(ISEVEN(B227),(B227-1)&amp;"/"&amp;B227,B227&amp;"/"&amp;(B227+1))</f>
        <v>4039/4040</v>
      </c>
      <c r="L227" s="21" t="str">
        <f>VLOOKUP(A227,'Trips&amp;Operators'!$C$1:$G$99999,5,FALSE)</f>
        <v>MAELZER KURT</v>
      </c>
      <c r="M227" s="6">
        <f>I227-F227</f>
        <v>5.9027777824667282E-3</v>
      </c>
      <c r="N227" s="7">
        <f>24*60*SUM($M227:$M227)</f>
        <v>8.5000000067520887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-04-03T10:14:36-0600',mode:absolute,to:'2017-04-03T12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7" s="183" t="str">
        <f>IF(AA227&lt;IF(AG227="EC",23,5.65),"Y","N")</f>
        <v>Y</v>
      </c>
      <c r="X227" s="183" t="e">
        <f>VALUE(LEFT(AD227,4))-VALUE(LEFT(AD226,4))</f>
        <v>#VALUE!</v>
      </c>
      <c r="Y227" s="62">
        <f>RIGHT(D227,LEN(D227)-4)/10000</f>
        <v>0.1244</v>
      </c>
      <c r="Z227" s="62">
        <f>RIGHT(H227,LEN(H227)-4)/10000</f>
        <v>2.4209999999999998</v>
      </c>
      <c r="AA227" s="62">
        <f>ABS(Z227-Y227)</f>
        <v>2.2965999999999998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>IF(LEN(A227)=6,"0"&amp;A227,A227)</f>
        <v>53-03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s3://rtdc.mdm.uploadarchive.raw/RTDC4040/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 &amp; aws s3 cp s3://rtdc.mdm.uploadarchive.raw/RTDC4040/ "%USERPROFILE%\AppData\Local\Temp\OnboardLogs"\RTDC4040\2017-04-04 --exclude "*" --recursive --include "*20170404*" &amp; "%USERPROFILE%\Documents\GitHub\mrs-test-scripts\Headless Mode &amp; Sideloading\WalkAndUnGZ.bat" "%USERPROFILE%\AppData\Local\Temp\OnboardLogs"\RTDC4040\2017-04-04</v>
      </c>
      <c r="AF227" s="82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/stypes="app*4040*20170403*" /stext=" 17:.+((SYSTEM_STATE.+slice.+state.+changed )|(ment ac)|(multiple cpu faults)|(system.+state.+changed )|(\[timeout)|(PRM\|1\|D)|(kpr)|(kdp)|(\|lc)|(penalty))"</v>
      </c>
      <c r="AG227" s="1" t="str">
        <f>IFERROR(IF(VALUE(LEFT(AD227,2))&lt;=2,"EC",IF(OR(VALUE(LEFT(AD227,2))=8,VALUE(LEFT(AD227,2))=18),"NW","Other")),"Other")</f>
        <v>Other</v>
      </c>
      <c r="AH227" s="86" t="str">
        <f>refinertdcruntimes&amp;" --tripid "&amp;A227&amp;" --locoid "&amp;B227&amp;" --swversion "&amp;C227&amp;" --startMP "&amp;D227&amp;" --initTime "&amp;TEXT(E227,"yyyy-mm-ddTHH:MM:SS")&amp;" --startdatetime "&amp;TEXT(F227,"yyyy-mm-ddTHH:MM:SS")&amp;" --delay "&amp;G227&amp;" --endMP "&amp;H227&amp;" --enddatetime "&amp;TEXT(I227,"yyyy-mm-ddTHH:MM:SS")&amp;" --enforcementcount "&amp;J227&amp;IF(outputrefinedruntimes," &gt;&gt;"&amp;RefinedRTDCRunTimesOutputFile,"")</f>
        <v>"%USERPROFILE%\Documents\GitHub\eaglep3\Utilities\RefineRTDCRunTimes.py" --tripid 53-03 --locoid 4040 --swversion DE.1.0.9.0 --startMP 204:1244 --initTime 2017-04-03T11:14:36 --startdatetime 2017-04-03T11:17:27 --delay 2 --endMP 300:24210 --enddatetime 2017-04-03T11:25:57 --enforcementcount 0 &gt;&gt;C:\Users\stu\Documents\GitHub\eaglep3-reporting\EC\2017-04-03-refined-times.txt</v>
      </c>
      <c r="AI227" s="104" t="str">
        <f>"echo {""issue"":{""subject"":"""&amp;R227&amp;""",""project_id"":79,""tracker_id"":40,""status_id"":"&amp;redmine_status&amp;",""priority_id"":"&amp;redmine_priority&amp;",""assigned_to_id"":"&amp;redmine_assignee&amp;",""start_date"":"""&amp;TEXT(I227,"YYYY-mm-dd")&amp;""",""description"":"""&amp;AJ227&amp;""",""custom_fields"":[{""id"":1,""name"":""Subdivision"",""value"":"""&amp;AG227&amp;"""},{""id"":4,""name"":""Milepost"",""value"":"""&amp;Z227&amp;"""},{""id"":17,""name"":""Train ID"",""value"":"""&amp;A227&amp;"""},{""id"":16,""name"":""Locomotive ID"",""value"":"""&amp;B227&amp;"""},{""id"":130,""name"":""Impact"",""value"":"""&amp;AK227&amp;"""},{""id"":150,""name"":""Time of Event (Mountain Time)"",""value"":"""&amp;TEXT(I227,"hh:mm:ss")&amp;"""},{""id"":151,""name"":""Denver Issue ID"",""value"":"""&amp;"""},{""id"":178,""name"":""Operational Impact"",""value"":"""&amp;redmine_op_impact&amp;"""},{""id"":179,""name"":""Denver Segment Assigned"",""value"":"""&amp;AL227&amp;"""}]}}"&amp;"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{"issue":{"subject":"","project_id":79,"tracker_id":40,"status_id":1,"priority_id":2,"assigned_to_id":23,"start_date":"2017-04-03","description":"","custom_fields":[{"id":1,"name":"Subdivision","value":"Other"},{"id":4,"name":"Milepost","value":"2.421"},{"id":17,"name":"Train ID","value":"53-03"},{"id":16,"name":"Locomotive ID","value":"4040"},{"id":130,"name":"Impact","value":""},{"id":150,"name":"Time of Event (Mountain Time)","value":"11:25:57"},{"id":151,"name":"Denver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>"start /low /b "&amp;dls3logs&amp;" --loco "&amp;B227&amp;" --day "&amp;TEXT(F227,"YYYY-MM-DD")</f>
        <v>start /low /b %USERPROFILE%\Documents\GitHub\eaglep3\Utilities\DownloadLogsFromS3.py --loco 4040 --day 2017-04-03</v>
      </c>
      <c r="AN227" s="159" t="str">
        <f>"echo {""issue"":{""subject"":"""&amp;R227&amp;""",""project_id"":30,""tracker_id"":4,""status_id"":"&amp;redmine_status_wcr&amp;",""priority_id"":"&amp;redmine_priority_wcr&amp;",""assigned_to_id"":"&amp;redmine_assignee_wcr&amp;",""start_date"":"""&amp;TEXT(I227-utc_offset/24,"YYYY-mm-dd")&amp;""",""description"":"""&amp;AJ227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17:25:57"},{"id":29,"name":"Sharepoint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763</v>
      </c>
      <c r="B228" s="7">
        <v>4039</v>
      </c>
      <c r="C228" s="21" t="s">
        <v>217</v>
      </c>
      <c r="D228" s="21" t="s">
        <v>917</v>
      </c>
      <c r="E228" s="13">
        <v>42828.738298611112</v>
      </c>
      <c r="F228" s="13">
        <v>42828.746631944443</v>
      </c>
      <c r="G228" s="7">
        <v>11</v>
      </c>
      <c r="H228" s="21" t="s">
        <v>444</v>
      </c>
      <c r="I228" s="13">
        <v>42828.75309027778</v>
      </c>
      <c r="J228" s="7">
        <v>0</v>
      </c>
      <c r="K228" s="97" t="str">
        <f>IF(ISEVEN(B228),(B228-1)&amp;"/"&amp;B228,B228&amp;"/"&amp;(B228+1))</f>
        <v>4039/4040</v>
      </c>
      <c r="L228" s="21" t="str">
        <f>VLOOKUP(A228,'Trips&amp;Operators'!$C$1:$G$99999,5,FALSE)</f>
        <v>GUZMAN DANNY</v>
      </c>
      <c r="M228" s="6">
        <f>I228-F228</f>
        <v>6.4583333369228058E-3</v>
      </c>
      <c r="N228" s="7">
        <f>24*60*SUM($M228:$M228)</f>
        <v>9.3000000051688403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-04-03T16:43:09-0600',mode:absolute,to:'2017-04-03T19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8" s="183" t="str">
        <f>IF(AA228&lt;IF(AG228="EC",23,5.65),"Y","N")</f>
        <v>Y</v>
      </c>
      <c r="X228" s="183" t="e">
        <f>VALUE(LEFT(AD228,4))-VALUE(LEFT(AD227,4))</f>
        <v>#VALUE!</v>
      </c>
      <c r="Y228" s="62">
        <f>RIGHT(D228,LEN(D228)-4)/10000</f>
        <v>2.3628999999999998</v>
      </c>
      <c r="Z228" s="62">
        <f>RIGHT(H228,LEN(H228)-4)/10000</f>
        <v>1.38E-2</v>
      </c>
      <c r="AA228" s="62">
        <f>ABS(Z228-Y228)</f>
        <v>2.3491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>IF(LEN(A228)=6,"0"&amp;A228,A228)</f>
        <v>54-03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s3://rtdc.mdm.uploadarchive.raw/RTDC4039/ "%USERPROFILE%\AppData\Local\Temp\OnboardLogs"\RTDC4039\2017-04-03 --exclude "*" --recursive --include "*20170403*" &amp; "%USERPROFILE%\Documents\GitHub\mrs-test-scripts\Headless Mode &amp; Sideloading\WalkAndUnGZ.bat" "%USERPROFILE%\AppData\Local\Temp\OnboardLogs"\RTDC4039\2017-04-03 &amp; aws s3 cp s3://rtdc.mdm.uploadarchive.raw/RTDC4039/ "%USERPROFILE%\AppData\Local\Temp\OnboardLogs"\RTDC4039\2017-04-04 --exclude "*" --recursive --include "*20170404*" &amp; "%USERPROFILE%\Documents\GitHub\mrs-test-scripts\Headless Mode &amp; Sideloading\WalkAndUnGZ.bat" "%USERPROFILE%\AppData\Local\Temp\OnboardLogs"\RTDC4039\2017-04-04</v>
      </c>
      <c r="AF228" s="82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/stypes="app*4039*20170404*" /stext=" 00:.+((SYSTEM_STATE.+slice.+state.+changed )|(ment ac)|(multiple cpu faults)|(system.+state.+changed )|(\[timeout)|(PRM\|1\|D)|(kpr)|(kdp)|(\|lc)|(penalty))"</v>
      </c>
      <c r="AG228" s="1" t="str">
        <f>IFERROR(IF(VALUE(LEFT(AD228,2))&lt;=2,"EC",IF(OR(VALUE(LEFT(AD228,2))=8,VALUE(LEFT(AD228,2))=18),"NW","Other")),"Other")</f>
        <v>Other</v>
      </c>
      <c r="AH228" s="86" t="str">
        <f>refinertdcruntimes&amp;" --tripid "&amp;A228&amp;" --locoid "&amp;B228&amp;" --swversion "&amp;C228&amp;" --startMP "&amp;D228&amp;" --initTime "&amp;TEXT(E228,"yyyy-mm-ddTHH:MM:SS")&amp;" --startdatetime "&amp;TEXT(F228,"yyyy-mm-ddTHH:MM:SS")&amp;" --delay "&amp;G228&amp;" --endMP "&amp;H228&amp;" --enddatetime "&amp;TEXT(I228,"yyyy-mm-ddTHH:MM:SS")&amp;" --enforcementcount "&amp;J228&amp;IF(outputrefinedruntimes," &gt;&gt;"&amp;RefinedRTDCRunTimesOutputFile,"")</f>
        <v>"%USERPROFILE%\Documents\GitHub\eaglep3\Utilities\RefineRTDCRunTimes.py" --tripid 54-03 --locoid 4039 --swversion DE.1.0.9.0 --startMP 300:23629 --initTime 2017-04-03T17:43:09 --startdatetime 2017-04-03T17:55:09 --delay 11 --endMP 204:138 --enddatetime 2017-04-03T18:04:27 --enforcementcount 0 &gt;&gt;C:\Users\stu\Documents\GitHub\eaglep3-reporting\EC\2017-04-03-refined-times.txt</v>
      </c>
      <c r="AI228" s="104" t="str">
        <f>"echo {""issue"":{""subject"":"""&amp;R228&amp;""",""project_id"":79,""tracker_id"":40,""status_id"":"&amp;redmine_status&amp;",""priority_id"":"&amp;redmine_priority&amp;",""assigned_to_id"":"&amp;redmine_assignee&amp;",""start_date"":"""&amp;TEXT(I228,"YYYY-mm-dd")&amp;""",""description"":"""&amp;AJ228&amp;""",""custom_fields"":[{""id"":1,""name"":""Subdivision"",""value"":"""&amp;AG228&amp;"""},{""id"":4,""name"":""Milepost"",""value"":"""&amp;Z228&amp;"""},{""id"":17,""name"":""Train ID"",""value"":"""&amp;A228&amp;"""},{""id"":16,""name"":""Locomotive ID"",""value"":"""&amp;B228&amp;"""},{""id"":130,""name"":""Impact"",""value"":"""&amp;AK228&amp;"""},{""id"":150,""name"":""Time of Event (Mountain Time)"",""value"":"""&amp;TEXT(I228,"hh:mm:ss")&amp;"""},{""id"":151,""name"":""Denver Issue ID"",""value"":"""&amp;"""},{""id"":178,""name"":""Operational Impact"",""value"":"""&amp;redmine_op_impact&amp;"""},{""id"":179,""name"":""Denver Segment Assigned"",""value"":"""&amp;AL228&amp;"""}]}}"&amp;"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{"issue":{"subject":"","project_id":79,"tracker_id":40,"status_id":1,"priority_id":2,"assigned_to_id":23,"start_date":"2017-04-03","description":"","custom_fields":[{"id":1,"name":"Subdivision","value":"Other"},{"id":4,"name":"Milepost","value":"0.0138"},{"id":17,"name":"Train ID","value":"54-03"},{"id":16,"name":"Locomotive ID","value":"4039"},{"id":130,"name":"Impact","value":""},{"id":150,"name":"Time of Event (Mountain Time)","value":"18:04:27"},{"id":151,"name":"Denver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>"start /low /b "&amp;dls3logs&amp;" --loco "&amp;B228&amp;" --day "&amp;TEXT(F228,"YYYY-MM-DD")</f>
        <v>start /low /b %USERPROFILE%\Documents\GitHub\eaglep3\Utilities\DownloadLogsFromS3.py --loco 4039 --day 2017-04-03</v>
      </c>
      <c r="AN228" s="159" t="str">
        <f>"echo {""issue"":{""subject"":"""&amp;R228&amp;""",""project_id"":30,""tracker_id"":4,""status_id"":"&amp;redmine_status_wcr&amp;",""priority_id"":"&amp;redmine_priority_wcr&amp;",""assigned_to_id"":"&amp;redmine_assignee_wcr&amp;",""start_date"":"""&amp;TEXT(I228-utc_offset/24,"YYYY-mm-dd")&amp;""",""description"":"""&amp;AJ228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773</v>
      </c>
      <c r="B229" s="7">
        <v>4040</v>
      </c>
      <c r="C229" s="21" t="s">
        <v>217</v>
      </c>
      <c r="D229" s="21" t="s">
        <v>918</v>
      </c>
      <c r="E229" s="13">
        <v>42828.76185185185</v>
      </c>
      <c r="F229" s="13">
        <v>42828.767534722225</v>
      </c>
      <c r="G229" s="7">
        <v>2</v>
      </c>
      <c r="H229" s="21" t="s">
        <v>477</v>
      </c>
      <c r="I229" s="13">
        <v>42828.773032407407</v>
      </c>
      <c r="J229" s="7">
        <v>0</v>
      </c>
      <c r="K229" s="97" t="str">
        <f>IF(ISEVEN(B229),(B229-1)&amp;"/"&amp;B229,B229&amp;"/"&amp;(B229+1))</f>
        <v>4039/4040</v>
      </c>
      <c r="L229" s="21" t="str">
        <f>VLOOKUP(A229,'Trips&amp;Operators'!$C$1:$G$99999,5,FALSE)</f>
        <v>DAVIS MICHAEL</v>
      </c>
      <c r="M229" s="6">
        <f>I229-F229</f>
        <v>5.4976851824903861E-3</v>
      </c>
      <c r="N229" s="7">
        <f>24*60*SUM($M229:$M229)</f>
        <v>7.9166666627861559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-04-03T17:17:04-0600',mode:absolute,to:'2017-04-03T19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9" s="183" t="str">
        <f>IF(AA229&lt;IF(AG229="EC",23,5.65),"Y","N")</f>
        <v>Y</v>
      </c>
      <c r="X229" s="183" t="e">
        <f>VALUE(LEFT(AD229,4))-VALUE(LEFT(AD228,4))</f>
        <v>#VALUE!</v>
      </c>
      <c r="Y229" s="62">
        <f>RIGHT(D229,LEN(D229)-4)/10000</f>
        <v>4.6800000000000001E-2</v>
      </c>
      <c r="Z229" s="62">
        <f>RIGHT(H229,LEN(H229)-4)/10000</f>
        <v>2.3346</v>
      </c>
      <c r="AA229" s="62">
        <f>ABS(Z229-Y229)</f>
        <v>2.2877999999999998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>IF(LEN(A229)=6,"0"&amp;A229,A229)</f>
        <v>55-03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s3://rtdc.mdm.uploadarchive.raw/RTDC4040/ "%USERPROFILE%\AppData\Local\Temp\OnboardLogs"\RTDC4040\2017-04-03 --exclude "*" --recursive --include "*20170403*" &amp; "%USERPROFILE%\Documents\GitHub\mrs-test-scripts\Headless Mode &amp; Sideloading\WalkAndUnGZ.bat" "%USERPROFILE%\AppData\Local\Temp\OnboardLogs"\RTDC4040\2017-04-03 &amp; aws s3 cp s3://rtdc.mdm.uploadarchive.raw/RTDC4040/ "%USERPROFILE%\AppData\Local\Temp\OnboardLogs"\RTDC4040\2017-04-04 --exclude "*" --recursive --include "*20170404*" &amp; "%USERPROFILE%\Documents\GitHub\mrs-test-scripts\Headless Mode &amp; Sideloading\WalkAndUnGZ.bat" "%USERPROFILE%\AppData\Local\Temp\OnboardLogs"\RTDC4040\2017-04-04</v>
      </c>
      <c r="AF229" s="82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/stypes="app*4040*20170404*" /stext=" 00:.+((SYSTEM_STATE.+slice.+state.+changed )|(ment ac)|(multiple cpu faults)|(system.+state.+changed )|(\[timeout)|(PRM\|1\|D)|(kpr)|(kdp)|(\|lc)|(penalty))"</v>
      </c>
      <c r="AG229" s="1" t="str">
        <f>IFERROR(IF(VALUE(LEFT(AD229,2))&lt;=2,"EC",IF(OR(VALUE(LEFT(AD229,2))=8,VALUE(LEFT(AD229,2))=18),"NW","Other")),"Other")</f>
        <v>Other</v>
      </c>
      <c r="AH229" s="86" t="str">
        <f>refinertdcruntimes&amp;" --tripid "&amp;A229&amp;" --locoid "&amp;B229&amp;" --swversion "&amp;C229&amp;" --startMP "&amp;D229&amp;" --initTime "&amp;TEXT(E229,"yyyy-mm-ddTHH:MM:SS")&amp;" --startdatetime "&amp;TEXT(F229,"yyyy-mm-ddTHH:MM:SS")&amp;" --delay "&amp;G229&amp;" --endMP "&amp;H229&amp;" --enddatetime "&amp;TEXT(I229,"yyyy-mm-ddTHH:MM:SS")&amp;" --enforcementcount "&amp;J229&amp;IF(outputrefinedruntimes," &gt;&gt;"&amp;RefinedRTDCRunTimesOutputFile,"")</f>
        <v>"%USERPROFILE%\Documents\GitHub\eaglep3\Utilities\RefineRTDCRunTimes.py" --tripid 55-03 --locoid 4040 --swversion DE.1.0.9.0 --startMP 204:468 --initTime 2017-04-03T18:17:04 --startdatetime 2017-04-03T18:25:15 --delay 2 --endMP 300:23346 --enddatetime 2017-04-03T18:33:10 --enforcementcount 0 &gt;&gt;C:\Users\stu\Documents\GitHub\eaglep3-reporting\EC\2017-04-03-refined-times.txt</v>
      </c>
      <c r="AI229" s="104" t="str">
        <f>"echo {""issue"":{""subject"":"""&amp;R229&amp;""",""project_id"":79,""tracker_id"":40,""status_id"":"&amp;redmine_status&amp;",""priority_id"":"&amp;redmine_priority&amp;",""assigned_to_id"":"&amp;redmine_assignee&amp;",""start_date"":"""&amp;TEXT(I229,"YYYY-mm-dd")&amp;""",""description"":"""&amp;AJ229&amp;""",""custom_fields"":[{""id"":1,""name"":""Subdivision"",""value"":"""&amp;AG229&amp;"""},{""id"":4,""name"":""Milepost"",""value"":"""&amp;Z229&amp;"""},{""id"":17,""name"":""Train ID"",""value"":"""&amp;A229&amp;"""},{""id"":16,""name"":""Locomotive ID"",""value"":"""&amp;B229&amp;"""},{""id"":130,""name"":""Impact"",""value"":"""&amp;AK229&amp;"""},{""id"":150,""name"":""Time of Event (Mountain Time)"",""value"":"""&amp;TEXT(I229,"hh:mm:ss")&amp;"""},{""id"":151,""name"":""Denver Issue ID"",""value"":"""&amp;"""},{""id"":178,""name"":""Operational Impact"",""value"":"""&amp;redmine_op_impact&amp;"""},{""id"":179,""name"":""Denver Segment Assigned"",""value"":"""&amp;AL229&amp;"""}]}}"&amp;"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{"issue":{"subject":"","project_id":79,"tracker_id":40,"status_id":1,"priority_id":2,"assigned_to_id":23,"start_date":"2017-04-03","description":"","custom_fields":[{"id":1,"name":"Subdivision","value":"Other"},{"id":4,"name":"Milepost","value":"2.3346"},{"id":17,"name":"Train ID","value":"55-03"},{"id":16,"name":"Locomotive ID","value":"4040"},{"id":130,"name":"Impact","value":""},{"id":150,"name":"Time of Event (Mountain Time)","value":"18:33:10"},{"id":151,"name":"Denver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>"start /low /b "&amp;dls3logs&amp;" --loco "&amp;B229&amp;" --day "&amp;TEXT(F229,"YYYY-MM-DD")</f>
        <v>start /low /b %USERPROFILE%\Documents\GitHub\eaglep3\Utilities\DownloadLogsFromS3.py --loco 4040 --day 2017-04-03</v>
      </c>
      <c r="AN229" s="159" t="str">
        <f>"echo {""issue"":{""subject"":"""&amp;R229&amp;""",""project_id"":30,""tracker_id"":4,""status_id"":"&amp;redmine_status_wcr&amp;",""priority_id"":"&amp;redmine_priority_wcr&amp;",""assigned_to_id"":"&amp;redmine_assignee_wcr&amp;",""start_date"":"""&amp;TEXT(I229-utc_offset/24,"YYYY-mm-dd")&amp;""",""description"":"""&amp;AJ229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766</v>
      </c>
      <c r="B230" s="7">
        <v>4001</v>
      </c>
      <c r="C230" s="21" t="s">
        <v>217</v>
      </c>
      <c r="D230" s="21" t="s">
        <v>919</v>
      </c>
      <c r="E230" s="13">
        <v>42828.74858796296</v>
      </c>
      <c r="F230" s="13">
        <v>42828.751909722225</v>
      </c>
      <c r="G230" s="7">
        <v>4</v>
      </c>
      <c r="H230" s="21" t="s">
        <v>920</v>
      </c>
      <c r="I230" s="13">
        <v>42828.756990740738</v>
      </c>
      <c r="J230" s="7">
        <v>0</v>
      </c>
      <c r="K230" s="97" t="str">
        <f>IF(ISEVEN(B230),(B230-1)&amp;"/"&amp;B230,B230&amp;"/"&amp;(B230+1))</f>
        <v>4001/4002</v>
      </c>
      <c r="L230" s="21" t="str">
        <f>VLOOKUP(A230,'Trips&amp;Operators'!$C$1:$G$99999,5,FALSE)</f>
        <v>MAGEE KENYA</v>
      </c>
      <c r="M230" s="6">
        <f>I230-F230</f>
        <v>5.0810185130103491E-3</v>
      </c>
      <c r="N230" s="7">
        <f>24*60*SUM($M230:$M230)</f>
        <v>7.3166666587349027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-04-03T16:57:58-0600',mode:absolute,to:'2017-04-03T19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0" s="183" t="str">
        <f>IF(AA230&lt;IF(AG230="EC",23,5.65),"Y","N")</f>
        <v>Y</v>
      </c>
      <c r="X230" s="183" t="e">
        <f>VALUE(LEFT(AD230,4))-VALUE(LEFT(AD229,4))</f>
        <v>#VALUE!</v>
      </c>
      <c r="Y230" s="62">
        <f>RIGHT(D230,LEN(D230)-4)/10000</f>
        <v>2.3395999999999999</v>
      </c>
      <c r="Z230" s="62">
        <f>RIGHT(H230,LEN(H230)-4)/10000</f>
        <v>0.2026</v>
      </c>
      <c r="AA230" s="62">
        <f>ABS(Z230-Y230)</f>
        <v>2.137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>IF(LEN(A230)=6,"0"&amp;A230,A230)</f>
        <v>56-03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s3://rtdc.mdm.uploadarchive.raw/RTDC4001/ "%USERPROFILE%\AppData\Local\Temp\OnboardLogs"\RTDC4001\2017-04-03 --exclude "*" --recursive --include "*20170403*" &amp; "%USERPROFILE%\Documents\GitHub\mrs-test-scripts\Headless Mode &amp; Sideloading\WalkAndUnGZ.bat" "%USERPROFILE%\AppData\Local\Temp\OnboardLogs"\RTDC4001\2017-04-03 &amp; aws s3 cp s3://rtdc.mdm.uploadarchive.raw/RTDC4001/ "%USERPROFILE%\AppData\Local\Temp\OnboardLogs"\RTDC4001\2017-04-04 --exclude "*" --recursive --include "*20170404*" &amp; "%USERPROFILE%\Documents\GitHub\mrs-test-scripts\Headless Mode &amp; Sideloading\WalkAndUnGZ.bat" "%USERPROFILE%\AppData\Local\Temp\OnboardLogs"\RTDC4001\2017-04-04</v>
      </c>
      <c r="AF230" s="82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/stypes="app*4001*20170404*" /stext=" 00:.+((SYSTEM_STATE.+slice.+state.+changed )|(ment ac)|(multiple cpu faults)|(system.+state.+changed )|(\[timeout)|(PRM\|1\|D)|(kpr)|(kdp)|(\|lc)|(penalty))"</v>
      </c>
      <c r="AG230" s="1" t="str">
        <f>IFERROR(IF(VALUE(LEFT(AD230,2))&lt;=2,"EC",IF(OR(VALUE(LEFT(AD230,2))=8,VALUE(LEFT(AD230,2))=18),"NW","Other")),"Other")</f>
        <v>Other</v>
      </c>
      <c r="AH230" s="86" t="str">
        <f>refinertdcruntimes&amp;" --tripid "&amp;A230&amp;" --locoid "&amp;B230&amp;" --swversion "&amp;C230&amp;" --startMP "&amp;D230&amp;" --initTime "&amp;TEXT(E230,"yyyy-mm-ddTHH:MM:SS")&amp;" --startdatetime "&amp;TEXT(F230,"yyyy-mm-ddTHH:MM:SS")&amp;" --delay "&amp;G230&amp;" --endMP "&amp;H230&amp;" --enddatetime "&amp;TEXT(I230,"yyyy-mm-ddTHH:MM:SS")&amp;" --enforcementcount "&amp;J230&amp;IF(outputrefinedruntimes," &gt;&gt;"&amp;RefinedRTDCRunTimesOutputFile,"")</f>
        <v>"%USERPROFILE%\Documents\GitHub\eaglep3\Utilities\RefineRTDCRunTimes.py" --tripid 56-03 --locoid 4001 --swversion DE.1.0.9.0 --startMP 300:23396 --initTime 2017-04-03T17:57:58 --startdatetime 2017-04-03T18:02:45 --delay 4 --endMP 204:2026 --enddatetime 2017-04-03T18:10:04 --enforcementcount 0 &gt;&gt;C:\Users\stu\Documents\GitHub\eaglep3-reporting\EC\2017-04-03-refined-times.txt</v>
      </c>
      <c r="AI230" s="104" t="str">
        <f>"echo {""issue"":{""subject"":"""&amp;R230&amp;""",""project_id"":79,""tracker_id"":40,""status_id"":"&amp;redmine_status&amp;",""priority_id"":"&amp;redmine_priority&amp;",""assigned_to_id"":"&amp;redmine_assignee&amp;",""start_date"":"""&amp;TEXT(I230,"YYYY-mm-dd")&amp;""",""description"":"""&amp;AJ230&amp;""",""custom_fields"":[{""id"":1,""name"":""Subdivision"",""value"":"""&amp;AG230&amp;"""},{""id"":4,""name"":""Milepost"",""value"":"""&amp;Z230&amp;"""},{""id"":17,""name"":""Train ID"",""value"":"""&amp;A230&amp;"""},{""id"":16,""name"":""Locomotive ID"",""value"":"""&amp;B230&amp;"""},{""id"":130,""name"":""Impact"",""value"":"""&amp;AK230&amp;"""},{""id"":150,""name"":""Time of Event (Mountain Time)"",""value"":"""&amp;TEXT(I230,"hh:mm:ss")&amp;"""},{""id"":151,""name"":""Denver Issue ID"",""value"":"""&amp;"""},{""id"":178,""name"":""Operational Impact"",""value"":"""&amp;redmine_op_impact&amp;"""},{""id"":179,""name"":""Denver Segment Assigned"",""value"":"""&amp;AL230&amp;"""}]}}"&amp;"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{"issue":{"subject":"","project_id":79,"tracker_id":40,"status_id":1,"priority_id":2,"assigned_to_id":23,"start_date":"2017-04-03","description":"","custom_fields":[{"id":1,"name":"Subdivision","value":"Other"},{"id":4,"name":"Milepost","value":"0.2026"},{"id":17,"name":"Train ID","value":"56-03"},{"id":16,"name":"Locomotive ID","value":"4001"},{"id":130,"name":"Impact","value":""},{"id":150,"name":"Time of Event (Mountain Time)","value":"18:10:04"},{"id":151,"name":"Denver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>"start /low /b "&amp;dls3logs&amp;" --loco "&amp;B230&amp;" --day "&amp;TEXT(F230,"YYYY-MM-DD")</f>
        <v>start /low /b %USERPROFILE%\Documents\GitHub\eaglep3\Utilities\DownloadLogsFromS3.py --loco 4001 --day 2017-04-03</v>
      </c>
      <c r="AN230" s="159" t="str">
        <f>"echo {""issue"":{""subject"":"""&amp;R230&amp;""",""project_id"":30,""tracker_id"":4,""status_id"":"&amp;redmine_status_wcr&amp;",""priority_id"":"&amp;redmine_priority_wcr&amp;",""assigned_to_id"":"&amp;redmine_assignee_wcr&amp;",""start_date"":"""&amp;TEXT(I230-utc_offset/24,"YYYY-mm-dd")&amp;""",""description"":"""&amp;AJ230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00:10:04"},{"id":29,"name":"Sharepoint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760</v>
      </c>
      <c r="B231" s="7">
        <v>4042</v>
      </c>
      <c r="C231" s="21" t="s">
        <v>217</v>
      </c>
      <c r="D231" s="21" t="s">
        <v>921</v>
      </c>
      <c r="E231" s="13">
        <v>42828.736643518518</v>
      </c>
      <c r="F231" s="13">
        <v>42828.738923611112</v>
      </c>
      <c r="G231" s="7">
        <v>1</v>
      </c>
      <c r="H231" s="21" t="s">
        <v>567</v>
      </c>
      <c r="I231" s="13">
        <v>42828.747372685182</v>
      </c>
      <c r="J231" s="7">
        <v>0</v>
      </c>
      <c r="K231" s="97" t="str">
        <f>IF(ISEVEN(B231),(B231-1)&amp;"/"&amp;B231,B231&amp;"/"&amp;(B231+1))</f>
        <v>4041/4042</v>
      </c>
      <c r="L231" s="21" t="str">
        <f>VLOOKUP(A231,'Trips&amp;Operators'!$C$1:$G$99999,5,FALSE)</f>
        <v>LALONDE GREGORY</v>
      </c>
      <c r="M231" s="6">
        <f>I231-F231</f>
        <v>8.4490740700857714E-3</v>
      </c>
      <c r="N231" s="7">
        <f>24*60*SUM($M231:$M231)</f>
        <v>12.166666660923511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-04-03T16:40:46-0600',mode:absolute,to:'2017-04-03T18:56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1" s="183" t="str">
        <f>IF(AA231&lt;IF(AG231="EC",23,5.65),"Y","N")</f>
        <v>Y</v>
      </c>
      <c r="X231" s="183" t="e">
        <f>VALUE(LEFT(AD231,4))-VALUE(LEFT(AD230,4))</f>
        <v>#VALUE!</v>
      </c>
      <c r="Y231" s="62">
        <f>RIGHT(D231,LEN(D231)-4)/10000</f>
        <v>0.1479</v>
      </c>
      <c r="Z231" s="62">
        <f>RIGHT(H231,LEN(H231)-4)/10000</f>
        <v>2.3302</v>
      </c>
      <c r="AA231" s="62">
        <f>ABS(Z231-Y231)</f>
        <v>2.1823000000000001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>IF(LEN(A231)=6,"0"&amp;A231,A231)</f>
        <v>65-03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s3://rtdc.mdm.uploadarchive.raw/RTDC4042/ "%USERPROFILE%\AppData\Local\Temp\OnboardLogs"\RTDC4042\2017-04-03 --exclude "*" --recursive --include "*20170403*" &amp; "%USERPROFILE%\Documents\GitHub\mrs-test-scripts\Headless Mode &amp; Sideloading\WalkAndUnGZ.bat" "%USERPROFILE%\AppData\Local\Temp\OnboardLogs"\RTDC4042\2017-04-03 &amp; aws s3 cp s3://rtdc.mdm.uploadarchive.raw/RTDC4042/ "%USERPROFILE%\AppData\Local\Temp\OnboardLogs"\RTDC4042\2017-04-04 --exclude "*" --recursive --include "*20170404*" &amp; "%USERPROFILE%\Documents\GitHub\mrs-test-scripts\Headless Mode &amp; Sideloading\WalkAndUnGZ.bat" "%USERPROFILE%\AppData\Local\Temp\OnboardLogs"\RTDC4042\2017-04-04</v>
      </c>
      <c r="AF231" s="82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/stypes="app*4042*20170403*" /stext=" 23:.+((SYSTEM_STATE.+slice.+state.+changed )|(ment ac)|(multiple cpu faults)|(system.+state.+changed )|(\[timeout)|(PRM\|1\|D)|(kpr)|(kdp)|(\|lc)|(penalty))"</v>
      </c>
      <c r="AG231" s="1" t="str">
        <f>IFERROR(IF(VALUE(LEFT(AD231,2))&lt;=2,"EC",IF(OR(VALUE(LEFT(AD231,2))=8,VALUE(LEFT(AD231,2))=18),"NW","Other")),"Other")</f>
        <v>Other</v>
      </c>
      <c r="AH231" s="86" t="str">
        <f>refinertdcruntimes&amp;" --tripid "&amp;A231&amp;" --locoid "&amp;B231&amp;" --swversion "&amp;C231&amp;" --startMP "&amp;D231&amp;" --initTime "&amp;TEXT(E231,"yyyy-mm-ddTHH:MM:SS")&amp;" --startdatetime "&amp;TEXT(F231,"yyyy-mm-ddTHH:MM:SS")&amp;" --delay "&amp;G231&amp;" --endMP "&amp;H231&amp;" --enddatetime "&amp;TEXT(I231,"yyyy-mm-ddTHH:MM:SS")&amp;" --enforcementcount "&amp;J231&amp;IF(outputrefinedruntimes," &gt;&gt;"&amp;RefinedRTDCRunTimesOutputFile,"")</f>
        <v>"%USERPROFILE%\Documents\GitHub\eaglep3\Utilities\RefineRTDCRunTimes.py" --tripid 65-03 --locoid 4042 --swversion DE.1.0.9.0 --startMP 204:1479 --initTime 2017-04-03T17:40:46 --startdatetime 2017-04-03T17:44:03 --delay 1 --endMP 300:23302 --enddatetime 2017-04-03T17:56:13 --enforcementcount 0 &gt;&gt;C:\Users\stu\Documents\GitHub\eaglep3-reporting\EC\2017-04-03-refined-times.txt</v>
      </c>
      <c r="AI231" s="104" t="str">
        <f>"echo {""issue"":{""subject"":"""&amp;R231&amp;""",""project_id"":79,""tracker_id"":40,""status_id"":"&amp;redmine_status&amp;",""priority_id"":"&amp;redmine_priority&amp;",""assigned_to_id"":"&amp;redmine_assignee&amp;",""start_date"":"""&amp;TEXT(I231,"YYYY-mm-dd")&amp;""",""description"":"""&amp;AJ231&amp;""",""custom_fields"":[{""id"":1,""name"":""Subdivision"",""value"":"""&amp;AG231&amp;"""},{""id"":4,""name"":""Milepost"",""value"":"""&amp;Z231&amp;"""},{""id"":17,""name"":""Train ID"",""value"":"""&amp;A231&amp;"""},{""id"":16,""name"":""Locomotive ID"",""value"":"""&amp;B231&amp;"""},{""id"":130,""name"":""Impact"",""value"":"""&amp;AK231&amp;"""},{""id"":150,""name"":""Time of Event (Mountain Time)"",""value"":"""&amp;TEXT(I231,"hh:mm:ss")&amp;"""},{""id"":151,""name"":""Denver Issue ID"",""value"":"""&amp;"""},{""id"":178,""name"":""Operational Impact"",""value"":"""&amp;redmine_op_impact&amp;"""},{""id"":179,""name"":""Denver Segment Assigned"",""value"":"""&amp;AL231&amp;"""}]}}"&amp;"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{"issue":{"subject":"","project_id":79,"tracker_id":40,"status_id":1,"priority_id":2,"assigned_to_id":23,"start_date":"2017-04-03","description":"","custom_fields":[{"id":1,"name":"Subdivision","value":"Other"},{"id":4,"name":"Milepost","value":"2.3302"},{"id":17,"name":"Train ID","value":"65-03"},{"id":16,"name":"Locomotive ID","value":"4042"},{"id":130,"name":"Impact","value":""},{"id":150,"name":"Time of Event (Mountain Time)","value":"17:56:13"},{"id":151,"name":"Denver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>"start /low /b "&amp;dls3logs&amp;" --loco "&amp;B231&amp;" --day "&amp;TEXT(F231,"YYYY-MM-DD")</f>
        <v>start /low /b %USERPROFILE%\Documents\GitHub\eaglep3\Utilities\DownloadLogsFromS3.py --loco 4042 --day 2017-04-03</v>
      </c>
      <c r="AN231" s="159" t="str">
        <f>"echo {""issue"":{""subject"":"""&amp;R231&amp;""",""project_id"":30,""tracker_id"":4,""status_id"":"&amp;redmine_status_wcr&amp;",""priority_id"":"&amp;redmine_priority_wcr&amp;",""assigned_to_id"":"&amp;redmine_assignee_wcr&amp;",""start_date"":"""&amp;TEXT(I231-utc_offset/24,"YYYY-mm-dd")&amp;""",""description"":"""&amp;AJ231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{"issue":{"subject":"","project_id":30,"tracker_id":4,"status_id":1,"priority_id":1,"assigned_to_id":10,"start_date":"2017-04-03","description":"","custom_fields":[{"id":30,"name":"Category","value":"Issue"},{"id":3,"name":"Functional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UTC","value":"2017-04-03 23:56:13"},{"id":29,"name":"Sharepoint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621</v>
      </c>
      <c r="B232" s="7">
        <v>4021</v>
      </c>
      <c r="C232" s="21" t="s">
        <v>217</v>
      </c>
      <c r="D232" s="21" t="s">
        <v>465</v>
      </c>
      <c r="E232" s="13">
        <v>42828.896724537037</v>
      </c>
      <c r="F232" s="13">
        <v>42828.93787037037</v>
      </c>
      <c r="G232" s="7">
        <v>1</v>
      </c>
      <c r="H232" s="21" t="s">
        <v>928</v>
      </c>
      <c r="I232" s="13">
        <v>42828.946261574078</v>
      </c>
      <c r="J232" s="7">
        <v>0</v>
      </c>
      <c r="K232" s="97" t="str">
        <f>IF(ISEVEN(B232),(B232-1)&amp;"/"&amp;B232,B232&amp;"/"&amp;(B232+1))</f>
        <v>4021/4022</v>
      </c>
      <c r="L232" s="21" t="str">
        <f>VLOOKUP(A232,'Trips&amp;Operators'!$C$1:$G$99999,5,FALSE)</f>
        <v>DUNCAN SHEILA</v>
      </c>
      <c r="M232" s="6">
        <f>I232-F232</f>
        <v>8.3912037080153823E-3</v>
      </c>
      <c r="N232" s="7">
        <f>24*60*SUM($M232:$M232)</f>
        <v>12.08333333954215</v>
      </c>
      <c r="O232" s="7"/>
      <c r="P232" s="7"/>
      <c r="Q232" s="22"/>
      <c r="R232" s="22"/>
      <c r="S232" s="31">
        <f>SUM(U232:U232)/IF(AG232="EC",12,1)</f>
        <v>0</v>
      </c>
      <c r="T232" s="46" t="e">
        <f>IF(ISEVEN(LEFT(AD232,4)),"Southbound","NorthBound")</f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-04-03T20:31:17-0600',mode:absolute,to:'2017-04-03T23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2" s="183" t="str">
        <f>IF(AA232&lt;IF(AG232="EC",23,5.65),"Y","N")</f>
        <v>N</v>
      </c>
      <c r="X232" s="183" t="e">
        <f>VALUE(LEFT(AD232,4))-VALUE(LEFT(AD231,4))</f>
        <v>#VALUE!</v>
      </c>
      <c r="Y232" s="62">
        <f>RIGHT(D232,LEN(D232)-4)/10000</f>
        <v>23.296099999999999</v>
      </c>
      <c r="Z232" s="62">
        <f>RIGHT(H232,LEN(H232)-4)/10000</f>
        <v>15.399100000000001</v>
      </c>
      <c r="AA232" s="62">
        <f>ABS(Z232-Y232)</f>
        <v>7.8969999999999985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>IF(LEN(A232)=6,"0"&amp;A232,A232)</f>
        <v>80-03</v>
      </c>
      <c r="AE232" s="8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2" s="82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/stypes="app*4021*20170404*" /stext=" 04:.+((SYSTEM_STATE.+slice.+state.+changed )|(ment ac)|(multiple cpu faults)|(system.+state.+changed )|(\[timeout)|(PRM\|1\|D)|(kpr)|(kdp)|(\|lc)|(penalty))"</v>
      </c>
      <c r="AG232" s="1" t="str">
        <f>IFERROR(IF(VALUE(LEFT(AD232,2))&lt;=2,"EC",IF(OR(VALUE(LEFT(AD232,2))=8,VALUE(LEFT(AD232,2))=18),"NW","Other")),"Other")</f>
        <v>Other</v>
      </c>
      <c r="AH232" s="86" t="str">
        <f>refinertdcruntimes&amp;" --tripid "&amp;A232&amp;" --locoid "&amp;B232&amp;" --swversion "&amp;C232&amp;" --startMP "&amp;D232&amp;" --initTime "&amp;TEXT(E232,"yyyy-mm-ddTHH:MM:SS")&amp;" --startdatetime "&amp;TEXT(F232,"yyyy-mm-ddTHH:MM:SS")&amp;" --delay "&amp;G232&amp;" --endMP "&amp;H232&amp;" --enddatetime "&amp;TEXT(I232,"yyyy-mm-ddTHH:MM:SS")&amp;" --enforcementcount "&amp;J232&amp;IF(outputrefinedruntimes," &gt;&gt;"&amp;RefinedRTDCRunTimesOutputFile,"")</f>
        <v>"%USERPROFILE%\Documents\GitHub\eaglep3\Utilities\RefineRTDCRunTimes.py" --tripid 80-03 --locoid 4021 --swversion DE.1.0.9.0 --startMP 204:232961 --initTime 2017-04-03T21:31:17 --startdatetime 2017-04-03T22:30:32 --delay 1 --endMP 204:153991 --enddatetime 2017-04-03T22:42:37 --enforcementcount 0 &gt;&gt;C:\Users\stu\Documents\GitHub\eaglep3-reporting\EC\2017-04-03-refined-times.txt</v>
      </c>
      <c r="AI232" s="104" t="str">
        <f>"echo {""issue"":{""subject"":"""&amp;R232&amp;""",""project_id"":79,""tracker_id"":40,""status_id"":"&amp;redmine_status&amp;",""priority_id"":"&amp;redmine_priority&amp;",""assigned_to_id"":"&amp;redmine_assignee&amp;",""start_date"":"""&amp;TEXT(I232,"YYYY-mm-dd")&amp;""",""description"":"""&amp;AJ232&amp;""",""custom_fields"":[{""id"":1,""name"":""Subdivision"",""value"":"""&amp;AG232&amp;"""},{""id"":4,""name"":""Milepost"",""value"":"""&amp;Z232&amp;"""},{""id"":17,""name"":""Train ID"",""value"":"""&amp;A232&amp;"""},{""id"":16,""name"":""Locomotive ID"",""value"":"""&amp;B232&amp;"""},{""id"":130,""name"":""Impact"",""value"":"""&amp;AK232&amp;"""},{""id"":150,""name"":""Time of Event (Mountain Time)"",""value"":"""&amp;TEXT(I232,"hh:mm:ss")&amp;"""},{""id"":151,""name"":""Denver Issue ID"",""value"":"""&amp;"""},{""id"":178,""name"":""Operational Impact"",""value"":"""&amp;redmine_op_impact&amp;"""},{""id"":179,""name"":""Denver Segment Assigned"",""value"":"""&amp;AL232&amp;"""}]}}"&amp;"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{"issue":{"subject":"","project_id":79,"tracker_id":40,"status_id":1,"priority_id":2,"assigned_to_id":23,"start_date":"2017-04-03","description":"","custom_fields":[{"id":1,"name":"Subdivision","value":"Other"},{"id":4,"name":"Milepost","value":"15.3991"},{"id":17,"name":"Train ID","value":"80-03"},{"id":16,"name":"Locomotive ID","value":"4021"},{"id":130,"name":"Impact","value":""},{"id":150,"name":"Time of Event (Mountain Time)","value":"22:42:37"},{"id":151,"name":"Denver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>"start /low /b "&amp;dls3logs&amp;" --loco "&amp;B232&amp;" --day "&amp;TEXT(F232,"YYYY-MM-DD")</f>
        <v>start /low /b %USERPROFILE%\Documents\GitHub\eaglep3\Utilities\DownloadLogsFromS3.py --loco 4021 --day 2017-04-03</v>
      </c>
      <c r="AN232" s="159" t="str">
        <f>"echo {""issue"":{""subject"":"""&amp;R232&amp;""",""project_id"":30,""tracker_id"":4,""status_id"":"&amp;redmine_status_wcr&amp;",""priority_id"":"&amp;redmine_priority_wcr&amp;",""assigned_to_id"":"&amp;redmine_assignee_wcr&amp;",""start_date"":"""&amp;TEXT(I232-utc_offset/24,"YYYY-mm-dd")&amp;""",""description"":"""&amp;AJ232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04:42:37"},{"id":29,"name":"Sharepoint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621</v>
      </c>
      <c r="B233" s="7">
        <v>4021</v>
      </c>
      <c r="C233" s="21" t="s">
        <v>217</v>
      </c>
      <c r="D233" s="21" t="s">
        <v>888</v>
      </c>
      <c r="E233" s="13">
        <v>42828.930937500001</v>
      </c>
      <c r="F233" s="13">
        <v>42828.959675925929</v>
      </c>
      <c r="G233" s="7">
        <v>1</v>
      </c>
      <c r="H233" s="21" t="s">
        <v>929</v>
      </c>
      <c r="I233" s="13">
        <v>42828.967013888891</v>
      </c>
      <c r="J233" s="7">
        <v>0</v>
      </c>
      <c r="K233" s="97" t="str">
        <f>IF(ISEVEN(B233),(B233-1)&amp;"/"&amp;B233,B233&amp;"/"&amp;(B233+1))</f>
        <v>4021/4022</v>
      </c>
      <c r="L233" s="21" t="str">
        <f>VLOOKUP(A233,'Trips&amp;Operators'!$C$1:$G$99999,5,FALSE)</f>
        <v>DUNCAN SHEILA</v>
      </c>
      <c r="M233" s="6">
        <f>I233-F233</f>
        <v>7.3379629611736163E-3</v>
      </c>
      <c r="N233" s="7">
        <f>24*60*SUM($M233:$M233)</f>
        <v>10.566666664090008</v>
      </c>
      <c r="O233" s="7"/>
      <c r="P233" s="7"/>
      <c r="Q233" s="22"/>
      <c r="R233" s="22"/>
      <c r="S233" s="31">
        <f>SUM(U233:U233)/IF(AG233="EC",12,1)</f>
        <v>0</v>
      </c>
      <c r="T233" s="46" t="e">
        <f>IF(ISEVEN(LEFT(AD233,4)),"Southbound","NorthBound")</f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-04-03T21:20:33-0600',mode:absolute,to:'2017-04-04T00:12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3" s="183" t="str">
        <f>IF(AA233&lt;IF(AG233="EC",23,5.65),"Y","N")</f>
        <v>Y</v>
      </c>
      <c r="X233" s="183" t="e">
        <f>VALUE(LEFT(AD233,4))-VALUE(LEFT(AD232,4))</f>
        <v>#VALUE!</v>
      </c>
      <c r="Y233" s="62">
        <f>RIGHT(D233,LEN(D233)-4)/10000</f>
        <v>23.296299999999999</v>
      </c>
      <c r="Z233" s="62">
        <f>RIGHT(H233,LEN(H233)-4)/10000</f>
        <v>18.982199999999999</v>
      </c>
      <c r="AA233" s="62">
        <f>ABS(Z233-Y233)</f>
        <v>4.3140999999999998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>IF(LEN(A233)=6,"0"&amp;A233,A233)</f>
        <v>80-03</v>
      </c>
      <c r="AE233" s="8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3" s="82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/stypes="app*4021*20170404*" /stext=" 05:.+((SYSTEM_STATE.+slice.+state.+changed )|(ment ac)|(multiple cpu faults)|(system.+state.+changed )|(\[timeout)|(PRM\|1\|D)|(kpr)|(kdp)|(\|lc)|(penalty))"</v>
      </c>
      <c r="AG233" s="1" t="str">
        <f>IFERROR(IF(VALUE(LEFT(AD233,2))&lt;=2,"EC",IF(OR(VALUE(LEFT(AD233,2))=8,VALUE(LEFT(AD233,2))=18),"NW","Other")),"Other")</f>
        <v>Other</v>
      </c>
      <c r="AH233" s="86" t="str">
        <f>refinertdcruntimes&amp;" --tripid "&amp;A233&amp;" --locoid "&amp;B233&amp;" --swversion "&amp;C233&amp;" --startMP "&amp;D233&amp;" --initTime "&amp;TEXT(E233,"yyyy-mm-ddTHH:MM:SS")&amp;" --startdatetime "&amp;TEXT(F233,"yyyy-mm-ddTHH:MM:SS")&amp;" --delay "&amp;G233&amp;" --endMP "&amp;H233&amp;" --enddatetime "&amp;TEXT(I233,"yyyy-mm-ddTHH:MM:SS")&amp;" --enforcementcount "&amp;J233&amp;IF(outputrefinedruntimes," &gt;&gt;"&amp;RefinedRTDCRunTimesOutputFile,"")</f>
        <v>"%USERPROFILE%\Documents\GitHub\eaglep3\Utilities\RefineRTDCRunTimes.py" --tripid 80-03 --locoid 4021 --swversion DE.1.0.9.0 --startMP 204:232963 --initTime 2017-04-03T22:20:33 --startdatetime 2017-04-03T23:01:56 --delay 1 --endMP 204:189822 --enddatetime 2017-04-03T23:12:30 --enforcementcount 0 &gt;&gt;C:\Users\stu\Documents\GitHub\eaglep3-reporting\EC\2017-04-03-refined-times.txt</v>
      </c>
      <c r="AI233" s="104" t="str">
        <f>"echo {""issue"":{""subject"":"""&amp;R233&amp;""",""project_id"":79,""tracker_id"":40,""status_id"":"&amp;redmine_status&amp;",""priority_id"":"&amp;redmine_priority&amp;",""assigned_to_id"":"&amp;redmine_assignee&amp;",""start_date"":"""&amp;TEXT(I233,"YYYY-mm-dd")&amp;""",""description"":"""&amp;AJ233&amp;""",""custom_fields"":[{""id"":1,""name"":""Subdivision"",""value"":"""&amp;AG233&amp;"""},{""id"":4,""name"":""Milepost"",""value"":"""&amp;Z233&amp;"""},{""id"":17,""name"":""Train ID"",""value"":"""&amp;A233&amp;"""},{""id"":16,""name"":""Locomotive ID"",""value"":"""&amp;B233&amp;"""},{""id"":130,""name"":""Impact"",""value"":"""&amp;AK233&amp;"""},{""id"":150,""name"":""Time of Event (Mountain Time)"",""value"":"""&amp;TEXT(I233,"hh:mm:ss")&amp;"""},{""id"":151,""name"":""Denver Issue ID"",""value"":"""&amp;"""},{""id"":178,""name"":""Operational Impact"",""value"":"""&amp;redmine_op_impact&amp;"""},{""id"":179,""name"":""Denver Segment Assigned"",""value"":"""&amp;AL233&amp;"""}]}}"&amp;"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{"issue":{"subject":"","project_id":79,"tracker_id":40,"status_id":1,"priority_id":2,"assigned_to_id":23,"start_date":"2017-04-03","description":"","custom_fields":[{"id":1,"name":"Subdivision","value":"Other"},{"id":4,"name":"Milepost","value":"18.9822"},{"id":17,"name":"Train ID","value":"80-03"},{"id":16,"name":"Locomotive ID","value":"4021"},{"id":130,"name":"Impact","value":""},{"id":150,"name":"Time of Event (Mountain Time)","value":"23:12:30"},{"id":151,"name":"Denver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>"start /low /b "&amp;dls3logs&amp;" --loco "&amp;B233&amp;" --day "&amp;TEXT(F233,"YYYY-MM-DD")</f>
        <v>start /low /b %USERPROFILE%\Documents\GitHub\eaglep3\Utilities\DownloadLogsFromS3.py --loco 4021 --day 2017-04-03</v>
      </c>
      <c r="AN233" s="159" t="str">
        <f>"echo {""issue"":{""subject"":"""&amp;R233&amp;""",""project_id"":30,""tracker_id"":4,""status_id"":"&amp;redmine_status_wcr&amp;",""priority_id"":"&amp;redmine_priority_wcr&amp;",""assigned_to_id"":"&amp;redmine_assignee_wcr&amp;",""start_date"":"""&amp;TEXT(I233-utc_offset/24,"YYYY-mm-dd")&amp;""",""description"":"""&amp;AJ233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05:12:30"},{"id":29,"name":"Sharepoint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621</v>
      </c>
      <c r="B234" s="7">
        <v>4021</v>
      </c>
      <c r="C234" s="21" t="s">
        <v>217</v>
      </c>
      <c r="D234" s="21" t="s">
        <v>926</v>
      </c>
      <c r="E234" s="13">
        <v>42828.95521990741</v>
      </c>
      <c r="F234" s="13">
        <v>42828.987870370373</v>
      </c>
      <c r="G234" s="7">
        <v>1</v>
      </c>
      <c r="H234" s="21" t="s">
        <v>927</v>
      </c>
      <c r="I234" s="13">
        <v>42829.00885416667</v>
      </c>
      <c r="J234" s="7">
        <v>0</v>
      </c>
      <c r="K234" s="97" t="str">
        <f>IF(ISEVEN(B234),(B234-1)&amp;"/"&amp;B234,B234&amp;"/"&amp;(B234+1))</f>
        <v>4021/4022</v>
      </c>
      <c r="L234" s="21" t="str">
        <f>VLOOKUP(A234,'Trips&amp;Operators'!$C$1:$G$99999,5,FALSE)</f>
        <v>DUNCAN SHEILA</v>
      </c>
      <c r="M234" s="6">
        <f>I234-F234</f>
        <v>2.0983796297514345E-2</v>
      </c>
      <c r="N234" s="7">
        <f>24*60*SUM($M234:$M234)</f>
        <v>30.216666668420658</v>
      </c>
      <c r="O234" s="7"/>
      <c r="P234" s="7"/>
      <c r="Q234" s="22"/>
      <c r="R234" s="22"/>
      <c r="S234" s="31">
        <f>SUM(U234:U234)/IF(AG234="EC",12,1)</f>
        <v>0</v>
      </c>
      <c r="T234" s="46" t="e">
        <f>IF(ISEVEN(LEFT(AD234,4)),"Southbound","NorthBound")</f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-04-03T21:55:31-0600',mode:absolute,to:'2017-04-04T01:12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4" s="183" t="str">
        <f>IF(AA234&lt;IF(AG234="EC",23,5.65),"Y","N")</f>
        <v>Y</v>
      </c>
      <c r="X234" s="183" t="e">
        <f>VALUE(LEFT(AD234,4))-VALUE(LEFT(AD233,4))</f>
        <v>#VALUE!</v>
      </c>
      <c r="Y234" s="62">
        <f>RIGHT(D234,LEN(D234)-4)/10000</f>
        <v>23.295200000000001</v>
      </c>
      <c r="Z234" s="62">
        <f>RIGHT(H234,LEN(H234)-4)/10000</f>
        <v>18.9711</v>
      </c>
      <c r="AA234" s="62">
        <f>ABS(Z234-Y234)</f>
        <v>4.3241000000000014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>IF(LEN(A234)=6,"0"&amp;A234,A234)</f>
        <v>80-03</v>
      </c>
      <c r="AE234" s="8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s3://rtdc.mdm.uploadarchive.raw/RTDC4021/ "%USERPROFILE%\AppData\Local\Temp\OnboardLogs"\RTDC4021\2017-04-03 --exclude "*" --recursive --include "*20170403*" &amp; "%USERPROFILE%\Documents\GitHub\mrs-test-scripts\Headless Mode &amp; Sideloading\WalkAndUnGZ.bat" "%USERPROFILE%\AppData\Local\Temp\OnboardLogs"\RTDC4021\2017-04-03 &amp; 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</v>
      </c>
      <c r="AF234" s="82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/stypes="app*4021*20170404*" /stext=" 06:.+((SYSTEM_STATE.+slice.+state.+changed )|(ment ac)|(multiple cpu faults)|(system.+state.+changed )|(\[timeout)|(PRM\|1\|D)|(kpr)|(kdp)|(\|lc)|(penalty))"</v>
      </c>
      <c r="AG234" s="1" t="str">
        <f>IFERROR(IF(VALUE(LEFT(AD234,2))&lt;=2,"EC",IF(OR(VALUE(LEFT(AD234,2))=8,VALUE(LEFT(AD234,2))=18),"NW","Other")),"Other")</f>
        <v>Other</v>
      </c>
      <c r="AH234" s="86" t="str">
        <f>refinertdcruntimes&amp;" --tripid "&amp;A234&amp;" --locoid "&amp;B234&amp;" --swversion "&amp;C234&amp;" --startMP "&amp;D234&amp;" --initTime "&amp;TEXT(E234,"yyyy-mm-ddTHH:MM:SS")&amp;" --startdatetime "&amp;TEXT(F234,"yyyy-mm-ddTHH:MM:SS")&amp;" --delay "&amp;G234&amp;" --endMP "&amp;H234&amp;" --enddatetime "&amp;TEXT(I234,"yyyy-mm-ddTHH:MM:SS")&amp;" --enforcementcount "&amp;J234&amp;IF(outputrefinedruntimes," &gt;&gt;"&amp;RefinedRTDCRunTimesOutputFile,"")</f>
        <v>"%USERPROFILE%\Documents\GitHub\eaglep3\Utilities\RefineRTDCRunTimes.py" --tripid 80-03 --locoid 4021 --swversion DE.1.0.9.0 --startMP 204:232952 --initTime 2017-04-03T22:55:31 --startdatetime 2017-04-03T23:42:32 --delay 1 --endMP 204:189711 --enddatetime 2017-04-04T00:12:45 --enforcementcount 0 &gt;&gt;C:\Users\stu\Documents\GitHub\eaglep3-reporting\EC\2017-04-03-refined-times.txt</v>
      </c>
      <c r="AI234" s="104" t="str">
        <f>"echo {""issue"":{""subject"":"""&amp;R234&amp;""",""project_id"":79,""tracker_id"":40,""status_id"":"&amp;redmine_status&amp;",""priority_id"":"&amp;redmine_priority&amp;",""assigned_to_id"":"&amp;redmine_assignee&amp;",""start_date"":"""&amp;TEXT(I234,"YYYY-mm-dd")&amp;""",""description"":"""&amp;AJ234&amp;""",""custom_fields"":[{""id"":1,""name"":""Subdivision"",""value"":"""&amp;AG234&amp;"""},{""id"":4,""name"":""Milepost"",""value"":"""&amp;Z234&amp;"""},{""id"":17,""name"":""Train ID"",""value"":"""&amp;A234&amp;"""},{""id"":16,""name"":""Locomotive ID"",""value"":"""&amp;B234&amp;"""},{""id"":130,""name"":""Impact"",""value"":"""&amp;AK234&amp;"""},{""id"":150,""name"":""Time of Event (Mountain Time)"",""value"":"""&amp;TEXT(I234,"hh:mm:ss")&amp;"""},{""id"":151,""name"":""Denver Issue ID"",""value"":"""&amp;"""},{""id"":178,""name"":""Operational Impact"",""value"":"""&amp;redmine_op_impact&amp;"""},{""id"":179,""name"":""Denver Segment Assigned"",""value"":"""&amp;AL234&amp;"""}]}}"&amp;"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{"issue":{"subject":"","project_id":79,"tracker_id":40,"status_id":1,"priority_id":2,"assigned_to_id":23,"start_date":"2017-04-04","description":"","custom_fields":[{"id":1,"name":"Subdivision","value":"Other"},{"id":4,"name":"Milepost","value":"18.9711"},{"id":17,"name":"Train ID","value":"80-03"},{"id":16,"name":"Locomotive ID","value":"4021"},{"id":130,"name":"Impact","value":""},{"id":150,"name":"Time of Event (Mountain Time)","value":"00:12:45"},{"id":151,"name":"Denver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>"start /low /b "&amp;dls3logs&amp;" --loco "&amp;B234&amp;" --day "&amp;TEXT(F234,"YYYY-MM-DD")</f>
        <v>start /low /b %USERPROFILE%\Documents\GitHub\eaglep3\Utilities\DownloadLogsFromS3.py --loco 4021 --day 2017-04-03</v>
      </c>
      <c r="AN234" s="159" t="str">
        <f>"echo {""issue"":{""subject"":"""&amp;R234&amp;""",""project_id"":30,""tracker_id"":4,""status_id"":"&amp;redmine_status_wcr&amp;",""priority_id"":"&amp;redmine_priority_wcr&amp;",""assigned_to_id"":"&amp;redmine_assignee_wcr&amp;",""start_date"":"""&amp;TEXT(I234-utc_offset/24,"YYYY-mm-dd")&amp;""",""description"":"""&amp;AJ234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06:12:45"},{"id":29,"name":"Sharepoint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621</v>
      </c>
      <c r="B235" s="7">
        <v>4021</v>
      </c>
      <c r="C235" s="21" t="s">
        <v>217</v>
      </c>
      <c r="D235" s="21" t="s">
        <v>930</v>
      </c>
      <c r="E235" s="13">
        <v>42828.986446759256</v>
      </c>
      <c r="F235" s="13">
        <v>42829.02616898148</v>
      </c>
      <c r="G235" s="7">
        <v>1</v>
      </c>
      <c r="H235" s="21" t="s">
        <v>931</v>
      </c>
      <c r="I235" s="13">
        <v>42829.037060185183</v>
      </c>
      <c r="J235" s="7">
        <v>0</v>
      </c>
      <c r="K235" s="97" t="str">
        <f>IF(ISEVEN(B235),(B235-1)&amp;"/"&amp;B235,B235&amp;"/"&amp;(B235+1))</f>
        <v>4021/4022</v>
      </c>
      <c r="L235" s="21" t="str">
        <f>VLOOKUP(A235,'Trips&amp;Operators'!$C$1:$G$99999,5,FALSE)</f>
        <v>DUNCAN SHEILA</v>
      </c>
      <c r="M235" s="6">
        <f>I235-F235</f>
        <v>1.0891203703067731E-2</v>
      </c>
      <c r="N235" s="7">
        <f>24*60*SUM($M235:$M235)</f>
        <v>15.683333332417533</v>
      </c>
      <c r="O235" s="7"/>
      <c r="P235" s="7"/>
      <c r="Q235" s="22"/>
      <c r="R235" s="22"/>
      <c r="S235" s="31">
        <f>SUM(U235:U235)/IF(AG235="EC",12,1)</f>
        <v>0</v>
      </c>
      <c r="T235" s="46" t="e">
        <f>IF(ISEVEN(LEFT(AD235,4)),"Southbound","NorthBound")</f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-04-03T22:40:29-0600',mode:absolute,to:'2017-04-04T01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5" s="183" t="str">
        <f>IF(AA235&lt;IF(AG235="EC",23,5.65),"Y","N")</f>
        <v>Y</v>
      </c>
      <c r="X235" s="183" t="e">
        <f>VALUE(LEFT(AD235,4))-VALUE(LEFT(AD234,4))</f>
        <v>#VALUE!</v>
      </c>
      <c r="Y235" s="62">
        <f>RIGHT(D235,LEN(D235)-4)/10000</f>
        <v>23.296500000000002</v>
      </c>
      <c r="Z235" s="62">
        <f>RIGHT(H235,LEN(H235)-4)/10000</f>
        <v>19.013400000000001</v>
      </c>
      <c r="AA235" s="62">
        <f>ABS(Z235-Y235)</f>
        <v>4.283100000000001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>IF(LEN(A235)=6,"0"&amp;A235,A235)</f>
        <v>80-03</v>
      </c>
      <c r="AE235" s="8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5" s="82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/stypes="app*4021*20170404*" /stext=" 06:.+((SYSTEM_STATE.+slice.+state.+changed )|(ment ac)|(multiple cpu faults)|(system.+state.+changed )|(\[timeout)|(PRM\|1\|D)|(kpr)|(kdp)|(\|lc)|(penalty))"</v>
      </c>
      <c r="AG235" s="1" t="str">
        <f>IFERROR(IF(VALUE(LEFT(AD235,2))&lt;=2,"EC",IF(OR(VALUE(LEFT(AD235,2))=8,VALUE(LEFT(AD235,2))=18),"NW","Other")),"Other")</f>
        <v>Other</v>
      </c>
      <c r="AH235" s="86" t="str">
        <f>refinertdcruntimes&amp;" --tripid "&amp;A235&amp;" --locoid "&amp;B235&amp;" --swversion "&amp;C235&amp;" --startMP "&amp;D235&amp;" --initTime "&amp;TEXT(E235,"yyyy-mm-ddTHH:MM:SS")&amp;" --startdatetime "&amp;TEXT(F235,"yyyy-mm-ddTHH:MM:SS")&amp;" --delay "&amp;G235&amp;" --endMP "&amp;H235&amp;" --enddatetime "&amp;TEXT(I235,"yyyy-mm-ddTHH:MM:SS")&amp;" --enforcementcount "&amp;J235&amp;IF(outputrefinedruntimes," &gt;&gt;"&amp;RefinedRTDCRunTimesOutputFile,"")</f>
        <v>"%USERPROFILE%\Documents\GitHub\eaglep3\Utilities\RefineRTDCRunTimes.py" --tripid 80-03 --locoid 4021 --swversion DE.1.0.9.0 --startMP 204:232965 --initTime 2017-04-03T23:40:29 --startdatetime 2017-04-04T00:37:41 --delay 1 --endMP 204:190134 --enddatetime 2017-04-04T00:53:22 --enforcementcount 0 &gt;&gt;C:\Users\stu\Documents\GitHub\eaglep3-reporting\EC\2017-04-03-refined-times.txt</v>
      </c>
      <c r="AI235" s="104" t="str">
        <f>"echo {""issue"":{""subject"":"""&amp;R235&amp;""",""project_id"":79,""tracker_id"":40,""status_id"":"&amp;redmine_status&amp;",""priority_id"":"&amp;redmine_priority&amp;",""assigned_to_id"":"&amp;redmine_assignee&amp;",""start_date"":"""&amp;TEXT(I235,"YYYY-mm-dd")&amp;""",""description"":"""&amp;AJ235&amp;""",""custom_fields"":[{""id"":1,""name"":""Subdivision"",""value"":"""&amp;AG235&amp;"""},{""id"":4,""name"":""Milepost"",""value"":"""&amp;Z235&amp;"""},{""id"":17,""name"":""Train ID"",""value"":"""&amp;A235&amp;"""},{""id"":16,""name"":""Locomotive ID"",""value"":"""&amp;B235&amp;"""},{""id"":130,""name"":""Impact"",""value"":"""&amp;AK235&amp;"""},{""id"":150,""name"":""Time of Event (Mountain Time)"",""value"":"""&amp;TEXT(I235,"hh:mm:ss")&amp;"""},{""id"":151,""name"":""Denver Issue ID"",""value"":"""&amp;"""},{""id"":178,""name"":""Operational Impact"",""value"":"""&amp;redmine_op_impact&amp;"""},{""id"":179,""name"":""Denver Segment Assigned"",""value"":"""&amp;AL235&amp;"""}]}}"&amp;"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{"issue":{"subject":"","project_id":79,"tracker_id":40,"status_id":1,"priority_id":2,"assigned_to_id":23,"start_date":"2017-04-04","description":"","custom_fields":[{"id":1,"name":"Subdivision","value":"Other"},{"id":4,"name":"Milepost","value":"19.0134"},{"id":17,"name":"Train ID","value":"80-03"},{"id":16,"name":"Locomotive ID","value":"4021"},{"id":130,"name":"Impact","value":""},{"id":150,"name":"Time of Event (Mountain Time)","value":"00:53:22"},{"id":151,"name":"Denver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>"start /low /b "&amp;dls3logs&amp;" --loco "&amp;B235&amp;" --day "&amp;TEXT(F235,"YYYY-MM-DD")</f>
        <v>start /low /b %USERPROFILE%\Documents\GitHub\eaglep3\Utilities\DownloadLogsFromS3.py --loco 4021 --day 2017-04-04</v>
      </c>
      <c r="AN235" s="159" t="str">
        <f>"echo {""issue"":{""subject"":"""&amp;R235&amp;""",""project_id"":30,""tracker_id"":4,""status_id"":"&amp;redmine_status_wcr&amp;",""priority_id"":"&amp;redmine_priority_wcr&amp;",""assigned_to_id"":"&amp;redmine_assignee_wcr&amp;",""start_date"":"""&amp;TEXT(I235-utc_offset/24,"YYYY-mm-dd")&amp;""",""description"":"""&amp;AJ235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621</v>
      </c>
      <c r="B236" s="7">
        <v>4021</v>
      </c>
      <c r="C236" s="21" t="s">
        <v>217</v>
      </c>
      <c r="D236" s="21" t="s">
        <v>562</v>
      </c>
      <c r="E236" s="13">
        <v>42829.02238425926</v>
      </c>
      <c r="F236" s="13">
        <v>42829.082094907404</v>
      </c>
      <c r="G236" s="7">
        <v>1</v>
      </c>
      <c r="H236" s="21" t="s">
        <v>932</v>
      </c>
      <c r="I236" s="13">
        <v>42829.090613425928</v>
      </c>
      <c r="J236" s="7">
        <v>0</v>
      </c>
      <c r="K236" s="97" t="str">
        <f>IF(ISEVEN(B236),(B236-1)&amp;"/"&amp;B236,B236&amp;"/"&amp;(B236+1))</f>
        <v>4021/4022</v>
      </c>
      <c r="L236" s="21" t="str">
        <f>VLOOKUP(A236,'Trips&amp;Operators'!$C$1:$G$99999,5,FALSE)</f>
        <v>DUNCAN SHEILA</v>
      </c>
      <c r="M236" s="6">
        <f>I236-F236</f>
        <v>8.5185185234877281E-3</v>
      </c>
      <c r="N236" s="7">
        <f>24*60*SUM($M236:$M236)</f>
        <v>12.266666673822328</v>
      </c>
      <c r="O236" s="7"/>
      <c r="P236" s="7"/>
      <c r="Q236" s="22"/>
      <c r="R236" s="22"/>
      <c r="S236" s="31">
        <f>SUM(U236:U236)/IF(AG236="EC",12,1)</f>
        <v>0</v>
      </c>
      <c r="T236" s="46" t="e">
        <f>IF(ISEVEN(LEFT(AD236,4)),"Southbound","NorthBound")</f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-04-03T23:32:14-0600',mode:absolute,to:'2017-04-04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6" s="183" t="str">
        <f>IF(AA236&lt;IF(AG236="EC",23,5.65),"Y","N")</f>
        <v>Y</v>
      </c>
      <c r="X236" s="183" t="e">
        <f>VALUE(LEFT(AD236,4))-VALUE(LEFT(AD235,4))</f>
        <v>#VALUE!</v>
      </c>
      <c r="Y236" s="62">
        <f>RIGHT(D236,LEN(D236)-4)/10000</f>
        <v>23.298300000000001</v>
      </c>
      <c r="Z236" s="62">
        <f>RIGHT(H236,LEN(H236)-4)/10000</f>
        <v>18.979600000000001</v>
      </c>
      <c r="AA236" s="62">
        <f>ABS(Z236-Y236)</f>
        <v>4.3186999999999998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>IF(LEN(A236)=6,"0"&amp;A236,A236)</f>
        <v>80-03</v>
      </c>
      <c r="AE236" s="8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6" s="82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6" s="1" t="str">
        <f>IFERROR(IF(VALUE(LEFT(AD236,2))&lt;=2,"EC",IF(OR(VALUE(LEFT(AD236,2))=8,VALUE(LEFT(AD236,2))=18),"NW","Other")),"Other")</f>
        <v>Other</v>
      </c>
      <c r="AH236" s="86" t="str">
        <f>refinertdcruntimes&amp;" --tripid "&amp;A236&amp;" --locoid "&amp;B236&amp;" --swversion "&amp;C236&amp;" --startMP "&amp;D236&amp;" --initTime "&amp;TEXT(E236,"yyyy-mm-ddTHH:MM:SS")&amp;" --startdatetime "&amp;TEXT(F236,"yyyy-mm-ddTHH:MM:SS")&amp;" --delay "&amp;G236&amp;" --endMP "&amp;H236&amp;" --enddatetime "&amp;TEXT(I236,"yyyy-mm-ddTHH:MM:SS")&amp;" --enforcementcount "&amp;J236&amp;IF(outputrefinedruntimes," &gt;&gt;"&amp;RefinedRTDCRunTimesOutputFile,"")</f>
        <v>"%USERPROFILE%\Documents\GitHub\eaglep3\Utilities\RefineRTDCRunTimes.py" --tripid 80-03 --locoid 4021 --swversion DE.1.0.9.0 --startMP 204:232983 --initTime 2017-04-04T00:32:14 --startdatetime 2017-04-04T01:58:13 --delay 1 --endMP 204:189796 --enddatetime 2017-04-04T02:10:29 --enforcementcount 0 &gt;&gt;C:\Users\stu\Documents\GitHub\eaglep3-reporting\EC\2017-04-03-refined-times.txt</v>
      </c>
      <c r="AI236" s="104" t="str">
        <f>"echo {""issue"":{""subject"":"""&amp;R236&amp;""",""project_id"":79,""tracker_id"":40,""status_id"":"&amp;redmine_status&amp;",""priority_id"":"&amp;redmine_priority&amp;",""assigned_to_id"":"&amp;redmine_assignee&amp;",""start_date"":"""&amp;TEXT(I236,"YYYY-mm-dd")&amp;""",""description"":"""&amp;AJ236&amp;""",""custom_fields"":[{""id"":1,""name"":""Subdivision"",""value"":"""&amp;AG236&amp;"""},{""id"":4,""name"":""Milepost"",""value"":"""&amp;Z236&amp;"""},{""id"":17,""name"":""Train ID"",""value"":"""&amp;A236&amp;"""},{""id"":16,""name"":""Locomotive ID"",""value"":"""&amp;B236&amp;"""},{""id"":130,""name"":""Impact"",""value"":"""&amp;AK236&amp;"""},{""id"":150,""name"":""Time of Event (Mountain Time)"",""value"":"""&amp;TEXT(I236,"hh:mm:ss")&amp;"""},{""id"":151,""name"":""Denver Issue ID"",""value"":"""&amp;"""},{""id"":178,""name"":""Operational Impact"",""value"":"""&amp;redmine_op_impact&amp;"""},{""id"":179,""name"":""Denver Segment Assigned"",""value"":"""&amp;AL236&amp;"""}]}}"&amp;"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{"issue":{"subject":"","project_id":79,"tracker_id":40,"status_id":1,"priority_id":2,"assigned_to_id":23,"start_date":"2017-04-04","description":"","custom_fields":[{"id":1,"name":"Subdivision","value":"Other"},{"id":4,"name":"Milepost","value":"18.9796"},{"id":17,"name":"Train ID","value":"80-03"},{"id":16,"name":"Locomotive ID","value":"4021"},{"id":130,"name":"Impact","value":""},{"id":150,"name":"Time of Event (Mountain Time)","value":"02:10:29"},{"id":151,"name":"Denver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>"start /low /b "&amp;dls3logs&amp;" --loco "&amp;B236&amp;" --day "&amp;TEXT(F236,"YYYY-MM-DD")</f>
        <v>start /low /b %USERPROFILE%\Documents\GitHub\eaglep3\Utilities\DownloadLogsFromS3.py --loco 4021 --day 2017-04-04</v>
      </c>
      <c r="AN236" s="159" t="str">
        <f>"echo {""issue"":{""subject"":"""&amp;R236&amp;""",""project_id"":30,""tracker_id"":4,""status_id"":"&amp;redmine_status_wcr&amp;",""priority_id"":"&amp;redmine_priority_wcr&amp;",""assigned_to_id"":"&amp;redmine_assignee_wcr&amp;",""start_date"":"""&amp;TEXT(I236-utc_offset/24,"YYYY-mm-dd")&amp;""",""description"":"""&amp;AJ236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621</v>
      </c>
      <c r="B237" s="7">
        <v>4021</v>
      </c>
      <c r="C237" s="21" t="s">
        <v>217</v>
      </c>
      <c r="D237" s="21" t="s">
        <v>434</v>
      </c>
      <c r="E237" s="13">
        <v>42829.05196759259</v>
      </c>
      <c r="F237" s="13">
        <v>42829.082094907404</v>
      </c>
      <c r="G237" s="7">
        <v>3</v>
      </c>
      <c r="H237" s="21" t="s">
        <v>932</v>
      </c>
      <c r="I237" s="13">
        <v>42829.090613425928</v>
      </c>
      <c r="J237" s="7">
        <v>0</v>
      </c>
      <c r="K237" s="97" t="str">
        <f>IF(ISEVEN(B237),(B237-1)&amp;"/"&amp;B237,B237&amp;"/"&amp;(B237+1))</f>
        <v>4021/4022</v>
      </c>
      <c r="L237" s="21" t="str">
        <f>VLOOKUP(A237,'Trips&amp;Operators'!$C$1:$G$99999,5,FALSE)</f>
        <v>DUNCAN SHEILA</v>
      </c>
      <c r="M237" s="6">
        <f>I237-F237</f>
        <v>8.5185185234877281E-3</v>
      </c>
      <c r="N237" s="7">
        <f>24*60*SUM($M237:$M237)</f>
        <v>12.266666673822328</v>
      </c>
      <c r="O237" s="7"/>
      <c r="P237" s="7"/>
      <c r="Q237" s="22"/>
      <c r="R237" s="22"/>
      <c r="S237" s="31">
        <f>SUM(U237:U237)/IF(AG237="EC",12,1)</f>
        <v>0</v>
      </c>
      <c r="T237" s="46" t="e">
        <f>IF(ISEVEN(LEFT(AD237,4)),"Southbound","NorthBound")</f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-04-04T00:14:50-0600',mode:absolute,to:'2017-04-04T03:10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7" s="183" t="str">
        <f>IF(AA237&lt;IF(AG237="EC",23,5.65),"Y","N")</f>
        <v>Y</v>
      </c>
      <c r="X237" s="183" t="e">
        <f>VALUE(LEFT(AD237,4))-VALUE(LEFT(AD236,4))</f>
        <v>#VALUE!</v>
      </c>
      <c r="Y237" s="62">
        <f>RIGHT(D237,LEN(D237)-4)/10000</f>
        <v>23.299399999999999</v>
      </c>
      <c r="Z237" s="62">
        <f>RIGHT(H237,LEN(H237)-4)/10000</f>
        <v>18.979600000000001</v>
      </c>
      <c r="AA237" s="62">
        <f>ABS(Z237-Y237)</f>
        <v>4.3197999999999972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>IF(LEN(A237)=6,"0"&amp;A237,A237)</f>
        <v>80-03</v>
      </c>
      <c r="AE237" s="8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7" s="82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7" s="1" t="str">
        <f>IFERROR(IF(VALUE(LEFT(AD237,2))&lt;=2,"EC",IF(OR(VALUE(LEFT(AD237,2))=8,VALUE(LEFT(AD237,2))=18),"NW","Other")),"Other")</f>
        <v>Other</v>
      </c>
      <c r="AH237" s="86" t="str">
        <f>refinertdcruntimes&amp;" --tripid "&amp;A237&amp;" --locoid "&amp;B237&amp;" --swversion "&amp;C237&amp;" --startMP "&amp;D237&amp;" --initTime "&amp;TEXT(E237,"yyyy-mm-ddTHH:MM:SS")&amp;" --startdatetime "&amp;TEXT(F237,"yyyy-mm-ddTHH:MM:SS")&amp;" --delay "&amp;G237&amp;" --endMP "&amp;H237&amp;" --enddatetime "&amp;TEXT(I237,"yyyy-mm-ddTHH:MM:SS")&amp;" --enforcementcount "&amp;J237&amp;IF(outputrefinedruntimes," &gt;&gt;"&amp;RefinedRTDCRunTimesOutputFile,"")</f>
        <v>"%USERPROFILE%\Documents\GitHub\eaglep3\Utilities\RefineRTDCRunTimes.py" --tripid 80-03 --locoid 4021 --swversion DE.1.0.9.0 --startMP 204:232994 --initTime 2017-04-04T01:14:50 --startdatetime 2017-04-04T01:58:13 --delay 3 --endMP 204:189796 --enddatetime 2017-04-04T02:10:29 --enforcementcount 0 &gt;&gt;C:\Users\stu\Documents\GitHub\eaglep3-reporting\EC\2017-04-03-refined-times.txt</v>
      </c>
      <c r="AI237" s="104" t="str">
        <f>"echo {""issue"":{""subject"":"""&amp;R237&amp;""",""project_id"":79,""tracker_id"":40,""status_id"":"&amp;redmine_status&amp;",""priority_id"":"&amp;redmine_priority&amp;",""assigned_to_id"":"&amp;redmine_assignee&amp;",""start_date"":"""&amp;TEXT(I237,"YYYY-mm-dd")&amp;""",""description"":"""&amp;AJ237&amp;""",""custom_fields"":[{""id"":1,""name"":""Subdivision"",""value"":"""&amp;AG237&amp;"""},{""id"":4,""name"":""Milepost"",""value"":"""&amp;Z237&amp;"""},{""id"":17,""name"":""Train ID"",""value"":"""&amp;A237&amp;"""},{""id"":16,""name"":""Locomotive ID"",""value"":"""&amp;B237&amp;"""},{""id"":130,""name"":""Impact"",""value"":"""&amp;AK237&amp;"""},{""id"":150,""name"":""Time of Event (Mountain Time)"",""value"":"""&amp;TEXT(I237,"hh:mm:ss")&amp;"""},{""id"":151,""name"":""Denver Issue ID"",""value"":"""&amp;"""},{""id"":178,""name"":""Operational Impact"",""value"":"""&amp;redmine_op_impact&amp;"""},{""id"":179,""name"":""Denver Segment Assigned"",""value"":"""&amp;AL237&amp;"""}]}}"&amp;"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{"issue":{"subject":"","project_id":79,"tracker_id":40,"status_id":1,"priority_id":2,"assigned_to_id":23,"start_date":"2017-04-04","description":"","custom_fields":[{"id":1,"name":"Subdivision","value":"Other"},{"id":4,"name":"Milepost","value":"18.9796"},{"id":17,"name":"Train ID","value":"80-03"},{"id":16,"name":"Locomotive ID","value":"4021"},{"id":130,"name":"Impact","value":""},{"id":150,"name":"Time of Event (Mountain Time)","value":"02:10:29"},{"id":151,"name":"Denver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>"start /low /b "&amp;dls3logs&amp;" --loco "&amp;B237&amp;" --day "&amp;TEXT(F237,"YYYY-MM-DD")</f>
        <v>start /low /b %USERPROFILE%\Documents\GitHub\eaglep3\Utilities\DownloadLogsFromS3.py --loco 4021 --day 2017-04-04</v>
      </c>
      <c r="AN237" s="159" t="str">
        <f>"echo {""issue"":{""subject"":"""&amp;R237&amp;""",""project_id"":30,""tracker_id"":4,""status_id"":"&amp;redmine_status_wcr&amp;",""priority_id"":"&amp;redmine_priority_wcr&amp;",""assigned_to_id"":"&amp;redmine_assignee_wcr&amp;",""start_date"":"""&amp;TEXT(I237-utc_offset/24,"YYYY-mm-dd")&amp;""",""description"":"""&amp;AJ237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08:10:29"},{"id":29,"name":"Sharepoint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621</v>
      </c>
      <c r="B238" s="7">
        <v>4022</v>
      </c>
      <c r="C238" s="21" t="s">
        <v>217</v>
      </c>
      <c r="D238" s="21" t="s">
        <v>933</v>
      </c>
      <c r="E238" s="13">
        <v>42829.066944444443</v>
      </c>
      <c r="F238" s="13">
        <v>42829.0937037037</v>
      </c>
      <c r="G238" s="7">
        <v>3</v>
      </c>
      <c r="H238" s="21" t="s">
        <v>934</v>
      </c>
      <c r="I238" s="13">
        <v>42829.099965277775</v>
      </c>
      <c r="J238" s="7">
        <v>0</v>
      </c>
      <c r="K238" s="97" t="str">
        <f>IF(ISEVEN(B238),(B238-1)&amp;"/"&amp;B238,B238&amp;"/"&amp;(B238+1))</f>
        <v>4021/4022</v>
      </c>
      <c r="L238" s="21" t="str">
        <f>VLOOKUP(A238,'Trips&amp;Operators'!$C$1:$G$99999,5,FALSE)</f>
        <v>DUNCAN SHEILA</v>
      </c>
      <c r="M238" s="6">
        <f>I238-F238</f>
        <v>6.2615740753244609E-3</v>
      </c>
      <c r="N238" s="7">
        <f>24*60*SUM($M238:$M238)</f>
        <v>9.0166666684672236</v>
      </c>
      <c r="O238" s="7"/>
      <c r="P238" s="7"/>
      <c r="Q238" s="22"/>
      <c r="R238" s="22"/>
      <c r="S238" s="31">
        <f>SUM(U238:U238)/IF(AG238="EC",12,1)</f>
        <v>0</v>
      </c>
      <c r="T238" s="46" t="e">
        <f>IF(ISEVEN(LEFT(AD238,4)),"Southbound","NorthBound")</f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-04-04T00:36:24-0600',mode:absolute,to:'2017-04-04T03:23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38" s="183" t="str">
        <f>IF(AA238&lt;IF(AG238="EC",23,5.65),"Y","N")</f>
        <v>Y</v>
      </c>
      <c r="X238" s="183" t="e">
        <f>VALUE(LEFT(AD238,4))-VALUE(LEFT(AD237,4))</f>
        <v>#VALUE!</v>
      </c>
      <c r="Y238" s="62">
        <f>RIGHT(D238,LEN(D238)-4)/10000</f>
        <v>19.009799999999998</v>
      </c>
      <c r="Z238" s="62">
        <f>RIGHT(H238,LEN(H238)-4)/10000</f>
        <v>23.273700000000002</v>
      </c>
      <c r="AA238" s="62">
        <f>ABS(Z238-Y238)</f>
        <v>4.2639000000000031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>IF(LEN(A238)=6,"0"&amp;A238,A238)</f>
        <v>80-03</v>
      </c>
      <c r="AE238" s="8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38" s="82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/stypes="app*4022*20170404*" /stext=" 08:.+((SYSTEM_STATE.+slice.+state.+changed )|(ment ac)|(multiple cpu faults)|(system.+state.+changed )|(\[timeout)|(PRM\|1\|D)|(kpr)|(kdp)|(\|lc)|(penalty))"</v>
      </c>
      <c r="AG238" s="1" t="str">
        <f>IFERROR(IF(VALUE(LEFT(AD238,2))&lt;=2,"EC",IF(OR(VALUE(LEFT(AD238,2))=8,VALUE(LEFT(AD238,2))=18),"NW","Other")),"Other")</f>
        <v>Other</v>
      </c>
      <c r="AH238" s="86" t="str">
        <f>refinertdcruntimes&amp;" --tripid "&amp;A238&amp;" --locoid "&amp;B238&amp;" --swversion "&amp;C238&amp;" --startMP "&amp;D238&amp;" --initTime "&amp;TEXT(E238,"yyyy-mm-ddTHH:MM:SS")&amp;" --startdatetime "&amp;TEXT(F238,"yyyy-mm-ddTHH:MM:SS")&amp;" --delay "&amp;G238&amp;" --endMP "&amp;H238&amp;" --enddatetime "&amp;TEXT(I238,"yyyy-mm-ddTHH:MM:SS")&amp;" --enforcementcount "&amp;J238&amp;IF(outputrefinedruntimes," &gt;&gt;"&amp;RefinedRTDCRunTimesOutputFile,"")</f>
        <v>"%USERPROFILE%\Documents\GitHub\eaglep3\Utilities\RefineRTDCRunTimes.py" --tripid 80-03 --locoid 4022 --swversion DE.1.0.9.0 --startMP 204:190098 --initTime 2017-04-04T01:36:24 --startdatetime 2017-04-04T02:14:56 --delay 3 --endMP 204:232737 --enddatetime 2017-04-04T02:23:57 --enforcementcount 0 &gt;&gt;C:\Users\stu\Documents\GitHub\eaglep3-reporting\EC\2017-04-03-refined-times.txt</v>
      </c>
      <c r="AI238" s="104" t="str">
        <f>"echo {""issue"":{""subject"":"""&amp;R238&amp;""",""project_id"":79,""tracker_id"":40,""status_id"":"&amp;redmine_status&amp;",""priority_id"":"&amp;redmine_priority&amp;",""assigned_to_id"":"&amp;redmine_assignee&amp;",""start_date"":"""&amp;TEXT(I238,"YYYY-mm-dd")&amp;""",""description"":"""&amp;AJ238&amp;""",""custom_fields"":[{""id"":1,""name"":""Subdivision"",""value"":"""&amp;AG238&amp;"""},{""id"":4,""name"":""Milepost"",""value"":"""&amp;Z238&amp;"""},{""id"":17,""name"":""Train ID"",""value"":"""&amp;A238&amp;"""},{""id"":16,""name"":""Locomotive ID"",""value"":"""&amp;B238&amp;"""},{""id"":130,""name"":""Impact"",""value"":"""&amp;AK238&amp;"""},{""id"":150,""name"":""Time of Event (Mountain Time)"",""value"":"""&amp;TEXT(I238,"hh:mm:ss")&amp;"""},{""id"":151,""name"":""Denver Issue ID"",""value"":"""&amp;"""},{""id"":178,""name"":""Operational Impact"",""value"":"""&amp;redmine_op_impact&amp;"""},{""id"":179,""name"":""Denver Segment Assigned"",""value"":"""&amp;AL238&amp;"""}]}}"&amp;"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{"issue":{"subject":"","project_id":79,"tracker_id":40,"status_id":1,"priority_id":2,"assigned_to_id":23,"start_date":"2017-04-04","description":"","custom_fields":[{"id":1,"name":"Subdivision","value":"Other"},{"id":4,"name":"Milepost","value":"23.2737"},{"id":17,"name":"Train ID","value":"80-03"},{"id":16,"name":"Locomotive ID","value":"4022"},{"id":130,"name":"Impact","value":""},{"id":150,"name":"Time of Event (Mountain Time)","value":"02:23:57"},{"id":151,"name":"Denver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>"start /low /b "&amp;dls3logs&amp;" --loco "&amp;B238&amp;" --day "&amp;TEXT(F238,"YYYY-MM-DD")</f>
        <v>start /low /b %USERPROFILE%\Documents\GitHub\eaglep3\Utilities\DownloadLogsFromS3.py --loco 4022 --day 2017-04-04</v>
      </c>
      <c r="AN238" s="159" t="str">
        <f>"echo {""issue"":{""subject"":"""&amp;R238&amp;""",""project_id"":30,""tracker_id"":4,""status_id"":"&amp;redmine_status_wcr&amp;",""priority_id"":"&amp;redmine_priority_wcr&amp;",""assigned_to_id"":"&amp;redmine_assignee_wcr&amp;",""start_date"":"""&amp;TEXT(I238-utc_offset/24,"YYYY-mm-dd")&amp;""",""description"":"""&amp;AJ238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08:23:57"},{"id":29,"name":"Sharepoint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621</v>
      </c>
      <c r="B239" s="7">
        <v>4021</v>
      </c>
      <c r="C239" s="21" t="s">
        <v>217</v>
      </c>
      <c r="D239" s="21" t="s">
        <v>924</v>
      </c>
      <c r="E239" s="13">
        <v>42829.080983796295</v>
      </c>
      <c r="F239" s="13">
        <v>42829.103784722225</v>
      </c>
      <c r="G239" s="7">
        <v>1</v>
      </c>
      <c r="H239" s="21" t="s">
        <v>925</v>
      </c>
      <c r="I239" s="13">
        <v>42829.110532407409</v>
      </c>
      <c r="J239" s="7">
        <v>0</v>
      </c>
      <c r="K239" s="97" t="str">
        <f>IF(ISEVEN(B239),(B239-1)&amp;"/"&amp;B239,B239&amp;"/"&amp;(B239+1))</f>
        <v>4021/4022</v>
      </c>
      <c r="L239" s="21" t="str">
        <f>VLOOKUP(A239,'Trips&amp;Operators'!$C$1:$G$99999,5,FALSE)</f>
        <v>DUNCAN SHEILA</v>
      </c>
      <c r="M239" s="6">
        <f>I239-F239</f>
        <v>6.7476851836545393E-3</v>
      </c>
      <c r="N239" s="7">
        <f>24*60*SUM($M239:$M239)</f>
        <v>9.7166666644625366</v>
      </c>
      <c r="O239" s="7"/>
      <c r="P239" s="7"/>
      <c r="Q239" s="22"/>
      <c r="R239" s="22"/>
      <c r="S239" s="31">
        <f>SUM(U239:U239)/IF(AG239="EC",12,1)</f>
        <v>0</v>
      </c>
      <c r="T239" s="46" t="e">
        <f>IF(ISEVEN(LEFT(AD239,4)),"Southbound","NorthBound")</f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-04-04T00:56:37-0600',mode:absolute,to:'2017-04-04T03:39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39" s="183" t="str">
        <f>IF(AA239&lt;IF(AG239="EC",23,5.65),"Y","N")</f>
        <v>Y</v>
      </c>
      <c r="X239" s="183" t="e">
        <f>VALUE(LEFT(AD239,4))-VALUE(LEFT(AD238,4))</f>
        <v>#VALUE!</v>
      </c>
      <c r="Y239" s="62">
        <f>RIGHT(D239,LEN(D239)-4)/10000</f>
        <v>23.241599999999998</v>
      </c>
      <c r="Z239" s="62">
        <f>RIGHT(H239,LEN(H239)-4)/10000</f>
        <v>19.0062</v>
      </c>
      <c r="AA239" s="62">
        <f>ABS(Z239-Y239)</f>
        <v>4.2353999999999985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>IF(LEN(A239)=6,"0"&amp;A239,A239)</f>
        <v>80-03</v>
      </c>
      <c r="AE239" s="8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39" s="82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/stypes="app*4021*20170404*" /stext=" 08:.+((SYSTEM_STATE.+slice.+state.+changed )|(ment ac)|(multiple cpu faults)|(system.+state.+changed )|(\[timeout)|(PRM\|1\|D)|(kpr)|(kdp)|(\|lc)|(penalty))"</v>
      </c>
      <c r="AG239" s="1" t="str">
        <f>IFERROR(IF(VALUE(LEFT(AD239,2))&lt;=2,"EC",IF(OR(VALUE(LEFT(AD239,2))=8,VALUE(LEFT(AD239,2))=18),"NW","Other")),"Other")</f>
        <v>Other</v>
      </c>
      <c r="AH239" s="86" t="str">
        <f>refinertdcruntimes&amp;" --tripid "&amp;A239&amp;" --locoid "&amp;B239&amp;" --swversion "&amp;C239&amp;" --startMP "&amp;D239&amp;" --initTime "&amp;TEXT(E239,"yyyy-mm-ddTHH:MM:SS")&amp;" --startdatetime "&amp;TEXT(F239,"yyyy-mm-ddTHH:MM:SS")&amp;" --delay "&amp;G239&amp;" --endMP "&amp;H239&amp;" --enddatetime "&amp;TEXT(I239,"yyyy-mm-ddTHH:MM:SS")&amp;" --enforcementcount "&amp;J239&amp;IF(outputrefinedruntimes," &gt;&gt;"&amp;RefinedRTDCRunTimesOutputFile,"")</f>
        <v>"%USERPROFILE%\Documents\GitHub\eaglep3\Utilities\RefineRTDCRunTimes.py" --tripid 80-03 --locoid 4021 --swversion DE.1.0.9.0 --startMP 204:232416 --initTime 2017-04-04T01:56:37 --startdatetime 2017-04-04T02:29:27 --delay 1 --endMP 204:190062 --enddatetime 2017-04-04T02:39:10 --enforcementcount 0 &gt;&gt;C:\Users\stu\Documents\GitHub\eaglep3-reporting\EC\2017-04-03-refined-times.txt</v>
      </c>
      <c r="AI239" s="104" t="str">
        <f>"echo {""issue"":{""subject"":"""&amp;R239&amp;""",""project_id"":79,""tracker_id"":40,""status_id"":"&amp;redmine_status&amp;",""priority_id"":"&amp;redmine_priority&amp;",""assigned_to_id"":"&amp;redmine_assignee&amp;",""start_date"":"""&amp;TEXT(I239,"YYYY-mm-dd")&amp;""",""description"":"""&amp;AJ239&amp;""",""custom_fields"":[{""id"":1,""name"":""Subdivision"",""value"":"""&amp;AG239&amp;"""},{""id"":4,""name"":""Milepost"",""value"":"""&amp;Z239&amp;"""},{""id"":17,""name"":""Train ID"",""value"":"""&amp;A239&amp;"""},{""id"":16,""name"":""Locomotive ID"",""value"":"""&amp;B239&amp;"""},{""id"":130,""name"":""Impact"",""value"":"""&amp;AK239&amp;"""},{""id"":150,""name"":""Time of Event (Mountain Time)"",""value"":"""&amp;TEXT(I239,"hh:mm:ss")&amp;"""},{""id"":151,""name"":""Denver Issue ID"",""value"":"""&amp;"""},{""id"":178,""name"":""Operational Impact"",""value"":"""&amp;redmine_op_impact&amp;"""},{""id"":179,""name"":""Denver Segment Assigned"",""value"":"""&amp;AL239&amp;"""}]}}"&amp;"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{"issue":{"subject":"","project_id":79,"tracker_id":40,"status_id":1,"priority_id":2,"assigned_to_id":23,"start_date":"2017-04-04","description":"","custom_fields":[{"id":1,"name":"Subdivision","value":"Other"},{"id":4,"name":"Milepost","value":"19.0062"},{"id":17,"name":"Train ID","value":"80-03"},{"id":16,"name":"Locomotive ID","value":"4021"},{"id":130,"name":"Impact","value":""},{"id":150,"name":"Time of Event (Mountain Time)","value":"02:39:10"},{"id":151,"name":"Denver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>"start /low /b "&amp;dls3logs&amp;" --loco "&amp;B239&amp;" --day "&amp;TEXT(F239,"YYYY-MM-DD")</f>
        <v>start /low /b %USERPROFILE%\Documents\GitHub\eaglep3\Utilities\DownloadLogsFromS3.py --loco 4021 --day 2017-04-04</v>
      </c>
      <c r="AN239" s="159" t="str">
        <f>"echo {""issue"":{""subject"":"""&amp;R239&amp;""",""project_id"":30,""tracker_id"":4,""status_id"":"&amp;redmine_status_wcr&amp;",""priority_id"":"&amp;redmine_priority_wcr&amp;",""assigned_to_id"":"&amp;redmine_assignee_wcr&amp;",""start_date"":"""&amp;TEXT(I239-utc_offset/24,"YYYY-mm-dd")&amp;""",""description"":"""&amp;AJ239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08:39:10"},{"id":29,"name":"Sharepoint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621</v>
      </c>
      <c r="B240" s="7">
        <v>4022</v>
      </c>
      <c r="C240" s="21" t="s">
        <v>217</v>
      </c>
      <c r="D240" s="21" t="s">
        <v>935</v>
      </c>
      <c r="E240" s="13">
        <v>42829.091261574074</v>
      </c>
      <c r="F240" s="13">
        <v>42829.117361111108</v>
      </c>
      <c r="G240" s="7">
        <v>1</v>
      </c>
      <c r="H240" s="21" t="s">
        <v>936</v>
      </c>
      <c r="I240" s="13">
        <v>42829.125092592592</v>
      </c>
      <c r="J240" s="7">
        <v>0</v>
      </c>
      <c r="K240" s="97" t="str">
        <f>IF(ISEVEN(B240),(B240-1)&amp;"/"&amp;B240,B240&amp;"/"&amp;(B240+1))</f>
        <v>4021/4022</v>
      </c>
      <c r="L240" s="21" t="str">
        <f>VLOOKUP(A240,'Trips&amp;Operators'!$C$1:$G$99999,5,FALSE)</f>
        <v>DUNCAN SHEILA</v>
      </c>
      <c r="M240" s="6">
        <f>I240-F240</f>
        <v>7.7314814843703061E-3</v>
      </c>
      <c r="N240" s="7">
        <f>24*60*SUM($M240:$M240)</f>
        <v>11.133333337493241</v>
      </c>
      <c r="O240" s="7"/>
      <c r="P240" s="7"/>
      <c r="Q240" s="22"/>
      <c r="R240" s="22"/>
      <c r="S240" s="31">
        <f>SUM(U240:U240)/IF(AG240="EC",12,1)</f>
        <v>0</v>
      </c>
      <c r="T240" s="46" t="e">
        <f>IF(ISEVEN(LEFT(AD240,4)),"Southbound","NorthBound")</f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-04-04T01:11:25-0600',mode:absolute,to:'2017-04-04T04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0" s="183" t="str">
        <f>IF(AA240&lt;IF(AG240="EC",23,5.65),"Y","N")</f>
        <v>Y</v>
      </c>
      <c r="X240" s="183" t="e">
        <f>VALUE(LEFT(AD240,4))-VALUE(LEFT(AD239,4))</f>
        <v>#VALUE!</v>
      </c>
      <c r="Y240" s="62">
        <f>RIGHT(D240,LEN(D240)-4)/10000</f>
        <v>19.036300000000001</v>
      </c>
      <c r="Z240" s="62">
        <f>RIGHT(H240,LEN(H240)-4)/10000</f>
        <v>23.263100000000001</v>
      </c>
      <c r="AA240" s="62">
        <f>ABS(Z240-Y240)</f>
        <v>4.2268000000000008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>IF(LEN(A240)=6,"0"&amp;A240,A240)</f>
        <v>80-03</v>
      </c>
      <c r="AE240" s="8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0" s="82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/stypes="app*4022*20170404*" /stext=" 09:.+((SYSTEM_STATE.+slice.+state.+changed )|(ment ac)|(multiple cpu faults)|(system.+state.+changed )|(\[timeout)|(PRM\|1\|D)|(kpr)|(kdp)|(\|lc)|(penalty))"</v>
      </c>
      <c r="AG240" s="1" t="str">
        <f>IFERROR(IF(VALUE(LEFT(AD240,2))&lt;=2,"EC",IF(OR(VALUE(LEFT(AD240,2))=8,VALUE(LEFT(AD240,2))=18),"NW","Other")),"Other")</f>
        <v>Other</v>
      </c>
      <c r="AH240" s="86" t="str">
        <f>refinertdcruntimes&amp;" --tripid "&amp;A240&amp;" --locoid "&amp;B240&amp;" --swversion "&amp;C240&amp;" --startMP "&amp;D240&amp;" --initTime "&amp;TEXT(E240,"yyyy-mm-ddTHH:MM:SS")&amp;" --startdatetime "&amp;TEXT(F240,"yyyy-mm-ddTHH:MM:SS")&amp;" --delay "&amp;G240&amp;" --endMP "&amp;H240&amp;" --enddatetime "&amp;TEXT(I240,"yyyy-mm-ddTHH:MM:SS")&amp;" --enforcementcount "&amp;J240&amp;IF(outputrefinedruntimes," &gt;&gt;"&amp;RefinedRTDCRunTimesOutputFile,"")</f>
        <v>"%USERPROFILE%\Documents\GitHub\eaglep3\Utilities\RefineRTDCRunTimes.py" --tripid 80-03 --locoid 4022 --swversion DE.1.0.9.0 --startMP 204:190363 --initTime 2017-04-04T02:11:25 --startdatetime 2017-04-04T02:49:00 --delay 1 --endMP 204:232631 --enddatetime 2017-04-04T03:00:08 --enforcementcount 0 &gt;&gt;C:\Users\stu\Documents\GitHub\eaglep3-reporting\EC\2017-04-03-refined-times.txt</v>
      </c>
      <c r="AI240" s="104" t="str">
        <f>"echo {""issue"":{""subject"":"""&amp;R240&amp;""",""project_id"":79,""tracker_id"":40,""status_id"":"&amp;redmine_status&amp;",""priority_id"":"&amp;redmine_priority&amp;",""assigned_to_id"":"&amp;redmine_assignee&amp;",""start_date"":"""&amp;TEXT(I240,"YYYY-mm-dd")&amp;""",""description"":"""&amp;AJ240&amp;""",""custom_fields"":[{""id"":1,""name"":""Subdivision"",""value"":"""&amp;AG240&amp;"""},{""id"":4,""name"":""Milepost"",""value"":"""&amp;Z240&amp;"""},{""id"":17,""name"":""Train ID"",""value"":"""&amp;A240&amp;"""},{""id"":16,""name"":""Locomotive ID"",""value"":"""&amp;B240&amp;"""},{""id"":130,""name"":""Impact"",""value"":"""&amp;AK240&amp;"""},{""id"":150,""name"":""Time of Event (Mountain Time)"",""value"":"""&amp;TEXT(I240,"hh:mm:ss")&amp;"""},{""id"":151,""name"":""Denver Issue ID"",""value"":"""&amp;"""},{""id"":178,""name"":""Operational Impact"",""value"":"""&amp;redmine_op_impact&amp;"""},{""id"":179,""name"":""Denver Segment Assigned"",""value"":"""&amp;AL240&amp;"""}]}}"&amp;"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{"issue":{"subject":"","project_id":79,"tracker_id":40,"status_id":1,"priority_id":2,"assigned_to_id":23,"start_date":"2017-04-04","description":"","custom_fields":[{"id":1,"name":"Subdivision","value":"Other"},{"id":4,"name":"Milepost","value":"23.2631"},{"id":17,"name":"Train ID","value":"80-03"},{"id":16,"name":"Locomotive ID","value":"4022"},{"id":130,"name":"Impact","value":""},{"id":150,"name":"Time of Event (Mountain Time)","value":"03:00:08"},{"id":151,"name":"Denver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>"start /low /b "&amp;dls3logs&amp;" --loco "&amp;B240&amp;" --day "&amp;TEXT(F240,"YYYY-MM-DD")</f>
        <v>start /low /b %USERPROFILE%\Documents\GitHub\eaglep3\Utilities\DownloadLogsFromS3.py --loco 4022 --day 2017-04-04</v>
      </c>
      <c r="AN240" s="159" t="str">
        <f>"echo {""issue"":{""subject"":"""&amp;R240&amp;""",""project_id"":30,""tracker_id"":4,""status_id"":"&amp;redmine_status_wcr&amp;",""priority_id"":"&amp;redmine_priority_wcr&amp;",""assigned_to_id"":"&amp;redmine_assignee_wcr&amp;",""start_date"":"""&amp;TEXT(I240-utc_offset/24,"YYYY-mm-dd")&amp;""",""description"":"""&amp;AJ240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621</v>
      </c>
      <c r="B241" s="7">
        <v>4021</v>
      </c>
      <c r="C241" s="21" t="s">
        <v>217</v>
      </c>
      <c r="D241" s="21" t="s">
        <v>922</v>
      </c>
      <c r="E241" s="13">
        <v>42829.10260416667</v>
      </c>
      <c r="F241" s="13">
        <v>42829.131319444445</v>
      </c>
      <c r="G241" s="7">
        <v>1</v>
      </c>
      <c r="H241" s="21" t="s">
        <v>923</v>
      </c>
      <c r="I241" s="13">
        <v>42829.131608796299</v>
      </c>
      <c r="J241" s="7">
        <v>0</v>
      </c>
      <c r="K241" s="97" t="str">
        <f>IF(ISEVEN(B241),(B241-1)&amp;"/"&amp;B241,B241&amp;"/"&amp;(B241+1))</f>
        <v>4021/4022</v>
      </c>
      <c r="L241" s="21" t="str">
        <f>VLOOKUP(A241,'Trips&amp;Operators'!$C$1:$G$99999,5,FALSE)</f>
        <v>DUNCAN SHEILA</v>
      </c>
      <c r="M241" s="6">
        <f>I241-F241</f>
        <v>2.8935185400769114E-4</v>
      </c>
      <c r="N241" s="7">
        <f>24*60*SUM($M241:$M241)</f>
        <v>0.41666666977107525</v>
      </c>
      <c r="O241" s="7"/>
      <c r="P241" s="7"/>
      <c r="Q241" s="22"/>
      <c r="R241" s="22"/>
      <c r="S241" s="31">
        <f>SUM(U241:U241)/IF(AG241="EC",12,1)</f>
        <v>0</v>
      </c>
      <c r="T241" s="46" t="e">
        <f>IF(ISEVEN(LEFT(AD241,4)),"Southbound","NorthBound")</f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-04-04T01:27:45-0600',mode:absolute,to:'2017-04-04T04:09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41" s="183" t="str">
        <f>IF(AA241&lt;IF(AG241="EC",23,5.65),"Y","N")</f>
        <v>Y</v>
      </c>
      <c r="X241" s="183" t="e">
        <f>VALUE(LEFT(AD241,4))-VALUE(LEFT(AD240,4))</f>
        <v>#VALUE!</v>
      </c>
      <c r="Y241" s="62">
        <f>RIGHT(D241,LEN(D241)-4)/10000</f>
        <v>23.231000000000002</v>
      </c>
      <c r="Z241" s="62">
        <f>RIGHT(H241,LEN(H241)-4)/10000</f>
        <v>19.008199999999999</v>
      </c>
      <c r="AA241" s="62">
        <f>ABS(Z241-Y241)</f>
        <v>4.222800000000003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>IF(LEN(A241)=6,"0"&amp;A241,A241)</f>
        <v>80-03</v>
      </c>
      <c r="AE241" s="8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s3://rtdc.mdm.uploadarchive.raw/RTDC4021/ "%USERPROFILE%\AppData\Local\Temp\OnboardLogs"\RTDC4021\2017-04-04 --exclude "*" --recursive --include "*20170404*" &amp; "%USERPROFILE%\Documents\GitHub\mrs-test-scripts\Headless Mode &amp; Sideloading\WalkAndUnGZ.bat" "%USERPROFILE%\AppData\Local\Temp\OnboardLogs"\RTDC4021\2017-04-04 &amp; aws s3 cp s3://rtdc.mdm.uploadarchive.raw/RTDC4021/ "%USERPROFILE%\AppData\Local\Temp\OnboardLogs"\RTDC4021\2017-04-05 --exclude "*" --recursive --include "*20170405*" &amp; "%USERPROFILE%\Documents\GitHub\mrs-test-scripts\Headless Mode &amp; Sideloading\WalkAndUnGZ.bat" "%USERPROFILE%\AppData\Local\Temp\OnboardLogs"\RTDC4021\2017-04-05</v>
      </c>
      <c r="AF241" s="82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/stypes="app*4021*20170404*" /stext=" 09:.+((SYSTEM_STATE.+slice.+state.+changed )|(ment ac)|(multiple cpu faults)|(system.+state.+changed )|(\[timeout)|(PRM\|1\|D)|(kpr)|(kdp)|(\|lc)|(penalty))"</v>
      </c>
      <c r="AG241" s="1" t="str">
        <f>IFERROR(IF(VALUE(LEFT(AD241,2))&lt;=2,"EC",IF(OR(VALUE(LEFT(AD241,2))=8,VALUE(LEFT(AD241,2))=18),"NW","Other")),"Other")</f>
        <v>Other</v>
      </c>
      <c r="AH241" s="86" t="str">
        <f>refinertdcruntimes&amp;" --tripid "&amp;A241&amp;" --locoid "&amp;B241&amp;" --swversion "&amp;C241&amp;" --startMP "&amp;D241&amp;" --initTime "&amp;TEXT(E241,"yyyy-mm-ddTHH:MM:SS")&amp;" --startdatetime "&amp;TEXT(F241,"yyyy-mm-ddTHH:MM:SS")&amp;" --delay "&amp;G241&amp;" --endMP "&amp;H241&amp;" --enddatetime "&amp;TEXT(I241,"yyyy-mm-ddTHH:MM:SS")&amp;" --enforcementcount "&amp;J241&amp;IF(outputrefinedruntimes," &gt;&gt;"&amp;RefinedRTDCRunTimesOutputFile,"")</f>
        <v>"%USERPROFILE%\Documents\GitHub\eaglep3\Utilities\RefineRTDCRunTimes.py" --tripid 80-03 --locoid 4021 --swversion DE.1.0.9.0 --startMP 204:232310 --initTime 2017-04-04T02:27:45 --startdatetime 2017-04-04T03:09:06 --delay 1 --endMP 204:190082 --enddatetime 2017-04-04T03:09:31 --enforcementcount 0 &gt;&gt;C:\Users\stu\Documents\GitHub\eaglep3-reporting\EC\2017-04-03-refined-times.txt</v>
      </c>
      <c r="AI241" s="104" t="str">
        <f>"echo {""issue"":{""subject"":"""&amp;R241&amp;""",""project_id"":79,""tracker_id"":40,""status_id"":"&amp;redmine_status&amp;",""priority_id"":"&amp;redmine_priority&amp;",""assigned_to_id"":"&amp;redmine_assignee&amp;",""start_date"":"""&amp;TEXT(I241,"YYYY-mm-dd")&amp;""",""description"":"""&amp;AJ241&amp;""",""custom_fields"":[{""id"":1,""name"":""Subdivision"",""value"":"""&amp;AG241&amp;"""},{""id"":4,""name"":""Milepost"",""value"":"""&amp;Z241&amp;"""},{""id"":17,""name"":""Train ID"",""value"":"""&amp;A241&amp;"""},{""id"":16,""name"":""Locomotive ID"",""value"":"""&amp;B241&amp;"""},{""id"":130,""name"":""Impact"",""value"":"""&amp;AK241&amp;"""},{""id"":150,""name"":""Time of Event (Mountain Time)"",""value"":"""&amp;TEXT(I241,"hh:mm:ss")&amp;"""},{""id"":151,""name"":""Denver Issue ID"",""value"":"""&amp;"""},{""id"":178,""name"":""Operational Impact"",""value"":"""&amp;redmine_op_impact&amp;"""},{""id"":179,""name"":""Denver Segment Assigned"",""value"":"""&amp;AL241&amp;"""}]}}"&amp;"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{"issue":{"subject":"","project_id":79,"tracker_id":40,"status_id":1,"priority_id":2,"assigned_to_id":23,"start_date":"2017-04-04","description":"","custom_fields":[{"id":1,"name":"Subdivision","value":"Other"},{"id":4,"name":"Milepost","value":"19.0082"},{"id":17,"name":"Train ID","value":"80-03"},{"id":16,"name":"Locomotive ID","value":"4021"},{"id":130,"name":"Impact","value":""},{"id":150,"name":"Time of Event (Mountain Time)","value":"03:09:31"},{"id":151,"name":"Denver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>"start /low /b "&amp;dls3logs&amp;" --loco "&amp;B241&amp;" --day "&amp;TEXT(F241,"YYYY-MM-DD")</f>
        <v>start /low /b %USERPROFILE%\Documents\GitHub\eaglep3\Utilities\DownloadLogsFromS3.py --loco 4021 --day 2017-04-04</v>
      </c>
      <c r="AN241" s="159" t="str">
        <f>"echo {""issue"":{""subject"":"""&amp;R241&amp;""",""project_id"":30,""tracker_id"":4,""status_id"":"&amp;redmine_status_wcr&amp;",""priority_id"":"&amp;redmine_priority_wcr&amp;",""assigned_to_id"":"&amp;redmine_assignee_wcr&amp;",""start_date"":"""&amp;TEXT(I241-utc_offset/24,"YYYY-mm-dd")&amp;""",""description"":"""&amp;AJ241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09:09:31"},{"id":29,"name":"Sharepoint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797</v>
      </c>
      <c r="B242" s="7">
        <v>4022</v>
      </c>
      <c r="C242" s="21" t="s">
        <v>217</v>
      </c>
      <c r="D242" s="21" t="s">
        <v>953</v>
      </c>
      <c r="E242" s="13">
        <v>42828.854733796295</v>
      </c>
      <c r="F242" s="13">
        <v>42828.8984837963</v>
      </c>
      <c r="G242" s="7">
        <v>1</v>
      </c>
      <c r="H242" s="21" t="s">
        <v>954</v>
      </c>
      <c r="I242" s="13">
        <v>42828.912766203706</v>
      </c>
      <c r="J242" s="7">
        <v>0</v>
      </c>
      <c r="K242" s="97" t="str">
        <f>IF(ISEVEN(B242),(B242-1)&amp;"/"&amp;B242,B242&amp;"/"&amp;(B242+1))</f>
        <v>4021/4022</v>
      </c>
      <c r="L242" s="21" t="str">
        <f>VLOOKUP(A242,'Trips&amp;Operators'!$C$1:$G$99999,5,FALSE)</f>
        <v>DUNCAN SHEILA</v>
      </c>
      <c r="M242" s="6">
        <f>I242-F242</f>
        <v>1.4282407406426501E-2</v>
      </c>
      <c r="N242" s="7">
        <f>24*60*SUM($M242:$M242)</f>
        <v>20.566666665254161</v>
      </c>
      <c r="O242" s="7"/>
      <c r="P242" s="7"/>
      <c r="Q242" s="22"/>
      <c r="R242" s="22"/>
      <c r="S242" s="31">
        <f>SUM(U242:U242)/IF(AG242="EC",12,1)</f>
        <v>0</v>
      </c>
      <c r="T242" s="46" t="e">
        <f>IF(ISEVEN(LEFT(AD242,4)),"Southbound","NorthBound")</f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-04-03T19:30:49-0600',mode:absolute,to:'2017-04-03T22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2" s="183" t="str">
        <f>IF(AA242&lt;IF(AG242="EC",23,5.65),"Y","N")</f>
        <v>N</v>
      </c>
      <c r="X242" s="183" t="e">
        <f>VALUE(LEFT(AD242,4))-VALUE(LEFT(AD241,4))</f>
        <v>#VALUE!</v>
      </c>
      <c r="Y242" s="62">
        <f>RIGHT(D242,LEN(D242)-4)/10000</f>
        <v>0.1201</v>
      </c>
      <c r="Z242" s="62">
        <f>RIGHT(H242,LEN(H242)-4)/10000</f>
        <v>23.3263</v>
      </c>
      <c r="AA242" s="62">
        <f>ABS(Z242-Y242)</f>
        <v>23.206199999999999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>IF(LEN(A242)=6,"0"&amp;A242,A242)</f>
        <v>81-03</v>
      </c>
      <c r="AE242" s="8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2" s="82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/stypes="app*4022*20170404*" /stext=" 03:.+((SYSTEM_STATE.+slice.+state.+changed )|(ment ac)|(multiple cpu faults)|(system.+state.+changed )|(\[timeout)|(PRM\|1\|D)|(kpr)|(kdp)|(\|lc)|(penalty))"</v>
      </c>
      <c r="AG242" s="1" t="str">
        <f>IFERROR(IF(VALUE(LEFT(AD242,2))&lt;=2,"EC",IF(OR(VALUE(LEFT(AD242,2))=8,VALUE(LEFT(AD242,2))=18),"NW","Other")),"Other")</f>
        <v>Other</v>
      </c>
      <c r="AH242" s="86" t="str">
        <f>refinertdcruntimes&amp;" --tripid "&amp;A242&amp;" --locoid "&amp;B242&amp;" --swversion "&amp;C242&amp;" --startMP "&amp;D242&amp;" --initTime "&amp;TEXT(E242,"yyyy-mm-ddTHH:MM:SS")&amp;" --startdatetime "&amp;TEXT(F242,"yyyy-mm-ddTHH:MM:SS")&amp;" --delay "&amp;G242&amp;" --endMP "&amp;H242&amp;" --enddatetime "&amp;TEXT(I242,"yyyy-mm-ddTHH:MM:SS")&amp;" --enforcementcount "&amp;J242&amp;IF(outputrefinedruntimes," &gt;&gt;"&amp;RefinedRTDCRunTimesOutputFile,"")</f>
        <v>"%USERPROFILE%\Documents\GitHub\eaglep3\Utilities\RefineRTDCRunTimes.py" --tripid 81-03 --locoid 4022 --swversion DE.1.0.9.0 --startMP 204:1201 --initTime 2017-04-03T20:30:49 --startdatetime 2017-04-03T21:33:49 --delay 1 --endMP 204:233263 --enddatetime 2017-04-03T21:54:23 --enforcementcount 0 &gt;&gt;C:\Users\stu\Documents\GitHub\eaglep3-reporting\EC\2017-04-03-refined-times.txt</v>
      </c>
      <c r="AI242" s="104" t="str">
        <f>"echo {""issue"":{""subject"":"""&amp;R242&amp;""",""project_id"":79,""tracker_id"":40,""status_id"":"&amp;redmine_status&amp;",""priority_id"":"&amp;redmine_priority&amp;",""assigned_to_id"":"&amp;redmine_assignee&amp;",""start_date"":"""&amp;TEXT(I242,"YYYY-mm-dd")&amp;""",""description"":"""&amp;AJ242&amp;""",""custom_fields"":[{""id"":1,""name"":""Subdivision"",""value"":"""&amp;AG242&amp;"""},{""id"":4,""name"":""Milepost"",""value"":"""&amp;Z242&amp;"""},{""id"":17,""name"":""Train ID"",""value"":"""&amp;A242&amp;"""},{""id"":16,""name"":""Locomotive ID"",""value"":"""&amp;B242&amp;"""},{""id"":130,""name"":""Impact"",""value"":"""&amp;AK242&amp;"""},{""id"":150,""name"":""Time of Event (Mountain Time)"",""value"":"""&amp;TEXT(I242,"hh:mm:ss")&amp;"""},{""id"":151,""name"":""Denver Issue ID"",""value"":"""&amp;"""},{""id"":178,""name"":""Operational Impact"",""value"":"""&amp;redmine_op_impact&amp;"""},{""id"":179,""name"":""Denver Segment Assigned"",""value"":"""&amp;AL242&amp;"""}]}}"&amp;"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{"issue":{"subject":"","project_id":79,"tracker_id":40,"status_id":1,"priority_id":2,"assigned_to_id":23,"start_date":"2017-04-03","description":"","custom_fields":[{"id":1,"name":"Subdivision","value":"Other"},{"id":4,"name":"Milepost","value":"23.3263"},{"id":17,"name":"Train ID","value":"81-03"},{"id":16,"name":"Locomotive ID","value":"4022"},{"id":130,"name":"Impact","value":""},{"id":150,"name":"Time of Event (Mountain Time)","value":"21:54:23"},{"id":151,"name":"Denver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>"start /low /b "&amp;dls3logs&amp;" --loco "&amp;B242&amp;" --day "&amp;TEXT(F242,"YYYY-MM-DD")</f>
        <v>start /low /b %USERPROFILE%\Documents\GitHub\eaglep3\Utilities\DownloadLogsFromS3.py --loco 4022 --day 2017-04-03</v>
      </c>
      <c r="AN242" s="159" t="str">
        <f>"echo {""issue"":{""subject"":"""&amp;R242&amp;""",""project_id"":30,""tracker_id"":4,""status_id"":"&amp;redmine_status_wcr&amp;",""priority_id"":"&amp;redmine_priority_wcr&amp;",""assigned_to_id"":"&amp;redmine_assignee_wcr&amp;",""start_date"":"""&amp;TEXT(I242-utc_offset/24,"YYYY-mm-dd")&amp;""",""description"":"""&amp;AJ242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03:54:23"},{"id":29,"name":"Sharepoint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797</v>
      </c>
      <c r="B243" s="7">
        <v>4022</v>
      </c>
      <c r="C243" s="21" t="s">
        <v>217</v>
      </c>
      <c r="D243" s="21" t="s">
        <v>955</v>
      </c>
      <c r="E243" s="13">
        <v>42828.913715277777</v>
      </c>
      <c r="F243" s="13">
        <v>42828.948148148149</v>
      </c>
      <c r="G243" s="7">
        <v>1</v>
      </c>
      <c r="H243" s="21" t="s">
        <v>517</v>
      </c>
      <c r="I243" s="13">
        <v>42828.954513888886</v>
      </c>
      <c r="J243" s="7">
        <v>0</v>
      </c>
      <c r="K243" s="97" t="str">
        <f>IF(ISEVEN(B243),(B243-1)&amp;"/"&amp;B243,B243&amp;"/"&amp;(B243+1))</f>
        <v>4021/4022</v>
      </c>
      <c r="L243" s="21" t="str">
        <f>VLOOKUP(A243,'Trips&amp;Operators'!$C$1:$G$99999,5,FALSE)</f>
        <v>DUNCAN SHEILA</v>
      </c>
      <c r="M243" s="6">
        <f>I243-F243</f>
        <v>6.3657407372375019E-3</v>
      </c>
      <c r="N243" s="7">
        <f>24*60*SUM($M243:$M243)</f>
        <v>9.1666666616220027</v>
      </c>
      <c r="O243" s="7"/>
      <c r="P243" s="7"/>
      <c r="Q243" s="22"/>
      <c r="R243" s="22"/>
      <c r="S243" s="31">
        <f>SUM(U243:U243)/IF(AG243="EC",12,1)</f>
        <v>0</v>
      </c>
      <c r="T243" s="46" t="e">
        <f>IF(ISEVEN(LEFT(AD243,4)),"Southbound","NorthBound")</f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-04-03T20:55:45-0600',mode:absolute,to:'2017-04-03T23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3" s="183" t="str">
        <f>IF(AA243&lt;IF(AG243="EC",23,5.65),"Y","N")</f>
        <v>N</v>
      </c>
      <c r="X243" s="183" t="e">
        <f>VALUE(LEFT(AD243,4))-VALUE(LEFT(AD242,4))</f>
        <v>#VALUE!</v>
      </c>
      <c r="Y243" s="62">
        <f>RIGHT(D243,LEN(D243)-4)/10000</f>
        <v>15.425700000000001</v>
      </c>
      <c r="Z243" s="62">
        <f>RIGHT(H243,LEN(H243)-4)/10000</f>
        <v>23.327999999999999</v>
      </c>
      <c r="AA243" s="62">
        <f>ABS(Z243-Y243)</f>
        <v>7.9022999999999985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>IF(LEN(A243)=6,"0"&amp;A243,A243)</f>
        <v>81-03</v>
      </c>
      <c r="AE243" s="8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3" s="82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/stypes="app*4022*20170404*" /stext=" 04:.+((SYSTEM_STATE.+slice.+state.+changed )|(ment ac)|(multiple cpu faults)|(system.+state.+changed )|(\[timeout)|(PRM\|1\|D)|(kpr)|(kdp)|(\|lc)|(penalty))"</v>
      </c>
      <c r="AG243" s="1" t="str">
        <f>IFERROR(IF(VALUE(LEFT(AD243,2))&lt;=2,"EC",IF(OR(VALUE(LEFT(AD243,2))=8,VALUE(LEFT(AD243,2))=18),"NW","Other")),"Other")</f>
        <v>Other</v>
      </c>
      <c r="AH243" s="86" t="str">
        <f>refinertdcruntimes&amp;" --tripid "&amp;A243&amp;" --locoid "&amp;B243&amp;" --swversion "&amp;C243&amp;" --startMP "&amp;D243&amp;" --initTime "&amp;TEXT(E243,"yyyy-mm-ddTHH:MM:SS")&amp;" --startdatetime "&amp;TEXT(F243,"yyyy-mm-ddTHH:MM:SS")&amp;" --delay "&amp;G243&amp;" --endMP "&amp;H243&amp;" --enddatetime "&amp;TEXT(I243,"yyyy-mm-ddTHH:MM:SS")&amp;" --enforcementcount "&amp;J243&amp;IF(outputrefinedruntimes," &gt;&gt;"&amp;RefinedRTDCRunTimesOutputFile,"")</f>
        <v>"%USERPROFILE%\Documents\GitHub\eaglep3\Utilities\RefineRTDCRunTimes.py" --tripid 81-03 --locoid 4022 --swversion DE.1.0.9.0 --startMP 204:154257 --initTime 2017-04-03T21:55:45 --startdatetime 2017-04-03T22:45:20 --delay 1 --endMP 204:233280 --enddatetime 2017-04-03T22:54:30 --enforcementcount 0 &gt;&gt;C:\Users\stu\Documents\GitHub\eaglep3-reporting\EC\2017-04-03-refined-times.txt</v>
      </c>
      <c r="AI243" s="104" t="str">
        <f>"echo {""issue"":{""subject"":"""&amp;R243&amp;""",""project_id"":79,""tracker_id"":40,""status_id"":"&amp;redmine_status&amp;",""priority_id"":"&amp;redmine_priority&amp;",""assigned_to_id"":"&amp;redmine_assignee&amp;",""start_date"":"""&amp;TEXT(I243,"YYYY-mm-dd")&amp;""",""description"":"""&amp;AJ243&amp;""",""custom_fields"":[{""id"":1,""name"":""Subdivision"",""value"":"""&amp;AG243&amp;"""},{""id"":4,""name"":""Milepost"",""value"":"""&amp;Z243&amp;"""},{""id"":17,""name"":""Train ID"",""value"":"""&amp;A243&amp;"""},{""id"":16,""name"":""Locomotive ID"",""value"":"""&amp;B243&amp;"""},{""id"":130,""name"":""Impact"",""value"":"""&amp;AK243&amp;"""},{""id"":150,""name"":""Time of Event (Mountain Time)"",""value"":"""&amp;TEXT(I243,"hh:mm:ss")&amp;"""},{""id"":151,""name"":""Denver Issue ID"",""value"":"""&amp;"""},{""id"":178,""name"":""Operational Impact"",""value"":"""&amp;redmine_op_impact&amp;"""},{""id"":179,""name"":""Denver Segment Assigned"",""value"":"""&amp;AL243&amp;"""}]}}"&amp;"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{"issue":{"subject":"","project_id":79,"tracker_id":40,"status_id":1,"priority_id":2,"assigned_to_id":23,"start_date":"2017-04-03","description":"","custom_fields":[{"id":1,"name":"Subdivision","value":"Other"},{"id":4,"name":"Milepost","value":"23.328"},{"id":17,"name":"Train ID","value":"81-03"},{"id":16,"name":"Locomotive ID","value":"4022"},{"id":130,"name":"Impact","value":""},{"id":150,"name":"Time of Event (Mountain Time)","value":"22:54:30"},{"id":151,"name":"Denver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>"start /low /b "&amp;dls3logs&amp;" --loco "&amp;B243&amp;" --day "&amp;TEXT(F243,"YYYY-MM-DD")</f>
        <v>start /low /b %USERPROFILE%\Documents\GitHub\eaglep3\Utilities\DownloadLogsFromS3.py --loco 4022 --day 2017-04-03</v>
      </c>
      <c r="AN243" s="159" t="str">
        <f>"echo {""issue"":{""subject"":"""&amp;R243&amp;""",""project_id"":30,""tracker_id"":4,""status_id"":"&amp;redmine_status_wcr&amp;",""priority_id"":"&amp;redmine_priority_wcr&amp;",""assigned_to_id"":"&amp;redmine_assignee_wcr&amp;",""start_date"":"""&amp;TEXT(I243-utc_offset/24,"YYYY-mm-dd")&amp;""",""description"":"""&amp;AJ243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3" t="s">
        <v>797</v>
      </c>
      <c r="B244" s="7">
        <v>4022</v>
      </c>
      <c r="C244" s="21" t="s">
        <v>217</v>
      </c>
      <c r="D244" s="21" t="s">
        <v>956</v>
      </c>
      <c r="E244" s="13">
        <v>42828.913715277777</v>
      </c>
      <c r="F244" s="13">
        <v>42828.948148148149</v>
      </c>
      <c r="G244" s="7">
        <v>3</v>
      </c>
      <c r="H244" s="21" t="s">
        <v>517</v>
      </c>
      <c r="I244" s="13">
        <v>42828.954513888886</v>
      </c>
      <c r="J244" s="7">
        <v>0</v>
      </c>
      <c r="K244" s="97" t="str">
        <f>IF(ISEVEN(B244),(B244-1)&amp;"/"&amp;B244,B244&amp;"/"&amp;(B244+1))</f>
        <v>4021/4022</v>
      </c>
      <c r="L244" s="21" t="str">
        <f>VLOOKUP(A244,'Trips&amp;Operators'!$C$1:$G$99999,5,FALSE)</f>
        <v>DUNCAN SHEILA</v>
      </c>
      <c r="M244" s="6">
        <f>I244-F244</f>
        <v>6.3657407372375019E-3</v>
      </c>
      <c r="N244" s="7">
        <f>24*60*SUM($M244:$M244)</f>
        <v>9.1666666616220027</v>
      </c>
      <c r="O244" s="7"/>
      <c r="P244" s="7"/>
      <c r="Q244" s="22"/>
      <c r="R244" s="22"/>
      <c r="S244" s="31">
        <f>SUM(U244:U244)/IF(AG244="EC",12,1)</f>
        <v>0</v>
      </c>
      <c r="T244" s="46" t="e">
        <f>IF(ISEVEN(LEFT(AD244,4)),"Southbound","NorthBound")</f>
        <v>#VALUE!</v>
      </c>
      <c r="U244" s="181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2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-04-03T20:55:45-0600',mode:absolute,to:'2017-04-03T23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4" s="183" t="str">
        <f>IF(AA244&lt;IF(AG244="EC",23,5.65),"Y","N")</f>
        <v>N</v>
      </c>
      <c r="X244" s="183" t="e">
        <f>VALUE(LEFT(AD244,4))-VALUE(LEFT(AD243,4))</f>
        <v>#VALUE!</v>
      </c>
      <c r="Y244" s="62">
        <f>RIGHT(D244,LEN(D244)-4)/10000</f>
        <v>15.536300000000001</v>
      </c>
      <c r="Z244" s="62">
        <f>RIGHT(H244,LEN(H244)-4)/10000</f>
        <v>23.327999999999999</v>
      </c>
      <c r="AA244" s="62">
        <f>ABS(Z244-Y244)</f>
        <v>7.7916999999999987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>IF(LEN(A244)=6,"0"&amp;A244,A244)</f>
        <v>81-03</v>
      </c>
      <c r="AE244" s="8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4" s="82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/stypes="app*4022*20170404*" /stext=" 04:.+((SYSTEM_STATE.+slice.+state.+changed )|(ment ac)|(multiple cpu faults)|(system.+state.+changed )|(\[timeout)|(PRM\|1\|D)|(kpr)|(kdp)|(\|lc)|(penalty))"</v>
      </c>
      <c r="AG244" s="1" t="str">
        <f>IFERROR(IF(VALUE(LEFT(AD244,2))&lt;=2,"EC",IF(OR(VALUE(LEFT(AD244,2))=8,VALUE(LEFT(AD244,2))=18),"NW","Other")),"Other")</f>
        <v>Other</v>
      </c>
      <c r="AH244" s="86" t="str">
        <f>refinertdcruntimes&amp;" --tripid "&amp;A244&amp;" --locoid "&amp;B244&amp;" --swversion "&amp;C244&amp;" --startMP "&amp;D244&amp;" --initTime "&amp;TEXT(E244,"yyyy-mm-ddTHH:MM:SS")&amp;" --startdatetime "&amp;TEXT(F244,"yyyy-mm-ddTHH:MM:SS")&amp;" --delay "&amp;G244&amp;" --endMP "&amp;H244&amp;" --enddatetime "&amp;TEXT(I244,"yyyy-mm-ddTHH:MM:SS")&amp;" --enforcementcount "&amp;J244&amp;IF(outputrefinedruntimes," &gt;&gt;"&amp;RefinedRTDCRunTimesOutputFile,"")</f>
        <v>"%USERPROFILE%\Documents\GitHub\eaglep3\Utilities\RefineRTDCRunTimes.py" --tripid 81-03 --locoid 4022 --swversion DE.1.0.9.0 --startMP 204:155363 --initTime 2017-04-03T21:55:45 --startdatetime 2017-04-03T22:45:20 --delay 3 --endMP 204:233280 --enddatetime 2017-04-03T22:54:30 --enforcementcount 0 &gt;&gt;C:\Users\stu\Documents\GitHub\eaglep3-reporting\EC\2017-04-03-refined-times.txt</v>
      </c>
      <c r="AI244" s="104" t="str">
        <f>"echo {""issue"":{""subject"":"""&amp;R244&amp;""",""project_id"":79,""tracker_id"":40,""status_id"":"&amp;redmine_status&amp;",""priority_id"":"&amp;redmine_priority&amp;",""assigned_to_id"":"&amp;redmine_assignee&amp;",""start_date"":"""&amp;TEXT(I244,"YYYY-mm-dd")&amp;""",""description"":"""&amp;AJ244&amp;""",""custom_fields"":[{""id"":1,""name"":""Subdivision"",""value"":"""&amp;AG244&amp;"""},{""id"":4,""name"":""Milepost"",""value"":"""&amp;Z244&amp;"""},{""id"":17,""name"":""Train ID"",""value"":"""&amp;A244&amp;"""},{""id"":16,""name"":""Locomotive ID"",""value"":"""&amp;B244&amp;"""},{""id"":130,""name"":""Impact"",""value"":"""&amp;AK244&amp;"""},{""id"":150,""name"":""Time of Event (Mountain Time)"",""value"":"""&amp;TEXT(I244,"hh:mm:ss")&amp;"""},{""id"":151,""name"":""Denver Issue ID"",""value"":"""&amp;"""},{""id"":178,""name"":""Operational Impact"",""value"":"""&amp;redmine_op_impact&amp;"""},{""id"":179,""name"":""Denver Segment Assigned"",""value"":"""&amp;AL244&amp;"""}]}}"&amp;"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{"issue":{"subject":"","project_id":79,"tracker_id":40,"status_id":1,"priority_id":2,"assigned_to_id":23,"start_date":"2017-04-03","description":"","custom_fields":[{"id":1,"name":"Subdivision","value":"Other"},{"id":4,"name":"Milepost","value":"23.328"},{"id":17,"name":"Train ID","value":"81-03"},{"id":16,"name":"Locomotive ID","value":"4022"},{"id":130,"name":"Impact","value":""},{"id":150,"name":"Time of Event (Mountain Time)","value":"22:54:30"},{"id":151,"name":"Denver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8"/>
      <c r="AL244" s="48"/>
      <c r="AM244" s="150" t="str">
        <f>"start /low /b "&amp;dls3logs&amp;" --loco "&amp;B244&amp;" --day "&amp;TEXT(F244,"YYYY-MM-DD")</f>
        <v>start /low /b %USERPROFILE%\Documents\GitHub\eaglep3\Utilities\DownloadLogsFromS3.py --loco 4022 --day 2017-04-03</v>
      </c>
      <c r="AN244" s="159" t="str">
        <f>"echo {""issue"":{""subject"":"""&amp;R244&amp;""",""project_id"":30,""tracker_id"":4,""status_id"":"&amp;redmine_status_wcr&amp;",""priority_id"":"&amp;redmine_priority_wcr&amp;",""assigned_to_id"":"&amp;redmine_assignee_wcr&amp;",""start_date"":"""&amp;TEXT(I244-utc_offset/24,"YYYY-mm-dd")&amp;""",""description"":"""&amp;AJ244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04:54:30"},{"id":29,"name":"Sharepoint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3" t="s">
        <v>797</v>
      </c>
      <c r="B245" s="7">
        <v>4022</v>
      </c>
      <c r="C245" s="21" t="s">
        <v>217</v>
      </c>
      <c r="D245" s="21" t="s">
        <v>957</v>
      </c>
      <c r="E245" s="13">
        <v>42828.968530092592</v>
      </c>
      <c r="F245" s="13">
        <v>42828.969814814816</v>
      </c>
      <c r="G245" s="7">
        <v>1</v>
      </c>
      <c r="H245" s="21" t="s">
        <v>842</v>
      </c>
      <c r="I245" s="13">
        <v>42828.978067129632</v>
      </c>
      <c r="J245" s="7">
        <v>0</v>
      </c>
      <c r="K245" s="97" t="str">
        <f>IF(ISEVEN(B245),(B245-1)&amp;"/"&amp;B245,B245&amp;"/"&amp;(B245+1))</f>
        <v>4021/4022</v>
      </c>
      <c r="L245" s="21" t="str">
        <f>VLOOKUP(A245,'Trips&amp;Operators'!$C$1:$G$99999,5,FALSE)</f>
        <v>DUNCAN SHEILA</v>
      </c>
      <c r="M245" s="6">
        <f>I245-F245</f>
        <v>8.2523148157633841E-3</v>
      </c>
      <c r="N245" s="7">
        <f>24*60*SUM($M245:$M245)</f>
        <v>11.883333334699273</v>
      </c>
      <c r="O245" s="7"/>
      <c r="P245" s="7"/>
      <c r="Q245" s="22"/>
      <c r="R245" s="22"/>
      <c r="S245" s="31">
        <f>SUM(U245:U245)/IF(AG245="EC",12,1)</f>
        <v>0</v>
      </c>
      <c r="T245" s="46" t="e">
        <f>IF(ISEVEN(LEFT(AD245,4)),"Southbound","NorthBound")</f>
        <v>#VALUE!</v>
      </c>
      <c r="U245" s="181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2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-04-03T22:14:41-0600',mode:absolute,to:'2017-04-04T00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5" s="183" t="str">
        <f>IF(AA245&lt;IF(AG245="EC",23,5.65),"Y","N")</f>
        <v>Y</v>
      </c>
      <c r="X245" s="183" t="e">
        <f>VALUE(LEFT(AD245,4))-VALUE(LEFT(AD244,4))</f>
        <v>#VALUE!</v>
      </c>
      <c r="Y245" s="62">
        <f>RIGHT(D245,LEN(D245)-4)/10000</f>
        <v>19.0029</v>
      </c>
      <c r="Z245" s="62">
        <f>RIGHT(H245,LEN(H245)-4)/10000</f>
        <v>23.328800000000001</v>
      </c>
      <c r="AA245" s="62">
        <f>ABS(Z245-Y245)</f>
        <v>4.3259000000000007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>IF(LEN(A245)=6,"0"&amp;A245,A245)</f>
        <v>81-03</v>
      </c>
      <c r="AE245" s="8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5" s="82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/stypes="app*4022*20170404*" /stext=" 05:.+((SYSTEM_STATE.+slice.+state.+changed )|(ment ac)|(multiple cpu faults)|(system.+state.+changed )|(\[timeout)|(PRM\|1\|D)|(kpr)|(kdp)|(\|lc)|(penalty))"</v>
      </c>
      <c r="AG245" s="1" t="str">
        <f>IFERROR(IF(VALUE(LEFT(AD245,2))&lt;=2,"EC",IF(OR(VALUE(LEFT(AD245,2))=8,VALUE(LEFT(AD245,2))=18),"NW","Other")),"Other")</f>
        <v>Other</v>
      </c>
      <c r="AH245" s="86" t="str">
        <f>refinertdcruntimes&amp;" --tripid "&amp;A245&amp;" --locoid "&amp;B245&amp;" --swversion "&amp;C245&amp;" --startMP "&amp;D245&amp;" --initTime "&amp;TEXT(E245,"yyyy-mm-ddTHH:MM:SS")&amp;" --startdatetime "&amp;TEXT(F245,"yyyy-mm-ddTHH:MM:SS")&amp;" --delay "&amp;G245&amp;" --endMP "&amp;H245&amp;" --enddatetime "&amp;TEXT(I245,"yyyy-mm-ddTHH:MM:SS")&amp;" --enforcementcount "&amp;J245&amp;IF(outputrefinedruntimes," &gt;&gt;"&amp;RefinedRTDCRunTimesOutputFile,"")</f>
        <v>"%USERPROFILE%\Documents\GitHub\eaglep3\Utilities\RefineRTDCRunTimes.py" --tripid 81-03 --locoid 4022 --swversion DE.1.0.9.0 --startMP 204:190029 --initTime 2017-04-03T23:14:41 --startdatetime 2017-04-03T23:16:32 --delay 1 --endMP 204:233288 --enddatetime 2017-04-03T23:28:25 --enforcementcount 0 &gt;&gt;C:\Users\stu\Documents\GitHub\eaglep3-reporting\EC\2017-04-03-refined-times.txt</v>
      </c>
      <c r="AI245" s="104" t="str">
        <f>"echo {""issue"":{""subject"":"""&amp;R245&amp;""",""project_id"":79,""tracker_id"":40,""status_id"":"&amp;redmine_status&amp;",""priority_id"":"&amp;redmine_priority&amp;",""assigned_to_id"":"&amp;redmine_assignee&amp;",""start_date"":"""&amp;TEXT(I245,"YYYY-mm-dd")&amp;""",""description"":"""&amp;AJ245&amp;""",""custom_fields"":[{""id"":1,""name"":""Subdivision"",""value"":"""&amp;AG245&amp;"""},{""id"":4,""name"":""Milepost"",""value"":"""&amp;Z245&amp;"""},{""id"":17,""name"":""Train ID"",""value"":"""&amp;A245&amp;"""},{""id"":16,""name"":""Locomotive ID"",""value"":"""&amp;B245&amp;"""},{""id"":130,""name"":""Impact"",""value"":"""&amp;AK245&amp;"""},{""id"":150,""name"":""Time of Event (Mountain Time)"",""value"":"""&amp;TEXT(I245,"hh:mm:ss")&amp;"""},{""id"":151,""name"":""Denver Issue ID"",""value"":"""&amp;"""},{""id"":178,""name"":""Operational Impact"",""value"":"""&amp;redmine_op_impact&amp;"""},{""id"":179,""name"":""Denver Segment Assigned"",""value"":"""&amp;AL245&amp;"""}]}}"&amp;"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{"issue":{"subject":"","project_id":79,"tracker_id":40,"status_id":1,"priority_id":2,"assigned_to_id":23,"start_date":"2017-04-03","description":"","custom_fields":[{"id":1,"name":"Subdivision","value":"Other"},{"id":4,"name":"Milepost","value":"23.3288"},{"id":17,"name":"Train ID","value":"81-03"},{"id":16,"name":"Locomotive ID","value":"4022"},{"id":130,"name":"Impact","value":""},{"id":150,"name":"Time of Event (Mountain Time)","value":"23:28:25"},{"id":151,"name":"Denver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8"/>
      <c r="AL245" s="48"/>
      <c r="AM245" s="150" t="str">
        <f>"start /low /b "&amp;dls3logs&amp;" --loco "&amp;B245&amp;" --day "&amp;TEXT(F245,"YYYY-MM-DD")</f>
        <v>start /low /b %USERPROFILE%\Documents\GitHub\eaglep3\Utilities\DownloadLogsFromS3.py --loco 4022 --day 2017-04-03</v>
      </c>
      <c r="AN245" s="159" t="str">
        <f>"echo {""issue"":{""subject"":"""&amp;R245&amp;""",""project_id"":30,""tracker_id"":4,""status_id"":"&amp;redmine_status_wcr&amp;",""priority_id"":"&amp;redmine_priority_wcr&amp;",""assigned_to_id"":"&amp;redmine_assignee_wcr&amp;",""start_date"":"""&amp;TEXT(I245-utc_offset/24,"YYYY-mm-dd")&amp;""",""description"":"""&amp;AJ245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3" t="s">
        <v>797</v>
      </c>
      <c r="B246" s="7">
        <v>4022</v>
      </c>
      <c r="C246" s="21" t="s">
        <v>217</v>
      </c>
      <c r="D246" s="21" t="s">
        <v>958</v>
      </c>
      <c r="E246" s="13">
        <v>42828.946851851855</v>
      </c>
      <c r="F246" s="13">
        <v>42828.969814814816</v>
      </c>
      <c r="G246" s="7">
        <v>1</v>
      </c>
      <c r="H246" s="21" t="s">
        <v>510</v>
      </c>
      <c r="I246" s="13">
        <v>42828.978067129632</v>
      </c>
      <c r="J246" s="7">
        <v>0</v>
      </c>
      <c r="K246" s="97" t="str">
        <f>IF(ISEVEN(B246),(B246-1)&amp;"/"&amp;B246,B246&amp;"/"&amp;(B246+1))</f>
        <v>4021/4022</v>
      </c>
      <c r="L246" s="21" t="str">
        <f>VLOOKUP(A246,'Trips&amp;Operators'!$C$1:$G$99999,5,FALSE)</f>
        <v>DUNCAN SHEILA</v>
      </c>
      <c r="M246" s="6">
        <f>I246-F246</f>
        <v>8.2523148157633841E-3</v>
      </c>
      <c r="N246" s="7">
        <f>24*60*SUM($M246:$M246)</f>
        <v>11.883333334699273</v>
      </c>
      <c r="O246" s="7"/>
      <c r="P246" s="7"/>
      <c r="Q246" s="22"/>
      <c r="R246" s="22"/>
      <c r="S246" s="31">
        <f>SUM(U246:U246)/IF(AG246="EC",12,1)</f>
        <v>0</v>
      </c>
      <c r="T246" s="46" t="e">
        <f>IF(ISEVEN(LEFT(AD246,4)),"Southbound","NorthBound")</f>
        <v>#VALUE!</v>
      </c>
      <c r="U246" s="181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2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-04-03T21:43:28-0600',mode:absolute,to:'2017-04-04T00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6" s="183" t="str">
        <f>IF(AA246&lt;IF(AG246="EC",23,5.65),"Y","N")</f>
        <v>Y</v>
      </c>
      <c r="X246" s="183" t="e">
        <f>VALUE(LEFT(AD246,4))-VALUE(LEFT(AD245,4))</f>
        <v>#VALUE!</v>
      </c>
      <c r="Y246" s="62">
        <f>RIGHT(D246,LEN(D246)-4)/10000</f>
        <v>19.0123</v>
      </c>
      <c r="Z246" s="62">
        <f>RIGHT(H246,LEN(H246)-4)/10000</f>
        <v>23.328199999999999</v>
      </c>
      <c r="AA246" s="62">
        <f>ABS(Z246-Y246)</f>
        <v>4.3158999999999992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>IF(LEN(A246)=6,"0"&amp;A246,A246)</f>
        <v>81-03</v>
      </c>
      <c r="AE246" s="8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s3://rtdc.mdm.uploadarchive.raw/RTDC4022/ "%USERPROFILE%\AppData\Local\Temp\OnboardLogs"\RTDC4022\2017-04-03 --exclude "*" --recursive --include "*20170403*" &amp; "%USERPROFILE%\Documents\GitHub\mrs-test-scripts\Headless Mode &amp; Sideloading\WalkAndUnGZ.bat" "%USERPROFILE%\AppData\Local\Temp\OnboardLogs"\RTDC4022\2017-04-03 &amp; 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</v>
      </c>
      <c r="AF246" s="82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/stypes="app*4022*20170404*" /stext=" 05:.+((SYSTEM_STATE.+slice.+state.+changed )|(ment ac)|(multiple cpu faults)|(system.+state.+changed )|(\[timeout)|(PRM\|1\|D)|(kpr)|(kdp)|(\|lc)|(penalty))"</v>
      </c>
      <c r="AG246" s="1" t="str">
        <f>IFERROR(IF(VALUE(LEFT(AD246,2))&lt;=2,"EC",IF(OR(VALUE(LEFT(AD246,2))=8,VALUE(LEFT(AD246,2))=18),"NW","Other")),"Other")</f>
        <v>Other</v>
      </c>
      <c r="AH246" s="86" t="str">
        <f>refinertdcruntimes&amp;" --tripid "&amp;A246&amp;" --locoid "&amp;B246&amp;" --swversion "&amp;C246&amp;" --startMP "&amp;D246&amp;" --initTime "&amp;TEXT(E246,"yyyy-mm-ddTHH:MM:SS")&amp;" --startdatetime "&amp;TEXT(F246,"yyyy-mm-ddTHH:MM:SS")&amp;" --delay "&amp;G246&amp;" --endMP "&amp;H246&amp;" --enddatetime "&amp;TEXT(I246,"yyyy-mm-ddTHH:MM:SS")&amp;" --enforcementcount "&amp;J246&amp;IF(outputrefinedruntimes," &gt;&gt;"&amp;RefinedRTDCRunTimesOutputFile,"")</f>
        <v>"%USERPROFILE%\Documents\GitHub\eaglep3\Utilities\RefineRTDCRunTimes.py" --tripid 81-03 --locoid 4022 --swversion DE.1.0.9.0 --startMP 204:190123 --initTime 2017-04-03T22:43:28 --startdatetime 2017-04-03T23:16:32 --delay 1 --endMP 204:233282 --enddatetime 2017-04-03T23:28:25 --enforcementcount 0 &gt;&gt;C:\Users\stu\Documents\GitHub\eaglep3-reporting\EC\2017-04-03-refined-times.txt</v>
      </c>
      <c r="AI246" s="104" t="str">
        <f>"echo {""issue"":{""subject"":"""&amp;R246&amp;""",""project_id"":79,""tracker_id"":40,""status_id"":"&amp;redmine_status&amp;",""priority_id"":"&amp;redmine_priority&amp;",""assigned_to_id"":"&amp;redmine_assignee&amp;",""start_date"":"""&amp;TEXT(I246,"YYYY-mm-dd")&amp;""",""description"":"""&amp;AJ246&amp;""",""custom_fields"":[{""id"":1,""name"":""Subdivision"",""value"":"""&amp;AG246&amp;"""},{""id"":4,""name"":""Milepost"",""value"":"""&amp;Z246&amp;"""},{""id"":17,""name"":""Train ID"",""value"":"""&amp;A246&amp;"""},{""id"":16,""name"":""Locomotive ID"",""value"":"""&amp;B246&amp;"""},{""id"":130,""name"":""Impact"",""value"":"""&amp;AK246&amp;"""},{""id"":150,""name"":""Time of Event (Mountain Time)"",""value"":"""&amp;TEXT(I246,"hh:mm:ss")&amp;"""},{""id"":151,""name"":""Denver Issue ID"",""value"":"""&amp;"""},{""id"":178,""name"":""Operational Impact"",""value"":"""&amp;redmine_op_impact&amp;"""},{""id"":179,""name"":""Denver Segment Assigned"",""value"":"""&amp;AL246&amp;"""}]}}"&amp;"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{"issue":{"subject":"","project_id":79,"tracker_id":40,"status_id":1,"priority_id":2,"assigned_to_id":23,"start_date":"2017-04-03","description":"","custom_fields":[{"id":1,"name":"Subdivision","value":"Other"},{"id":4,"name":"Milepost","value":"23.3282"},{"id":17,"name":"Train ID","value":"81-03"},{"id":16,"name":"Locomotive ID","value":"4022"},{"id":130,"name":"Impact","value":""},{"id":150,"name":"Time of Event (Mountain Time)","value":"23:28:25"},{"id":151,"name":"Denver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8"/>
      <c r="AL246" s="48"/>
      <c r="AM246" s="150" t="str">
        <f>"start /low /b "&amp;dls3logs&amp;" --loco "&amp;B246&amp;" --day "&amp;TEXT(F246,"YYYY-MM-DD")</f>
        <v>start /low /b %USERPROFILE%\Documents\GitHub\eaglep3\Utilities\DownloadLogsFromS3.py --loco 4022 --day 2017-04-03</v>
      </c>
      <c r="AN246" s="159" t="str">
        <f>"echo {""issue"":{""subject"":"""&amp;R246&amp;""",""project_id"":30,""tracker_id"":4,""status_id"":"&amp;redmine_status_wcr&amp;",""priority_id"":"&amp;redmine_priority_wcr&amp;",""assigned_to_id"":"&amp;redmine_assignee_wcr&amp;",""start_date"":"""&amp;TEXT(I246-utc_offset/24,"YYYY-mm-dd")&amp;""",""description"":"""&amp;AJ246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05:28:25"},{"id":29,"name":"Sharepoint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3" t="s">
        <v>797</v>
      </c>
      <c r="B247" s="7">
        <v>4022</v>
      </c>
      <c r="C247" s="21" t="s">
        <v>217</v>
      </c>
      <c r="D247" s="21" t="s">
        <v>959</v>
      </c>
      <c r="E247" s="13">
        <v>42829.009548611109</v>
      </c>
      <c r="F247" s="13">
        <v>42829.010613425926</v>
      </c>
      <c r="G247" s="7">
        <v>1</v>
      </c>
      <c r="H247" s="21" t="s">
        <v>511</v>
      </c>
      <c r="I247" s="13">
        <v>42829.016550925924</v>
      </c>
      <c r="J247" s="7">
        <v>0</v>
      </c>
      <c r="K247" s="97" t="str">
        <f>IF(ISEVEN(B247),(B247-1)&amp;"/"&amp;B247,B247&amp;"/"&amp;(B247+1))</f>
        <v>4021/4022</v>
      </c>
      <c r="L247" s="21" t="str">
        <f>VLOOKUP(A247,'Trips&amp;Operators'!$C$1:$G$99999,5,FALSE)</f>
        <v>DUNCAN SHEILA</v>
      </c>
      <c r="M247" s="6">
        <f>I247-F247</f>
        <v>5.9374999982537702E-3</v>
      </c>
      <c r="N247" s="7">
        <f>24*60*SUM($M247:$M247)</f>
        <v>8.549999997485429</v>
      </c>
      <c r="O247" s="7"/>
      <c r="P247" s="7"/>
      <c r="Q247" s="22"/>
      <c r="R247" s="22"/>
      <c r="S247" s="31">
        <f>SUM(U247:U247)/IF(AG247="EC",12,1)</f>
        <v>0</v>
      </c>
      <c r="T247" s="46" t="e">
        <f>IF(ISEVEN(LEFT(AD247,4)),"Southbound","NorthBound")</f>
        <v>#VALUE!</v>
      </c>
      <c r="U247" s="181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2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-04-03T23:13:45-0600',mode:absolute,to:'2017-04-04T01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47" s="183" t="str">
        <f>IF(AA247&lt;IF(AG247="EC",23,5.65),"Y","N")</f>
        <v>Y</v>
      </c>
      <c r="X247" s="183" t="e">
        <f>VALUE(LEFT(AD247,4))-VALUE(LEFT(AD246,4))</f>
        <v>#VALUE!</v>
      </c>
      <c r="Y247" s="62">
        <f>RIGHT(D247,LEN(D247)-4)/10000</f>
        <v>19.0444</v>
      </c>
      <c r="Z247" s="62">
        <f>RIGHT(H247,LEN(H247)-4)/10000</f>
        <v>23.329699999999999</v>
      </c>
      <c r="AA247" s="62">
        <f>ABS(Z247-Y247)</f>
        <v>4.2852999999999994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>IF(LEN(A247)=6,"0"&amp;A247,A247)</f>
        <v>81-03</v>
      </c>
      <c r="AE247" s="8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s3://rtdc.mdm.uploadarchive.raw/RTDC4022/ "%USERPROFILE%\AppData\Local\Temp\OnboardLogs"\RTDC4022\2017-04-04 --exclude "*" --recursive --include "*20170404*" &amp; "%USERPROFILE%\Documents\GitHub\mrs-test-scripts\Headless Mode &amp; Sideloading\WalkAndUnGZ.bat" "%USERPROFILE%\AppData\Local\Temp\OnboardLogs"\RTDC4022\2017-04-04 &amp; aws s3 cp s3://rtdc.mdm.uploadarchive.raw/RTDC4022/ "%USERPROFILE%\AppData\Local\Temp\OnboardLogs"\RTDC4022\2017-04-05 --exclude "*" --recursive --include "*20170405*" &amp; "%USERPROFILE%\Documents\GitHub\mrs-test-scripts\Headless Mode &amp; Sideloading\WalkAndUnGZ.bat" "%USERPROFILE%\AppData\Local\Temp\OnboardLogs"\RTDC4022\2017-04-05</v>
      </c>
      <c r="AF247" s="82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/stypes="app*4022*20170404*" /stext=" 06:.+((SYSTEM_STATE.+slice.+state.+changed )|(ment ac)|(multiple cpu faults)|(system.+state.+changed )|(\[timeout)|(PRM\|1\|D)|(kpr)|(kdp)|(\|lc)|(penalty))"</v>
      </c>
      <c r="AG247" s="1" t="str">
        <f>IFERROR(IF(VALUE(LEFT(AD247,2))&lt;=2,"EC",IF(OR(VALUE(LEFT(AD247,2))=8,VALUE(LEFT(AD247,2))=18),"NW","Other")),"Other")</f>
        <v>Other</v>
      </c>
      <c r="AH247" s="86" t="str">
        <f>refinertdcruntimes&amp;" --tripid "&amp;A247&amp;" --locoid "&amp;B247&amp;" --swversion "&amp;C247&amp;" --startMP "&amp;D247&amp;" --initTime "&amp;TEXT(E247,"yyyy-mm-ddTHH:MM:SS")&amp;" --startdatetime "&amp;TEXT(F247,"yyyy-mm-ddTHH:MM:SS")&amp;" --delay "&amp;G247&amp;" --endMP "&amp;H247&amp;" --enddatetime "&amp;TEXT(I247,"yyyy-mm-ddTHH:MM:SS")&amp;" --enforcementcount "&amp;J247&amp;IF(outputrefinedruntimes," &gt;&gt;"&amp;RefinedRTDCRunTimesOutputFile,"")</f>
        <v>"%USERPROFILE%\Documents\GitHub\eaglep3\Utilities\RefineRTDCRunTimes.py" --tripid 81-03 --locoid 4022 --swversion DE.1.0.9.0 --startMP 204:190444 --initTime 2017-04-04T00:13:45 --startdatetime 2017-04-04T00:15:17 --delay 1 --endMP 204:233297 --enddatetime 2017-04-04T00:23:50 --enforcementcount 0 &gt;&gt;C:\Users\stu\Documents\GitHub\eaglep3-reporting\EC\2017-04-03-refined-times.txt</v>
      </c>
      <c r="AI247" s="104" t="str">
        <f>"echo {""issue"":{""subject"":"""&amp;R247&amp;""",""project_id"":79,""tracker_id"":40,""status_id"":"&amp;redmine_status&amp;",""priority_id"":"&amp;redmine_priority&amp;",""assigned_to_id"":"&amp;redmine_assignee&amp;",""start_date"":"""&amp;TEXT(I247,"YYYY-mm-dd")&amp;""",""description"":"""&amp;AJ247&amp;""",""custom_fields"":[{""id"":1,""name"":""Subdivision"",""value"":"""&amp;AG247&amp;"""},{""id"":4,""name"":""Milepost"",""value"":"""&amp;Z247&amp;"""},{""id"":17,""name"":""Train ID"",""value"":"""&amp;A247&amp;"""},{""id"":16,""name"":""Locomotive ID"",""value"":"""&amp;B247&amp;"""},{""id"":130,""name"":""Impact"",""value"":"""&amp;AK247&amp;"""},{""id"":150,""name"":""Time of Event (Mountain Time)"",""value"":"""&amp;TEXT(I247,"hh:mm:ss")&amp;"""},{""id"":151,""name"":""Denver Issue ID"",""value"":"""&amp;"""},{""id"":178,""name"":""Operational Impact"",""value"":"""&amp;redmine_op_impact&amp;"""},{""id"":179,""name"":""Denver Segment Assigned"",""value"":"""&amp;AL247&amp;"""}]}}"&amp;"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{"issue":{"subject":"","project_id":79,"tracker_id":40,"status_id":1,"priority_id":2,"assigned_to_id":23,"start_date":"2017-04-04","description":"","custom_fields":[{"id":1,"name":"Subdivision","value":"Other"},{"id":4,"name":"Milepost","value":"23.3297"},{"id":17,"name":"Train ID","value":"81-03"},{"id":16,"name":"Locomotive ID","value":"4022"},{"id":130,"name":"Impact","value":""},{"id":150,"name":"Time of Event (Mountain Time)","value":"00:23:50"},{"id":151,"name":"Denver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8"/>
      <c r="AL247" s="48"/>
      <c r="AM247" s="150" t="str">
        <f>"start /low /b "&amp;dls3logs&amp;" --loco "&amp;B247&amp;" --day "&amp;TEXT(F247,"YYYY-MM-DD")</f>
        <v>start /low /b %USERPROFILE%\Documents\GitHub\eaglep3\Utilities\DownloadLogsFromS3.py --loco 4022 --day 2017-04-04</v>
      </c>
      <c r="AN247" s="159" t="str">
        <f>"echo {""issue"":{""subject"":"""&amp;R247&amp;""",""project_id"":30,""tracker_id"":4,""status_id"":"&amp;redmine_status_wcr&amp;",""priority_id"":"&amp;redmine_priority_wcr&amp;",""assigned_to_id"":"&amp;redmine_assignee_wcr&amp;",""start_date"":"""&amp;TEXT(I247-utc_offset/24,"YYYY-mm-dd")&amp;""",""description"":"""&amp;AJ247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ID"",""value"":"""&amp;B247&amp;"""},{""id"":20,""name"":""RR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UTC"",""value"":"""&amp;TEXT(I247-utc_offset/24,"YYYY-MM-DD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{"issue":{"subject":"","project_id":30,"tracker_id":4,"status_id":1,"priority_id":1,"assigned_to_id":10,"start_date":"2017-04-04","description":"","custom_fields":[{"id":30,"name":"Category","value":"Issue"},{"id":3,"name":"Functional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UTC","value":"2017-04-04 06:23:50"},{"id":29,"name":"Sharepoint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N247">
    <sortCondition ref="AG13:AG247"/>
    <sortCondition ref="AD13:AD247"/>
  </sortState>
  <mergeCells count="1">
    <mergeCell ref="A11:P11"/>
  </mergeCells>
  <conditionalFormatting sqref="W11:W12 W269:X1048576 W13:X247">
    <cfRule type="cellIs" dxfId="10" priority="370" operator="equal">
      <formula>"Y"</formula>
    </cfRule>
  </conditionalFormatting>
  <conditionalFormatting sqref="X269:X1048576 X13:X247">
    <cfRule type="cellIs" dxfId="9" priority="353" operator="greaterThan">
      <formula>1</formula>
    </cfRule>
  </conditionalFormatting>
  <conditionalFormatting sqref="X269:X1048576 X12:X247">
    <cfRule type="cellIs" dxfId="8" priority="350" operator="equal">
      <formula>0</formula>
    </cfRule>
  </conditionalFormatting>
  <conditionalFormatting sqref="A13:S247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A25" sqref="A2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55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- 2017-04-03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192</v>
      </c>
      <c r="AE6" s="151" t="s">
        <v>202</v>
      </c>
    </row>
    <row r="7" spans="1:32" s="1" customFormat="1" x14ac:dyDescent="0.25">
      <c r="A7" s="32">
        <v>42828.358796296299</v>
      </c>
      <c r="B7" s="30" t="s">
        <v>480</v>
      </c>
      <c r="C7" s="30" t="s">
        <v>583</v>
      </c>
      <c r="D7" s="30" t="s">
        <v>49</v>
      </c>
      <c r="E7" s="30" t="s">
        <v>193</v>
      </c>
      <c r="F7" s="43">
        <v>0</v>
      </c>
      <c r="G7" s="43">
        <v>234</v>
      </c>
      <c r="H7" s="43">
        <v>26895</v>
      </c>
      <c r="I7" s="43">
        <v>27160</v>
      </c>
      <c r="J7" s="30" t="s">
        <v>194</v>
      </c>
      <c r="K7" s="43">
        <v>27053</v>
      </c>
      <c r="L7" s="139" t="s">
        <v>50</v>
      </c>
      <c r="M7" s="140">
        <f t="shared" ref="M7:M38" si="0">CONVERT((I7-K7)/10000,"mi","ft")*IF(L7="Increasing Mileposts (1)",-1,1)</f>
        <v>-56.496000000000002</v>
      </c>
      <c r="N7" s="141" t="str">
        <f>VLOOKUP(C7,'Trips&amp;Operators'!$C$1:$G$99999,5,FALSE)</f>
        <v>YORK EDGAR</v>
      </c>
      <c r="O7" s="190" t="s">
        <v>185</v>
      </c>
      <c r="P7" s="142" t="s">
        <v>1039</v>
      </c>
      <c r="Q7" s="30"/>
      <c r="R7" s="89" t="str">
        <f>IF(VLOOKUP(C7,'Train Runs'!$A$13:$AE$9938,1,1)=C7,VLOOKUP(C7,'Train Runs'!$A$13:$AE$9938,31,1),NA())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-04-03T07:21:11-0600',mode:absolute,to:'2017-04-03T10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7" s="94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/stypes="*4052*201704031*" /stext=" 14:.+((SYSTEM_STATE.+slice.+state.+changed )|(ment ac)|(multiple cpu faults)|(system.+state.+changed )|(\[timeout)|(PRM\|1\|D)|(kpr)|(kdp)|(\|lc)|(penalty))"</v>
      </c>
      <c r="U7" s="9" t="str">
        <f t="shared" ref="U7:U38" si="2">MID(B7,13,4)</f>
        <v>4052</v>
      </c>
      <c r="V7" s="32">
        <f t="shared" ref="V7:V38" si="3">A7-utc_offset/24</f>
        <v>42828.608796296299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4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arrival","project_id":79,"tracker_id":40,"status_id":1,"priority_id":2,"assigned_to_id":23,"start_date":"2017-04-03","description":"","custom_fields":[{"id":1,"name":"Subdivision","value":"EC"},{"id":4,"name":"Milepost","value":"2.7053"},{"id":17,"name":"Train ID","value":"139-03"},{"id":16,"name":"Locomotive ID","value":"4052"},{"id":130,"name":"Impact","value":""},{"id":150,"name":"Time of Event (Mountain Time)","value":"08:36:40"},{"id":151,"name":"Denver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38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"%USERPROFILE%\AppData\Local\Temp\OnboardLogs"\RTDC4052\*4052*201704031*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"%USERPROFILE%\AppData\Local\Temp\OnboardLogs"\RTDC4052\*4052*201704031* &gt;&gt; 2017-04-03-SliceDisagreementCheck.txt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4052 --day 2017-04-03</v>
      </c>
    </row>
    <row r="8" spans="1:32" s="1" customFormat="1" x14ac:dyDescent="0.25">
      <c r="A8" s="32">
        <v>42828.770775462966</v>
      </c>
      <c r="B8" s="30" t="s">
        <v>599</v>
      </c>
      <c r="C8" s="30" t="s">
        <v>617</v>
      </c>
      <c r="D8" s="30" t="s">
        <v>98</v>
      </c>
      <c r="E8" s="30" t="s">
        <v>193</v>
      </c>
      <c r="F8" s="43">
        <v>190</v>
      </c>
      <c r="G8" s="43">
        <v>246</v>
      </c>
      <c r="H8" s="43">
        <v>27037</v>
      </c>
      <c r="I8" s="43">
        <v>26456</v>
      </c>
      <c r="J8" s="30" t="s">
        <v>194</v>
      </c>
      <c r="K8" s="43">
        <v>27350</v>
      </c>
      <c r="L8" s="139" t="s">
        <v>51</v>
      </c>
      <c r="M8" s="140">
        <f t="shared" si="0"/>
        <v>-472.03199999999998</v>
      </c>
      <c r="N8" s="141" t="str">
        <f>VLOOKUP(C8,'Trips&amp;Operators'!$C$1:$G$99999,5,FALSE)</f>
        <v>WILLIAMS DONTE</v>
      </c>
      <c r="O8" s="190" t="s">
        <v>185</v>
      </c>
      <c r="P8" s="142" t="s">
        <v>1039</v>
      </c>
      <c r="Q8" s="30"/>
      <c r="R8" s="89" t="str">
        <f>IF(VLOOKUP(C8,'Train Runs'!$A$13:$AE$9938,1,1)=C8,VLOOKUP(C8,'Train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-04-03T16:40:05-0600',mode:absolute,to:'2017-04-03T19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8" s="94" t="str">
        <f t="shared" si="1"/>
        <v>"C:\Program Files (x86)\AstroGrep\AstroGrep.exe" /e /r /s /spath="%USERPROFILE%\AppData\Local\Temp\OnboardLogs" /stypes="*4007*201704040*" /stext=" 00:.+((SYSTEM_STATE.+slice.+state.+changed )|(ment ac)|(multiple cpu faults)|(system.+state.+changed )|(\[timeout)|(PRM\|1\|D)|(kpr)|(kdp)|(\|lc)|(penalty))"</v>
      </c>
      <c r="U8" s="9" t="str">
        <f t="shared" si="2"/>
        <v>4007</v>
      </c>
      <c r="V8" s="32">
        <f t="shared" si="3"/>
        <v>42829.020775462966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arrival","project_id":79,"tracker_id":40,"status_id":1,"priority_id":2,"assigned_to_id":23,"start_date":"2017-04-03","description":"","custom_fields":[{"id":1,"name":"Subdivision","value":"EC"},{"id":4,"name":"Milepost","value":"2.735"},{"id":17,"name":"Train ID","value":"208-03"},{"id":16,"name":"Locomotive ID","value":"4007"},{"id":130,"name":"Impact","value":""},{"id":150,"name":"Time of Event (Mountain Time)","value":"18:29:55"},{"id":151,"name":"Denver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"%USERPROFILE%\AppData\Local\Temp\OnboardLogs"\RTDC4007\*4007*201704040*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"%USERPROFILE%\AppData\Local\Temp\OnboardLogs"\RTDC4007\*4007*201704040* &gt;&gt; 2017-04-03-SliceDisagreementCheck.txt</v>
      </c>
      <c r="AE8" s="153" t="str">
        <f t="shared" ref="AE8:AE63" si="9">"start /low /b "&amp;dls3logs&amp;" --loco "&amp;U8&amp;" --day "&amp;TEXT(V8,"YYYY-MM-DD")</f>
        <v>start /low /b %USERPROFILE%\Documents\GitHub\eaglep3\Utilities\DownloadLogsFromS3.py --loco 4007 --day 2017-04-04</v>
      </c>
    </row>
    <row r="9" spans="1:32" s="1" customFormat="1" x14ac:dyDescent="0.25">
      <c r="A9" s="32">
        <v>42828.735925925925</v>
      </c>
      <c r="B9" s="30" t="s">
        <v>578</v>
      </c>
      <c r="C9" s="30" t="s">
        <v>614</v>
      </c>
      <c r="D9" s="30" t="s">
        <v>49</v>
      </c>
      <c r="E9" s="30" t="s">
        <v>193</v>
      </c>
      <c r="F9" s="43">
        <v>0</v>
      </c>
      <c r="G9" s="43">
        <v>364</v>
      </c>
      <c r="H9" s="43">
        <v>32803</v>
      </c>
      <c r="I9" s="43">
        <v>33597</v>
      </c>
      <c r="J9" s="30" t="s">
        <v>194</v>
      </c>
      <c r="K9" s="43">
        <v>33137</v>
      </c>
      <c r="L9" s="139" t="s">
        <v>50</v>
      </c>
      <c r="M9" s="140">
        <f t="shared" si="0"/>
        <v>-242.88</v>
      </c>
      <c r="N9" s="141" t="str">
        <f>VLOOKUP(C9,'Trips&amp;Operators'!$C$1:$G$99999,5,FALSE)</f>
        <v>LOCKLEAR TRAVIS</v>
      </c>
      <c r="O9" s="190" t="s">
        <v>185</v>
      </c>
      <c r="P9" s="142" t="s">
        <v>1039</v>
      </c>
      <c r="Q9" s="30"/>
      <c r="R9" s="89" t="str">
        <f>IF(VLOOKUP(C9,'Train Runs'!$A$13:$AE$9938,1,1)=C9,VLOOKUP(C9,'Train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9" s="94" t="str">
        <f t="shared" si="1"/>
        <v>"C:\Program Files (x86)\AstroGrep\AstroGrep.exe" /e /r /s /spath="%USERPROFILE%\AppData\Local\Temp\OnboardLogs" /stypes="*4004*201704032*" /stext=" 23:.+((SYSTEM_STATE.+slice.+state.+changed )|(ment ac)|(multiple cpu faults)|(system.+state.+changed )|(\[timeout)|(PRM\|1\|D)|(kpr)|(kdp)|(\|lc)|(penalty))"</v>
      </c>
      <c r="U9" s="9" t="str">
        <f t="shared" si="2"/>
        <v>4004</v>
      </c>
      <c r="V9" s="32">
        <f t="shared" si="3"/>
        <v>42828.985925925925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arrival","project_id":79,"tracker_id":40,"status_id":1,"priority_id":2,"assigned_to_id":23,"start_date":"2017-04-03","description":"","custom_fields":[{"id":1,"name":"Subdivision","value":"EC"},{"id":4,"name":"Milepost","value":"3.3137"},{"id":17,"name":"Train ID","value":"211-03"},{"id":16,"name":"Locomotive ID","value":"4004"},{"id":130,"name":"Impact","value":""},{"id":150,"name":"Time of Event (Mountain Time)","value":"17:39:44"},{"id":151,"name":"Denver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"%USERPROFILE%\AppData\Local\Temp\OnboardLogs"\RTDC4004\*4004*201704032*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"%USERPROFILE%\AppData\Local\Temp\OnboardLogs"\RTDC4004\*4004*201704032* &gt;&gt; 2017-04-03-SliceDisagreementCheck.txt</v>
      </c>
      <c r="AE9" s="153" t="str">
        <f t="shared" si="9"/>
        <v>start /low /b %USERPROFILE%\Documents\GitHub\eaglep3\Utilities\DownloadLogsFromS3.py --loco 4004 --day 2017-04-03</v>
      </c>
    </row>
    <row r="10" spans="1:32" s="1" customFormat="1" x14ac:dyDescent="0.25">
      <c r="A10" s="32">
        <v>42828.912708333337</v>
      </c>
      <c r="B10" s="30" t="s">
        <v>523</v>
      </c>
      <c r="C10" s="30" t="s">
        <v>619</v>
      </c>
      <c r="D10" s="30" t="s">
        <v>49</v>
      </c>
      <c r="E10" s="30" t="s">
        <v>193</v>
      </c>
      <c r="F10" s="43">
        <v>460</v>
      </c>
      <c r="G10" s="43">
        <v>551</v>
      </c>
      <c r="H10" s="43">
        <v>49001</v>
      </c>
      <c r="I10" s="43">
        <v>47361</v>
      </c>
      <c r="J10" s="30" t="s">
        <v>194</v>
      </c>
      <c r="K10" s="43">
        <v>48048</v>
      </c>
      <c r="L10" s="139" t="s">
        <v>51</v>
      </c>
      <c r="M10" s="140">
        <f t="shared" si="0"/>
        <v>-362.73599999999999</v>
      </c>
      <c r="N10" s="141" t="str">
        <f>VLOOKUP(C10,'Trips&amp;Operators'!$C$1:$G$99999,5,FALSE)</f>
        <v>STORY SAMANTHA</v>
      </c>
      <c r="O10" s="190" t="s">
        <v>185</v>
      </c>
      <c r="P10" s="142" t="s">
        <v>1039</v>
      </c>
      <c r="Q10" s="30"/>
      <c r="R10" s="89" t="str">
        <f>IF(VLOOKUP(C10,'Train Runs'!$A$13:$AE$9938,1,1)=C10,VLOOKUP(C10,'Train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94" t="str">
        <f t="shared" si="1"/>
        <v>"C:\Program Files (x86)\AstroGrep\AstroGrep.exe" /e /r /s /spath="%USERPROFILE%\AppData\Local\Temp\OnboardLogs" /stypes="*4017*201704040*" /stext=" 03:.+((SYSTEM_STATE.+slice.+state.+changed )|(ment ac)|(multiple cpu faults)|(system.+state.+changed )|(\[timeout)|(PRM\|1\|D)|(kpr)|(kdp)|(\|lc)|(penalty))"</v>
      </c>
      <c r="U10" s="9" t="str">
        <f t="shared" si="2"/>
        <v>4017</v>
      </c>
      <c r="V10" s="32">
        <f t="shared" si="3"/>
        <v>42829.162708333337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arrival","project_id":79,"tracker_id":40,"status_id":1,"priority_id":2,"assigned_to_id":23,"start_date":"2017-04-03","description":"","custom_fields":[{"id":1,"name":"Subdivision","value":"EC"},{"id":4,"name":"Milepost","value":"4.8048"},{"id":17,"name":"Train ID","value":"228-03"},{"id":16,"name":"Locomotive ID","value":"4017"},{"id":130,"name":"Impact","value":""},{"id":150,"name":"Time of Event (Mountain Time)","value":"21:54:18"},{"id":151,"name":"Denver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"%USERPROFILE%\AppData\Local\Temp\OnboardLogs"\RTDC4017\*4017*201704040*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10" s="153" t="str">
        <f t="shared" si="9"/>
        <v>start /low /b %USERPROFILE%\Documents\GitHub\eaglep3\Utilities\DownloadLogsFromS3.py --loco 4017 --day 2017-04-04</v>
      </c>
    </row>
    <row r="11" spans="1:32" s="1" customFormat="1" x14ac:dyDescent="0.25">
      <c r="A11" s="32">
        <v>42828.370995370373</v>
      </c>
      <c r="B11" s="30" t="s">
        <v>393</v>
      </c>
      <c r="C11" s="30" t="s">
        <v>584</v>
      </c>
      <c r="D11" s="30" t="s">
        <v>49</v>
      </c>
      <c r="E11" s="30" t="s">
        <v>193</v>
      </c>
      <c r="F11" s="43">
        <v>550</v>
      </c>
      <c r="G11" s="43">
        <v>607</v>
      </c>
      <c r="H11" s="43">
        <v>49177</v>
      </c>
      <c r="I11" s="43">
        <v>46855</v>
      </c>
      <c r="J11" s="30" t="s">
        <v>194</v>
      </c>
      <c r="K11" s="43">
        <v>48048</v>
      </c>
      <c r="L11" s="139" t="s">
        <v>51</v>
      </c>
      <c r="M11" s="140">
        <f t="shared" si="0"/>
        <v>-629.904</v>
      </c>
      <c r="N11" s="141" t="str">
        <f>VLOOKUP(C11,'Trips&amp;Operators'!$C$1:$G$99999,5,FALSE)</f>
        <v>MAELZER KURT</v>
      </c>
      <c r="O11" s="190" t="s">
        <v>185</v>
      </c>
      <c r="P11" s="142" t="s">
        <v>1039</v>
      </c>
      <c r="Q11" s="30"/>
      <c r="R11" s="89" t="str">
        <f>IF(VLOOKUP(C11,'Train Runs'!$A$13:$AE$9938,1,1)=C11,VLOOKUP(C11,'Train Runs'!$A$13:$AE$9938,31,1),NA())</f>
        <v>aws s3 cp s3://rtdc.mdm.uploadarchive.raw/RTDC4043/ "%USERPROFILE%\AppData\Local\Temp\OnboardLogs"\RTDC4043\2017-04-03 --exclude "*" --recursive --include "*20170403*" &amp; "%USERPROFILE%\Documents\GitHub\mrs-test-scripts\Headless Mode &amp; Sideloading\WalkAndUnGZ.bat" "%USERPROFILE%\AppData\Local\Temp\OnboardLogs"\RTDC4043\2017-04-03 &amp; aws s3 cp s3://rtdc.mdm.uploadarchive.raw/RTDC4043/ "%USERPROFILE%\AppData\Local\Temp\OnboardLogs"\RTDC4043\2017-04-04 --exclude "*" --recursive --include "*20170404*" &amp; "%USERPROFILE%\Documents\GitHub\mrs-test-scripts\Headless Mode &amp; Sideloading\WalkAndUnGZ.bat" "%USERPROFILE%\AppData\Local\Temp\OnboardLogs"\RTDC4043\2017-04-04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 t="shared" si="1"/>
        <v>"C:\Program Files (x86)\AstroGrep\AstroGrep.exe" /e /r /s /spath="%USERPROFILE%\AppData\Local\Temp\OnboardLogs" /stypes="*4043*201704031*" /stext=" 14:.+((SYSTEM_STATE.+slice.+state.+changed )|(ment ac)|(multiple cpu faults)|(system.+state.+changed )|(\[timeout)|(PRM\|1\|D)|(kpr)|(kdp)|(\|lc)|(penalty))"</v>
      </c>
      <c r="U11" s="9" t="str">
        <f t="shared" si="2"/>
        <v>4043</v>
      </c>
      <c r="V11" s="32">
        <f t="shared" si="3"/>
        <v>42828.620995370373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arrival","project_id":79,"tracker_id":40,"status_id":1,"priority_id":2,"assigned_to_id":23,"start_date":"2017-04-03","description":"","custom_fields":[{"id":1,"name":"Subdivision","value":"EC"},{"id":4,"name":"Milepost","value":"4.8048"},{"id":17,"name":"Train ID","value":"132-03"},{"id":16,"name":"Locomotive ID","value":"4043"},{"id":130,"name":"Impact","value":""},{"id":150,"name":"Time of Event (Mountain Time)","value":"08:54:14"},{"id":151,"name":"Denver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"%USERPROFILE%\AppData\Local\Temp\OnboardLogs"\RTDC4043\*4043*201704031*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"%USERPROFILE%\AppData\Local\Temp\OnboardLogs"\RTDC4043\*4043*201704031* &gt;&gt; 2017-04-03-SliceDisagreementCheck.txt</v>
      </c>
      <c r="AE11" s="153" t="str">
        <f t="shared" si="9"/>
        <v>start /low /b %USERPROFILE%\Documents\GitHub\eaglep3\Utilities\DownloadLogsFromS3.py --loco 4043 --day 2017-04-03</v>
      </c>
    </row>
    <row r="12" spans="1:32" s="1" customFormat="1" x14ac:dyDescent="0.25">
      <c r="A12" s="32">
        <v>42828.457094907404</v>
      </c>
      <c r="B12" s="30" t="s">
        <v>201</v>
      </c>
      <c r="C12" s="30" t="s">
        <v>591</v>
      </c>
      <c r="D12" s="30" t="s">
        <v>49</v>
      </c>
      <c r="E12" s="30" t="s">
        <v>193</v>
      </c>
      <c r="F12" s="43">
        <v>430</v>
      </c>
      <c r="G12" s="43">
        <v>488</v>
      </c>
      <c r="H12" s="43">
        <v>57677</v>
      </c>
      <c r="I12" s="43">
        <v>59170</v>
      </c>
      <c r="J12" s="30" t="s">
        <v>194</v>
      </c>
      <c r="K12" s="43">
        <v>58783</v>
      </c>
      <c r="L12" s="139" t="s">
        <v>50</v>
      </c>
      <c r="M12" s="140">
        <f t="shared" si="0"/>
        <v>-204.33600000000001</v>
      </c>
      <c r="N12" s="141" t="str">
        <f>VLOOKUP(C12,'Trips&amp;Operators'!$C$1:$G$99999,5,FALSE)</f>
        <v>ROBINSON KADDIBA</v>
      </c>
      <c r="O12" s="190" t="s">
        <v>185</v>
      </c>
      <c r="P12" s="142" t="s">
        <v>1039</v>
      </c>
      <c r="Q12" s="30"/>
      <c r="R12" s="89" t="str">
        <f>IF(VLOOKUP(C12,'Train Runs'!$A$13:$AE$9938,1,1)=C12,VLOOKUP(C12,'Train Runs'!$A$13:$AE$9938,31,1),NA())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94" t="str">
        <f t="shared" si="1"/>
        <v>"C:\Program Files (x86)\AstroGrep\AstroGrep.exe" /e /r /s /spath="%USERPROFILE%\AppData\Local\Temp\OnboardLogs" /stypes="*4030*201704031*" /stext=" 16:.+((SYSTEM_STATE.+slice.+state.+changed )|(ment ac)|(multiple cpu faults)|(system.+state.+changed )|(\[timeout)|(PRM\|1\|D)|(kpr)|(kdp)|(\|lc)|(penalty))"</v>
      </c>
      <c r="U12" s="9" t="str">
        <f t="shared" si="2"/>
        <v>4030</v>
      </c>
      <c r="V12" s="32">
        <f t="shared" si="3"/>
        <v>42828.707094907404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arrival","project_id":79,"tracker_id":40,"status_id":1,"priority_id":2,"assigned_to_id":23,"start_date":"2017-04-03","description":"","custom_fields":[{"id":1,"name":"Subdivision","value":"EC"},{"id":4,"name":"Milepost","value":"5.8783"},{"id":17,"name":"Train ID","value":"157-03"},{"id":16,"name":"Locomotive ID","value":"4030"},{"id":130,"name":"Impact","value":""},{"id":150,"name":"Time of Event (Mountain Time)","value":"10:58:13"},{"id":151,"name":"Denver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"%USERPROFILE%\AppData\Local\Temp\OnboardLogs"\RTDC4030\*4030*201704031*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"%USERPROFILE%\AppData\Local\Temp\OnboardLogs"\RTDC4030\*4030*201704031* &gt;&gt; 2017-04-03-SliceDisagreementCheck.txt</v>
      </c>
      <c r="AE12" s="153" t="str">
        <f t="shared" si="9"/>
        <v>start /low /b %USERPROFILE%\Documents\GitHub\eaglep3\Utilities\DownloadLogsFromS3.py --loco 4030 --day 2017-04-03</v>
      </c>
    </row>
    <row r="13" spans="1:32" s="1" customFormat="1" x14ac:dyDescent="0.25">
      <c r="A13" s="32">
        <v>42828.582048611112</v>
      </c>
      <c r="B13" s="30" t="s">
        <v>480</v>
      </c>
      <c r="C13" s="30" t="s">
        <v>607</v>
      </c>
      <c r="D13" s="30" t="s">
        <v>49</v>
      </c>
      <c r="E13" s="30" t="s">
        <v>193</v>
      </c>
      <c r="F13" s="43">
        <v>230</v>
      </c>
      <c r="G13" s="43">
        <v>360</v>
      </c>
      <c r="H13" s="43">
        <v>62439</v>
      </c>
      <c r="I13" s="43">
        <v>63277</v>
      </c>
      <c r="J13" s="30" t="s">
        <v>194</v>
      </c>
      <c r="K13" s="43">
        <v>63069</v>
      </c>
      <c r="L13" s="139" t="s">
        <v>50</v>
      </c>
      <c r="M13" s="140">
        <f t="shared" si="0"/>
        <v>-109.824</v>
      </c>
      <c r="N13" s="141" t="str">
        <f>VLOOKUP(C13,'Trips&amp;Operators'!$C$1:$G$99999,5,FALSE)</f>
        <v>LOCKLEAR TRAVIS</v>
      </c>
      <c r="O13" s="190" t="s">
        <v>185</v>
      </c>
      <c r="P13" s="142" t="s">
        <v>1039</v>
      </c>
      <c r="Q13" s="30"/>
      <c r="R13" s="89" t="str">
        <f>IF(VLOOKUP(C13,'Train Runs'!$A$13:$AE$9938,1,1)=C13,VLOOKUP(C13,'Train Runs'!$A$13:$AE$9938,31,1),NA())</f>
        <v>aws s3 cp s3://rtdc.mdm.uploadarchive.raw/RTDC4052/ "%USERPROFILE%\AppData\Local\Temp\OnboardLogs"\RTDC4052\2017-04-03 --exclude "*" --recursive --include "*20170403*" &amp; "%USERPROFILE%\Documents\GitHub\mrs-test-scripts\Headless Mode &amp; Sideloading\WalkAndUnGZ.bat" "%USERPROFILE%\AppData\Local\Temp\OnboardLogs"\RTDC4052\2017-04-03 &amp; aws s3 cp s3://rtdc.mdm.uploadarchive.raw/RTDC4052/ "%USERPROFILE%\AppData\Local\Temp\OnboardLogs"\RTDC4052\2017-04-04 --exclude "*" --recursive --include "*20170404*" &amp; "%USERPROFILE%\Documents\GitHub\mrs-test-scripts\Headless Mode &amp; Sideloading\WalkAndUnGZ.bat" "%USERPROFILE%\AppData\Local\Temp\OnboardLogs"\RTDC4052\2017-04-04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-04-03T12:42:09-0600',mode:absolute,to:'2017-04-03T15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13" s="94" t="str">
        <f t="shared" si="1"/>
        <v>"C:\Program Files (x86)\AstroGrep\AstroGrep.exe" /e /r /s /spath="%USERPROFILE%\AppData\Local\Temp\OnboardLogs" /stypes="*4052*201704031*" /stext=" 19:.+((SYSTEM_STATE.+slice.+state.+changed )|(ment ac)|(multiple cpu faults)|(system.+state.+changed )|(\[timeout)|(PRM\|1\|D)|(kpr)|(kdp)|(\|lc)|(penalty))"</v>
      </c>
      <c r="U13" s="9" t="str">
        <f t="shared" si="2"/>
        <v>4052</v>
      </c>
      <c r="V13" s="32">
        <f t="shared" si="3"/>
        <v>42828.832048611112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arrival","project_id":79,"tracker_id":40,"status_id":1,"priority_id":2,"assigned_to_id":23,"start_date":"2017-04-03","description":"","custom_fields":[{"id":1,"name":"Subdivision","value":"EC"},{"id":4,"name":"Milepost","value":"6.3069"},{"id":17,"name":"Train ID","value":"181-03"},{"id":16,"name":"Locomotive ID","value":"4052"},{"id":130,"name":"Impact","value":""},{"id":150,"name":"Time of Event (Mountain Time)","value":"13:58:09"},{"id":151,"name":"Denver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"%USERPROFILE%\AppData\Local\Temp\OnboardLogs"\RTDC4052\*4052*201704031*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"%USERPROFILE%\AppData\Local\Temp\OnboardLogs"\RTDC4052\*4052*201704031* &gt;&gt; 2017-04-03-SliceDisagreementCheck.txt</v>
      </c>
      <c r="AE13" s="153" t="str">
        <f t="shared" si="9"/>
        <v>start /low /b %USERPROFILE%\Documents\GitHub\eaglep3\Utilities\DownloadLogsFromS3.py --loco 4052 --day 2017-04-03</v>
      </c>
    </row>
    <row r="14" spans="1:32" x14ac:dyDescent="0.25">
      <c r="A14" s="32">
        <v>42828.408032407409</v>
      </c>
      <c r="B14" s="30" t="s">
        <v>378</v>
      </c>
      <c r="C14" s="30" t="s">
        <v>588</v>
      </c>
      <c r="D14" s="30" t="s">
        <v>49</v>
      </c>
      <c r="E14" s="30" t="s">
        <v>193</v>
      </c>
      <c r="F14" s="43">
        <v>0</v>
      </c>
      <c r="G14" s="43">
        <v>90</v>
      </c>
      <c r="H14" s="43">
        <v>78063</v>
      </c>
      <c r="I14" s="43">
        <v>78169</v>
      </c>
      <c r="J14" s="30" t="s">
        <v>194</v>
      </c>
      <c r="K14" s="43">
        <v>78349</v>
      </c>
      <c r="L14" s="139" t="s">
        <v>50</v>
      </c>
      <c r="M14" s="140">
        <f t="shared" si="0"/>
        <v>95.04</v>
      </c>
      <c r="N14" s="141" t="str">
        <f>VLOOKUP(C14,'Trips&amp;Operators'!$C$1:$G$99999,5,FALSE)</f>
        <v>STARKS ANGELINA</v>
      </c>
      <c r="O14" s="190" t="s">
        <v>185</v>
      </c>
      <c r="P14" s="142" t="s">
        <v>1040</v>
      </c>
      <c r="Q14" s="30"/>
      <c r="R14" s="89" t="str">
        <f>IF(VLOOKUP(C14,'Train Runs'!$A$13:$AE$9938,1,1)=C14,VLOOKUP(C14,'Train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-04-03T08:24:30-0600',mode:absolute,to:'2017-04-03T11:09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4" s="94" t="str">
        <f t="shared" si="1"/>
        <v>"C:\Program Files (x86)\AstroGrep\AstroGrep.exe" /e /r /s /spath="%USERPROFILE%\AppData\Local\Temp\OnboardLogs" /stypes="*4028*201704031*" /stext=" 15:.+((SYSTEM_STATE.+slice.+state.+changed )|(ment ac)|(multiple cpu faults)|(system.+state.+changed )|(\[timeout)|(PRM\|1\|D)|(kpr)|(kdp)|(\|lc)|(penalty))"</v>
      </c>
      <c r="U14" s="9" t="str">
        <f t="shared" si="2"/>
        <v>4028</v>
      </c>
      <c r="V14" s="32">
        <f t="shared" si="3"/>
        <v>42828.658032407409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C","project_id":79,"tracker_id":40,"status_id":1,"priority_id":2,"assigned_to_id":23,"start_date":"2017-04-03","description":"","custom_fields":[{"id":1,"name":"Subdivision","value":"EC"},{"id":4,"name":"Milepost","value":"7.8349"},{"id":17,"name":"Train ID","value":"147-03"},{"id":16,"name":"Locomotive ID","value":"4028"},{"id":130,"name":"Impact","value":""},{"id":150,"name":"Time of Event (Mountain Time)","value":"09:47:34"},{"id":151,"name":"Denver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"%USERPROFILE%\AppData\Local\Temp\OnboardLogs"\RTDC4028\*4028*201704031*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14" s="153" t="str">
        <f t="shared" si="9"/>
        <v>start /low /b %USERPROFILE%\Documents\GitHub\eaglep3\Utilities\DownloadLogsFromS3.py --loco 4028 --day 2017-04-03</v>
      </c>
      <c r="AF14" s="1"/>
    </row>
    <row r="15" spans="1:32" x14ac:dyDescent="0.25">
      <c r="A15" s="32">
        <v>42828.388495370367</v>
      </c>
      <c r="B15" s="30" t="s">
        <v>523</v>
      </c>
      <c r="C15" s="30" t="s">
        <v>585</v>
      </c>
      <c r="D15" s="30" t="s">
        <v>49</v>
      </c>
      <c r="E15" s="30" t="s">
        <v>193</v>
      </c>
      <c r="F15" s="43">
        <v>0</v>
      </c>
      <c r="G15" s="43">
        <v>227</v>
      </c>
      <c r="H15" s="43">
        <v>79319</v>
      </c>
      <c r="I15" s="43">
        <v>78946</v>
      </c>
      <c r="J15" s="30" t="s">
        <v>194</v>
      </c>
      <c r="K15" s="43">
        <v>78469</v>
      </c>
      <c r="L15" s="139" t="s">
        <v>51</v>
      </c>
      <c r="M15" s="140">
        <f t="shared" si="0"/>
        <v>251.85599999999999</v>
      </c>
      <c r="N15" s="141" t="str">
        <f>VLOOKUP(C15,'Trips&amp;Operators'!$C$1:$G$99999,5,FALSE)</f>
        <v>FORTUNATO FRANK</v>
      </c>
      <c r="O15" s="190" t="s">
        <v>185</v>
      </c>
      <c r="P15" s="142" t="s">
        <v>1040</v>
      </c>
      <c r="Q15" s="30"/>
      <c r="R15" s="89" t="str">
        <f>IF(VLOOKUP(C15,'Train Runs'!$A$13:$AE$9938,1,1)=C15,VLOOKUP(C15,'Train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94" t="str">
        <f t="shared" si="1"/>
        <v>"C:\Program Files (x86)\AstroGrep\AstroGrep.exe" /e /r /s /spath="%USERPROFILE%\AppData\Local\Temp\OnboardLogs" /stypes="*4017*201704031*" /stext=" 15:.+((SYSTEM_STATE.+slice.+state.+changed )|(ment ac)|(multiple cpu faults)|(system.+state.+changed )|(\[timeout)|(PRM\|1\|D)|(kpr)|(kdp)|(\|lc)|(penalty))"</v>
      </c>
      <c r="U15" s="9" t="str">
        <f t="shared" si="2"/>
        <v>4017</v>
      </c>
      <c r="V15" s="32">
        <f t="shared" si="3"/>
        <v>42828.638495370367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C","project_id":79,"tracker_id":40,"status_id":1,"priority_id":2,"assigned_to_id":23,"start_date":"2017-04-03","description":"","custom_fields":[{"id":1,"name":"Subdivision","value":"EC"},{"id":4,"name":"Milepost","value":"7.8469"},{"id":17,"name":"Train ID","value":"136-03"},{"id":16,"name":"Locomotive ID","value":"4017"},{"id":130,"name":"Impact","value":""},{"id":150,"name":"Time of Event (Mountain Time)","value":"09:19:26"},{"id":151,"name":"Denver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"%USERPROFILE%\AppData\Local\Temp\OnboardLogs"\RTDC4017\*4017*201704031*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15" s="153" t="str">
        <f t="shared" si="9"/>
        <v>start /low /b %USERPROFILE%\Documents\GitHub\eaglep3\Utilities\DownloadLogsFromS3.py --loco 4017 --day 2017-04-03</v>
      </c>
      <c r="AF15" s="1"/>
    </row>
    <row r="16" spans="1:32" x14ac:dyDescent="0.25">
      <c r="A16" s="32">
        <v>42828.4612037037</v>
      </c>
      <c r="B16" s="30" t="s">
        <v>523</v>
      </c>
      <c r="C16" s="30" t="s">
        <v>592</v>
      </c>
      <c r="D16" s="30" t="s">
        <v>49</v>
      </c>
      <c r="E16" s="30" t="s">
        <v>193</v>
      </c>
      <c r="F16" s="43">
        <v>0</v>
      </c>
      <c r="G16" s="43">
        <v>258</v>
      </c>
      <c r="H16" s="43">
        <v>79539</v>
      </c>
      <c r="I16" s="43">
        <v>79107</v>
      </c>
      <c r="J16" s="30" t="s">
        <v>194</v>
      </c>
      <c r="K16" s="43">
        <v>78469</v>
      </c>
      <c r="L16" s="139" t="s">
        <v>51</v>
      </c>
      <c r="M16" s="140">
        <f t="shared" si="0"/>
        <v>336.86399999999998</v>
      </c>
      <c r="N16" s="141" t="str">
        <f>VLOOKUP(C16,'Trips&amp;Operators'!$C$1:$G$99999,5,FALSE)</f>
        <v>FORTUNATO FRANK</v>
      </c>
      <c r="O16" s="190" t="s">
        <v>185</v>
      </c>
      <c r="P16" s="142" t="s">
        <v>1040</v>
      </c>
      <c r="Q16" s="30"/>
      <c r="R16" s="89" t="str">
        <f>IF(VLOOKUP(C16,'Train Runs'!$A$13:$AE$9938,1,1)=C16,VLOOKUP(C16,'Train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-04-03T09:29:25-0600',mode:absolute,to:'2017-04-03T12:26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6" s="94" t="str">
        <f t="shared" si="1"/>
        <v>"C:\Program Files (x86)\AstroGrep\AstroGrep.exe" /e /r /s /spath="%USERPROFILE%\AppData\Local\Temp\OnboardLogs" /stypes="*4017*201704031*" /stext=" 17:.+((SYSTEM_STATE.+slice.+state.+changed )|(ment ac)|(multiple cpu faults)|(system.+state.+changed )|(\[timeout)|(PRM\|1\|D)|(kpr)|(kdp)|(\|lc)|(penalty))"</v>
      </c>
      <c r="U16" s="9" t="str">
        <f t="shared" si="2"/>
        <v>4017</v>
      </c>
      <c r="V16" s="32">
        <f t="shared" si="3"/>
        <v>42828.7112037037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{"issue":{"subject":"Form C","project_id":79,"tracker_id":40,"status_id":1,"priority_id":2,"assigned_to_id":23,"start_date":"2017-04-03","description":"","custom_fields":[{"id":1,"name":"Subdivision","value":"EC"},{"id":4,"name":"Milepost","value":"7.8469"},{"id":17,"name":"Train ID","value":"150-03"},{"id":16,"name":"Locomotive ID","value":"4017"},{"id":130,"name":"Impact","value":""},{"id":150,"name":"Time of Event (Mountain Time)","value":"11:04:08"},{"id":151,"name":"Denver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"%USERPROFILE%\AppData\Local\Temp\OnboardLogs"\RTDC4017\*4017*201704031*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16" s="153" t="str">
        <f t="shared" si="9"/>
        <v>start /low /b %USERPROFILE%\Documents\GitHub\eaglep3\Utilities\DownloadLogsFromS3.py --loco 4017 --day 2017-04-03</v>
      </c>
      <c r="AF16" s="1"/>
    </row>
    <row r="17" spans="1:32" x14ac:dyDescent="0.25">
      <c r="A17" s="32">
        <v>42828.233668981484</v>
      </c>
      <c r="B17" s="30" t="s">
        <v>572</v>
      </c>
      <c r="C17" s="30" t="s">
        <v>573</v>
      </c>
      <c r="D17" s="30" t="s">
        <v>49</v>
      </c>
      <c r="E17" s="30" t="s">
        <v>193</v>
      </c>
      <c r="F17" s="43">
        <v>580</v>
      </c>
      <c r="G17" s="43">
        <v>644</v>
      </c>
      <c r="H17" s="43">
        <v>80203</v>
      </c>
      <c r="I17" s="43">
        <v>77212</v>
      </c>
      <c r="J17" s="30" t="s">
        <v>194</v>
      </c>
      <c r="K17" s="43">
        <v>78469</v>
      </c>
      <c r="L17" s="139" t="s">
        <v>51</v>
      </c>
      <c r="M17" s="140">
        <f t="shared" si="0"/>
        <v>-663.69600000000003</v>
      </c>
      <c r="N17" s="141" t="str">
        <f>VLOOKUP(C17,'Trips&amp;Operators'!$C$1:$G$99999,5,FALSE)</f>
        <v>STARKS ANGELINA</v>
      </c>
      <c r="O17" s="190" t="s">
        <v>185</v>
      </c>
      <c r="P17" s="142" t="s">
        <v>1039</v>
      </c>
      <c r="Q17" s="30"/>
      <c r="R17" s="89" t="str">
        <f>IF(VLOOKUP(C17,'Train Runs'!$A$13:$AE$9938,1,1)=C17,VLOOKUP(C17,'Train Runs'!$A$13:$AE$9938,31,1),NA())</f>
        <v>aws s3 cp s3://rtdc.mdm.uploadarchive.raw/RTDC4041/ "%USERPROFILE%\AppData\Local\Temp\OnboardLogs"\RTDC4041\2017-04-03 --exclude "*" --recursive --include "*20170403*" &amp; "%USERPROFILE%\Documents\GitHub\mrs-test-scripts\Headless Mode &amp; Sideloading\WalkAndUnGZ.bat" "%USERPROFILE%\AppData\Local\Temp\OnboardLogs"\RTDC4041\2017-04-03 &amp; aws s3 cp s3://rtdc.mdm.uploadarchive.raw/RTDC4041/ "%USERPROFILE%\AppData\Local\Temp\OnboardLogs"\RTDC4041\2017-04-04 --exclude "*" --recursive --include "*20170404*" &amp; "%USERPROFILE%\Documents\GitHub\mrs-test-scripts\Headless Mode &amp; Sideloading\WalkAndUnGZ.bat" "%USERPROFILE%\AppData\Local\Temp\OnboardLogs"\RTDC4041\2017-04-04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-04-03T04:06:51-0600',mode:absolute,to:'2017-04-03T06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7" s="94" t="str">
        <f t="shared" si="1"/>
        <v>"C:\Program Files (x86)\AstroGrep\AstroGrep.exe" /e /r /s /spath="%USERPROFILE%\AppData\Local\Temp\OnboardLogs" /stypes="*4041*201704031*" /stext=" 11:.+((SYSTEM_STATE.+slice.+state.+changed )|(ment ac)|(multiple cpu faults)|(system.+state.+changed )|(\[timeout)|(PRM\|1\|D)|(kpr)|(kdp)|(\|lc)|(penalty))"</v>
      </c>
      <c r="U17" s="9" t="str">
        <f t="shared" si="2"/>
        <v>4041</v>
      </c>
      <c r="V17" s="32">
        <f t="shared" si="3"/>
        <v>42828.483668981484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arrival","project_id":79,"tracker_id":40,"status_id":1,"priority_id":2,"assigned_to_id":23,"start_date":"2017-04-03","description":"","custom_fields":[{"id":1,"name":"Subdivision","value":"EC"},{"id":4,"name":"Milepost","value":"7.8469"},{"id":17,"name":"Train ID","value":"106-03"},{"id":16,"name":"Locomotive ID","value":"4041"},{"id":130,"name":"Impact","value":""},{"id":150,"name":"Time of Event (Mountain Time)","value":"05:36:29"},{"id":151,"name":"Denver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"%USERPROFILE%\AppData\Local\Temp\OnboardLogs"\RTDC4041\*4041*201704031*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"%USERPROFILE%\AppData\Local\Temp\OnboardLogs"\RTDC4041\*4041*201704031* &gt;&gt; 2017-04-03-SliceDisagreementCheck.txt</v>
      </c>
      <c r="AE17" s="153" t="str">
        <f t="shared" si="9"/>
        <v>start /low /b %USERPROFILE%\Documents\GitHub\eaglep3\Utilities\DownloadLogsFromS3.py --loco 4041 --day 2017-04-03</v>
      </c>
      <c r="AF17" s="1"/>
    </row>
    <row r="18" spans="1:32" ht="15" customHeight="1" x14ac:dyDescent="0.25">
      <c r="A18" s="32">
        <v>42828.489120370374</v>
      </c>
      <c r="B18" s="30" t="s">
        <v>593</v>
      </c>
      <c r="C18" s="30" t="s">
        <v>594</v>
      </c>
      <c r="D18" s="30" t="s">
        <v>49</v>
      </c>
      <c r="E18" s="30" t="s">
        <v>193</v>
      </c>
      <c r="F18" s="43">
        <v>0</v>
      </c>
      <c r="G18" s="43">
        <v>597</v>
      </c>
      <c r="H18" s="43">
        <v>104389</v>
      </c>
      <c r="I18" s="43">
        <v>102202</v>
      </c>
      <c r="J18" s="30" t="s">
        <v>194</v>
      </c>
      <c r="K18" s="43">
        <v>103800</v>
      </c>
      <c r="L18" s="139" t="s">
        <v>51</v>
      </c>
      <c r="M18" s="140">
        <f t="shared" si="0"/>
        <v>-843.74400000000003</v>
      </c>
      <c r="N18" s="141" t="str">
        <f>VLOOKUP(C18,'Trips&amp;Operators'!$C$1:$G$99999,5,FALSE)</f>
        <v>DAVIS WENDY</v>
      </c>
      <c r="O18" s="190" t="s">
        <v>185</v>
      </c>
      <c r="P18" s="142" t="s">
        <v>1039</v>
      </c>
      <c r="Q18" s="30"/>
      <c r="R18" s="89" t="str">
        <f>IF(VLOOKUP(C18,'Train Runs'!$A$13:$AE$9938,1,1)=C18,VLOOKUP(C18,'Train Runs'!$A$13:$AE$9938,31,1),NA())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-04-03T10:18:36-0600',mode:absolute,to:'2017-04-03T13:08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94" t="str">
        <f t="shared" si="1"/>
        <v>"C:\Program Files (x86)\AstroGrep\AstroGrep.exe" /e /r /s /spath="%USERPROFILE%\AppData\Local\Temp\OnboardLogs" /stypes="*4003*201704031*" /stext=" 17:.+((SYSTEM_STATE.+slice.+state.+changed )|(ment ac)|(multiple cpu faults)|(system.+state.+changed )|(\[timeout)|(PRM\|1\|D)|(kpr)|(kdp)|(\|lc)|(penalty))"</v>
      </c>
      <c r="U18" s="9" t="str">
        <f t="shared" si="2"/>
        <v>4003</v>
      </c>
      <c r="V18" s="32">
        <f t="shared" si="3"/>
        <v>42828.739120370374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arrival","project_id":79,"tracker_id":40,"status_id":1,"priority_id":2,"assigned_to_id":23,"start_date":"2017-04-03","description":"","custom_fields":[{"id":1,"name":"Subdivision","value":"EC"},{"id":4,"name":"Milepost","value":"10.38"},{"id":17,"name":"Train ID","value":"156-03"},{"id":16,"name":"Locomotive ID","value":"4003"},{"id":130,"name":"Impact","value":""},{"id":150,"name":"Time of Event (Mountain Time)","value":"11:44:20"},{"id":151,"name":"Denver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"%USERPROFILE%\AppData\Local\Temp\OnboardLogs"\RTDC4003\*4003*201704031*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"%USERPROFILE%\AppData\Local\Temp\OnboardLogs"\RTDC4003\*4003*201704031* &gt;&gt; 2017-04-03-SliceDisagreementCheck.txt</v>
      </c>
      <c r="AE18" s="153" t="str">
        <f t="shared" si="9"/>
        <v>start /low /b %USERPROFILE%\Documents\GitHub\eaglep3\Utilities\DownloadLogsFromS3.py --loco 4003 --day 2017-04-03</v>
      </c>
      <c r="AF18" s="1"/>
    </row>
    <row r="19" spans="1:32" x14ac:dyDescent="0.25">
      <c r="A19" s="32">
        <v>42828.551099537035</v>
      </c>
      <c r="B19" s="30" t="s">
        <v>451</v>
      </c>
      <c r="C19" s="30" t="s">
        <v>604</v>
      </c>
      <c r="D19" s="30" t="s">
        <v>49</v>
      </c>
      <c r="E19" s="30" t="s">
        <v>193</v>
      </c>
      <c r="F19" s="43">
        <v>400</v>
      </c>
      <c r="G19" s="43">
        <v>465</v>
      </c>
      <c r="H19" s="43">
        <v>110173</v>
      </c>
      <c r="I19" s="43">
        <v>108572</v>
      </c>
      <c r="J19" s="30" t="s">
        <v>194</v>
      </c>
      <c r="K19" s="43">
        <v>109135</v>
      </c>
      <c r="L19" s="139" t="s">
        <v>51</v>
      </c>
      <c r="M19" s="140">
        <f t="shared" si="0"/>
        <v>-297.26400000000001</v>
      </c>
      <c r="N19" s="141" t="str">
        <f>VLOOKUP(C19,'Trips&amp;Operators'!$C$1:$G$99999,5,FALSE)</f>
        <v>LOCKLEAR TRAVIS</v>
      </c>
      <c r="O19" s="190" t="s">
        <v>185</v>
      </c>
      <c r="P19" s="142" t="s">
        <v>1039</v>
      </c>
      <c r="Q19" s="30"/>
      <c r="R19" s="89" t="str">
        <f>IF(VLOOKUP(C19,'Train Runs'!$A$13:$AE$9938,1,1)=C19,VLOOKUP(C19,'Train Runs'!$A$13:$AE$9938,31,1),NA())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-04-03T11:53:57-0600',mode:absolute,to:'2017-04-03T14:38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9" s="94" t="str">
        <f t="shared" si="1"/>
        <v>"C:\Program Files (x86)\AstroGrep\AstroGrep.exe" /e /r /s /spath="%USERPROFILE%\AppData\Local\Temp\OnboardLogs" /stypes="*4051*201704031*" /stext=" 19:.+((SYSTEM_STATE.+slice.+state.+changed )|(ment ac)|(multiple cpu faults)|(system.+state.+changed )|(\[timeout)|(PRM\|1\|D)|(kpr)|(kdp)|(\|lc)|(penalty))"</v>
      </c>
      <c r="U19" s="9" t="str">
        <f t="shared" si="2"/>
        <v>4051</v>
      </c>
      <c r="V19" s="32">
        <f t="shared" si="3"/>
        <v>42828.801099537035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arrival","project_id":79,"tracker_id":40,"status_id":1,"priority_id":2,"assigned_to_id":23,"start_date":"2017-04-03","description":"","custom_fields":[{"id":1,"name":"Subdivision","value":"EC"},{"id":4,"name":"Milepost","value":"10.9135"},{"id":17,"name":"Train ID","value":"168-03"},{"id":16,"name":"Locomotive ID","value":"4051"},{"id":130,"name":"Impact","value":""},{"id":150,"name":"Time of Event (Mountain Time)","value":"13:13:35"},{"id":151,"name":"Denver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"%USERPROFILE%\AppData\Local\Temp\OnboardLogs"\RTDC4051\*4051*201704031*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"%USERPROFILE%\AppData\Local\Temp\OnboardLogs"\RTDC4051\*4051*201704031* &gt;&gt; 2017-04-03-SliceDisagreementCheck.txt</v>
      </c>
      <c r="AE19" s="153" t="str">
        <f t="shared" si="9"/>
        <v>start /low /b %USERPROFILE%\Documents\GitHub\eaglep3\Utilities\DownloadLogsFromS3.py --loco 4051 --day 2017-04-03</v>
      </c>
      <c r="AF19" s="1"/>
    </row>
    <row r="20" spans="1:32" x14ac:dyDescent="0.25">
      <c r="A20" s="32">
        <v>42828.614027777781</v>
      </c>
      <c r="B20" s="30" t="s">
        <v>599</v>
      </c>
      <c r="C20" s="30" t="s">
        <v>608</v>
      </c>
      <c r="D20" s="30" t="s">
        <v>49</v>
      </c>
      <c r="E20" s="30" t="s">
        <v>193</v>
      </c>
      <c r="F20" s="43">
        <v>410</v>
      </c>
      <c r="G20" s="43">
        <v>475</v>
      </c>
      <c r="H20" s="43">
        <v>110196</v>
      </c>
      <c r="I20" s="43">
        <v>108940</v>
      </c>
      <c r="J20" s="30" t="s">
        <v>194</v>
      </c>
      <c r="K20" s="43">
        <v>109135</v>
      </c>
      <c r="L20" s="139" t="s">
        <v>51</v>
      </c>
      <c r="M20" s="140">
        <f t="shared" si="0"/>
        <v>-102.96</v>
      </c>
      <c r="N20" s="141" t="str">
        <f>VLOOKUP(C20,'Trips&amp;Operators'!$C$1:$G$99999,5,FALSE)</f>
        <v>WILLIAMS DONTE</v>
      </c>
      <c r="O20" s="190" t="s">
        <v>185</v>
      </c>
      <c r="P20" s="142" t="s">
        <v>1039</v>
      </c>
      <c r="Q20" s="30"/>
      <c r="R20" s="89" t="str">
        <f>IF(VLOOKUP(C20,'Train Runs'!$A$13:$AE$9938,1,1)=C20,VLOOKUP(C20,'Train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0" s="94" t="str">
        <f t="shared" si="1"/>
        <v>"C:\Program Files (x86)\AstroGrep\AstroGrep.exe" /e /r /s /spath="%USERPROFILE%\AppData\Local\Temp\OnboardLogs" /stypes="*4007*201704032*" /stext=" 20:.+((SYSTEM_STATE.+slice.+state.+changed )|(ment ac)|(multiple cpu faults)|(system.+state.+changed )|(\[timeout)|(PRM\|1\|D)|(kpr)|(kdp)|(\|lc)|(penalty))"</v>
      </c>
      <c r="U20" s="9" t="str">
        <f t="shared" si="2"/>
        <v>4007</v>
      </c>
      <c r="V20" s="32">
        <f t="shared" si="3"/>
        <v>42828.864027777781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{"issue":{"subject":"Early arrival","project_id":79,"tracker_id":40,"status_id":1,"priority_id":2,"assigned_to_id":23,"start_date":"2017-04-03","description":"","custom_fields":[{"id":1,"name":"Subdivision","value":"EC"},{"id":4,"name":"Milepost","value":"10.9135"},{"id":17,"name":"Train ID","value":"180-03"},{"id":16,"name":"Locomotive ID","value":"4007"},{"id":130,"name":"Impact","value":""},{"id":150,"name":"Time of Event (Mountain Time)","value":"14:44:12"},{"id":151,"name":"Denver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"%USERPROFILE%\AppData\Local\Temp\OnboardLogs"\RTDC4007\*4007*201704032*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"%USERPROFILE%\AppData\Local\Temp\OnboardLogs"\RTDC4007\*4007*201704032* &gt;&gt; 2017-04-03-SliceDisagreementCheck.txt</v>
      </c>
      <c r="AE20" s="153" t="str">
        <f t="shared" si="9"/>
        <v>start /low /b %USERPROFILE%\Documents\GitHub\eaglep3\Utilities\DownloadLogsFromS3.py --loco 4007 --day 2017-04-03</v>
      </c>
      <c r="AF20" s="1"/>
    </row>
    <row r="21" spans="1:32" x14ac:dyDescent="0.25">
      <c r="A21" s="32">
        <v>42828.751284722224</v>
      </c>
      <c r="B21" s="30" t="s">
        <v>392</v>
      </c>
      <c r="C21" s="30" t="s">
        <v>615</v>
      </c>
      <c r="D21" s="30" t="s">
        <v>98</v>
      </c>
      <c r="E21" s="30" t="s">
        <v>215</v>
      </c>
      <c r="F21" s="43">
        <v>150</v>
      </c>
      <c r="G21" s="43">
        <v>201</v>
      </c>
      <c r="H21" s="43">
        <v>3473</v>
      </c>
      <c r="I21" s="43">
        <v>3807</v>
      </c>
      <c r="J21" s="30" t="s">
        <v>216</v>
      </c>
      <c r="K21" s="43">
        <v>0</v>
      </c>
      <c r="L21" s="139" t="s">
        <v>50</v>
      </c>
      <c r="M21" s="140">
        <f t="shared" si="0"/>
        <v>-2010.096</v>
      </c>
      <c r="N21" s="141" t="str">
        <f>VLOOKUP(C21,'Trips&amp;Operators'!$C$1:$G$99999,5,FALSE)</f>
        <v>BRANDNER MELINDA</v>
      </c>
      <c r="O21" s="190" t="s">
        <v>185</v>
      </c>
      <c r="P21" s="142"/>
      <c r="Q21" s="30"/>
      <c r="R21" s="89" t="str">
        <f>IF(VLOOKUP(C21,'Train Runs'!$A$13:$AE$9938,1,1)=C21,VLOOKUP(C21,'Train Runs'!$A$13:$AE$9938,31,1),NA())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-04-03T16:55:44-0600',mode:absolute,to:'2017-04-03T19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1" s="94" t="str">
        <f t="shared" si="1"/>
        <v>"C:\Program Files (x86)\AstroGrep\AstroGrep.exe" /e /r /s /spath="%USERPROFILE%\AppData\Local\Temp\OnboardLogs" /stypes="*4044*201704040*" /stext=" 00:.+((SYSTEM_STATE.+slice.+state.+changed )|(ment ac)|(multiple cpu faults)|(system.+state.+changed )|(\[timeout)|(PRM\|1\|D)|(kpr)|(kdp)|(\|lc)|(penalty))"</v>
      </c>
      <c r="U21" s="9" t="str">
        <f t="shared" si="2"/>
        <v>4044</v>
      </c>
      <c r="V21" s="32">
        <f t="shared" si="3"/>
        <v>42829.001284722224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{"issue":{"subject":"","project_id":79,"tracker_id":40,"status_id":1,"priority_id":2,"assigned_to_id":23,"start_date":"2017-04-03","description":"","custom_fields":[{"id":1,"name":"Subdivision","value":"EC"},{"id":4,"name":"Milepost","value":"0"},{"id":17,"name":"Train ID","value":"215-03"},{"id":16,"name":"Locomotive ID","value":"4044"},{"id":130,"name":"Impact","value":""},{"id":150,"name":"Time of Event (Mountain Time)","value":"18:01:51"},{"id":151,"name":"Denver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"%USERPROFILE%\AppData\Local\Temp\OnboardLogs"\RTDC4044\*4044*201704040*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"%USERPROFILE%\AppData\Local\Temp\OnboardLogs"\RTDC4044\*4044*201704040* &gt;&gt; 2017-04-03-SliceDisagreementCheck.txt</v>
      </c>
      <c r="AE21" s="153" t="str">
        <f t="shared" si="9"/>
        <v>start /low /b %USERPROFILE%\Documents\GitHub\eaglep3\Utilities\DownloadLogsFromS3.py --loco 4044 --day 2017-04-04</v>
      </c>
      <c r="AF21" s="1"/>
    </row>
    <row r="22" spans="1:32" x14ac:dyDescent="0.25">
      <c r="A22" s="32">
        <v>42828.45039351852</v>
      </c>
      <c r="B22" s="30" t="s">
        <v>201</v>
      </c>
      <c r="C22" s="30" t="s">
        <v>591</v>
      </c>
      <c r="D22" s="30" t="s">
        <v>49</v>
      </c>
      <c r="E22" s="30" t="s">
        <v>215</v>
      </c>
      <c r="F22" s="43">
        <v>400</v>
      </c>
      <c r="G22" s="43">
        <v>489</v>
      </c>
      <c r="H22" s="43">
        <v>17009</v>
      </c>
      <c r="I22" s="43">
        <v>17745</v>
      </c>
      <c r="J22" s="30" t="s">
        <v>216</v>
      </c>
      <c r="K22" s="43">
        <v>17867</v>
      </c>
      <c r="L22" s="139" t="s">
        <v>50</v>
      </c>
      <c r="M22" s="140">
        <f t="shared" si="0"/>
        <v>64.415999999999997</v>
      </c>
      <c r="N22" s="141" t="str">
        <f>VLOOKUP(C22,'Trips&amp;Operators'!$C$1:$G$99999,5,FALSE)</f>
        <v>ROBINSON KADDIBA</v>
      </c>
      <c r="O22" s="190" t="s">
        <v>185</v>
      </c>
      <c r="P22" s="142"/>
      <c r="Q22" s="30"/>
      <c r="R22" s="89" t="str">
        <f>IF(VLOOKUP(C22,'Train Runs'!$A$13:$AE$9938,1,1)=C22,VLOOKUP(C22,'Train Runs'!$A$13:$AE$9938,31,1),NA())</f>
        <v>aws s3 cp s3://rtdc.mdm.uploadarchive.raw/RTDC4030/ "%USERPROFILE%\AppData\Local\Temp\OnboardLogs"\RTDC4030\2017-04-03 --exclude "*" --recursive --include "*20170403*" &amp; "%USERPROFILE%\Documents\GitHub\mrs-test-scripts\Headless Mode &amp; Sideloading\WalkAndUnGZ.bat" "%USERPROFILE%\AppData\Local\Temp\OnboardLogs"\RTDC4030\2017-04-03 &amp; aws s3 cp s3://rtdc.mdm.uploadarchive.raw/RTDC4030/ "%USERPROFILE%\AppData\Local\Temp\OnboardLogs"\RTDC4030\2017-04-04 --exclude "*" --recursive --include "*20170404*" &amp; "%USERPROFILE%\Documents\GitHub\mrs-test-scripts\Headless Mode &amp; Sideloading\WalkAndUnGZ.bat" "%USERPROFILE%\AppData\Local\Temp\OnboardLogs"\RTDC4030\2017-04-04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-04-03T09:40:19-0600',mode:absolute,to:'2017-04-03T12:24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/stypes="*4030*201704031*" /stext=" 16:.+((SYSTEM_STATE.+slice.+state.+changed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42828.70039351852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{"issue":{"subject":"","project_id":79,"tracker_id":40,"status_id":1,"priority_id":2,"assigned_to_id":23,"start_date":"2017-04-03","description":"","custom_fields":[{"id":1,"name":"Subdivision","value":"EC"},{"id":4,"name":"Milepost","value":"1.7867"},{"id":17,"name":"Train ID","value":"157-03"},{"id":16,"name":"Locomotive ID","value":"4030"},{"id":130,"name":"Impact","value":""},{"id":150,"name":"Time of Event (Mountain Time)","value":"10:48:34"},{"id":151,"name":"Denver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"%USERPROFILE%\AppData\Local\Temp\OnboardLogs"\RTDC4030\*4030*201704031*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"%USERPROFILE%\AppData\Local\Temp\OnboardLogs"\RTDC4030\*4030*201704031* &gt;&gt; 2017-04-03-SliceDisagreementCheck.txt</v>
      </c>
      <c r="AE22" s="153" t="str">
        <f t="shared" si="9"/>
        <v>start /low /b %USERPROFILE%\Documents\GitHub\eaglep3\Utilities\DownloadLogsFromS3.py --loco 4030 --day 2017-04-03</v>
      </c>
      <c r="AF22" s="1"/>
    </row>
    <row r="23" spans="1:32" x14ac:dyDescent="0.25">
      <c r="A23" s="32">
        <v>42828.573159722226</v>
      </c>
      <c r="B23" s="30" t="s">
        <v>593</v>
      </c>
      <c r="C23" s="30" t="s">
        <v>605</v>
      </c>
      <c r="D23" s="30" t="s">
        <v>49</v>
      </c>
      <c r="E23" s="30" t="s">
        <v>215</v>
      </c>
      <c r="F23" s="43">
        <v>300</v>
      </c>
      <c r="G23" s="43">
        <v>360</v>
      </c>
      <c r="H23" s="43">
        <v>22831</v>
      </c>
      <c r="I23" s="43">
        <v>21774</v>
      </c>
      <c r="J23" s="30" t="s">
        <v>216</v>
      </c>
      <c r="K23" s="43">
        <v>21848</v>
      </c>
      <c r="L23" s="139" t="s">
        <v>51</v>
      </c>
      <c r="M23" s="140">
        <f t="shared" si="0"/>
        <v>-39.072000000000003</v>
      </c>
      <c r="N23" s="141" t="str">
        <f>VLOOKUP(C23,'Trips&amp;Operators'!$C$1:$G$99999,5,FALSE)</f>
        <v>SULLIVAN BRANDON</v>
      </c>
      <c r="O23" s="190" t="s">
        <v>185</v>
      </c>
      <c r="P23" s="142"/>
      <c r="Q23" s="30"/>
      <c r="R23" s="89" t="str">
        <f>IF(VLOOKUP(C23,'Train Runs'!$A$13:$AE$9938,1,1)=C23,VLOOKUP(C23,'Train Runs'!$A$13:$AE$9938,31,1),NA())</f>
        <v>aws s3 cp s3://rtdc.mdm.uploadarchive.raw/RTDC4003/ "%USERPROFILE%\AppData\Local\Temp\OnboardLogs"\RTDC4003\2017-04-03 --exclude "*" --recursive --include "*20170403*" &amp; "%USERPROFILE%\Documents\GitHub\mrs-test-scripts\Headless Mode &amp; Sideloading\WalkAndUnGZ.bat" "%USERPROFILE%\AppData\Local\Temp\OnboardLogs"\RTDC4003\2017-04-03 &amp; aws s3 cp s3://rtdc.mdm.uploadarchive.raw/RTDC4003/ "%USERPROFILE%\AppData\Local\Temp\OnboardLogs"\RTDC4003\2017-04-04 --exclude "*" --recursive --include "*20170404*" &amp; "%USERPROFILE%\Documents\GitHub\mrs-test-scripts\Headless Mode &amp; Sideloading\WalkAndUnGZ.bat" "%USERPROFILE%\AppData\Local\Temp\OnboardLogs"\RTDC4003\2017-04-04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-04-03T12:02:22-0600',mode:absolute,to:'2017-04-03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/e /r /s /spath="%USERPROFILE%\AppData\Local\Temp\OnboardLogs" /stypes="*4003*201704031*" /stext=" 19:.+((SYSTEM_STATE.+slice.+state.+changed )|(ment ac)|(multiple cpu faults)|(system.+state.+changed )|(\[timeout)|(PRM\|1\|D)|(kpr)|(kdp)|(\|lc)|(penalty))"</v>
      </c>
      <c r="U23" s="9" t="str">
        <f t="shared" si="2"/>
        <v>4003</v>
      </c>
      <c r="V23" s="32">
        <f t="shared" si="3"/>
        <v>42828.823159722226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{"issue":{"subject":"","project_id":79,"tracker_id":40,"status_id":1,"priority_id":2,"assigned_to_id":23,"start_date":"2017-04-03","description":"","custom_fields":[{"id":1,"name":"Subdivision","value":"EC"},{"id":4,"name":"Milepost","value":"2.1848"},{"id":17,"name":"Train ID","value":"170-03"},{"id":16,"name":"Locomotive ID","value":"4003"},{"id":130,"name":"Impact","value":""},{"id":150,"name":"Time of Event (Mountain Time)","value":"13:45:21"},{"id":151,"name":"Denver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"%USERPROFILE%\AppData\Local\Temp\OnboardLogs"\RTDC4003\*4003*201704031*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"%USERPROFILE%\AppData\Local\Temp\OnboardLogs"\RTDC4003\*4003*201704031* &gt;&gt; 2017-04-03-SliceDisagreementCheck.txt</v>
      </c>
      <c r="AE23" s="153" t="str">
        <f t="shared" si="9"/>
        <v>start /low /b %USERPROFILE%\Documents\GitHub\eaglep3\Utilities\DownloadLogsFromS3.py --loco 4003 --day 2017-04-03</v>
      </c>
      <c r="AF23" s="1"/>
    </row>
    <row r="24" spans="1:32" x14ac:dyDescent="0.25">
      <c r="A24" s="32">
        <v>42828.999374999999</v>
      </c>
      <c r="B24" s="30" t="s">
        <v>523</v>
      </c>
      <c r="C24" s="30" t="s">
        <v>624</v>
      </c>
      <c r="D24" s="30" t="s">
        <v>49</v>
      </c>
      <c r="E24" s="30" t="s">
        <v>215</v>
      </c>
      <c r="F24" s="43">
        <v>300</v>
      </c>
      <c r="G24" s="43">
        <v>490</v>
      </c>
      <c r="H24" s="43">
        <v>24754</v>
      </c>
      <c r="I24" s="43">
        <v>23271</v>
      </c>
      <c r="J24" s="30" t="s">
        <v>216</v>
      </c>
      <c r="K24" s="43">
        <v>21848</v>
      </c>
      <c r="L24" s="139" t="s">
        <v>51</v>
      </c>
      <c r="M24" s="140">
        <f t="shared" si="0"/>
        <v>751.34400000000005</v>
      </c>
      <c r="N24" s="141" t="str">
        <f>VLOOKUP(C24,'Trips&amp;Operators'!$C$1:$G$99999,5,FALSE)</f>
        <v>STORY SAMANTHA</v>
      </c>
      <c r="O24" s="190" t="s">
        <v>185</v>
      </c>
      <c r="P24" s="142"/>
      <c r="Q24" s="30"/>
      <c r="R24" s="89" t="str">
        <f>IF(VLOOKUP(C24,'Train Runs'!$A$13:$AE$9938,1,1)=C24,VLOOKUP(C24,'Train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4" s="94" t="str">
        <f t="shared" si="1"/>
        <v>"C:\Program Files (x86)\AstroGrep\AstroGrep.exe" /e /r /s /spath="%USERPROFILE%\AppData\Local\Temp\OnboardLogs" /stypes="*4017*201704040*" /stext=" 05:.+((SYSTEM_STATE.+slice.+state.+changed )|(ment ac)|(multiple cpu faults)|(system.+state.+changed )|(\[timeout)|(PRM\|1\|D)|(kpr)|(kdp)|(\|lc)|(penalty))"</v>
      </c>
      <c r="U24" s="9" t="str">
        <f t="shared" si="2"/>
        <v>4017</v>
      </c>
      <c r="V24" s="32">
        <f t="shared" si="3"/>
        <v>42829.249374999999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{"issue":{"subject":"","project_id":79,"tracker_id":40,"status_id":1,"priority_id":2,"assigned_to_id":23,"start_date":"2017-04-03","description":"","custom_fields":[{"id":1,"name":"Subdivision","value":"EC"},{"id":4,"name":"Milepost","value":"2.1848"},{"id":17,"name":"Train ID","value":"236-03"},{"id":16,"name":"Locomotive ID","value":"4017"},{"id":130,"name":"Impact","value":""},{"id":150,"name":"Time of Event (Mountain Time)","value":"23:59:06"},{"id":151,"name":"Denver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"%USERPROFILE%\AppData\Local\Temp\OnboardLogs"\RTDC4017\*4017*201704040*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24" s="153" t="str">
        <f t="shared" si="9"/>
        <v>start /low /b %USERPROFILE%\Documents\GitHub\eaglep3\Utilities\DownloadLogsFromS3.py --loco 4017 --day 2017-04-04</v>
      </c>
      <c r="AF24" s="1"/>
    </row>
    <row r="25" spans="1:32" x14ac:dyDescent="0.25">
      <c r="A25" s="32">
        <v>42828.272812499999</v>
      </c>
      <c r="B25" s="30" t="s">
        <v>378</v>
      </c>
      <c r="C25" s="30" t="s">
        <v>575</v>
      </c>
      <c r="D25" s="30" t="s">
        <v>49</v>
      </c>
      <c r="E25" s="30" t="s">
        <v>215</v>
      </c>
      <c r="F25" s="43">
        <v>400</v>
      </c>
      <c r="G25" s="43">
        <v>668</v>
      </c>
      <c r="H25" s="43">
        <v>113395</v>
      </c>
      <c r="I25" s="43">
        <v>116217</v>
      </c>
      <c r="J25" s="30" t="s">
        <v>216</v>
      </c>
      <c r="K25" s="43">
        <v>116838</v>
      </c>
      <c r="L25" s="139" t="s">
        <v>50</v>
      </c>
      <c r="M25" s="140">
        <f t="shared" si="0"/>
        <v>327.88799999999998</v>
      </c>
      <c r="N25" s="141" t="str">
        <f>VLOOKUP(C25,'Trips&amp;Operators'!$C$1:$G$99999,5,FALSE)</f>
        <v>STARKS ANGELINA</v>
      </c>
      <c r="O25" s="190" t="s">
        <v>185</v>
      </c>
      <c r="P25" s="142"/>
      <c r="Q25" s="30"/>
      <c r="R25" s="89" t="str">
        <f>IF(VLOOKUP(C25,'Train Runs'!$A$13:$AE$9938,1,1)=C25,VLOOKUP(C25,'Train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-04-03T05:07:14-0600',mode:absolute,to:'2017-04-03T07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 t="shared" si="1"/>
        <v>"C:\Program Files (x86)\AstroGrep\AstroGrep.exe" /e /r /s /spath="%USERPROFILE%\AppData\Local\Temp\OnboardLogs" /stypes="*4028*201704031*" /stext=" 12:.+((SYSTEM_STATE.+slice.+state.+changed )|(ment ac)|(multiple cpu faults)|(system.+state.+changed )|(\[timeout)|(PRM\|1\|D)|(kpr)|(kdp)|(\|lc)|(penalty))"</v>
      </c>
      <c r="U25" s="9" t="str">
        <f t="shared" si="2"/>
        <v>4028</v>
      </c>
      <c r="V25" s="32">
        <f t="shared" si="3"/>
        <v>42828.522812499999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{"issue":{"subject":"","project_id":79,"tracker_id":40,"status_id":1,"priority_id":2,"assigned_to_id":23,"start_date":"2017-04-03","description":"","custom_fields":[{"id":1,"name":"Subdivision","value":"EC"},{"id":4,"name":"Milepost","value":"11.6838"},{"id":17,"name":"Train ID","value":"119-03"},{"id":16,"name":"Locomotive ID","value":"4028"},{"id":130,"name":"Impact","value":""},{"id":150,"name":"Time of Event (Mountain Time)","value":"06:32:51"},{"id":151,"name":"Denver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"%USERPROFILE%\AppData\Local\Temp\OnboardLogs"\RTDC4028\*4028*201704031*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25" s="153" t="str">
        <f t="shared" si="9"/>
        <v>start /low /b %USERPROFILE%\Documents\GitHub\eaglep3\Utilities\DownloadLogsFromS3.py --loco 4028 --day 2017-04-03</v>
      </c>
      <c r="AF25" s="1"/>
    </row>
    <row r="26" spans="1:32" x14ac:dyDescent="0.25">
      <c r="A26" s="32">
        <v>42828.33766203704</v>
      </c>
      <c r="B26" s="30" t="s">
        <v>378</v>
      </c>
      <c r="C26" s="30" t="s">
        <v>580</v>
      </c>
      <c r="D26" s="30" t="s">
        <v>49</v>
      </c>
      <c r="E26" s="30" t="s">
        <v>215</v>
      </c>
      <c r="F26" s="43">
        <v>400</v>
      </c>
      <c r="G26" s="43">
        <v>598</v>
      </c>
      <c r="H26" s="43">
        <v>114524</v>
      </c>
      <c r="I26" s="43">
        <v>116613</v>
      </c>
      <c r="J26" s="30" t="s">
        <v>216</v>
      </c>
      <c r="K26" s="43">
        <v>116838</v>
      </c>
      <c r="L26" s="139" t="s">
        <v>50</v>
      </c>
      <c r="M26" s="140">
        <f t="shared" si="0"/>
        <v>118.8</v>
      </c>
      <c r="N26" s="141" t="str">
        <f>VLOOKUP(C26,'Trips&amp;Operators'!$C$1:$G$99999,5,FALSE)</f>
        <v>STARKS ANGELINA</v>
      </c>
      <c r="O26" s="190" t="s">
        <v>185</v>
      </c>
      <c r="P26" s="142"/>
      <c r="Q26" s="30"/>
      <c r="R26" s="89" t="str">
        <f>IF(VLOOKUP(C26,'Train Runs'!$A$13:$AE$9938,1,1)=C26,VLOOKUP(C26,'Train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-04-03T06:39:24-0600',mode:absolute,to:'2017-04-03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 t="shared" si="1"/>
        <v>"C:\Program Files (x86)\AstroGrep\AstroGrep.exe" /e /r /s /spath="%USERPROFILE%\AppData\Local\Temp\OnboardLogs" /stypes="*4028*201704031*" /stext=" 14:.+((SYSTEM_STATE.+slice.+state.+changed )|(ment ac)|(multiple cpu faults)|(system.+state.+changed )|(\[timeout)|(PRM\|1\|D)|(kpr)|(kdp)|(\|lc)|(penalty))"</v>
      </c>
      <c r="U26" s="9" t="str">
        <f t="shared" si="2"/>
        <v>4028</v>
      </c>
      <c r="V26" s="32">
        <f t="shared" si="3"/>
        <v>42828.58766203704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{"issue":{"subject":"","project_id":79,"tracker_id":40,"status_id":1,"priority_id":2,"assigned_to_id":23,"start_date":"2017-04-03","description":"","custom_fields":[{"id":1,"name":"Subdivision","value":"EC"},{"id":4,"name":"Milepost","value":"11.6838"},{"id":17,"name":"Train ID","value":"133-03"},{"id":16,"name":"Locomotive ID","value":"4028"},{"id":130,"name":"Impact","value":""},{"id":150,"name":"Time of Event (Mountain Time)","value":"08:06:14"},{"id":151,"name":"Denver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"%USERPROFILE%\AppData\Local\Temp\OnboardLogs"\RTDC4028\*4028*201704031*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26" s="153" t="str">
        <f t="shared" si="9"/>
        <v>start /low /b %USERPROFILE%\Documents\GitHub\eaglep3\Utilities\DownloadLogsFromS3.py --loco 4028 --day 2017-04-03</v>
      </c>
      <c r="AF26" s="1"/>
    </row>
    <row r="27" spans="1:32" x14ac:dyDescent="0.25">
      <c r="A27" s="32">
        <v>42828.541145833333</v>
      </c>
      <c r="B27" s="30" t="s">
        <v>599</v>
      </c>
      <c r="C27" s="30" t="s">
        <v>600</v>
      </c>
      <c r="D27" s="30" t="s">
        <v>49</v>
      </c>
      <c r="E27" s="30" t="s">
        <v>215</v>
      </c>
      <c r="F27" s="43">
        <v>400</v>
      </c>
      <c r="G27" s="43">
        <v>456</v>
      </c>
      <c r="H27" s="43">
        <v>121755</v>
      </c>
      <c r="I27" s="43">
        <v>120528</v>
      </c>
      <c r="J27" s="30" t="s">
        <v>216</v>
      </c>
      <c r="K27" s="43">
        <v>119716</v>
      </c>
      <c r="L27" s="139" t="s">
        <v>51</v>
      </c>
      <c r="M27" s="140">
        <f t="shared" si="0"/>
        <v>428.73599999999999</v>
      </c>
      <c r="N27" s="141" t="str">
        <f>VLOOKUP(C27,'Trips&amp;Operators'!$C$1:$G$99999,5,FALSE)</f>
        <v>WILLIAMS DONTE</v>
      </c>
      <c r="O27" s="190" t="s">
        <v>185</v>
      </c>
      <c r="P27" s="142"/>
      <c r="Q27" s="30"/>
      <c r="R27" s="89" t="str">
        <f>IF(VLOOKUP(C27,'Train Runs'!$A$13:$AE$9938,1,1)=C27,VLOOKUP(C27,'Train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-04-03T11:27:12-0600',mode:absolute,to:'2017-04-03T14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7" s="94" t="str">
        <f t="shared" si="1"/>
        <v>"C:\Program Files (x86)\AstroGrep\AstroGrep.exe" /e /r /s /spath="%USERPROFILE%\AppData\Local\Temp\OnboardLogs" /stypes="*4007*201704031*" /stext=" 18:.+((SYSTEM_STATE.+slice.+state.+changed )|(ment ac)|(multiple cpu faults)|(system.+state.+changed )|(\[timeout)|(PRM\|1\|D)|(kpr)|(kdp)|(\|lc)|(penalty))"</v>
      </c>
      <c r="U27" s="9" t="str">
        <f t="shared" si="2"/>
        <v>4007</v>
      </c>
      <c r="V27" s="32">
        <f t="shared" si="3"/>
        <v>42828.791145833333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{"issue":{"subject":"","project_id":79,"tracker_id":40,"status_id":1,"priority_id":2,"assigned_to_id":23,"start_date":"2017-04-03","description":"","custom_fields":[{"id":1,"name":"Subdivision","value":"EC"},{"id":4,"name":"Milepost","value":"11.9716"},{"id":17,"name":"Train ID","value":"166-03"},{"id":16,"name":"Locomotive ID","value":"4007"},{"id":130,"name":"Impact","value":""},{"id":150,"name":"Time of Event (Mountain Time)","value":"12:59:15"},{"id":151,"name":"Denver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"%USERPROFILE%\AppData\Local\Temp\OnboardLogs"\RTDC4007\*4007*201704031*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"%USERPROFILE%\AppData\Local\Temp\OnboardLogs"\RTDC4007\*4007*201704031* &gt;&gt; 2017-04-03-SliceDisagreementCheck.txt</v>
      </c>
      <c r="AE27" s="153" t="str">
        <f t="shared" si="9"/>
        <v>start /low /b %USERPROFILE%\Documents\GitHub\eaglep3\Utilities\DownloadLogsFromS3.py --loco 4007 --day 2017-04-03</v>
      </c>
      <c r="AF27" s="1"/>
    </row>
    <row r="28" spans="1:32" x14ac:dyDescent="0.25">
      <c r="A28" s="32">
        <v>42828.895173611112</v>
      </c>
      <c r="B28" s="30" t="s">
        <v>523</v>
      </c>
      <c r="C28" s="30" t="s">
        <v>619</v>
      </c>
      <c r="D28" s="30" t="s">
        <v>98</v>
      </c>
      <c r="E28" s="30" t="s">
        <v>215</v>
      </c>
      <c r="F28" s="43">
        <v>350</v>
      </c>
      <c r="G28" s="43">
        <v>404</v>
      </c>
      <c r="H28" s="43">
        <v>224587</v>
      </c>
      <c r="I28" s="43">
        <v>223114</v>
      </c>
      <c r="J28" s="30" t="s">
        <v>216</v>
      </c>
      <c r="K28" s="43">
        <v>232107</v>
      </c>
      <c r="L28" s="139" t="s">
        <v>51</v>
      </c>
      <c r="M28" s="140">
        <f t="shared" si="0"/>
        <v>-4748.3040000000001</v>
      </c>
      <c r="N28" s="141" t="str">
        <f>VLOOKUP(C28,'Trips&amp;Operators'!$C$1:$G$99999,5,FALSE)</f>
        <v>STORY SAMANTHA</v>
      </c>
      <c r="O28" s="190" t="s">
        <v>185</v>
      </c>
      <c r="P28" s="142"/>
      <c r="Q28" s="30"/>
      <c r="R28" s="89" t="str">
        <f>IF(VLOOKUP(C28,'Train Runs'!$A$13:$AE$9938,1,1)=C28,VLOOKUP(C28,'Train Runs'!$A$13:$AE$9938,31,1),NA())</f>
        <v>aws s3 cp s3://rtdc.mdm.uploadarchive.raw/RTDC4017/ "%USERPROFILE%\AppData\Local\Temp\OnboardLogs"\RTDC4017\2017-04-03 --exclude "*" --recursive --include "*20170403*" &amp; "%USERPROFILE%\Documents\GitHub\mrs-test-scripts\Headless Mode &amp; Sideloading\WalkAndUnGZ.bat" "%USERPROFILE%\AppData\Local\Temp\OnboardLogs"\RTDC4017\2017-04-03 &amp; aws s3 cp s3://rtdc.mdm.uploadarchive.raw/RTDC4017/ "%USERPROFILE%\AppData\Local\Temp\OnboardLogs"\RTDC4017\2017-04-04 --exclude "*" --recursive --include "*20170404*" &amp; "%USERPROFILE%\Documents\GitHub\mrs-test-scripts\Headless Mode &amp; Sideloading\WalkAndUnGZ.bat" "%USERPROFILE%\AppData\Local\Temp\OnboardLogs"\RTDC4017\2017-04-04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8" s="94" t="str">
        <f t="shared" si="1"/>
        <v>"C:\Program Files (x86)\AstroGrep\AstroGrep.exe" /e /r /s /spath="%USERPROFILE%\AppData\Local\Temp\OnboardLogs" /stypes="*4017*201704040*" /stext=" 03:.+((SYSTEM_STATE.+slice.+state.+changed )|(ment ac)|(multiple cpu faults)|(system.+state.+changed )|(\[timeout)|(PRM\|1\|D)|(kpr)|(kdp)|(\|lc)|(penalty))"</v>
      </c>
      <c r="U28" s="9" t="str">
        <f t="shared" si="2"/>
        <v>4017</v>
      </c>
      <c r="V28" s="32">
        <f t="shared" si="3"/>
        <v>42829.145173611112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{"issue":{"subject":"","project_id":79,"tracker_id":40,"status_id":1,"priority_id":2,"assigned_to_id":23,"start_date":"2017-04-03","description":"","custom_fields":[{"id":1,"name":"Subdivision","value":"EC"},{"id":4,"name":"Milepost","value":"23.2107"},{"id":17,"name":"Train ID","value":"228-03"},{"id":16,"name":"Locomotive ID","value":"4017"},{"id":130,"name":"Impact","value":""},{"id":150,"name":"Time of Event (Mountain Time)","value":"21:29:03"},{"id":151,"name":"Denver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"%USERPROFILE%\AppData\Local\Temp\OnboardLogs"\RTDC4017\*4017*201704040*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"%USERPROFILE%\AppData\Local\Temp\OnboardLogs"\RTDC4017\*4017*201704040* &gt;&gt; 2017-04-03-SliceDisagreementCheck.txt</v>
      </c>
      <c r="AE28" s="153" t="str">
        <f t="shared" si="9"/>
        <v>start /low /b %USERPROFILE%\Documents\GitHub\eaglep3\Utilities\DownloadLogsFromS3.py --loco 4017 --day 2017-04-04</v>
      </c>
      <c r="AF28" s="1"/>
    </row>
    <row r="29" spans="1:32" x14ac:dyDescent="0.25">
      <c r="A29" s="32">
        <v>42828.729907407411</v>
      </c>
      <c r="B29" s="30" t="s">
        <v>578</v>
      </c>
      <c r="C29" s="30" t="s">
        <v>614</v>
      </c>
      <c r="D29" s="30" t="s">
        <v>49</v>
      </c>
      <c r="E29" s="30" t="s">
        <v>602</v>
      </c>
      <c r="F29" s="43">
        <v>0</v>
      </c>
      <c r="G29" s="43">
        <v>144</v>
      </c>
      <c r="H29" s="43">
        <v>914</v>
      </c>
      <c r="I29" s="43">
        <v>1102</v>
      </c>
      <c r="J29" s="30" t="s">
        <v>603</v>
      </c>
      <c r="K29" s="43">
        <v>1692</v>
      </c>
      <c r="L29" s="139" t="s">
        <v>50</v>
      </c>
      <c r="M29" s="140">
        <f t="shared" si="0"/>
        <v>311.52</v>
      </c>
      <c r="N29" s="141" t="str">
        <f>VLOOKUP(C29,'Trips&amp;Operators'!$C$1:$G$99999,5,FALSE)</f>
        <v>LOCKLEAR TRAVIS</v>
      </c>
      <c r="O29" s="190" t="s">
        <v>185</v>
      </c>
      <c r="P29" s="142" t="s">
        <v>1041</v>
      </c>
      <c r="Q29" s="30"/>
      <c r="R29" s="89" t="str">
        <f>IF(VLOOKUP(C29,'Train Runs'!$A$13:$AE$9938,1,1)=C29,VLOOKUP(C29,'Train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/e /r /s /spath="%USERPROFILE%\AppData\Local\Temp\OnboardLogs" /stypes="*4004*201704032*" /stext=" 23:.+((SYSTEM_STATE.+slice.+state.+changed )|(ment ac)|(multiple cpu faults)|(system.+state.+changed )|(\[timeout)|(PRM\|1\|D)|(kpr)|(kdp)|(\|lc)|(penalty))"</v>
      </c>
      <c r="U29" s="9" t="str">
        <f t="shared" si="2"/>
        <v>4004</v>
      </c>
      <c r="V29" s="32">
        <f t="shared" si="3"/>
        <v>42828.979907407411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{"issue":{"subject":"Selected wrong track","project_id":79,"tracker_id":40,"status_id":1,"priority_id":2,"assigned_to_id":23,"start_date":"2017-04-03","description":"","custom_fields":[{"id":1,"name":"Subdivision","value":"EC"},{"id":4,"name":"Milepost","value":"0.1692"},{"id":17,"name":"Train ID","value":"211-03"},{"id":16,"name":"Locomotive ID","value":"4004"},{"id":130,"name":"Impact","value":""},{"id":150,"name":"Time of Event (Mountain Time)","value":"17:31:04"},{"id":151,"name":"Denver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"%USERPROFILE%\AppData\Local\Temp\OnboardLogs"\RTDC4004\*4004*201704032*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"%USERPROFILE%\AppData\Local\Temp\OnboardLogs"\RTDC4004\*4004*201704032* &gt;&gt; 2017-04-03-SliceDisagreementCheck.txt</v>
      </c>
      <c r="AE29" s="153" t="str">
        <f t="shared" si="9"/>
        <v>start /low /b %USERPROFILE%\Documents\GitHub\eaglep3\Utilities\DownloadLogsFromS3.py --loco 4004 --day 2017-04-03</v>
      </c>
      <c r="AF29" s="1"/>
    </row>
    <row r="30" spans="1:32" x14ac:dyDescent="0.25">
      <c r="A30" s="32">
        <v>42828.542847222219</v>
      </c>
      <c r="B30" s="30" t="s">
        <v>378</v>
      </c>
      <c r="C30" s="30" t="s">
        <v>601</v>
      </c>
      <c r="D30" s="30" t="s">
        <v>49</v>
      </c>
      <c r="E30" s="30" t="s">
        <v>602</v>
      </c>
      <c r="F30" s="43">
        <v>0</v>
      </c>
      <c r="G30" s="43">
        <v>159</v>
      </c>
      <c r="H30" s="43">
        <v>2187</v>
      </c>
      <c r="I30" s="43">
        <v>2506</v>
      </c>
      <c r="J30" s="30" t="s">
        <v>603</v>
      </c>
      <c r="K30" s="43">
        <v>2789</v>
      </c>
      <c r="L30" s="139" t="s">
        <v>50</v>
      </c>
      <c r="M30" s="140">
        <f t="shared" si="0"/>
        <v>149.42400000000001</v>
      </c>
      <c r="N30" s="141" t="str">
        <f>VLOOKUP(C30,'Trips&amp;Operators'!$C$1:$G$99999,5,FALSE)</f>
        <v>LALONDE GREGORY</v>
      </c>
      <c r="O30" s="190" t="s">
        <v>625</v>
      </c>
      <c r="P30" s="142" t="s">
        <v>1042</v>
      </c>
      <c r="Q30" s="30"/>
      <c r="R30" s="89" t="str">
        <f>IF(VLOOKUP(C30,'Train Runs'!$A$13:$AE$9938,1,1)=C30,VLOOKUP(C30,'Train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-04-03T11:56:46-0600',mode:absolute,to:'2017-04-03T14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0" s="94" t="str">
        <f t="shared" si="1"/>
        <v>"C:\Program Files (x86)\AstroGrep\AstroGrep.exe" /e /r /s /spath="%USERPROFILE%\AppData\Local\Temp\OnboardLogs" /stypes="*4028*201704031*" /stext=" 19:.+((SYSTEM_STATE.+slice.+state.+changed )|(ment ac)|(multiple cpu faults)|(system.+state.+changed )|(\[timeout)|(PRM\|1\|D)|(kpr)|(kdp)|(\|lc)|(penalty))"</v>
      </c>
      <c r="U30" s="9" t="str">
        <f t="shared" si="2"/>
        <v>4028</v>
      </c>
      <c r="V30" s="32">
        <f t="shared" si="3"/>
        <v>42828.792847222219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{"issue":{"subject":"Premature downgrade at DUS 20N","project_id":79,"tracker_id":40,"status_id":1,"priority_id":2,"assigned_to_id":23,"start_date":"2017-04-03","description":"at 13:01:28, DUS 20N dropped to STOP while the train was approaching, do logs tell of anything unusual?","custom_fields":[{"id":1,"name":"Subdivision","value":"EC"},{"id":4,"name":"Milepost","value":"0.2789"},{"id":17,"name":"Train ID","value":"175-03"},{"id":16,"name":"Locomotive ID","value":"4028"},{"id":130,"name":"Impact","value":"Enforcement"},{"id":150,"name":"Time of Event (Mountain Time)","value":"13:01:42"},{"id":151,"name":"Denver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30" s="218" t="s">
        <v>1043</v>
      </c>
      <c r="AA30" s="48" t="s">
        <v>124</v>
      </c>
      <c r="AB30" s="48" t="s">
        <v>129</v>
      </c>
      <c r="AC30" s="123" t="str">
        <f t="shared" si="7"/>
        <v>grep -hSE -A400 "Enforcement Action" "%USERPROFILE%\AppData\Local\Temp\OnboardLogs"\RTDC4028\*4028*201704031*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"%USERPROFILE%\AppData\Local\Temp\OnboardLogs"\RTDC4028\*4028*201704031* &gt;&gt; 2017-04-03-SliceDisagreementCheck.txt</v>
      </c>
      <c r="AE30" s="153" t="str">
        <f t="shared" si="9"/>
        <v>start /low /b %USERPROFILE%\Documents\GitHub\eaglep3\Utilities\DownloadLogsFromS3.py --loco 4028 --day 2017-04-03</v>
      </c>
      <c r="AF30" s="1"/>
    </row>
    <row r="31" spans="1:32" x14ac:dyDescent="0.25">
      <c r="A31" s="32">
        <v>42828.882731481484</v>
      </c>
      <c r="B31" s="30" t="s">
        <v>379</v>
      </c>
      <c r="C31" s="30" t="s">
        <v>618</v>
      </c>
      <c r="D31" s="30" t="s">
        <v>49</v>
      </c>
      <c r="E31" s="30" t="s">
        <v>602</v>
      </c>
      <c r="F31" s="43">
        <v>0</v>
      </c>
      <c r="G31" s="43">
        <v>141</v>
      </c>
      <c r="H31" s="43">
        <v>128040</v>
      </c>
      <c r="I31" s="43">
        <v>127877</v>
      </c>
      <c r="J31" s="30" t="s">
        <v>603</v>
      </c>
      <c r="K31" s="43">
        <v>127587</v>
      </c>
      <c r="L31" s="139" t="s">
        <v>51</v>
      </c>
      <c r="M31" s="140">
        <f t="shared" si="0"/>
        <v>153.12</v>
      </c>
      <c r="N31" s="141" t="str">
        <f>VLOOKUP(C31,'Trips&amp;Operators'!$C$1:$G$99999,5,FALSE)</f>
        <v>GUZMAN DANNY</v>
      </c>
      <c r="O31" s="190" t="s">
        <v>185</v>
      </c>
      <c r="P31" s="142" t="s">
        <v>1044</v>
      </c>
      <c r="Q31" s="30"/>
      <c r="R31" s="89" t="str">
        <f>IF(VLOOKUP(C31,'Train Runs'!$A$13:$AE$9938,1,1)=C31,VLOOKUP(C31,'Train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1" s="94" t="str">
        <f t="shared" si="1"/>
        <v>"C:\Program Files (x86)\AstroGrep\AstroGrep.exe" /e /r /s /spath="%USERPROFILE%\AppData\Local\Temp\OnboardLogs" /stypes="*4027*201704040*" /stext=" 03:.+((SYSTEM_STATE.+slice.+state.+changed )|(ment ac)|(multiple cpu faults)|(system.+state.+changed )|(\[timeout)|(PRM\|1\|D)|(kpr)|(kdp)|(\|lc)|(penalty))"</v>
      </c>
      <c r="U31" s="9" t="str">
        <f t="shared" si="2"/>
        <v>4027</v>
      </c>
      <c r="V31" s="32">
        <f t="shared" si="3"/>
        <v>42829.132731481484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{"issue":{"subject":"40th 4S STOP","project_id":79,"tracker_id":40,"status_id":1,"priority_id":2,"assigned_to_id":23,"start_date":"2017-04-03","description":"","custom_fields":[{"id":1,"name":"Subdivision","value":"EC"},{"id":4,"name":"Milepost","value":"12.7587"},{"id":17,"name":"Train ID","value":"226-03"},{"id":16,"name":"Locomotive ID","value":"4027"},{"id":130,"name":"Impact","value":""},{"id":150,"name":"Time of Event (Mountain Time)","value":"21:11:08"},{"id":151,"name":"Denver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"%USERPROFILE%\AppData\Local\Temp\OnboardLogs"\RTDC4027\*4027*201704040*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31" s="153" t="str">
        <f t="shared" si="9"/>
        <v>start /low /b %USERPROFILE%\Documents\GitHub\eaglep3\Utilities\DownloadLogsFromS3.py --loco 4027 --day 2017-04-04</v>
      </c>
      <c r="AF31" s="1"/>
    </row>
    <row r="32" spans="1:32" x14ac:dyDescent="0.25">
      <c r="A32" s="32">
        <v>42828.580960648149</v>
      </c>
      <c r="B32" s="30" t="s">
        <v>379</v>
      </c>
      <c r="C32" s="30" t="s">
        <v>606</v>
      </c>
      <c r="D32" s="30" t="s">
        <v>49</v>
      </c>
      <c r="E32" s="30" t="s">
        <v>602</v>
      </c>
      <c r="F32" s="43">
        <v>0</v>
      </c>
      <c r="G32" s="43">
        <v>117</v>
      </c>
      <c r="H32" s="43">
        <v>232339</v>
      </c>
      <c r="I32" s="43">
        <v>232228</v>
      </c>
      <c r="J32" s="30" t="s">
        <v>603</v>
      </c>
      <c r="K32" s="43">
        <v>231650</v>
      </c>
      <c r="L32" s="139" t="s">
        <v>51</v>
      </c>
      <c r="M32" s="140">
        <f t="shared" si="0"/>
        <v>305.18400000000003</v>
      </c>
      <c r="N32" s="141" t="str">
        <f>VLOOKUP(C32,'Trips&amp;Operators'!$C$1:$G$99999,5,FALSE)</f>
        <v>LALONDE GREGORY</v>
      </c>
      <c r="O32" s="190" t="s">
        <v>625</v>
      </c>
      <c r="P32" s="142" t="s">
        <v>1045</v>
      </c>
      <c r="Q32" s="30"/>
      <c r="R32" s="89" t="str">
        <f>IF(VLOOKUP(C32,'Train Runs'!$A$13:$AE$9938,1,1)=C32,VLOOKUP(C32,'Train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94" t="str">
        <f t="shared" si="1"/>
        <v>"C:\Program Files (x86)\AstroGrep\AstroGrep.exe" /e /r /s /spath="%USERPROFILE%\AppData\Local\Temp\OnboardLogs" /stypes="*4027*201704031*" /stext=" 19:.+((SYSTEM_STATE.+slice.+state.+changed )|(ment ac)|(multiple cpu faults)|(system.+state.+changed )|(\[timeout)|(PRM\|1\|D)|(kpr)|(kdp)|(\|lc)|(penalty))"</v>
      </c>
      <c r="U32" s="9" t="str">
        <f t="shared" si="2"/>
        <v>4027</v>
      </c>
      <c r="V32" s="32">
        <f t="shared" si="3"/>
        <v>42828.830960648149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{"issue":{"subject":"Minor onboard in-route failure","project_id":79,"tracker_id":40,"status_id":1,"priority_id":2,"assigned_to_id":23,"start_date":"2017-04-03","description":"","custom_fields":[{"id":1,"name":"Subdivision","value":"EC"},{"id":4,"name":"Milepost","value":"23.165"},{"id":17,"name":"Train ID","value":"176-03"},{"id":16,"name":"Locomotive ID","value":"4027"},{"id":130,"name":"Impact","value":""},{"id":150,"name":"Time of Event (Mountain Time)","value":"13:56:35"},{"id":151,"name":"Denver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"%USERPROFILE%\AppData\Local\Temp\OnboardLogs"\RTDC4027\*4027*201704031*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"%USERPROFILE%\AppData\Local\Temp\OnboardLogs"\RTDC4027\*4027*201704031* &gt;&gt; 2017-04-03-SliceDisagreementCheck.txt</v>
      </c>
      <c r="AE32" s="153" t="str">
        <f t="shared" si="9"/>
        <v>start /low /b %USERPROFILE%\Documents\GitHub\eaglep3\Utilities\DownloadLogsFromS3.py --loco 4027 --day 2017-04-03</v>
      </c>
      <c r="AF32" s="1"/>
    </row>
    <row r="33" spans="1:32" x14ac:dyDescent="0.25">
      <c r="A33" s="32">
        <v>42828.346770833334</v>
      </c>
      <c r="B33" s="30" t="s">
        <v>451</v>
      </c>
      <c r="C33" s="30" t="s">
        <v>581</v>
      </c>
      <c r="D33" s="30" t="s">
        <v>49</v>
      </c>
      <c r="E33" s="30" t="s">
        <v>186</v>
      </c>
      <c r="F33" s="43">
        <v>0</v>
      </c>
      <c r="G33" s="43">
        <v>41</v>
      </c>
      <c r="H33" s="43">
        <v>161</v>
      </c>
      <c r="I33" s="43">
        <v>132</v>
      </c>
      <c r="J33" s="30" t="s">
        <v>187</v>
      </c>
      <c r="K33" s="43">
        <v>1</v>
      </c>
      <c r="L33" s="139" t="s">
        <v>51</v>
      </c>
      <c r="M33" s="140">
        <f t="shared" si="0"/>
        <v>69.168000000000006</v>
      </c>
      <c r="N33" s="141" t="str">
        <f>VLOOKUP(C33,'Trips&amp;Operators'!$C$1:$G$99999,5,FALSE)</f>
        <v>YORK EDGAR</v>
      </c>
      <c r="O33" s="190" t="s">
        <v>185</v>
      </c>
      <c r="P33" s="142"/>
      <c r="Q33" s="30"/>
      <c r="R33" s="89" t="str">
        <f>IF(VLOOKUP(C33,'Train Runs'!$A$13:$AE$9938,1,1)=C33,VLOOKUP(C33,'Train Runs'!$A$13:$AE$9938,31,1),NA())</f>
        <v>aws s3 cp s3://rtdc.mdm.uploadarchive.raw/RTDC4051/ "%USERPROFILE%\AppData\Local\Temp\OnboardLogs"\RTDC4051\2017-04-03 --exclude "*" --recursive --include "*20170403*" &amp; "%USERPROFILE%\Documents\GitHub\mrs-test-scripts\Headless Mode &amp; Sideloading\WalkAndUnGZ.bat" "%USERPROFILE%\AppData\Local\Temp\OnboardLogs"\RTDC4051\2017-04-03 &amp; aws s3 cp s3://rtdc.mdm.uploadarchive.raw/RTDC4051/ "%USERPROFILE%\AppData\Local\Temp\OnboardLogs"\RTDC4051\2017-04-04 --exclude "*" --recursive --include "*20170404*" &amp; "%USERPROFILE%\Documents\GitHub\mrs-test-scripts\Headless Mode &amp; Sideloading\WalkAndUnGZ.bat" "%USERPROFILE%\AppData\Local\Temp\OnboardLogs"\RTDC4051\2017-04-04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 t="shared" si="1"/>
        <v>"C:\Program Files (x86)\AstroGrep\AstroGrep.exe" /e /r /s /spath="%USERPROFILE%\AppData\Local\Temp\OnboardLogs" /stypes="*4051*201704031*" /stext=" 14:.+((SYSTEM_STATE.+slice.+state.+changed )|(ment ac)|(multiple cpu faults)|(system.+state.+changed )|(\[timeout)|(PRM\|1\|D)|(kpr)|(kdp)|(\|lc)|(penalty))"</v>
      </c>
      <c r="U33" s="9" t="str">
        <f t="shared" si="2"/>
        <v>4051</v>
      </c>
      <c r="V33" s="32">
        <f t="shared" si="3"/>
        <v>42828.596770833334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ID","value":"126-03"},{"id":16,"name":"Locomotive ID","value":"4051"},{"id":130,"name":"Impact","value":""},{"id":150,"name":"Time of Event (Mountain Time)","value":"08:19:21"},{"id":151,"name":"Denver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"%USERPROFILE%\AppData\Local\Temp\OnboardLogs"\RTDC4051\*4051*201704031*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"%USERPROFILE%\AppData\Local\Temp\OnboardLogs"\RTDC4051\*4051*201704031* &gt;&gt; 2017-04-03-SliceDisagreementCheck.txt</v>
      </c>
      <c r="AE33" s="153" t="str">
        <f t="shared" si="9"/>
        <v>start /low /b %USERPROFILE%\Documents\GitHub\eaglep3\Utilities\DownloadLogsFromS3.py --loco 4051 --day 2017-04-03</v>
      </c>
      <c r="AF33" s="1"/>
    </row>
    <row r="34" spans="1:32" x14ac:dyDescent="0.25">
      <c r="A34" s="32">
        <v>42828.606932870367</v>
      </c>
      <c r="B34" s="30" t="s">
        <v>379</v>
      </c>
      <c r="C34" s="30" t="s">
        <v>606</v>
      </c>
      <c r="D34" s="30" t="s">
        <v>49</v>
      </c>
      <c r="E34" s="30" t="s">
        <v>186</v>
      </c>
      <c r="F34" s="43">
        <v>0</v>
      </c>
      <c r="G34" s="43">
        <v>14</v>
      </c>
      <c r="H34" s="43">
        <v>10</v>
      </c>
      <c r="I34" s="43">
        <v>0</v>
      </c>
      <c r="J34" s="30" t="s">
        <v>187</v>
      </c>
      <c r="K34" s="43">
        <v>1</v>
      </c>
      <c r="L34" s="139" t="s">
        <v>51</v>
      </c>
      <c r="M34" s="140">
        <f t="shared" si="0"/>
        <v>-0.52800000000000002</v>
      </c>
      <c r="N34" s="141" t="str">
        <f>VLOOKUP(C34,'Trips&amp;Operators'!$C$1:$G$99999,5,FALSE)</f>
        <v>LALONDE GREGORY</v>
      </c>
      <c r="O34" s="190" t="s">
        <v>185</v>
      </c>
      <c r="P34" s="142"/>
      <c r="Q34" s="30"/>
      <c r="R34" s="89" t="str">
        <f>IF(VLOOKUP(C34,'Train Runs'!$A$13:$AE$9938,1,1)=C34,VLOOKUP(C34,'Train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-04-03T12:44:48-0600',mode:absolute,to:'2017-04-03T15:33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4" s="94" t="str">
        <f t="shared" si="1"/>
        <v>"C:\Program Files (x86)\AstroGrep\AstroGrep.exe" /e /r /s /spath="%USERPROFILE%\AppData\Local\Temp\OnboardLogs" /stypes="*4027*201704032*" /stext=" 20:.+((SYSTEM_STATE.+slice.+state.+changed )|(ment ac)|(multiple cpu faults)|(system.+state.+changed )|(\[timeout)|(PRM\|1\|D)|(kpr)|(kdp)|(\|lc)|(penalty))"</v>
      </c>
      <c r="U34" s="9" t="str">
        <f t="shared" si="2"/>
        <v>4027</v>
      </c>
      <c r="V34" s="32">
        <f t="shared" si="3"/>
        <v>42828.856932870367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ID","value":"176-03"},{"id":16,"name":"Locomotive ID","value":"4027"},{"id":130,"name":"Impact","value":""},{"id":150,"name":"Time of Event (Mountain Time)","value":"14:33:59"},{"id":151,"name":"Denver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"%USERPROFILE%\AppData\Local\Temp\OnboardLogs"\RTDC4027\*4027*201704032*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4" s="153" t="str">
        <f t="shared" si="9"/>
        <v>start /low /b %USERPROFILE%\Documents\GitHub\eaglep3\Utilities\DownloadLogsFromS3.py --loco 4027 --day 2017-04-03</v>
      </c>
      <c r="AF34" s="1"/>
    </row>
    <row r="35" spans="1:32" x14ac:dyDescent="0.25">
      <c r="A35" s="32">
        <v>42828.630231481482</v>
      </c>
      <c r="B35" s="30" t="s">
        <v>599</v>
      </c>
      <c r="C35" s="30" t="s">
        <v>608</v>
      </c>
      <c r="D35" s="30" t="s">
        <v>49</v>
      </c>
      <c r="E35" s="30" t="s">
        <v>186</v>
      </c>
      <c r="F35" s="43">
        <v>0</v>
      </c>
      <c r="G35" s="43">
        <v>49</v>
      </c>
      <c r="H35" s="43">
        <v>191</v>
      </c>
      <c r="I35" s="43">
        <v>150</v>
      </c>
      <c r="J35" s="30" t="s">
        <v>187</v>
      </c>
      <c r="K35" s="43">
        <v>1</v>
      </c>
      <c r="L35" s="139" t="s">
        <v>51</v>
      </c>
      <c r="M35" s="140">
        <f t="shared" si="0"/>
        <v>78.671999999999997</v>
      </c>
      <c r="N35" s="141" t="str">
        <f>VLOOKUP(C35,'Trips&amp;Operators'!$C$1:$G$99999,5,FALSE)</f>
        <v>WILLIAMS DONTE</v>
      </c>
      <c r="O35" s="190" t="s">
        <v>185</v>
      </c>
      <c r="P35" s="142"/>
      <c r="Q35" s="30"/>
      <c r="R35" s="89" t="str">
        <f>IF(VLOOKUP(C35,'Train Runs'!$A$13:$AE$9938,1,1)=C35,VLOOKUP(C35,'Train Runs'!$A$13:$AE$9938,31,1),NA())</f>
        <v>aws s3 cp s3://rtdc.mdm.uploadarchive.raw/RTDC4007/ "%USERPROFILE%\AppData\Local\Temp\OnboardLogs"\RTDC4007\2017-04-03 --exclude "*" --recursive --include "*20170403*" &amp; "%USERPROFILE%\Documents\GitHub\mrs-test-scripts\Headless Mode &amp; Sideloading\WalkAndUnGZ.bat" "%USERPROFILE%\AppData\Local\Temp\OnboardLogs"\RTDC4007\2017-04-03 &amp; aws s3 cp s3://rtdc.mdm.uploadarchive.raw/RTDC4007/ "%USERPROFILE%\AppData\Local\Temp\OnboardLogs"\RTDC4007\2017-04-04 --exclude "*" --recursive --include "*20170404*" &amp; "%USERPROFILE%\Documents\GitHub\mrs-test-scripts\Headless Mode &amp; Sideloading\WalkAndUnGZ.bat" "%USERPROFILE%\AppData\Local\Temp\OnboardLogs"\RTDC4007\2017-04-04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-04-03T13:16:53-0600',mode:absolute,to:'2017-04-03T16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5" s="94" t="str">
        <f t="shared" si="1"/>
        <v>"C:\Program Files (x86)\AstroGrep\AstroGrep.exe" /e /r /s /spath="%USERPROFILE%\AppData\Local\Temp\OnboardLogs" /stypes="*4007*201704032*" /stext=" 21:.+((SYSTEM_STATE.+slice.+state.+changed )|(ment ac)|(multiple cpu faults)|(system.+state.+changed )|(\[timeout)|(PRM\|1\|D)|(kpr)|(kdp)|(\|lc)|(penalty))"</v>
      </c>
      <c r="U35" s="9" t="str">
        <f t="shared" si="2"/>
        <v>4007</v>
      </c>
      <c r="V35" s="32">
        <f t="shared" si="3"/>
        <v>42828.880231481482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ID","value":"180-03"},{"id":16,"name":"Locomotive ID","value":"4007"},{"id":130,"name":"Impact","value":""},{"id":150,"name":"Time of Event (Mountain Time)","value":"15:07:32"},{"id":151,"name":"Denver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"%USERPROFILE%\AppData\Local\Temp\OnboardLogs"\RTDC4007\*4007*201704032*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"%USERPROFILE%\AppData\Local\Temp\OnboardLogs"\RTDC4007\*4007*201704032* &gt;&gt; 2017-04-03-SliceDisagreementCheck.txt</v>
      </c>
      <c r="AE35" s="153" t="str">
        <f t="shared" si="9"/>
        <v>start /low /b %USERPROFILE%\Documents\GitHub\eaglep3\Utilities\DownloadLogsFromS3.py --loco 4007 --day 2017-04-03</v>
      </c>
      <c r="AF35" s="1"/>
    </row>
    <row r="36" spans="1:32" x14ac:dyDescent="0.25">
      <c r="A36" s="32">
        <v>42828.660162037035</v>
      </c>
      <c r="B36" s="30" t="s">
        <v>397</v>
      </c>
      <c r="C36" s="30" t="s">
        <v>611</v>
      </c>
      <c r="D36" s="30" t="s">
        <v>49</v>
      </c>
      <c r="E36" s="30" t="s">
        <v>186</v>
      </c>
      <c r="F36" s="43">
        <v>0</v>
      </c>
      <c r="G36" s="43">
        <v>103</v>
      </c>
      <c r="H36" s="43">
        <v>406</v>
      </c>
      <c r="I36" s="43">
        <v>296</v>
      </c>
      <c r="J36" s="30" t="s">
        <v>187</v>
      </c>
      <c r="K36" s="43">
        <v>1</v>
      </c>
      <c r="L36" s="139" t="s">
        <v>51</v>
      </c>
      <c r="M36" s="140">
        <f t="shared" si="0"/>
        <v>155.76</v>
      </c>
      <c r="N36" s="141" t="str">
        <f>VLOOKUP(C36,'Trips&amp;Operators'!$C$1:$G$99999,5,FALSE)</f>
        <v>MOSES BRADLEY</v>
      </c>
      <c r="O36" s="190" t="s">
        <v>185</v>
      </c>
      <c r="P36" s="142"/>
      <c r="Q36" s="30"/>
      <c r="R36" s="89" t="str">
        <f>IF(VLOOKUP(C36,'Train Runs'!$A$13:$AE$9938,1,1)=C36,VLOOKUP(C36,'Train Runs'!$A$13:$AE$9938,31,1),NA())</f>
        <v>aws s3 cp s3://rtdc.mdm.uploadarchive.raw/RTDC4029/ "%USERPROFILE%\AppData\Local\Temp\OnboardLogs"\RTDC4029\2017-04-03 --exclude "*" --recursive --include "*20170403*" &amp; "%USERPROFILE%\Documents\GitHub\mrs-test-scripts\Headless Mode &amp; Sideloading\WalkAndUnGZ.bat" "%USERPROFILE%\AppData\Local\Temp\OnboardLogs"\RTDC4029\2017-04-03 &amp; aws s3 cp s3://rtdc.mdm.uploadarchive.raw/RTDC4029/ "%USERPROFILE%\AppData\Local\Temp\OnboardLogs"\RTDC4029\2017-04-04 --exclude "*" --recursive --include "*20170404*" &amp; "%USERPROFILE%\Documents\GitHub\mrs-test-scripts\Headless Mode &amp; Sideloading\WalkAndUnGZ.bat" "%USERPROFILE%\AppData\Local\Temp\OnboardLogs"\RTDC4029\2017-04-04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-04-03T14:07:35-0600',mode:absolute,to:'2017-04-03T16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6" s="94" t="str">
        <f t="shared" si="1"/>
        <v>"C:\Program Files (x86)\AstroGrep\AstroGrep.exe" /e /r /s /spath="%USERPROFILE%\AppData\Local\Temp\OnboardLogs" /stypes="*4029*201704032*" /stext=" 21:.+((SYSTEM_STATE.+slice.+state.+changed )|(ment ac)|(multiple cpu faults)|(system.+state.+changed )|(\[timeout)|(PRM\|1\|D)|(kpr)|(kdp)|(\|lc)|(penalty))"</v>
      </c>
      <c r="U36" s="9" t="str">
        <f t="shared" si="2"/>
        <v>4029</v>
      </c>
      <c r="V36" s="32">
        <f t="shared" si="3"/>
        <v>42828.910162037035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ID","value":"186-03"},{"id":16,"name":"Locomotive ID","value":"4029"},{"id":130,"name":"Impact","value":""},{"id":150,"name":"Time of Event (Mountain Time)","value":"15:50:38"},{"id":151,"name":"Denver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"%USERPROFILE%\AppData\Local\Temp\OnboardLogs"\RTDC4029\*4029*201704032*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"%USERPROFILE%\AppData\Local\Temp\OnboardLogs"\RTDC4029\*4029*201704032* &gt;&gt; 2017-04-03-SliceDisagreementCheck.txt</v>
      </c>
      <c r="AE36" s="153" t="str">
        <f t="shared" si="9"/>
        <v>start /low /b %USERPROFILE%\Documents\GitHub\eaglep3\Utilities\DownloadLogsFromS3.py --loco 4029 --day 2017-04-03</v>
      </c>
      <c r="AF36" s="1"/>
    </row>
    <row r="37" spans="1:32" x14ac:dyDescent="0.25">
      <c r="A37" s="32">
        <v>42828.683599537035</v>
      </c>
      <c r="B37" s="30" t="s">
        <v>379</v>
      </c>
      <c r="C37" s="30" t="s">
        <v>612</v>
      </c>
      <c r="D37" s="30" t="s">
        <v>49</v>
      </c>
      <c r="E37" s="30" t="s">
        <v>186</v>
      </c>
      <c r="F37" s="43">
        <v>0</v>
      </c>
      <c r="G37" s="43">
        <v>152</v>
      </c>
      <c r="H37" s="43">
        <v>690</v>
      </c>
      <c r="I37" s="43">
        <v>484</v>
      </c>
      <c r="J37" s="30" t="s">
        <v>187</v>
      </c>
      <c r="K37" s="43">
        <v>1</v>
      </c>
      <c r="L37" s="139" t="s">
        <v>51</v>
      </c>
      <c r="M37" s="140">
        <f t="shared" si="0"/>
        <v>255.024</v>
      </c>
      <c r="N37" s="141" t="str">
        <f>VLOOKUP(C37,'Trips&amp;Operators'!$C$1:$G$99999,5,FALSE)</f>
        <v>DAVIS MICHAEL</v>
      </c>
      <c r="O37" s="190" t="s">
        <v>185</v>
      </c>
      <c r="P37" s="142"/>
      <c r="Q37" s="30"/>
      <c r="R37" s="89" t="str">
        <f>IF(VLOOKUP(C37,'Train Runs'!$A$13:$AE$9938,1,1)=C37,VLOOKUP(C37,'Train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7" s="94" t="str">
        <f t="shared" si="1"/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7" s="9" t="str">
        <f t="shared" si="2"/>
        <v>4027</v>
      </c>
      <c r="V37" s="32">
        <f t="shared" si="3"/>
        <v>42828.933599537035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"%USERPROFILE%\AppData\Local\Temp\OnboardLogs"\RTDC4027\*4027*201704032*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7" s="153" t="str">
        <f t="shared" si="9"/>
        <v>start /low /b %USERPROFILE%\Documents\GitHub\eaglep3\Utilities\DownloadLogsFromS3.py --loco 4027 --day 2017-04-03</v>
      </c>
      <c r="AF37" s="1"/>
    </row>
    <row r="38" spans="1:32" x14ac:dyDescent="0.25">
      <c r="A38" s="32">
        <v>42828.684618055559</v>
      </c>
      <c r="B38" s="30" t="s">
        <v>379</v>
      </c>
      <c r="C38" s="30" t="s">
        <v>612</v>
      </c>
      <c r="D38" s="30" t="s">
        <v>49</v>
      </c>
      <c r="E38" s="30" t="s">
        <v>186</v>
      </c>
      <c r="F38" s="43">
        <v>0</v>
      </c>
      <c r="G38" s="43">
        <v>23</v>
      </c>
      <c r="H38" s="43">
        <v>45</v>
      </c>
      <c r="I38" s="43">
        <v>25</v>
      </c>
      <c r="J38" s="30" t="s">
        <v>187</v>
      </c>
      <c r="K38" s="43">
        <v>1</v>
      </c>
      <c r="L38" s="139" t="s">
        <v>51</v>
      </c>
      <c r="M38" s="140">
        <f t="shared" si="0"/>
        <v>12.672000000000001</v>
      </c>
      <c r="N38" s="141" t="str">
        <f>VLOOKUP(C38,'Trips&amp;Operators'!$C$1:$G$99999,5,FALSE)</f>
        <v>DAVIS MICHAEL</v>
      </c>
      <c r="O38" s="190" t="s">
        <v>185</v>
      </c>
      <c r="P38" s="142"/>
      <c r="Q38" s="30"/>
      <c r="R38" s="89" t="str">
        <f>IF(VLOOKUP(C38,'Train Runs'!$A$13:$AE$9938,1,1)=C38,VLOOKUP(C38,'Train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 t="shared" si="1"/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8" s="9" t="str">
        <f t="shared" si="2"/>
        <v>4027</v>
      </c>
      <c r="V38" s="32">
        <f t="shared" si="3"/>
        <v>42828.934618055559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"%USERPROFILE%\AppData\Local\Temp\OnboardLogs"\RTDC4027\*4027*201704032*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8" s="153" t="str">
        <f t="shared" si="9"/>
        <v>start /low /b %USERPROFILE%\Documents\GitHub\eaglep3\Utilities\DownloadLogsFromS3.py --loco 4027 --day 2017-04-03</v>
      </c>
      <c r="AF38" s="1"/>
    </row>
    <row r="39" spans="1:32" x14ac:dyDescent="0.25">
      <c r="A39" s="32">
        <v>42828.684976851851</v>
      </c>
      <c r="B39" s="30" t="s">
        <v>379</v>
      </c>
      <c r="C39" s="30" t="s">
        <v>612</v>
      </c>
      <c r="D39" s="30" t="s">
        <v>49</v>
      </c>
      <c r="E39" s="30" t="s">
        <v>186</v>
      </c>
      <c r="F39" s="43">
        <v>0</v>
      </c>
      <c r="G39" s="43">
        <v>24</v>
      </c>
      <c r="H39" s="43">
        <v>5</v>
      </c>
      <c r="I39" s="43">
        <v>0</v>
      </c>
      <c r="J39" s="30" t="s">
        <v>187</v>
      </c>
      <c r="K39" s="43">
        <v>1</v>
      </c>
      <c r="L39" s="139" t="s">
        <v>51</v>
      </c>
      <c r="M39" s="140">
        <f t="shared" ref="M39:M63" si="10">CONVERT((I39-K39)/10000,"mi","ft")*IF(L39="Increasing Mileposts (1)",-1,1)</f>
        <v>-0.52800000000000002</v>
      </c>
      <c r="N39" s="141" t="str">
        <f>VLOOKUP(C39,'Trips&amp;Operators'!$C$1:$G$99999,5,FALSE)</f>
        <v>DAVIS MICHAEL</v>
      </c>
      <c r="O39" s="190" t="s">
        <v>185</v>
      </c>
      <c r="P39" s="142"/>
      <c r="Q39" s="30"/>
      <c r="R39" s="89" t="str">
        <f>IF(VLOOKUP(C39,'Train Runs'!$A$13:$AE$9938,1,1)=C39,VLOOKUP(C39,'Train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-04-03T14:38:08-0600',mode:absolute,to:'2017-04-03T17:26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9" s="94" t="str">
        <f t="shared" ref="T39:T63" si="11"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/stypes="*4027*201704032*" /stext=" 22:.+((SYSTEM_STATE.+slice.+state.+changed )|(ment ac)|(multiple cpu faults)|(system.+state.+changed )|(\[timeout)|(PRM\|1\|D)|(kpr)|(kdp)|(\|lc)|(penalty))"</v>
      </c>
      <c r="U39" s="9" t="str">
        <f t="shared" ref="U39:U63" si="12">MID(B39,13,4)</f>
        <v>4027</v>
      </c>
      <c r="V39" s="32">
        <f t="shared" ref="V39:V63" si="13">A39-utc_offset/24</f>
        <v>42828.934976851851</v>
      </c>
      <c r="W39" s="46" t="str">
        <f t="shared" ref="W39:W63" si="14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3" si="15">IF(AND(E39="TRACK WARRANT AUTHORITY",G39&lt;10),"OMIT","KEEP")</f>
        <v>KEEP</v>
      </c>
      <c r="Y39" s="104" t="str">
        <f t="shared" ref="Y39:Y63" si="16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ID","value":"190-03"},{"id":16,"name":"Locomotive ID","value":"4027"},{"id":130,"name":"Impact","value":""},{"id":150,"name":"Time of Event (Mountain Time)","value":"16:26:22"},{"id":151,"name":"Denver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ref="AC39:AC63" si="17">"grep -hSE -A400 ""Enforcement Action"" "&amp;search_path&amp;"\RTDC"&amp;U39&amp;"\*"&amp;U39&amp;"*"&amp;TEXT(A39-utc_offset/24,"YYYYMMDD")&amp;LEFT(TEXT(A39-utc_offset/24,"HH"),1)&amp;"* | grep -SE ""((Enforcement Ac)|(PRM.+XING))"" -"</f>
        <v>grep -hSE -A400 "Enforcement Action" "%USERPROFILE%\AppData\Local\Temp\OnboardLogs"\RTDC4027\*4027*201704032*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"%USERPROFILE%\AppData\Local\Temp\OnboardLogs"\RTDC4027\*4027*201704032* &gt;&gt; 2017-04-03-SliceDisagreementCheck.txt</v>
      </c>
      <c r="AE39" s="153" t="str">
        <f t="shared" si="9"/>
        <v>start /low /b %USERPROFILE%\Documents\GitHub\eaglep3\Utilities\DownloadLogsFromS3.py --loco 4027 --day 2017-04-03</v>
      </c>
      <c r="AF39" s="1"/>
    </row>
    <row r="40" spans="1:32" x14ac:dyDescent="0.25">
      <c r="A40" s="32">
        <v>42828.755347222221</v>
      </c>
      <c r="B40" s="30" t="s">
        <v>379</v>
      </c>
      <c r="C40" s="30" t="s">
        <v>616</v>
      </c>
      <c r="D40" s="30" t="s">
        <v>49</v>
      </c>
      <c r="E40" s="30" t="s">
        <v>186</v>
      </c>
      <c r="F40" s="43">
        <v>0</v>
      </c>
      <c r="G40" s="43">
        <v>57</v>
      </c>
      <c r="H40" s="43">
        <v>132</v>
      </c>
      <c r="I40" s="43">
        <v>81</v>
      </c>
      <c r="J40" s="30" t="s">
        <v>187</v>
      </c>
      <c r="K40" s="43">
        <v>1</v>
      </c>
      <c r="L40" s="139" t="s">
        <v>51</v>
      </c>
      <c r="M40" s="140">
        <f t="shared" si="10"/>
        <v>42.24</v>
      </c>
      <c r="N40" s="141" t="str">
        <f>VLOOKUP(C40,'Trips&amp;Operators'!$C$1:$G$99999,5,FALSE)</f>
        <v>DAVIS MICHAEL</v>
      </c>
      <c r="O40" s="190" t="s">
        <v>185</v>
      </c>
      <c r="P40" s="142"/>
      <c r="Q40" s="30"/>
      <c r="R40" s="89" t="str">
        <f>IF(VLOOKUP(C40,'Train Runs'!$A$13:$AE$9938,1,1)=C40,VLOOKUP(C40,'Train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0" s="94" t="str">
        <f t="shared" si="11"/>
        <v>"C:\Program Files (x86)\AstroGrep\AstroGrep.exe" /e /r /s /spath="%USERPROFILE%\AppData\Local\Temp\OnboardLogs" /stypes="*4027*201704040*" /stext=" 00:.+((SYSTEM_STATE.+slice.+state.+changed )|(ment ac)|(multiple cpu faults)|(system.+state.+changed )|(\[timeout)|(PRM\|1\|D)|(kpr)|(kdp)|(\|lc)|(penalty))"</v>
      </c>
      <c r="U40" s="9" t="str">
        <f t="shared" si="12"/>
        <v>4027</v>
      </c>
      <c r="V40" s="32">
        <f t="shared" si="13"/>
        <v>42829.005347222221</v>
      </c>
      <c r="W40" s="46" t="str">
        <f t="shared" si="14"/>
        <v>EC</v>
      </c>
      <c r="X40" s="46" t="str">
        <f t="shared" si="15"/>
        <v>KEEP</v>
      </c>
      <c r="Y40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ID","value":"204-03"},{"id":16,"name":"Locomotive ID","value":"4027"},{"id":130,"name":"Impact","value":""},{"id":150,"name":"Time of Event (Mountain Time)","value":"18:07:42"},{"id":151,"name":"Denver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7"/>
        <v>grep -hSE -A400 "Enforcement Action" "%USERPROFILE%\AppData\Local\Temp\OnboardLogs"\RTDC4027\*4027*201704040*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40" s="153" t="str">
        <f t="shared" si="9"/>
        <v>start /low /b %USERPROFILE%\Documents\GitHub\eaglep3\Utilities\DownloadLogsFromS3.py --loco 4027 --day 2017-04-04</v>
      </c>
      <c r="AF40" s="1"/>
    </row>
    <row r="41" spans="1:32" x14ac:dyDescent="0.25">
      <c r="A41" s="32">
        <v>42828.75571759259</v>
      </c>
      <c r="B41" s="30" t="s">
        <v>379</v>
      </c>
      <c r="C41" s="30" t="s">
        <v>616</v>
      </c>
      <c r="D41" s="30" t="s">
        <v>49</v>
      </c>
      <c r="E41" s="30" t="s">
        <v>186</v>
      </c>
      <c r="F41" s="43">
        <v>0</v>
      </c>
      <c r="G41" s="43">
        <v>29</v>
      </c>
      <c r="H41" s="43">
        <v>45</v>
      </c>
      <c r="I41" s="43">
        <v>16</v>
      </c>
      <c r="J41" s="30" t="s">
        <v>187</v>
      </c>
      <c r="K41" s="43">
        <v>1</v>
      </c>
      <c r="L41" s="139" t="s">
        <v>51</v>
      </c>
      <c r="M41" s="140">
        <f t="shared" si="10"/>
        <v>7.92</v>
      </c>
      <c r="N41" s="141" t="str">
        <f>VLOOKUP(C41,'Trips&amp;Operators'!$C$1:$G$99999,5,FALSE)</f>
        <v>DAVIS MICHAEL</v>
      </c>
      <c r="O41" s="190" t="s">
        <v>185</v>
      </c>
      <c r="P41" s="142"/>
      <c r="Q41" s="30"/>
      <c r="R41" s="89" t="str">
        <f>IF(VLOOKUP(C41,'Train Runs'!$A$13:$AE$9938,1,1)=C41,VLOOKUP(C41,'Train Runs'!$A$13:$AE$9938,31,1),NA())</f>
        <v>aws s3 cp s3://rtdc.mdm.uploadarchive.raw/RTDC4027/ "%USERPROFILE%\AppData\Local\Temp\OnboardLogs"\RTDC4027\2017-04-03 --exclude "*" --recursive --include "*20170403*" &amp; "%USERPROFILE%\Documents\GitHub\mrs-test-scripts\Headless Mode &amp; Sideloading\WalkAndUnGZ.bat" "%USERPROFILE%\AppData\Local\Temp\OnboardLogs"\RTDC4027\2017-04-03 &amp; aws s3 cp s3://rtdc.mdm.uploadarchive.raw/RTDC4027/ "%USERPROFILE%\AppData\Local\Temp\OnboardLogs"\RTDC4027\2017-04-04 --exclude "*" --recursive --include "*20170404*" &amp; "%USERPROFILE%\Documents\GitHub\mrs-test-scripts\Headless Mode &amp; Sideloading\WalkAndUnGZ.bat" "%USERPROFILE%\AppData\Local\Temp\OnboardLogs"\RTDC4027\2017-04-04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-04-03T16:26:13-0600',mode:absolute,to:'2017-04-03T19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1" s="94" t="str">
        <f t="shared" si="11"/>
        <v>"C:\Program Files (x86)\AstroGrep\AstroGrep.exe" /e /r /s /spath="%USERPROFILE%\AppData\Local\Temp\OnboardLogs" /stypes="*4027*201704040*" /stext=" 00:.+((SYSTEM_STATE.+slice.+state.+changed )|(ment ac)|(multiple cpu faults)|(system.+state.+changed )|(\[timeout)|(PRM\|1\|D)|(kpr)|(kdp)|(\|lc)|(penalty))"</v>
      </c>
      <c r="U41" s="9" t="str">
        <f t="shared" si="12"/>
        <v>4027</v>
      </c>
      <c r="V41" s="32">
        <f t="shared" si="13"/>
        <v>42829.00571759259</v>
      </c>
      <c r="W41" s="46" t="str">
        <f t="shared" si="14"/>
        <v>EC</v>
      </c>
      <c r="X41" s="46" t="str">
        <f t="shared" si="15"/>
        <v>KEEP</v>
      </c>
      <c r="Y41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{"issue":{"subject":"","project_id":79,"tracker_id":40,"status_id":1,"priority_id":2,"assigned_to_id":23,"start_date":"2017-04-03","description":"","custom_fields":[{"id":1,"name":"Subdivision","value":"EC"},{"id":4,"name":"Milepost","value":"0.0001"},{"id":17,"name":"Train ID","value":"204-03"},{"id":16,"name":"Locomotive ID","value":"4027"},{"id":130,"name":"Impact","value":""},{"id":150,"name":"Time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7"/>
        <v>grep -hSE -A400 "Enforcement Action" "%USERPROFILE%\AppData\Local\Temp\OnboardLogs"\RTDC4027\*4027*201704040*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"%USERPROFILE%\AppData\Local\Temp\OnboardLogs"\RTDC4027\*4027*201704040* &gt;&gt; 2017-04-03-SliceDisagreementCheck.txt</v>
      </c>
      <c r="AE41" s="153" t="str">
        <f t="shared" si="9"/>
        <v>start /low /b %USERPROFILE%\Documents\GitHub\eaglep3\Utilities\DownloadLogsFromS3.py --loco 4027 --day 2017-04-04</v>
      </c>
      <c r="AF41" s="1"/>
    </row>
    <row r="42" spans="1:32" x14ac:dyDescent="0.25">
      <c r="A42" s="32">
        <v>42828.316805555558</v>
      </c>
      <c r="B42" s="30" t="s">
        <v>578</v>
      </c>
      <c r="C42" s="30" t="s">
        <v>579</v>
      </c>
      <c r="D42" s="30" t="s">
        <v>49</v>
      </c>
      <c r="E42" s="30" t="s">
        <v>186</v>
      </c>
      <c r="F42" s="43">
        <v>0</v>
      </c>
      <c r="G42" s="43">
        <v>61</v>
      </c>
      <c r="H42" s="43">
        <v>233280</v>
      </c>
      <c r="I42" s="43">
        <v>233336</v>
      </c>
      <c r="J42" s="30" t="s">
        <v>187</v>
      </c>
      <c r="K42" s="43">
        <v>233491</v>
      </c>
      <c r="L42" s="139" t="s">
        <v>50</v>
      </c>
      <c r="M42" s="140">
        <f t="shared" si="10"/>
        <v>81.84</v>
      </c>
      <c r="N42" s="141" t="str">
        <f>VLOOKUP(C42,'Trips&amp;Operators'!$C$1:$G$99999,5,FALSE)</f>
        <v>SANTIZO D. EDY</v>
      </c>
      <c r="O42" s="190" t="s">
        <v>185</v>
      </c>
      <c r="P42" s="142"/>
      <c r="Q42" s="30"/>
      <c r="R42" s="89" t="str">
        <f>IF(VLOOKUP(C42,'Train Runs'!$A$13:$AE$9938,1,1)=C42,VLOOKUP(C42,'Train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-04-03T05:52:09-0600',mode:absolute,to:'2017-04-03T08:36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2" s="94" t="str">
        <f t="shared" si="11"/>
        <v>"C:\Program Files (x86)\AstroGrep\AstroGrep.exe" /e /r /s /spath="%USERPROFILE%\AppData\Local\Temp\OnboardLogs" /stypes="*4004*201704031*" /stext=" 13:.+((SYSTEM_STATE.+slice.+state.+changed )|(ment ac)|(multiple cpu faults)|(system.+state.+changed )|(\[timeout)|(PRM\|1\|D)|(kpr)|(kdp)|(\|lc)|(penalty))"</v>
      </c>
      <c r="U42" s="9" t="str">
        <f t="shared" si="12"/>
        <v>4004</v>
      </c>
      <c r="V42" s="32">
        <f t="shared" si="13"/>
        <v>42828.566805555558</v>
      </c>
      <c r="W42" s="46" t="str">
        <f t="shared" si="14"/>
        <v>EC</v>
      </c>
      <c r="X42" s="46" t="str">
        <f t="shared" si="15"/>
        <v>KEEP</v>
      </c>
      <c r="Y42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ID","value":"127-03"},{"id":16,"name":"Locomotive ID","value":"4004"},{"id":130,"name":"Impact","value":""},{"id":150,"name":"Time of Event (Mountain Time)","value":"07:36:12"},{"id":151,"name":"Denver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7"/>
        <v>grep -hSE -A400 "Enforcement Action" "%USERPROFILE%\AppData\Local\Temp\OnboardLogs"\RTDC4004\*4004*201704031*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"%USERPROFILE%\AppData\Local\Temp\OnboardLogs"\RTDC4004\*4004*201704031* &gt;&gt; 2017-04-03-SliceDisagreementCheck.txt</v>
      </c>
      <c r="AE42" s="153" t="str">
        <f t="shared" si="9"/>
        <v>start /low /b %USERPROFILE%\Documents\GitHub\eaglep3\Utilities\DownloadLogsFromS3.py --loco 4004 --day 2017-04-03</v>
      </c>
      <c r="AF42" s="1"/>
    </row>
    <row r="43" spans="1:32" x14ac:dyDescent="0.25">
      <c r="A43" s="32">
        <v>42828.537499999999</v>
      </c>
      <c r="B43" s="30" t="s">
        <v>578</v>
      </c>
      <c r="C43" s="30" t="s">
        <v>598</v>
      </c>
      <c r="D43" s="30" t="s">
        <v>49</v>
      </c>
      <c r="E43" s="30" t="s">
        <v>186</v>
      </c>
      <c r="F43" s="43">
        <v>0</v>
      </c>
      <c r="G43" s="43">
        <v>56</v>
      </c>
      <c r="H43" s="43">
        <v>233266</v>
      </c>
      <c r="I43" s="43">
        <v>233312</v>
      </c>
      <c r="J43" s="30" t="s">
        <v>187</v>
      </c>
      <c r="K43" s="43">
        <v>233491</v>
      </c>
      <c r="L43" s="139" t="s">
        <v>50</v>
      </c>
      <c r="M43" s="140">
        <f t="shared" si="10"/>
        <v>94.512</v>
      </c>
      <c r="N43" s="141" t="str">
        <f>VLOOKUP(C43,'Trips&amp;Operators'!$C$1:$G$99999,5,FALSE)</f>
        <v>SULLIVAN BRANDON</v>
      </c>
      <c r="O43" s="190" t="s">
        <v>185</v>
      </c>
      <c r="P43" s="142"/>
      <c r="Q43" s="30"/>
      <c r="R43" s="89" t="str">
        <f>IF(VLOOKUP(C43,'Train Runs'!$A$13:$AE$9938,1,1)=C43,VLOOKUP(C43,'Train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-04-03T11:11:49-0600',mode:absolute,to:'2017-04-03T13:54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3" s="94" t="str">
        <f t="shared" si="11"/>
        <v>"C:\Program Files (x86)\AstroGrep\AstroGrep.exe" /e /r /s /spath="%USERPROFILE%\AppData\Local\Temp\OnboardLogs" /stypes="*4004*201704031*" /stext=" 18:.+((SYSTEM_STATE.+slice.+state.+changed )|(ment ac)|(multiple cpu faults)|(system.+state.+changed )|(\[timeout)|(PRM\|1\|D)|(kpr)|(kdp)|(\|lc)|(penalty))"</v>
      </c>
      <c r="U43" s="9" t="str">
        <f t="shared" si="12"/>
        <v>4004</v>
      </c>
      <c r="V43" s="32">
        <f t="shared" si="13"/>
        <v>42828.787499999999</v>
      </c>
      <c r="W43" s="46" t="str">
        <f t="shared" si="14"/>
        <v>EC</v>
      </c>
      <c r="X43" s="46" t="str">
        <f t="shared" si="15"/>
        <v>KEEP</v>
      </c>
      <c r="Y43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ID","value":"169-03"},{"id":16,"name":"Locomotive ID","value":"4004"},{"id":130,"name":"Impact","value":""},{"id":150,"name":"Time of Event (Mountain Time)","value":"12:54:00"},{"id":151,"name":"Denver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7"/>
        <v>grep -hSE -A400 "Enforcement Action" "%USERPROFILE%\AppData\Local\Temp\OnboardLogs"\RTDC4004\*4004*201704031*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"%USERPROFILE%\AppData\Local\Temp\OnboardLogs"\RTDC4004\*4004*201704031* &gt;&gt; 2017-04-03-SliceDisagreementCheck.txt</v>
      </c>
      <c r="AE43" s="153" t="str">
        <f t="shared" si="9"/>
        <v>start /low /b %USERPROFILE%\Documents\GitHub\eaglep3\Utilities\DownloadLogsFromS3.py --loco 4004 --day 2017-04-03</v>
      </c>
      <c r="AF43" s="1"/>
    </row>
    <row r="44" spans="1:32" x14ac:dyDescent="0.25">
      <c r="A44" s="32">
        <v>42828.629340277781</v>
      </c>
      <c r="B44" s="30" t="s">
        <v>392</v>
      </c>
      <c r="C44" s="30" t="s">
        <v>609</v>
      </c>
      <c r="D44" s="30" t="s">
        <v>49</v>
      </c>
      <c r="E44" s="30" t="s">
        <v>186</v>
      </c>
      <c r="F44" s="43">
        <v>0</v>
      </c>
      <c r="G44" s="43">
        <v>135</v>
      </c>
      <c r="H44" s="43">
        <v>233057</v>
      </c>
      <c r="I44" s="43">
        <v>233227</v>
      </c>
      <c r="J44" s="30" t="s">
        <v>187</v>
      </c>
      <c r="K44" s="43">
        <v>233491</v>
      </c>
      <c r="L44" s="139" t="s">
        <v>50</v>
      </c>
      <c r="M44" s="140">
        <f t="shared" si="10"/>
        <v>139.392</v>
      </c>
      <c r="N44" s="141" t="str">
        <f>VLOOKUP(C44,'Trips&amp;Operators'!$C$1:$G$99999,5,FALSE)</f>
        <v>STEWART MICHAEL</v>
      </c>
      <c r="O44" s="190" t="s">
        <v>185</v>
      </c>
      <c r="P44" s="142"/>
      <c r="Q44" s="30"/>
      <c r="R44" s="89" t="str">
        <f>IF(VLOOKUP(C44,'Train Runs'!$A$13:$AE$9938,1,1)=C44,VLOOKUP(C44,'Train Runs'!$A$13:$AE$9938,31,1),NA())</f>
        <v>aws s3 cp s3://rtdc.mdm.uploadarchive.raw/RTDC4044/ "%USERPROFILE%\AppData\Local\Temp\OnboardLogs"\RTDC4044\2017-04-03 --exclude "*" --recursive --include "*20170403*" &amp; "%USERPROFILE%\Documents\GitHub\mrs-test-scripts\Headless Mode &amp; Sideloading\WalkAndUnGZ.bat" "%USERPROFILE%\AppData\Local\Temp\OnboardLogs"\RTDC4044\2017-04-03 &amp; aws s3 cp s3://rtdc.mdm.uploadarchive.raw/RTDC4044/ "%USERPROFILE%\AppData\Local\Temp\OnboardLogs"\RTDC4044\2017-04-04 --exclude "*" --recursive --include "*20170404*" &amp; "%USERPROFILE%\Documents\GitHub\mrs-test-scripts\Headless Mode &amp; Sideloading\WalkAndUnGZ.bat" "%USERPROFILE%\AppData\Local\Temp\OnboardLogs"\RTDC4044\2017-04-04</v>
      </c>
      <c r="S44" s="92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-04-03T13:24:41-0600',mode:absolute,to:'2017-04-03T16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4" s="94" t="str">
        <f t="shared" si="11"/>
        <v>"C:\Program Files (x86)\AstroGrep\AstroGrep.exe" /e /r /s /spath="%USERPROFILE%\AppData\Local\Temp\OnboardLogs" /stypes="*4044*201704032*" /stext=" 21:.+((SYSTEM_STATE.+slice.+state.+changed )|(ment ac)|(multiple cpu faults)|(system.+state.+changed )|(\[timeout)|(PRM\|1\|D)|(kpr)|(kdp)|(\|lc)|(penalty))"</v>
      </c>
      <c r="U44" s="9" t="str">
        <f t="shared" si="12"/>
        <v>4044</v>
      </c>
      <c r="V44" s="32">
        <f t="shared" si="13"/>
        <v>42828.879340277781</v>
      </c>
      <c r="W44" s="46" t="str">
        <f t="shared" si="14"/>
        <v>EC</v>
      </c>
      <c r="X44" s="46" t="str">
        <f t="shared" si="15"/>
        <v>KEEP</v>
      </c>
      <c r="Y44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ID","value":"187-03"},{"id":16,"name":"Locomotive ID","value":"4044"},{"id":130,"name":"Impact","value":""},{"id":150,"name":"Time of Event (Mountain Time)","value":"15:06:15"},{"id":151,"name":"Denver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7"/>
        <v>grep -hSE -A400 "Enforcement Action" "%USERPROFILE%\AppData\Local\Temp\OnboardLogs"\RTDC4044\*4044*201704032*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"%USERPROFILE%\AppData\Local\Temp\OnboardLogs"\RTDC4044\*4044*201704032* &gt;&gt; 2017-04-03-SliceDisagreementCheck.txt</v>
      </c>
      <c r="AE44" s="153" t="str">
        <f t="shared" si="9"/>
        <v>start /low /b %USERPROFILE%\Documents\GitHub\eaglep3\Utilities\DownloadLogsFromS3.py --loco 4044 --day 2017-04-03</v>
      </c>
      <c r="AF44" s="1"/>
    </row>
    <row r="45" spans="1:32" x14ac:dyDescent="0.25">
      <c r="A45" s="32">
        <v>42828.756238425929</v>
      </c>
      <c r="B45" s="30" t="s">
        <v>578</v>
      </c>
      <c r="C45" s="30" t="s">
        <v>614</v>
      </c>
      <c r="D45" s="30" t="s">
        <v>49</v>
      </c>
      <c r="E45" s="30" t="s">
        <v>186</v>
      </c>
      <c r="F45" s="43">
        <v>0</v>
      </c>
      <c r="G45" s="43">
        <v>60</v>
      </c>
      <c r="H45" s="43">
        <v>233261</v>
      </c>
      <c r="I45" s="43">
        <v>233342</v>
      </c>
      <c r="J45" s="30" t="s">
        <v>187</v>
      </c>
      <c r="K45" s="43">
        <v>233491</v>
      </c>
      <c r="L45" s="139" t="s">
        <v>50</v>
      </c>
      <c r="M45" s="140">
        <f t="shared" si="10"/>
        <v>78.671999999999997</v>
      </c>
      <c r="N45" s="141" t="str">
        <f>VLOOKUP(C45,'Trips&amp;Operators'!$C$1:$G$99999,5,FALSE)</f>
        <v>LOCKLEAR TRAVIS</v>
      </c>
      <c r="O45" s="190" t="s">
        <v>185</v>
      </c>
      <c r="P45" s="142"/>
      <c r="Q45" s="30"/>
      <c r="R45" s="89" t="str">
        <f>IF(VLOOKUP(C45,'Train Runs'!$A$13:$AE$9938,1,1)=C45,VLOOKUP(C45,'Train Runs'!$A$13:$AE$9938,31,1),NA())</f>
        <v>aws s3 cp s3://rtdc.mdm.uploadarchive.raw/RTDC4004/ "%USERPROFILE%\AppData\Local\Temp\OnboardLogs"\RTDC4004\2017-04-03 --exclude "*" --recursive --include "*20170403*" &amp; "%USERPROFILE%\Documents\GitHub\mrs-test-scripts\Headless Mode &amp; Sideloading\WalkAndUnGZ.bat" "%USERPROFILE%\AppData\Local\Temp\OnboardLogs"\RTDC4004\2017-04-03 &amp; aws s3 cp s3://rtdc.mdm.uploadarchive.raw/RTDC4004/ "%USERPROFILE%\AppData\Local\Temp\OnboardLogs"\RTDC4004\2017-04-04 --exclude "*" --recursive --include "*20170404*" &amp; "%USERPROFILE%\Documents\GitHub\mrs-test-scripts\Headless Mode &amp; Sideloading\WalkAndUnGZ.bat" "%USERPROFILE%\AppData\Local\Temp\OnboardLogs"\RTDC4004\2017-04-04</v>
      </c>
      <c r="S45" s="92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-04-03T16:27:32-0600',mode:absolute,to:'2017-04-03T19:09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45" s="94" t="str">
        <f t="shared" si="11"/>
        <v>"C:\Program Files (x86)\AstroGrep\AstroGrep.exe" /e /r /s /spath="%USERPROFILE%\AppData\Local\Temp\OnboardLogs" /stypes="*4004*201704040*" /stext=" 00:.+((SYSTEM_STATE.+slice.+state.+changed )|(ment ac)|(multiple cpu faults)|(system.+state.+changed )|(\[timeout)|(PRM\|1\|D)|(kpr)|(kdp)|(\|lc)|(penalty))"</v>
      </c>
      <c r="U45" s="9" t="str">
        <f t="shared" si="12"/>
        <v>4004</v>
      </c>
      <c r="V45" s="32">
        <f t="shared" si="13"/>
        <v>42829.006238425929</v>
      </c>
      <c r="W45" s="46" t="str">
        <f t="shared" si="14"/>
        <v>EC</v>
      </c>
      <c r="X45" s="46" t="str">
        <f t="shared" si="15"/>
        <v>KEEP</v>
      </c>
      <c r="Y45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ID","value":"211-03"},{"id":16,"name":"Locomotive ID","value":"4004"},{"id":130,"name":"Impact","value":""},{"id":150,"name":"Time of Event (Mountain Time)","value":"18:08:59"},{"id":151,"name":"Denver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7"/>
        <v>grep -hSE -A400 "Enforcement Action" "%USERPROFILE%\AppData\Local\Temp\OnboardLogs"\RTDC4004\*4004*201704040*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"%USERPROFILE%\AppData\Local\Temp\OnboardLogs"\RTDC4004\*4004*201704040* &gt;&gt; 2017-04-03-SliceDisagreementCheck.txt</v>
      </c>
      <c r="AE45" s="153" t="str">
        <f t="shared" si="9"/>
        <v>start /low /b %USERPROFILE%\Documents\GitHub\eaglep3\Utilities\DownloadLogsFromS3.py --loco 4004 --day 2017-04-04</v>
      </c>
      <c r="AF45" s="1"/>
    </row>
    <row r="46" spans="1:32" x14ac:dyDescent="0.25">
      <c r="A46" s="32">
        <v>42828.942430555559</v>
      </c>
      <c r="B46" s="30" t="s">
        <v>378</v>
      </c>
      <c r="C46" s="30" t="s">
        <v>622</v>
      </c>
      <c r="D46" s="30" t="s">
        <v>49</v>
      </c>
      <c r="E46" s="30" t="s">
        <v>186</v>
      </c>
      <c r="F46" s="43">
        <v>0</v>
      </c>
      <c r="G46" s="43">
        <v>43</v>
      </c>
      <c r="H46" s="43">
        <v>233421</v>
      </c>
      <c r="I46" s="43">
        <v>233444</v>
      </c>
      <c r="J46" s="30" t="s">
        <v>187</v>
      </c>
      <c r="K46" s="43">
        <v>233491</v>
      </c>
      <c r="L46" s="139" t="s">
        <v>50</v>
      </c>
      <c r="M46" s="140">
        <f t="shared" si="10"/>
        <v>24.815999999999999</v>
      </c>
      <c r="N46" s="141" t="str">
        <f>VLOOKUP(C46,'Trips&amp;Operators'!$C$1:$G$99999,5,FALSE)</f>
        <v>GUZMAN DANNY</v>
      </c>
      <c r="O46" s="190" t="s">
        <v>185</v>
      </c>
      <c r="P46" s="142"/>
      <c r="Q46" s="30"/>
      <c r="R46" s="89" t="str">
        <f>IF(VLOOKUP(C46,'Train Runs'!$A$13:$AE$9938,1,1)=C46,VLOOKUP(C46,'Train Runs'!$A$13:$AE$9938,31,1),NA())</f>
        <v>aws s3 cp s3://rtdc.mdm.uploadarchive.raw/RTDC4028/ "%USERPROFILE%\AppData\Local\Temp\OnboardLogs"\RTDC4028\2017-04-03 --exclude "*" --recursive --include "*20170403*" &amp; "%USERPROFILE%\Documents\GitHub\mrs-test-scripts\Headless Mode &amp; Sideloading\WalkAndUnGZ.bat" "%USERPROFILE%\AppData\Local\Temp\OnboardLogs"\RTDC4028\2017-04-03 &amp; aws s3 cp s3://rtdc.mdm.uploadarchive.raw/RTDC4028/ "%USERPROFILE%\AppData\Local\Temp\OnboardLogs"\RTDC4028\2017-04-04 --exclude "*" --recursive --include "*20170404*" &amp; "%USERPROFILE%\Documents\GitHub\mrs-test-scripts\Headless Mode &amp; Sideloading\WalkAndUnGZ.bat" "%USERPROFILE%\AppData\Local\Temp\OnboardLogs"\RTDC4028\2017-04-04</v>
      </c>
      <c r="S46" s="92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-04-03T20:36:30-0600',mode:absolute,to:'2017-04-03T23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6" s="94" t="str">
        <f t="shared" si="11"/>
        <v>"C:\Program Files (x86)\AstroGrep\AstroGrep.exe" /e /r /s /spath="%USERPROFILE%\AppData\Local\Temp\OnboardLogs" /stypes="*4028*201704040*" /stext=" 04:.+((SYSTEM_STATE.+slice.+state.+changed )|(ment ac)|(multiple cpu faults)|(system.+state.+changed )|(\[timeout)|(PRM\|1\|D)|(kpr)|(kdp)|(\|lc)|(penalty))"</v>
      </c>
      <c r="U46" s="9" t="str">
        <f t="shared" si="12"/>
        <v>4028</v>
      </c>
      <c r="V46" s="32">
        <f t="shared" si="13"/>
        <v>42829.192430555559</v>
      </c>
      <c r="W46" s="46" t="str">
        <f t="shared" si="14"/>
        <v>EC</v>
      </c>
      <c r="X46" s="46" t="str">
        <f t="shared" si="15"/>
        <v>KEEP</v>
      </c>
      <c r="Y46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ID","value":"233-03"},{"id":16,"name":"Locomotive ID","value":"4028"},{"id":130,"name":"Impact","value":""},{"id":150,"name":"Time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7"/>
        <v>grep -hSE -A400 "Enforcement Action" "%USERPROFILE%\AppData\Local\Temp\OnboardLogs"\RTDC4028\*4028*201704040*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"%USERPROFILE%\AppData\Local\Temp\OnboardLogs"\RTDC4028\*4028*201704040* &gt;&gt; 2017-04-03-SliceDisagreementCheck.txt</v>
      </c>
      <c r="AE46" s="153" t="str">
        <f t="shared" si="9"/>
        <v>start /low /b %USERPROFILE%\Documents\GitHub\eaglep3\Utilities\DownloadLogsFromS3.py --loco 4028 --day 2017-04-04</v>
      </c>
      <c r="AF46" s="1"/>
    </row>
    <row r="47" spans="1:32" x14ac:dyDescent="0.25">
      <c r="A47" s="32">
        <v>42828.963518518518</v>
      </c>
      <c r="B47" s="30" t="s">
        <v>524</v>
      </c>
      <c r="C47" s="30" t="s">
        <v>623</v>
      </c>
      <c r="D47" s="30" t="s">
        <v>49</v>
      </c>
      <c r="E47" s="30" t="s">
        <v>186</v>
      </c>
      <c r="F47" s="43">
        <v>0</v>
      </c>
      <c r="G47" s="43">
        <v>23</v>
      </c>
      <c r="H47" s="43">
        <v>233410</v>
      </c>
      <c r="I47" s="43">
        <v>233425</v>
      </c>
      <c r="J47" s="30" t="s">
        <v>187</v>
      </c>
      <c r="K47" s="43">
        <v>233491</v>
      </c>
      <c r="L47" s="139" t="s">
        <v>50</v>
      </c>
      <c r="M47" s="140">
        <f t="shared" si="10"/>
        <v>34.847999999999999</v>
      </c>
      <c r="N47" s="141" t="str">
        <f>VLOOKUP(C47,'Trips&amp;Operators'!$C$1:$G$99999,5,FALSE)</f>
        <v>STORY SAMANTHA</v>
      </c>
      <c r="O47" s="190" t="s">
        <v>185</v>
      </c>
      <c r="P47" s="142"/>
      <c r="Q47" s="30"/>
      <c r="R47" s="89" t="str">
        <f>IF(VLOOKUP(C47,'Train Runs'!$A$13:$AE$9938,1,1)=C47,VLOOKUP(C47,'Train Runs'!$A$13:$AE$9938,31,1),NA())</f>
        <v>aws s3 cp s3://rtdc.mdm.uploadarchive.raw/RTDC4018/ "%USERPROFILE%\AppData\Local\Temp\OnboardLogs"\RTDC4018\2017-04-03 --exclude "*" --recursive --include "*20170403*" &amp; "%USERPROFILE%\Documents\GitHub\mrs-test-scripts\Headless Mode &amp; Sideloading\WalkAndUnGZ.bat" "%USERPROFILE%\AppData\Local\Temp\OnboardLogs"\RTDC4018\2017-04-03 &amp; aws s3 cp s3://rtdc.mdm.uploadarchive.raw/RTDC4018/ "%USERPROFILE%\AppData\Local\Temp\OnboardLogs"\RTDC4018\2017-04-04 --exclude "*" --recursive --include "*20170404*" &amp; "%USERPROFILE%\Documents\GitHub\mrs-test-scripts\Headless Mode &amp; Sideloading\WalkAndUnGZ.bat" "%USERPROFILE%\AppData\Local\Temp\OnboardLogs"\RTDC4018\2017-04-04</v>
      </c>
      <c r="S47" s="92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-04-03T21:26:00-0600',mode:absolute,to:'2017-04-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47" s="94" t="str">
        <f t="shared" si="11"/>
        <v>"C:\Program Files (x86)\AstroGrep\AstroGrep.exe" /e /r /s /spath="%USERPROFILE%\AppData\Local\Temp\OnboardLogs" /stypes="*4018*201704040*" /stext=" 05:.+((SYSTEM_STATE.+slice.+state.+changed )|(ment ac)|(multiple cpu faults)|(system.+state.+changed )|(\[timeout)|(PRM\|1\|D)|(kpr)|(kdp)|(\|lc)|(penalty))"</v>
      </c>
      <c r="U47" s="9" t="str">
        <f t="shared" si="12"/>
        <v>4018</v>
      </c>
      <c r="V47" s="32">
        <f t="shared" si="13"/>
        <v>42829.213518518518</v>
      </c>
      <c r="W47" s="46" t="str">
        <f t="shared" si="14"/>
        <v>EC</v>
      </c>
      <c r="X47" s="46" t="str">
        <f t="shared" si="15"/>
        <v>KEEP</v>
      </c>
      <c r="Y47" s="104" t="str">
        <f t="shared" si="16"/>
        <v>echo {"issue":{"subject":"","project_id":79,"tracker_id":40,"status_id":1,"priority_id":2,"assigned_to_id":23,"start_date":"2017-04-03","description":"","custom_fields":[{"id":1,"name":"Subdivision","value":"EC"},{"id":4,"name":"Milepost","value":"23.3491"},{"id":17,"name":"Train ID","value":"235-03"},{"id":16,"name":"Locomotive ID","value":"4018"},{"id":130,"name":"Impact","value":""},{"id":150,"name":"Time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7"/>
        <v>grep -hSE -A400 "Enforcement Action" "%USERPROFILE%\AppData\Local\Temp\OnboardLogs"\RTDC4018\*4018*201704040* | grep -SE "((Enforcement Ac)|(PRM.+XING))"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"%USERPROFILE%\AppData\Local\Temp\OnboardLogs"\RTDC4018\*4018*201704040* &gt;&gt; 2017-04-03-SliceDisagreementCheck.txt</v>
      </c>
      <c r="AE47" s="153" t="str">
        <f t="shared" si="9"/>
        <v>start /low /b %USERPROFILE%\Documents\GitHub\eaglep3\Utilities\DownloadLogsFromS3.py --loco 4018 --day 2017-04-04</v>
      </c>
      <c r="AF47" s="1"/>
    </row>
    <row r="48" spans="1:32" x14ac:dyDescent="0.25">
      <c r="A48" s="32">
        <v>42828.433854166666</v>
      </c>
      <c r="B48" s="30" t="s">
        <v>586</v>
      </c>
      <c r="C48" s="30" t="s">
        <v>589</v>
      </c>
      <c r="D48" s="30" t="s">
        <v>49</v>
      </c>
      <c r="E48" s="30" t="s">
        <v>193</v>
      </c>
      <c r="F48" s="43">
        <v>0</v>
      </c>
      <c r="G48" s="43">
        <v>208</v>
      </c>
      <c r="H48" s="43">
        <v>10642</v>
      </c>
      <c r="I48" s="43">
        <v>10963</v>
      </c>
      <c r="J48" s="30" t="s">
        <v>194</v>
      </c>
      <c r="K48" s="43">
        <v>10716</v>
      </c>
      <c r="L48" s="139" t="s">
        <v>50</v>
      </c>
      <c r="M48" s="140">
        <f t="shared" si="10"/>
        <v>-130.416</v>
      </c>
      <c r="N48" s="141" t="str">
        <f>VLOOKUP(C48,'Trips&amp;Operators'!$C$1:$G$99999,5,FALSE)</f>
        <v>MENGES BRAD</v>
      </c>
      <c r="O48" s="190" t="s">
        <v>185</v>
      </c>
      <c r="P48" s="142" t="s">
        <v>1039</v>
      </c>
      <c r="Q48" s="30"/>
      <c r="R48" s="89" t="e">
        <f>IF(VLOOKUP(C48,'Train Runs'!$A$13:$AE$9938,1,1)=C48,VLOOKUP(C48,'Train Runs'!$A$13:$AE$9938,31,1),NA())</f>
        <v>#N/A</v>
      </c>
      <c r="S48" s="92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8" s="94" t="str">
        <f t="shared" si="11"/>
        <v>"C:\Program Files (x86)\AstroGrep\AstroGrep.exe" /e /r /s /spath="%USERPROFILE%\AppData\Local\Temp\OnboardLogs" /stypes="*4006*201704031*" /stext=" 16:.+((SYSTEM_STATE.+slice.+state.+changed )|(ment ac)|(multiple cpu faults)|(system.+state.+changed )|(\[timeout)|(PRM\|1\|D)|(kpr)|(kdp)|(\|lc)|(penalty))"</v>
      </c>
      <c r="U48" s="9" t="str">
        <f t="shared" si="12"/>
        <v>4006</v>
      </c>
      <c r="V48" s="32">
        <f t="shared" si="13"/>
        <v>42828.683854166666</v>
      </c>
      <c r="W48" s="46" t="str">
        <f t="shared" si="14"/>
        <v>NW</v>
      </c>
      <c r="X48" s="46" t="str">
        <f t="shared" si="15"/>
        <v>KEEP</v>
      </c>
      <c r="Y48" s="104" t="str">
        <f t="shared" si="16"/>
        <v>echo {"issue":{"subject":"Early arrival","project_id":79,"tracker_id":40,"status_id":1,"priority_id":2,"assigned_to_id":23,"start_date":"2017-04-03","description":"","custom_fields":[{"id":1,"name":"Subdivision","value":"NW"},{"id":4,"name":"Milepost","value":"1.0716"},{"id":17,"name":"Train ID","value":"815-03"},{"id":16,"name":"Locomotive ID","value":"4006"},{"id":130,"name":"Impact","value":""},{"id":150,"name":"Time of Event (Mountain Time)","value":"10:24:45"},{"id":151,"name":"Denver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7"/>
        <v>grep -hSE -A400 "Enforcement Action" "%USERPROFILE%\AppData\Local\Temp\OnboardLogs"\RTDC4006\*4006*201704031* | grep -SE "((Enforcement Ac)|(PRM.+XING))"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48" s="153" t="str">
        <f t="shared" si="9"/>
        <v>start /low /b %USERPROFILE%\Documents\GitHub\eaglep3\Utilities\DownloadLogsFromS3.py --loco 4006 --day 2017-04-03</v>
      </c>
      <c r="AF48" s="1"/>
    </row>
    <row r="49" spans="1:32" x14ac:dyDescent="0.25">
      <c r="A49" s="32">
        <v>42828.268020833333</v>
      </c>
      <c r="B49" s="30" t="s">
        <v>436</v>
      </c>
      <c r="C49" s="30" t="s">
        <v>574</v>
      </c>
      <c r="D49" s="30" t="s">
        <v>49</v>
      </c>
      <c r="E49" s="30" t="s">
        <v>186</v>
      </c>
      <c r="F49" s="43">
        <v>0</v>
      </c>
      <c r="G49" s="43">
        <v>18</v>
      </c>
      <c r="H49" s="43">
        <v>615</v>
      </c>
      <c r="I49" s="43">
        <v>605</v>
      </c>
      <c r="J49" s="30" t="s">
        <v>187</v>
      </c>
      <c r="K49" s="43">
        <v>575</v>
      </c>
      <c r="L49" s="139" t="s">
        <v>51</v>
      </c>
      <c r="M49" s="140">
        <f t="shared" si="10"/>
        <v>15.84</v>
      </c>
      <c r="N49" s="141" t="str">
        <f>VLOOKUP(C49,'Trips&amp;Operators'!$C$1:$G$99999,5,FALSE)</f>
        <v>DAVIS WENDY</v>
      </c>
      <c r="O49" s="190" t="s">
        <v>185</v>
      </c>
      <c r="P49" s="142"/>
      <c r="Q49" s="30"/>
      <c r="R49" s="89" t="str">
        <f>IF(VLOOKUP(C49,'Train Runs'!$A$13:$AE$9938,1,1)=C49,VLOOKUP(C49,'Train Runs'!$A$13:$AE$9938,31,1),NA())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S49" s="92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-04-03T05:07:18-0600',mode:absolute,to:'2017-04-03T07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9" s="94" t="str">
        <f t="shared" si="11"/>
        <v>"C:\Program Files (x86)\AstroGrep\AstroGrep.exe" /e /r /s /spath="%USERPROFILE%\AppData\Local\Temp\OnboardLogs" /stypes="*4013*201704031*" /stext=" 12:.+((SYSTEM_STATE.+slice.+state.+changed )|(ment ac)|(multiple cpu faults)|(system.+state.+changed )|(\[timeout)|(PRM\|1\|D)|(kpr)|(kdp)|(\|lc)|(penalty))"</v>
      </c>
      <c r="U49" s="9" t="str">
        <f t="shared" si="12"/>
        <v>4013</v>
      </c>
      <c r="V49" s="32">
        <f t="shared" si="13"/>
        <v>42828.518020833333</v>
      </c>
      <c r="W49" s="46" t="str">
        <f t="shared" si="14"/>
        <v>NW</v>
      </c>
      <c r="X49" s="46" t="str">
        <f t="shared" si="15"/>
        <v>KEEP</v>
      </c>
      <c r="Y49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ID","value":"802-03"},{"id":16,"name":"Locomotive ID","value":"4013"},{"id":130,"name":"Impact","value":""},{"id":150,"name":"Time of Event (Mountain Time)","value":"06:25:57"},{"id":151,"name":"Denver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7"/>
        <v>grep -hSE -A400 "Enforcement Action" "%USERPROFILE%\AppData\Local\Temp\OnboardLogs"\RTDC4013\*4013*201704031* | grep -SE "((Enforcement Ac)|(PRM.+XING))"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49" s="153" t="str">
        <f t="shared" si="9"/>
        <v>start /low /b %USERPROFILE%\Documents\GitHub\eaglep3\Utilities\DownloadLogsFromS3.py --loco 4013 --day 2017-04-03</v>
      </c>
      <c r="AF49" s="1"/>
    </row>
    <row r="50" spans="1:32" x14ac:dyDescent="0.25">
      <c r="A50" s="32">
        <v>42828.309178240743</v>
      </c>
      <c r="B50" s="30" t="s">
        <v>436</v>
      </c>
      <c r="C50" s="30" t="s">
        <v>577</v>
      </c>
      <c r="D50" s="30" t="s">
        <v>49</v>
      </c>
      <c r="E50" s="30" t="s">
        <v>186</v>
      </c>
      <c r="F50" s="43">
        <v>0</v>
      </c>
      <c r="G50" s="43">
        <v>38</v>
      </c>
      <c r="H50" s="43">
        <v>691</v>
      </c>
      <c r="I50" s="43">
        <v>668</v>
      </c>
      <c r="J50" s="30" t="s">
        <v>187</v>
      </c>
      <c r="K50" s="43">
        <v>575</v>
      </c>
      <c r="L50" s="139" t="s">
        <v>51</v>
      </c>
      <c r="M50" s="140">
        <f t="shared" si="10"/>
        <v>49.103999999999999</v>
      </c>
      <c r="N50" s="141" t="str">
        <f>VLOOKUP(C50,'Trips&amp;Operators'!$C$1:$G$99999,5,FALSE)</f>
        <v>DAVIS WENDY</v>
      </c>
      <c r="O50" s="190" t="s">
        <v>185</v>
      </c>
      <c r="P50" s="142"/>
      <c r="Q50" s="30"/>
      <c r="R50" s="89" t="str">
        <f>IF(VLOOKUP(C50,'Train Runs'!$A$13:$AE$9938,1,1)=C50,VLOOKUP(C50,'Train Runs'!$A$13:$AE$9938,31,1),NA())</f>
        <v>aws s3 cp s3://rtdc.mdm.uploadarchive.raw/RTDC4013/ "%USERPROFILE%\AppData\Local\Temp\OnboardLogs"\RTDC4013\2017-04-03 --exclude "*" --recursive --include "*20170403*" &amp; "%USERPROFILE%\Documents\GitHub\mrs-test-scripts\Headless Mode &amp; Sideloading\WalkAndUnGZ.bat" "%USERPROFILE%\AppData\Local\Temp\OnboardLogs"\RTDC4013\2017-04-03 &amp; aws s3 cp s3://rtdc.mdm.uploadarchive.raw/RTDC4013/ "%USERPROFILE%\AppData\Local\Temp\OnboardLogs"\RTDC4013\2017-04-04 --exclude "*" --recursive --include "*20170404*" &amp; "%USERPROFILE%\Documents\GitHub\mrs-test-scripts\Headless Mode &amp; Sideloading\WalkAndUnGZ.bat" "%USERPROFILE%\AppData\Local\Temp\OnboardLogs"\RTDC4013\2017-04-04</v>
      </c>
      <c r="S50" s="92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-04-03T06:06:55-0600',mode:absolute,to:'2017-04-03T08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0" s="94" t="str">
        <f t="shared" si="11"/>
        <v>"C:\Program Files (x86)\AstroGrep\AstroGrep.exe" /e /r /s /spath="%USERPROFILE%\AppData\Local\Temp\OnboardLogs" /stypes="*4013*201704031*" /stext=" 13:.+((SYSTEM_STATE.+slice.+state.+changed )|(ment ac)|(multiple cpu faults)|(system.+state.+changed )|(\[timeout)|(PRM\|1\|D)|(kpr)|(kdp)|(\|lc)|(penalty))"</v>
      </c>
      <c r="U50" s="9" t="str">
        <f t="shared" si="12"/>
        <v>4013</v>
      </c>
      <c r="V50" s="32">
        <f t="shared" si="13"/>
        <v>42828.559178240743</v>
      </c>
      <c r="W50" s="46" t="str">
        <f t="shared" si="14"/>
        <v>NW</v>
      </c>
      <c r="X50" s="46" t="str">
        <f t="shared" si="15"/>
        <v>KEEP</v>
      </c>
      <c r="Y50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ID","value":"806-03"},{"id":16,"name":"Locomotive ID","value":"4013"},{"id":130,"name":"Impact","value":""},{"id":150,"name":"Time of Event (Mountain Time)","value":"07:25:13"},{"id":151,"name":"Denver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7"/>
        <v>grep -hSE -A400 "Enforcement Action" "%USERPROFILE%\AppData\Local\Temp\OnboardLogs"\RTDC4013\*4013*201704031* | grep -SE "((Enforcement Ac)|(PRM.+XING))"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50" s="153" t="str">
        <f t="shared" si="9"/>
        <v>start /low /b %USERPROFILE%\Documents\GitHub\eaglep3\Utilities\DownloadLogsFromS3.py --loco 4013 --day 2017-04-03</v>
      </c>
      <c r="AF50" s="1"/>
    </row>
    <row r="51" spans="1:32" x14ac:dyDescent="0.25">
      <c r="A51" s="32">
        <v>42828.35083333333</v>
      </c>
      <c r="B51" s="30" t="s">
        <v>436</v>
      </c>
      <c r="C51" s="30" t="s">
        <v>582</v>
      </c>
      <c r="D51" s="30" t="s">
        <v>49</v>
      </c>
      <c r="E51" s="30" t="s">
        <v>186</v>
      </c>
      <c r="F51" s="43">
        <v>0</v>
      </c>
      <c r="G51" s="43">
        <v>61</v>
      </c>
      <c r="H51" s="43">
        <v>771</v>
      </c>
      <c r="I51" s="43">
        <v>727</v>
      </c>
      <c r="J51" s="30" t="s">
        <v>187</v>
      </c>
      <c r="K51" s="43">
        <v>575</v>
      </c>
      <c r="L51" s="139" t="s">
        <v>51</v>
      </c>
      <c r="M51" s="140">
        <f t="shared" si="10"/>
        <v>80.256</v>
      </c>
      <c r="N51" s="141" t="str">
        <f>VLOOKUP(C51,'Trips&amp;Operators'!$C$1:$G$99999,5,FALSE)</f>
        <v>DAVIS WENDY</v>
      </c>
      <c r="O51" s="190" t="s">
        <v>185</v>
      </c>
      <c r="P51" s="142"/>
      <c r="Q51" s="30"/>
      <c r="R51" s="89" t="e">
        <f>IF(VLOOKUP(C51,'Train Runs'!$A$13:$AE$9938,1,1)=C51,VLOOKUP(C51,'Train Runs'!$A$13:$AE$9938,31,1),NA())</f>
        <v>#N/A</v>
      </c>
      <c r="S51" s="92" t="str">
        <f>VLOOKUP(C51,'Train Runs'!$A$13:$AE$9938,22,0)</f>
        <v>https://d0f6bd738d7f1b3e5a7ca70fe4ff75f0.us-east-1.aws.found.io/app/kibana#/discover/Steve-Slow-Train-Analysis-(2080s-and-2083s)?_g=(refreshInterval:(display:Off,pause:!f,section:0,value:0),time:(from:'2017-04-03T07:06:03-0600',mode:absolute,to:'2017-04-03T09:25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1" s="94" t="str">
        <f t="shared" si="11"/>
        <v>"C:\Program Files (x86)\AstroGrep\AstroGrep.exe" /e /r /s /spath="%USERPROFILE%\AppData\Local\Temp\OnboardLogs" /stypes="*4013*201704031*" /stext=" 14:.+((SYSTEM_STATE.+slice.+state.+changed )|(ment ac)|(multiple cpu faults)|(system.+state.+changed )|(\[timeout)|(PRM\|1\|D)|(kpr)|(kdp)|(\|lc)|(penalty))"</v>
      </c>
      <c r="U51" s="9" t="str">
        <f t="shared" si="12"/>
        <v>4013</v>
      </c>
      <c r="V51" s="32">
        <f t="shared" si="13"/>
        <v>42828.60083333333</v>
      </c>
      <c r="W51" s="46" t="str">
        <f t="shared" si="14"/>
        <v>NW</v>
      </c>
      <c r="X51" s="46" t="str">
        <f t="shared" si="15"/>
        <v>KEEP</v>
      </c>
      <c r="Y51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ID","value":"810-03"},{"id":16,"name":"Locomotive ID","value":"4013"},{"id":130,"name":"Impact","value":""},{"id":150,"name":"Time of Event (Mountain Time)","value":"08:25:12"},{"id":151,"name":"Denver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218"/>
      <c r="AA51" s="48"/>
      <c r="AB51" s="48"/>
      <c r="AC51" s="123" t="str">
        <f t="shared" si="17"/>
        <v>grep -hSE -A400 "Enforcement Action" "%USERPROFILE%\AppData\Local\Temp\OnboardLogs"\RTDC4013\*4013*201704031* | grep -SE "((Enforcement Ac)|(PRM.+XING))"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"%USERPROFILE%\AppData\Local\Temp\OnboardLogs"\RTDC4013\*4013*201704031* &gt;&gt; 2017-04-03-SliceDisagreementCheck.txt</v>
      </c>
      <c r="AE51" s="153" t="str">
        <f t="shared" si="9"/>
        <v>start /low /b %USERPROFILE%\Documents\GitHub\eaglep3\Utilities\DownloadLogsFromS3.py --loco 4013 --day 2017-04-03</v>
      </c>
      <c r="AF51" s="1"/>
    </row>
    <row r="52" spans="1:32" x14ac:dyDescent="0.25">
      <c r="A52" s="32">
        <v>42828.496076388888</v>
      </c>
      <c r="B52" s="30" t="s">
        <v>595</v>
      </c>
      <c r="C52" s="30" t="s">
        <v>596</v>
      </c>
      <c r="D52" s="30" t="s">
        <v>49</v>
      </c>
      <c r="E52" s="30" t="s">
        <v>186</v>
      </c>
      <c r="F52" s="43">
        <v>0</v>
      </c>
      <c r="G52" s="43">
        <v>27</v>
      </c>
      <c r="H52" s="43">
        <v>635</v>
      </c>
      <c r="I52" s="43">
        <v>615</v>
      </c>
      <c r="J52" s="30" t="s">
        <v>187</v>
      </c>
      <c r="K52" s="43">
        <v>575</v>
      </c>
      <c r="L52" s="139" t="s">
        <v>51</v>
      </c>
      <c r="M52" s="140">
        <f t="shared" si="10"/>
        <v>21.12</v>
      </c>
      <c r="N52" s="141" t="str">
        <f>VLOOKUP(C52,'Trips&amp;Operators'!$C$1:$G$99999,5,FALSE)</f>
        <v>MENGES BRAD</v>
      </c>
      <c r="O52" s="190" t="s">
        <v>185</v>
      </c>
      <c r="P52" s="142"/>
      <c r="Q52" s="30"/>
      <c r="R52" s="89" t="e">
        <f>IF(VLOOKUP(C52,'Train Runs'!$A$13:$AE$9938,1,1)=C52,VLOOKUP(C52,'Train Runs'!$A$13:$AE$9938,31,1),NA())</f>
        <v>#N/A</v>
      </c>
      <c r="S52" s="92" t="str">
        <f>VLOOKUP(C52,'Train Runs'!$A$13:$AE$9938,22,0)</f>
        <v>https://d0f6bd738d7f1b3e5a7ca70fe4ff75f0.us-east-1.aws.found.io/app/kibana#/discover/Steve-Slow-Train-Analysis-(2080s-and-2083s)?_g=(refreshInterval:(display:Off,pause:!f,section:0,value:0),time:(from:'2017-04-03T10:35:57-0600',mode:absolute,to:'2017-04-03T12:54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52" s="94" t="str">
        <f t="shared" si="11"/>
        <v>"C:\Program Files (x86)\AstroGrep\AstroGrep.exe" /e /r /s /spath="%USERPROFILE%\AppData\Local\Temp\OnboardLogs" /stypes="*4005*201704031*" /stext=" 17:.+((SYSTEM_STATE.+slice.+state.+changed )|(ment ac)|(multiple cpu faults)|(system.+state.+changed )|(\[timeout)|(PRM\|1\|D)|(kpr)|(kdp)|(\|lc)|(penalty))"</v>
      </c>
      <c r="U52" s="9" t="str">
        <f t="shared" si="12"/>
        <v>4005</v>
      </c>
      <c r="V52" s="32">
        <f t="shared" si="13"/>
        <v>42828.746076388888</v>
      </c>
      <c r="W52" s="46" t="str">
        <f t="shared" si="14"/>
        <v>NW</v>
      </c>
      <c r="X52" s="46" t="str">
        <f t="shared" si="15"/>
        <v>KEEP</v>
      </c>
      <c r="Y52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ID","value":"818-03"},{"id":16,"name":"Locomotive ID","value":"4005"},{"id":130,"name":"Impact","value":""},{"id":150,"name":"Time of Event (Mountain Time)","value":"11:54:21"},{"id":151,"name":"Denver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218"/>
      <c r="AA52" s="48"/>
      <c r="AB52" s="48"/>
      <c r="AC52" s="123" t="str">
        <f t="shared" si="17"/>
        <v>grep -hSE -A400 "Enforcement Action" "%USERPROFILE%\AppData\Local\Temp\OnboardLogs"\RTDC4005\*4005*201704031* | grep -SE "((Enforcement Ac)|(PRM.+XING))"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"%USERPROFILE%\AppData\Local\Temp\OnboardLogs"\RTDC4005\*4005*201704031* &gt;&gt; 2017-04-03-SliceDisagreementCheck.txt</v>
      </c>
      <c r="AE52" s="153" t="str">
        <f t="shared" si="9"/>
        <v>start /low /b %USERPROFILE%\Documents\GitHub\eaglep3\Utilities\DownloadLogsFromS3.py --loco 4005 --day 2017-04-03</v>
      </c>
      <c r="AF52" s="1"/>
    </row>
    <row r="53" spans="1:32" x14ac:dyDescent="0.25">
      <c r="A53" s="32">
        <v>42828.725624999999</v>
      </c>
      <c r="B53" s="30" t="s">
        <v>436</v>
      </c>
      <c r="C53" s="30" t="s">
        <v>613</v>
      </c>
      <c r="D53" s="30" t="s">
        <v>49</v>
      </c>
      <c r="E53" s="30" t="s">
        <v>186</v>
      </c>
      <c r="F53" s="43">
        <v>0</v>
      </c>
      <c r="G53" s="43">
        <v>15</v>
      </c>
      <c r="H53" s="43">
        <v>608</v>
      </c>
      <c r="I53" s="43">
        <v>608</v>
      </c>
      <c r="J53" s="30" t="s">
        <v>187</v>
      </c>
      <c r="K53" s="43">
        <v>575</v>
      </c>
      <c r="L53" s="139" t="s">
        <v>51</v>
      </c>
      <c r="M53" s="140">
        <f t="shared" si="10"/>
        <v>17.423999999999999</v>
      </c>
      <c r="N53" s="141" t="str">
        <f>VLOOKUP(C53,'Trips&amp;Operators'!$C$1:$G$99999,5,FALSE)</f>
        <v>NEWELL JAMES</v>
      </c>
      <c r="O53" s="190" t="s">
        <v>185</v>
      </c>
      <c r="P53" s="142"/>
      <c r="Q53" s="30"/>
      <c r="R53" s="89" t="e">
        <f>IF(VLOOKUP(C53,'Train Runs'!$A$13:$AE$9938,1,1)=C53,VLOOKUP(C53,'Train Runs'!$A$13:$AE$9938,31,1),NA())</f>
        <v>#N/A</v>
      </c>
      <c r="S53" s="92" t="str">
        <f>VLOOKUP(C53,'Train Runs'!$A$13:$AE$9938,22,0)</f>
        <v>https://d0f6bd738d7f1b3e5a7ca70fe4ff75f0.us-east-1.aws.found.io/app/kibana#/discover/Steve-Slow-Train-Analysis-(2080s-and-2083s)?_g=(refreshInterval:(display:Off,pause:!f,section:0,value:0),time:(from:'2017-04-03T16:05:03-0600',mode:absolute,to:'2017-04-03T18:24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3" s="94" t="str">
        <f t="shared" si="11"/>
        <v>"C:\Program Files (x86)\AstroGrep\AstroGrep.exe" /e /r /s /spath="%USERPROFILE%\AppData\Local\Temp\OnboardLogs" /stypes="*4013*201704032*" /stext=" 23:.+((SYSTEM_STATE.+slice.+state.+changed )|(ment ac)|(multiple cpu faults)|(system.+state.+changed )|(\[timeout)|(PRM\|1\|D)|(kpr)|(kdp)|(\|lc)|(penalty))"</v>
      </c>
      <c r="U53" s="9" t="str">
        <f t="shared" si="12"/>
        <v>4013</v>
      </c>
      <c r="V53" s="32">
        <f t="shared" si="13"/>
        <v>42828.975624999999</v>
      </c>
      <c r="W53" s="46" t="str">
        <f t="shared" si="14"/>
        <v>NW</v>
      </c>
      <c r="X53" s="46" t="str">
        <f t="shared" si="15"/>
        <v>KEEP</v>
      </c>
      <c r="Y53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{"issue":{"subject":"","project_id":79,"tracker_id":40,"status_id":1,"priority_id":2,"assigned_to_id":23,"start_date":"2017-04-03","description":"","custom_fields":[{"id":1,"name":"Subdivision","value":"NW"},{"id":4,"name":"Milepost","value":"0.0575"},{"id":17,"name":"Train ID","value":"832-03"},{"id":16,"name":"Locomotive ID","value":"4013"},{"id":130,"name":"Impact","value":""},{"id":150,"name":"Time of Event (Mountain Time)","value":"17:24:54"},{"id":151,"name":"Denver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218"/>
      <c r="AA53" s="48"/>
      <c r="AB53" s="48"/>
      <c r="AC53" s="123" t="str">
        <f t="shared" si="17"/>
        <v>grep -hSE -A400 "Enforcement Action" "%USERPROFILE%\AppData\Local\Temp\OnboardLogs"\RTDC4013\*4013*201704032* | grep -SE "((Enforcement Ac)|(PRM.+XING))"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"%USERPROFILE%\AppData\Local\Temp\OnboardLogs"\RTDC4013\*4013*201704032* &gt;&gt; 2017-04-03-SliceDisagreementCheck.txt</v>
      </c>
      <c r="AE53" s="153" t="str">
        <f t="shared" si="9"/>
        <v>start /low /b %USERPROFILE%\Documents\GitHub\eaglep3\Utilities\DownloadLogsFromS3.py --loco 4013 --day 2017-04-03</v>
      </c>
      <c r="AF53" s="1"/>
    </row>
    <row r="54" spans="1:32" x14ac:dyDescent="0.25">
      <c r="A54" s="32">
        <v>42828.295474537037</v>
      </c>
      <c r="B54" s="30" t="s">
        <v>435</v>
      </c>
      <c r="C54" s="30" t="s">
        <v>576</v>
      </c>
      <c r="D54" s="30" t="s">
        <v>49</v>
      </c>
      <c r="E54" s="30" t="s">
        <v>186</v>
      </c>
      <c r="F54" s="43">
        <v>0</v>
      </c>
      <c r="G54" s="43">
        <v>7</v>
      </c>
      <c r="H54" s="43">
        <v>59040</v>
      </c>
      <c r="I54" s="43">
        <v>59042</v>
      </c>
      <c r="J54" s="30" t="s">
        <v>187</v>
      </c>
      <c r="K54" s="43">
        <v>59048</v>
      </c>
      <c r="L54" s="139" t="s">
        <v>50</v>
      </c>
      <c r="M54" s="140">
        <f t="shared" si="10"/>
        <v>3.1680000000000001</v>
      </c>
      <c r="N54" s="141" t="str">
        <f>VLOOKUP(C54,'Trips&amp;Operators'!$C$1:$G$99999,5,FALSE)</f>
        <v>DAVIS WENDY</v>
      </c>
      <c r="O54" s="190" t="s">
        <v>185</v>
      </c>
      <c r="P54" s="142"/>
      <c r="Q54" s="30"/>
      <c r="R54" s="89" t="str">
        <f>IF(VLOOKUP(C54,'Train Runs'!$A$13:$AE$9938,1,1)=C54,VLOOKUP(C54,'Train Runs'!$A$13:$AE$9938,31,1),NA())</f>
        <v>aws s3 cp s3://rtdc.mdm.uploadarchive.raw/RTDC4014/ "%USERPROFILE%\AppData\Local\Temp\OnboardLogs"\RTDC4014\2017-04-03 --exclude "*" --recursive --include "*20170403*" &amp; "%USERPROFILE%\Documents\GitHub\mrs-test-scripts\Headless Mode &amp; Sideloading\WalkAndUnGZ.bat" "%USERPROFILE%\AppData\Local\Temp\OnboardLogs"\RTDC4014\2017-04-03 &amp; aws s3 cp s3://rtdc.mdm.uploadarchive.raw/RTDC4014/ "%USERPROFILE%\AppData\Local\Temp\OnboardLogs"\RTDC4014\2017-04-04 --exclude "*" --recursive --include "*20170404*" &amp; "%USERPROFILE%\Documents\GitHub\mrs-test-scripts\Headless Mode &amp; Sideloading\WalkAndUnGZ.bat" "%USERPROFILE%\AppData\Local\Temp\OnboardLogs"\RTDC4014\2017-04-04</v>
      </c>
      <c r="S54" s="92" t="str">
        <f>VLOOKUP(C54,'Train Runs'!$A$13:$AE$9938,22,0)</f>
        <v>https://d0f6bd738d7f1b3e5a7ca70fe4ff75f0.us-east-1.aws.found.io/app/kibana#/discover/Steve-Slow-Train-Analysis-(2080s-and-2083s)?_g=(refreshInterval:(display:Off,pause:!f,section:0,value:0),time:(from:'2017-04-03T05:46:29-0600',mode:absolute,to:'2017-04-03T08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54" s="94" t="str">
        <f t="shared" si="11"/>
        <v>"C:\Program Files (x86)\AstroGrep\AstroGrep.exe" /e /r /s /spath="%USERPROFILE%\AppData\Local\Temp\OnboardLogs" /stypes="*4014*201704031*" /stext=" 13:.+((SYSTEM_STATE.+slice.+state.+changed )|(ment ac)|(multiple cpu faults)|(system.+state.+changed )|(\[timeout)|(PRM\|1\|D)|(kpr)|(kdp)|(\|lc)|(penalty))"</v>
      </c>
      <c r="U54" s="9" t="str">
        <f t="shared" si="12"/>
        <v>4014</v>
      </c>
      <c r="V54" s="32">
        <f t="shared" si="13"/>
        <v>42828.545474537037</v>
      </c>
      <c r="W54" s="46" t="str">
        <f t="shared" si="14"/>
        <v>NW</v>
      </c>
      <c r="X54" s="46" t="str">
        <f t="shared" si="15"/>
        <v>OMIT</v>
      </c>
      <c r="Y54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ID","value":"805-03"},{"id":16,"name":"Locomotive ID","value":"4014"},{"id":130,"name":"Impact","value":""},{"id":150,"name":"Time of Event (Mountain Time)","value":"07:05:29"},{"id":151,"name":"Denver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218"/>
      <c r="AA54" s="48"/>
      <c r="AB54" s="48"/>
      <c r="AC54" s="123" t="str">
        <f t="shared" si="17"/>
        <v>grep -hSE -A400 "Enforcement Action" "%USERPROFILE%\AppData\Local\Temp\OnboardLogs"\RTDC4014\*4014*201704031* | grep -SE "((Enforcement Ac)|(PRM.+XING))"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"%USERPROFILE%\AppData\Local\Temp\OnboardLogs"\RTDC4014\*4014*201704031* &gt;&gt; 2017-04-03-SliceDisagreementCheck.txt</v>
      </c>
      <c r="AE54" s="153" t="str">
        <f t="shared" si="9"/>
        <v>start /low /b %USERPROFILE%\Documents\GitHub\eaglep3\Utilities\DownloadLogsFromS3.py --loco 4014 --day 2017-04-03</v>
      </c>
      <c r="AF54" s="1"/>
    </row>
    <row r="55" spans="1:32" x14ac:dyDescent="0.25">
      <c r="A55" s="32">
        <v>42828.39916666667</v>
      </c>
      <c r="B55" s="30" t="s">
        <v>586</v>
      </c>
      <c r="C55" s="30" t="s">
        <v>587</v>
      </c>
      <c r="D55" s="30" t="s">
        <v>49</v>
      </c>
      <c r="E55" s="30" t="s">
        <v>186</v>
      </c>
      <c r="F55" s="43">
        <v>0</v>
      </c>
      <c r="G55" s="43">
        <v>38</v>
      </c>
      <c r="H55" s="43">
        <v>58937</v>
      </c>
      <c r="I55" s="43">
        <v>58956</v>
      </c>
      <c r="J55" s="30" t="s">
        <v>187</v>
      </c>
      <c r="K55" s="43">
        <v>59048</v>
      </c>
      <c r="L55" s="139" t="s">
        <v>50</v>
      </c>
      <c r="M55" s="140">
        <f t="shared" si="10"/>
        <v>48.576000000000001</v>
      </c>
      <c r="N55" s="141" t="str">
        <f>VLOOKUP(C55,'Trips&amp;Operators'!$C$1:$G$99999,5,FALSE)</f>
        <v>MENGES BRAD</v>
      </c>
      <c r="O55" s="190" t="s">
        <v>185</v>
      </c>
      <c r="P55" s="142"/>
      <c r="Q55" s="30"/>
      <c r="R55" s="89" t="e">
        <f>IF(VLOOKUP(C55,'Train Runs'!$A$13:$AE$9938,1,1)=C55,VLOOKUP(C55,'Train Runs'!$A$13:$AE$9938,31,1),NA())</f>
        <v>#N/A</v>
      </c>
      <c r="S55" s="92" t="str">
        <f>VLOOKUP(C55,'Train Runs'!$A$13:$AE$9938,22,0)</f>
        <v>https://d0f6bd738d7f1b3e5a7ca70fe4ff75f0.us-east-1.aws.found.io/app/kibana#/discover/Steve-Slow-Train-Analysis-(2080s-and-2083s)?_g=(refreshInterval:(display:Off,pause:!f,section:0,value:0),time:(from:'2017-04-03T08:17:51-0600',mode:absolute,to:'2017-04-03T10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5" s="94" t="str">
        <f t="shared" si="11"/>
        <v>"C:\Program Files (x86)\AstroGrep\AstroGrep.exe" /e /r /s /spath="%USERPROFILE%\AppData\Local\Temp\OnboardLogs" /stypes="*4006*201704031*" /stext=" 15:.+((SYSTEM_STATE.+slice.+state.+changed )|(ment ac)|(multiple cpu faults)|(system.+state.+changed )|(\[timeout)|(PRM\|1\|D)|(kpr)|(kdp)|(\|lc)|(penalty))"</v>
      </c>
      <c r="U55" s="9" t="str">
        <f t="shared" si="12"/>
        <v>4006</v>
      </c>
      <c r="V55" s="32">
        <f t="shared" si="13"/>
        <v>42828.64916666667</v>
      </c>
      <c r="W55" s="46" t="str">
        <f t="shared" si="14"/>
        <v>NW</v>
      </c>
      <c r="X55" s="46" t="str">
        <f t="shared" si="15"/>
        <v>KEEP</v>
      </c>
      <c r="Y55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ID","value":"813-03"},{"id":16,"name":"Locomotive ID","value":"4006"},{"id":130,"name":"Impact","value":""},{"id":150,"name":"Time of Event (Mountain Time)","value":"09:34:48"},{"id":151,"name":"Denver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218"/>
      <c r="AA55" s="48"/>
      <c r="AB55" s="48"/>
      <c r="AC55" s="123" t="str">
        <f t="shared" si="17"/>
        <v>grep -hSE -A400 "Enforcement Action" "%USERPROFILE%\AppData\Local\Temp\OnboardLogs"\RTDC4006\*4006*201704031* | grep -SE "((Enforcement Ac)|(PRM.+XING))"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5" s="153" t="str">
        <f t="shared" si="9"/>
        <v>start /low /b %USERPROFILE%\Documents\GitHub\eaglep3\Utilities\DownloadLogsFromS3.py --loco 4006 --day 2017-04-03</v>
      </c>
      <c r="AF55" s="1"/>
    </row>
    <row r="56" spans="1:32" x14ac:dyDescent="0.25">
      <c r="A56" s="32">
        <v>42828.441886574074</v>
      </c>
      <c r="B56" s="30" t="s">
        <v>586</v>
      </c>
      <c r="C56" s="30" t="s">
        <v>589</v>
      </c>
      <c r="D56" s="30" t="s">
        <v>49</v>
      </c>
      <c r="E56" s="30" t="s">
        <v>186</v>
      </c>
      <c r="F56" s="43">
        <v>0</v>
      </c>
      <c r="G56" s="43">
        <v>39</v>
      </c>
      <c r="H56" s="43">
        <v>58952</v>
      </c>
      <c r="I56" s="43">
        <v>58978</v>
      </c>
      <c r="J56" s="30" t="s">
        <v>187</v>
      </c>
      <c r="K56" s="43">
        <v>59048</v>
      </c>
      <c r="L56" s="139" t="s">
        <v>50</v>
      </c>
      <c r="M56" s="140">
        <f t="shared" si="10"/>
        <v>36.96</v>
      </c>
      <c r="N56" s="141" t="str">
        <f>VLOOKUP(C56,'Trips&amp;Operators'!$C$1:$G$99999,5,FALSE)</f>
        <v>MENGES BRAD</v>
      </c>
      <c r="O56" s="190" t="s">
        <v>185</v>
      </c>
      <c r="P56" s="142"/>
      <c r="Q56" s="30"/>
      <c r="R56" s="89" t="e">
        <f>IF(VLOOKUP(C56,'Train Runs'!$A$13:$AE$9938,1,1)=C56,VLOOKUP(C56,'Train Runs'!$A$13:$AE$9938,31,1),NA())</f>
        <v>#N/A</v>
      </c>
      <c r="S56" s="92" t="str">
        <f>VLOOKUP(C56,'Train Runs'!$A$13:$AE$9938,22,0)</f>
        <v>https://d0f6bd738d7f1b3e5a7ca70fe4ff75f0.us-east-1.aws.found.io/app/kibana#/discover/Steve-Slow-Train-Analysis-(2080s-and-2083s)?_g=(refreshInterval:(display:Off,pause:!f,section:0,value:0),time:(from:'2017-04-03T09:17:22-0600',mode:absolute,to:'2017-04-03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6" s="94" t="str">
        <f t="shared" si="11"/>
        <v>"C:\Program Files (x86)\AstroGrep\AstroGrep.exe" /e /r /s /spath="%USERPROFILE%\AppData\Local\Temp\OnboardLogs" /stypes="*4006*201704031*" /stext=" 16:.+((SYSTEM_STATE.+slice.+state.+changed )|(ment ac)|(multiple cpu faults)|(system.+state.+changed )|(\[timeout)|(PRM\|1\|D)|(kpr)|(kdp)|(\|lc)|(penalty))"</v>
      </c>
      <c r="U56" s="9" t="str">
        <f t="shared" si="12"/>
        <v>4006</v>
      </c>
      <c r="V56" s="32">
        <f t="shared" si="13"/>
        <v>42828.691886574074</v>
      </c>
      <c r="W56" s="46" t="str">
        <f t="shared" si="14"/>
        <v>NW</v>
      </c>
      <c r="X56" s="46" t="str">
        <f t="shared" si="15"/>
        <v>KEEP</v>
      </c>
      <c r="Y56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ID","value":"815-03"},{"id":16,"name":"Locomotive ID","value":"4006"},{"id":130,"name":"Impact","value":""},{"id":150,"name":"Time of Event (Mountain Time)","value":"10:36:19"},{"id":151,"name":"Denver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218"/>
      <c r="AA56" s="48"/>
      <c r="AB56" s="48"/>
      <c r="AC56" s="123" t="str">
        <f t="shared" si="17"/>
        <v>grep -hSE -A400 "Enforcement Action" "%USERPROFILE%\AppData\Local\Temp\OnboardLogs"\RTDC4006\*4006*201704031* | grep -SE "((Enforcement Ac)|(PRM.+XING))"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6" s="153" t="str">
        <f t="shared" si="9"/>
        <v>start /low /b %USERPROFILE%\Documents\GitHub\eaglep3\Utilities\DownloadLogsFromS3.py --loco 4006 --day 2017-04-03</v>
      </c>
      <c r="AF56" s="1"/>
    </row>
    <row r="57" spans="1:32" x14ac:dyDescent="0.25">
      <c r="A57" s="32">
        <v>42828.52449074074</v>
      </c>
      <c r="B57" s="30" t="s">
        <v>586</v>
      </c>
      <c r="C57" s="30" t="s">
        <v>597</v>
      </c>
      <c r="D57" s="30" t="s">
        <v>49</v>
      </c>
      <c r="E57" s="30" t="s">
        <v>186</v>
      </c>
      <c r="F57" s="43">
        <v>0</v>
      </c>
      <c r="G57" s="43">
        <v>31</v>
      </c>
      <c r="H57" s="43">
        <v>58944</v>
      </c>
      <c r="I57" s="43">
        <v>58965</v>
      </c>
      <c r="J57" s="30" t="s">
        <v>187</v>
      </c>
      <c r="K57" s="43">
        <v>59048</v>
      </c>
      <c r="L57" s="139" t="s">
        <v>50</v>
      </c>
      <c r="M57" s="140">
        <f t="shared" si="10"/>
        <v>43.823999999999998</v>
      </c>
      <c r="N57" s="141" t="str">
        <f>VLOOKUP(C57,'Trips&amp;Operators'!$C$1:$G$99999,5,FALSE)</f>
        <v>MENGES BRAD</v>
      </c>
      <c r="O57" s="190" t="s">
        <v>185</v>
      </c>
      <c r="P57" s="142"/>
      <c r="Q57" s="30"/>
      <c r="R57" s="89" t="e">
        <f>IF(VLOOKUP(C57,'Train Runs'!$A$13:$AE$9938,1,1)=C57,VLOOKUP(C57,'Train Runs'!$A$13:$AE$9938,31,1),NA())</f>
        <v>#N/A</v>
      </c>
      <c r="S57" s="92" t="str">
        <f>VLOOKUP(C57,'Train Runs'!$A$13:$AE$9938,22,0)</f>
        <v>https://d0f6bd738d7f1b3e5a7ca70fe4ff75f0.us-east-1.aws.found.io/app/kibana#/discover/Steve-Slow-Train-Analysis-(2080s-and-2083s)?_g=(refreshInterval:(display:Off,pause:!f,section:0,value:0),time:(from:'2017-04-03T11:14:48-0600',mode:absolute,to:'2017-04-03T13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7" s="94" t="str">
        <f t="shared" si="11"/>
        <v>"C:\Program Files (x86)\AstroGrep\AstroGrep.exe" /e /r /s /spath="%USERPROFILE%\AppData\Local\Temp\OnboardLogs" /stypes="*4006*201704031*" /stext=" 18:.+((SYSTEM_STATE.+slice.+state.+changed )|(ment ac)|(multiple cpu faults)|(system.+state.+changed )|(\[timeout)|(PRM\|1\|D)|(kpr)|(kdp)|(\|lc)|(penalty))"</v>
      </c>
      <c r="U57" s="9" t="str">
        <f t="shared" si="12"/>
        <v>4006</v>
      </c>
      <c r="V57" s="32">
        <f t="shared" si="13"/>
        <v>42828.77449074074</v>
      </c>
      <c r="W57" s="46" t="str">
        <f t="shared" si="14"/>
        <v>NW</v>
      </c>
      <c r="X57" s="46" t="str">
        <f t="shared" si="15"/>
        <v>KEEP</v>
      </c>
      <c r="Y57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ID","value":"819-03"},{"id":16,"name":"Locomotive ID","value":"4006"},{"id":130,"name":"Impact","value":""},{"id":150,"name":"Time of Event (Mountain Time)","value":"12:35:16"},{"id":151,"name":"Denver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218"/>
      <c r="AA57" s="48"/>
      <c r="AB57" s="48"/>
      <c r="AC57" s="123" t="str">
        <f t="shared" si="17"/>
        <v>grep -hSE -A400 "Enforcement Action" "%USERPROFILE%\AppData\Local\Temp\OnboardLogs"\RTDC4006\*4006*201704031* | grep -SE "((Enforcement Ac)|(PRM.+XING))"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"%USERPROFILE%\AppData\Local\Temp\OnboardLogs"\RTDC4006\*4006*201704031* &gt;&gt; 2017-04-03-SliceDisagreementCheck.txt</v>
      </c>
      <c r="AE57" s="153" t="str">
        <f t="shared" si="9"/>
        <v>start /low /b %USERPROFILE%\Documents\GitHub\eaglep3\Utilities\DownloadLogsFromS3.py --loco 4006 --day 2017-04-03</v>
      </c>
      <c r="AF57" s="1"/>
    </row>
    <row r="58" spans="1:32" x14ac:dyDescent="0.25">
      <c r="A58" s="32">
        <v>42828.8983912037</v>
      </c>
      <c r="B58" s="30" t="s">
        <v>586</v>
      </c>
      <c r="C58" s="30" t="s">
        <v>620</v>
      </c>
      <c r="D58" s="30" t="s">
        <v>49</v>
      </c>
      <c r="E58" s="30" t="s">
        <v>186</v>
      </c>
      <c r="F58" s="43">
        <v>0</v>
      </c>
      <c r="G58" s="43">
        <v>89</v>
      </c>
      <c r="H58" s="43">
        <v>58724</v>
      </c>
      <c r="I58" s="43">
        <v>58796</v>
      </c>
      <c r="J58" s="30" t="s">
        <v>187</v>
      </c>
      <c r="K58" s="43">
        <v>59048</v>
      </c>
      <c r="L58" s="139" t="s">
        <v>50</v>
      </c>
      <c r="M58" s="140">
        <f t="shared" si="10"/>
        <v>133.05600000000001</v>
      </c>
      <c r="N58" s="141" t="str">
        <f>VLOOKUP(C58,'Trips&amp;Operators'!$C$1:$G$99999,5,FALSE)</f>
        <v>NEWELL JAMES</v>
      </c>
      <c r="O58" s="190" t="s">
        <v>185</v>
      </c>
      <c r="P58" s="142"/>
      <c r="Q58" s="30"/>
      <c r="R58" s="89" t="e">
        <f>IF(VLOOKUP(C58,'Train Runs'!$A$13:$AE$9938,1,1)=C58,VLOOKUP(C58,'Train Runs'!$A$13:$AE$9938,31,1),NA())</f>
        <v>#N/A</v>
      </c>
      <c r="S58" s="92" t="str">
        <f>VLOOKUP(C58,'Train Runs'!$A$13:$AE$9938,22,0)</f>
        <v>https://d0f6bd738d7f1b3e5a7ca70fe4ff75f0.us-east-1.aws.found.io/app/kibana#/discover/Steve-Slow-Train-Analysis-(2080s-and-2083s)?_g=(refreshInterval:(display:Off,pause:!f,section:0,value:0),time:(from:'2017-04-03T19:59:39-0600',mode:absolute,to:'2017-04-03T22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58" s="94" t="str">
        <f t="shared" si="11"/>
        <v>"C:\Program Files (x86)\AstroGrep\AstroGrep.exe" /e /r /s /spath="%USERPROFILE%\AppData\Local\Temp\OnboardLogs" /stypes="*4006*201704040*" /stext=" 03:.+((SYSTEM_STATE.+slice.+state.+changed )|(ment ac)|(multiple cpu faults)|(system.+state.+changed )|(\[timeout)|(PRM\|1\|D)|(kpr)|(kdp)|(\|lc)|(penalty))"</v>
      </c>
      <c r="U58" s="9" t="str">
        <f t="shared" si="12"/>
        <v>4006</v>
      </c>
      <c r="V58" s="32">
        <f t="shared" si="13"/>
        <v>42829.1483912037</v>
      </c>
      <c r="W58" s="46" t="str">
        <f t="shared" si="14"/>
        <v>NW</v>
      </c>
      <c r="X58" s="46" t="str">
        <f t="shared" si="15"/>
        <v>KEEP</v>
      </c>
      <c r="Y58" s="104" t="str">
        <f t="shared" si="16"/>
        <v>echo {"issue":{"subject":"","project_id":79,"tracker_id":40,"status_id":1,"priority_id":2,"assigned_to_id":23,"start_date":"2017-04-03","description":"","custom_fields":[{"id":1,"name":"Subdivision","value":"NW"},{"id":4,"name":"Milepost","value":"5.9048"},{"id":17,"name":"Train ID","value":"845-03"},{"id":16,"name":"Locomotive ID","value":"4006"},{"id":130,"name":"Impact","value":""},{"id":150,"name":"Time of Event (Mountain Time)","value":"21:33:41"},{"id":151,"name":"Denver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218"/>
      <c r="AA58" s="48"/>
      <c r="AB58" s="48"/>
      <c r="AC58" s="123" t="str">
        <f t="shared" si="17"/>
        <v>grep -hSE -A400 "Enforcement Action" "%USERPROFILE%\AppData\Local\Temp\OnboardLogs"\RTDC4006\*4006*201704040* | grep -SE "((Enforcement Ac)|(PRM.+XING))"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"%USERPROFILE%\AppData\Local\Temp\OnboardLogs"\RTDC4006\*4006*201704040* &gt;&gt; 2017-04-03-SliceDisagreementCheck.txt</v>
      </c>
      <c r="AE58" s="153" t="str">
        <f t="shared" si="9"/>
        <v>start /low /b %USERPROFILE%\Documents\GitHub\eaglep3\Utilities\DownloadLogsFromS3.py --loco 4006 --day 2017-04-04</v>
      </c>
      <c r="AF58" s="1"/>
    </row>
    <row r="59" spans="1:32" x14ac:dyDescent="0.25">
      <c r="A59" s="32">
        <v>42828.941747685189</v>
      </c>
      <c r="B59" s="30" t="s">
        <v>387</v>
      </c>
      <c r="C59" s="30" t="s">
        <v>621</v>
      </c>
      <c r="D59" s="30" t="s">
        <v>98</v>
      </c>
      <c r="E59" s="30" t="s">
        <v>215</v>
      </c>
      <c r="F59" s="43">
        <v>550</v>
      </c>
      <c r="G59" s="43">
        <v>602</v>
      </c>
      <c r="H59" s="43">
        <v>222517</v>
      </c>
      <c r="I59" s="43">
        <v>219805</v>
      </c>
      <c r="J59" s="30" t="s">
        <v>216</v>
      </c>
      <c r="K59" s="43">
        <v>224578</v>
      </c>
      <c r="L59" s="139" t="s">
        <v>51</v>
      </c>
      <c r="M59" s="140">
        <f t="shared" si="10"/>
        <v>-2520.1439999999998</v>
      </c>
      <c r="N59" s="141" t="str">
        <f>VLOOKUP(C59,'Trips&amp;Operators'!$C$1:$G$99999,5,FALSE)</f>
        <v>DUNCAN SHEILA</v>
      </c>
      <c r="O59" s="190" t="s">
        <v>185</v>
      </c>
      <c r="P59" s="142"/>
      <c r="Q59" s="30"/>
      <c r="R59" s="89" t="e">
        <f>IF(VLOOKUP(C59,'Train Runs'!$A$13:$AE$9938,1,1)=C59,VLOOKUP(C59,'Train Runs'!$A$13:$AE$9938,31,1),NA())</f>
        <v>#N/A</v>
      </c>
      <c r="S59" s="92" t="str">
        <f>VLOOKUP(C59,'Train Runs'!$A$13:$AE$9938,22,0)</f>
        <v>https://d0f6bd738d7f1b3e5a7ca70fe4ff75f0.us-east-1.aws.found.io/app/kibana#/discover/Steve-Slow-Train-Analysis-(2080s-and-2083s)?_g=(refreshInterval:(display:Off,pause:!f,section:0,value:0),time:(from:'2017-04-03T20:31:17-0600',mode:absolute,to:'2017-04-03T23:42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59" s="94" t="str">
        <f t="shared" si="11"/>
        <v>"C:\Program Files (x86)\AstroGrep\AstroGrep.exe" /e /r /s /spath="%USERPROFILE%\AppData\Local\Temp\OnboardLogs" /stypes="*4021*201704040*" /stext=" 04:.+((SYSTEM_STATE.+slice.+state.+changed )|(ment ac)|(multiple cpu faults)|(system.+state.+changed )|(\[timeout)|(PRM\|1\|D)|(kpr)|(kdp)|(\|lc)|(penalty))"</v>
      </c>
      <c r="U59" s="9" t="str">
        <f t="shared" si="12"/>
        <v>4021</v>
      </c>
      <c r="V59" s="32">
        <f t="shared" si="13"/>
        <v>42829.191747685189</v>
      </c>
      <c r="W59" s="46" t="str">
        <f t="shared" si="14"/>
        <v>Other</v>
      </c>
      <c r="X59" s="46" t="str">
        <f t="shared" si="15"/>
        <v>KEEP</v>
      </c>
      <c r="Y59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{"issue":{"subject":"","project_id":79,"tracker_id":40,"status_id":1,"priority_id":2,"assigned_to_id":23,"start_date":"2017-04-03","description":"","custom_fields":[{"id":1,"name":"Subdivision","value":"Other"},{"id":4,"name":"Milepost","value":"22.4578"},{"id":17,"name":"Train ID","value":"80-03"},{"id":16,"name":"Locomotive ID","value":"4021"},{"id":130,"name":"Impact","value":""},{"id":150,"name":"Time of Event (Mountain Time)","value":"22:36:07"},{"id":151,"name":"Denver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218"/>
      <c r="AA59" s="48"/>
      <c r="AB59" s="48"/>
      <c r="AC59" s="123" t="str">
        <f t="shared" si="17"/>
        <v>grep -hSE -A400 "Enforcement Action" "%USERPROFILE%\AppData\Local\Temp\OnboardLogs"\RTDC4021\*4021*201704040* | grep -SE "((Enforcement Ac)|(PRM.+XING))"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"%USERPROFILE%\AppData\Local\Temp\OnboardLogs"\RTDC4021\*4021*201704040* &gt;&gt; 2017-04-03-SliceDisagreementCheck.txt</v>
      </c>
      <c r="AE59" s="153" t="str">
        <f t="shared" si="9"/>
        <v>start /low /b %USERPROFILE%\Documents\GitHub\eaglep3\Utilities\DownloadLogsFromS3.py --loco 4021 --day 2017-04-04</v>
      </c>
      <c r="AF59" s="1"/>
    </row>
    <row r="60" spans="1:32" x14ac:dyDescent="0.25">
      <c r="A60" s="32">
        <v>42828.177442129629</v>
      </c>
      <c r="B60" s="30" t="s">
        <v>523</v>
      </c>
      <c r="C60" s="30" t="s">
        <v>570</v>
      </c>
      <c r="D60" s="30" t="s">
        <v>49</v>
      </c>
      <c r="E60" s="30" t="s">
        <v>186</v>
      </c>
      <c r="F60" s="43">
        <v>0</v>
      </c>
      <c r="G60" s="43">
        <v>53</v>
      </c>
      <c r="H60" s="43">
        <v>192</v>
      </c>
      <c r="I60" s="43">
        <v>145</v>
      </c>
      <c r="J60" s="30" t="s">
        <v>187</v>
      </c>
      <c r="K60" s="43">
        <v>1</v>
      </c>
      <c r="L60" s="139" t="s">
        <v>51</v>
      </c>
      <c r="M60" s="140">
        <f t="shared" si="10"/>
        <v>76.031999999999996</v>
      </c>
      <c r="N60" s="141" t="str">
        <f>VLOOKUP(C60,'Trips&amp;Operators'!$C$1:$G$99999,5,FALSE)</f>
        <v>FORTUNATO FRANK</v>
      </c>
      <c r="O60" s="190" t="s">
        <v>185</v>
      </c>
      <c r="P60" s="142"/>
      <c r="Q60" s="30"/>
      <c r="R60" s="89" t="e">
        <f>IF(VLOOKUP(C60,'Train Runs'!$A$13:$AE$9938,1,1)=C60,VLOOKUP(C60,'Train Runs'!$A$13:$AE$9938,31,1),NA())</f>
        <v>#N/A</v>
      </c>
      <c r="S60" s="92" t="str">
        <f>VLOOKUP(C60,'Train Runs'!$A$13:$AE$9938,22,0)</f>
        <v>https://d0f6bd738d7f1b3e5a7ca70fe4ff75f0.us-east-1.aws.found.io/app/kibana#/discover/Steve-Slow-Train-Analysis-(2080s-and-2083s)?_g=(refreshInterval:(display:Off,pause:!f,section:0,value:0),time:(from:'2017-04-03T03:04:00-0600',mode:absolute,to:'2017-04-03T05:15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60" s="94" t="str">
        <f t="shared" si="11"/>
        <v>"C:\Program Files (x86)\AstroGrep\AstroGrep.exe" /e /r /s /spath="%USERPROFILE%\AppData\Local\Temp\OnboardLogs" /stypes="*4017*201704031*" /stext=" 10:.+((SYSTEM_STATE.+slice.+state.+changed )|(ment ac)|(multiple cpu faults)|(system.+state.+changed )|(\[timeout)|(PRM\|1\|D)|(kpr)|(kdp)|(\|lc)|(penalty))"</v>
      </c>
      <c r="U60" s="9" t="str">
        <f t="shared" si="12"/>
        <v>4017</v>
      </c>
      <c r="V60" s="32">
        <f t="shared" si="13"/>
        <v>42828.427442129629</v>
      </c>
      <c r="W60" s="46" t="str">
        <f t="shared" si="14"/>
        <v>Other</v>
      </c>
      <c r="X60" s="46" t="str">
        <f t="shared" si="15"/>
        <v>KEEP</v>
      </c>
      <c r="Y60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{"issue":{"subject":"","project_id":79,"tracker_id":40,"status_id":1,"priority_id":2,"assigned_to_id":23,"start_date":"2017-04-03","description":"","custom_fields":[{"id":1,"name":"Subdivision","value":"Other"},{"id":4,"name":"Milepost","value":"0.0001"},{"id":17,"name":"Train ID","value":"308-03"},{"id":16,"name":"Locomotive ID","value":"4017"},{"id":130,"name":"Impact","value":""},{"id":150,"name":"Time of Event (Mountain Time)","value":"04:15:31"},{"id":151,"name":"Denver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218"/>
      <c r="AA60" s="48"/>
      <c r="AB60" s="48"/>
      <c r="AC60" s="123" t="str">
        <f t="shared" si="17"/>
        <v>grep -hSE -A400 "Enforcement Action" "%USERPROFILE%\AppData\Local\Temp\OnboardLogs"\RTDC4017\*4017*201704031* | grep -SE "((Enforcement Ac)|(PRM.+XING))"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"%USERPROFILE%\AppData\Local\Temp\OnboardLogs"\RTDC4017\*4017*201704031* &gt;&gt; 2017-04-03-SliceDisagreementCheck.txt</v>
      </c>
      <c r="AE60" s="153" t="str">
        <f t="shared" si="9"/>
        <v>start /low /b %USERPROFILE%\Documents\GitHub\eaglep3\Utilities\DownloadLogsFromS3.py --loco 4017 --day 2017-04-03</v>
      </c>
      <c r="AF60" s="1"/>
    </row>
    <row r="61" spans="1:32" x14ac:dyDescent="0.25">
      <c r="A61" s="32">
        <v>42828.643819444442</v>
      </c>
      <c r="B61" s="30" t="s">
        <v>436</v>
      </c>
      <c r="C61" s="30" t="s">
        <v>610</v>
      </c>
      <c r="D61" s="30" t="s">
        <v>49</v>
      </c>
      <c r="E61" s="30" t="s">
        <v>186</v>
      </c>
      <c r="F61" s="43">
        <v>0</v>
      </c>
      <c r="G61" s="43">
        <v>38</v>
      </c>
      <c r="H61" s="43">
        <v>692</v>
      </c>
      <c r="I61" s="43">
        <v>661</v>
      </c>
      <c r="J61" s="30" t="s">
        <v>187</v>
      </c>
      <c r="K61" s="43">
        <v>575</v>
      </c>
      <c r="L61" s="139" t="s">
        <v>51</v>
      </c>
      <c r="M61" s="140">
        <f t="shared" si="10"/>
        <v>45.408000000000001</v>
      </c>
      <c r="N61" s="141" t="str">
        <f>VLOOKUP(C61,'Trips&amp;Operators'!$C$1:$G$99999,5,FALSE)</f>
        <v>NEWELL JAMES</v>
      </c>
      <c r="O61" s="190" t="s">
        <v>185</v>
      </c>
      <c r="P61" s="142"/>
      <c r="Q61" s="30"/>
      <c r="R61" s="89" t="e">
        <f>IF(VLOOKUP(C61,'Train Runs'!$A$13:$AE$9938,1,1)=C61,VLOOKUP(C61,'Train Runs'!$A$13:$AE$9938,31,1),NA())</f>
        <v>#N/A</v>
      </c>
      <c r="S61" s="92" t="str">
        <f>VLOOKUP(C61,'Train Runs'!$A$13:$AE$9938,22,0)</f>
        <v>https://d0f6bd738d7f1b3e5a7ca70fe4ff75f0.us-east-1.aws.found.io/app/kibana#/discover/Steve-Slow-Train-Analysis-(2080s-and-2083s)?_g=(refreshInterval:(display:Off,pause:!f,section:0,value:0),time:(from:'2017-04-03T14:17:14-0600',mode:absolute,to:'2017-04-03T16:27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61" s="94" t="str">
        <f t="shared" si="11"/>
        <v>"C:\Program Files (x86)\AstroGrep\AstroGrep.exe" /e /r /s /spath="%USERPROFILE%\AppData\Local\Temp\OnboardLogs" /stypes="*4013*201704032*" /stext=" 21:.+((SYSTEM_STATE.+slice.+state.+changed )|(ment ac)|(multiple cpu faults)|(system.+state.+changed )|(\[timeout)|(PRM\|1\|D)|(kpr)|(kdp)|(\|lc)|(penalty))"</v>
      </c>
      <c r="U61" s="9" t="str">
        <f t="shared" si="12"/>
        <v>4013</v>
      </c>
      <c r="V61" s="32">
        <f t="shared" si="13"/>
        <v>42828.893819444442</v>
      </c>
      <c r="W61" s="46" t="str">
        <f t="shared" si="14"/>
        <v>Other</v>
      </c>
      <c r="X61" s="46" t="str">
        <f t="shared" si="15"/>
        <v>KEEP</v>
      </c>
      <c r="Y61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{"issue":{"subject":"","project_id":79,"tracker_id":40,"status_id":1,"priority_id":2,"assigned_to_id":23,"start_date":"2017-04-03","description":"","custom_fields":[{"id":1,"name":"Subdivision","value":"Other"},{"id":4,"name":"Milepost","value":"0.0575"},{"id":17,"name":"Train ID","value":"904-03"},{"id":16,"name":"Locomotive ID","value":"4013"},{"id":130,"name":"Impact","value":""},{"id":150,"name":"Time of Event (Mountain Time)","value":"15:27:06"},{"id":151,"name":"Denver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218"/>
      <c r="AA61" s="48"/>
      <c r="AB61" s="48"/>
      <c r="AC61" s="123" t="str">
        <f t="shared" si="17"/>
        <v>grep -hSE -A400 "Enforcement Action" "%USERPROFILE%\AppData\Local\Temp\OnboardLogs"\RTDC4013\*4013*201704032* | grep -SE "((Enforcement Ac)|(PRM.+XING))"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"%USERPROFILE%\AppData\Local\Temp\OnboardLogs"\RTDC4013\*4013*201704032* &gt;&gt; 2017-04-03-SliceDisagreementCheck.txt</v>
      </c>
      <c r="AE61" s="153" t="str">
        <f t="shared" si="9"/>
        <v>start /low /b %USERPROFILE%\Documents\GitHub\eaglep3\Utilities\DownloadLogsFromS3.py --loco 4013 --day 2017-04-03</v>
      </c>
      <c r="AF61" s="1"/>
    </row>
    <row r="62" spans="1:32" x14ac:dyDescent="0.25">
      <c r="A62" s="32">
        <v>42828.442476851851</v>
      </c>
      <c r="B62" s="30" t="s">
        <v>441</v>
      </c>
      <c r="C62" s="30" t="s">
        <v>590</v>
      </c>
      <c r="D62" s="30" t="s">
        <v>49</v>
      </c>
      <c r="E62" s="30" t="s">
        <v>186</v>
      </c>
      <c r="F62" s="43">
        <v>0</v>
      </c>
      <c r="G62" s="43">
        <v>40</v>
      </c>
      <c r="H62" s="43">
        <v>930</v>
      </c>
      <c r="I62" s="43">
        <v>900</v>
      </c>
      <c r="J62" s="30" t="s">
        <v>187</v>
      </c>
      <c r="K62" s="43">
        <v>826</v>
      </c>
      <c r="L62" s="139" t="s">
        <v>51</v>
      </c>
      <c r="M62" s="140">
        <f t="shared" si="10"/>
        <v>39.072000000000003</v>
      </c>
      <c r="N62" s="141" t="str">
        <f>VLOOKUP(C62,'Trips&amp;Operators'!$C$1:$G$99999,5,FALSE)</f>
        <v>MOSES BRADLEY</v>
      </c>
      <c r="O62" s="190" t="s">
        <v>185</v>
      </c>
      <c r="P62" s="142"/>
      <c r="Q62" s="30"/>
      <c r="R62" s="89" t="e">
        <f>IF(VLOOKUP(C62,'Train Runs'!$A$13:$AE$9938,1,1)=C62,VLOOKUP(C62,'Train Runs'!$A$13:$AE$9938,31,1),NA())</f>
        <v>#N/A</v>
      </c>
      <c r="S62" s="92" t="str">
        <f>VLOOKUP(C62,'Train Runs'!$A$13:$AE$9938,22,0)</f>
        <v>https://d0f6bd738d7f1b3e5a7ca70fe4ff75f0.us-east-1.aws.found.io/app/kibana#/discover/Steve-Slow-Train-Analysis-(2080s-and-2083s)?_g=(refreshInterval:(display:Off,pause:!f,section:0,value:0),time:(from:'2017-04-03T09:23:15-0600',mode:absolute,to:'2017-04-03T11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62" s="94" t="str">
        <f t="shared" si="11"/>
        <v>"C:\Program Files (x86)\AstroGrep\AstroGrep.exe" /e /r /s /spath="%USERPROFILE%\AppData\Local\Temp\OnboardLogs" /stypes="*4039*201704031*" /stext=" 16:.+((SYSTEM_STATE.+slice.+state.+changed )|(ment ac)|(multiple cpu faults)|(system.+state.+changed )|(\[timeout)|(PRM\|1\|D)|(kpr)|(kdp)|(\|lc)|(penalty))"</v>
      </c>
      <c r="U62" s="9" t="str">
        <f t="shared" si="12"/>
        <v>4039</v>
      </c>
      <c r="V62" s="32">
        <f t="shared" si="13"/>
        <v>42828.692476851851</v>
      </c>
      <c r="W62" s="46" t="str">
        <f t="shared" si="14"/>
        <v>Other</v>
      </c>
      <c r="X62" s="46" t="str">
        <f t="shared" si="15"/>
        <v>KEEP</v>
      </c>
      <c r="Y62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{"issue":{"subject":"","project_id":79,"tracker_id":40,"status_id":1,"priority_id":2,"assigned_to_id":23,"start_date":"2017-04-03","description":"","custom_fields":[{"id":1,"name":"Subdivision","value":"Other"},{"id":4,"name":"Milepost","value":"0.0826"},{"id":17,"name":"Train ID","value":"52-03"},{"id":16,"name":"Locomotive ID","value":"4039"},{"id":130,"name":"Impact","value":""},{"id":150,"name":"Time of Event (Mountain Time)","value":"10:37:10"},{"id":151,"name":"Denver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218"/>
      <c r="AA62" s="48"/>
      <c r="AB62" s="48"/>
      <c r="AC62" s="123" t="str">
        <f t="shared" si="17"/>
        <v>grep -hSE -A400 "Enforcement Action" "%USERPROFILE%\AppData\Local\Temp\OnboardLogs"\RTDC4039\*4039*201704031* | grep -SE "((Enforcement Ac)|(PRM.+XING))"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"%USERPROFILE%\AppData\Local\Temp\OnboardLogs"\RTDC4039\*4039*201704031* &gt;&gt; 2017-04-03-SliceDisagreementCheck.txt</v>
      </c>
      <c r="AE62" s="153" t="str">
        <f t="shared" si="9"/>
        <v>start /low /b %USERPROFILE%\Documents\GitHub\eaglep3\Utilities\DownloadLogsFromS3.py --loco 4039 --day 2017-04-03</v>
      </c>
      <c r="AF62" s="1"/>
    </row>
    <row r="63" spans="1:32" x14ac:dyDescent="0.25">
      <c r="A63" s="32">
        <v>42828.209780092591</v>
      </c>
      <c r="B63" s="30" t="s">
        <v>435</v>
      </c>
      <c r="C63" s="30" t="s">
        <v>571</v>
      </c>
      <c r="D63" s="30" t="s">
        <v>49</v>
      </c>
      <c r="E63" s="30" t="s">
        <v>186</v>
      </c>
      <c r="F63" s="43">
        <v>0</v>
      </c>
      <c r="G63" s="43">
        <v>6</v>
      </c>
      <c r="H63" s="43">
        <v>59039</v>
      </c>
      <c r="I63" s="43">
        <v>59040</v>
      </c>
      <c r="J63" s="30" t="s">
        <v>187</v>
      </c>
      <c r="K63" s="43">
        <v>59048</v>
      </c>
      <c r="L63" s="139" t="s">
        <v>50</v>
      </c>
      <c r="M63" s="140">
        <f t="shared" si="10"/>
        <v>4.2240000000000002</v>
      </c>
      <c r="N63" s="141" t="str">
        <f>VLOOKUP(C63,'Trips&amp;Operators'!$C$1:$G$99999,5,FALSE)</f>
        <v>DAVIS WENDY</v>
      </c>
      <c r="O63" s="190" t="s">
        <v>185</v>
      </c>
      <c r="P63" s="142"/>
      <c r="Q63" s="30"/>
      <c r="R63" s="89" t="e">
        <f>IF(VLOOKUP(C63,'Train Runs'!$A$13:$AE$9938,1,1)=C63,VLOOKUP(C63,'Train Runs'!$A$13:$AE$9938,31,1),NA())</f>
        <v>#N/A</v>
      </c>
      <c r="S63" s="92" t="str">
        <f>VLOOKUP(C63,'Train Runs'!$A$13:$AE$9938,22,0)</f>
        <v>https://d0f6bd738d7f1b3e5a7ca70fe4ff75f0.us-east-1.aws.found.io/app/kibana#/discover/Steve-Slow-Train-Analysis-(2080s-and-2083s)?_g=(refreshInterval:(display:Off,pause:!f,section:0,value:0),time:(from:'2017-04-03T03:45:08-0600',mode:absolute,to:'2017-04-03T06:02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63" s="94" t="str">
        <f t="shared" si="11"/>
        <v>"C:\Program Files (x86)\AstroGrep\AstroGrep.exe" /e /r /s /spath="%USERPROFILE%\AppData\Local\Temp\OnboardLogs" /stypes="*4014*201704031*" /stext=" 11:.+((SYSTEM_STATE.+slice.+state.+changed )|(ment ac)|(multiple cpu faults)|(system.+state.+changed )|(\[timeout)|(PRM\|1\|D)|(kpr)|(kdp)|(\|lc)|(penalty))"</v>
      </c>
      <c r="U63" s="9" t="str">
        <f t="shared" si="12"/>
        <v>4014</v>
      </c>
      <c r="V63" s="32">
        <f t="shared" si="13"/>
        <v>42828.459780092591</v>
      </c>
      <c r="W63" s="46" t="str">
        <f t="shared" si="14"/>
        <v>Other</v>
      </c>
      <c r="X63" s="46" t="str">
        <f t="shared" si="15"/>
        <v>OMIT</v>
      </c>
      <c r="Y63" s="104" t="str">
        <f t="shared" si="16"/>
        <v>echo {"issue":{"subject":"","project_id":79,"tracker_id":40,"status_id":1,"priority_id":2,"assigned_to_id":23,"start_date":"2017-04-03","description":"","custom_fields":[{"id":1,"name":"Subdivision","value":"Other"},{"id":4,"name":"Milepost","value":"5.9048"},{"id":17,"name":"Train ID","value":"901-03"},{"id":16,"name":"Locomotive ID","value":"4014"},{"id":130,"name":"Impact","value":""},{"id":150,"name":"Time of Event (Mountain Time)","value":"05:02:05"},{"id":151,"name":"Denver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218"/>
      <c r="AA63" s="48"/>
      <c r="AB63" s="48"/>
      <c r="AC63" s="123" t="str">
        <f t="shared" si="17"/>
        <v>grep -hSE -A400 "Enforcement Action" "%USERPROFILE%\AppData\Local\Temp\OnboardLogs"\RTDC4014\*4014*201704031* | grep -SE "((Enforcement Ac)|(PRM.+XING))"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"%USERPROFILE%\AppData\Local\Temp\OnboardLogs"\RTDC4014\*4014*201704031* &gt;&gt; 2017-04-03-SliceDisagreementCheck.txt</v>
      </c>
      <c r="AE63" s="153" t="str">
        <f t="shared" si="9"/>
        <v>start /low /b %USERPROFILE%\Documents\GitHub\eaglep3\Utilities\DownloadLogsFromS3.py --loco 4014 --day 2017-04-03</v>
      </c>
      <c r="AF63" s="1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63"/>
      <sortCondition ref="E7:E63"/>
      <sortCondition ref="K7:K63"/>
      <sortCondition ref="F7:F6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6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AA7:AA63</xm:sqref>
        </x14:dataValidation>
        <x14:dataValidation type="list" allowBlank="1" showInputMessage="1" showErrorMessage="1">
          <x14:formula1>
            <xm:f>'Redmine List Values'!$C$2:$C$15</xm:f>
          </x14:formula1>
          <xm:sqref>AB7:AB63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2017-04-03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216-03</v>
      </c>
      <c r="C3" s="143"/>
      <c r="D3" s="161"/>
      <c r="E3" s="30" t="s">
        <v>466</v>
      </c>
      <c r="F3" s="21" t="str">
        <f>VLOOKUP(B3,'Trips&amp;Operators'!$C$2:$E$10000,3,FALSE)</f>
        <v>BRANDNER</v>
      </c>
      <c r="G3" s="21" t="str">
        <f>VLOOKUP(B3,'Trips&amp;Operators'!$C$1:$F$10000,4,FALSE)</f>
        <v>MELINDA</v>
      </c>
      <c r="H3" s="29" t="str">
        <f>VLOOKUP(B3,'Trips&amp;Operators'!$C$1:$H$10000,5,FALSE)</f>
        <v>BRANDNER MELINDA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-03%22)),sort:!(Time.ISO8601,asc))</v>
      </c>
      <c r="J3" s="30" t="str">
        <f>VLOOKUP(B3,'Train Runs'!$A$13:$A$99935,1,FALSE)</f>
        <v>216-03</v>
      </c>
    </row>
    <row r="4" spans="1:10" x14ac:dyDescent="0.25">
      <c r="A4" s="181">
        <v>218</v>
      </c>
      <c r="B4" s="43" t="str">
        <f>A4&amp;"-"&amp;IF(DAY(Variables!$A$2)&lt;10,0,"")&amp;DAY(Variables!$A$2)</f>
        <v>218-03</v>
      </c>
      <c r="C4" s="143"/>
      <c r="D4" s="161"/>
      <c r="E4" s="30" t="s">
        <v>466</v>
      </c>
      <c r="F4" s="21" t="str">
        <f>VLOOKUP(B4,'Trips&amp;Operators'!$C$2:$E$10000,3,FALSE)</f>
        <v>GUZMAN</v>
      </c>
      <c r="G4" s="21" t="str">
        <f>VLOOKUP(B4,'Trips&amp;Operators'!$C$1:$F$10000,4,FALSE)</f>
        <v>DANNY</v>
      </c>
      <c r="H4" s="29" t="str">
        <f>VLOOKUP(B4,'Trips&amp;Operators'!$C$1:$H$10000,5,FALSE)</f>
        <v>GUZMAN DANNY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-03%22)),sort:!(Time.ISO8601,asc))</v>
      </c>
      <c r="J4" s="30" t="str">
        <f>VLOOKUP(B4,'Train Runs'!$A$13:$A$99935,1,FALSE)</f>
        <v>218-03</v>
      </c>
    </row>
    <row r="5" spans="1:10" x14ac:dyDescent="0.25">
      <c r="A5" s="181"/>
      <c r="B5" s="43" t="str">
        <f>A5&amp;"-"&amp;IF(DAY(Variables!$A$2)&lt;10,0,"")&amp;DAY(Variables!$A$2)</f>
        <v>-03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Runs'!$A$13:$A$99935,1,FALSE)</f>
        <v>#N/A</v>
      </c>
    </row>
    <row r="6" spans="1:10" x14ac:dyDescent="0.25">
      <c r="A6" s="181"/>
      <c r="B6" s="43" t="str">
        <f>A6&amp;"-"&amp;IF(DAY(Variables!$A$2)&lt;10,0,"")&amp;DAY(Variables!$A$2)</f>
        <v>-03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Runs'!$A$13:$A$99935,1,FALSE)</f>
        <v>#N/A</v>
      </c>
    </row>
    <row r="7" spans="1:10" x14ac:dyDescent="0.25">
      <c r="A7" s="181"/>
      <c r="B7" s="43" t="str">
        <f>A7&amp;"-"&amp;IF(DAY(Variables!$A$2)&lt;10,0,"")&amp;DAY(Variables!$A$2)</f>
        <v>-03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Runs'!$A$13:$A$99935,1,FALSE)</f>
        <v>#N/A</v>
      </c>
    </row>
    <row r="8" spans="1:10" x14ac:dyDescent="0.25">
      <c r="A8" s="181"/>
      <c r="B8" s="43" t="str">
        <f>A8&amp;"-"&amp;IF(DAY(Variables!$A$2)&lt;10,0,"")&amp;DAY(Variables!$A$2)</f>
        <v>-03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Runs'!$A$13:$A$99935,1,FALSE)</f>
        <v>#N/A</v>
      </c>
    </row>
    <row r="9" spans="1:10" x14ac:dyDescent="0.25">
      <c r="A9" s="181"/>
      <c r="B9" s="43" t="str">
        <f>A9&amp;"-"&amp;IF(DAY(Variables!$A$2)&lt;10,0,"")&amp;DAY(Variables!$A$2)</f>
        <v>-03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Runs'!$A$13:$A$99935,1,FALSE)</f>
        <v>#N/A</v>
      </c>
    </row>
    <row r="10" spans="1:10" x14ac:dyDescent="0.25">
      <c r="A10" s="181"/>
      <c r="B10" s="43" t="str">
        <f>A10&amp;"-"&amp;IF(DAY(Variables!$A$2)&lt;10,0,"")&amp;DAY(Variables!$A$2)</f>
        <v>-03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Runs'!$A$13:$A$99935,1,FALSE)</f>
        <v>#N/A</v>
      </c>
    </row>
    <row r="11" spans="1:10" x14ac:dyDescent="0.25">
      <c r="A11" s="181"/>
      <c r="B11" s="43" t="str">
        <f>A11&amp;"-"&amp;IF(DAY(Variables!$A$2)&lt;10,0,"")&amp;DAY(Variables!$A$2)</f>
        <v>-03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Runs'!$A$13:$A$99935,1,FALSE)</f>
        <v>#N/A</v>
      </c>
    </row>
    <row r="12" spans="1:10" x14ac:dyDescent="0.25">
      <c r="A12" s="181"/>
      <c r="B12" s="43" t="str">
        <f>A12&amp;"-"&amp;IF(DAY(Variables!$A$2)&lt;10,0,"")&amp;DAY(Variables!$A$2)</f>
        <v>-03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2" s="30" t="e">
        <f>VLOOKUP(B12,'Train Runs'!$A$13:$A$99935,1,FALSE)</f>
        <v>#N/A</v>
      </c>
    </row>
    <row r="13" spans="1:10" x14ac:dyDescent="0.25">
      <c r="A13" s="181"/>
      <c r="B13" s="43" t="str">
        <f>A13&amp;"-"&amp;IF(DAY(Variables!$A$2)&lt;10,0,"")&amp;DAY(Variables!$A$2)</f>
        <v>-03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3" s="30" t="e">
        <f>VLOOKUP(B13,'Train Runs'!$A$13:$A$99935,1,FALSE)</f>
        <v>#N/A</v>
      </c>
    </row>
    <row r="14" spans="1:10" x14ac:dyDescent="0.25">
      <c r="A14" s="181"/>
      <c r="B14" s="43" t="str">
        <f>A14&amp;"-"&amp;IF(DAY(Variables!$A$2)&lt;10,0,"")&amp;DAY(Variables!$A$2)</f>
        <v>-03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4" s="30" t="e">
        <f>VLOOKUP(B14,'Train Runs'!$A$13:$A$99935,1,FALSE)</f>
        <v>#N/A</v>
      </c>
    </row>
    <row r="15" spans="1:10" x14ac:dyDescent="0.25">
      <c r="A15" s="181"/>
      <c r="B15" s="43" t="str">
        <f>A15&amp;"-"&amp;IF(DAY(Variables!$A$2)&lt;10,0,"")&amp;DAY(Variables!$A$2)</f>
        <v>-03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5" s="30" t="e">
        <f>VLOOKUP(B15,'Train Runs'!$A$13:$A$99935,1,FALSE)</f>
        <v>#N/A</v>
      </c>
    </row>
    <row r="16" spans="1:10" x14ac:dyDescent="0.25">
      <c r="A16" s="181"/>
      <c r="B16" s="43" t="str">
        <f>A16&amp;"-"&amp;IF(DAY(Variables!$A$2)&lt;10,0,"")&amp;DAY(Variables!$A$2)</f>
        <v>-03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6" s="30" t="e">
        <f>VLOOKUP(B16,'Train Runs'!$A$13:$A$99935,1,FALSE)</f>
        <v>#N/A</v>
      </c>
    </row>
    <row r="17" spans="1:10" x14ac:dyDescent="0.25">
      <c r="A17" s="181"/>
      <c r="B17" s="43" t="str">
        <f>A17&amp;"-"&amp;IF(DAY(Variables!$A$2)&lt;10,0,"")&amp;DAY(Variables!$A$2)</f>
        <v>-03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7" s="30" t="e">
        <f>VLOOKUP(B17,'Train Runs'!$A$13:$A$99935,1,FALSE)</f>
        <v>#N/A</v>
      </c>
    </row>
    <row r="18" spans="1:10" x14ac:dyDescent="0.25">
      <c r="A18" s="181"/>
      <c r="B18" s="43" t="str">
        <f>A18&amp;"-"&amp;IF(DAY(Variables!$A$2)&lt;10,0,"")&amp;DAY(Variables!$A$2)</f>
        <v>-03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8" s="30" t="e">
        <f>VLOOKUP(B18,'Train Runs'!$A$13:$A$99935,1,FALSE)</f>
        <v>#N/A</v>
      </c>
    </row>
    <row r="19" spans="1:10" x14ac:dyDescent="0.25">
      <c r="A19" s="181"/>
      <c r="B19" s="43" t="str">
        <f>A19&amp;"-"&amp;IF(DAY(Variables!$A$2)&lt;10,0,"")&amp;DAY(Variables!$A$2)</f>
        <v>-03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9" s="30" t="e">
        <f>VLOOKUP(B19,'Train Runs'!$A$13:$A$99935,1,FALSE)</f>
        <v>#N/A</v>
      </c>
    </row>
    <row r="20" spans="1:10" x14ac:dyDescent="0.25">
      <c r="A20" s="181"/>
      <c r="B20" s="43" t="str">
        <f>A20&amp;"-"&amp;IF(DAY(Variables!$A$2)&lt;10,0,"")&amp;DAY(Variables!$A$2)</f>
        <v>-03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0" s="30" t="e">
        <f>VLOOKUP(B20,'Train Runs'!$A$13:$A$99935,1,FALSE)</f>
        <v>#N/A</v>
      </c>
    </row>
    <row r="21" spans="1:10" x14ac:dyDescent="0.25">
      <c r="A21" s="181"/>
      <c r="B21" s="43" t="str">
        <f>A21&amp;"-"&amp;IF(DAY(Variables!$A$2)&lt;10,0,"")&amp;DAY(Variables!$A$2)</f>
        <v>-03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1" s="30" t="e">
        <f>VLOOKUP(B21,'Train Runs'!$A$13:$A$99935,1,FALSE)</f>
        <v>#N/A</v>
      </c>
    </row>
    <row r="22" spans="1:10" x14ac:dyDescent="0.25">
      <c r="A22" s="181"/>
      <c r="B22" s="43" t="str">
        <f>A22&amp;"-"&amp;IF(DAY(Variables!$A$2)&lt;10,0,"")&amp;DAY(Variables!$A$2)</f>
        <v>-03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2" s="30" t="e">
        <f>VLOOKUP(B22,'Train Runs'!$A$13:$A$99935,1,FALSE)</f>
        <v>#N/A</v>
      </c>
    </row>
    <row r="23" spans="1:10" x14ac:dyDescent="0.25">
      <c r="A23" s="181"/>
      <c r="B23" s="43" t="str">
        <f>A23&amp;"-"&amp;IF(DAY(Variables!$A$2)&lt;10,0,"")&amp;DAY(Variables!$A$2)</f>
        <v>-03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3" s="30" t="e">
        <f>VLOOKUP(B23,'Train Runs'!$A$13:$A$99935,1,FALSE)</f>
        <v>#N/A</v>
      </c>
    </row>
    <row r="24" spans="1:10" x14ac:dyDescent="0.25">
      <c r="A24" s="181"/>
      <c r="B24" s="43" t="str">
        <f>A24&amp;"-"&amp;IF(DAY(Variables!$A$2)&lt;10,0,"")&amp;DAY(Variables!$A$2)</f>
        <v>-03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4" s="30" t="e">
        <f>VLOOKUP(B24,'Train Runs'!$A$13:$A$99935,1,FALSE)</f>
        <v>#N/A</v>
      </c>
    </row>
    <row r="25" spans="1:10" x14ac:dyDescent="0.25">
      <c r="A25" s="181"/>
      <c r="B25" s="43" t="str">
        <f>A25&amp;"-"&amp;IF(DAY(Variables!$A$2)&lt;10,0,"")&amp;DAY(Variables!$A$2)</f>
        <v>-03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5" s="30" t="e">
        <f>VLOOKUP(B25,'Train Runs'!$A$13:$A$99935,1,FALSE)</f>
        <v>#N/A</v>
      </c>
    </row>
    <row r="26" spans="1:10" x14ac:dyDescent="0.25">
      <c r="A26" s="181"/>
      <c r="B26" s="43" t="str">
        <f>A26&amp;"-"&amp;IF(DAY(Variables!$A$2)&lt;10,0,"")&amp;DAY(Variables!$A$2)</f>
        <v>-03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6" s="30" t="e">
        <f>VLOOKUP(B26,'Train Runs'!$A$13:$A$99935,1,FALSE)</f>
        <v>#N/A</v>
      </c>
    </row>
    <row r="27" spans="1:10" x14ac:dyDescent="0.25">
      <c r="A27" s="181"/>
      <c r="B27" s="43" t="str">
        <f>A27&amp;"-"&amp;IF(DAY(Variables!$A$2)&lt;10,0,"")&amp;DAY(Variables!$A$2)</f>
        <v>-03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7" s="30" t="e">
        <f>VLOOKUP(B27,'Train Runs'!$A$13:$A$99935,1,FALSE)</f>
        <v>#N/A</v>
      </c>
    </row>
    <row r="28" spans="1:10" x14ac:dyDescent="0.25">
      <c r="A28" s="181"/>
      <c r="B28" s="43" t="str">
        <f>A28&amp;"-"&amp;IF(DAY(Variables!$A$2)&lt;10,0,"")&amp;DAY(Variables!$A$2)</f>
        <v>-03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8" s="30" t="e">
        <f>VLOOKUP(B28,'Train Runs'!$A$13:$A$99935,1,FALSE)</f>
        <v>#N/A</v>
      </c>
    </row>
    <row r="29" spans="1:10" x14ac:dyDescent="0.25">
      <c r="A29" s="181"/>
      <c r="B29" s="43" t="str">
        <f>A29&amp;"-"&amp;IF(DAY(Variables!$A$2)&lt;10,0,"")&amp;DAY(Variables!$A$2)</f>
        <v>-03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29" s="30" t="e">
        <f>VLOOKUP(B29,'Train Runs'!$A$13:$A$99935,1,FALSE)</f>
        <v>#N/A</v>
      </c>
    </row>
    <row r="30" spans="1:10" x14ac:dyDescent="0.25">
      <c r="A30" s="181"/>
      <c r="B30" s="43" t="str">
        <f>A30&amp;"-"&amp;IF(DAY(Variables!$A$2)&lt;10,0,"")&amp;DAY(Variables!$A$2)</f>
        <v>-03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0" s="30" t="e">
        <f>VLOOKUP(B30,'Train Runs'!$A$13:$A$99935,1,FALSE)</f>
        <v>#N/A</v>
      </c>
    </row>
    <row r="31" spans="1:10" x14ac:dyDescent="0.25">
      <c r="A31" s="181"/>
      <c r="B31" s="43" t="str">
        <f>A31&amp;"-"&amp;IF(DAY(Variables!$A$2)&lt;10,0,"")&amp;DAY(Variables!$A$2)</f>
        <v>-03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1" s="30" t="e">
        <f>VLOOKUP(B31,'Train Runs'!$A$13:$A$99935,1,FALSE)</f>
        <v>#N/A</v>
      </c>
    </row>
    <row r="32" spans="1:10" x14ac:dyDescent="0.25">
      <c r="A32" s="181"/>
      <c r="B32" s="43" t="str">
        <f>A32&amp;"-"&amp;IF(DAY(Variables!$A$2)&lt;10,0,"")&amp;DAY(Variables!$A$2)</f>
        <v>-03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2" s="30" t="e">
        <f>VLOOKUP(B32,'Train Runs'!$A$13:$A$99935,1,FALSE)</f>
        <v>#N/A</v>
      </c>
    </row>
    <row r="33" spans="1:10" x14ac:dyDescent="0.25">
      <c r="A33" s="181"/>
      <c r="B33" s="43" t="str">
        <f>A33&amp;"-"&amp;IF(DAY(Variables!$A$2)&lt;10,0,"")&amp;DAY(Variables!$A$2)</f>
        <v>-03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3" s="30" t="e">
        <f>VLOOKUP(B33,'Train Runs'!$A$13:$A$99935,1,FALSE)</f>
        <v>#N/A</v>
      </c>
    </row>
    <row r="34" spans="1:10" x14ac:dyDescent="0.25">
      <c r="A34" s="181"/>
      <c r="B34" s="43" t="str">
        <f>A34&amp;"-"&amp;IF(DAY(Variables!$A$2)&lt;10,0,"")&amp;DAY(Variables!$A$2)</f>
        <v>-03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4" s="30" t="e">
        <f>VLOOKUP(B34,'Train Runs'!$A$13:$A$99935,1,FALSE)</f>
        <v>#N/A</v>
      </c>
    </row>
    <row r="35" spans="1:10" x14ac:dyDescent="0.25">
      <c r="A35" s="181"/>
      <c r="B35" s="43" t="str">
        <f>A35&amp;"-"&amp;IF(DAY(Variables!$A$2)&lt;10,0,"")&amp;DAY(Variables!$A$2)</f>
        <v>-03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5" s="30" t="e">
        <f>VLOOKUP(B35,'Train Runs'!$A$13:$A$99935,1,FALSE)</f>
        <v>#N/A</v>
      </c>
    </row>
    <row r="36" spans="1:10" x14ac:dyDescent="0.25">
      <c r="A36" s="181"/>
      <c r="B36" s="43" t="str">
        <f>A36&amp;"-"&amp;IF(DAY(Variables!$A$2)&lt;10,0,"")&amp;DAY(Variables!$A$2)</f>
        <v>-03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6" s="30" t="e">
        <f>VLOOKUP(B36,'Train Runs'!$A$13:$A$99935,1,FALSE)</f>
        <v>#N/A</v>
      </c>
    </row>
    <row r="37" spans="1:10" x14ac:dyDescent="0.25">
      <c r="A37" s="181"/>
      <c r="B37" s="43" t="str">
        <f>A37&amp;"-"&amp;IF(DAY(Variables!$A$2)&lt;10,0,"")&amp;DAY(Variables!$A$2)</f>
        <v>-03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7" s="30" t="e">
        <f>VLOOKUP(B37,'Train Runs'!$A$13:$A$99935,1,FALSE)</f>
        <v>#N/A</v>
      </c>
    </row>
    <row r="38" spans="1:10" x14ac:dyDescent="0.25">
      <c r="A38" s="181"/>
      <c r="B38" s="43" t="str">
        <f>A38&amp;"-"&amp;IF(DAY(Variables!$A$2)&lt;10,0,"")&amp;DAY(Variables!$A$2)</f>
        <v>-03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8" s="30" t="e">
        <f>VLOOKUP(B38,'Train Runs'!$A$13:$A$99935,1,FALSE)</f>
        <v>#N/A</v>
      </c>
    </row>
    <row r="39" spans="1:10" x14ac:dyDescent="0.25">
      <c r="A39" s="181"/>
      <c r="B39" s="43" t="str">
        <f>A39&amp;"-"&amp;IF(DAY(Variables!$A$2)&lt;10,0,"")&amp;DAY(Variables!$A$2)</f>
        <v>-03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9" s="30" t="e">
        <f>VLOOKUP(B39,'Train Runs'!$A$13:$A$99935,1,FALSE)</f>
        <v>#N/A</v>
      </c>
    </row>
    <row r="40" spans="1:10" x14ac:dyDescent="0.25">
      <c r="A40" s="181"/>
      <c r="B40" s="43" t="str">
        <f>A40&amp;"-"&amp;IF(DAY(Variables!$A$2)&lt;10,0,"")&amp;DAY(Variables!$A$2)</f>
        <v>-03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0" s="30" t="e">
        <f>VLOOKUP(B40,'Train Runs'!$A$13:$A$99935,1,FALSE)</f>
        <v>#N/A</v>
      </c>
    </row>
    <row r="41" spans="1:10" x14ac:dyDescent="0.25">
      <c r="A41" s="181"/>
      <c r="B41" s="43" t="str">
        <f>A41&amp;"-"&amp;IF(DAY(Variables!$A$2)&lt;10,0,"")&amp;DAY(Variables!$A$2)</f>
        <v>-03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1" s="30" t="e">
        <f>VLOOKUP(B41,'Train Runs'!$A$13:$A$99935,1,FALSE)</f>
        <v>#N/A</v>
      </c>
    </row>
    <row r="42" spans="1:10" x14ac:dyDescent="0.25">
      <c r="A42" s="181"/>
      <c r="B42" s="43" t="str">
        <f>A42&amp;"-"&amp;IF(DAY(Variables!$A$2)&lt;10,0,"")&amp;DAY(Variables!$A$2)</f>
        <v>-03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2" s="30" t="e">
        <f>VLOOKUP(B42,'Train Runs'!$A$13:$A$99935,1,FALSE)</f>
        <v>#N/A</v>
      </c>
    </row>
    <row r="43" spans="1:10" x14ac:dyDescent="0.25">
      <c r="A43" s="181"/>
      <c r="B43" s="43" t="str">
        <f>A43&amp;"-"&amp;IF(DAY(Variables!$A$2)&lt;10,0,"")&amp;DAY(Variables!$A$2)</f>
        <v>-03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3" s="30" t="e">
        <f>VLOOKUP(B43,'Train Runs'!$A$13:$A$99935,1,FALSE)</f>
        <v>#N/A</v>
      </c>
    </row>
    <row r="44" spans="1:10" x14ac:dyDescent="0.25">
      <c r="A44" s="181"/>
      <c r="B44" s="43" t="str">
        <f>A44&amp;"-"&amp;IF(DAY(Variables!$A$2)&lt;10,0,"")&amp;DAY(Variables!$A$2)</f>
        <v>-03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4" s="30" t="e">
        <f>VLOOKUP(B44,'Train Runs'!$A$13:$A$99935,1,FALSE)</f>
        <v>#N/A</v>
      </c>
    </row>
    <row r="45" spans="1:10" x14ac:dyDescent="0.25">
      <c r="A45" s="181"/>
      <c r="B45" s="43" t="str">
        <f>A45&amp;"-"&amp;IF(DAY(Variables!$A$2)&lt;10,0,"")&amp;DAY(Variables!$A$2)</f>
        <v>-03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5" s="30" t="e">
        <f>VLOOKUP(B45,'Train Runs'!$A$13:$A$99935,1,FALSE)</f>
        <v>#N/A</v>
      </c>
    </row>
    <row r="46" spans="1:10" x14ac:dyDescent="0.25">
      <c r="A46" s="181"/>
      <c r="B46" s="43" t="str">
        <f>A46&amp;"-"&amp;IF(DAY(Variables!$A$2)&lt;10,0,"")&amp;DAY(Variables!$A$2)</f>
        <v>-03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6" s="30" t="e">
        <f>VLOOKUP(B46,'Train Runs'!$A$13:$A$99935,1,FALSE)</f>
        <v>#N/A</v>
      </c>
    </row>
    <row r="47" spans="1:10" x14ac:dyDescent="0.25">
      <c r="A47" s="181"/>
      <c r="B47" s="43" t="str">
        <f>A47&amp;"-"&amp;IF(DAY(Variables!$A$2)&lt;10,0,"")&amp;DAY(Variables!$A$2)</f>
        <v>-03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7" s="30" t="e">
        <f>VLOOKUP(B47,'Train Runs'!$A$13:$A$99935,1,FALSE)</f>
        <v>#N/A</v>
      </c>
    </row>
    <row r="48" spans="1:10" x14ac:dyDescent="0.25">
      <c r="A48" s="181"/>
      <c r="B48" s="43" t="str">
        <f>A48&amp;"-"&amp;IF(DAY(Variables!$A$2)&lt;10,0,"")&amp;DAY(Variables!$A$2)</f>
        <v>-03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8" s="30" t="e">
        <f>VLOOKUP(B48,'Train Runs'!$A$13:$A$99935,1,FALSE)</f>
        <v>#N/A</v>
      </c>
    </row>
    <row r="49" spans="1:10" x14ac:dyDescent="0.25">
      <c r="A49" s="181"/>
      <c r="B49" s="43" t="str">
        <f>A49&amp;"-"&amp;IF(DAY(Variables!$A$2)&lt;10,0,"")&amp;DAY(Variables!$A$2)</f>
        <v>-03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9" s="30" t="e">
        <f>VLOOKUP(B49,'Train Runs'!$A$13:$A$99935,1,FALSE)</f>
        <v>#N/A</v>
      </c>
    </row>
    <row r="50" spans="1:10" x14ac:dyDescent="0.25">
      <c r="A50" s="181"/>
      <c r="B50" s="43" t="str">
        <f>A50&amp;"-"&amp;IF(DAY(Variables!$A$2)&lt;10,0,"")&amp;DAY(Variables!$A$2)</f>
        <v>-03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0" s="30" t="e">
        <f>VLOOKUP(B50,'Train Runs'!$A$13:$A$99935,1,FALSE)</f>
        <v>#N/A</v>
      </c>
    </row>
    <row r="51" spans="1:10" x14ac:dyDescent="0.25">
      <c r="A51" s="181"/>
      <c r="B51" s="43" t="str">
        <f>A51&amp;"-"&amp;IF(DAY(Variables!$A$2)&lt;10,0,"")&amp;DAY(Variables!$A$2)</f>
        <v>-03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1" s="30" t="e">
        <f>VLOOKUP(B51,'Train Runs'!$A$13:$A$99935,1,FALSE)</f>
        <v>#N/A</v>
      </c>
    </row>
    <row r="52" spans="1:10" x14ac:dyDescent="0.25">
      <c r="A52" s="181"/>
      <c r="B52" s="43" t="str">
        <f>A52&amp;"-"&amp;IF(DAY(Variables!$A$2)&lt;10,0,"")&amp;DAY(Variables!$A$2)</f>
        <v>-03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2" s="30" t="e">
        <f>VLOOKUP(B52,'Train Runs'!$A$13:$A$99935,1,FALSE)</f>
        <v>#N/A</v>
      </c>
    </row>
    <row r="53" spans="1:10" x14ac:dyDescent="0.25">
      <c r="A53" s="181"/>
      <c r="B53" s="43" t="str">
        <f>A53&amp;"-"&amp;IF(DAY(Variables!$A$2)&lt;10,0,"")&amp;DAY(Variables!$A$2)</f>
        <v>-03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3" s="30" t="e">
        <f>VLOOKUP(B53,'Train Runs'!$A$13:$A$99935,1,FALSE)</f>
        <v>#N/A</v>
      </c>
    </row>
    <row r="54" spans="1:10" x14ac:dyDescent="0.25">
      <c r="A54" s="181"/>
      <c r="B54" s="43" t="str">
        <f>A54&amp;"-"&amp;IF(DAY(Variables!$A$2)&lt;10,0,"")&amp;DAY(Variables!$A$2)</f>
        <v>-03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4" s="30" t="e">
        <f>VLOOKUP(B54,'Train Runs'!$A$13:$A$99935,1,FALSE)</f>
        <v>#N/A</v>
      </c>
    </row>
    <row r="55" spans="1:10" x14ac:dyDescent="0.25">
      <c r="A55" s="181"/>
      <c r="B55" s="43" t="str">
        <f>A55&amp;"-"&amp;IF(DAY(Variables!$A$2)&lt;10,0,"")&amp;DAY(Variables!$A$2)</f>
        <v>-03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5" s="30" t="e">
        <f>VLOOKUP(B55,'Train Runs'!$A$13:$A$99935,1,FALSE)</f>
        <v>#N/A</v>
      </c>
    </row>
    <row r="56" spans="1:10" x14ac:dyDescent="0.25">
      <c r="A56" s="181"/>
      <c r="B56" s="43" t="str">
        <f>A56&amp;"-"&amp;IF(DAY(Variables!$A$2)&lt;10,0,"")&amp;DAY(Variables!$A$2)</f>
        <v>-03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6" s="30" t="e">
        <f>VLOOKUP(B56,'Train Runs'!$A$13:$A$99935,1,FALSE)</f>
        <v>#N/A</v>
      </c>
    </row>
    <row r="57" spans="1:10" x14ac:dyDescent="0.25">
      <c r="A57" s="181"/>
      <c r="B57" s="43" t="str">
        <f>A57&amp;"-"&amp;IF(DAY(Variables!$A$2)&lt;10,0,"")&amp;DAY(Variables!$A$2)</f>
        <v>-03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7" s="30" t="e">
        <f>VLOOKUP(B57,'Train Runs'!$A$13:$A$99935,1,FALSE)</f>
        <v>#N/A</v>
      </c>
    </row>
    <row r="58" spans="1:10" x14ac:dyDescent="0.25">
      <c r="A58" s="181"/>
      <c r="B58" s="43" t="str">
        <f>A58&amp;"-"&amp;IF(DAY(Variables!$A$2)&lt;10,0,"")&amp;DAY(Variables!$A$2)</f>
        <v>-03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8" s="30" t="e">
        <f>VLOOKUP(B58,'Train Runs'!$A$13:$A$99935,1,FALSE)</f>
        <v>#N/A</v>
      </c>
    </row>
    <row r="59" spans="1:10" x14ac:dyDescent="0.25">
      <c r="A59" s="181"/>
      <c r="B59" s="43" t="str">
        <f>A59&amp;"-"&amp;IF(DAY(Variables!$A$2)&lt;10,0,"")&amp;DAY(Variables!$A$2)</f>
        <v>-03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9" s="30" t="e">
        <f>VLOOKUP(B59,'Train Runs'!$A$13:$A$99935,1,FALSE)</f>
        <v>#N/A</v>
      </c>
    </row>
    <row r="60" spans="1:10" x14ac:dyDescent="0.25">
      <c r="A60" s="181"/>
      <c r="B60" s="43" t="str">
        <f>A60&amp;"-"&amp;IF(DAY(Variables!$A$2)&lt;10,0,"")&amp;DAY(Variables!$A$2)</f>
        <v>-03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0" s="30" t="e">
        <f>VLOOKUP(B60,'Train Runs'!$A$13:$A$99935,1,FALSE)</f>
        <v>#N/A</v>
      </c>
    </row>
    <row r="61" spans="1:10" x14ac:dyDescent="0.25">
      <c r="A61" s="181"/>
      <c r="B61" s="43" t="str">
        <f>A61&amp;"-"&amp;IF(DAY(Variables!$A$2)&lt;10,0,"")&amp;DAY(Variables!$A$2)</f>
        <v>-03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1" s="30" t="e">
        <f>VLOOKUP(B61,'Train Runs'!$A$13:$A$99935,1,FALSE)</f>
        <v>#N/A</v>
      </c>
    </row>
    <row r="62" spans="1:10" x14ac:dyDescent="0.25">
      <c r="A62" s="181"/>
      <c r="B62" s="43" t="str">
        <f>A62&amp;"-"&amp;IF(DAY(Variables!$A$2)&lt;10,0,"")&amp;DAY(Variables!$A$2)</f>
        <v>-03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2" s="30" t="e">
        <f>VLOOKUP(B62,'Train Runs'!$A$13:$A$99935,1,FALSE)</f>
        <v>#N/A</v>
      </c>
    </row>
    <row r="63" spans="1:10" x14ac:dyDescent="0.25">
      <c r="A63" s="181"/>
      <c r="B63" s="43" t="str">
        <f>A63&amp;"-"&amp;IF(DAY(Variables!$A$2)&lt;10,0,"")&amp;DAY(Variables!$A$2)</f>
        <v>-03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3" s="30" t="e">
        <f>VLOOKUP(B63,'Train Runs'!$A$13:$A$99935,1,FALSE)</f>
        <v>#N/A</v>
      </c>
    </row>
    <row r="64" spans="1:10" x14ac:dyDescent="0.25">
      <c r="A64" s="181"/>
      <c r="B64" s="43" t="str">
        <f>A64&amp;"-"&amp;IF(DAY(Variables!$A$2)&lt;10,0,"")&amp;DAY(Variables!$A$2)</f>
        <v>-03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4" s="30" t="e">
        <f>VLOOKUP(B64,'Train Runs'!$A$13:$A$99935,1,FALSE)</f>
        <v>#N/A</v>
      </c>
    </row>
    <row r="65" spans="1:10" x14ac:dyDescent="0.25">
      <c r="A65" s="181"/>
      <c r="B65" s="43" t="str">
        <f>A65&amp;"-"&amp;IF(DAY(Variables!$A$2)&lt;10,0,"")&amp;DAY(Variables!$A$2)</f>
        <v>-03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5" s="30" t="e">
        <f>VLOOKUP(B65,'Train Runs'!$A$13:$A$99935,1,FALSE)</f>
        <v>#N/A</v>
      </c>
    </row>
    <row r="66" spans="1:10" x14ac:dyDescent="0.25">
      <c r="A66" s="181"/>
      <c r="B66" s="43" t="str">
        <f>A66&amp;"-"&amp;IF(DAY(Variables!$A$2)&lt;10,0,"")&amp;DAY(Variables!$A$2)</f>
        <v>-03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6" s="30" t="e">
        <f>VLOOKUP(B66,'Train Runs'!$A$13:$A$99935,1,FALSE)</f>
        <v>#N/A</v>
      </c>
    </row>
    <row r="67" spans="1:10" x14ac:dyDescent="0.25">
      <c r="A67" s="181"/>
      <c r="B67" s="43" t="str">
        <f>A67&amp;"-"&amp;IF(DAY(Variables!$A$2)&lt;10,0,"")&amp;DAY(Variables!$A$2)</f>
        <v>-03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7" s="30" t="e">
        <f>VLOOKUP(B67,'Train Runs'!$A$13:$A$99935,1,FALSE)</f>
        <v>#N/A</v>
      </c>
    </row>
    <row r="68" spans="1:10" x14ac:dyDescent="0.25">
      <c r="A68" s="181"/>
      <c r="B68" s="43" t="str">
        <f>A68&amp;"-"&amp;IF(DAY(Variables!$A$2)&lt;10,0,"")&amp;DAY(Variables!$A$2)</f>
        <v>-03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8" s="30" t="e">
        <f>VLOOKUP(B68,'Train Runs'!$A$13:$A$99935,1,FALSE)</f>
        <v>#N/A</v>
      </c>
    </row>
    <row r="69" spans="1:10" x14ac:dyDescent="0.25">
      <c r="A69" s="181"/>
      <c r="B69" s="43" t="str">
        <f>A69&amp;"-"&amp;IF(DAY(Variables!$A$2)&lt;10,0,"")&amp;DAY(Variables!$A$2)</f>
        <v>-03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9" s="30" t="e">
        <f>VLOOKUP(B69,'Train Runs'!$A$13:$A$99935,1,FALSE)</f>
        <v>#N/A</v>
      </c>
    </row>
    <row r="70" spans="1:10" x14ac:dyDescent="0.25">
      <c r="A70" s="181"/>
      <c r="B70" s="43" t="str">
        <f>A70&amp;"-"&amp;IF(DAY(Variables!$A$2)&lt;10,0,"")&amp;DAY(Variables!$A$2)</f>
        <v>-03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0" s="30" t="e">
        <f>VLOOKUP(B70,'Train Runs'!$A$13:$A$99935,1,FALSE)</f>
        <v>#N/A</v>
      </c>
    </row>
    <row r="71" spans="1:10" x14ac:dyDescent="0.25">
      <c r="A71" s="181"/>
      <c r="B71" s="43" t="str">
        <f>A71&amp;"-"&amp;IF(DAY(Variables!$A$2)&lt;10,0,"")&amp;DAY(Variables!$A$2)</f>
        <v>-03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1" s="30" t="e">
        <f>VLOOKUP(B71,'Train Runs'!$A$13:$A$99935,1,FALSE)</f>
        <v>#N/A</v>
      </c>
    </row>
    <row r="72" spans="1:10" x14ac:dyDescent="0.25">
      <c r="A72" s="181"/>
      <c r="B72" s="43" t="str">
        <f>A72&amp;"-"&amp;IF(DAY(Variables!$A$2)&lt;10,0,"")&amp;DAY(Variables!$A$2)</f>
        <v>-03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2" s="30" t="e">
        <f>VLOOKUP(B72,'Train Runs'!$A$13:$A$99935,1,FALSE)</f>
        <v>#N/A</v>
      </c>
    </row>
    <row r="73" spans="1:10" x14ac:dyDescent="0.25">
      <c r="A73" s="181"/>
      <c r="B73" s="43" t="str">
        <f>A73&amp;"-"&amp;IF(DAY(Variables!$A$2)&lt;10,0,"")&amp;DAY(Variables!$A$2)</f>
        <v>-03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Runs'!$A$13:$A$99935,1,FALSE)</f>
        <v>#N/A</v>
      </c>
    </row>
    <row r="74" spans="1:10" x14ac:dyDescent="0.25">
      <c r="A74" s="181"/>
      <c r="B74" s="43" t="str">
        <f>A74&amp;"-"&amp;IF(DAY(Variables!$A$2)&lt;10,0,"")&amp;DAY(Variables!$A$2)</f>
        <v>-03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Runs'!$A$13:$A$99935,1,FALSE)</f>
        <v>#N/A</v>
      </c>
    </row>
    <row r="75" spans="1:10" x14ac:dyDescent="0.25">
      <c r="A75" s="181"/>
      <c r="B75" s="43" t="str">
        <f>A75&amp;"-"&amp;IF(DAY(Variables!$A$2)&lt;10,0,"")&amp;DAY(Variables!$A$2)</f>
        <v>-03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Runs'!$A$13:$A$99935,1,FALSE)</f>
        <v>#N/A</v>
      </c>
    </row>
    <row r="76" spans="1:10" x14ac:dyDescent="0.25">
      <c r="A76" s="181"/>
      <c r="B76" s="43" t="str">
        <f>A76&amp;"-"&amp;IF(DAY(Variables!$A$2)&lt;10,0,"")&amp;DAY(Variables!$A$2)</f>
        <v>-03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Runs'!$A$13:$A$99935,1,FALSE)</f>
        <v>#N/A</v>
      </c>
    </row>
    <row r="77" spans="1:10" x14ac:dyDescent="0.25">
      <c r="A77" s="181"/>
      <c r="B77" s="43" t="str">
        <f>A77&amp;"-"&amp;IF(DAY(Variables!$A$2)&lt;10,0,"")&amp;DAY(Variables!$A$2)</f>
        <v>-03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Runs'!$A$13:$A$99935,1,FALSE)</f>
        <v>#N/A</v>
      </c>
    </row>
    <row r="78" spans="1:10" x14ac:dyDescent="0.25">
      <c r="A78" s="181"/>
      <c r="B78" s="43" t="str">
        <f>A78&amp;"-"&amp;IF(DAY(Variables!$A$2)&lt;10,0,"")&amp;DAY(Variables!$A$2)</f>
        <v>-03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Runs'!$A$13:$A$99935,1,FALSE)</f>
        <v>#N/A</v>
      </c>
    </row>
    <row r="79" spans="1:10" x14ac:dyDescent="0.25">
      <c r="A79" s="181"/>
      <c r="B79" s="43" t="str">
        <f>A79&amp;"-"&amp;IF(DAY(Variables!$A$2)&lt;10,0,"")&amp;DAY(Variables!$A$2)</f>
        <v>-03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Runs'!$A$13:$A$99935,1,FALSE)</f>
        <v>#N/A</v>
      </c>
    </row>
    <row r="80" spans="1:10" x14ac:dyDescent="0.25">
      <c r="A80" s="181"/>
      <c r="B80" s="43" t="str">
        <f>A80&amp;"-"&amp;IF(DAY(Variables!$A$2)&lt;10,0,"")&amp;DAY(Variables!$A$2)</f>
        <v>-03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Runs'!$A$13:$A$99935,1,FALSE)</f>
        <v>#N/A</v>
      </c>
    </row>
    <row r="81" spans="1:10" x14ac:dyDescent="0.25">
      <c r="A81" s="181"/>
      <c r="B81" s="43" t="str">
        <f>A81&amp;"-"&amp;IF(DAY(Variables!$A$2)&lt;10,0,"")&amp;DAY(Variables!$A$2)</f>
        <v>-03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Runs'!$A$13:$A$99935,1,FALSE)</f>
        <v>#N/A</v>
      </c>
    </row>
    <row r="82" spans="1:10" x14ac:dyDescent="0.25">
      <c r="A82" s="181"/>
      <c r="B82" s="43" t="str">
        <f>A82&amp;"-"&amp;IF(DAY(Variables!$A$2)&lt;10,0,"")&amp;DAY(Variables!$A$2)</f>
        <v>-03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Runs'!$A$13:$A$99935,1,FALSE)</f>
        <v>#N/A</v>
      </c>
    </row>
    <row r="83" spans="1:10" x14ac:dyDescent="0.25">
      <c r="A83" s="181"/>
      <c r="B83" s="43" t="str">
        <f>A83&amp;"-"&amp;IF(DAY(Variables!$A$2)&lt;10,0,"")&amp;DAY(Variables!$A$2)</f>
        <v>-03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3" s="30" t="e">
        <f>VLOOKUP(B83,'Train Runs'!$A$13:$A$99935,1,FALSE)</f>
        <v>#N/A</v>
      </c>
    </row>
    <row r="84" spans="1:10" x14ac:dyDescent="0.25">
      <c r="A84" s="181"/>
      <c r="B84" s="43" t="str">
        <f>A84&amp;"-"&amp;IF(DAY(Variables!$A$2)&lt;10,0,"")&amp;DAY(Variables!$A$2)</f>
        <v>-03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4" s="30" t="e">
        <f>VLOOKUP(B84,'Train Runs'!$A$13:$A$99935,1,FALSE)</f>
        <v>#N/A</v>
      </c>
    </row>
    <row r="85" spans="1:10" x14ac:dyDescent="0.25">
      <c r="A85" s="181"/>
      <c r="B85" s="43" t="str">
        <f>A85&amp;"-"&amp;IF(DAY(Variables!$A$2)&lt;10,0,"")&amp;DAY(Variables!$A$2)</f>
        <v>-03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5" s="30" t="e">
        <f>VLOOKUP(B85,'Train Runs'!$A$13:$A$99935,1,FALSE)</f>
        <v>#N/A</v>
      </c>
    </row>
    <row r="86" spans="1:10" x14ac:dyDescent="0.25">
      <c r="A86" s="181"/>
      <c r="B86" s="43" t="str">
        <f>A86&amp;"-"&amp;IF(DAY(Variables!$A$2)&lt;10,0,"")&amp;DAY(Variables!$A$2)</f>
        <v>-03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6" s="30" t="e">
        <f>VLOOKUP(B86,'Train Runs'!$A$13:$A$99935,1,FALSE)</f>
        <v>#N/A</v>
      </c>
    </row>
    <row r="87" spans="1:10" x14ac:dyDescent="0.25">
      <c r="A87" s="181"/>
      <c r="B87" s="43" t="str">
        <f>A87&amp;"-"&amp;IF(DAY(Variables!$A$2)&lt;10,0,"")&amp;DAY(Variables!$A$2)</f>
        <v>-03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7" s="30" t="e">
        <f>VLOOKUP(B87,'Train Runs'!$A$13:$A$99935,1,FALSE)</f>
        <v>#N/A</v>
      </c>
    </row>
    <row r="88" spans="1:10" x14ac:dyDescent="0.25">
      <c r="A88" s="181"/>
      <c r="B88" s="43" t="str">
        <f>A88&amp;"-"&amp;IF(DAY(Variables!$A$2)&lt;10,0,"")&amp;DAY(Variables!$A$2)</f>
        <v>-03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8" s="30" t="e">
        <f>VLOOKUP(B88,'Train Runs'!$A$13:$A$99935,1,FALSE)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352</v>
      </c>
      <c r="B1" s="203" t="s">
        <v>353</v>
      </c>
      <c r="C1" s="195" t="s">
        <v>361</v>
      </c>
      <c r="D1" s="207" t="s">
        <v>58</v>
      </c>
      <c r="E1" s="192" t="s">
        <v>24</v>
      </c>
      <c r="F1" s="207" t="s">
        <v>367</v>
      </c>
      <c r="G1" s="211" t="s">
        <v>94</v>
      </c>
      <c r="H1" s="213" t="s">
        <v>371</v>
      </c>
      <c r="I1" s="209" t="s">
        <v>370</v>
      </c>
      <c r="J1" s="205" t="s">
        <v>84</v>
      </c>
      <c r="K1" s="205" t="s">
        <v>366</v>
      </c>
      <c r="L1" s="200" t="s">
        <v>363</v>
      </c>
      <c r="M1" s="200" t="s">
        <v>354</v>
      </c>
      <c r="N1" s="200" t="s">
        <v>356</v>
      </c>
      <c r="O1" s="200" t="s">
        <v>357</v>
      </c>
      <c r="P1" s="200" t="s">
        <v>358</v>
      </c>
      <c r="Q1" s="199" t="s">
        <v>355</v>
      </c>
    </row>
    <row r="2" spans="1:17" x14ac:dyDescent="0.25">
      <c r="A2" s="197">
        <v>42800.21875</v>
      </c>
      <c r="B2" s="204" t="s">
        <v>360</v>
      </c>
      <c r="C2" s="194" t="s">
        <v>362</v>
      </c>
      <c r="D2" s="208">
        <v>104</v>
      </c>
      <c r="E2" s="30" t="s">
        <v>365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/stypes="*4043*201703061*"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"%USERPROFILE%\AppData\Local\Temp\OnboardLogs"\RTDC4043\*4043*201703061*</v>
      </c>
      <c r="I2" s="210" t="str">
        <f>IF(VLOOKUP(K2,'Train Runs'!$A$13:$V$991,1,TRUE)=K2,VLOOKUP(K2,'Train Runs'!$A$13:$V$991,22,TRUE),NA())</f>
        <v>https://d0f6bd738d7f1b3e5a7ca70fe4ff75f0.us-east-1.aws.found.io/app/kibana#/discover/Steve-Slow-Train-Analysis-(2080s-and-2083s)?_g=(refreshInterval:(display:Off,pause:!f,section:0,value:0),time:(from:'2017-04-03T03:31:57-0600',mode:absolute,to:'2017-04-03T06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104-03</v>
      </c>
      <c r="L2" s="202">
        <f>IF(VLOOKUP(K2,'Train Runs'!$A$12:$B$991,1,TRUE)=K2,VLOOKUP(K2,'Train Runs'!$A$12:$B$991,2,TRUE),NA())</f>
        <v>4043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360</v>
      </c>
      <c r="C3" s="194" t="s">
        <v>362</v>
      </c>
      <c r="D3" s="208">
        <v>126</v>
      </c>
      <c r="E3" s="30" t="s">
        <v>364</v>
      </c>
      <c r="F3" s="208" t="b">
        <v>1</v>
      </c>
      <c r="G3" s="212" t="str">
        <f t="shared" si="0"/>
        <v>"C:\Program Files (x86)\AstroGrep\AstroGrep.exe" /e /r /s /spath="%USERPROFILE%\AppData\Local\Temp\OnboardLogs" /stypes="*4051*201703061*"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"%USERPROFILE%\AppData\Local\Temp\OnboardLogs"\RTDC4051\*4051*201703061*</v>
      </c>
      <c r="I3" s="210" t="str">
        <f>IF(VLOOKUP(K3,'Train Runs'!$A$13:$V$991,1,TRUE)=K3,VLOOKUP(K3,'Train Runs'!$A$13:$V$991,22,TRUE),NA())</f>
        <v>https://d0f6bd738d7f1b3e5a7ca70fe4ff75f0.us-east-1.aws.found.io/app/kibana#/discover/Steve-Slow-Train-Analysis-(2080s-and-2083s)?_g=(refreshInterval:(display:Off,pause:!f,section:0,value:0),time:(from:'2017-04-03T06:21:20-0600',mode:absolute,to:'2017-04-03T09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126-03</v>
      </c>
      <c r="L3" s="202">
        <f>IF(VLOOKUP(K3,'Train Runs'!$A$12:$B$991,1,TRUE)=K3,VLOOKUP(K3,'Train Runs'!$A$12:$B$991,2,TRUE),NA())</f>
        <v>4051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360</v>
      </c>
      <c r="C4" s="194" t="s">
        <v>362</v>
      </c>
      <c r="D4" s="208">
        <v>128</v>
      </c>
      <c r="E4" s="30" t="s">
        <v>364</v>
      </c>
      <c r="F4" s="208" t="b">
        <v>1</v>
      </c>
      <c r="G4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"%USERPROFILE%\AppData\Local\Temp\OnboardLogs"\RTDC4003\*4003*201703061*</v>
      </c>
      <c r="I4" s="210" t="str">
        <f>IF(VLOOKUP(K4,'Train Runs'!$A$13:$V$991,1,TRUE)=K4,VLOOKUP(K4,'Train Runs'!$A$13:$V$991,22,TRUE),NA())</f>
        <v>https://d0f6bd738d7f1b3e5a7ca70fe4ff75f0.us-east-1.aws.found.io/app/kibana#/discover/Steve-Slow-Train-Analysis-(2080s-and-2083s)?_g=(refreshInterval:(display:Off,pause:!f,section:0,value:0),time:(from:'2017-04-03T06:37:41-0600',mode:absolute,to:'2017-04-03T09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128-03</v>
      </c>
      <c r="L4" s="202">
        <f>IF(VLOOKUP(K4,'Train Runs'!$A$12:$B$991,1,TRUE)=K4,VLOOKUP(K4,'Train Runs'!$A$12:$B$991,2,TRUE),NA())</f>
        <v>4003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360</v>
      </c>
      <c r="C5" s="194" t="s">
        <v>362</v>
      </c>
      <c r="D5" s="208">
        <f>D4+2</f>
        <v>130</v>
      </c>
      <c r="E5" s="30" t="s">
        <v>364</v>
      </c>
      <c r="F5" s="208" t="b">
        <v>1</v>
      </c>
      <c r="G5" s="212" t="str">
        <f t="shared" si="0"/>
        <v>"C:\Program Files (x86)\AstroGrep\AstroGrep.exe" /e /r /s /spath="%USERPROFILE%\AppData\Local\Temp\OnboardLogs" /stypes="*4029*201703061*"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"%USERPROFILE%\AppData\Local\Temp\OnboardLogs"\RTDC4029\*4029*201703061*</v>
      </c>
      <c r="I5" s="210" t="str">
        <f>IF(VLOOKUP(K5,'Train Runs'!$A$13:$V$991,1,TRUE)=K5,VLOOKUP(K5,'Train Runs'!$A$13:$V$991,22,TRUE),NA())</f>
        <v>https://d0f6bd738d7f1b3e5a7ca70fe4ff75f0.us-east-1.aws.found.io/app/kibana#/discover/Steve-Slow-Train-Analysis-(2080s-and-2083s)?_g=(refreshInterval:(display:Off,pause:!f,section:0,value:0),time:(from:'2017-04-03T07:00:12-0600',mode:absolute,to:'2017-04-03T09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130-03</v>
      </c>
      <c r="L5" s="202">
        <f>IF(VLOOKUP(K5,'Train Runs'!$A$12:$B$991,1,TRUE)=K5,VLOOKUP(K5,'Train Runs'!$A$12:$B$991,2,TRUE),NA())</f>
        <v>4029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360</v>
      </c>
      <c r="C6" s="194" t="s">
        <v>362</v>
      </c>
      <c r="D6" s="208">
        <f>D5+2</f>
        <v>132</v>
      </c>
      <c r="E6" s="30" t="s">
        <v>364</v>
      </c>
      <c r="F6" s="208" t="b">
        <v>1</v>
      </c>
      <c r="G6" s="212" t="str">
        <f t="shared" si="0"/>
        <v>"C:\Program Files (x86)\AstroGrep\AstroGrep.exe" /e /r /s /spath="%USERPROFILE%\AppData\Local\Temp\OnboardLogs" /stypes="*4043*201703061*"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"%USERPROFILE%\AppData\Local\Temp\OnboardLogs"\RTDC4043\*4043*201703061*</v>
      </c>
      <c r="I6" s="210" t="str">
        <f>IF(VLOOKUP(K6,'Train Runs'!$A$13:$V$991,1,TRUE)=K6,VLOOKUP(K6,'Train Runs'!$A$13:$V$991,22,TRUE),NA())</f>
        <v>https://d0f6bd738d7f1b3e5a7ca70fe4ff75f0.us-east-1.aws.found.io/app/kibana#/discover/Steve-Slow-Train-Analysis-(2080s-and-2083s)?_g=(refreshInterval:(display:Off,pause:!f,section:0,value:0),time:(from:'2017-04-03T07:19:56-0600',mode:absolute,to:'2017-04-03T10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6" s="206">
        <f t="shared" si="2"/>
        <v>42800.625</v>
      </c>
      <c r="K6" s="206" t="str">
        <f>D6&amp;"-"&amp;IF(DAY(Variables!$A$2)&lt;10,0,"")&amp;DAY(Variables!$A$2)</f>
        <v>132-03</v>
      </c>
      <c r="L6" s="202">
        <f>IF(VLOOKUP(K6,'Train Runs'!$A$12:$B$991,1,TRUE)=K6,VLOOKUP(K6,'Train Runs'!$A$12:$B$991,2,TRUE),NA())</f>
        <v>4043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360</v>
      </c>
      <c r="C7" s="194" t="s">
        <v>362</v>
      </c>
      <c r="D7" s="208">
        <f t="shared" ref="D7:D11" si="4">D6+2</f>
        <v>134</v>
      </c>
      <c r="E7" s="30" t="s">
        <v>364</v>
      </c>
      <c r="F7" s="208" t="b">
        <v>1</v>
      </c>
      <c r="G7" s="212" t="str">
        <f t="shared" si="0"/>
        <v>"C:\Program Files (x86)\AstroGrep\AstroGrep.exe" /e /r /s /spath="%USERPROFILE%\AppData\Local\Temp\OnboardLogs" /stypes="*4027*201703061*"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"%USERPROFILE%\AppData\Local\Temp\OnboardLogs"\RTDC4027\*4027*201703061*</v>
      </c>
      <c r="I7" s="210" t="str">
        <f>IF(VLOOKUP(K7,'Train Runs'!$A$13:$V$991,1,TRUE)=K7,VLOOKUP(K7,'Train Runs'!$A$13:$V$991,22,TRUE),NA())</f>
        <v>https://d0f6bd738d7f1b3e5a7ca70fe4ff75f0.us-east-1.aws.found.io/app/kibana#/discover/Steve-Slow-Train-Analysis-(2080s-and-2083s)?_g=(refreshInterval:(display:Off,pause:!f,section:0,value:0),time:(from:'2017-04-03T07:37:35-0600',mode:absolute,to:'2017-04-03T10:20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134-03</v>
      </c>
      <c r="L7" s="202">
        <f>IF(VLOOKUP(K7,'Train Runs'!$A$12:$B$991,1,TRUE)=K7,VLOOKUP(K7,'Train Runs'!$A$12:$B$991,2,TRUE),NA())</f>
        <v>4027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360</v>
      </c>
      <c r="C8" s="194" t="s">
        <v>362</v>
      </c>
      <c r="D8" s="208">
        <f t="shared" si="4"/>
        <v>136</v>
      </c>
      <c r="E8" s="30" t="s">
        <v>364</v>
      </c>
      <c r="F8" s="208" t="b">
        <v>1</v>
      </c>
      <c r="G8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"%USERPROFILE%\AppData\Local\Temp\OnboardLogs"\RTDC4017\*4017*201703061*</v>
      </c>
      <c r="I8" s="210" t="str">
        <f>IF(VLOOKUP(K8,'Train Runs'!$A$13:$V$991,1,TRUE)=K8,VLOOKUP(K8,'Train Runs'!$A$13:$V$991,22,TRUE),NA())</f>
        <v>https://d0f6bd738d7f1b3e5a7ca70fe4ff75f0.us-east-1.aws.found.io/app/kibana#/discover/Steve-Slow-Train-Analysis-(2080s-and-2083s)?_g=(refreshInterval:(display:Off,pause:!f,section:0,value:0),time:(from:'2017-04-03T07:48:11-0600',mode:absolute,to:'2017-04-03T10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136-03</v>
      </c>
      <c r="L8" s="202">
        <f>IF(VLOOKUP(K8,'Train Runs'!$A$12:$B$991,1,TRUE)=K8,VLOOKUP(K8,'Train Runs'!$A$12:$B$991,2,TRUE),NA())</f>
        <v>4017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360</v>
      </c>
      <c r="C9" s="194" t="s">
        <v>362</v>
      </c>
      <c r="D9" s="208">
        <f t="shared" si="4"/>
        <v>138</v>
      </c>
      <c r="E9" s="30" t="s">
        <v>364</v>
      </c>
      <c r="F9" s="208" t="b">
        <v>1</v>
      </c>
      <c r="G9" s="212" t="str">
        <f t="shared" si="0"/>
        <v>"C:\Program Files (x86)\AstroGrep\AstroGrep.exe" /e /r /s /spath="%USERPROFILE%\AppData\Local\Temp\OnboardLogs" /stypes="*4007*201703061*"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"%USERPROFILE%\AppData\Local\Temp\OnboardLogs"\RTDC4007\*4007*201703061*</v>
      </c>
      <c r="I9" s="210" t="str">
        <f>IF(VLOOKUP(K9,'Train Runs'!$A$13:$V$991,1,TRUE)=K9,VLOOKUP(K9,'Train Runs'!$A$13:$V$991,22,TRUE),NA())</f>
        <v>https://d0f6bd738d7f1b3e5a7ca70fe4ff75f0.us-east-1.aws.found.io/app/kibana#/discover/Steve-Slow-Train-Analysis-(2080s-and-2083s)?_g=(refreshInterval:(display:Off,pause:!f,section:0,value:0),time:(from:'2017-04-03T07:53:44-0600',mode:absolute,to:'2017-04-03T10:56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138-03</v>
      </c>
      <c r="L9" s="202">
        <f>IF(VLOOKUP(K9,'Train Runs'!$A$12:$B$991,1,TRUE)=K9,VLOOKUP(K9,'Train Runs'!$A$12:$B$991,2,TRUE),NA())</f>
        <v>4007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360</v>
      </c>
      <c r="C10" s="194" t="s">
        <v>362</v>
      </c>
      <c r="D10" s="208">
        <f t="shared" si="4"/>
        <v>140</v>
      </c>
      <c r="E10" s="30" t="s">
        <v>364</v>
      </c>
      <c r="F10" s="208" t="b">
        <v>1</v>
      </c>
      <c r="G10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"%USERPROFILE%\AppData\Local\Temp\OnboardLogs"\RTDC4051\*4051*201703061*</v>
      </c>
      <c r="I10" s="210" t="str">
        <f>IF(VLOOKUP(K10,'Train Runs'!$A$13:$V$991,1,TRUE)=K10,VLOOKUP(K10,'Train Runs'!$A$13:$V$991,22,TRUE),NA())</f>
        <v>https://d0f6bd738d7f1b3e5a7ca70fe4ff75f0.us-east-1.aws.found.io/app/kibana#/discover/Steve-Slow-Train-Analysis-(2080s-and-2083s)?_g=(refreshInterval:(display:Off,pause:!f,section:0,value:0),time:(from:'2017-04-03T08:07:19-0600',mode:absolute,to:'2017-04-03T11:08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140-03</v>
      </c>
      <c r="L10" s="202">
        <f>IF(VLOOKUP(K10,'Train Runs'!$A$12:$B$991,1,TRUE)=K10,VLOOKUP(K10,'Train Runs'!$A$12:$B$991,2,TRUE),NA())</f>
        <v>4051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360</v>
      </c>
      <c r="C11" s="194" t="s">
        <v>362</v>
      </c>
      <c r="D11" s="208">
        <f t="shared" si="4"/>
        <v>142</v>
      </c>
      <c r="E11" s="30" t="s">
        <v>364</v>
      </c>
      <c r="F11" s="208" t="b">
        <v>1</v>
      </c>
      <c r="G11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"%USERPROFILE%\AppData\Local\Temp\OnboardLogs"\RTDC4003\*4003*201703061*</v>
      </c>
      <c r="I11" s="210" t="str">
        <f>IF(VLOOKUP(K11,'Train Runs'!$A$13:$V$991,1,TRUE)=K11,VLOOKUP(K11,'Train Runs'!$A$13:$V$991,22,TRUE),NA())</f>
        <v>https://d0f6bd738d7f1b3e5a7ca70fe4ff75f0.us-east-1.aws.found.io/app/kibana#/discover/Steve-Slow-Train-Analysis-(2080s-and-2083s)?_g=(refreshInterval:(display:Off,pause:!f,section:0,value:0),time:(from:'2017-04-03T08:22:30-0600',mode:absolute,to:'2017-04-03T11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142-03</v>
      </c>
      <c r="L11" s="202">
        <f>IF(VLOOKUP(K11,'Train Runs'!$A$12:$B$991,1,TRUE)=K11,VLOOKUP(K11,'Train Runs'!$A$12:$B$991,2,TRUE),NA())</f>
        <v>4003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360</v>
      </c>
      <c r="C12" s="194" t="s">
        <v>362</v>
      </c>
      <c r="D12" s="208">
        <v>144</v>
      </c>
      <c r="E12" s="30" t="s">
        <v>364</v>
      </c>
      <c r="F12" s="208" t="b">
        <v>1</v>
      </c>
      <c r="G12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"%USERPROFILE%\AppData\Local\Temp\OnboardLogs"\RTDC4029\*4029*201703061*</v>
      </c>
      <c r="I12" s="210" t="str">
        <f>IF(VLOOKUP(K12,'Train Runs'!$A$13:$V$991,1,TRUE)=K12,VLOOKUP(K12,'Train Runs'!$A$13:$V$991,22,TRUE),NA())</f>
        <v>https://d0f6bd738d7f1b3e5a7ca70fe4ff75f0.us-east-1.aws.found.io/app/kibana#/discover/Steve-Slow-Train-Analysis-(2080s-and-2083s)?_g=(refreshInterval:(display:Off,pause:!f,section:0,value:0),time:(from:'2017-04-03T08:51:06-0600',mode:absolute,to:'2017-04-03T11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144-03</v>
      </c>
      <c r="L12" s="202">
        <f>IF(VLOOKUP(K12,'Train Runs'!$A$12:$B$991,1,TRUE)=K12,VLOOKUP(K12,'Train Runs'!$A$12:$B$991,2,TRUE),NA())</f>
        <v>4029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360</v>
      </c>
      <c r="C13" s="194" t="s">
        <v>362</v>
      </c>
      <c r="D13" s="208">
        <v>146</v>
      </c>
      <c r="E13" s="30" t="s">
        <v>364</v>
      </c>
      <c r="F13" s="208" t="b">
        <v>1</v>
      </c>
      <c r="G13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"%USERPROFILE%\AppData\Local\Temp\OnboardLogs"\RTDC4043\*4043*201703061*</v>
      </c>
      <c r="I13" s="210" t="str">
        <f>IF(VLOOKUP(K13,'Train Runs'!$A$13:$V$991,1,TRUE)=K13,VLOOKUP(K13,'Train Runs'!$A$13:$V$991,22,TRUE),NA())</f>
        <v>https://d0f6bd738d7f1b3e5a7ca70fe4ff75f0.us-east-1.aws.found.io/app/kibana#/discover/Steve-Slow-Train-Analysis-(2080s-and-2083s)?_g=(refreshInterval:(display:Off,pause:!f,section:0,value:0),time:(from:'2017-04-03T08:59:45-0600',mode:absolute,to:'2017-04-03T11:53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146-03</v>
      </c>
      <c r="L13" s="202">
        <f>IF(VLOOKUP(K13,'Train Runs'!$A$12:$B$991,1,TRUE)=K13,VLOOKUP(K13,'Train Runs'!$A$12:$B$991,2,TRUE),NA())</f>
        <v>4043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360</v>
      </c>
      <c r="C14" s="194" t="s">
        <v>362</v>
      </c>
      <c r="D14" s="208">
        <v>148</v>
      </c>
      <c r="E14" s="30" t="s">
        <v>368</v>
      </c>
      <c r="F14" s="208" t="b">
        <v>1</v>
      </c>
      <c r="G14" s="212" t="str">
        <f t="shared" si="0"/>
        <v>"C:\Program Files (x86)\AstroGrep\AstroGrep.exe" /e /r /s /spath="%USERPROFILE%\AppData\Local\Temp\OnboardLogs" /stypes="*4027*201703061*"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"%USERPROFILE%\AppData\Local\Temp\OnboardLogs"\RTDC4027\*4027*201703061*</v>
      </c>
      <c r="I14" s="210" t="str">
        <f>IF(VLOOKUP(K14,'Train Runs'!$A$13:$V$991,1,TRUE)=K14,VLOOKUP(K14,'Train Runs'!$A$13:$V$991,22,TRUE),NA())</f>
        <v>https://d0f6bd738d7f1b3e5a7ca70fe4ff75f0.us-east-1.aws.found.io/app/kibana#/discover/Steve-Slow-Train-Analysis-(2080s-and-2083s)?_g=(refreshInterval:(display:Off,pause:!f,section:0,value:0),time:(from:'2017-04-03T09:24:05-0600',mode:absolute,to:'2017-04-03T12:07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148-03</v>
      </c>
      <c r="L14" s="202">
        <f>IF(VLOOKUP(K14,'Train Runs'!$A$12:$B$991,1,TRUE)=K14,VLOOKUP(K14,'Train Runs'!$A$12:$B$991,2,TRUE),NA())</f>
        <v>4027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360</v>
      </c>
      <c r="C15" s="194" t="s">
        <v>362</v>
      </c>
      <c r="D15" s="208">
        <v>178</v>
      </c>
      <c r="E15" s="30" t="s">
        <v>369</v>
      </c>
      <c r="F15" s="208" t="b">
        <v>1</v>
      </c>
      <c r="G15" s="212" t="str">
        <f t="shared" si="0"/>
        <v>"C:\Program Files (x86)\AstroGrep\AstroGrep.exe" /e /r /s /spath="%USERPROFILE%\AppData\Local\Temp\OnboardLogs" /stypes="*4017*201703062*"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"%USERPROFILE%\AppData\Local\Temp\OnboardLogs"\RTDC4017\*4017*201703062*</v>
      </c>
      <c r="I15" s="210" t="str">
        <f>IF(VLOOKUP(K15,'Train Runs'!$A$13:$V$991,1,TRUE)=K15,VLOOKUP(K15,'Train Runs'!$A$13:$V$991,22,TRUE),NA())</f>
        <v>https://d0f6bd738d7f1b3e5a7ca70fe4ff75f0.us-east-1.aws.found.io/app/kibana#/discover/Steve-Slow-Train-Analysis-(2080s-and-2083s)?_g=(refreshInterval:(display:Off,pause:!f,section:0,value:0),time:(from:'2017-04-03T13:04:15-0600',mode:absolute,to:'2017-04-03T15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178-03</v>
      </c>
      <c r="L15" s="202">
        <f>IF(VLOOKUP(K15,'Train Runs'!$A$12:$B$991,1,TRUE)=K15,VLOOKUP(K15,'Train Runs'!$A$12:$B$991,2,TRUE),NA())</f>
        <v>4017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360</v>
      </c>
      <c r="C16" s="194" t="s">
        <v>362</v>
      </c>
      <c r="D16" s="208">
        <v>194</v>
      </c>
      <c r="E16" s="30" t="s">
        <v>369</v>
      </c>
      <c r="F16" s="208" t="b">
        <v>1</v>
      </c>
      <c r="G16" s="212" t="str">
        <f t="shared" si="0"/>
        <v>"C:\Program Files (x86)\AstroGrep\AstroGrep.exe" /e /r /s /spath="%USERPROFILE%\AppData\Local\Temp\OnboardLogs" /stypes="*4007*201703062*"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"%USERPROFILE%\AppData\Local\Temp\OnboardLogs"\RTDC4007\*4007*201703062*</v>
      </c>
      <c r="I16" s="210" t="str">
        <f>IF(VLOOKUP(K16,'Train Runs'!$A$13:$V$991,1,TRUE)=K16,VLOOKUP(K16,'Train Runs'!$A$13:$V$991,22,TRUE),NA())</f>
        <v>https://d0f6bd738d7f1b3e5a7ca70fe4ff75f0.us-east-1.aws.found.io/app/kibana#/discover/Steve-Slow-Train-Analysis-(2080s-and-2083s)?_g=(refreshInterval:(display:Off,pause:!f,section:0,value:0),time:(from:'2017-04-03T14:58:39-0600',mode:absolute,to:'2017-04-03T17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194-03</v>
      </c>
      <c r="L16" s="202">
        <f>IF(VLOOKUP(K16,'Train Runs'!$A$12:$B$991,1,TRUE)=K16,VLOOKUP(K16,'Train Runs'!$A$12:$B$991,2,TRUE),NA())</f>
        <v>4007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360</v>
      </c>
      <c r="C17" s="194" t="s">
        <v>362</v>
      </c>
      <c r="D17" s="208">
        <v>206</v>
      </c>
      <c r="E17" s="30" t="s">
        <v>364</v>
      </c>
      <c r="F17" s="208" t="b">
        <v>1</v>
      </c>
      <c r="G17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"%USERPROFILE%\AppData\Local\Temp\OnboardLogs"\RTDC4017\*4017*201703070*</v>
      </c>
      <c r="I17" s="210" t="str">
        <f>IF(VLOOKUP(K17,'Train Runs'!$A$13:$V$991,1,TRUE)=K17,VLOOKUP(K17,'Train Runs'!$A$13:$V$991,22,TRUE),NA())</f>
        <v>https://d0f6bd738d7f1b3e5a7ca70fe4ff75f0.us-east-1.aws.found.io/app/kibana#/discover/Steve-Slow-Train-Analysis-(2080s-and-2083s)?_g=(refreshInterval:(display:Off,pause:!f,section:0,value:0),time:(from:'2017-04-03T16:37:47-0600',mode:absolute,to:'2017-04-03T19:23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206-03</v>
      </c>
      <c r="L17" s="202">
        <f>IF(VLOOKUP(K17,'Train Runs'!$A$12:$B$991,1,TRUE)=K17,VLOOKUP(K17,'Train Runs'!$A$12:$B$991,2,TRUE),NA())</f>
        <v>4017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360</v>
      </c>
      <c r="C18" s="194" t="s">
        <v>362</v>
      </c>
      <c r="D18" s="208">
        <v>210</v>
      </c>
      <c r="E18" s="30" t="s">
        <v>364</v>
      </c>
      <c r="F18" s="208" t="b">
        <v>1</v>
      </c>
      <c r="G18" s="212" t="str">
        <f t="shared" si="0"/>
        <v>"C:\Program Files (x86)\AstroGrep\AstroGrep.exe" /e /r /s /spath="%USERPROFILE%\AppData\Local\Temp\OnboardLogs" /stypes="*4051*201703070*"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"%USERPROFILE%\AppData\Local\Temp\OnboardLogs"\RTDC4051\*4051*201703070*</v>
      </c>
      <c r="I18" s="210" t="str">
        <f>IF(VLOOKUP(K18,'Train Runs'!$A$13:$V$991,1,TRUE)=K18,VLOOKUP(K18,'Train Runs'!$A$13:$V$991,22,TRUE),NA())</f>
        <v>https://d0f6bd738d7f1b3e5a7ca70fe4ff75f0.us-east-1.aws.found.io/app/kibana#/discover/Steve-Slow-Train-Analysis-(2080s-and-2083s)?_g=(refreshInterval:(display:Off,pause:!f,section:0,value:0),time:(from:'2017-04-03T17:07:44-0600',mode:absolute,to:'2017-04-03T19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210-03</v>
      </c>
      <c r="L18" s="202">
        <f>IF(VLOOKUP(K18,'Train Runs'!$A$12:$B$991,1,TRUE)=K18,VLOOKUP(K18,'Train Runs'!$A$12:$B$991,2,TRUE),NA())</f>
        <v>4051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360</v>
      </c>
      <c r="C19" s="194" t="s">
        <v>362</v>
      </c>
      <c r="D19" s="208">
        <f>D18+2</f>
        <v>212</v>
      </c>
      <c r="E19" s="30" t="s">
        <v>364</v>
      </c>
      <c r="F19" s="208" t="b">
        <v>1</v>
      </c>
      <c r="G19" s="212" t="str">
        <f t="shared" si="0"/>
        <v>"C:\Program Files (x86)\AstroGrep\AstroGrep.exe" /e /r /s /spath="%USERPROFILE%\AppData\Local\Temp\OnboardLogs" /stypes="*4003*201703070*"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"%USERPROFILE%\AppData\Local\Temp\OnboardLogs"\RTDC4003\*4003*201703070*</v>
      </c>
      <c r="I19" s="210" t="str">
        <f>IF(VLOOKUP(K19,'Train Runs'!$A$13:$V$991,1,TRUE)=K19,VLOOKUP(K19,'Train Runs'!$A$13:$V$991,22,TRUE),NA())</f>
        <v>https://d0f6bd738d7f1b3e5a7ca70fe4ff75f0.us-east-1.aws.found.io/app/kibana#/discover/Steve-Slow-Train-Analysis-(2080s-and-2083s)?_g=(refreshInterval:(display:Off,pause:!f,section:0,value:0),time:(from:'2017-04-03T17:24:09-0600',mode:absolute,to:'2017-04-03T20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212-03</v>
      </c>
      <c r="L19" s="202">
        <f>IF(VLOOKUP(K19,'Train Runs'!$A$12:$B$991,1,TRUE)=K19,VLOOKUP(K19,'Train Runs'!$A$12:$B$991,2,TRUE),NA())</f>
        <v>4003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360</v>
      </c>
      <c r="C20" s="194" t="s">
        <v>362</v>
      </c>
      <c r="D20" s="208">
        <v>214</v>
      </c>
      <c r="E20" s="30" t="s">
        <v>364</v>
      </c>
      <c r="F20" s="208" t="b">
        <v>1</v>
      </c>
      <c r="G20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"%USERPROFILE%\AppData\Local\Temp\OnboardLogs"\RTDC4029\*4029*201703070*</v>
      </c>
      <c r="I20" s="210" t="str">
        <f>IF(VLOOKUP(K20,'Train Runs'!$A$13:$V$991,1,TRUE)=K20,VLOOKUP(K20,'Train Runs'!$A$13:$V$991,22,TRUE),NA())</f>
        <v>https://d0f6bd738d7f1b3e5a7ca70fe4ff75f0.us-east-1.aws.found.io/app/kibana#/discover/Steve-Slow-Train-Analysis-(2080s-and-2083s)?_g=(refreshInterval:(display:Off,pause:!f,section:0,value:0),time:(from:'2017-04-03T17:25:38-0600',mode:absolute,to:'2017-04-03T20:21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214-03</v>
      </c>
      <c r="L20" s="202">
        <f>IF(VLOOKUP(K20,'Train Runs'!$A$12:$B$991,1,TRUE)=K20,VLOOKUP(K20,'Train Runs'!$A$12:$B$991,2,TRUE),NA())</f>
        <v>4029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360</v>
      </c>
      <c r="C21" s="194" t="s">
        <v>362</v>
      </c>
      <c r="D21" s="208">
        <v>216</v>
      </c>
      <c r="E21" s="30" t="s">
        <v>364</v>
      </c>
      <c r="F21" s="208" t="b">
        <v>1</v>
      </c>
      <c r="G21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"%USERPROFILE%\AppData\Local\Temp\OnboardLogs"\RTDC4043\*4043*201703070*</v>
      </c>
      <c r="I21" s="210" t="str">
        <f>IF(VLOOKUP(K21,'Train Runs'!$A$13:$V$991,1,TRUE)=K21,VLOOKUP(K21,'Train Runs'!$A$13:$V$991,22,TRUE),NA())</f>
        <v>https://d0f6bd738d7f1b3e5a7ca70fe4ff75f0.us-east-1.aws.found.io/app/kibana#/discover/Steve-Slow-Train-Analysis-(2080s-and-2083s)?_g=(refreshInterval:(display:Off,pause:!f,section:0,value:0),time:(from:'2017-04-03T17:48:41-0600',mode:absolute,to:'2017-04-03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216-03</v>
      </c>
      <c r="L21" s="202">
        <f>IF(VLOOKUP(K21,'Train Runs'!$A$12:$B$991,1,TRUE)=K21,VLOOKUP(K21,'Train Runs'!$A$12:$B$991,2,TRUE),NA())</f>
        <v>4043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360</v>
      </c>
      <c r="C22" s="194" t="s">
        <v>362</v>
      </c>
      <c r="D22" s="208">
        <f>D21+2</f>
        <v>218</v>
      </c>
      <c r="E22" s="30" t="s">
        <v>364</v>
      </c>
      <c r="F22" s="208" t="b">
        <v>1</v>
      </c>
      <c r="G22" s="212" t="str">
        <f t="shared" si="0"/>
        <v>"C:\Program Files (x86)\AstroGrep\AstroGrep.exe" /e /r /s /spath="%USERPROFILE%\AppData\Local\Temp\OnboardLogs" /stypes="*4027*201703070*"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"%USERPROFILE%\AppData\Local\Temp\OnboardLogs"\RTDC4027\*4027*201703070*</v>
      </c>
      <c r="I22" s="210" t="str">
        <f>IF(VLOOKUP(K22,'Train Runs'!$A$13:$V$991,1,TRUE)=K22,VLOOKUP(K22,'Train Runs'!$A$13:$V$991,22,TRUE),NA())</f>
        <v>https://d0f6bd738d7f1b3e5a7ca70fe4ff75f0.us-east-1.aws.found.io/app/kibana#/discover/Steve-Slow-Train-Analysis-(2080s-and-2083s)?_g=(refreshInterval:(display:Off,pause:!f,section:0,value:0),time:(from:'2017-04-03T18:08:15-0600',mode:absolute,to:'2017-04-03T20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218-03</v>
      </c>
      <c r="L22" s="202">
        <f>IF(VLOOKUP(K22,'Train Runs'!$A$12:$B$991,1,TRUE)=K22,VLOOKUP(K22,'Train Runs'!$A$12:$B$991,2,TRUE),NA())</f>
        <v>4027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360</v>
      </c>
      <c r="C23" s="194" t="s">
        <v>362</v>
      </c>
      <c r="D23" s="208">
        <f>D22+2</f>
        <v>220</v>
      </c>
      <c r="E23" s="30" t="s">
        <v>364</v>
      </c>
      <c r="F23" s="208" t="b">
        <v>1</v>
      </c>
      <c r="G23" s="212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"%USERPROFILE%\AppData\Local\Temp\OnboardLogs"\RTDC4017\*4017*201703070*</v>
      </c>
      <c r="I23" s="210" t="str">
        <f>IF(VLOOKUP(K23,'Train Runs'!$A$13:$V$991,1,TRUE)=K23,VLOOKUP(K23,'Train Runs'!$A$13:$V$991,22,TRUE),NA())</f>
        <v>https://d0f6bd738d7f1b3e5a7ca70fe4ff75f0.us-east-1.aws.found.io/app/kibana#/discover/Steve-Slow-Train-Analysis-(2080s-and-2083s)?_g=(refreshInterval:(display:Off,pause:!f,section:0,value:0),time:(from:'2017-04-03T18:18:36-0600',mode:absolute,to:'2017-04-03T21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220-03</v>
      </c>
      <c r="L23" s="202">
        <f>IF(VLOOKUP(K23,'Train Runs'!$A$12:$B$991,1,TRUE)=K23,VLOOKUP(K23,'Train Runs'!$A$12:$B$991,2,TRUE),NA())</f>
        <v>4017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360</v>
      </c>
      <c r="C24" s="194" t="s">
        <v>362</v>
      </c>
      <c r="D24" s="208">
        <f>D23+2</f>
        <v>222</v>
      </c>
      <c r="E24" s="30" t="s">
        <v>364</v>
      </c>
      <c r="F24" s="208" t="b">
        <v>1</v>
      </c>
      <c r="G24" s="212" t="str">
        <f t="shared" si="0"/>
        <v>"C:\Program Files (x86)\AstroGrep\AstroGrep.exe" /e /r /s /spath="%USERPROFILE%\AppData\Local\Temp\OnboardLogs" /stypes="*4051*201703070*"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"%USERPROFILE%\AppData\Local\Temp\OnboardLogs"\RTDC4051\*4051*201703070*</v>
      </c>
      <c r="I24" s="210" t="str">
        <f>IF(VLOOKUP(K24,'Train Runs'!$A$13:$V$991,1,TRUE)=K24,VLOOKUP(K24,'Train Runs'!$A$13:$V$991,22,TRUE),NA())</f>
        <v>https://d0f6bd738d7f1b3e5a7ca70fe4ff75f0.us-east-1.aws.found.io/app/kibana#/discover/Steve-Slow-Train-Analysis-(2080s-and-2083s)?_g=(refreshInterval:(display:Off,pause:!f,section:0,value:0),time:(from:'2017-04-03T18:50:20-0600',mode:absolute,to:'2017-04-03T21:37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222-03</v>
      </c>
      <c r="L24" s="202">
        <f>IF(VLOOKUP(K24,'Train Runs'!$A$12:$B$991,1,TRUE)=K24,VLOOKUP(K24,'Train Runs'!$A$12:$B$991,2,TRUE),NA())</f>
        <v>4051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360</v>
      </c>
      <c r="C25" s="194" t="s">
        <v>362</v>
      </c>
      <c r="D25" s="208">
        <f>D24+2</f>
        <v>224</v>
      </c>
      <c r="E25" s="30" t="s">
        <v>364</v>
      </c>
      <c r="F25" s="208" t="b">
        <v>1</v>
      </c>
      <c r="G25" s="212" t="str">
        <f t="shared" si="0"/>
        <v>"C:\Program Files (x86)\AstroGrep\AstroGrep.exe" /e /r /s /spath="%USERPROFILE%\AppData\Local\Temp\OnboardLogs" /stypes="*4029*201703070*"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"%USERPROFILE%\AppData\Local\Temp\OnboardLogs"\RTDC4029\*4029*201703070*</v>
      </c>
      <c r="I25" s="210" t="str">
        <f>IF(VLOOKUP(K25,'Train Runs'!$A$13:$V$991,1,TRUE)=K25,VLOOKUP(K25,'Train Runs'!$A$13:$V$991,22,TRUE),NA())</f>
        <v>https://d0f6bd738d7f1b3e5a7ca70fe4ff75f0.us-east-1.aws.found.io/app/kibana#/discover/Steve-Slow-Train-Analysis-(2080s-and-2083s)?_g=(refreshInterval:(display:Off,pause:!f,section:0,value:0),time:(from:'2017-04-03T19:15:44-0600',mode:absolute,to:'2017-04-03T22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224-03</v>
      </c>
      <c r="L25" s="202">
        <f>IF(VLOOKUP(K25,'Train Runs'!$A$12:$B$991,1,TRUE)=K25,VLOOKUP(K25,'Train Runs'!$A$12:$B$991,2,TRUE),NA())</f>
        <v>4029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360</v>
      </c>
      <c r="C26" s="194" t="s">
        <v>362</v>
      </c>
      <c r="D26" s="208">
        <f>D25+2</f>
        <v>226</v>
      </c>
      <c r="E26" s="30" t="s">
        <v>364</v>
      </c>
      <c r="F26" s="208" t="b">
        <v>1</v>
      </c>
      <c r="G26" s="212" t="str">
        <f t="shared" si="0"/>
        <v>"C:\Program Files (x86)\AstroGrep\AstroGrep.exe" /e /r /s /spath="%USERPROFILE%\AppData\Local\Temp\OnboardLogs" /stypes="*4027*201703070*"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"%USERPROFILE%\AppData\Local\Temp\OnboardLogs"\RTDC4027\*4027*201703070*</v>
      </c>
      <c r="I26" s="210" t="str">
        <f>IF(VLOOKUP(K26,'Train Runs'!$A$13:$V$991,1,TRUE)=K26,VLOOKUP(K26,'Train Runs'!$A$13:$V$991,22,TRUE),NA())</f>
        <v>https://d0f6bd738d7f1b3e5a7ca70fe4ff75f0.us-east-1.aws.found.io/app/kibana#/discover/Steve-Slow-Train-Analysis-(2080s-and-2083s)?_g=(refreshInterval:(display:Off,pause:!f,section:0,value:0),time:(from:'2017-04-03T19:50:06-0600',mode:absolute,to:'2017-04-03T22:34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226-03</v>
      </c>
      <c r="L26" s="202">
        <f>IF(VLOOKUP(K26,'Train Runs'!$A$12:$B$991,1,TRUE)=K26,VLOOKUP(K26,'Train Runs'!$A$12:$B$991,2,TRUE),NA())</f>
        <v>4027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360</v>
      </c>
      <c r="C27" s="194" t="s">
        <v>362</v>
      </c>
      <c r="D27" s="208">
        <f t="shared" ref="D27:D33" si="5">D26+2</f>
        <v>228</v>
      </c>
      <c r="E27" s="30" t="s">
        <v>364</v>
      </c>
      <c r="F27" s="208" t="b">
        <v>1</v>
      </c>
      <c r="G27" s="212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"%USERPROFILE%\AppData\Local\Temp\OnboardLogs"\RTDC4017\*4017*201703070*</v>
      </c>
      <c r="I27" s="210" t="str">
        <f>IF(VLOOKUP(K27,'Train Runs'!$A$13:$V$991,1,TRUE)=K27,VLOOKUP(K27,'Train Runs'!$A$13:$V$991,22,TRUE),NA())</f>
        <v>https://d0f6bd738d7f1b3e5a7ca70fe4ff75f0.us-east-1.aws.found.io/app/kibana#/discover/Steve-Slow-Train-Analysis-(2080s-and-2083s)?_g=(refreshInterval:(display:Off,pause:!f,section:0,value:0),time:(from:'2017-04-03T20:14:14-0600',mode:absolute,to:'2017-04-03T23:07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228-03</v>
      </c>
      <c r="L27" s="202">
        <f>IF(VLOOKUP(K27,'Train Runs'!$A$12:$B$991,1,TRUE)=K27,VLOOKUP(K27,'Train Runs'!$A$12:$B$991,2,TRUE),NA())</f>
        <v>4017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360</v>
      </c>
      <c r="C28" s="194" t="s">
        <v>362</v>
      </c>
      <c r="D28" s="208">
        <f t="shared" si="5"/>
        <v>230</v>
      </c>
      <c r="E28" s="30" t="s">
        <v>364</v>
      </c>
      <c r="F28" s="208" t="b">
        <v>1</v>
      </c>
      <c r="G28" s="212" t="str">
        <f t="shared" si="0"/>
        <v>"C:\Program Files (x86)\AstroGrep\AstroGrep.exe" /e /r /s /spath="%USERPROFILE%\AppData\Local\Temp\OnboardLogs" /stypes="*4051*201703070*"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"%USERPROFILE%\AppData\Local\Temp\OnboardLogs"\RTDC4051\*4051*201703070*</v>
      </c>
      <c r="I28" s="210" t="str">
        <f>IF(VLOOKUP(K28,'Train Runs'!$A$13:$V$991,1,TRUE)=K28,VLOOKUP(K28,'Train Runs'!$A$13:$V$991,22,TRUE),NA())</f>
        <v>https://d0f6bd738d7f1b3e5a7ca70fe4ff75f0.us-east-1.aws.found.io/app/kibana#/discover/Steve-Slow-Train-Analysis-(2080s-and-2083s)?_g=(refreshInterval:(display:Off,pause:!f,section:0,value:0),time:(from:'2017-04-03T20:53:00-0600',mode:absolute,to:'2017-04-03T23:42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230-03</v>
      </c>
      <c r="L28" s="202">
        <f>IF(VLOOKUP(K28,'Train Runs'!$A$12:$B$991,1,TRUE)=K28,VLOOKUP(K28,'Train Runs'!$A$12:$B$991,2,TRUE),NA())</f>
        <v>4051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360</v>
      </c>
      <c r="C29" s="194" t="s">
        <v>362</v>
      </c>
      <c r="D29" s="208">
        <f t="shared" si="5"/>
        <v>232</v>
      </c>
      <c r="E29" s="30" t="s">
        <v>364</v>
      </c>
      <c r="F29" s="208" t="b">
        <v>1</v>
      </c>
      <c r="G29" s="212" t="str">
        <f t="shared" si="0"/>
        <v>"C:\Program Files (x86)\AstroGrep\AstroGrep.exe" /e /r /s /spath="%USERPROFILE%\AppData\Local\Temp\OnboardLogs" /stypes="*4029*201703070*"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"%USERPROFILE%\AppData\Local\Temp\OnboardLogs"\RTDC4029\*4029*201703070*</v>
      </c>
      <c r="I29" s="210" t="str">
        <f>IF(VLOOKUP(K29,'Train Runs'!$A$13:$V$991,1,TRUE)=K29,VLOOKUP(K29,'Train Runs'!$A$13:$V$991,22,TRUE),NA())</f>
        <v>https://d0f6bd738d7f1b3e5a7ca70fe4ff75f0.us-east-1.aws.found.io/app/kibana#/discover/Steve-Slow-Train-Analysis-(2080s-and-2083s)?_g=(refreshInterval:(display:Off,pause:!f,section:0,value:0),time:(from:'2017-04-03T21:14:25-0600',mode:absolute,to:'2017-04-04T00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232-03</v>
      </c>
      <c r="L29" s="202">
        <f>IF(VLOOKUP(K29,'Train Runs'!$A$12:$B$991,1,TRUE)=K29,VLOOKUP(K29,'Train Runs'!$A$12:$B$991,2,TRUE),NA())</f>
        <v>4029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360</v>
      </c>
      <c r="C30" s="194" t="s">
        <v>362</v>
      </c>
      <c r="D30" s="208">
        <f t="shared" si="5"/>
        <v>234</v>
      </c>
      <c r="E30" s="30" t="s">
        <v>364</v>
      </c>
      <c r="F30" s="208" t="b">
        <v>1</v>
      </c>
      <c r="G30" s="212" t="str">
        <f t="shared" si="0"/>
        <v>"C:\Program Files (x86)\AstroGrep\AstroGrep.exe" /e /r /s /spath="%USERPROFILE%\AppData\Local\Temp\OnboardLogs" /stypes="*4027*201703070*"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"%USERPROFILE%\AppData\Local\Temp\OnboardLogs"\RTDC4027\*4027*201703070*</v>
      </c>
      <c r="I30" s="210" t="str">
        <f>IF(VLOOKUP(K30,'Train Runs'!$A$13:$V$991,1,TRUE)=K30,VLOOKUP(K30,'Train Runs'!$A$13:$V$991,22,TRUE),NA())</f>
        <v>https://d0f6bd738d7f1b3e5a7ca70fe4ff75f0.us-east-1.aws.found.io/app/kibana#/discover/Steve-Slow-Train-Analysis-(2080s-and-2083s)?_g=(refreshInterval:(display:Off,pause:!f,section:0,value:0),time:(from:'2017-04-03T21:43:42-0600',mode:absolute,to:'2017-04-04T00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234-03</v>
      </c>
      <c r="L30" s="202">
        <f>IF(VLOOKUP(K30,'Train Runs'!$A$12:$B$991,1,TRUE)=K30,VLOOKUP(K30,'Train Runs'!$A$12:$B$991,2,TRUE),NA())</f>
        <v>4027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360</v>
      </c>
      <c r="C31" s="194" t="s">
        <v>362</v>
      </c>
      <c r="D31" s="208">
        <f t="shared" si="5"/>
        <v>236</v>
      </c>
      <c r="E31" s="30" t="s">
        <v>364</v>
      </c>
      <c r="F31" s="208" t="b">
        <v>1</v>
      </c>
      <c r="G31" s="212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"%USERPROFILE%\AppData\Local\Temp\OnboardLogs"\RTDC4017\*4017*201703070*</v>
      </c>
      <c r="I31" s="210" t="str">
        <f>IF(VLOOKUP(K31,'Train Runs'!$A$13:$V$991,1,TRUE)=K31,VLOOKUP(K31,'Train Runs'!$A$13:$V$991,22,TRUE),NA())</f>
        <v>https://d0f6bd738d7f1b3e5a7ca70fe4ff75f0.us-east-1.aws.found.io/app/kibana#/discover/Steve-Slow-Train-Analysis-(2080s-and-2083s)?_g=(refreshInterval:(display:Off,pause:!f,section:0,value:0),time:(from:'2017-04-03T22:19:52-0600',mode:absolute,to:'2017-04-04T01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236-03</v>
      </c>
      <c r="L31" s="202">
        <f>IF(VLOOKUP(K31,'Train Runs'!$A$12:$B$991,1,TRUE)=K31,VLOOKUP(K31,'Train Runs'!$A$12:$B$991,2,TRUE),NA())</f>
        <v>4017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360</v>
      </c>
      <c r="C32" s="194" t="s">
        <v>362</v>
      </c>
      <c r="D32" s="208">
        <f t="shared" si="5"/>
        <v>238</v>
      </c>
      <c r="E32" s="30" t="s">
        <v>364</v>
      </c>
      <c r="F32" s="208" t="b">
        <v>1</v>
      </c>
      <c r="G32" s="212" t="str">
        <f t="shared" si="0"/>
        <v>"C:\Program Files (x86)\AstroGrep\AstroGrep.exe" /e /r /s /spath="%USERPROFILE%\AppData\Local\Temp\OnboardLogs" /stypes="*4051*201703070*"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"%USERPROFILE%\AppData\Local\Temp\OnboardLogs"\RTDC4051\*4051*201703070*</v>
      </c>
      <c r="I32" s="210" t="str">
        <f>IF(VLOOKUP(K32,'Train Runs'!$A$13:$V$991,1,TRUE)=K32,VLOOKUP(K32,'Train Runs'!$A$13:$V$991,22,TRUE),NA())</f>
        <v>https://d0f6bd738d7f1b3e5a7ca70fe4ff75f0.us-east-1.aws.found.io/app/kibana#/discover/Steve-Slow-Train-Analysis-(2080s-and-2083s)?_g=(refreshInterval:(display:Off,pause:!f,section:0,value:0),time:(from:'2017-04-03T22:53:42-0600',mode:absolute,to:'2017-04-04T01:42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238-03</v>
      </c>
      <c r="L32" s="202">
        <f>IF(VLOOKUP(K32,'Train Runs'!$A$12:$B$991,1,TRUE)=K32,VLOOKUP(K32,'Train Runs'!$A$12:$B$991,2,TRUE),NA())</f>
        <v>4051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360</v>
      </c>
      <c r="C33" s="194" t="s">
        <v>362</v>
      </c>
      <c r="D33" s="208">
        <f t="shared" si="5"/>
        <v>240</v>
      </c>
      <c r="E33" s="30" t="s">
        <v>364</v>
      </c>
      <c r="F33" s="208" t="b">
        <v>1</v>
      </c>
      <c r="G33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"%USERPROFILE%\AppData\Local\Temp\OnboardLogs"\RTDC4029\*4029*201703070*</v>
      </c>
      <c r="I33" s="210" t="str">
        <f>IF(VLOOKUP(K33,'Train Runs'!$A$13:$V$991,1,TRUE)=K33,VLOOKUP(K33,'Train Runs'!$A$13:$V$991,22,TRUE),NA())</f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240-03</v>
      </c>
      <c r="L33" s="202">
        <f>IF(VLOOKUP(K33,'Train Runs'!$A$12:$B$991,1,TRUE)=K33,VLOOKUP(K33,'Train Runs'!$A$12:$B$991,2,TRUE),NA())</f>
        <v>4029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360</v>
      </c>
      <c r="C34" s="194" t="s">
        <v>362</v>
      </c>
      <c r="D34" s="208">
        <v>240</v>
      </c>
      <c r="E34" s="30" t="s">
        <v>364</v>
      </c>
      <c r="F34" s="208" t="b">
        <v>1</v>
      </c>
      <c r="G34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"%USERPROFILE%\AppData\Local\Temp\OnboardLogs"\RTDC4029\*4029*201703070*</v>
      </c>
      <c r="I34" s="210" t="str">
        <f>IF(VLOOKUP(K34,'Train Runs'!$A$13:$V$991,1,TRUE)=K34,VLOOKUP(K34,'Train Runs'!$A$13:$V$991,22,TRUE),NA())</f>
        <v>https://d0f6bd738d7f1b3e5a7ca70fe4ff75f0.us-east-1.aws.found.io/app/kibana#/discover/Steve-Slow-Train-Analysis-(2080s-and-2083s)?_g=(refreshInterval:(display:Off,pause:!f,section:0,value:0),time:(from:'2017-04-03T23:13:02-0600',mode:absolute,to:'2017-04-04T02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240-03</v>
      </c>
      <c r="L34" s="202">
        <f>IF(VLOOKUP(K34,'Train Runs'!$A$12:$B$991,1,TRUE)=K34,VLOOKUP(K34,'Train Runs'!$A$12:$B$991,2,TRUE),NA())</f>
        <v>4029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360</v>
      </c>
      <c r="C35" s="194" t="s">
        <v>362</v>
      </c>
      <c r="D35" s="208">
        <v>242</v>
      </c>
      <c r="E35" s="30" t="s">
        <v>364</v>
      </c>
      <c r="F35" s="208" t="b">
        <v>1</v>
      </c>
      <c r="G35" s="212" t="str">
        <f t="shared" si="0"/>
        <v>"C:\Program Files (x86)\AstroGrep\AstroGrep.exe" /e /r /s /spath="%USERPROFILE%\AppData\Local\Temp\OnboardLogs" /stypes="*4027*201703070*"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"%USERPROFILE%\AppData\Local\Temp\OnboardLogs"\RTDC4027\*4027*201703070*</v>
      </c>
      <c r="I35" s="210" t="str">
        <f>IF(VLOOKUP(K35,'Train Runs'!$A$13:$V$991,1,TRUE)=K35,VLOOKUP(K35,'Train Runs'!$A$13:$V$991,22,TRUE),NA())</f>
        <v>https://d0f6bd738d7f1b3e5a7ca70fe4ff75f0.us-east-1.aws.found.io/app/kibana#/discover/Steve-Slow-Train-Analysis-(2080s-and-2083s)?_g=(refreshInterval:(display:Off,pause:!f,section:0,value:0),time:(from:'2017-04-03T23:42:19-0600',mode:absolute,to:'2017-04-04T02:41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242-03</v>
      </c>
      <c r="L35" s="202">
        <f>IF(VLOOKUP(K35,'Train Runs'!$A$12:$B$991,1,TRUE)=K35,VLOOKUP(K35,'Train Runs'!$A$12:$B$991,2,TRUE),NA())</f>
        <v>4027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197</v>
      </c>
      <c r="G1" s="8" t="s">
        <v>196</v>
      </c>
    </row>
    <row r="2" spans="1:7" x14ac:dyDescent="0.25">
      <c r="A2" s="8">
        <v>42828.048252314817</v>
      </c>
      <c r="B2" s="20" t="s">
        <v>499</v>
      </c>
      <c r="C2" s="20" t="s">
        <v>538</v>
      </c>
      <c r="D2" s="146">
        <v>2630000</v>
      </c>
      <c r="E2" s="20" t="s">
        <v>395</v>
      </c>
      <c r="F2" s="20" t="s">
        <v>396</v>
      </c>
      <c r="G2" s="8" t="str">
        <f>E2&amp;" "&amp;F2</f>
        <v>SAFIEF AEIMEN</v>
      </c>
    </row>
    <row r="3" spans="1:7" x14ac:dyDescent="0.25">
      <c r="A3" s="8">
        <v>42828.058020833334</v>
      </c>
      <c r="B3" s="20" t="s">
        <v>494</v>
      </c>
      <c r="C3" s="20" t="s">
        <v>539</v>
      </c>
      <c r="D3" s="146">
        <v>2000000</v>
      </c>
      <c r="E3" s="20" t="s">
        <v>380</v>
      </c>
      <c r="F3" s="20" t="s">
        <v>195</v>
      </c>
      <c r="G3" s="8" t="str">
        <f t="shared" ref="G3:G66" si="0">E3&amp;" "&amp;F3</f>
        <v>STAMBAUGH JAMES</v>
      </c>
    </row>
    <row r="4" spans="1:7" x14ac:dyDescent="0.25">
      <c r="A4" s="8">
        <v>42828.069178240738</v>
      </c>
      <c r="B4" s="20" t="s">
        <v>522</v>
      </c>
      <c r="C4" s="20" t="s">
        <v>540</v>
      </c>
      <c r="D4" s="146">
        <v>2230000</v>
      </c>
      <c r="E4" s="20" t="s">
        <v>389</v>
      </c>
      <c r="F4" s="20" t="s">
        <v>198</v>
      </c>
      <c r="G4" s="8" t="str">
        <f t="shared" si="0"/>
        <v>SMITH MICHAEL</v>
      </c>
    </row>
    <row r="5" spans="1:7" x14ac:dyDescent="0.25">
      <c r="A5" s="8">
        <v>42828.087476851855</v>
      </c>
      <c r="B5" s="20" t="s">
        <v>459</v>
      </c>
      <c r="C5" s="20" t="s">
        <v>541</v>
      </c>
      <c r="D5" s="146">
        <v>2000000</v>
      </c>
      <c r="E5" s="20" t="s">
        <v>380</v>
      </c>
      <c r="F5" s="20" t="s">
        <v>195</v>
      </c>
      <c r="G5" s="8" t="str">
        <f t="shared" si="0"/>
        <v>STAMBAUGH JAMES</v>
      </c>
    </row>
    <row r="6" spans="1:7" x14ac:dyDescent="0.25">
      <c r="A6" s="8">
        <v>42828.105104166665</v>
      </c>
      <c r="B6" s="20" t="s">
        <v>383</v>
      </c>
      <c r="C6" s="20" t="s">
        <v>542</v>
      </c>
      <c r="D6" s="146">
        <v>2730000</v>
      </c>
      <c r="E6" s="20" t="s">
        <v>536</v>
      </c>
      <c r="F6" s="20" t="s">
        <v>537</v>
      </c>
      <c r="G6" s="8" t="str">
        <f t="shared" si="0"/>
        <v>YANG JAN</v>
      </c>
    </row>
    <row r="7" spans="1:7" x14ac:dyDescent="0.25">
      <c r="A7" s="8">
        <v>42828.118726851855</v>
      </c>
      <c r="B7" s="20" t="s">
        <v>593</v>
      </c>
      <c r="C7" s="20" t="s">
        <v>626</v>
      </c>
      <c r="D7" s="146">
        <v>1360000</v>
      </c>
      <c r="E7" s="20" t="s">
        <v>525</v>
      </c>
      <c r="F7" s="20" t="s">
        <v>526</v>
      </c>
      <c r="G7" s="8" t="str">
        <f t="shared" si="0"/>
        <v>SANTIZO D. EDY</v>
      </c>
    </row>
    <row r="8" spans="1:7" x14ac:dyDescent="0.25">
      <c r="A8" s="8">
        <v>42828.130196759259</v>
      </c>
      <c r="B8" s="20" t="s">
        <v>480</v>
      </c>
      <c r="C8" s="20" t="s">
        <v>627</v>
      </c>
      <c r="D8" s="146">
        <v>1360000</v>
      </c>
      <c r="E8" s="20" t="s">
        <v>525</v>
      </c>
      <c r="F8" s="20" t="s">
        <v>526</v>
      </c>
      <c r="G8" s="8" t="str">
        <f t="shared" si="0"/>
        <v>SANTIZO D. EDY</v>
      </c>
    </row>
    <row r="9" spans="1:7" ht="15.75" thickBot="1" x14ac:dyDescent="0.3">
      <c r="A9" s="24">
        <v>42828.138784722221</v>
      </c>
      <c r="B9" s="20" t="s">
        <v>393</v>
      </c>
      <c r="C9" s="20" t="s">
        <v>628</v>
      </c>
      <c r="D9" s="146">
        <v>2010000</v>
      </c>
      <c r="E9" s="20" t="s">
        <v>527</v>
      </c>
      <c r="F9" s="20" t="s">
        <v>528</v>
      </c>
      <c r="G9" s="8" t="str">
        <f t="shared" si="0"/>
        <v>MAELZER KURT</v>
      </c>
    </row>
    <row r="10" spans="1:7" x14ac:dyDescent="0.25">
      <c r="A10" s="8">
        <v>42828.14471064815</v>
      </c>
      <c r="B10" s="20" t="s">
        <v>496</v>
      </c>
      <c r="C10" s="20" t="s">
        <v>629</v>
      </c>
      <c r="D10" s="146">
        <v>2730000</v>
      </c>
      <c r="E10" s="20" t="s">
        <v>536</v>
      </c>
      <c r="F10" s="20" t="s">
        <v>537</v>
      </c>
      <c r="G10" s="8" t="str">
        <f t="shared" si="0"/>
        <v>YANG JAN</v>
      </c>
    </row>
    <row r="11" spans="1:7" x14ac:dyDescent="0.25">
      <c r="A11" s="8">
        <v>42828.151087962964</v>
      </c>
      <c r="B11" s="20" t="s">
        <v>201</v>
      </c>
      <c r="C11" s="20" t="s">
        <v>630</v>
      </c>
      <c r="D11" s="146">
        <v>2010000</v>
      </c>
      <c r="E11" s="20" t="s">
        <v>527</v>
      </c>
      <c r="F11" s="20" t="s">
        <v>528</v>
      </c>
      <c r="G11" s="8" t="str">
        <f t="shared" si="0"/>
        <v>MAELZER KURT</v>
      </c>
    </row>
    <row r="12" spans="1:7" x14ac:dyDescent="0.25">
      <c r="A12" s="8">
        <v>42828.162754629629</v>
      </c>
      <c r="B12" s="20" t="s">
        <v>572</v>
      </c>
      <c r="C12" s="20" t="s">
        <v>631</v>
      </c>
      <c r="D12" s="146">
        <v>1110000</v>
      </c>
      <c r="E12" s="20" t="s">
        <v>632</v>
      </c>
      <c r="F12" s="20" t="s">
        <v>633</v>
      </c>
      <c r="G12" s="8" t="str">
        <f t="shared" si="0"/>
        <v>STARKS ANGELINA</v>
      </c>
    </row>
    <row r="13" spans="1:7" x14ac:dyDescent="0.25">
      <c r="A13" s="8">
        <v>42828.16615740741</v>
      </c>
      <c r="B13" s="20" t="s">
        <v>593</v>
      </c>
      <c r="C13" s="20" t="s">
        <v>634</v>
      </c>
      <c r="D13" s="146">
        <v>1360000</v>
      </c>
      <c r="E13" s="20" t="s">
        <v>525</v>
      </c>
      <c r="F13" s="20" t="s">
        <v>526</v>
      </c>
      <c r="G13" s="8" t="str">
        <f t="shared" si="0"/>
        <v>SANTIZO D. EDY</v>
      </c>
    </row>
    <row r="14" spans="1:7" x14ac:dyDescent="0.25">
      <c r="A14" s="8">
        <v>42828.169953703706</v>
      </c>
      <c r="B14" s="20" t="s">
        <v>523</v>
      </c>
      <c r="C14" s="20" t="s">
        <v>570</v>
      </c>
      <c r="D14" s="146">
        <v>3000000</v>
      </c>
      <c r="E14" s="20" t="s">
        <v>635</v>
      </c>
      <c r="F14" s="20" t="s">
        <v>636</v>
      </c>
      <c r="G14" s="8" t="str">
        <f t="shared" si="0"/>
        <v>FORTUNATO FRANK</v>
      </c>
    </row>
    <row r="15" spans="1:7" x14ac:dyDescent="0.25">
      <c r="A15" s="8">
        <v>42828.174907407411</v>
      </c>
      <c r="B15" s="20" t="s">
        <v>378</v>
      </c>
      <c r="C15" s="20" t="s">
        <v>637</v>
      </c>
      <c r="D15" s="146">
        <v>1110000</v>
      </c>
      <c r="E15" s="20" t="s">
        <v>632</v>
      </c>
      <c r="F15" s="20" t="s">
        <v>633</v>
      </c>
      <c r="G15" s="8" t="str">
        <f t="shared" si="0"/>
        <v>STARKS ANGELINA</v>
      </c>
    </row>
    <row r="16" spans="1:7" x14ac:dyDescent="0.25">
      <c r="A16" s="8">
        <v>42828.175555555557</v>
      </c>
      <c r="B16" s="20" t="s">
        <v>599</v>
      </c>
      <c r="C16" s="20" t="s">
        <v>638</v>
      </c>
      <c r="D16" s="146">
        <v>2020000</v>
      </c>
      <c r="E16" s="20" t="s">
        <v>500</v>
      </c>
      <c r="F16" s="20" t="s">
        <v>467</v>
      </c>
      <c r="G16" s="8" t="str">
        <f t="shared" si="0"/>
        <v>SHOOK JOHN</v>
      </c>
    </row>
    <row r="17" spans="1:7" x14ac:dyDescent="0.25">
      <c r="A17" s="8">
        <v>42828.177847222221</v>
      </c>
      <c r="B17" s="20" t="s">
        <v>599</v>
      </c>
      <c r="C17" s="20" t="s">
        <v>638</v>
      </c>
      <c r="D17" s="146">
        <v>2020000</v>
      </c>
      <c r="E17" s="20" t="s">
        <v>500</v>
      </c>
      <c r="F17" s="20" t="s">
        <v>467</v>
      </c>
      <c r="G17" s="8" t="str">
        <f t="shared" si="0"/>
        <v>SHOOK JOHN</v>
      </c>
    </row>
    <row r="18" spans="1:7" x14ac:dyDescent="0.25">
      <c r="A18" s="8">
        <v>42828.179745370369</v>
      </c>
      <c r="B18" s="20" t="s">
        <v>524</v>
      </c>
      <c r="C18" s="20" t="s">
        <v>639</v>
      </c>
      <c r="D18" s="146">
        <v>3000000</v>
      </c>
      <c r="E18" s="20" t="s">
        <v>635</v>
      </c>
      <c r="F18" s="20" t="s">
        <v>636</v>
      </c>
      <c r="G18" s="8" t="str">
        <f t="shared" si="0"/>
        <v>FORTUNATO FRANK</v>
      </c>
    </row>
    <row r="19" spans="1:7" x14ac:dyDescent="0.25">
      <c r="A19" s="8">
        <v>42828.189166666663</v>
      </c>
      <c r="B19" s="20" t="s">
        <v>393</v>
      </c>
      <c r="C19" s="20" t="s">
        <v>640</v>
      </c>
      <c r="D19" s="146">
        <v>2010000</v>
      </c>
      <c r="E19" s="20" t="s">
        <v>527</v>
      </c>
      <c r="F19" s="20" t="s">
        <v>528</v>
      </c>
      <c r="G19" s="8" t="str">
        <f t="shared" si="0"/>
        <v>MAELZER KURT</v>
      </c>
    </row>
    <row r="20" spans="1:7" x14ac:dyDescent="0.25">
      <c r="A20" s="8">
        <v>42828.191388888888</v>
      </c>
      <c r="B20" s="20" t="s">
        <v>641</v>
      </c>
      <c r="C20" s="20" t="s">
        <v>642</v>
      </c>
      <c r="D20" s="146">
        <v>2020000</v>
      </c>
      <c r="E20" s="20" t="s">
        <v>500</v>
      </c>
      <c r="F20" s="20" t="s">
        <v>467</v>
      </c>
      <c r="G20" s="8" t="str">
        <f t="shared" si="0"/>
        <v>SHOOK JOHN</v>
      </c>
    </row>
    <row r="21" spans="1:7" x14ac:dyDescent="0.25">
      <c r="A21" s="8">
        <v>42828.19872685185</v>
      </c>
      <c r="B21" s="20" t="s">
        <v>435</v>
      </c>
      <c r="C21" s="20" t="s">
        <v>571</v>
      </c>
      <c r="D21" s="146">
        <v>1990000</v>
      </c>
      <c r="E21" s="20" t="s">
        <v>529</v>
      </c>
      <c r="F21" s="20" t="s">
        <v>530</v>
      </c>
      <c r="G21" s="8" t="str">
        <f t="shared" si="0"/>
        <v>DAVIS WENDY</v>
      </c>
    </row>
    <row r="22" spans="1:7" x14ac:dyDescent="0.25">
      <c r="A22" s="26">
        <v>42828.203715277778</v>
      </c>
      <c r="B22" s="20" t="s">
        <v>480</v>
      </c>
      <c r="C22" s="20" t="s">
        <v>643</v>
      </c>
      <c r="D22" s="146">
        <v>1830000</v>
      </c>
      <c r="E22" s="20" t="s">
        <v>481</v>
      </c>
      <c r="F22" s="20" t="s">
        <v>482</v>
      </c>
      <c r="G22" s="8" t="str">
        <f t="shared" si="0"/>
        <v>YORK EDGAR</v>
      </c>
    </row>
    <row r="23" spans="1:7" x14ac:dyDescent="0.25">
      <c r="A23" s="8">
        <v>42828.209444444445</v>
      </c>
      <c r="B23" s="20" t="s">
        <v>578</v>
      </c>
      <c r="C23" s="20" t="s">
        <v>644</v>
      </c>
      <c r="D23" s="146">
        <v>1360000</v>
      </c>
      <c r="E23" s="20" t="s">
        <v>525</v>
      </c>
      <c r="F23" s="20" t="s">
        <v>526</v>
      </c>
      <c r="G23" s="8" t="str">
        <f t="shared" si="0"/>
        <v>SANTIZO D. EDY</v>
      </c>
    </row>
    <row r="24" spans="1:7" x14ac:dyDescent="0.25">
      <c r="A24" s="8">
        <v>42828.211099537039</v>
      </c>
      <c r="B24" s="20" t="s">
        <v>436</v>
      </c>
      <c r="C24" s="20" t="s">
        <v>645</v>
      </c>
      <c r="D24" s="146">
        <v>1990000</v>
      </c>
      <c r="E24" s="20" t="s">
        <v>529</v>
      </c>
      <c r="F24" s="20" t="s">
        <v>530</v>
      </c>
      <c r="G24" s="8" t="str">
        <f t="shared" si="0"/>
        <v>DAVIS WENDY</v>
      </c>
    </row>
    <row r="25" spans="1:7" x14ac:dyDescent="0.25">
      <c r="A25" s="8">
        <v>42828.213449074072</v>
      </c>
      <c r="B25" s="20" t="s">
        <v>572</v>
      </c>
      <c r="C25" s="20" t="s">
        <v>573</v>
      </c>
      <c r="D25" s="146">
        <v>1110000</v>
      </c>
      <c r="E25" s="20" t="s">
        <v>632</v>
      </c>
      <c r="F25" s="20" t="s">
        <v>633</v>
      </c>
      <c r="G25" s="8" t="str">
        <f t="shared" si="0"/>
        <v>STARKS ANGELINA</v>
      </c>
    </row>
    <row r="26" spans="1:7" x14ac:dyDescent="0.25">
      <c r="A26" s="8">
        <v>42828.220833333333</v>
      </c>
      <c r="B26" s="20" t="s">
        <v>523</v>
      </c>
      <c r="C26" s="20" t="s">
        <v>646</v>
      </c>
      <c r="D26" s="146">
        <v>3000000</v>
      </c>
      <c r="E26" s="20" t="s">
        <v>635</v>
      </c>
      <c r="F26" s="20" t="s">
        <v>636</v>
      </c>
      <c r="G26" s="8" t="str">
        <f t="shared" si="0"/>
        <v>FORTUNATO FRANK</v>
      </c>
    </row>
    <row r="27" spans="1:7" x14ac:dyDescent="0.25">
      <c r="A27" s="8">
        <v>42828.225844907407</v>
      </c>
      <c r="B27" s="20" t="s">
        <v>201</v>
      </c>
      <c r="C27" s="20" t="s">
        <v>647</v>
      </c>
      <c r="D27" s="146">
        <v>2140000</v>
      </c>
      <c r="E27" s="20" t="s">
        <v>497</v>
      </c>
      <c r="F27" s="20" t="s">
        <v>498</v>
      </c>
      <c r="G27" s="8" t="str">
        <f t="shared" si="0"/>
        <v>ROBINSON KADDIBA</v>
      </c>
    </row>
    <row r="28" spans="1:7" x14ac:dyDescent="0.25">
      <c r="A28" s="8">
        <v>42828.227175925924</v>
      </c>
      <c r="B28" s="20" t="s">
        <v>599</v>
      </c>
      <c r="C28" s="20" t="s">
        <v>648</v>
      </c>
      <c r="D28" s="146">
        <v>2020000</v>
      </c>
      <c r="E28" s="20" t="s">
        <v>500</v>
      </c>
      <c r="F28" s="20" t="s">
        <v>467</v>
      </c>
      <c r="G28" s="8" t="str">
        <f t="shared" si="0"/>
        <v>SHOOK JOHN</v>
      </c>
    </row>
    <row r="29" spans="1:7" x14ac:dyDescent="0.25">
      <c r="A29" s="8">
        <v>42828.22761574074</v>
      </c>
      <c r="B29" s="20" t="s">
        <v>392</v>
      </c>
      <c r="C29" s="20" t="s">
        <v>649</v>
      </c>
      <c r="D29" s="146">
        <v>2010000</v>
      </c>
      <c r="E29" s="20" t="s">
        <v>527</v>
      </c>
      <c r="F29" s="20" t="s">
        <v>528</v>
      </c>
      <c r="G29" s="8" t="str">
        <f t="shared" si="0"/>
        <v>MAELZER KURT</v>
      </c>
    </row>
    <row r="30" spans="1:7" x14ac:dyDescent="0.25">
      <c r="A30" s="8">
        <v>42828.234780092593</v>
      </c>
      <c r="B30" s="20" t="s">
        <v>451</v>
      </c>
      <c r="C30" s="20" t="s">
        <v>650</v>
      </c>
      <c r="D30" s="146">
        <v>1830000</v>
      </c>
      <c r="E30" s="20" t="s">
        <v>481</v>
      </c>
      <c r="F30" s="20" t="s">
        <v>482</v>
      </c>
      <c r="G30" s="8" t="str">
        <f t="shared" si="0"/>
        <v>YORK EDGAR</v>
      </c>
    </row>
    <row r="31" spans="1:7" x14ac:dyDescent="0.25">
      <c r="A31" s="8">
        <v>42828.242777777778</v>
      </c>
      <c r="B31" s="20" t="s">
        <v>435</v>
      </c>
      <c r="C31" s="20" t="s">
        <v>651</v>
      </c>
      <c r="D31" s="146">
        <v>1990000</v>
      </c>
      <c r="E31" s="20" t="s">
        <v>529</v>
      </c>
      <c r="F31" s="20" t="s">
        <v>530</v>
      </c>
      <c r="G31" s="8" t="str">
        <f t="shared" si="0"/>
        <v>DAVIS WENDY</v>
      </c>
    </row>
    <row r="32" spans="1:7" x14ac:dyDescent="0.25">
      <c r="A32" s="8">
        <v>42828.246388888889</v>
      </c>
      <c r="B32" s="20" t="s">
        <v>593</v>
      </c>
      <c r="C32" s="20" t="s">
        <v>652</v>
      </c>
      <c r="D32" s="146">
        <v>1360000</v>
      </c>
      <c r="E32" s="20" t="s">
        <v>525</v>
      </c>
      <c r="F32" s="20" t="s">
        <v>526</v>
      </c>
      <c r="G32" s="8" t="str">
        <f t="shared" si="0"/>
        <v>SANTIZO D. EDY</v>
      </c>
    </row>
    <row r="33" spans="1:7" x14ac:dyDescent="0.25">
      <c r="A33" s="8">
        <v>42828.246701388889</v>
      </c>
      <c r="B33" s="20" t="s">
        <v>451</v>
      </c>
      <c r="C33" s="20" t="s">
        <v>650</v>
      </c>
      <c r="D33" s="146">
        <v>1830000</v>
      </c>
      <c r="E33" s="20" t="s">
        <v>481</v>
      </c>
      <c r="F33" s="20" t="s">
        <v>482</v>
      </c>
      <c r="G33" s="8" t="str">
        <f t="shared" si="0"/>
        <v>YORK EDGAR</v>
      </c>
    </row>
    <row r="34" spans="1:7" x14ac:dyDescent="0.25">
      <c r="A34" s="8">
        <v>42828.248877314814</v>
      </c>
      <c r="B34" s="20" t="s">
        <v>378</v>
      </c>
      <c r="C34" s="20" t="s">
        <v>575</v>
      </c>
      <c r="D34" s="146">
        <v>1110000</v>
      </c>
      <c r="E34" s="20" t="s">
        <v>632</v>
      </c>
      <c r="F34" s="20" t="s">
        <v>633</v>
      </c>
      <c r="G34" s="8" t="str">
        <f t="shared" si="0"/>
        <v>STARKS ANGELINA</v>
      </c>
    </row>
    <row r="35" spans="1:7" x14ac:dyDescent="0.25">
      <c r="A35" s="8">
        <v>42828.252557870372</v>
      </c>
      <c r="B35" s="20" t="s">
        <v>595</v>
      </c>
      <c r="C35" s="20" t="s">
        <v>653</v>
      </c>
      <c r="D35" s="146">
        <v>3020000</v>
      </c>
      <c r="E35" s="20" t="s">
        <v>654</v>
      </c>
      <c r="F35" s="20" t="s">
        <v>655</v>
      </c>
      <c r="G35" s="8" t="str">
        <f t="shared" si="0"/>
        <v>MENGES BRAD</v>
      </c>
    </row>
    <row r="36" spans="1:7" x14ac:dyDescent="0.25">
      <c r="A36" s="8">
        <v>42828.255381944444</v>
      </c>
      <c r="B36" s="20" t="s">
        <v>436</v>
      </c>
      <c r="C36" s="20" t="s">
        <v>574</v>
      </c>
      <c r="D36" s="146">
        <v>1990000</v>
      </c>
      <c r="E36" s="20" t="s">
        <v>529</v>
      </c>
      <c r="F36" s="20" t="s">
        <v>530</v>
      </c>
      <c r="G36" s="8" t="str">
        <f t="shared" si="0"/>
        <v>DAVIS WENDY</v>
      </c>
    </row>
    <row r="37" spans="1:7" x14ac:dyDescent="0.25">
      <c r="A37" s="8">
        <v>42828.25545138889</v>
      </c>
      <c r="B37" s="20" t="s">
        <v>378</v>
      </c>
      <c r="C37" s="20" t="s">
        <v>575</v>
      </c>
      <c r="D37" s="146">
        <v>1110000</v>
      </c>
      <c r="E37" s="20" t="s">
        <v>632</v>
      </c>
      <c r="F37" s="20" t="s">
        <v>633</v>
      </c>
      <c r="G37" s="8" t="str">
        <f t="shared" si="0"/>
        <v>STARKS ANGELINA</v>
      </c>
    </row>
    <row r="38" spans="1:7" x14ac:dyDescent="0.25">
      <c r="A38" s="8">
        <v>42828.259247685186</v>
      </c>
      <c r="B38" s="20" t="s">
        <v>397</v>
      </c>
      <c r="C38" s="20" t="s">
        <v>656</v>
      </c>
      <c r="D38" s="146">
        <v>2140000</v>
      </c>
      <c r="E38" s="20" t="s">
        <v>497</v>
      </c>
      <c r="F38" s="20" t="s">
        <v>498</v>
      </c>
      <c r="G38" s="8" t="str">
        <f t="shared" si="0"/>
        <v>ROBINSON KADDIBA</v>
      </c>
    </row>
    <row r="39" spans="1:7" x14ac:dyDescent="0.25">
      <c r="A39" s="8">
        <v>42828.26059027778</v>
      </c>
      <c r="B39" s="20" t="s">
        <v>524</v>
      </c>
      <c r="C39" s="20" t="s">
        <v>657</v>
      </c>
      <c r="D39" s="146">
        <v>3000000</v>
      </c>
      <c r="E39" s="20" t="s">
        <v>635</v>
      </c>
      <c r="F39" s="20" t="s">
        <v>636</v>
      </c>
      <c r="G39" s="8" t="str">
        <f t="shared" si="0"/>
        <v>FORTUNATO FRANK</v>
      </c>
    </row>
    <row r="40" spans="1:7" x14ac:dyDescent="0.25">
      <c r="A40" s="8">
        <v>42828.263356481482</v>
      </c>
      <c r="B40" s="25" t="s">
        <v>586</v>
      </c>
      <c r="C40" s="20" t="s">
        <v>658</v>
      </c>
      <c r="D40" s="146">
        <v>3020000</v>
      </c>
      <c r="E40" s="20" t="s">
        <v>654</v>
      </c>
      <c r="F40" s="20" t="s">
        <v>655</v>
      </c>
      <c r="G40" s="8" t="str">
        <f t="shared" si="0"/>
        <v>MENGES BRAD</v>
      </c>
    </row>
    <row r="41" spans="1:7" x14ac:dyDescent="0.25">
      <c r="A41" s="8">
        <v>42828.264247685183</v>
      </c>
      <c r="B41" s="20" t="s">
        <v>586</v>
      </c>
      <c r="C41" s="20" t="s">
        <v>658</v>
      </c>
      <c r="D41" s="146">
        <v>3020000</v>
      </c>
      <c r="E41" s="20" t="s">
        <v>654</v>
      </c>
      <c r="F41" s="20" t="s">
        <v>655</v>
      </c>
      <c r="G41" s="8" t="str">
        <f t="shared" si="0"/>
        <v>MENGES BRAD</v>
      </c>
    </row>
    <row r="42" spans="1:7" x14ac:dyDescent="0.25">
      <c r="A42" s="8">
        <v>42828.267928240741</v>
      </c>
      <c r="B42" s="20" t="s">
        <v>641</v>
      </c>
      <c r="C42" s="20" t="s">
        <v>659</v>
      </c>
      <c r="D42" s="146">
        <v>2020000</v>
      </c>
      <c r="E42" s="20" t="s">
        <v>500</v>
      </c>
      <c r="F42" s="20" t="s">
        <v>467</v>
      </c>
      <c r="G42" s="8" t="str">
        <f t="shared" si="0"/>
        <v>SHOOK JOHN</v>
      </c>
    </row>
    <row r="43" spans="1:7" x14ac:dyDescent="0.25">
      <c r="A43" s="8">
        <v>42828.274189814816</v>
      </c>
      <c r="B43" s="20" t="s">
        <v>393</v>
      </c>
      <c r="C43" s="20" t="s">
        <v>660</v>
      </c>
      <c r="D43" s="146">
        <v>2010000</v>
      </c>
      <c r="E43" s="20" t="s">
        <v>527</v>
      </c>
      <c r="F43" s="20" t="s">
        <v>528</v>
      </c>
      <c r="G43" s="8" t="str">
        <f t="shared" si="0"/>
        <v>MAELZER KURT</v>
      </c>
    </row>
    <row r="44" spans="1:7" x14ac:dyDescent="0.25">
      <c r="A44" s="8">
        <v>42828.275520833333</v>
      </c>
      <c r="B44" s="20" t="s">
        <v>595</v>
      </c>
      <c r="C44" s="20" t="s">
        <v>661</v>
      </c>
      <c r="D44" s="146">
        <v>3020000</v>
      </c>
      <c r="E44" s="20" t="s">
        <v>654</v>
      </c>
      <c r="F44" s="20" t="s">
        <v>655</v>
      </c>
      <c r="G44" s="8" t="str">
        <f t="shared" si="0"/>
        <v>MENGES BRAD</v>
      </c>
    </row>
    <row r="45" spans="1:7" x14ac:dyDescent="0.25">
      <c r="A45" s="8">
        <v>42828.277129629627</v>
      </c>
      <c r="B45" s="20" t="s">
        <v>480</v>
      </c>
      <c r="C45" s="20" t="s">
        <v>662</v>
      </c>
      <c r="D45" s="146">
        <v>1830000</v>
      </c>
      <c r="E45" s="20" t="s">
        <v>481</v>
      </c>
      <c r="F45" s="20" t="s">
        <v>482</v>
      </c>
      <c r="G45" s="8" t="str">
        <f t="shared" si="0"/>
        <v>YORK EDGAR</v>
      </c>
    </row>
    <row r="46" spans="1:7" x14ac:dyDescent="0.25">
      <c r="A46" s="8">
        <v>42828.282870370371</v>
      </c>
      <c r="B46" s="20" t="s">
        <v>435</v>
      </c>
      <c r="C46" s="20" t="s">
        <v>576</v>
      </c>
      <c r="D46" s="146">
        <v>1990000</v>
      </c>
      <c r="E46" s="20" t="s">
        <v>529</v>
      </c>
      <c r="F46" s="20" t="s">
        <v>530</v>
      </c>
      <c r="G46" s="8" t="str">
        <f t="shared" si="0"/>
        <v>DAVIS WENDY</v>
      </c>
    </row>
    <row r="47" spans="1:7" x14ac:dyDescent="0.25">
      <c r="A47" s="8">
        <v>42828.28665509259</v>
      </c>
      <c r="B47" s="20" t="s">
        <v>578</v>
      </c>
      <c r="C47" s="20" t="s">
        <v>579</v>
      </c>
      <c r="D47" s="146">
        <v>1360000</v>
      </c>
      <c r="E47" s="20" t="s">
        <v>525</v>
      </c>
      <c r="F47" s="20" t="s">
        <v>526</v>
      </c>
      <c r="G47" s="8" t="str">
        <f t="shared" si="0"/>
        <v>SANTIZO D. EDY</v>
      </c>
    </row>
    <row r="48" spans="1:7" x14ac:dyDescent="0.25">
      <c r="A48" s="8">
        <v>42828.287129629629</v>
      </c>
      <c r="B48" s="20" t="s">
        <v>379</v>
      </c>
      <c r="C48" s="20" t="s">
        <v>663</v>
      </c>
      <c r="D48" s="146">
        <v>1110000</v>
      </c>
      <c r="E48" s="20" t="s">
        <v>632</v>
      </c>
      <c r="F48" s="20" t="s">
        <v>633</v>
      </c>
      <c r="G48" s="8" t="str">
        <f t="shared" si="0"/>
        <v>STARKS ANGELINA</v>
      </c>
    </row>
    <row r="49" spans="1:7" x14ac:dyDescent="0.25">
      <c r="A49" s="8">
        <v>42828.295138888891</v>
      </c>
      <c r="B49" s="20" t="s">
        <v>523</v>
      </c>
      <c r="C49" s="20" t="s">
        <v>664</v>
      </c>
      <c r="D49" s="146">
        <v>3000000</v>
      </c>
      <c r="E49" s="20" t="s">
        <v>635</v>
      </c>
      <c r="F49" s="20" t="s">
        <v>636</v>
      </c>
      <c r="G49" s="8" t="str">
        <f t="shared" si="0"/>
        <v>FORTUNATO FRANK</v>
      </c>
    </row>
    <row r="50" spans="1:7" x14ac:dyDescent="0.25">
      <c r="A50" s="8">
        <v>42828.296909722223</v>
      </c>
      <c r="B50" s="20" t="s">
        <v>436</v>
      </c>
      <c r="C50" s="20" t="s">
        <v>577</v>
      </c>
      <c r="D50" s="146">
        <v>1990000</v>
      </c>
      <c r="E50" s="20" t="s">
        <v>529</v>
      </c>
      <c r="F50" s="20" t="s">
        <v>530</v>
      </c>
      <c r="G50" s="8" t="str">
        <f t="shared" si="0"/>
        <v>DAVIS WENDY</v>
      </c>
    </row>
    <row r="51" spans="1:7" x14ac:dyDescent="0.25">
      <c r="A51" s="8">
        <v>42828.297314814816</v>
      </c>
      <c r="B51" s="20" t="s">
        <v>201</v>
      </c>
      <c r="C51" s="20" t="s">
        <v>665</v>
      </c>
      <c r="D51" s="146">
        <v>2140000</v>
      </c>
      <c r="E51" s="20" t="s">
        <v>497</v>
      </c>
      <c r="F51" s="20" t="s">
        <v>498</v>
      </c>
      <c r="G51" s="8" t="str">
        <f t="shared" si="0"/>
        <v>ROBINSON KADDIBA</v>
      </c>
    </row>
    <row r="52" spans="1:7" x14ac:dyDescent="0.25">
      <c r="A52" s="8">
        <v>42828.300011574072</v>
      </c>
      <c r="B52" s="20" t="s">
        <v>599</v>
      </c>
      <c r="C52" s="20" t="s">
        <v>666</v>
      </c>
      <c r="D52" s="146">
        <v>2020000</v>
      </c>
      <c r="E52" s="20" t="s">
        <v>500</v>
      </c>
      <c r="F52" s="20" t="s">
        <v>467</v>
      </c>
      <c r="G52" s="8" t="str">
        <f t="shared" si="0"/>
        <v>SHOOK JOHN</v>
      </c>
    </row>
    <row r="53" spans="1:7" x14ac:dyDescent="0.25">
      <c r="A53" s="8">
        <v>42828.30259259259</v>
      </c>
      <c r="B53" s="20" t="s">
        <v>586</v>
      </c>
      <c r="C53" s="20" t="s">
        <v>667</v>
      </c>
      <c r="D53" s="146">
        <v>3020000</v>
      </c>
      <c r="E53" s="20" t="s">
        <v>654</v>
      </c>
      <c r="F53" s="20" t="s">
        <v>655</v>
      </c>
      <c r="G53" s="8" t="str">
        <f t="shared" si="0"/>
        <v>MENGES BRAD</v>
      </c>
    </row>
    <row r="54" spans="1:7" x14ac:dyDescent="0.25">
      <c r="A54" s="8">
        <v>42828.306828703702</v>
      </c>
      <c r="B54" s="20" t="s">
        <v>451</v>
      </c>
      <c r="C54" s="20" t="s">
        <v>581</v>
      </c>
      <c r="D54" s="146">
        <v>1830000</v>
      </c>
      <c r="E54" s="20" t="s">
        <v>481</v>
      </c>
      <c r="F54" s="20" t="s">
        <v>482</v>
      </c>
      <c r="G54" s="8" t="str">
        <f t="shared" si="0"/>
        <v>YORK EDGAR</v>
      </c>
    </row>
    <row r="55" spans="1:7" x14ac:dyDescent="0.25">
      <c r="A55" s="8">
        <v>42828.308587962965</v>
      </c>
      <c r="B55" s="20" t="s">
        <v>392</v>
      </c>
      <c r="C55" s="20" t="s">
        <v>668</v>
      </c>
      <c r="D55" s="146">
        <v>2010000</v>
      </c>
      <c r="E55" s="20" t="s">
        <v>527</v>
      </c>
      <c r="F55" s="20" t="s">
        <v>528</v>
      </c>
      <c r="G55" s="8" t="str">
        <f t="shared" si="0"/>
        <v>MAELZER KURT</v>
      </c>
    </row>
    <row r="56" spans="1:7" x14ac:dyDescent="0.25">
      <c r="A56" s="8">
        <v>42828.316712962966</v>
      </c>
      <c r="B56" s="20" t="s">
        <v>595</v>
      </c>
      <c r="C56" s="20" t="s">
        <v>669</v>
      </c>
      <c r="D56" s="146">
        <v>3020000</v>
      </c>
      <c r="E56" s="20" t="s">
        <v>654</v>
      </c>
      <c r="F56" s="20" t="s">
        <v>655</v>
      </c>
      <c r="G56" s="8" t="str">
        <f t="shared" si="0"/>
        <v>MENGES BRAD</v>
      </c>
    </row>
    <row r="57" spans="1:7" x14ac:dyDescent="0.25">
      <c r="A57" s="8">
        <v>42828.318136574075</v>
      </c>
      <c r="B57" s="20" t="s">
        <v>593</v>
      </c>
      <c r="C57" s="20" t="s">
        <v>670</v>
      </c>
      <c r="D57" s="146">
        <v>1360000</v>
      </c>
      <c r="E57" s="20" t="s">
        <v>525</v>
      </c>
      <c r="F57" s="20" t="s">
        <v>526</v>
      </c>
      <c r="G57" s="8" t="str">
        <f t="shared" si="0"/>
        <v>SANTIZO D. EDY</v>
      </c>
    </row>
    <row r="58" spans="1:7" x14ac:dyDescent="0.25">
      <c r="A58" s="8">
        <v>42828.319444444445</v>
      </c>
      <c r="B58" s="20" t="s">
        <v>378</v>
      </c>
      <c r="C58" s="20" t="s">
        <v>580</v>
      </c>
      <c r="D58" s="146">
        <v>1110000</v>
      </c>
      <c r="E58" s="20" t="s">
        <v>632</v>
      </c>
      <c r="F58" s="20" t="s">
        <v>633</v>
      </c>
      <c r="G58" s="8" t="str">
        <f t="shared" si="0"/>
        <v>STARKS ANGELINA</v>
      </c>
    </row>
    <row r="59" spans="1:7" x14ac:dyDescent="0.25">
      <c r="A59" s="8">
        <v>42828.326377314814</v>
      </c>
      <c r="B59" s="20" t="s">
        <v>435</v>
      </c>
      <c r="C59" s="20" t="s">
        <v>671</v>
      </c>
      <c r="D59" s="146">
        <v>1990000</v>
      </c>
      <c r="E59" s="20" t="s">
        <v>529</v>
      </c>
      <c r="F59" s="20" t="s">
        <v>530</v>
      </c>
      <c r="G59" s="8" t="str">
        <f t="shared" si="0"/>
        <v>DAVIS WENDY</v>
      </c>
    </row>
    <row r="60" spans="1:7" x14ac:dyDescent="0.25">
      <c r="A60" s="8">
        <v>42828.329340277778</v>
      </c>
      <c r="B60" s="20" t="s">
        <v>524</v>
      </c>
      <c r="C60" s="20" t="s">
        <v>672</v>
      </c>
      <c r="D60" s="146">
        <v>3000000</v>
      </c>
      <c r="E60" s="20" t="s">
        <v>635</v>
      </c>
      <c r="F60" s="20" t="s">
        <v>636</v>
      </c>
      <c r="G60" s="8" t="str">
        <f t="shared" si="0"/>
        <v>FORTUNATO FRANK</v>
      </c>
    </row>
    <row r="61" spans="1:7" x14ac:dyDescent="0.25">
      <c r="A61" s="8">
        <v>42828.333796296298</v>
      </c>
      <c r="B61" s="20" t="s">
        <v>397</v>
      </c>
      <c r="C61" s="20" t="s">
        <v>673</v>
      </c>
      <c r="D61" s="146">
        <v>2140000</v>
      </c>
      <c r="E61" s="20" t="s">
        <v>497</v>
      </c>
      <c r="F61" s="20" t="s">
        <v>498</v>
      </c>
      <c r="G61" s="8" t="str">
        <f t="shared" si="0"/>
        <v>ROBINSON KADDIBA</v>
      </c>
    </row>
    <row r="62" spans="1:7" x14ac:dyDescent="0.25">
      <c r="A62" s="8">
        <v>42828.337835648148</v>
      </c>
      <c r="B62" s="20" t="s">
        <v>436</v>
      </c>
      <c r="C62" s="20" t="s">
        <v>582</v>
      </c>
      <c r="D62" s="146">
        <v>1990000</v>
      </c>
      <c r="E62" s="20" t="s">
        <v>529</v>
      </c>
      <c r="F62" s="20" t="s">
        <v>530</v>
      </c>
      <c r="G62" s="8" t="str">
        <f t="shared" si="0"/>
        <v>DAVIS WENDY</v>
      </c>
    </row>
    <row r="63" spans="1:7" x14ac:dyDescent="0.25">
      <c r="A63" s="8">
        <v>42828.340208333335</v>
      </c>
      <c r="B63" s="20" t="s">
        <v>641</v>
      </c>
      <c r="C63" s="20" t="s">
        <v>674</v>
      </c>
      <c r="D63" s="146">
        <v>2020000</v>
      </c>
      <c r="E63" s="20" t="s">
        <v>500</v>
      </c>
      <c r="F63" s="20" t="s">
        <v>467</v>
      </c>
      <c r="G63" s="8" t="str">
        <f t="shared" si="0"/>
        <v>SHOOK JOHN</v>
      </c>
    </row>
    <row r="64" spans="1:7" x14ac:dyDescent="0.25">
      <c r="A64" s="26">
        <v>42828.345277777778</v>
      </c>
      <c r="B64" s="20" t="s">
        <v>586</v>
      </c>
      <c r="C64" s="20" t="s">
        <v>675</v>
      </c>
      <c r="D64" s="146">
        <v>3020000</v>
      </c>
      <c r="E64" s="20" t="s">
        <v>654</v>
      </c>
      <c r="F64" s="20" t="s">
        <v>655</v>
      </c>
      <c r="G64" s="8" t="str">
        <f t="shared" si="0"/>
        <v>MENGES BRAD</v>
      </c>
    </row>
    <row r="65" spans="1:7" x14ac:dyDescent="0.25">
      <c r="A65" s="8">
        <v>42828.347569444442</v>
      </c>
      <c r="B65" s="20" t="s">
        <v>393</v>
      </c>
      <c r="C65" s="20" t="s">
        <v>584</v>
      </c>
      <c r="D65" s="146">
        <v>2010000</v>
      </c>
      <c r="E65" s="20" t="s">
        <v>527</v>
      </c>
      <c r="F65" s="20" t="s">
        <v>528</v>
      </c>
      <c r="G65" s="8" t="str">
        <f t="shared" si="0"/>
        <v>MAELZER KURT</v>
      </c>
    </row>
    <row r="66" spans="1:7" x14ac:dyDescent="0.25">
      <c r="A66" s="8">
        <v>42828.348333333335</v>
      </c>
      <c r="B66" s="20" t="s">
        <v>480</v>
      </c>
      <c r="C66" s="20" t="s">
        <v>583</v>
      </c>
      <c r="D66" s="146">
        <v>1830000</v>
      </c>
      <c r="E66" s="20" t="s">
        <v>481</v>
      </c>
      <c r="F66" s="20" t="s">
        <v>482</v>
      </c>
      <c r="G66" s="8" t="str">
        <f t="shared" si="0"/>
        <v>YORK EDGAR</v>
      </c>
    </row>
    <row r="67" spans="1:7" x14ac:dyDescent="0.25">
      <c r="A67" s="8">
        <v>42828.352685185186</v>
      </c>
      <c r="B67" s="20" t="s">
        <v>435</v>
      </c>
      <c r="C67" s="20" t="s">
        <v>676</v>
      </c>
      <c r="D67" s="146">
        <v>1990000</v>
      </c>
      <c r="E67" s="20" t="s">
        <v>529</v>
      </c>
      <c r="F67" s="20" t="s">
        <v>530</v>
      </c>
      <c r="G67" s="8" t="str">
        <f t="shared" ref="G67:G130" si="1">E67&amp;" "&amp;F67</f>
        <v>DAVIS WENDY</v>
      </c>
    </row>
    <row r="68" spans="1:7" x14ac:dyDescent="0.25">
      <c r="A68" s="8">
        <v>42828.359722222223</v>
      </c>
      <c r="B68" s="20" t="s">
        <v>595</v>
      </c>
      <c r="C68" s="20" t="s">
        <v>677</v>
      </c>
      <c r="D68" s="146">
        <v>3020000</v>
      </c>
      <c r="E68" s="20" t="s">
        <v>654</v>
      </c>
      <c r="F68" s="20" t="s">
        <v>655</v>
      </c>
      <c r="G68" s="8" t="str">
        <f t="shared" si="1"/>
        <v>MENGES BRAD</v>
      </c>
    </row>
    <row r="69" spans="1:7" x14ac:dyDescent="0.25">
      <c r="A69" s="8">
        <v>42828.359803240739</v>
      </c>
      <c r="B69" s="20" t="s">
        <v>379</v>
      </c>
      <c r="C69" s="20" t="s">
        <v>678</v>
      </c>
      <c r="D69" s="146">
        <v>1110000</v>
      </c>
      <c r="E69" s="20" t="s">
        <v>632</v>
      </c>
      <c r="F69" s="20" t="s">
        <v>633</v>
      </c>
      <c r="G69" s="8" t="str">
        <f t="shared" si="1"/>
        <v>STARKS ANGELINA</v>
      </c>
    </row>
    <row r="70" spans="1:7" x14ac:dyDescent="0.25">
      <c r="A70" s="8">
        <v>42828.36136574074</v>
      </c>
      <c r="B70" s="20" t="s">
        <v>578</v>
      </c>
      <c r="C70" s="20" t="s">
        <v>679</v>
      </c>
      <c r="D70" s="146">
        <v>1360000</v>
      </c>
      <c r="E70" s="20" t="s">
        <v>525</v>
      </c>
      <c r="F70" s="20" t="s">
        <v>526</v>
      </c>
      <c r="G70" s="8" t="str">
        <f t="shared" si="1"/>
        <v>SANTIZO D. EDY</v>
      </c>
    </row>
    <row r="71" spans="1:7" x14ac:dyDescent="0.25">
      <c r="A71" s="8">
        <v>42828.3671875</v>
      </c>
      <c r="B71" s="20" t="s">
        <v>523</v>
      </c>
      <c r="C71" s="20" t="s">
        <v>585</v>
      </c>
      <c r="D71" s="146">
        <v>3000000</v>
      </c>
      <c r="E71" s="20" t="s">
        <v>635</v>
      </c>
      <c r="F71" s="20" t="s">
        <v>636</v>
      </c>
      <c r="G71" s="8" t="str">
        <f t="shared" si="1"/>
        <v>FORTUNATO FRANK</v>
      </c>
    </row>
    <row r="72" spans="1:7" x14ac:dyDescent="0.25">
      <c r="A72" s="8">
        <v>42828.370983796296</v>
      </c>
      <c r="B72" s="20" t="s">
        <v>599</v>
      </c>
      <c r="C72" s="20" t="s">
        <v>680</v>
      </c>
      <c r="D72" s="146">
        <v>2020000</v>
      </c>
      <c r="E72" s="20" t="s">
        <v>500</v>
      </c>
      <c r="F72" s="20" t="s">
        <v>467</v>
      </c>
      <c r="G72" s="8" t="str">
        <f t="shared" si="1"/>
        <v>SHOOK JOHN</v>
      </c>
    </row>
    <row r="73" spans="1:7" x14ac:dyDescent="0.25">
      <c r="A73" s="8">
        <v>42828.371030092596</v>
      </c>
      <c r="B73" s="20" t="s">
        <v>201</v>
      </c>
      <c r="C73" s="20" t="s">
        <v>681</v>
      </c>
      <c r="D73" s="146">
        <v>2140000</v>
      </c>
      <c r="E73" s="20" t="s">
        <v>497</v>
      </c>
      <c r="F73" s="20" t="s">
        <v>498</v>
      </c>
      <c r="G73" s="8" t="str">
        <f t="shared" si="1"/>
        <v>ROBINSON KADDIBA</v>
      </c>
    </row>
    <row r="74" spans="1:7" x14ac:dyDescent="0.25">
      <c r="A74" s="8">
        <v>42828.380740740744</v>
      </c>
      <c r="B74" s="20" t="s">
        <v>451</v>
      </c>
      <c r="C74" s="20" t="s">
        <v>682</v>
      </c>
      <c r="D74" s="146">
        <v>1830000</v>
      </c>
      <c r="E74" s="20" t="s">
        <v>481</v>
      </c>
      <c r="F74" s="20" t="s">
        <v>482</v>
      </c>
      <c r="G74" s="8" t="str">
        <f t="shared" si="1"/>
        <v>YORK EDGAR</v>
      </c>
    </row>
    <row r="75" spans="1:7" x14ac:dyDescent="0.25">
      <c r="A75" s="8">
        <v>42828.382488425923</v>
      </c>
      <c r="B75" s="20" t="s">
        <v>392</v>
      </c>
      <c r="C75" s="20" t="s">
        <v>683</v>
      </c>
      <c r="D75" s="146">
        <v>2010000</v>
      </c>
      <c r="E75" s="20" t="s">
        <v>527</v>
      </c>
      <c r="F75" s="20" t="s">
        <v>528</v>
      </c>
      <c r="G75" s="8" t="str">
        <f t="shared" si="1"/>
        <v>MAELZER KURT</v>
      </c>
    </row>
    <row r="76" spans="1:7" x14ac:dyDescent="0.25">
      <c r="A76" s="8">
        <v>42828.387824074074</v>
      </c>
      <c r="B76" s="20" t="s">
        <v>586</v>
      </c>
      <c r="C76" s="20" t="s">
        <v>587</v>
      </c>
      <c r="D76" s="146">
        <v>3020000</v>
      </c>
      <c r="E76" s="20" t="s">
        <v>654</v>
      </c>
      <c r="F76" s="20" t="s">
        <v>655</v>
      </c>
      <c r="G76" s="8" t="str">
        <f t="shared" si="1"/>
        <v>MENGES BRAD</v>
      </c>
    </row>
    <row r="77" spans="1:7" x14ac:dyDescent="0.25">
      <c r="A77" s="8">
        <v>42828.390949074077</v>
      </c>
      <c r="B77" s="20" t="s">
        <v>593</v>
      </c>
      <c r="C77" s="20" t="s">
        <v>684</v>
      </c>
      <c r="D77" s="146">
        <v>1360000</v>
      </c>
      <c r="E77" s="20" t="s">
        <v>525</v>
      </c>
      <c r="F77" s="20" t="s">
        <v>526</v>
      </c>
      <c r="G77" s="8" t="str">
        <f t="shared" si="1"/>
        <v>SANTIZO D. EDY</v>
      </c>
    </row>
    <row r="78" spans="1:7" x14ac:dyDescent="0.25">
      <c r="A78" s="8">
        <v>42828.392418981479</v>
      </c>
      <c r="B78" s="20" t="s">
        <v>378</v>
      </c>
      <c r="C78" s="20" t="s">
        <v>588</v>
      </c>
      <c r="D78" s="146">
        <v>1110000</v>
      </c>
      <c r="E78" s="20" t="s">
        <v>632</v>
      </c>
      <c r="F78" s="20" t="s">
        <v>633</v>
      </c>
      <c r="G78" s="8" t="str">
        <f t="shared" si="1"/>
        <v>STARKS ANGELINA</v>
      </c>
    </row>
    <row r="79" spans="1:7" x14ac:dyDescent="0.25">
      <c r="A79" s="8">
        <v>42828.401006944441</v>
      </c>
      <c r="B79" s="20" t="s">
        <v>595</v>
      </c>
      <c r="C79" s="20" t="s">
        <v>685</v>
      </c>
      <c r="D79" s="146">
        <v>3020000</v>
      </c>
      <c r="E79" s="20" t="s">
        <v>654</v>
      </c>
      <c r="F79" s="20" t="s">
        <v>655</v>
      </c>
      <c r="G79" s="8" t="str">
        <f t="shared" si="1"/>
        <v>MENGES BRAD</v>
      </c>
    </row>
    <row r="80" spans="1:7" x14ac:dyDescent="0.25">
      <c r="A80" s="8">
        <v>42828.404791666668</v>
      </c>
      <c r="B80" s="20" t="s">
        <v>524</v>
      </c>
      <c r="C80" s="20" t="s">
        <v>686</v>
      </c>
      <c r="D80" s="146">
        <v>3000000</v>
      </c>
      <c r="E80" s="20" t="s">
        <v>635</v>
      </c>
      <c r="F80" s="20" t="s">
        <v>636</v>
      </c>
      <c r="G80" s="8" t="str">
        <f t="shared" si="1"/>
        <v>FORTUNATO FRANK</v>
      </c>
    </row>
    <row r="81" spans="1:7" x14ac:dyDescent="0.25">
      <c r="A81" s="8">
        <v>42828.410891203705</v>
      </c>
      <c r="B81" s="20" t="s">
        <v>397</v>
      </c>
      <c r="C81" s="20" t="s">
        <v>687</v>
      </c>
      <c r="D81" s="146">
        <v>2140000</v>
      </c>
      <c r="E81" s="20" t="s">
        <v>497</v>
      </c>
      <c r="F81" s="20" t="s">
        <v>498</v>
      </c>
      <c r="G81" s="8" t="str">
        <f t="shared" si="1"/>
        <v>ROBINSON KADDIBA</v>
      </c>
    </row>
    <row r="82" spans="1:7" x14ac:dyDescent="0.25">
      <c r="A82" s="8">
        <v>42828.41609953704</v>
      </c>
      <c r="B82" s="20" t="s">
        <v>641</v>
      </c>
      <c r="C82" s="20" t="s">
        <v>688</v>
      </c>
      <c r="D82" s="146">
        <v>2020000</v>
      </c>
      <c r="E82" s="20" t="s">
        <v>500</v>
      </c>
      <c r="F82" s="20" t="s">
        <v>467</v>
      </c>
      <c r="G82" s="8" t="str">
        <f t="shared" si="1"/>
        <v>SHOOK JOHN</v>
      </c>
    </row>
    <row r="83" spans="1:7" x14ac:dyDescent="0.25">
      <c r="A83" s="8">
        <v>42828.416620370372</v>
      </c>
      <c r="B83" s="20" t="s">
        <v>641</v>
      </c>
      <c r="C83" s="20" t="s">
        <v>688</v>
      </c>
      <c r="D83" s="146">
        <v>2020000</v>
      </c>
      <c r="E83" s="20" t="s">
        <v>500</v>
      </c>
      <c r="F83" s="20" t="s">
        <v>467</v>
      </c>
      <c r="G83" s="8" t="str">
        <f t="shared" si="1"/>
        <v>SHOOK JOHN</v>
      </c>
    </row>
    <row r="84" spans="1:7" x14ac:dyDescent="0.25">
      <c r="A84" s="8">
        <v>42828.416909722226</v>
      </c>
      <c r="B84" s="20" t="s">
        <v>393</v>
      </c>
      <c r="C84" s="20" t="s">
        <v>689</v>
      </c>
      <c r="D84" s="146">
        <v>2010000</v>
      </c>
      <c r="E84" s="20" t="s">
        <v>527</v>
      </c>
      <c r="F84" s="20" t="s">
        <v>528</v>
      </c>
      <c r="G84" s="8" t="str">
        <f t="shared" si="1"/>
        <v>MAELZER KURT</v>
      </c>
    </row>
    <row r="85" spans="1:7" x14ac:dyDescent="0.25">
      <c r="A85" s="8">
        <v>42828.417638888888</v>
      </c>
      <c r="B85" s="20" t="s">
        <v>641</v>
      </c>
      <c r="C85" s="20" t="s">
        <v>688</v>
      </c>
      <c r="D85" s="146">
        <v>2020000</v>
      </c>
      <c r="E85" s="20" t="s">
        <v>500</v>
      </c>
      <c r="F85" s="20" t="s">
        <v>467</v>
      </c>
      <c r="G85" s="8" t="str">
        <f t="shared" si="1"/>
        <v>SHOOK JOHN</v>
      </c>
    </row>
    <row r="86" spans="1:7" x14ac:dyDescent="0.25">
      <c r="A86" s="8">
        <v>42828.423935185187</v>
      </c>
      <c r="B86" s="20" t="s">
        <v>480</v>
      </c>
      <c r="C86" s="20" t="s">
        <v>690</v>
      </c>
      <c r="D86" s="146">
        <v>1830000</v>
      </c>
      <c r="E86" s="20" t="s">
        <v>481</v>
      </c>
      <c r="F86" s="20" t="s">
        <v>482</v>
      </c>
      <c r="G86" s="8" t="str">
        <f t="shared" si="1"/>
        <v>YORK EDGAR</v>
      </c>
    </row>
    <row r="87" spans="1:7" x14ac:dyDescent="0.25">
      <c r="A87" s="8">
        <v>42828.429351851853</v>
      </c>
      <c r="B87" s="20" t="s">
        <v>586</v>
      </c>
      <c r="C87" s="20" t="s">
        <v>589</v>
      </c>
      <c r="D87" s="146">
        <v>3020000</v>
      </c>
      <c r="E87" s="20" t="s">
        <v>654</v>
      </c>
      <c r="F87" s="20" t="s">
        <v>655</v>
      </c>
      <c r="G87" s="8" t="str">
        <f t="shared" si="1"/>
        <v>MENGES BRAD</v>
      </c>
    </row>
    <row r="88" spans="1:7" x14ac:dyDescent="0.25">
      <c r="A88" s="8">
        <v>42828.433252314811</v>
      </c>
      <c r="B88" s="20" t="s">
        <v>441</v>
      </c>
      <c r="C88" s="20" t="s">
        <v>590</v>
      </c>
      <c r="D88" s="146">
        <v>2040000</v>
      </c>
      <c r="E88" s="20" t="s">
        <v>691</v>
      </c>
      <c r="F88" s="20" t="s">
        <v>692</v>
      </c>
      <c r="G88" s="8" t="str">
        <f t="shared" si="1"/>
        <v>MOSES BRADLEY</v>
      </c>
    </row>
    <row r="89" spans="1:7" x14ac:dyDescent="0.25">
      <c r="A89" s="8">
        <v>42828.433877314812</v>
      </c>
      <c r="B89" s="20" t="s">
        <v>379</v>
      </c>
      <c r="C89" s="20" t="s">
        <v>693</v>
      </c>
      <c r="D89" s="146">
        <v>1110000</v>
      </c>
      <c r="E89" s="20" t="s">
        <v>632</v>
      </c>
      <c r="F89" s="20" t="s">
        <v>633</v>
      </c>
      <c r="G89" s="8" t="str">
        <f t="shared" si="1"/>
        <v>STARKS ANGELINA</v>
      </c>
    </row>
    <row r="90" spans="1:7" x14ac:dyDescent="0.25">
      <c r="A90" s="8">
        <v>42828.436886574076</v>
      </c>
      <c r="B90" s="20" t="s">
        <v>578</v>
      </c>
      <c r="C90" s="20" t="s">
        <v>694</v>
      </c>
      <c r="D90" s="146">
        <v>1990000</v>
      </c>
      <c r="E90" s="20" t="s">
        <v>529</v>
      </c>
      <c r="F90" s="20" t="s">
        <v>530</v>
      </c>
      <c r="G90" s="8" t="str">
        <f t="shared" si="1"/>
        <v>DAVIS WENDY</v>
      </c>
    </row>
    <row r="91" spans="1:7" x14ac:dyDescent="0.25">
      <c r="A91" s="8">
        <v>42828.437662037039</v>
      </c>
      <c r="B91" s="20" t="s">
        <v>523</v>
      </c>
      <c r="C91" s="20" t="s">
        <v>592</v>
      </c>
      <c r="D91" s="146">
        <v>3000000</v>
      </c>
      <c r="E91" s="20" t="s">
        <v>635</v>
      </c>
      <c r="F91" s="20" t="s">
        <v>636</v>
      </c>
      <c r="G91" s="8" t="str">
        <f t="shared" si="1"/>
        <v>FORTUNATO FRANK</v>
      </c>
    </row>
    <row r="92" spans="1:7" x14ac:dyDescent="0.25">
      <c r="A92" s="8">
        <v>42828.438090277778</v>
      </c>
      <c r="B92" s="20" t="s">
        <v>578</v>
      </c>
      <c r="C92" s="20" t="s">
        <v>694</v>
      </c>
      <c r="D92" s="146">
        <v>1990000</v>
      </c>
      <c r="E92" s="20" t="s">
        <v>529</v>
      </c>
      <c r="F92" s="20" t="s">
        <v>530</v>
      </c>
      <c r="G92" s="8" t="str">
        <f t="shared" si="1"/>
        <v>DAVIS WENDY</v>
      </c>
    </row>
    <row r="93" spans="1:7" x14ac:dyDescent="0.25">
      <c r="A93" s="8">
        <v>42828.443344907406</v>
      </c>
      <c r="B93" s="20" t="s">
        <v>595</v>
      </c>
      <c r="C93" s="20" t="s">
        <v>695</v>
      </c>
      <c r="D93" s="146">
        <v>3020000</v>
      </c>
      <c r="E93" s="20" t="s">
        <v>654</v>
      </c>
      <c r="F93" s="20" t="s">
        <v>655</v>
      </c>
      <c r="G93" s="8" t="str">
        <f t="shared" si="1"/>
        <v>MENGES BRAD</v>
      </c>
    </row>
    <row r="94" spans="1:7" x14ac:dyDescent="0.25">
      <c r="A94" s="8">
        <v>42828.445081018515</v>
      </c>
      <c r="B94" s="20" t="s">
        <v>201</v>
      </c>
      <c r="C94" s="20" t="s">
        <v>591</v>
      </c>
      <c r="D94" s="146">
        <v>2140000</v>
      </c>
      <c r="E94" s="20" t="s">
        <v>497</v>
      </c>
      <c r="F94" s="20" t="s">
        <v>498</v>
      </c>
      <c r="G94" s="8" t="str">
        <f t="shared" si="1"/>
        <v>ROBINSON KADDIBA</v>
      </c>
    </row>
    <row r="95" spans="1:7" x14ac:dyDescent="0.25">
      <c r="A95" s="8">
        <v>42828.446331018517</v>
      </c>
      <c r="B95" s="20" t="s">
        <v>599</v>
      </c>
      <c r="C95" s="20" t="s">
        <v>696</v>
      </c>
      <c r="D95" s="146">
        <v>2020000</v>
      </c>
      <c r="E95" s="20" t="s">
        <v>500</v>
      </c>
      <c r="F95" s="20" t="s">
        <v>467</v>
      </c>
      <c r="G95" s="8" t="str">
        <f t="shared" si="1"/>
        <v>SHOOK JOHN</v>
      </c>
    </row>
    <row r="96" spans="1:7" x14ac:dyDescent="0.25">
      <c r="A96" s="8">
        <v>42828.455428240741</v>
      </c>
      <c r="B96" s="20" t="s">
        <v>451</v>
      </c>
      <c r="C96" s="20" t="s">
        <v>697</v>
      </c>
      <c r="D96" s="146">
        <v>1830000</v>
      </c>
      <c r="E96" s="20" t="s">
        <v>481</v>
      </c>
      <c r="F96" s="20" t="s">
        <v>482</v>
      </c>
      <c r="G96" s="8" t="str">
        <f t="shared" si="1"/>
        <v>YORK EDGAR</v>
      </c>
    </row>
    <row r="97" spans="1:7" x14ac:dyDescent="0.25">
      <c r="A97" s="8">
        <v>42828.457384259258</v>
      </c>
      <c r="B97" s="20" t="s">
        <v>392</v>
      </c>
      <c r="C97" s="20" t="s">
        <v>698</v>
      </c>
      <c r="D97" s="146">
        <v>390000</v>
      </c>
      <c r="E97" s="20" t="s">
        <v>699</v>
      </c>
      <c r="F97" s="20" t="s">
        <v>700</v>
      </c>
      <c r="G97" s="8" t="str">
        <f t="shared" si="1"/>
        <v>CLAIBORNE MIKE</v>
      </c>
    </row>
    <row r="98" spans="1:7" x14ac:dyDescent="0.25">
      <c r="A98" s="8">
        <v>42828.469166666669</v>
      </c>
      <c r="B98" s="20" t="s">
        <v>440</v>
      </c>
      <c r="C98" s="20" t="s">
        <v>701</v>
      </c>
      <c r="D98" s="146">
        <v>2010000</v>
      </c>
      <c r="E98" s="20" t="s">
        <v>527</v>
      </c>
      <c r="F98" s="20" t="s">
        <v>528</v>
      </c>
      <c r="G98" s="8" t="str">
        <f t="shared" si="1"/>
        <v>MAELZER KURT</v>
      </c>
    </row>
    <row r="99" spans="1:7" x14ac:dyDescent="0.25">
      <c r="A99" s="8">
        <v>42828.469317129631</v>
      </c>
      <c r="B99" s="20" t="s">
        <v>378</v>
      </c>
      <c r="C99" s="20" t="s">
        <v>702</v>
      </c>
      <c r="D99" s="146">
        <v>920000</v>
      </c>
      <c r="E99" s="20" t="s">
        <v>529</v>
      </c>
      <c r="F99" s="20" t="s">
        <v>198</v>
      </c>
      <c r="G99" s="8" t="str">
        <f t="shared" si="1"/>
        <v>DAVIS MICHAEL</v>
      </c>
    </row>
    <row r="100" spans="1:7" x14ac:dyDescent="0.25">
      <c r="A100" s="8">
        <v>42828.470613425925</v>
      </c>
      <c r="B100" s="20" t="s">
        <v>586</v>
      </c>
      <c r="C100" s="20" t="s">
        <v>703</v>
      </c>
      <c r="D100" s="146">
        <v>3020000</v>
      </c>
      <c r="E100" s="20" t="s">
        <v>654</v>
      </c>
      <c r="F100" s="20" t="s">
        <v>655</v>
      </c>
      <c r="G100" s="8" t="str">
        <f t="shared" si="1"/>
        <v>MENGES BRAD</v>
      </c>
    </row>
    <row r="101" spans="1:7" x14ac:dyDescent="0.25">
      <c r="A101" s="8">
        <v>42828.471967592595</v>
      </c>
      <c r="B101" s="20" t="s">
        <v>593</v>
      </c>
      <c r="C101" s="20" t="s">
        <v>594</v>
      </c>
      <c r="D101" s="146">
        <v>1990000</v>
      </c>
      <c r="E101" s="20" t="s">
        <v>529</v>
      </c>
      <c r="F101" s="20" t="s">
        <v>530</v>
      </c>
      <c r="G101" s="8" t="str">
        <f t="shared" si="1"/>
        <v>DAVIS WENDY</v>
      </c>
    </row>
    <row r="102" spans="1:7" x14ac:dyDescent="0.25">
      <c r="A102" s="8">
        <v>42828.478831018518</v>
      </c>
      <c r="B102" s="20" t="s">
        <v>524</v>
      </c>
      <c r="C102" s="20" t="s">
        <v>704</v>
      </c>
      <c r="D102" s="146">
        <v>930000</v>
      </c>
      <c r="E102" s="20" t="s">
        <v>705</v>
      </c>
      <c r="F102" s="20" t="s">
        <v>706</v>
      </c>
      <c r="G102" s="8" t="str">
        <f t="shared" si="1"/>
        <v>CLARK KATHLEEN</v>
      </c>
    </row>
    <row r="103" spans="1:7" x14ac:dyDescent="0.25">
      <c r="A103" s="8">
        <v>42828.481249999997</v>
      </c>
      <c r="B103" s="20" t="s">
        <v>397</v>
      </c>
      <c r="C103" s="20" t="s">
        <v>707</v>
      </c>
      <c r="D103" s="146">
        <v>2140000</v>
      </c>
      <c r="E103" s="20" t="s">
        <v>497</v>
      </c>
      <c r="F103" s="20" t="s">
        <v>498</v>
      </c>
      <c r="G103" s="8" t="str">
        <f t="shared" si="1"/>
        <v>ROBINSON KADDIBA</v>
      </c>
    </row>
    <row r="104" spans="1:7" x14ac:dyDescent="0.25">
      <c r="A104" s="8">
        <v>42828.483587962961</v>
      </c>
      <c r="B104" s="20" t="s">
        <v>595</v>
      </c>
      <c r="C104" s="20" t="s">
        <v>596</v>
      </c>
      <c r="D104" s="146">
        <v>3020000</v>
      </c>
      <c r="E104" s="20" t="s">
        <v>654</v>
      </c>
      <c r="F104" s="20" t="s">
        <v>655</v>
      </c>
      <c r="G104" s="8" t="str">
        <f t="shared" si="1"/>
        <v>MENGES BRAD</v>
      </c>
    </row>
    <row r="105" spans="1:7" x14ac:dyDescent="0.25">
      <c r="A105" s="8">
        <v>42828.488495370373</v>
      </c>
      <c r="B105" s="20" t="s">
        <v>641</v>
      </c>
      <c r="C105" s="20" t="s">
        <v>708</v>
      </c>
      <c r="D105" s="146">
        <v>3040000</v>
      </c>
      <c r="E105" s="20" t="s">
        <v>709</v>
      </c>
      <c r="F105" s="20" t="s">
        <v>710</v>
      </c>
      <c r="G105" s="8" t="str">
        <f t="shared" si="1"/>
        <v>WILLIAMS DONTE</v>
      </c>
    </row>
    <row r="106" spans="1:7" x14ac:dyDescent="0.25">
      <c r="A106" s="8">
        <v>42828.495949074073</v>
      </c>
      <c r="B106" s="20" t="s">
        <v>393</v>
      </c>
      <c r="C106" s="20" t="s">
        <v>711</v>
      </c>
      <c r="D106" s="146">
        <v>390000</v>
      </c>
      <c r="E106" s="20" t="s">
        <v>699</v>
      </c>
      <c r="F106" s="20" t="s">
        <v>700</v>
      </c>
      <c r="G106" s="8" t="str">
        <f t="shared" si="1"/>
        <v>CLAIBORNE MIKE</v>
      </c>
    </row>
    <row r="107" spans="1:7" x14ac:dyDescent="0.25">
      <c r="A107" s="8">
        <v>42828.496018518519</v>
      </c>
      <c r="B107" s="20" t="s">
        <v>480</v>
      </c>
      <c r="C107" s="20" t="s">
        <v>712</v>
      </c>
      <c r="D107" s="146">
        <v>1120000</v>
      </c>
      <c r="E107" s="20" t="s">
        <v>423</v>
      </c>
      <c r="F107" s="20" t="s">
        <v>424</v>
      </c>
      <c r="G107" s="8" t="str">
        <f t="shared" si="1"/>
        <v>LOCKLEAR TRAVIS</v>
      </c>
    </row>
    <row r="108" spans="1:7" x14ac:dyDescent="0.25">
      <c r="A108" s="8">
        <v>42828.506840277776</v>
      </c>
      <c r="B108" s="20" t="s">
        <v>379</v>
      </c>
      <c r="C108" s="20" t="s">
        <v>713</v>
      </c>
      <c r="D108" s="146">
        <v>920000</v>
      </c>
      <c r="E108" s="20" t="s">
        <v>529</v>
      </c>
      <c r="F108" s="20" t="s">
        <v>198</v>
      </c>
      <c r="G108" s="8" t="str">
        <f t="shared" si="1"/>
        <v>DAVIS MICHAEL</v>
      </c>
    </row>
    <row r="109" spans="1:7" x14ac:dyDescent="0.25">
      <c r="A109" s="8">
        <v>42828.508773148147</v>
      </c>
      <c r="B109" s="20" t="s">
        <v>578</v>
      </c>
      <c r="C109" s="20" t="s">
        <v>598</v>
      </c>
      <c r="D109" s="146">
        <v>3010000</v>
      </c>
      <c r="E109" s="20" t="s">
        <v>468</v>
      </c>
      <c r="F109" s="20" t="s">
        <v>469</v>
      </c>
      <c r="G109" s="8" t="str">
        <f t="shared" si="1"/>
        <v>SULLIVAN BRANDON</v>
      </c>
    </row>
    <row r="110" spans="1:7" x14ac:dyDescent="0.25">
      <c r="A110" s="8">
        <v>42828.510682870372</v>
      </c>
      <c r="B110" s="20" t="s">
        <v>586</v>
      </c>
      <c r="C110" s="20" t="s">
        <v>597</v>
      </c>
      <c r="D110" s="146">
        <v>3020000</v>
      </c>
      <c r="E110" s="20" t="s">
        <v>654</v>
      </c>
      <c r="F110" s="20" t="s">
        <v>655</v>
      </c>
      <c r="G110" s="8" t="str">
        <f t="shared" si="1"/>
        <v>MENGES BRAD</v>
      </c>
    </row>
    <row r="111" spans="1:7" x14ac:dyDescent="0.25">
      <c r="A111" s="8">
        <v>42828.514513888891</v>
      </c>
      <c r="B111" s="20" t="s">
        <v>523</v>
      </c>
      <c r="C111" s="20" t="s">
        <v>714</v>
      </c>
      <c r="D111" s="146">
        <v>930000</v>
      </c>
      <c r="E111" s="20" t="s">
        <v>705</v>
      </c>
      <c r="F111" s="20" t="s">
        <v>706</v>
      </c>
      <c r="G111" s="8" t="str">
        <f t="shared" si="1"/>
        <v>CLARK KATHLEEN</v>
      </c>
    </row>
    <row r="112" spans="1:7" x14ac:dyDescent="0.25">
      <c r="A112" s="8">
        <v>42828.518043981479</v>
      </c>
      <c r="B112" s="20" t="s">
        <v>201</v>
      </c>
      <c r="C112" s="20" t="s">
        <v>715</v>
      </c>
      <c r="D112" s="146">
        <v>2360000</v>
      </c>
      <c r="E112" s="20" t="s">
        <v>501</v>
      </c>
      <c r="F112" s="20" t="s">
        <v>502</v>
      </c>
      <c r="G112" s="8" t="str">
        <f t="shared" si="1"/>
        <v>BRANDNER MELINDA</v>
      </c>
    </row>
    <row r="113" spans="1:7" x14ac:dyDescent="0.25">
      <c r="A113" s="8">
        <v>42828.519490740742</v>
      </c>
      <c r="B113" s="20" t="s">
        <v>599</v>
      </c>
      <c r="C113" s="20" t="s">
        <v>600</v>
      </c>
      <c r="D113" s="146">
        <v>3040000</v>
      </c>
      <c r="E113" s="20" t="s">
        <v>709</v>
      </c>
      <c r="F113" s="20" t="s">
        <v>710</v>
      </c>
      <c r="G113" s="8" t="str">
        <f t="shared" si="1"/>
        <v>WILLIAMS DONTE</v>
      </c>
    </row>
    <row r="114" spans="1:7" x14ac:dyDescent="0.25">
      <c r="A114" s="8">
        <v>42828.525856481479</v>
      </c>
      <c r="B114" s="20" t="s">
        <v>595</v>
      </c>
      <c r="C114" s="20" t="s">
        <v>716</v>
      </c>
      <c r="D114" s="146">
        <v>3020000</v>
      </c>
      <c r="E114" s="20" t="s">
        <v>654</v>
      </c>
      <c r="F114" s="20" t="s">
        <v>655</v>
      </c>
      <c r="G114" s="8" t="str">
        <f t="shared" si="1"/>
        <v>MENGES BRAD</v>
      </c>
    </row>
    <row r="115" spans="1:7" x14ac:dyDescent="0.25">
      <c r="A115" s="8">
        <v>42828.529131944444</v>
      </c>
      <c r="B115" s="20" t="s">
        <v>392</v>
      </c>
      <c r="C115" s="20" t="s">
        <v>717</v>
      </c>
      <c r="D115" s="146">
        <v>880000</v>
      </c>
      <c r="E115" s="20" t="s">
        <v>531</v>
      </c>
      <c r="F115" s="20" t="s">
        <v>198</v>
      </c>
      <c r="G115" s="8" t="str">
        <f t="shared" si="1"/>
        <v>STEWART MICHAEL</v>
      </c>
    </row>
    <row r="116" spans="1:7" x14ac:dyDescent="0.25">
      <c r="A116" s="8">
        <v>42828.53800925926</v>
      </c>
      <c r="B116" s="20" t="s">
        <v>451</v>
      </c>
      <c r="C116" s="20" t="s">
        <v>604</v>
      </c>
      <c r="D116" s="146">
        <v>1120000</v>
      </c>
      <c r="E116" s="20" t="s">
        <v>423</v>
      </c>
      <c r="F116" s="20" t="s">
        <v>424</v>
      </c>
      <c r="G116" s="8" t="str">
        <f t="shared" si="1"/>
        <v>LOCKLEAR TRAVIS</v>
      </c>
    </row>
    <row r="117" spans="1:7" x14ac:dyDescent="0.25">
      <c r="A117" s="8">
        <v>42828.539907407408</v>
      </c>
      <c r="B117" s="20" t="s">
        <v>378</v>
      </c>
      <c r="C117" s="20" t="s">
        <v>601</v>
      </c>
      <c r="D117" s="146">
        <v>2530000</v>
      </c>
      <c r="E117" s="20" t="s">
        <v>483</v>
      </c>
      <c r="F117" s="20" t="s">
        <v>484</v>
      </c>
      <c r="G117" s="8" t="str">
        <f t="shared" si="1"/>
        <v>LALONDE GREGORY</v>
      </c>
    </row>
    <row r="118" spans="1:7" x14ac:dyDescent="0.25">
      <c r="A118" s="8">
        <v>42828.543854166666</v>
      </c>
      <c r="B118" s="20" t="s">
        <v>593</v>
      </c>
      <c r="C118" s="20" t="s">
        <v>605</v>
      </c>
      <c r="D118" s="146">
        <v>3010000</v>
      </c>
      <c r="E118" s="20" t="s">
        <v>468</v>
      </c>
      <c r="F118" s="20" t="s">
        <v>469</v>
      </c>
      <c r="G118" s="8" t="str">
        <f t="shared" si="1"/>
        <v>SULLIVAN BRANDON</v>
      </c>
    </row>
    <row r="119" spans="1:7" x14ac:dyDescent="0.25">
      <c r="A119" s="8">
        <v>42828.54892361111</v>
      </c>
      <c r="B119" s="20" t="s">
        <v>524</v>
      </c>
      <c r="C119" s="20" t="s">
        <v>718</v>
      </c>
      <c r="D119" s="146">
        <v>930000</v>
      </c>
      <c r="E119" s="20" t="s">
        <v>705</v>
      </c>
      <c r="F119" s="20" t="s">
        <v>706</v>
      </c>
      <c r="G119" s="8" t="str">
        <f t="shared" si="1"/>
        <v>CLARK KATHLEEN</v>
      </c>
    </row>
    <row r="120" spans="1:7" x14ac:dyDescent="0.25">
      <c r="A120" s="8">
        <v>42828.552673611113</v>
      </c>
      <c r="B120" s="20" t="s">
        <v>586</v>
      </c>
      <c r="C120" s="20" t="s">
        <v>719</v>
      </c>
      <c r="D120" s="146">
        <v>1300000</v>
      </c>
      <c r="E120" s="20" t="s">
        <v>532</v>
      </c>
      <c r="F120" s="20" t="s">
        <v>533</v>
      </c>
      <c r="G120" s="8" t="str">
        <f t="shared" si="1"/>
        <v>LEVIN SCOTT</v>
      </c>
    </row>
    <row r="121" spans="1:7" x14ac:dyDescent="0.25">
      <c r="A121" s="8">
        <v>42828.555752314816</v>
      </c>
      <c r="B121" s="20" t="s">
        <v>397</v>
      </c>
      <c r="C121" s="20" t="s">
        <v>720</v>
      </c>
      <c r="D121" s="146">
        <v>2360000</v>
      </c>
      <c r="E121" s="20" t="s">
        <v>501</v>
      </c>
      <c r="F121" s="20" t="s">
        <v>502</v>
      </c>
      <c r="G121" s="8" t="str">
        <f t="shared" si="1"/>
        <v>BRANDNER MELINDA</v>
      </c>
    </row>
    <row r="122" spans="1:7" x14ac:dyDescent="0.25">
      <c r="A122" s="8">
        <v>42828.560914351852</v>
      </c>
      <c r="B122" s="25" t="s">
        <v>641</v>
      </c>
      <c r="C122" s="20" t="s">
        <v>721</v>
      </c>
      <c r="D122" s="146">
        <v>3040000</v>
      </c>
      <c r="E122" s="20" t="s">
        <v>709</v>
      </c>
      <c r="F122" s="20" t="s">
        <v>710</v>
      </c>
      <c r="G122" s="8" t="str">
        <f t="shared" si="1"/>
        <v>WILLIAMS DONTE</v>
      </c>
    </row>
    <row r="123" spans="1:7" x14ac:dyDescent="0.25">
      <c r="A123" s="8">
        <v>42828.567187499997</v>
      </c>
      <c r="B123" s="20" t="s">
        <v>595</v>
      </c>
      <c r="C123" s="20" t="s">
        <v>722</v>
      </c>
      <c r="D123" s="146">
        <v>1300000</v>
      </c>
      <c r="E123" s="20" t="s">
        <v>532</v>
      </c>
      <c r="F123" s="20" t="s">
        <v>533</v>
      </c>
      <c r="G123" s="8" t="str">
        <f t="shared" si="1"/>
        <v>LEVIN SCOTT</v>
      </c>
    </row>
    <row r="124" spans="1:7" x14ac:dyDescent="0.25">
      <c r="A124" s="8">
        <v>42828.568159722221</v>
      </c>
      <c r="B124" s="20" t="s">
        <v>393</v>
      </c>
      <c r="C124" s="20" t="s">
        <v>723</v>
      </c>
      <c r="D124" s="146">
        <v>880000</v>
      </c>
      <c r="E124" s="20" t="s">
        <v>531</v>
      </c>
      <c r="F124" s="20" t="s">
        <v>198</v>
      </c>
      <c r="G124" s="8" t="str">
        <f t="shared" si="1"/>
        <v>STEWART MICHAEL</v>
      </c>
    </row>
    <row r="125" spans="1:7" x14ac:dyDescent="0.25">
      <c r="A125" s="8">
        <v>42828.571400462963</v>
      </c>
      <c r="B125" s="20" t="s">
        <v>480</v>
      </c>
      <c r="C125" s="20" t="s">
        <v>607</v>
      </c>
      <c r="D125" s="146">
        <v>1120000</v>
      </c>
      <c r="E125" s="20" t="s">
        <v>423</v>
      </c>
      <c r="F125" s="20" t="s">
        <v>424</v>
      </c>
      <c r="G125" s="8" t="str">
        <f t="shared" si="1"/>
        <v>LOCKLEAR TRAVIS</v>
      </c>
    </row>
    <row r="126" spans="1:7" x14ac:dyDescent="0.25">
      <c r="A126" s="8">
        <v>42828.573287037034</v>
      </c>
      <c r="B126" s="20" t="s">
        <v>379</v>
      </c>
      <c r="C126" s="20" t="s">
        <v>606</v>
      </c>
      <c r="D126" s="146">
        <v>2530000</v>
      </c>
      <c r="E126" s="20" t="s">
        <v>483</v>
      </c>
      <c r="F126" s="20" t="s">
        <v>484</v>
      </c>
      <c r="G126" s="8" t="str">
        <f t="shared" si="1"/>
        <v>LALONDE GREGORY</v>
      </c>
    </row>
    <row r="127" spans="1:7" x14ac:dyDescent="0.25">
      <c r="A127" s="8">
        <v>42828.580300925925</v>
      </c>
      <c r="B127" s="20" t="s">
        <v>578</v>
      </c>
      <c r="C127" s="20" t="s">
        <v>724</v>
      </c>
      <c r="D127" s="146">
        <v>3010000</v>
      </c>
      <c r="E127" s="20" t="s">
        <v>468</v>
      </c>
      <c r="F127" s="20" t="s">
        <v>469</v>
      </c>
      <c r="G127" s="8" t="str">
        <f t="shared" si="1"/>
        <v>SULLIVAN BRANDON</v>
      </c>
    </row>
    <row r="128" spans="1:7" x14ac:dyDescent="0.25">
      <c r="A128" s="8">
        <v>42828.586562500001</v>
      </c>
      <c r="B128" s="20" t="s">
        <v>523</v>
      </c>
      <c r="C128" s="20" t="s">
        <v>725</v>
      </c>
      <c r="D128" s="146">
        <v>930000</v>
      </c>
      <c r="E128" s="20" t="s">
        <v>705</v>
      </c>
      <c r="F128" s="20" t="s">
        <v>706</v>
      </c>
      <c r="G128" s="8" t="str">
        <f t="shared" si="1"/>
        <v>CLARK KATHLEEN</v>
      </c>
    </row>
    <row r="129" spans="1:7" x14ac:dyDescent="0.25">
      <c r="A129" s="8">
        <v>42828.59034722222</v>
      </c>
      <c r="B129" s="20" t="s">
        <v>201</v>
      </c>
      <c r="C129" s="20" t="s">
        <v>726</v>
      </c>
      <c r="D129" s="146">
        <v>2040000</v>
      </c>
      <c r="E129" s="20" t="s">
        <v>691</v>
      </c>
      <c r="F129" s="20" t="s">
        <v>692</v>
      </c>
      <c r="G129" s="8" t="str">
        <f t="shared" si="1"/>
        <v>MOSES BRADLEY</v>
      </c>
    </row>
    <row r="130" spans="1:7" x14ac:dyDescent="0.25">
      <c r="A130" s="8">
        <v>42828.595729166664</v>
      </c>
      <c r="B130" s="20" t="s">
        <v>599</v>
      </c>
      <c r="C130" s="20" t="s">
        <v>608</v>
      </c>
      <c r="D130" s="146">
        <v>3040000</v>
      </c>
      <c r="E130" s="20" t="s">
        <v>709</v>
      </c>
      <c r="F130" s="20" t="s">
        <v>710</v>
      </c>
      <c r="G130" s="8" t="str">
        <f t="shared" si="1"/>
        <v>WILLIAMS DONTE</v>
      </c>
    </row>
    <row r="131" spans="1:7" x14ac:dyDescent="0.25">
      <c r="A131" s="8">
        <v>42828.596030092594</v>
      </c>
      <c r="B131" s="20" t="s">
        <v>586</v>
      </c>
      <c r="C131" s="20" t="s">
        <v>727</v>
      </c>
      <c r="D131" s="146">
        <v>1300000</v>
      </c>
      <c r="E131" s="20" t="s">
        <v>532</v>
      </c>
      <c r="F131" s="20" t="s">
        <v>533</v>
      </c>
      <c r="G131" s="8" t="str">
        <f t="shared" ref="G131:G194" si="2">E131&amp;" "&amp;F131</f>
        <v>LEVIN SCOTT</v>
      </c>
    </row>
    <row r="132" spans="1:7" x14ac:dyDescent="0.25">
      <c r="A132" s="8">
        <v>42828.60125</v>
      </c>
      <c r="B132" s="20" t="s">
        <v>392</v>
      </c>
      <c r="C132" s="20" t="s">
        <v>609</v>
      </c>
      <c r="D132" s="146">
        <v>880000</v>
      </c>
      <c r="E132" s="20" t="s">
        <v>531</v>
      </c>
      <c r="F132" s="20" t="s">
        <v>198</v>
      </c>
      <c r="G132" s="8" t="str">
        <f t="shared" si="2"/>
        <v>STEWART MICHAEL</v>
      </c>
    </row>
    <row r="133" spans="1:7" x14ac:dyDescent="0.25">
      <c r="A133" s="8">
        <v>42828.609456018516</v>
      </c>
      <c r="B133" s="20" t="s">
        <v>451</v>
      </c>
      <c r="C133" s="20" t="s">
        <v>728</v>
      </c>
      <c r="D133" s="146">
        <v>1120000</v>
      </c>
      <c r="E133" s="20" t="s">
        <v>423</v>
      </c>
      <c r="F133" s="20" t="s">
        <v>424</v>
      </c>
      <c r="G133" s="8" t="str">
        <f t="shared" si="2"/>
        <v>LOCKLEAR TRAVIS</v>
      </c>
    </row>
    <row r="134" spans="1:7" x14ac:dyDescent="0.25">
      <c r="A134" s="8">
        <v>42828.610312500001</v>
      </c>
      <c r="B134" s="20" t="s">
        <v>595</v>
      </c>
      <c r="C134" s="20" t="s">
        <v>729</v>
      </c>
      <c r="D134" s="146">
        <v>1300000</v>
      </c>
      <c r="E134" s="20" t="s">
        <v>532</v>
      </c>
      <c r="F134" s="20" t="s">
        <v>533</v>
      </c>
      <c r="G134" s="8" t="str">
        <f t="shared" si="2"/>
        <v>LEVIN SCOTT</v>
      </c>
    </row>
    <row r="135" spans="1:7" x14ac:dyDescent="0.25">
      <c r="A135" s="8">
        <v>42828.613298611112</v>
      </c>
      <c r="B135" s="20" t="s">
        <v>378</v>
      </c>
      <c r="C135" s="20" t="s">
        <v>730</v>
      </c>
      <c r="D135" s="146">
        <v>920000</v>
      </c>
      <c r="E135" s="20" t="s">
        <v>529</v>
      </c>
      <c r="F135" s="20" t="s">
        <v>198</v>
      </c>
      <c r="G135" s="8" t="str">
        <f t="shared" si="2"/>
        <v>DAVIS MICHAEL</v>
      </c>
    </row>
    <row r="136" spans="1:7" x14ac:dyDescent="0.25">
      <c r="A136" s="8">
        <v>42828.616064814814</v>
      </c>
      <c r="B136" s="20" t="s">
        <v>593</v>
      </c>
      <c r="C136" s="20" t="s">
        <v>731</v>
      </c>
      <c r="D136" s="146">
        <v>3010000</v>
      </c>
      <c r="E136" s="20" t="s">
        <v>468</v>
      </c>
      <c r="F136" s="20" t="s">
        <v>469</v>
      </c>
      <c r="G136" s="8" t="str">
        <f t="shared" si="2"/>
        <v>SULLIVAN BRANDON</v>
      </c>
    </row>
    <row r="137" spans="1:7" x14ac:dyDescent="0.25">
      <c r="A137" s="8">
        <v>42828.621076388888</v>
      </c>
      <c r="B137" s="20" t="s">
        <v>524</v>
      </c>
      <c r="C137" s="20" t="s">
        <v>732</v>
      </c>
      <c r="D137" s="146">
        <v>930000</v>
      </c>
      <c r="E137" s="20" t="s">
        <v>705</v>
      </c>
      <c r="F137" s="20" t="s">
        <v>706</v>
      </c>
      <c r="G137" s="8" t="str">
        <f t="shared" si="2"/>
        <v>CLARK KATHLEEN</v>
      </c>
    </row>
    <row r="138" spans="1:7" x14ac:dyDescent="0.25">
      <c r="A138" s="8">
        <v>42828.631018518521</v>
      </c>
      <c r="B138" s="20" t="s">
        <v>397</v>
      </c>
      <c r="C138" s="20" t="s">
        <v>611</v>
      </c>
      <c r="D138" s="146">
        <v>2040000</v>
      </c>
      <c r="E138" s="20" t="s">
        <v>691</v>
      </c>
      <c r="F138" s="20" t="s">
        <v>692</v>
      </c>
      <c r="G138" s="8" t="str">
        <f t="shared" si="2"/>
        <v>MOSES BRADLEY</v>
      </c>
    </row>
    <row r="139" spans="1:7" x14ac:dyDescent="0.25">
      <c r="A139" s="8">
        <v>42828.633391203701</v>
      </c>
      <c r="B139" s="20" t="s">
        <v>641</v>
      </c>
      <c r="C139" s="20" t="s">
        <v>733</v>
      </c>
      <c r="D139" s="146">
        <v>3040000</v>
      </c>
      <c r="E139" s="20" t="s">
        <v>709</v>
      </c>
      <c r="F139" s="20" t="s">
        <v>710</v>
      </c>
      <c r="G139" s="8" t="str">
        <f t="shared" si="2"/>
        <v>WILLIAMS DONTE</v>
      </c>
    </row>
    <row r="140" spans="1:7" x14ac:dyDescent="0.25">
      <c r="A140" s="8">
        <v>42828.634548611109</v>
      </c>
      <c r="B140" s="20" t="s">
        <v>436</v>
      </c>
      <c r="C140" s="20" t="s">
        <v>610</v>
      </c>
      <c r="D140" s="146">
        <v>1810000</v>
      </c>
      <c r="E140" s="20" t="s">
        <v>427</v>
      </c>
      <c r="F140" s="20" t="s">
        <v>195</v>
      </c>
      <c r="G140" s="8" t="str">
        <f t="shared" si="2"/>
        <v>NEWELL JAMES</v>
      </c>
    </row>
    <row r="141" spans="1:7" x14ac:dyDescent="0.25">
      <c r="A141" s="8">
        <v>42828.636053240742</v>
      </c>
      <c r="B141" s="20" t="s">
        <v>436</v>
      </c>
      <c r="C141" s="20" t="s">
        <v>610</v>
      </c>
      <c r="D141" s="146">
        <v>1810000</v>
      </c>
      <c r="E141" s="20" t="s">
        <v>427</v>
      </c>
      <c r="F141" s="20" t="s">
        <v>195</v>
      </c>
      <c r="G141" s="8" t="str">
        <f t="shared" si="2"/>
        <v>NEWELL JAMES</v>
      </c>
    </row>
    <row r="142" spans="1:7" x14ac:dyDescent="0.25">
      <c r="A142" s="8">
        <v>42828.637326388889</v>
      </c>
      <c r="B142" s="20" t="s">
        <v>436</v>
      </c>
      <c r="C142" s="20" t="s">
        <v>610</v>
      </c>
      <c r="D142" s="146">
        <v>1810000</v>
      </c>
      <c r="E142" s="20" t="s">
        <v>427</v>
      </c>
      <c r="F142" s="20" t="s">
        <v>195</v>
      </c>
      <c r="G142" s="8" t="str">
        <f t="shared" si="2"/>
        <v>NEWELL JAMES</v>
      </c>
    </row>
    <row r="143" spans="1:7" x14ac:dyDescent="0.25">
      <c r="A143" s="8">
        <v>42828.637650462966</v>
      </c>
      <c r="B143" s="20" t="s">
        <v>586</v>
      </c>
      <c r="C143" s="20" t="s">
        <v>734</v>
      </c>
      <c r="D143" s="146">
        <v>1300000</v>
      </c>
      <c r="E143" s="20" t="s">
        <v>532</v>
      </c>
      <c r="F143" s="20" t="s">
        <v>533</v>
      </c>
      <c r="G143" s="8" t="str">
        <f t="shared" si="2"/>
        <v>LEVIN SCOTT</v>
      </c>
    </row>
    <row r="144" spans="1:7" x14ac:dyDescent="0.25">
      <c r="A144" s="8">
        <v>42828.6403125</v>
      </c>
      <c r="B144" s="20" t="s">
        <v>393</v>
      </c>
      <c r="C144" s="20" t="s">
        <v>735</v>
      </c>
      <c r="D144" s="146">
        <v>880000</v>
      </c>
      <c r="E144" s="20" t="s">
        <v>531</v>
      </c>
      <c r="F144" s="20" t="s">
        <v>198</v>
      </c>
      <c r="G144" s="8" t="str">
        <f t="shared" si="2"/>
        <v>STEWART MICHAEL</v>
      </c>
    </row>
    <row r="145" spans="1:7" x14ac:dyDescent="0.25">
      <c r="A145" s="8">
        <v>42828.650185185186</v>
      </c>
      <c r="B145" s="20" t="s">
        <v>595</v>
      </c>
      <c r="C145" s="20" t="s">
        <v>736</v>
      </c>
      <c r="D145" s="146">
        <v>1300000</v>
      </c>
      <c r="E145" s="20" t="s">
        <v>532</v>
      </c>
      <c r="F145" s="20" t="s">
        <v>533</v>
      </c>
      <c r="G145" s="8" t="str">
        <f t="shared" si="2"/>
        <v>LEVIN SCOTT</v>
      </c>
    </row>
    <row r="146" spans="1:7" x14ac:dyDescent="0.25">
      <c r="A146" s="8">
        <v>42828.651087962964</v>
      </c>
      <c r="B146" s="20" t="s">
        <v>480</v>
      </c>
      <c r="C146" s="20" t="s">
        <v>737</v>
      </c>
      <c r="D146" s="146">
        <v>1120000</v>
      </c>
      <c r="E146" s="20" t="s">
        <v>423</v>
      </c>
      <c r="F146" s="20" t="s">
        <v>424</v>
      </c>
      <c r="G146" s="8" t="str">
        <f t="shared" si="2"/>
        <v>LOCKLEAR TRAVIS</v>
      </c>
    </row>
    <row r="147" spans="1:7" x14ac:dyDescent="0.25">
      <c r="A147" s="8">
        <v>42828.652361111112</v>
      </c>
      <c r="B147" s="20" t="s">
        <v>379</v>
      </c>
      <c r="C147" s="20" t="s">
        <v>612</v>
      </c>
      <c r="D147" s="146">
        <v>920000</v>
      </c>
      <c r="E147" s="20" t="s">
        <v>529</v>
      </c>
      <c r="F147" s="20" t="s">
        <v>198</v>
      </c>
      <c r="G147" s="8" t="str">
        <f t="shared" si="2"/>
        <v>DAVIS MICHAEL</v>
      </c>
    </row>
    <row r="148" spans="1:7" x14ac:dyDescent="0.25">
      <c r="A148" s="8">
        <v>42828.653032407405</v>
      </c>
      <c r="B148" s="20" t="s">
        <v>578</v>
      </c>
      <c r="C148" s="20" t="s">
        <v>738</v>
      </c>
      <c r="D148" s="146">
        <v>3010000</v>
      </c>
      <c r="E148" s="20" t="s">
        <v>468</v>
      </c>
      <c r="F148" s="20" t="s">
        <v>469</v>
      </c>
      <c r="G148" s="8" t="str">
        <f t="shared" si="2"/>
        <v>SULLIVAN BRANDON</v>
      </c>
    </row>
    <row r="149" spans="1:7" x14ac:dyDescent="0.25">
      <c r="A149" s="8">
        <v>42828.653506944444</v>
      </c>
      <c r="B149" s="20" t="s">
        <v>435</v>
      </c>
      <c r="C149" s="20" t="s">
        <v>739</v>
      </c>
      <c r="D149" s="146">
        <v>1810000</v>
      </c>
      <c r="E149" s="20" t="s">
        <v>427</v>
      </c>
      <c r="F149" s="20" t="s">
        <v>195</v>
      </c>
      <c r="G149" s="8" t="str">
        <f t="shared" si="2"/>
        <v>NEWELL JAMES</v>
      </c>
    </row>
    <row r="150" spans="1:7" x14ac:dyDescent="0.25">
      <c r="A150" s="8">
        <v>42828.66065972222</v>
      </c>
      <c r="B150" s="20" t="s">
        <v>523</v>
      </c>
      <c r="C150" s="20" t="s">
        <v>740</v>
      </c>
      <c r="D150" s="146">
        <v>930000</v>
      </c>
      <c r="E150" s="20" t="s">
        <v>705</v>
      </c>
      <c r="F150" s="20" t="s">
        <v>706</v>
      </c>
      <c r="G150" s="8" t="str">
        <f t="shared" si="2"/>
        <v>CLARK KATHLEEN</v>
      </c>
    </row>
    <row r="151" spans="1:7" x14ac:dyDescent="0.25">
      <c r="A151" s="8">
        <v>42828.663958333331</v>
      </c>
      <c r="B151" s="20" t="s">
        <v>201</v>
      </c>
      <c r="C151" s="20" t="s">
        <v>741</v>
      </c>
      <c r="D151" s="146">
        <v>2360000</v>
      </c>
      <c r="E151" s="20" t="s">
        <v>501</v>
      </c>
      <c r="F151" s="20" t="s">
        <v>502</v>
      </c>
      <c r="G151" s="8" t="str">
        <f t="shared" si="2"/>
        <v>BRANDNER MELINDA</v>
      </c>
    </row>
    <row r="152" spans="1:7" x14ac:dyDescent="0.25">
      <c r="A152" s="8">
        <v>42828.666354166664</v>
      </c>
      <c r="B152" s="20" t="s">
        <v>599</v>
      </c>
      <c r="C152" s="20" t="s">
        <v>742</v>
      </c>
      <c r="D152" s="146">
        <v>3040000</v>
      </c>
      <c r="E152" s="20" t="s">
        <v>709</v>
      </c>
      <c r="F152" s="20" t="s">
        <v>710</v>
      </c>
      <c r="G152" s="8" t="str">
        <f t="shared" si="2"/>
        <v>WILLIAMS DONTE</v>
      </c>
    </row>
    <row r="153" spans="1:7" x14ac:dyDescent="0.25">
      <c r="A153" s="8">
        <v>42828.670937499999</v>
      </c>
      <c r="B153" s="20" t="s">
        <v>436</v>
      </c>
      <c r="C153" s="20" t="s">
        <v>743</v>
      </c>
      <c r="D153" s="146">
        <v>1810000</v>
      </c>
      <c r="E153" s="20" t="s">
        <v>427</v>
      </c>
      <c r="F153" s="20" t="s">
        <v>195</v>
      </c>
      <c r="G153" s="8" t="str">
        <f t="shared" si="2"/>
        <v>NEWELL JAMES</v>
      </c>
    </row>
    <row r="154" spans="1:7" x14ac:dyDescent="0.25">
      <c r="A154" s="8">
        <v>42828.67459490741</v>
      </c>
      <c r="B154" s="20" t="s">
        <v>392</v>
      </c>
      <c r="C154" s="20" t="s">
        <v>744</v>
      </c>
      <c r="D154" s="146">
        <v>880000</v>
      </c>
      <c r="E154" s="20" t="s">
        <v>531</v>
      </c>
      <c r="F154" s="20" t="s">
        <v>198</v>
      </c>
      <c r="G154" s="8" t="str">
        <f t="shared" si="2"/>
        <v>STEWART MICHAEL</v>
      </c>
    </row>
    <row r="155" spans="1:7" x14ac:dyDescent="0.25">
      <c r="A155" s="8">
        <v>42828.679375</v>
      </c>
      <c r="B155" s="20" t="s">
        <v>586</v>
      </c>
      <c r="C155" s="20" t="s">
        <v>745</v>
      </c>
      <c r="D155" s="146">
        <v>1300000</v>
      </c>
      <c r="E155" s="20" t="s">
        <v>532</v>
      </c>
      <c r="F155" s="20" t="s">
        <v>533</v>
      </c>
      <c r="G155" s="8" t="str">
        <f t="shared" si="2"/>
        <v>LEVIN SCOTT</v>
      </c>
    </row>
    <row r="156" spans="1:7" x14ac:dyDescent="0.25">
      <c r="A156" s="8">
        <v>42828.684363425928</v>
      </c>
      <c r="B156" s="20" t="s">
        <v>451</v>
      </c>
      <c r="C156" s="20" t="s">
        <v>746</v>
      </c>
      <c r="D156" s="146">
        <v>1120000</v>
      </c>
      <c r="E156" s="20" t="s">
        <v>423</v>
      </c>
      <c r="F156" s="20" t="s">
        <v>424</v>
      </c>
      <c r="G156" s="8" t="str">
        <f t="shared" si="2"/>
        <v>LOCKLEAR TRAVIS</v>
      </c>
    </row>
    <row r="157" spans="1:7" x14ac:dyDescent="0.25">
      <c r="A157" s="8">
        <v>42828.685682870368</v>
      </c>
      <c r="B157" s="20" t="s">
        <v>435</v>
      </c>
      <c r="C157" s="20" t="s">
        <v>747</v>
      </c>
      <c r="D157" s="146">
        <v>1810000</v>
      </c>
      <c r="E157" s="20" t="s">
        <v>427</v>
      </c>
      <c r="F157" s="20" t="s">
        <v>195</v>
      </c>
      <c r="G157" s="8" t="str">
        <f t="shared" si="2"/>
        <v>NEWELL JAMES</v>
      </c>
    </row>
    <row r="158" spans="1:7" x14ac:dyDescent="0.25">
      <c r="A158" s="8">
        <v>42828.688078703701</v>
      </c>
      <c r="B158" s="20" t="s">
        <v>378</v>
      </c>
      <c r="C158" s="20" t="s">
        <v>748</v>
      </c>
      <c r="D158" s="146">
        <v>920000</v>
      </c>
      <c r="E158" s="20" t="s">
        <v>529</v>
      </c>
      <c r="F158" s="20" t="s">
        <v>198</v>
      </c>
      <c r="G158" s="8" t="str">
        <f t="shared" si="2"/>
        <v>DAVIS MICHAEL</v>
      </c>
    </row>
    <row r="159" spans="1:7" x14ac:dyDescent="0.25">
      <c r="A159" s="8">
        <v>42828.690694444442</v>
      </c>
      <c r="B159" s="20" t="s">
        <v>593</v>
      </c>
      <c r="C159" s="20" t="s">
        <v>749</v>
      </c>
      <c r="D159" s="146">
        <v>3010000</v>
      </c>
      <c r="E159" s="20" t="s">
        <v>468</v>
      </c>
      <c r="F159" s="20" t="s">
        <v>469</v>
      </c>
      <c r="G159" s="8" t="str">
        <f t="shared" si="2"/>
        <v>SULLIVAN BRANDON</v>
      </c>
    </row>
    <row r="160" spans="1:7" x14ac:dyDescent="0.25">
      <c r="A160" s="8">
        <v>42828.691793981481</v>
      </c>
      <c r="B160" s="20" t="s">
        <v>595</v>
      </c>
      <c r="C160" s="20" t="s">
        <v>750</v>
      </c>
      <c r="D160" s="146">
        <v>1300000</v>
      </c>
      <c r="E160" s="20" t="s">
        <v>532</v>
      </c>
      <c r="F160" s="20" t="s">
        <v>533</v>
      </c>
      <c r="G160" s="8" t="str">
        <f t="shared" si="2"/>
        <v>LEVIN SCOTT</v>
      </c>
    </row>
    <row r="161" spans="1:7" x14ac:dyDescent="0.25">
      <c r="A161" s="8">
        <v>42828.697534722225</v>
      </c>
      <c r="B161" s="20" t="s">
        <v>524</v>
      </c>
      <c r="C161" s="20" t="s">
        <v>751</v>
      </c>
      <c r="D161" s="146">
        <v>930000</v>
      </c>
      <c r="E161" s="20" t="s">
        <v>705</v>
      </c>
      <c r="F161" s="20" t="s">
        <v>706</v>
      </c>
      <c r="G161" s="8" t="str">
        <f t="shared" si="2"/>
        <v>CLARK KATHLEEN</v>
      </c>
    </row>
    <row r="162" spans="1:7" x14ac:dyDescent="0.25">
      <c r="A162" s="8">
        <v>42828.701736111114</v>
      </c>
      <c r="B162" s="20" t="s">
        <v>397</v>
      </c>
      <c r="C162" s="20" t="s">
        <v>752</v>
      </c>
      <c r="D162" s="146">
        <v>2360000</v>
      </c>
      <c r="E162" s="20" t="s">
        <v>501</v>
      </c>
      <c r="F162" s="20" t="s">
        <v>502</v>
      </c>
      <c r="G162" s="8" t="str">
        <f t="shared" si="2"/>
        <v>BRANDNER MELINDA</v>
      </c>
    </row>
    <row r="163" spans="1:7" x14ac:dyDescent="0.25">
      <c r="A163" s="8">
        <v>42828.70616898148</v>
      </c>
      <c r="B163" s="20" t="s">
        <v>641</v>
      </c>
      <c r="C163" s="20" t="s">
        <v>753</v>
      </c>
      <c r="D163" s="146">
        <v>3040000</v>
      </c>
      <c r="E163" s="20" t="s">
        <v>709</v>
      </c>
      <c r="F163" s="20" t="s">
        <v>710</v>
      </c>
      <c r="G163" s="8" t="str">
        <f t="shared" si="2"/>
        <v>WILLIAMS DONTE</v>
      </c>
    </row>
    <row r="164" spans="1:7" x14ac:dyDescent="0.25">
      <c r="A164" s="8">
        <v>42828.712118055555</v>
      </c>
      <c r="B164" s="20" t="s">
        <v>436</v>
      </c>
      <c r="C164" s="20" t="s">
        <v>613</v>
      </c>
      <c r="D164" s="146">
        <v>1810000</v>
      </c>
      <c r="E164" s="20" t="s">
        <v>427</v>
      </c>
      <c r="F164" s="20" t="s">
        <v>195</v>
      </c>
      <c r="G164" s="8" t="str">
        <f t="shared" si="2"/>
        <v>NEWELL JAMES</v>
      </c>
    </row>
    <row r="165" spans="1:7" x14ac:dyDescent="0.25">
      <c r="A165" s="8">
        <v>42828.714699074073</v>
      </c>
      <c r="B165" s="20" t="s">
        <v>393</v>
      </c>
      <c r="C165" s="20" t="s">
        <v>754</v>
      </c>
      <c r="D165" s="146">
        <v>880000</v>
      </c>
      <c r="E165" s="20" t="s">
        <v>531</v>
      </c>
      <c r="F165" s="20" t="s">
        <v>198</v>
      </c>
      <c r="G165" s="8" t="str">
        <f t="shared" si="2"/>
        <v>STEWART MICHAEL</v>
      </c>
    </row>
    <row r="166" spans="1:7" x14ac:dyDescent="0.25">
      <c r="A166" s="8">
        <v>42828.717418981483</v>
      </c>
      <c r="B166" s="20" t="s">
        <v>480</v>
      </c>
      <c r="C166" s="20" t="s">
        <v>755</v>
      </c>
      <c r="D166" s="146">
        <v>1800000</v>
      </c>
      <c r="E166" s="20" t="s">
        <v>425</v>
      </c>
      <c r="F166" s="20" t="s">
        <v>426</v>
      </c>
      <c r="G166" s="8" t="str">
        <f t="shared" si="2"/>
        <v>CHANDLER KELVIN</v>
      </c>
    </row>
    <row r="167" spans="1:7" x14ac:dyDescent="0.25">
      <c r="A167" s="8">
        <v>42828.719583333332</v>
      </c>
      <c r="B167" s="20" t="s">
        <v>480</v>
      </c>
      <c r="C167" s="20" t="s">
        <v>755</v>
      </c>
      <c r="D167" s="146">
        <v>1800000</v>
      </c>
      <c r="E167" s="20" t="s">
        <v>425</v>
      </c>
      <c r="F167" s="20" t="s">
        <v>426</v>
      </c>
      <c r="G167" s="8" t="str">
        <f t="shared" si="2"/>
        <v>CHANDLER KELVIN</v>
      </c>
    </row>
    <row r="168" spans="1:7" x14ac:dyDescent="0.25">
      <c r="A168" s="8">
        <v>42828.721006944441</v>
      </c>
      <c r="B168" s="20" t="s">
        <v>586</v>
      </c>
      <c r="C168" s="20" t="s">
        <v>756</v>
      </c>
      <c r="D168" s="146">
        <v>1300000</v>
      </c>
      <c r="E168" s="20" t="s">
        <v>532</v>
      </c>
      <c r="F168" s="20" t="s">
        <v>533</v>
      </c>
      <c r="G168" s="8" t="str">
        <f t="shared" si="2"/>
        <v>LEVIN SCOTT</v>
      </c>
    </row>
    <row r="169" spans="1:7" x14ac:dyDescent="0.25">
      <c r="A169" s="8">
        <v>42828.724363425928</v>
      </c>
      <c r="B169" s="20" t="s">
        <v>379</v>
      </c>
      <c r="C169" s="20" t="s">
        <v>616</v>
      </c>
      <c r="D169" s="146">
        <v>920000</v>
      </c>
      <c r="E169" s="20" t="s">
        <v>529</v>
      </c>
      <c r="F169" s="20" t="s">
        <v>198</v>
      </c>
      <c r="G169" s="8" t="str">
        <f t="shared" si="2"/>
        <v>DAVIS MICHAEL</v>
      </c>
    </row>
    <row r="170" spans="1:7" x14ac:dyDescent="0.25">
      <c r="A170" s="8">
        <v>42828.726886574077</v>
      </c>
      <c r="B170" s="20" t="s">
        <v>379</v>
      </c>
      <c r="C170" s="20" t="s">
        <v>616</v>
      </c>
      <c r="D170" s="146">
        <v>920000</v>
      </c>
      <c r="E170" s="20" t="s">
        <v>529</v>
      </c>
      <c r="F170" s="20" t="s">
        <v>198</v>
      </c>
      <c r="G170" s="8" t="str">
        <f t="shared" si="2"/>
        <v>DAVIS MICHAEL</v>
      </c>
    </row>
    <row r="171" spans="1:7" x14ac:dyDescent="0.25">
      <c r="A171" s="8">
        <v>42828.727858796294</v>
      </c>
      <c r="B171" s="20" t="s">
        <v>578</v>
      </c>
      <c r="C171" s="20" t="s">
        <v>614</v>
      </c>
      <c r="D171" s="146">
        <v>1120000</v>
      </c>
      <c r="E171" s="20" t="s">
        <v>423</v>
      </c>
      <c r="F171" s="20" t="s">
        <v>424</v>
      </c>
      <c r="G171" s="8" t="str">
        <f t="shared" si="2"/>
        <v>LOCKLEAR TRAVIS</v>
      </c>
    </row>
    <row r="172" spans="1:7" x14ac:dyDescent="0.25">
      <c r="A172" s="8">
        <v>42828.733993055554</v>
      </c>
      <c r="B172" s="20" t="s">
        <v>595</v>
      </c>
      <c r="C172" s="20" t="s">
        <v>757</v>
      </c>
      <c r="D172" s="146">
        <v>1300000</v>
      </c>
      <c r="E172" s="20" t="s">
        <v>532</v>
      </c>
      <c r="F172" s="20" t="s">
        <v>533</v>
      </c>
      <c r="G172" s="8" t="str">
        <f t="shared" si="2"/>
        <v>LEVIN SCOTT</v>
      </c>
    </row>
    <row r="173" spans="1:7" x14ac:dyDescent="0.25">
      <c r="A173" s="8">
        <v>42828.734861111108</v>
      </c>
      <c r="B173" s="20" t="s">
        <v>523</v>
      </c>
      <c r="C173" s="20" t="s">
        <v>758</v>
      </c>
      <c r="D173" s="146">
        <v>930000</v>
      </c>
      <c r="E173" s="20" t="s">
        <v>705</v>
      </c>
      <c r="F173" s="20" t="s">
        <v>706</v>
      </c>
      <c r="G173" s="8" t="str">
        <f t="shared" si="2"/>
        <v>CLARK KATHLEEN</v>
      </c>
    </row>
    <row r="174" spans="1:7" x14ac:dyDescent="0.25">
      <c r="A174" s="8">
        <v>42828.735347222224</v>
      </c>
      <c r="B174" s="20" t="s">
        <v>759</v>
      </c>
      <c r="C174" s="20" t="s">
        <v>760</v>
      </c>
      <c r="D174" s="146">
        <v>2530000</v>
      </c>
      <c r="E174" s="20" t="s">
        <v>483</v>
      </c>
      <c r="F174" s="20" t="s">
        <v>484</v>
      </c>
      <c r="G174" s="8" t="str">
        <f t="shared" si="2"/>
        <v>LALONDE GREGORY</v>
      </c>
    </row>
    <row r="175" spans="1:7" x14ac:dyDescent="0.25">
      <c r="A175" s="8">
        <v>42828.736111111109</v>
      </c>
      <c r="B175" s="20" t="s">
        <v>759</v>
      </c>
      <c r="C175" s="20" t="s">
        <v>760</v>
      </c>
      <c r="D175" s="146">
        <v>2530000</v>
      </c>
      <c r="E175" s="20" t="s">
        <v>483</v>
      </c>
      <c r="F175" s="20" t="s">
        <v>484</v>
      </c>
      <c r="G175" s="8" t="str">
        <f t="shared" si="2"/>
        <v>LALONDE GREGORY</v>
      </c>
    </row>
    <row r="176" spans="1:7" x14ac:dyDescent="0.25">
      <c r="A176" s="8">
        <v>42828.736574074072</v>
      </c>
      <c r="B176" s="20" t="s">
        <v>435</v>
      </c>
      <c r="C176" s="20" t="s">
        <v>761</v>
      </c>
      <c r="D176" s="146">
        <v>1810000</v>
      </c>
      <c r="E176" s="20" t="s">
        <v>427</v>
      </c>
      <c r="F176" s="20" t="s">
        <v>195</v>
      </c>
      <c r="G176" s="8" t="str">
        <f t="shared" si="2"/>
        <v>NEWELL JAMES</v>
      </c>
    </row>
    <row r="177" spans="1:7" x14ac:dyDescent="0.25">
      <c r="A177" s="8">
        <v>42828.736631944441</v>
      </c>
      <c r="B177" s="20" t="s">
        <v>599</v>
      </c>
      <c r="C177" s="20" t="s">
        <v>617</v>
      </c>
      <c r="D177" s="146">
        <v>3040000</v>
      </c>
      <c r="E177" s="20" t="s">
        <v>709</v>
      </c>
      <c r="F177" s="20" t="s">
        <v>710</v>
      </c>
      <c r="G177" s="8" t="str">
        <f t="shared" si="2"/>
        <v>WILLIAMS DONTE</v>
      </c>
    </row>
    <row r="178" spans="1:7" x14ac:dyDescent="0.25">
      <c r="A178" s="8">
        <v>42828.736956018518</v>
      </c>
      <c r="B178" s="20" t="s">
        <v>759</v>
      </c>
      <c r="C178" s="20" t="s">
        <v>760</v>
      </c>
      <c r="D178" s="146">
        <v>2530000</v>
      </c>
      <c r="E178" s="20" t="s">
        <v>483</v>
      </c>
      <c r="F178" s="20" t="s">
        <v>484</v>
      </c>
      <c r="G178" s="8" t="str">
        <f t="shared" si="2"/>
        <v>LALONDE GREGORY</v>
      </c>
    </row>
    <row r="179" spans="1:7" x14ac:dyDescent="0.25">
      <c r="A179" s="8">
        <v>42828.738159722219</v>
      </c>
      <c r="B179" s="20" t="s">
        <v>201</v>
      </c>
      <c r="C179" s="20" t="s">
        <v>762</v>
      </c>
      <c r="D179" s="146">
        <v>2230000</v>
      </c>
      <c r="E179" s="20" t="s">
        <v>389</v>
      </c>
      <c r="F179" s="20" t="s">
        <v>198</v>
      </c>
      <c r="G179" s="8" t="str">
        <f t="shared" si="2"/>
        <v>SMITH MICHAEL</v>
      </c>
    </row>
    <row r="180" spans="1:7" x14ac:dyDescent="0.25">
      <c r="A180" s="8">
        <v>42828.73914351852</v>
      </c>
      <c r="B180" s="20" t="s">
        <v>441</v>
      </c>
      <c r="C180" s="20" t="s">
        <v>763</v>
      </c>
      <c r="D180" s="146">
        <v>2970000</v>
      </c>
      <c r="E180" s="20" t="s">
        <v>764</v>
      </c>
      <c r="F180" s="20" t="s">
        <v>765</v>
      </c>
      <c r="G180" s="8" t="str">
        <f t="shared" si="2"/>
        <v>GUZMAN DANNY</v>
      </c>
    </row>
    <row r="181" spans="1:7" x14ac:dyDescent="0.25">
      <c r="A181" s="8">
        <v>42828.747627314813</v>
      </c>
      <c r="B181" s="20" t="s">
        <v>392</v>
      </c>
      <c r="C181" s="20" t="s">
        <v>615</v>
      </c>
      <c r="D181" s="146">
        <v>2360000</v>
      </c>
      <c r="E181" s="20" t="s">
        <v>501</v>
      </c>
      <c r="F181" s="20" t="s">
        <v>502</v>
      </c>
      <c r="G181" s="8" t="str">
        <f t="shared" si="2"/>
        <v>BRANDNER MELINDA</v>
      </c>
    </row>
    <row r="182" spans="1:7" x14ac:dyDescent="0.25">
      <c r="A182" s="8">
        <v>42828.749780092592</v>
      </c>
      <c r="B182" s="20" t="s">
        <v>495</v>
      </c>
      <c r="C182" s="20" t="s">
        <v>766</v>
      </c>
      <c r="D182" s="146">
        <v>2610000</v>
      </c>
      <c r="E182" s="20" t="s">
        <v>767</v>
      </c>
      <c r="F182" s="20" t="s">
        <v>768</v>
      </c>
      <c r="G182" s="8" t="str">
        <f t="shared" si="2"/>
        <v>MAGEE KENYA</v>
      </c>
    </row>
    <row r="183" spans="1:7" x14ac:dyDescent="0.25">
      <c r="A183" s="8">
        <v>42828.754502314812</v>
      </c>
      <c r="B183" s="20" t="s">
        <v>436</v>
      </c>
      <c r="C183" s="20" t="s">
        <v>769</v>
      </c>
      <c r="D183" s="146">
        <v>1810000</v>
      </c>
      <c r="E183" s="20" t="s">
        <v>427</v>
      </c>
      <c r="F183" s="20" t="s">
        <v>195</v>
      </c>
      <c r="G183" s="8" t="str">
        <f t="shared" si="2"/>
        <v>NEWELL JAMES</v>
      </c>
    </row>
    <row r="184" spans="1:7" x14ac:dyDescent="0.25">
      <c r="A184" s="8">
        <v>42828.75613425926</v>
      </c>
      <c r="B184" s="20" t="s">
        <v>451</v>
      </c>
      <c r="C184" s="20" t="s">
        <v>770</v>
      </c>
      <c r="D184" s="146">
        <v>1800000</v>
      </c>
      <c r="E184" s="20" t="s">
        <v>425</v>
      </c>
      <c r="F184" s="20" t="s">
        <v>426</v>
      </c>
      <c r="G184" s="8" t="str">
        <f t="shared" si="2"/>
        <v>CHANDLER KELVIN</v>
      </c>
    </row>
    <row r="185" spans="1:7" x14ac:dyDescent="0.25">
      <c r="A185" s="8">
        <v>42828.759409722225</v>
      </c>
      <c r="B185" s="20" t="s">
        <v>378</v>
      </c>
      <c r="C185" s="20" t="s">
        <v>771</v>
      </c>
      <c r="D185" s="146">
        <v>2970000</v>
      </c>
      <c r="E185" s="20" t="s">
        <v>764</v>
      </c>
      <c r="F185" s="20" t="s">
        <v>765</v>
      </c>
      <c r="G185" s="8" t="str">
        <f t="shared" si="2"/>
        <v>GUZMAN DANNY</v>
      </c>
    </row>
    <row r="186" spans="1:7" x14ac:dyDescent="0.25">
      <c r="A186" s="8">
        <v>42828.760347222225</v>
      </c>
      <c r="B186" s="20" t="s">
        <v>586</v>
      </c>
      <c r="C186" s="20" t="s">
        <v>772</v>
      </c>
      <c r="D186" s="146">
        <v>1300000</v>
      </c>
      <c r="E186" s="20" t="s">
        <v>532</v>
      </c>
      <c r="F186" s="20" t="s">
        <v>533</v>
      </c>
      <c r="G186" s="8" t="str">
        <f t="shared" si="2"/>
        <v>LEVIN SCOTT</v>
      </c>
    </row>
    <row r="187" spans="1:7" x14ac:dyDescent="0.25">
      <c r="A187" s="8">
        <v>42828.763032407405</v>
      </c>
      <c r="B187" s="20" t="s">
        <v>440</v>
      </c>
      <c r="C187" s="20" t="s">
        <v>773</v>
      </c>
      <c r="D187" s="146">
        <v>920000</v>
      </c>
      <c r="E187" s="20" t="s">
        <v>529</v>
      </c>
      <c r="F187" s="20" t="s">
        <v>198</v>
      </c>
      <c r="G187" s="8" t="str">
        <f t="shared" si="2"/>
        <v>DAVIS MICHAEL</v>
      </c>
    </row>
    <row r="188" spans="1:7" x14ac:dyDescent="0.25">
      <c r="A188" s="8">
        <v>42828.767129629632</v>
      </c>
      <c r="B188" s="20" t="s">
        <v>593</v>
      </c>
      <c r="C188" s="20" t="s">
        <v>774</v>
      </c>
      <c r="D188" s="146">
        <v>1120000</v>
      </c>
      <c r="E188" s="20" t="s">
        <v>423</v>
      </c>
      <c r="F188" s="20" t="s">
        <v>424</v>
      </c>
      <c r="G188" s="8" t="str">
        <f t="shared" si="2"/>
        <v>LOCKLEAR TRAVIS</v>
      </c>
    </row>
    <row r="189" spans="1:7" x14ac:dyDescent="0.25">
      <c r="A189" s="8">
        <v>42828.768449074072</v>
      </c>
      <c r="B189" s="20" t="s">
        <v>397</v>
      </c>
      <c r="C189" s="20" t="s">
        <v>775</v>
      </c>
      <c r="D189" s="146">
        <v>2230000</v>
      </c>
      <c r="E189" s="20" t="s">
        <v>389</v>
      </c>
      <c r="F189" s="20" t="s">
        <v>198</v>
      </c>
      <c r="G189" s="8" t="str">
        <f t="shared" si="2"/>
        <v>SMITH MICHAEL</v>
      </c>
    </row>
    <row r="190" spans="1:7" x14ac:dyDescent="0.25">
      <c r="A190" s="8">
        <v>42828.768958333334</v>
      </c>
      <c r="B190" s="20" t="s">
        <v>435</v>
      </c>
      <c r="C190" s="20" t="s">
        <v>776</v>
      </c>
      <c r="D190" s="146">
        <v>1810000</v>
      </c>
      <c r="E190" s="20" t="s">
        <v>427</v>
      </c>
      <c r="F190" s="20" t="s">
        <v>195</v>
      </c>
      <c r="G190" s="8" t="str">
        <f t="shared" si="2"/>
        <v>NEWELL JAMES</v>
      </c>
    </row>
    <row r="191" spans="1:7" x14ac:dyDescent="0.25">
      <c r="A191" s="8">
        <v>42828.770219907405</v>
      </c>
      <c r="B191" s="20" t="s">
        <v>524</v>
      </c>
      <c r="C191" s="20" t="s">
        <v>777</v>
      </c>
      <c r="D191" s="146">
        <v>1740000</v>
      </c>
      <c r="E191" s="20" t="s">
        <v>431</v>
      </c>
      <c r="F191" s="20" t="s">
        <v>432</v>
      </c>
      <c r="G191" s="8" t="str">
        <f t="shared" si="2"/>
        <v>STORY SAMANTHA</v>
      </c>
    </row>
    <row r="192" spans="1:7" x14ac:dyDescent="0.25">
      <c r="A192" s="8">
        <v>42828.776458333334</v>
      </c>
      <c r="B192" s="20" t="s">
        <v>595</v>
      </c>
      <c r="C192" s="20" t="s">
        <v>778</v>
      </c>
      <c r="D192" s="146">
        <v>1300000</v>
      </c>
      <c r="E192" s="20" t="s">
        <v>532</v>
      </c>
      <c r="F192" s="20" t="s">
        <v>533</v>
      </c>
      <c r="G192" s="8" t="str">
        <f t="shared" si="2"/>
        <v>LEVIN SCOTT</v>
      </c>
    </row>
    <row r="193" spans="1:7" x14ac:dyDescent="0.25">
      <c r="A193" s="8">
        <v>42828.779560185183</v>
      </c>
      <c r="B193" s="20" t="s">
        <v>641</v>
      </c>
      <c r="C193" s="20" t="s">
        <v>779</v>
      </c>
      <c r="D193" s="146">
        <v>3040000</v>
      </c>
      <c r="E193" s="20" t="s">
        <v>709</v>
      </c>
      <c r="F193" s="20" t="s">
        <v>710</v>
      </c>
      <c r="G193" s="8" t="str">
        <f t="shared" si="2"/>
        <v>WILLIAMS DONTE</v>
      </c>
    </row>
    <row r="194" spans="1:7" x14ac:dyDescent="0.25">
      <c r="A194" s="8">
        <v>42828.784548611111</v>
      </c>
      <c r="B194" s="20" t="s">
        <v>393</v>
      </c>
      <c r="C194" s="20" t="s">
        <v>780</v>
      </c>
      <c r="D194" s="146">
        <v>2360000</v>
      </c>
      <c r="E194" s="20" t="s">
        <v>501</v>
      </c>
      <c r="F194" s="20" t="s">
        <v>502</v>
      </c>
      <c r="G194" s="8" t="str">
        <f t="shared" si="2"/>
        <v>BRANDNER MELINDA</v>
      </c>
    </row>
    <row r="195" spans="1:7" x14ac:dyDescent="0.25">
      <c r="A195" s="8">
        <v>42828.790810185186</v>
      </c>
      <c r="B195" s="20" t="s">
        <v>480</v>
      </c>
      <c r="C195" s="20" t="s">
        <v>781</v>
      </c>
      <c r="D195" s="146">
        <v>1800000</v>
      </c>
      <c r="E195" s="20" t="s">
        <v>425</v>
      </c>
      <c r="F195" s="20" t="s">
        <v>426</v>
      </c>
      <c r="G195" s="8" t="str">
        <f t="shared" ref="G195:G258" si="3">E195&amp;" "&amp;F195</f>
        <v>CHANDLER KELVIN</v>
      </c>
    </row>
    <row r="196" spans="1:7" x14ac:dyDescent="0.25">
      <c r="A196" s="8">
        <v>42828.794409722221</v>
      </c>
      <c r="B196" s="20" t="s">
        <v>379</v>
      </c>
      <c r="C196" s="20" t="s">
        <v>782</v>
      </c>
      <c r="D196" s="146">
        <v>2970000</v>
      </c>
      <c r="E196" s="20" t="s">
        <v>764</v>
      </c>
      <c r="F196" s="20" t="s">
        <v>765</v>
      </c>
      <c r="G196" s="8" t="str">
        <f t="shared" si="3"/>
        <v>GUZMAN DANNY</v>
      </c>
    </row>
    <row r="197" spans="1:7" x14ac:dyDescent="0.25">
      <c r="A197" s="8">
        <v>42828.795405092591</v>
      </c>
      <c r="B197" s="20" t="s">
        <v>379</v>
      </c>
      <c r="C197" s="20" t="s">
        <v>782</v>
      </c>
      <c r="D197" s="146">
        <v>2970000</v>
      </c>
      <c r="E197" s="20" t="s">
        <v>764</v>
      </c>
      <c r="F197" s="20" t="s">
        <v>765</v>
      </c>
      <c r="G197" s="8" t="str">
        <f t="shared" si="3"/>
        <v>GUZMAN DANNY</v>
      </c>
    </row>
    <row r="198" spans="1:7" x14ac:dyDescent="0.25">
      <c r="A198" s="8">
        <v>42828.796018518522</v>
      </c>
      <c r="B198" s="20" t="s">
        <v>436</v>
      </c>
      <c r="C198" s="20" t="s">
        <v>783</v>
      </c>
      <c r="D198" s="146">
        <v>1810000</v>
      </c>
      <c r="E198" s="20" t="s">
        <v>427</v>
      </c>
      <c r="F198" s="20" t="s">
        <v>195</v>
      </c>
      <c r="G198" s="8" t="str">
        <f t="shared" si="3"/>
        <v>NEWELL JAMES</v>
      </c>
    </row>
    <row r="199" spans="1:7" x14ac:dyDescent="0.25">
      <c r="A199" s="8">
        <v>42828.79755787037</v>
      </c>
      <c r="B199" s="20" t="s">
        <v>578</v>
      </c>
      <c r="C199" s="20" t="s">
        <v>784</v>
      </c>
      <c r="D199" s="146">
        <v>1120000</v>
      </c>
      <c r="E199" s="20" t="s">
        <v>423</v>
      </c>
      <c r="F199" s="20" t="s">
        <v>424</v>
      </c>
      <c r="G199" s="8" t="str">
        <f t="shared" si="3"/>
        <v>LOCKLEAR TRAVIS</v>
      </c>
    </row>
    <row r="200" spans="1:7" x14ac:dyDescent="0.25">
      <c r="A200" s="8">
        <v>42828.797719907408</v>
      </c>
      <c r="B200" s="20" t="s">
        <v>379</v>
      </c>
      <c r="C200" s="20" t="s">
        <v>782</v>
      </c>
      <c r="D200" s="146">
        <v>2970000</v>
      </c>
      <c r="E200" s="20" t="s">
        <v>764</v>
      </c>
      <c r="F200" s="20" t="s">
        <v>765</v>
      </c>
      <c r="G200" s="8" t="str">
        <f t="shared" si="3"/>
        <v>GUZMAN DANNY</v>
      </c>
    </row>
    <row r="201" spans="1:7" x14ac:dyDescent="0.25">
      <c r="A201" s="8">
        <v>42828.799641203703</v>
      </c>
      <c r="B201" s="20" t="s">
        <v>586</v>
      </c>
      <c r="C201" s="20" t="s">
        <v>785</v>
      </c>
      <c r="D201" s="146">
        <v>1300000</v>
      </c>
      <c r="E201" s="20" t="s">
        <v>532</v>
      </c>
      <c r="F201" s="20" t="s">
        <v>533</v>
      </c>
      <c r="G201" s="8" t="str">
        <f t="shared" si="3"/>
        <v>LEVIN SCOTT</v>
      </c>
    </row>
    <row r="202" spans="1:7" x14ac:dyDescent="0.25">
      <c r="A202" s="26">
        <v>42828.805196759262</v>
      </c>
      <c r="B202" s="20" t="s">
        <v>523</v>
      </c>
      <c r="C202" s="20" t="s">
        <v>786</v>
      </c>
      <c r="D202" s="146">
        <v>1740000</v>
      </c>
      <c r="E202" s="20" t="s">
        <v>431</v>
      </c>
      <c r="F202" s="20" t="s">
        <v>432</v>
      </c>
      <c r="G202" s="8" t="str">
        <f t="shared" si="3"/>
        <v>STORY SAMANTHA</v>
      </c>
    </row>
    <row r="203" spans="1:7" x14ac:dyDescent="0.25">
      <c r="A203" s="8">
        <v>42828.808958333335</v>
      </c>
      <c r="B203" s="20" t="s">
        <v>201</v>
      </c>
      <c r="C203" s="20" t="s">
        <v>787</v>
      </c>
      <c r="D203" s="146">
        <v>2600000</v>
      </c>
      <c r="E203" s="20" t="s">
        <v>788</v>
      </c>
      <c r="F203" s="20" t="s">
        <v>789</v>
      </c>
      <c r="G203" s="8" t="str">
        <f t="shared" si="3"/>
        <v>DAVIDSON DAVID</v>
      </c>
    </row>
    <row r="204" spans="1:7" x14ac:dyDescent="0.25">
      <c r="A204" s="8">
        <v>42828.817650462966</v>
      </c>
      <c r="B204" s="20" t="s">
        <v>595</v>
      </c>
      <c r="C204" s="20" t="s">
        <v>790</v>
      </c>
      <c r="D204" s="146">
        <v>1300000</v>
      </c>
      <c r="E204" s="20" t="s">
        <v>532</v>
      </c>
      <c r="F204" s="20" t="s">
        <v>533</v>
      </c>
      <c r="G204" s="8" t="str">
        <f t="shared" si="3"/>
        <v>LEVIN SCOTT</v>
      </c>
    </row>
    <row r="205" spans="1:7" x14ac:dyDescent="0.25">
      <c r="A205" s="8">
        <v>42828.821134259262</v>
      </c>
      <c r="B205" s="20" t="s">
        <v>392</v>
      </c>
      <c r="C205" s="20" t="s">
        <v>791</v>
      </c>
      <c r="D205" s="146">
        <v>2360000</v>
      </c>
      <c r="E205" s="20" t="s">
        <v>501</v>
      </c>
      <c r="F205" s="20" t="s">
        <v>502</v>
      </c>
      <c r="G205" s="8" t="str">
        <f t="shared" si="3"/>
        <v>BRANDNER MELINDA</v>
      </c>
    </row>
    <row r="206" spans="1:7" x14ac:dyDescent="0.25">
      <c r="A206" s="8">
        <v>42828.827106481483</v>
      </c>
      <c r="B206" s="20" t="s">
        <v>451</v>
      </c>
      <c r="C206" s="20" t="s">
        <v>792</v>
      </c>
      <c r="D206" s="146">
        <v>1800000</v>
      </c>
      <c r="E206" s="20" t="s">
        <v>425</v>
      </c>
      <c r="F206" s="20" t="s">
        <v>426</v>
      </c>
      <c r="G206" s="8" t="str">
        <f t="shared" si="3"/>
        <v>CHANDLER KELVIN</v>
      </c>
    </row>
    <row r="207" spans="1:7" x14ac:dyDescent="0.25">
      <c r="A207" s="8">
        <v>42828.830775462964</v>
      </c>
      <c r="B207" s="20" t="s">
        <v>387</v>
      </c>
      <c r="C207" s="20" t="s">
        <v>621</v>
      </c>
      <c r="D207" s="146">
        <v>2680000</v>
      </c>
      <c r="E207" s="20" t="s">
        <v>534</v>
      </c>
      <c r="F207" s="20" t="s">
        <v>535</v>
      </c>
      <c r="G207" s="8" t="str">
        <f t="shared" si="3"/>
        <v>DUNCAN SHEILA</v>
      </c>
    </row>
    <row r="208" spans="1:7" x14ac:dyDescent="0.25">
      <c r="A208" s="8">
        <v>42828.838680555556</v>
      </c>
      <c r="B208" s="20" t="s">
        <v>378</v>
      </c>
      <c r="C208" s="20" t="s">
        <v>793</v>
      </c>
      <c r="D208" s="146">
        <v>2970000</v>
      </c>
      <c r="E208" s="20" t="s">
        <v>764</v>
      </c>
      <c r="F208" s="20" t="s">
        <v>765</v>
      </c>
      <c r="G208" s="8" t="str">
        <f t="shared" si="3"/>
        <v>GUZMAN DANNY</v>
      </c>
    </row>
    <row r="209" spans="1:7" x14ac:dyDescent="0.25">
      <c r="A209" s="8">
        <v>42828.845138888886</v>
      </c>
      <c r="B209" s="20" t="s">
        <v>397</v>
      </c>
      <c r="C209" s="20" t="s">
        <v>794</v>
      </c>
      <c r="D209" s="146">
        <v>2600000</v>
      </c>
      <c r="E209" s="20" t="s">
        <v>788</v>
      </c>
      <c r="F209" s="20" t="s">
        <v>789</v>
      </c>
      <c r="G209" s="8" t="str">
        <f t="shared" si="3"/>
        <v>DAVIDSON DAVID</v>
      </c>
    </row>
    <row r="210" spans="1:7" x14ac:dyDescent="0.25">
      <c r="A210" s="8">
        <v>42828.846342592595</v>
      </c>
      <c r="B210" s="20" t="s">
        <v>586</v>
      </c>
      <c r="C210" s="20" t="s">
        <v>795</v>
      </c>
      <c r="D210" s="146">
        <v>2610000</v>
      </c>
      <c r="E210" s="20" t="s">
        <v>767</v>
      </c>
      <c r="F210" s="20" t="s">
        <v>768</v>
      </c>
      <c r="G210" s="8" t="str">
        <f t="shared" si="3"/>
        <v>MAGEE KENYA</v>
      </c>
    </row>
    <row r="211" spans="1:7" x14ac:dyDescent="0.25">
      <c r="A211" s="8">
        <v>42828.847858796296</v>
      </c>
      <c r="B211" s="20" t="s">
        <v>524</v>
      </c>
      <c r="C211" s="20" t="s">
        <v>796</v>
      </c>
      <c r="D211" s="146">
        <v>1740000</v>
      </c>
      <c r="E211" s="20" t="s">
        <v>431</v>
      </c>
      <c r="F211" s="20" t="s">
        <v>432</v>
      </c>
      <c r="G211" s="8" t="str">
        <f t="shared" si="3"/>
        <v>STORY SAMANTHA</v>
      </c>
    </row>
    <row r="212" spans="1:7" x14ac:dyDescent="0.25">
      <c r="A212" s="8">
        <v>42828.85527777778</v>
      </c>
      <c r="B212" s="20" t="s">
        <v>388</v>
      </c>
      <c r="C212" s="20" t="s">
        <v>797</v>
      </c>
      <c r="D212" s="146">
        <v>2680000</v>
      </c>
      <c r="E212" s="20" t="s">
        <v>534</v>
      </c>
      <c r="F212" s="20" t="s">
        <v>535</v>
      </c>
      <c r="G212" s="8" t="str">
        <f t="shared" si="3"/>
        <v>DUNCAN SHEILA</v>
      </c>
    </row>
    <row r="213" spans="1:7" x14ac:dyDescent="0.25">
      <c r="A213" s="8">
        <v>42828.859571759262</v>
      </c>
      <c r="B213" s="20" t="s">
        <v>595</v>
      </c>
      <c r="C213" s="20" t="s">
        <v>798</v>
      </c>
      <c r="D213" s="146">
        <v>2610000</v>
      </c>
      <c r="E213" s="20" t="s">
        <v>767</v>
      </c>
      <c r="F213" s="20" t="s">
        <v>768</v>
      </c>
      <c r="G213" s="8" t="str">
        <f t="shared" si="3"/>
        <v>MAGEE KENYA</v>
      </c>
    </row>
    <row r="214" spans="1:7" x14ac:dyDescent="0.25">
      <c r="A214" s="8">
        <v>42828.868449074071</v>
      </c>
      <c r="B214" s="20" t="s">
        <v>379</v>
      </c>
      <c r="C214" s="20" t="s">
        <v>618</v>
      </c>
      <c r="D214" s="146">
        <v>2970000</v>
      </c>
      <c r="E214" s="20" t="s">
        <v>764</v>
      </c>
      <c r="F214" s="20" t="s">
        <v>765</v>
      </c>
      <c r="G214" s="8" t="str">
        <f t="shared" si="3"/>
        <v>GUZMAN DANNY</v>
      </c>
    </row>
    <row r="215" spans="1:7" x14ac:dyDescent="0.25">
      <c r="A215" s="8">
        <v>42828.873993055553</v>
      </c>
      <c r="B215" s="20" t="s">
        <v>480</v>
      </c>
      <c r="C215" s="20" t="s">
        <v>799</v>
      </c>
      <c r="D215" s="146">
        <v>1800000</v>
      </c>
      <c r="E215" s="20" t="s">
        <v>425</v>
      </c>
      <c r="F215" s="20" t="s">
        <v>426</v>
      </c>
      <c r="G215" s="8" t="str">
        <f t="shared" si="3"/>
        <v>CHANDLER KELVIN</v>
      </c>
    </row>
    <row r="216" spans="1:7" x14ac:dyDescent="0.25">
      <c r="A216" s="8">
        <v>42828.875208333331</v>
      </c>
      <c r="B216" s="20" t="s">
        <v>586</v>
      </c>
      <c r="C216" s="20" t="s">
        <v>620</v>
      </c>
      <c r="D216" s="146">
        <v>1810000</v>
      </c>
      <c r="E216" s="20" t="s">
        <v>427</v>
      </c>
      <c r="F216" s="20" t="s">
        <v>195</v>
      </c>
      <c r="G216" s="8" t="str">
        <f t="shared" si="3"/>
        <v>NEWELL JAMES</v>
      </c>
    </row>
    <row r="217" spans="1:7" x14ac:dyDescent="0.25">
      <c r="A217" s="8">
        <v>42828.884236111109</v>
      </c>
      <c r="B217" s="20" t="s">
        <v>201</v>
      </c>
      <c r="C217" s="20" t="s">
        <v>800</v>
      </c>
      <c r="D217" s="146">
        <v>2230000</v>
      </c>
      <c r="E217" s="20" t="s">
        <v>389</v>
      </c>
      <c r="F217" s="20" t="s">
        <v>198</v>
      </c>
      <c r="G217" s="8" t="str">
        <f t="shared" si="3"/>
        <v>SMITH MICHAEL</v>
      </c>
    </row>
    <row r="218" spans="1:7" x14ac:dyDescent="0.25">
      <c r="A218" s="8">
        <v>42828.885381944441</v>
      </c>
      <c r="B218" s="20" t="s">
        <v>523</v>
      </c>
      <c r="C218" s="20" t="s">
        <v>619</v>
      </c>
      <c r="D218" s="146">
        <v>1740000</v>
      </c>
      <c r="E218" s="20" t="s">
        <v>431</v>
      </c>
      <c r="F218" s="20" t="s">
        <v>432</v>
      </c>
      <c r="G218" s="8" t="str">
        <f t="shared" si="3"/>
        <v>STORY SAMANTHA</v>
      </c>
    </row>
    <row r="219" spans="1:7" x14ac:dyDescent="0.25">
      <c r="A219" s="8">
        <v>42828.894895833335</v>
      </c>
      <c r="B219" s="20" t="s">
        <v>387</v>
      </c>
      <c r="C219" s="20" t="s">
        <v>797</v>
      </c>
      <c r="D219" s="146">
        <v>2680000</v>
      </c>
      <c r="E219" s="20" t="s">
        <v>534</v>
      </c>
      <c r="F219" s="20" t="s">
        <v>535</v>
      </c>
      <c r="G219" s="8" t="str">
        <f t="shared" si="3"/>
        <v>DUNCAN SHEILA</v>
      </c>
    </row>
    <row r="220" spans="1:7" x14ac:dyDescent="0.25">
      <c r="A220" s="8">
        <v>42828.895613425928</v>
      </c>
      <c r="B220" s="20" t="s">
        <v>387</v>
      </c>
      <c r="C220" s="20" t="s">
        <v>797</v>
      </c>
      <c r="D220" s="146">
        <v>2680000</v>
      </c>
      <c r="E220" s="20" t="s">
        <v>534</v>
      </c>
      <c r="F220" s="20" t="s">
        <v>535</v>
      </c>
      <c r="G220" s="8" t="str">
        <f t="shared" si="3"/>
        <v>DUNCAN SHEILA</v>
      </c>
    </row>
    <row r="221" spans="1:7" x14ac:dyDescent="0.25">
      <c r="A221" s="8">
        <v>42828.897222222222</v>
      </c>
      <c r="B221" s="20" t="s">
        <v>387</v>
      </c>
      <c r="C221" s="20" t="s">
        <v>621</v>
      </c>
      <c r="D221" s="146">
        <v>2680000</v>
      </c>
      <c r="E221" s="20" t="s">
        <v>534</v>
      </c>
      <c r="F221" s="20" t="s">
        <v>535</v>
      </c>
      <c r="G221" s="8" t="str">
        <f t="shared" si="3"/>
        <v>DUNCAN SHEILA</v>
      </c>
    </row>
    <row r="222" spans="1:7" x14ac:dyDescent="0.25">
      <c r="A222" s="8">
        <v>42828.900358796294</v>
      </c>
      <c r="B222" s="20" t="s">
        <v>595</v>
      </c>
      <c r="C222" s="20" t="s">
        <v>801</v>
      </c>
      <c r="D222" s="146">
        <v>1810000</v>
      </c>
      <c r="E222" s="20" t="s">
        <v>427</v>
      </c>
      <c r="F222" s="20" t="s">
        <v>195</v>
      </c>
      <c r="G222" s="8" t="str">
        <f t="shared" si="3"/>
        <v>NEWELL JAMES</v>
      </c>
    </row>
    <row r="223" spans="1:7" x14ac:dyDescent="0.25">
      <c r="A223" s="8">
        <v>42828.900671296295</v>
      </c>
      <c r="B223" s="20" t="s">
        <v>378</v>
      </c>
      <c r="C223" s="20" t="s">
        <v>622</v>
      </c>
      <c r="D223" s="146">
        <v>2970000</v>
      </c>
      <c r="E223" s="20" t="s">
        <v>764</v>
      </c>
      <c r="F223" s="20" t="s">
        <v>765</v>
      </c>
      <c r="G223" s="8" t="str">
        <f t="shared" si="3"/>
        <v>GUZMAN DANNY</v>
      </c>
    </row>
    <row r="224" spans="1:7" x14ac:dyDescent="0.25">
      <c r="A224" s="8">
        <v>42828.912129629629</v>
      </c>
      <c r="B224" t="s">
        <v>451</v>
      </c>
      <c r="C224" t="s">
        <v>802</v>
      </c>
      <c r="D224" s="146">
        <v>1800000</v>
      </c>
      <c r="E224" t="s">
        <v>425</v>
      </c>
      <c r="F224" s="20" t="s">
        <v>426</v>
      </c>
      <c r="G224" s="8" t="str">
        <f t="shared" si="3"/>
        <v>CHANDLER KELVIN</v>
      </c>
    </row>
    <row r="225" spans="1:7" x14ac:dyDescent="0.25">
      <c r="A225" s="8">
        <v>42828.9143287037</v>
      </c>
      <c r="B225" t="s">
        <v>388</v>
      </c>
      <c r="C225" t="s">
        <v>797</v>
      </c>
      <c r="D225" s="146">
        <v>2680000</v>
      </c>
      <c r="E225" t="s">
        <v>534</v>
      </c>
      <c r="F225" s="20" t="s">
        <v>535</v>
      </c>
      <c r="G225" s="8" t="str">
        <f t="shared" si="3"/>
        <v>DUNCAN SHEILA</v>
      </c>
    </row>
    <row r="226" spans="1:7" x14ac:dyDescent="0.25">
      <c r="A226" s="8">
        <v>42828.915613425925</v>
      </c>
      <c r="B226" t="s">
        <v>586</v>
      </c>
      <c r="C226" t="s">
        <v>803</v>
      </c>
      <c r="D226" s="146">
        <v>1810000</v>
      </c>
      <c r="E226" t="s">
        <v>427</v>
      </c>
      <c r="F226" s="20" t="s">
        <v>195</v>
      </c>
      <c r="G226" s="8" t="str">
        <f t="shared" si="3"/>
        <v>NEWELL JAMES</v>
      </c>
    </row>
    <row r="227" spans="1:7" x14ac:dyDescent="0.25">
      <c r="A227" s="8">
        <v>42828.92732638889</v>
      </c>
      <c r="B227" t="s">
        <v>397</v>
      </c>
      <c r="C227" t="s">
        <v>804</v>
      </c>
      <c r="D227" s="146">
        <v>2230000</v>
      </c>
      <c r="E227" t="s">
        <v>389</v>
      </c>
      <c r="F227" s="20" t="s">
        <v>198</v>
      </c>
      <c r="G227" s="8" t="str">
        <f t="shared" si="3"/>
        <v>SMITH MICHAEL</v>
      </c>
    </row>
    <row r="228" spans="1:7" x14ac:dyDescent="0.25">
      <c r="A228" s="8">
        <v>42828.931307870371</v>
      </c>
      <c r="B228" t="s">
        <v>387</v>
      </c>
      <c r="C228" t="s">
        <v>621</v>
      </c>
      <c r="D228" s="146">
        <v>2680000</v>
      </c>
      <c r="E228" t="s">
        <v>534</v>
      </c>
      <c r="F228" s="20" t="s">
        <v>535</v>
      </c>
      <c r="G228" s="8" t="str">
        <f t="shared" si="3"/>
        <v>DUNCAN SHEILA</v>
      </c>
    </row>
    <row r="229" spans="1:7" x14ac:dyDescent="0.25">
      <c r="A229" s="8">
        <v>42828.935266203705</v>
      </c>
      <c r="B229" t="s">
        <v>524</v>
      </c>
      <c r="C229" t="s">
        <v>623</v>
      </c>
      <c r="D229" s="146">
        <v>1740000</v>
      </c>
      <c r="E229" t="s">
        <v>431</v>
      </c>
      <c r="F229" s="20" t="s">
        <v>432</v>
      </c>
      <c r="G229" s="8" t="str">
        <f t="shared" si="3"/>
        <v>STORY SAMANTHA</v>
      </c>
    </row>
    <row r="230" spans="1:7" x14ac:dyDescent="0.25">
      <c r="A230" s="8">
        <v>42828.941793981481</v>
      </c>
      <c r="B230" t="s">
        <v>595</v>
      </c>
      <c r="C230" t="s">
        <v>805</v>
      </c>
      <c r="D230" s="146">
        <v>1810000</v>
      </c>
      <c r="E230" t="s">
        <v>427</v>
      </c>
      <c r="F230" s="20" t="s">
        <v>195</v>
      </c>
      <c r="G230" s="8" t="str">
        <f t="shared" si="3"/>
        <v>NEWELL JAMES</v>
      </c>
    </row>
    <row r="231" spans="1:7" x14ac:dyDescent="0.25">
      <c r="A231" s="8">
        <v>42828.947152777779</v>
      </c>
      <c r="B231" t="s">
        <v>388</v>
      </c>
      <c r="C231" t="s">
        <v>797</v>
      </c>
      <c r="D231" s="146">
        <v>2680000</v>
      </c>
      <c r="E231" t="s">
        <v>534</v>
      </c>
      <c r="F231" s="20" t="s">
        <v>535</v>
      </c>
      <c r="G231" s="8" t="str">
        <f t="shared" si="3"/>
        <v>DUNCAN SHEILA</v>
      </c>
    </row>
    <row r="232" spans="1:7" x14ac:dyDescent="0.25">
      <c r="A232" s="8">
        <v>42828.947766203702</v>
      </c>
      <c r="B232" t="s">
        <v>379</v>
      </c>
      <c r="C232" t="s">
        <v>806</v>
      </c>
      <c r="D232" s="146">
        <v>2970000</v>
      </c>
      <c r="E232" t="s">
        <v>764</v>
      </c>
      <c r="F232" s="20" t="s">
        <v>765</v>
      </c>
      <c r="G232" s="8" t="str">
        <f t="shared" si="3"/>
        <v>GUZMAN DANNY</v>
      </c>
    </row>
    <row r="233" spans="1:7" x14ac:dyDescent="0.25">
      <c r="A233" s="8">
        <v>42828.955590277779</v>
      </c>
      <c r="B233" t="s">
        <v>387</v>
      </c>
      <c r="C233" t="s">
        <v>621</v>
      </c>
      <c r="D233" s="146">
        <v>2680000</v>
      </c>
      <c r="E233" t="s">
        <v>534</v>
      </c>
      <c r="F233" s="20" t="s">
        <v>535</v>
      </c>
      <c r="G233" s="8" t="str">
        <f t="shared" si="3"/>
        <v>DUNCAN SHEILA</v>
      </c>
    </row>
    <row r="234" spans="1:7" x14ac:dyDescent="0.25">
      <c r="A234" s="8">
        <v>42828.957824074074</v>
      </c>
      <c r="B234" t="s">
        <v>480</v>
      </c>
      <c r="C234" t="s">
        <v>807</v>
      </c>
      <c r="D234" s="146">
        <v>1800000</v>
      </c>
      <c r="E234" t="s">
        <v>425</v>
      </c>
      <c r="F234" s="20" t="s">
        <v>426</v>
      </c>
      <c r="G234" s="8" t="str">
        <f t="shared" si="3"/>
        <v>CHANDLER KELVIN</v>
      </c>
    </row>
    <row r="235" spans="1:7" x14ac:dyDescent="0.25">
      <c r="A235" s="8">
        <v>42828.968101851853</v>
      </c>
      <c r="B235" t="s">
        <v>388</v>
      </c>
      <c r="C235" t="s">
        <v>621</v>
      </c>
      <c r="D235" s="146">
        <v>2680000</v>
      </c>
      <c r="E235" t="s">
        <v>534</v>
      </c>
      <c r="F235" s="20" t="s">
        <v>535</v>
      </c>
      <c r="G235" s="8" t="str">
        <f t="shared" si="3"/>
        <v>DUNCAN SHEILA</v>
      </c>
    </row>
    <row r="236" spans="1:7" x14ac:dyDescent="0.25">
      <c r="A236" s="8">
        <v>42828.968842592592</v>
      </c>
      <c r="B236" t="s">
        <v>388</v>
      </c>
      <c r="C236" t="s">
        <v>797</v>
      </c>
      <c r="D236" s="146">
        <v>2680000</v>
      </c>
      <c r="E236" t="s">
        <v>534</v>
      </c>
      <c r="F236" s="20" t="s">
        <v>535</v>
      </c>
      <c r="G236" s="8" t="str">
        <f t="shared" si="3"/>
        <v>DUNCAN SHEILA</v>
      </c>
    </row>
    <row r="237" spans="1:7" x14ac:dyDescent="0.25">
      <c r="A237" s="8">
        <v>42828.972245370373</v>
      </c>
      <c r="B237" t="s">
        <v>201</v>
      </c>
      <c r="C237" t="s">
        <v>808</v>
      </c>
      <c r="D237" s="146">
        <v>2230000</v>
      </c>
      <c r="E237" t="s">
        <v>389</v>
      </c>
      <c r="F237" s="20" t="s">
        <v>198</v>
      </c>
      <c r="G237" s="8" t="str">
        <f t="shared" si="3"/>
        <v>SMITH MICHAEL</v>
      </c>
    </row>
    <row r="238" spans="1:7" x14ac:dyDescent="0.25">
      <c r="A238" s="8">
        <v>42828.972395833334</v>
      </c>
      <c r="B238" t="s">
        <v>523</v>
      </c>
      <c r="C238" t="s">
        <v>624</v>
      </c>
      <c r="D238" s="146">
        <v>1740000</v>
      </c>
      <c r="E238" t="s">
        <v>431</v>
      </c>
      <c r="F238" s="20" t="s">
        <v>432</v>
      </c>
      <c r="G238" s="8" t="str">
        <f t="shared" si="3"/>
        <v>STORY SAMANTHA</v>
      </c>
    </row>
    <row r="239" spans="1:7" x14ac:dyDescent="0.25">
      <c r="A239" s="8">
        <v>42828.986388888887</v>
      </c>
      <c r="B239" t="s">
        <v>378</v>
      </c>
      <c r="C239" t="s">
        <v>809</v>
      </c>
      <c r="D239" s="146">
        <v>2970000</v>
      </c>
      <c r="E239" t="s">
        <v>764</v>
      </c>
      <c r="F239" s="20" t="s">
        <v>765</v>
      </c>
      <c r="G239" s="8" t="str">
        <f t="shared" si="3"/>
        <v>GUZMAN DANNY</v>
      </c>
    </row>
    <row r="240" spans="1:7" x14ac:dyDescent="0.25">
      <c r="A240" s="8">
        <v>42828.986793981479</v>
      </c>
      <c r="B240" t="s">
        <v>387</v>
      </c>
      <c r="C240" t="s">
        <v>621</v>
      </c>
      <c r="D240" s="146">
        <v>2680000</v>
      </c>
      <c r="E240" t="s">
        <v>534</v>
      </c>
      <c r="F240" s="20" t="s">
        <v>535</v>
      </c>
      <c r="G240" s="8" t="str">
        <f t="shared" si="3"/>
        <v>DUNCAN SHEILA</v>
      </c>
    </row>
    <row r="241" spans="1:7" x14ac:dyDescent="0.25">
      <c r="A241" s="8">
        <v>42828.995995370373</v>
      </c>
      <c r="B241" t="s">
        <v>451</v>
      </c>
      <c r="C241" t="s">
        <v>810</v>
      </c>
      <c r="D241" s="146">
        <v>1800000</v>
      </c>
      <c r="E241" t="s">
        <v>425</v>
      </c>
      <c r="F241" s="20" t="s">
        <v>426</v>
      </c>
      <c r="G241" s="8" t="str">
        <f t="shared" si="3"/>
        <v>CHANDLER KELVIN</v>
      </c>
    </row>
    <row r="242" spans="1:7" x14ac:dyDescent="0.25">
      <c r="A242" s="8">
        <v>42829.009502314817</v>
      </c>
      <c r="B242" t="s">
        <v>397</v>
      </c>
      <c r="C242" t="s">
        <v>811</v>
      </c>
      <c r="D242" s="146">
        <v>2230000</v>
      </c>
      <c r="E242" t="s">
        <v>389</v>
      </c>
      <c r="F242" s="20" t="s">
        <v>198</v>
      </c>
      <c r="G242" s="8" t="str">
        <f t="shared" si="3"/>
        <v>SMITH MICHAEL</v>
      </c>
    </row>
    <row r="243" spans="1:7" x14ac:dyDescent="0.25">
      <c r="A243" s="8">
        <v>42829.00984953704</v>
      </c>
      <c r="B243" t="s">
        <v>388</v>
      </c>
      <c r="C243" t="s">
        <v>797</v>
      </c>
      <c r="D243" s="146">
        <v>2680000</v>
      </c>
      <c r="E243" t="s">
        <v>534</v>
      </c>
      <c r="F243" s="20" t="s">
        <v>535</v>
      </c>
      <c r="G243" s="8" t="str">
        <f t="shared" si="3"/>
        <v>DUNCAN SHEILA</v>
      </c>
    </row>
    <row r="244" spans="1:7" x14ac:dyDescent="0.25">
      <c r="A244" s="8">
        <v>42829.014143518521</v>
      </c>
      <c r="B244" t="s">
        <v>524</v>
      </c>
      <c r="C244" t="s">
        <v>812</v>
      </c>
      <c r="D244" s="146">
        <v>1740000</v>
      </c>
      <c r="E244" t="s">
        <v>431</v>
      </c>
      <c r="F244" s="20" t="s">
        <v>432</v>
      </c>
      <c r="G244" s="8" t="str">
        <f t="shared" si="3"/>
        <v>STORY SAMANTHA</v>
      </c>
    </row>
    <row r="245" spans="1:7" x14ac:dyDescent="0.25">
      <c r="A245" s="8">
        <v>42829.022731481484</v>
      </c>
      <c r="B245" t="s">
        <v>387</v>
      </c>
      <c r="C245" t="s">
        <v>621</v>
      </c>
      <c r="D245" s="146">
        <v>2680000</v>
      </c>
      <c r="E245" t="s">
        <v>534</v>
      </c>
      <c r="F245" s="20" t="s">
        <v>535</v>
      </c>
      <c r="G245" s="8" t="str">
        <f t="shared" si="3"/>
        <v>DUNCAN SHEILA</v>
      </c>
    </row>
    <row r="246" spans="1:7" x14ac:dyDescent="0.25">
      <c r="A246" s="8">
        <v>42829.030057870368</v>
      </c>
      <c r="B246" t="s">
        <v>379</v>
      </c>
      <c r="C246" t="s">
        <v>813</v>
      </c>
      <c r="D246" s="146">
        <v>2970000</v>
      </c>
      <c r="E246" t="s">
        <v>764</v>
      </c>
      <c r="F246" s="20" t="s">
        <v>765</v>
      </c>
      <c r="G246" s="8" t="str">
        <f t="shared" si="3"/>
        <v>GUZMAN DANNY</v>
      </c>
    </row>
    <row r="247" spans="1:7" x14ac:dyDescent="0.25">
      <c r="A247" s="8">
        <v>42829.03266203704</v>
      </c>
      <c r="B247" t="s">
        <v>480</v>
      </c>
      <c r="C247" t="s">
        <v>814</v>
      </c>
      <c r="D247" s="146">
        <v>1800000</v>
      </c>
      <c r="E247" t="s">
        <v>425</v>
      </c>
      <c r="F247" s="20" t="s">
        <v>426</v>
      </c>
      <c r="G247" s="8" t="str">
        <f t="shared" si="3"/>
        <v>CHANDLER KELVIN</v>
      </c>
    </row>
    <row r="248" spans="1:7" x14ac:dyDescent="0.25">
      <c r="A248" s="8">
        <v>42829.038217592592</v>
      </c>
      <c r="B248" t="s">
        <v>388</v>
      </c>
      <c r="C248" t="s">
        <v>621</v>
      </c>
      <c r="D248" s="146">
        <v>2680000</v>
      </c>
      <c r="E248" t="s">
        <v>534</v>
      </c>
      <c r="F248" s="20" t="s">
        <v>535</v>
      </c>
      <c r="G248" s="8" t="str">
        <f t="shared" si="3"/>
        <v>DUNCAN SHEILA</v>
      </c>
    </row>
    <row r="249" spans="1:7" x14ac:dyDescent="0.25">
      <c r="A249" s="8">
        <v>42829.038773148146</v>
      </c>
      <c r="B249" t="s">
        <v>388</v>
      </c>
      <c r="C249" t="s">
        <v>621</v>
      </c>
      <c r="D249" s="146">
        <v>2680000</v>
      </c>
      <c r="E249" t="s">
        <v>534</v>
      </c>
      <c r="F249" s="20" t="s">
        <v>535</v>
      </c>
      <c r="G249" s="8" t="str">
        <f t="shared" si="3"/>
        <v>DUNCAN SHEILA</v>
      </c>
    </row>
    <row r="250" spans="1:7" x14ac:dyDescent="0.25">
      <c r="A250" s="8">
        <v>42829.046805555554</v>
      </c>
      <c r="B250" t="s">
        <v>524</v>
      </c>
      <c r="C250" t="s">
        <v>812</v>
      </c>
      <c r="D250" s="146">
        <v>1740000</v>
      </c>
      <c r="E250" t="s">
        <v>431</v>
      </c>
      <c r="F250" s="20" t="s">
        <v>432</v>
      </c>
      <c r="G250" s="8" t="str">
        <f t="shared" si="3"/>
        <v>STORY SAMANTHA</v>
      </c>
    </row>
    <row r="251" spans="1:7" x14ac:dyDescent="0.25">
      <c r="A251" s="8">
        <v>42829.050011574072</v>
      </c>
      <c r="B251" t="s">
        <v>201</v>
      </c>
      <c r="C251" t="s">
        <v>815</v>
      </c>
      <c r="D251" s="146">
        <v>2230000</v>
      </c>
      <c r="E251" t="s">
        <v>389</v>
      </c>
      <c r="F251" s="20" t="s">
        <v>198</v>
      </c>
      <c r="G251" s="8" t="str">
        <f t="shared" si="3"/>
        <v>SMITH MICHAEL</v>
      </c>
    </row>
    <row r="252" spans="1:7" x14ac:dyDescent="0.25">
      <c r="A252" s="8">
        <v>42829.053888888891</v>
      </c>
      <c r="B252" t="s">
        <v>387</v>
      </c>
      <c r="C252" t="s">
        <v>621</v>
      </c>
      <c r="D252" s="146">
        <v>2680000</v>
      </c>
      <c r="E252" t="s">
        <v>534</v>
      </c>
      <c r="F252" s="20" t="s">
        <v>535</v>
      </c>
      <c r="G252" s="8" t="str">
        <f t="shared" si="3"/>
        <v>DUNCAN SHEILA</v>
      </c>
    </row>
    <row r="253" spans="1:7" x14ac:dyDescent="0.25">
      <c r="A253" s="8">
        <v>42829.05914351852</v>
      </c>
      <c r="B253" t="s">
        <v>523</v>
      </c>
      <c r="C253" t="s">
        <v>816</v>
      </c>
      <c r="D253" s="146">
        <v>1740000</v>
      </c>
      <c r="E253" t="s">
        <v>431</v>
      </c>
      <c r="F253" s="20" t="s">
        <v>432</v>
      </c>
      <c r="G253" s="8" t="str">
        <f t="shared" si="3"/>
        <v>STORY SAMANTHA</v>
      </c>
    </row>
    <row r="254" spans="1:7" x14ac:dyDescent="0.25">
      <c r="A254" s="8">
        <v>42829.068726851852</v>
      </c>
      <c r="B254" t="s">
        <v>388</v>
      </c>
      <c r="C254" t="s">
        <v>621</v>
      </c>
      <c r="D254" s="146">
        <v>2680000</v>
      </c>
      <c r="E254" t="s">
        <v>534</v>
      </c>
      <c r="F254" s="20" t="s">
        <v>535</v>
      </c>
      <c r="G254" s="8" t="str">
        <f t="shared" si="3"/>
        <v>DUNCAN SHEILA</v>
      </c>
    </row>
    <row r="255" spans="1:7" x14ac:dyDescent="0.25">
      <c r="A255" s="8">
        <v>42829.073252314818</v>
      </c>
      <c r="B255" t="s">
        <v>378</v>
      </c>
      <c r="C255" t="s">
        <v>817</v>
      </c>
      <c r="D255" s="146">
        <v>2970000</v>
      </c>
      <c r="E255" t="s">
        <v>764</v>
      </c>
      <c r="F255" s="20" t="s">
        <v>765</v>
      </c>
      <c r="G255" s="8" t="str">
        <f t="shared" si="3"/>
        <v>GUZMAN DANNY</v>
      </c>
    </row>
    <row r="256" spans="1:7" x14ac:dyDescent="0.25">
      <c r="A256" s="8">
        <v>42829.079479166663</v>
      </c>
      <c r="B256" t="s">
        <v>387</v>
      </c>
      <c r="C256" t="s">
        <v>621</v>
      </c>
      <c r="D256" s="146">
        <v>2680000</v>
      </c>
      <c r="E256" t="s">
        <v>534</v>
      </c>
      <c r="F256" s="20" t="s">
        <v>535</v>
      </c>
      <c r="G256" s="8" t="str">
        <f t="shared" si="3"/>
        <v>DUNCAN SHEILA</v>
      </c>
    </row>
    <row r="257" spans="1:7" x14ac:dyDescent="0.25">
      <c r="A257" s="8">
        <v>42829.080277777779</v>
      </c>
      <c r="B257" t="s">
        <v>387</v>
      </c>
      <c r="C257" t="s">
        <v>621</v>
      </c>
      <c r="D257" s="146">
        <v>2680000</v>
      </c>
      <c r="E257" t="s">
        <v>534</v>
      </c>
      <c r="F257" s="20" t="s">
        <v>535</v>
      </c>
      <c r="G257" s="8" t="str">
        <f t="shared" si="3"/>
        <v>DUNCAN SHEILA</v>
      </c>
    </row>
    <row r="258" spans="1:7" x14ac:dyDescent="0.25">
      <c r="A258" s="8">
        <v>42829.081296296295</v>
      </c>
      <c r="B258" t="s">
        <v>387</v>
      </c>
      <c r="C258" t="s">
        <v>621</v>
      </c>
      <c r="D258" s="146">
        <v>2680000</v>
      </c>
      <c r="E258" t="s">
        <v>534</v>
      </c>
      <c r="F258" s="20" t="s">
        <v>535</v>
      </c>
      <c r="G258" s="8" t="str">
        <f t="shared" si="3"/>
        <v>DUNCAN SHEILA</v>
      </c>
    </row>
    <row r="259" spans="1:7" x14ac:dyDescent="0.25">
      <c r="A259" s="8">
        <v>42829.090208333335</v>
      </c>
      <c r="B259" t="s">
        <v>524</v>
      </c>
      <c r="C259" t="s">
        <v>818</v>
      </c>
      <c r="D259" s="146">
        <v>1740000</v>
      </c>
      <c r="E259" t="s">
        <v>431</v>
      </c>
      <c r="F259" s="20" t="s">
        <v>432</v>
      </c>
      <c r="G259" s="8" t="str">
        <f t="shared" ref="G259:G322" si="4">E259&amp;" "&amp;F259</f>
        <v>STORY SAMANTHA</v>
      </c>
    </row>
    <row r="260" spans="1:7" x14ac:dyDescent="0.25">
      <c r="A260" s="8">
        <v>42829.091516203705</v>
      </c>
      <c r="B260" t="s">
        <v>388</v>
      </c>
      <c r="C260" t="s">
        <v>621</v>
      </c>
      <c r="D260" s="146">
        <v>2680000</v>
      </c>
      <c r="E260" t="s">
        <v>534</v>
      </c>
      <c r="F260" s="20" t="s">
        <v>535</v>
      </c>
      <c r="G260" s="8" t="str">
        <f t="shared" si="4"/>
        <v>DUNCAN SHEILA</v>
      </c>
    </row>
    <row r="261" spans="1:7" x14ac:dyDescent="0.25">
      <c r="A261" s="8">
        <v>42829.10125</v>
      </c>
      <c r="B261" t="s">
        <v>387</v>
      </c>
      <c r="C261" t="s">
        <v>621</v>
      </c>
      <c r="D261" s="146">
        <v>2680000</v>
      </c>
      <c r="E261" t="s">
        <v>534</v>
      </c>
      <c r="F261" s="20" t="s">
        <v>535</v>
      </c>
      <c r="G261" s="8" t="str">
        <f t="shared" si="4"/>
        <v>DUNCAN SHEILA</v>
      </c>
    </row>
    <row r="262" spans="1:7" x14ac:dyDescent="0.25">
      <c r="A262" s="8">
        <v>42829.101967592593</v>
      </c>
      <c r="B262" t="s">
        <v>387</v>
      </c>
      <c r="C262" t="s">
        <v>621</v>
      </c>
      <c r="D262" s="146">
        <v>2680000</v>
      </c>
      <c r="E262" t="s">
        <v>534</v>
      </c>
      <c r="F262" s="20" t="s">
        <v>535</v>
      </c>
      <c r="G262" s="8" t="str">
        <f t="shared" si="4"/>
        <v>DUNCAN SHEILA</v>
      </c>
    </row>
    <row r="263" spans="1:7" x14ac:dyDescent="0.25">
      <c r="A263" s="8">
        <v>42829.102858796294</v>
      </c>
      <c r="B263" t="s">
        <v>387</v>
      </c>
      <c r="C263" t="s">
        <v>621</v>
      </c>
      <c r="D263" s="146">
        <v>2680000</v>
      </c>
      <c r="E263" t="s">
        <v>534</v>
      </c>
      <c r="F263" s="20" t="s">
        <v>535</v>
      </c>
      <c r="G263" s="8" t="str">
        <f t="shared" si="4"/>
        <v>DUNCAN SHEILA</v>
      </c>
    </row>
    <row r="264" spans="1:7" x14ac:dyDescent="0.25">
      <c r="A264" s="8">
        <v>42829.111539351848</v>
      </c>
      <c r="B264" t="s">
        <v>388</v>
      </c>
      <c r="C264" t="s">
        <v>621</v>
      </c>
      <c r="D264" s="146">
        <v>2680000</v>
      </c>
      <c r="E264" t="s">
        <v>534</v>
      </c>
      <c r="F264" s="20" t="s">
        <v>535</v>
      </c>
      <c r="G264" s="8" t="str">
        <f t="shared" si="4"/>
        <v>DUNCAN SHEILA</v>
      </c>
    </row>
    <row r="265" spans="1:7" x14ac:dyDescent="0.25">
      <c r="A265" s="8">
        <v>42829.112569444442</v>
      </c>
      <c r="B265" t="s">
        <v>388</v>
      </c>
      <c r="C265" t="s">
        <v>621</v>
      </c>
      <c r="D265" s="146">
        <v>2680000</v>
      </c>
      <c r="E265" t="s">
        <v>534</v>
      </c>
      <c r="F265" s="20" t="s">
        <v>535</v>
      </c>
      <c r="G265" s="8" t="str">
        <f t="shared" si="4"/>
        <v>DUNCAN SHEILA</v>
      </c>
    </row>
    <row r="266" spans="1:7" x14ac:dyDescent="0.25">
      <c r="A266" s="8">
        <v>42829.11310185185</v>
      </c>
      <c r="B266" t="s">
        <v>388</v>
      </c>
      <c r="C266" t="s">
        <v>621</v>
      </c>
      <c r="D266" s="146">
        <v>2680000</v>
      </c>
      <c r="E266" t="s">
        <v>534</v>
      </c>
      <c r="F266" s="20" t="s">
        <v>535</v>
      </c>
      <c r="G266" s="8" t="str">
        <f t="shared" si="4"/>
        <v>DUNCAN SHEILA</v>
      </c>
    </row>
    <row r="267" spans="1:7" x14ac:dyDescent="0.25">
      <c r="A267" s="8">
        <v>42829.113981481481</v>
      </c>
      <c r="B267" t="s">
        <v>388</v>
      </c>
      <c r="C267" t="s">
        <v>621</v>
      </c>
      <c r="D267" s="146">
        <v>2680000</v>
      </c>
      <c r="E267" t="s">
        <v>534</v>
      </c>
      <c r="F267" s="20" t="s">
        <v>535</v>
      </c>
      <c r="G267" s="8" t="str">
        <f t="shared" si="4"/>
        <v>DUNCAN SHEILA</v>
      </c>
    </row>
    <row r="268" spans="1:7" x14ac:dyDescent="0.25">
      <c r="A268" s="8">
        <v>42812.938842592594</v>
      </c>
      <c r="B268" t="s">
        <v>382</v>
      </c>
      <c r="C268" t="s">
        <v>403</v>
      </c>
      <c r="D268" s="146">
        <v>2000000</v>
      </c>
      <c r="E268" t="s">
        <v>380</v>
      </c>
      <c r="F268" s="20" t="s">
        <v>195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387</v>
      </c>
      <c r="C269" t="s">
        <v>404</v>
      </c>
      <c r="D269" s="146">
        <v>1540000</v>
      </c>
      <c r="E269" t="s">
        <v>384</v>
      </c>
      <c r="F269" s="20" t="s">
        <v>385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388</v>
      </c>
      <c r="C270" t="s">
        <v>405</v>
      </c>
      <c r="D270" s="146">
        <v>2630000</v>
      </c>
      <c r="E270" t="s">
        <v>395</v>
      </c>
      <c r="F270" s="20" t="s">
        <v>396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382</v>
      </c>
      <c r="C271" t="s">
        <v>403</v>
      </c>
      <c r="D271" s="146">
        <v>2000000</v>
      </c>
      <c r="E271" t="s">
        <v>380</v>
      </c>
      <c r="F271" s="20" t="s">
        <v>195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201</v>
      </c>
      <c r="C272" t="s">
        <v>402</v>
      </c>
      <c r="D272" s="146">
        <v>2230000</v>
      </c>
      <c r="E272" t="s">
        <v>389</v>
      </c>
      <c r="F272" s="20" t="s">
        <v>198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378</v>
      </c>
      <c r="C273" t="s">
        <v>398</v>
      </c>
      <c r="D273" s="146">
        <v>2270000</v>
      </c>
      <c r="E273" t="s">
        <v>209</v>
      </c>
      <c r="F273" s="20" t="s">
        <v>210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387</v>
      </c>
      <c r="C274" t="s">
        <v>406</v>
      </c>
      <c r="D274" s="146">
        <v>2630000</v>
      </c>
      <c r="E274" t="s">
        <v>395</v>
      </c>
      <c r="F274" s="20" t="s">
        <v>396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378</v>
      </c>
      <c r="C275" t="s">
        <v>398</v>
      </c>
      <c r="D275" s="146">
        <v>2270000</v>
      </c>
      <c r="E275" t="s">
        <v>209</v>
      </c>
      <c r="F275" s="20" t="s">
        <v>210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378</v>
      </c>
      <c r="C276" t="s">
        <v>398</v>
      </c>
      <c r="D276" s="146">
        <v>2270000</v>
      </c>
      <c r="E276" t="s">
        <v>209</v>
      </c>
      <c r="F276" s="20" t="s">
        <v>210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397</v>
      </c>
      <c r="C277" t="s">
        <v>407</v>
      </c>
      <c r="D277" s="146">
        <v>2230000</v>
      </c>
      <c r="E277" t="s">
        <v>389</v>
      </c>
      <c r="F277" s="20" t="s">
        <v>198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397</v>
      </c>
      <c r="C278" t="s">
        <v>408</v>
      </c>
      <c r="D278" s="146">
        <v>2230000</v>
      </c>
      <c r="E278" t="s">
        <v>389</v>
      </c>
      <c r="F278" s="20" t="s">
        <v>198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391</v>
      </c>
      <c r="C279" t="s">
        <v>399</v>
      </c>
      <c r="D279" s="146">
        <v>2150000</v>
      </c>
      <c r="E279" t="s">
        <v>375</v>
      </c>
      <c r="F279" s="20" t="s">
        <v>376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391</v>
      </c>
      <c r="C280" t="s">
        <v>399</v>
      </c>
      <c r="D280" s="146">
        <v>2150000</v>
      </c>
      <c r="E280" t="s">
        <v>375</v>
      </c>
      <c r="F280" s="20" t="s">
        <v>376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397</v>
      </c>
      <c r="C281" t="s">
        <v>408</v>
      </c>
      <c r="D281" s="146">
        <v>2230000</v>
      </c>
      <c r="E281" t="s">
        <v>389</v>
      </c>
      <c r="F281" s="20" t="s">
        <v>198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381</v>
      </c>
      <c r="C282" t="s">
        <v>409</v>
      </c>
      <c r="D282" s="146">
        <v>2000000</v>
      </c>
      <c r="E282" t="s">
        <v>380</v>
      </c>
      <c r="F282" s="20" t="s">
        <v>195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397</v>
      </c>
      <c r="C283" t="s">
        <v>408</v>
      </c>
      <c r="D283" s="146">
        <v>2230000</v>
      </c>
      <c r="E283" t="s">
        <v>389</v>
      </c>
      <c r="F283" s="20" t="s">
        <v>198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392</v>
      </c>
      <c r="C284" t="s">
        <v>410</v>
      </c>
      <c r="D284" s="146">
        <v>2560000</v>
      </c>
      <c r="E284" t="s">
        <v>400</v>
      </c>
      <c r="F284" s="20" t="s">
        <v>401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397</v>
      </c>
      <c r="C285" t="s">
        <v>408</v>
      </c>
      <c r="D285" s="146">
        <v>2230000</v>
      </c>
      <c r="E285" t="s">
        <v>389</v>
      </c>
      <c r="F285" s="20" t="s">
        <v>198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379</v>
      </c>
      <c r="C286" t="s">
        <v>411</v>
      </c>
      <c r="D286" s="146">
        <v>2270000</v>
      </c>
      <c r="E286" t="s">
        <v>209</v>
      </c>
      <c r="F286" s="20" t="s">
        <v>210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201</v>
      </c>
      <c r="C287" t="s">
        <v>412</v>
      </c>
      <c r="D287" s="146">
        <v>2230000</v>
      </c>
      <c r="E287" t="s">
        <v>389</v>
      </c>
      <c r="F287" s="20" t="s">
        <v>198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382</v>
      </c>
      <c r="C288" t="s">
        <v>413</v>
      </c>
      <c r="D288" s="146">
        <v>2000000</v>
      </c>
      <c r="E288" t="s">
        <v>380</v>
      </c>
      <c r="F288" s="20" t="s">
        <v>195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394</v>
      </c>
      <c r="C289" t="s">
        <v>414</v>
      </c>
      <c r="D289" s="146">
        <v>2150000</v>
      </c>
      <c r="E289" t="s">
        <v>375</v>
      </c>
      <c r="F289" s="20" t="s">
        <v>376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394</v>
      </c>
      <c r="C290" t="s">
        <v>414</v>
      </c>
      <c r="D290" s="146">
        <v>2150000</v>
      </c>
      <c r="E290" t="s">
        <v>375</v>
      </c>
      <c r="F290" s="20" t="s">
        <v>376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394</v>
      </c>
      <c r="C291" t="s">
        <v>414</v>
      </c>
      <c r="D291" s="146">
        <v>2150000</v>
      </c>
      <c r="E291" t="s">
        <v>375</v>
      </c>
      <c r="F291" s="20" t="s">
        <v>376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397</v>
      </c>
      <c r="C292" t="s">
        <v>415</v>
      </c>
      <c r="D292" s="146">
        <v>2230000</v>
      </c>
      <c r="E292" t="s">
        <v>389</v>
      </c>
      <c r="F292" s="20" t="s">
        <v>198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378</v>
      </c>
      <c r="C293" t="s">
        <v>416</v>
      </c>
      <c r="D293" s="146">
        <v>2270000</v>
      </c>
      <c r="E293" t="s">
        <v>209</v>
      </c>
      <c r="F293" s="20" t="s">
        <v>210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378</v>
      </c>
      <c r="C294" t="s">
        <v>416</v>
      </c>
      <c r="D294" s="146">
        <v>2270000</v>
      </c>
      <c r="E294" t="s">
        <v>209</v>
      </c>
      <c r="F294" s="20" t="s">
        <v>210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378</v>
      </c>
      <c r="C295" t="s">
        <v>416</v>
      </c>
      <c r="D295" s="146">
        <v>2270000</v>
      </c>
      <c r="E295" t="s">
        <v>209</v>
      </c>
      <c r="F295" s="20" t="s">
        <v>210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388</v>
      </c>
      <c r="C296" t="s">
        <v>417</v>
      </c>
      <c r="D296" s="146">
        <v>2150000</v>
      </c>
      <c r="E296" t="s">
        <v>375</v>
      </c>
      <c r="F296" s="20" t="s">
        <v>376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379</v>
      </c>
      <c r="C297" t="s">
        <v>418</v>
      </c>
      <c r="D297" s="146">
        <v>2270000</v>
      </c>
      <c r="E297" t="s">
        <v>209</v>
      </c>
      <c r="F297" s="20" t="s">
        <v>210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447</v>
      </c>
      <c r="K1" s="186" t="s">
        <v>163</v>
      </c>
      <c r="L1" s="186" t="s">
        <v>161</v>
      </c>
      <c r="M1" s="186" t="s">
        <v>156</v>
      </c>
      <c r="N1" s="186" t="s">
        <v>166</v>
      </c>
      <c r="O1" s="186" t="s">
        <v>160</v>
      </c>
      <c r="P1" s="186" t="s">
        <v>167</v>
      </c>
      <c r="Q1" s="186" t="s">
        <v>164</v>
      </c>
      <c r="R1"/>
    </row>
    <row r="2" spans="1:18" x14ac:dyDescent="0.25">
      <c r="A2" s="164">
        <v>46.01</v>
      </c>
      <c r="B2" s="164">
        <v>0.81</v>
      </c>
      <c r="C2" s="164">
        <v>34.44</v>
      </c>
      <c r="D2" s="8">
        <v>42828</v>
      </c>
      <c r="E2" s="164">
        <v>0.64</v>
      </c>
      <c r="F2" s="164" t="s">
        <v>503</v>
      </c>
      <c r="G2" s="164">
        <v>323.11</v>
      </c>
      <c r="H2" s="164">
        <v>4.1999999999999997E-3</v>
      </c>
      <c r="I2" s="164">
        <v>0.16</v>
      </c>
      <c r="J2" s="164" t="s">
        <v>448</v>
      </c>
      <c r="K2" s="164">
        <v>1006.58</v>
      </c>
      <c r="L2" s="164" t="s">
        <v>428</v>
      </c>
      <c r="M2" s="164">
        <v>46.01</v>
      </c>
      <c r="N2" s="164">
        <v>1491199200</v>
      </c>
      <c r="O2" s="164">
        <v>5.07</v>
      </c>
      <c r="P2" s="164">
        <v>1</v>
      </c>
      <c r="Q2" s="164">
        <v>1.85</v>
      </c>
      <c r="R2"/>
    </row>
    <row r="3" spans="1:18" x14ac:dyDescent="0.25">
      <c r="A3" s="164">
        <v>42.45</v>
      </c>
      <c r="B3" s="164">
        <v>0.83</v>
      </c>
      <c r="C3" s="164">
        <v>34.85</v>
      </c>
      <c r="D3" s="8">
        <v>42828.041666666664</v>
      </c>
      <c r="E3" s="164">
        <v>0.7</v>
      </c>
      <c r="F3" s="164" t="s">
        <v>448</v>
      </c>
      <c r="G3" s="164">
        <v>324.11</v>
      </c>
      <c r="H3" s="164">
        <v>8.8000000000000005E-3</v>
      </c>
      <c r="I3" s="164">
        <v>0.47</v>
      </c>
      <c r="J3" s="164" t="s">
        <v>448</v>
      </c>
      <c r="K3" s="164">
        <v>1006.89</v>
      </c>
      <c r="L3" s="164" t="s">
        <v>819</v>
      </c>
      <c r="M3" s="164">
        <v>44.05</v>
      </c>
      <c r="N3" s="164">
        <v>1491202800</v>
      </c>
      <c r="O3" s="164">
        <v>4.16</v>
      </c>
      <c r="P3" s="164">
        <v>338</v>
      </c>
      <c r="Q3" s="164">
        <v>3.49</v>
      </c>
      <c r="R3"/>
    </row>
    <row r="4" spans="1:18" x14ac:dyDescent="0.25">
      <c r="A4" s="164">
        <v>42.88</v>
      </c>
      <c r="B4" s="164">
        <v>0.85</v>
      </c>
      <c r="C4" s="164">
        <v>35.44</v>
      </c>
      <c r="D4" s="8">
        <v>42828.083333333336</v>
      </c>
      <c r="E4" s="164">
        <v>0.75</v>
      </c>
      <c r="F4" s="164" t="s">
        <v>448</v>
      </c>
      <c r="G4" s="164">
        <v>325.12</v>
      </c>
      <c r="H4" s="164">
        <v>1.2E-2</v>
      </c>
      <c r="I4" s="164">
        <v>0.53</v>
      </c>
      <c r="J4" s="164" t="s">
        <v>448</v>
      </c>
      <c r="K4" s="164">
        <v>1007.23</v>
      </c>
      <c r="L4" s="164" t="s">
        <v>460</v>
      </c>
      <c r="M4" s="164">
        <v>42.88</v>
      </c>
      <c r="N4" s="164">
        <v>1491206400</v>
      </c>
      <c r="O4" s="164">
        <v>3.88</v>
      </c>
      <c r="P4" s="164">
        <v>341</v>
      </c>
      <c r="Q4" s="164">
        <v>2.4300000000000002</v>
      </c>
      <c r="R4"/>
    </row>
    <row r="5" spans="1:18" x14ac:dyDescent="0.25">
      <c r="A5" s="164">
        <v>39.659999999999997</v>
      </c>
      <c r="B5" s="164">
        <v>0.87</v>
      </c>
      <c r="C5" s="164">
        <v>35.89</v>
      </c>
      <c r="D5" s="8">
        <v>42828.125</v>
      </c>
      <c r="E5" s="164">
        <v>0.81</v>
      </c>
      <c r="F5" s="164" t="s">
        <v>503</v>
      </c>
      <c r="G5" s="164">
        <v>326.13</v>
      </c>
      <c r="H5" s="164">
        <v>4.7000000000000002E-3</v>
      </c>
      <c r="I5" s="164">
        <v>0.19</v>
      </c>
      <c r="J5" s="164" t="s">
        <v>448</v>
      </c>
      <c r="K5" s="164">
        <v>1007.6</v>
      </c>
      <c r="L5" s="164" t="s">
        <v>428</v>
      </c>
      <c r="M5" s="164">
        <v>41.31</v>
      </c>
      <c r="N5" s="164">
        <v>1491210000</v>
      </c>
      <c r="O5" s="164">
        <v>2.93</v>
      </c>
      <c r="P5" s="164">
        <v>335</v>
      </c>
      <c r="Q5" s="164">
        <v>3.16</v>
      </c>
      <c r="R5"/>
    </row>
    <row r="6" spans="1:18" x14ac:dyDescent="0.25">
      <c r="A6" s="164">
        <v>39.700000000000003</v>
      </c>
      <c r="B6" s="164">
        <v>0.81</v>
      </c>
      <c r="C6" s="164">
        <v>36.94</v>
      </c>
      <c r="D6" s="8">
        <v>42828.166666666664</v>
      </c>
      <c r="E6" s="164">
        <v>0.9</v>
      </c>
      <c r="F6" s="164" t="s">
        <v>503</v>
      </c>
      <c r="G6" s="164">
        <v>329.73</v>
      </c>
      <c r="H6" s="164">
        <v>2.0999999999999999E-3</v>
      </c>
      <c r="I6" s="164">
        <v>0.05</v>
      </c>
      <c r="J6" s="164" t="s">
        <v>448</v>
      </c>
      <c r="K6" s="164">
        <v>1008.45</v>
      </c>
      <c r="L6" s="164" t="s">
        <v>428</v>
      </c>
      <c r="M6" s="164">
        <v>39.700000000000003</v>
      </c>
      <c r="N6" s="164">
        <v>1491213600</v>
      </c>
      <c r="O6" s="164">
        <v>2.2999999999999998</v>
      </c>
      <c r="P6" s="164">
        <v>331</v>
      </c>
      <c r="Q6" s="164">
        <v>1.31</v>
      </c>
      <c r="R6"/>
    </row>
    <row r="7" spans="1:18" x14ac:dyDescent="0.25">
      <c r="A7" s="164">
        <v>37.450000000000003</v>
      </c>
      <c r="B7" s="164">
        <v>0.72</v>
      </c>
      <c r="C7" s="164">
        <v>34.97</v>
      </c>
      <c r="D7" s="8">
        <v>42828.208333333336</v>
      </c>
      <c r="E7" s="164">
        <v>0.91</v>
      </c>
      <c r="F7" s="164" t="s">
        <v>503</v>
      </c>
      <c r="G7" s="164">
        <v>334.33</v>
      </c>
      <c r="H7" s="164">
        <v>1.2999999999999999E-3</v>
      </c>
      <c r="I7" s="164">
        <v>0.02</v>
      </c>
      <c r="J7" s="164" t="s">
        <v>448</v>
      </c>
      <c r="K7" s="164">
        <v>1009.33</v>
      </c>
      <c r="L7" s="164" t="s">
        <v>428</v>
      </c>
      <c r="M7" s="164">
        <v>37.450000000000003</v>
      </c>
      <c r="N7" s="164">
        <v>1491217200</v>
      </c>
      <c r="O7" s="164">
        <v>3.24</v>
      </c>
      <c r="P7" s="164">
        <v>254</v>
      </c>
      <c r="Q7" s="164">
        <v>1.66</v>
      </c>
      <c r="R7"/>
    </row>
    <row r="8" spans="1:18" x14ac:dyDescent="0.25">
      <c r="A8" s="164">
        <v>36.549999999999997</v>
      </c>
      <c r="B8" s="164">
        <v>0.64</v>
      </c>
      <c r="C8" s="164">
        <v>32.74</v>
      </c>
      <c r="D8" s="8">
        <v>42828.25</v>
      </c>
      <c r="E8" s="164">
        <v>0.86</v>
      </c>
      <c r="F8" s="164" t="s">
        <v>503</v>
      </c>
      <c r="G8" s="164">
        <v>338.12</v>
      </c>
      <c r="H8" s="164">
        <v>8.0000000000000004E-4</v>
      </c>
      <c r="I8" s="164">
        <v>0.01</v>
      </c>
      <c r="J8" s="164" t="s">
        <v>448</v>
      </c>
      <c r="K8" s="164">
        <v>1009.89</v>
      </c>
      <c r="L8" s="164" t="s">
        <v>428</v>
      </c>
      <c r="M8" s="164">
        <v>36.549999999999997</v>
      </c>
      <c r="N8" s="164">
        <v>1491220800</v>
      </c>
      <c r="O8" s="164">
        <v>4.4800000000000004</v>
      </c>
      <c r="P8" s="164">
        <v>262</v>
      </c>
      <c r="Q8" s="164">
        <v>2.99</v>
      </c>
      <c r="R8"/>
    </row>
    <row r="9" spans="1:18" x14ac:dyDescent="0.25">
      <c r="A9" s="164">
        <v>33.69</v>
      </c>
      <c r="B9" s="164">
        <v>0.59</v>
      </c>
      <c r="C9" s="164">
        <v>31.54</v>
      </c>
      <c r="D9" s="8">
        <v>42828.291666666664</v>
      </c>
      <c r="E9" s="164">
        <v>0.83</v>
      </c>
      <c r="F9" s="164" t="s">
        <v>350</v>
      </c>
      <c r="G9" s="164">
        <v>340.11</v>
      </c>
      <c r="H9" s="164">
        <v>0</v>
      </c>
      <c r="I9" s="164">
        <v>0</v>
      </c>
      <c r="J9" s="164"/>
      <c r="K9" s="164">
        <v>1009.63</v>
      </c>
      <c r="L9" s="164" t="s">
        <v>349</v>
      </c>
      <c r="M9" s="164">
        <v>36.29</v>
      </c>
      <c r="N9" s="164">
        <v>1491224400</v>
      </c>
      <c r="O9" s="164">
        <v>9.42</v>
      </c>
      <c r="P9" s="164">
        <v>270</v>
      </c>
      <c r="Q9" s="164">
        <v>3.4</v>
      </c>
      <c r="R9"/>
    </row>
    <row r="10" spans="1:18" x14ac:dyDescent="0.25">
      <c r="A10" s="164">
        <v>33.229999999999997</v>
      </c>
      <c r="B10" s="164">
        <v>0.56000000000000005</v>
      </c>
      <c r="C10" s="164">
        <v>27.57</v>
      </c>
      <c r="D10" s="8">
        <v>42828.333333333336</v>
      </c>
      <c r="E10" s="164">
        <v>0.62</v>
      </c>
      <c r="F10" s="164" t="s">
        <v>350</v>
      </c>
      <c r="G10" s="164">
        <v>341.28</v>
      </c>
      <c r="H10" s="164">
        <v>0</v>
      </c>
      <c r="I10" s="164">
        <v>0</v>
      </c>
      <c r="J10" s="164"/>
      <c r="K10" s="164">
        <v>1008.97</v>
      </c>
      <c r="L10" s="164" t="s">
        <v>349</v>
      </c>
      <c r="M10" s="164">
        <v>39.44</v>
      </c>
      <c r="N10" s="164">
        <v>1491228000</v>
      </c>
      <c r="O10" s="164">
        <v>9.7200000000000006</v>
      </c>
      <c r="P10" s="164">
        <v>286</v>
      </c>
      <c r="Q10" s="164">
        <v>9.3699999999999992</v>
      </c>
      <c r="R10"/>
    </row>
    <row r="11" spans="1:18" x14ac:dyDescent="0.25">
      <c r="A11" s="164">
        <v>40.909999999999997</v>
      </c>
      <c r="B11" s="164">
        <v>0.54</v>
      </c>
      <c r="C11" s="164">
        <v>23.04</v>
      </c>
      <c r="D11" s="8">
        <v>42828.375</v>
      </c>
      <c r="E11" s="164">
        <v>0.42</v>
      </c>
      <c r="F11" s="164" t="s">
        <v>350</v>
      </c>
      <c r="G11" s="164">
        <v>342.75</v>
      </c>
      <c r="H11" s="164">
        <v>0</v>
      </c>
      <c r="I11" s="164">
        <v>0</v>
      </c>
      <c r="J11" s="164"/>
      <c r="K11" s="164">
        <v>1008.13</v>
      </c>
      <c r="L11" s="164" t="s">
        <v>349</v>
      </c>
      <c r="M11" s="164">
        <v>44.78</v>
      </c>
      <c r="N11" s="164">
        <v>1491231600</v>
      </c>
      <c r="O11" s="164">
        <v>4</v>
      </c>
      <c r="P11" s="164">
        <v>272</v>
      </c>
      <c r="Q11" s="164">
        <v>6.96</v>
      </c>
      <c r="R11"/>
    </row>
    <row r="12" spans="1:18" x14ac:dyDescent="0.25">
      <c r="A12" s="164">
        <v>43.05</v>
      </c>
      <c r="B12" s="164">
        <v>0.52</v>
      </c>
      <c r="C12" s="164">
        <v>21.27</v>
      </c>
      <c r="D12" s="8">
        <v>42828.416666666664</v>
      </c>
      <c r="E12" s="164">
        <v>0.36</v>
      </c>
      <c r="F12" s="164" t="s">
        <v>350</v>
      </c>
      <c r="G12" s="164">
        <v>345.03</v>
      </c>
      <c r="H12" s="164">
        <v>0</v>
      </c>
      <c r="I12" s="164">
        <v>0</v>
      </c>
      <c r="J12" s="164"/>
      <c r="K12" s="164">
        <v>1007.19</v>
      </c>
      <c r="L12" s="164" t="s">
        <v>349</v>
      </c>
      <c r="M12" s="164">
        <v>46.87</v>
      </c>
      <c r="N12" s="164">
        <v>1491235200</v>
      </c>
      <c r="O12" s="164">
        <v>3.92</v>
      </c>
      <c r="P12" s="164">
        <v>287</v>
      </c>
      <c r="Q12" s="164">
        <v>7.79</v>
      </c>
      <c r="R12"/>
    </row>
    <row r="13" spans="1:18" x14ac:dyDescent="0.25">
      <c r="A13" s="164">
        <v>50.94</v>
      </c>
      <c r="B13" s="164">
        <v>0.49</v>
      </c>
      <c r="C13" s="164">
        <v>19.829999999999998</v>
      </c>
      <c r="D13" s="8">
        <v>42828.458333333336</v>
      </c>
      <c r="E13" s="164">
        <v>0.28999999999999998</v>
      </c>
      <c r="F13" s="164" t="s">
        <v>350</v>
      </c>
      <c r="G13" s="164">
        <v>347.62</v>
      </c>
      <c r="H13" s="164">
        <v>0</v>
      </c>
      <c r="I13" s="164">
        <v>0</v>
      </c>
      <c r="J13" s="164"/>
      <c r="K13" s="164">
        <v>1006.21</v>
      </c>
      <c r="L13" s="164" t="s">
        <v>349</v>
      </c>
      <c r="M13" s="164">
        <v>50.94</v>
      </c>
      <c r="N13" s="164">
        <v>1491238800</v>
      </c>
      <c r="O13" s="164">
        <v>3.94</v>
      </c>
      <c r="P13" s="164">
        <v>303</v>
      </c>
      <c r="Q13" s="164">
        <v>8.2799999999999994</v>
      </c>
      <c r="R13"/>
    </row>
    <row r="14" spans="1:18" x14ac:dyDescent="0.25">
      <c r="A14" s="164">
        <v>53.75</v>
      </c>
      <c r="B14" s="164">
        <v>0.49</v>
      </c>
      <c r="C14" s="164">
        <v>15.89</v>
      </c>
      <c r="D14" s="8">
        <v>42828.5</v>
      </c>
      <c r="E14" s="164">
        <v>0.22</v>
      </c>
      <c r="F14" s="164" t="s">
        <v>350</v>
      </c>
      <c r="G14" s="164">
        <v>350.12</v>
      </c>
      <c r="H14" s="164">
        <v>0</v>
      </c>
      <c r="I14" s="164">
        <v>0</v>
      </c>
      <c r="J14" s="164"/>
      <c r="K14" s="164">
        <v>1005.39</v>
      </c>
      <c r="L14" s="164" t="s">
        <v>349</v>
      </c>
      <c r="M14" s="164">
        <v>53.75</v>
      </c>
      <c r="N14" s="164">
        <v>1491242400</v>
      </c>
      <c r="O14" s="164">
        <v>3.99</v>
      </c>
      <c r="P14" s="164">
        <v>314</v>
      </c>
      <c r="Q14" s="164">
        <v>8.31</v>
      </c>
      <c r="R14"/>
    </row>
    <row r="15" spans="1:18" x14ac:dyDescent="0.25">
      <c r="A15" s="164">
        <v>54.33</v>
      </c>
      <c r="B15" s="164">
        <v>0.52</v>
      </c>
      <c r="C15" s="164">
        <v>14.18</v>
      </c>
      <c r="D15" s="8">
        <v>42828.541666666664</v>
      </c>
      <c r="E15" s="164">
        <v>0.2</v>
      </c>
      <c r="F15" s="164" t="s">
        <v>350</v>
      </c>
      <c r="G15" s="164">
        <v>352.28</v>
      </c>
      <c r="H15" s="164">
        <v>0</v>
      </c>
      <c r="I15" s="164">
        <v>0</v>
      </c>
      <c r="J15" s="164"/>
      <c r="K15" s="164">
        <v>1004.64</v>
      </c>
      <c r="L15" s="164" t="s">
        <v>349</v>
      </c>
      <c r="M15" s="164">
        <v>54.33</v>
      </c>
      <c r="N15" s="164">
        <v>1491246000</v>
      </c>
      <c r="O15" s="164">
        <v>4.0199999999999996</v>
      </c>
      <c r="P15" s="164">
        <v>298</v>
      </c>
      <c r="Q15" s="164">
        <v>6.72</v>
      </c>
      <c r="R15"/>
    </row>
    <row r="16" spans="1:18" x14ac:dyDescent="0.25">
      <c r="A16" s="164">
        <v>57.29</v>
      </c>
      <c r="B16" s="164">
        <v>0.57999999999999996</v>
      </c>
      <c r="C16" s="164">
        <v>13.31</v>
      </c>
      <c r="D16" s="8">
        <v>42828.583333333336</v>
      </c>
      <c r="E16" s="164">
        <v>0.17</v>
      </c>
      <c r="F16" s="164" t="s">
        <v>350</v>
      </c>
      <c r="G16" s="164">
        <v>354.35</v>
      </c>
      <c r="H16" s="164">
        <v>0</v>
      </c>
      <c r="I16" s="164">
        <v>0</v>
      </c>
      <c r="J16" s="164"/>
      <c r="K16" s="164">
        <v>1004</v>
      </c>
      <c r="L16" s="164" t="s">
        <v>349</v>
      </c>
      <c r="M16" s="164">
        <v>57.29</v>
      </c>
      <c r="N16" s="164">
        <v>1491249600</v>
      </c>
      <c r="O16" s="164">
        <v>10</v>
      </c>
      <c r="P16" s="164">
        <v>333</v>
      </c>
      <c r="Q16" s="164">
        <v>7.72</v>
      </c>
      <c r="R16"/>
    </row>
    <row r="17" spans="1:18" x14ac:dyDescent="0.25">
      <c r="A17" s="164">
        <v>57.57</v>
      </c>
      <c r="B17" s="164">
        <v>0.46</v>
      </c>
      <c r="C17" s="164">
        <v>11.37</v>
      </c>
      <c r="D17" s="8">
        <v>42828.625</v>
      </c>
      <c r="E17" s="164">
        <v>0.16</v>
      </c>
      <c r="F17" s="164" t="s">
        <v>350</v>
      </c>
      <c r="G17" s="164">
        <v>356.73</v>
      </c>
      <c r="H17" s="164">
        <v>0</v>
      </c>
      <c r="I17" s="164">
        <v>0</v>
      </c>
      <c r="J17" s="164"/>
      <c r="K17" s="164">
        <v>1003.71</v>
      </c>
      <c r="L17" s="164" t="s">
        <v>349</v>
      </c>
      <c r="M17" s="164">
        <v>57.57</v>
      </c>
      <c r="N17" s="164">
        <v>1491253200</v>
      </c>
      <c r="O17" s="164">
        <v>5.23</v>
      </c>
      <c r="P17" s="164">
        <v>350</v>
      </c>
      <c r="Q17" s="164">
        <v>7.28</v>
      </c>
      <c r="R17"/>
    </row>
    <row r="18" spans="1:18" x14ac:dyDescent="0.25">
      <c r="A18" s="164">
        <v>58.1</v>
      </c>
      <c r="B18" s="164">
        <v>0.5</v>
      </c>
      <c r="C18" s="164">
        <v>12.23</v>
      </c>
      <c r="D18" s="8">
        <v>42828.666666666664</v>
      </c>
      <c r="E18" s="164">
        <v>0.16</v>
      </c>
      <c r="F18" s="164" t="s">
        <v>350</v>
      </c>
      <c r="G18" s="164">
        <v>359.94</v>
      </c>
      <c r="H18" s="164">
        <v>0</v>
      </c>
      <c r="I18" s="164">
        <v>0</v>
      </c>
      <c r="J18" s="164"/>
      <c r="K18" s="164">
        <v>1003.84</v>
      </c>
      <c r="L18" s="164" t="s">
        <v>349</v>
      </c>
      <c r="M18" s="164">
        <v>58.1</v>
      </c>
      <c r="N18" s="164">
        <v>1491256800</v>
      </c>
      <c r="O18" s="164">
        <v>5.22</v>
      </c>
      <c r="P18" s="164">
        <v>3</v>
      </c>
      <c r="Q18" s="164">
        <v>7.63</v>
      </c>
      <c r="R18"/>
    </row>
    <row r="19" spans="1:18" x14ac:dyDescent="0.25">
      <c r="A19" s="164">
        <v>56.58</v>
      </c>
      <c r="B19" s="164">
        <v>0.53</v>
      </c>
      <c r="C19" s="164">
        <v>10.119999999999999</v>
      </c>
      <c r="D19" s="8">
        <v>42828.708333333336</v>
      </c>
      <c r="E19" s="164">
        <v>0.15</v>
      </c>
      <c r="F19" s="164" t="s">
        <v>350</v>
      </c>
      <c r="G19" s="164">
        <v>363.46</v>
      </c>
      <c r="H19" s="164">
        <v>0</v>
      </c>
      <c r="I19" s="164">
        <v>0</v>
      </c>
      <c r="J19" s="164"/>
      <c r="K19" s="164">
        <v>1004.34</v>
      </c>
      <c r="L19" s="164" t="s">
        <v>349</v>
      </c>
      <c r="M19" s="164">
        <v>56.58</v>
      </c>
      <c r="N19" s="164">
        <v>1491260400</v>
      </c>
      <c r="O19" s="164">
        <v>5.41</v>
      </c>
      <c r="P19" s="164">
        <v>14</v>
      </c>
      <c r="Q19" s="164">
        <v>6.74</v>
      </c>
      <c r="R19"/>
    </row>
    <row r="20" spans="1:18" x14ac:dyDescent="0.25">
      <c r="A20" s="164">
        <v>53.92</v>
      </c>
      <c r="B20" s="164">
        <v>0.48</v>
      </c>
      <c r="C20" s="164">
        <v>13</v>
      </c>
      <c r="D20" s="8">
        <v>42828.75</v>
      </c>
      <c r="E20" s="164">
        <v>0.19</v>
      </c>
      <c r="F20" s="164" t="s">
        <v>350</v>
      </c>
      <c r="G20" s="164">
        <v>366.06</v>
      </c>
      <c r="H20" s="164">
        <v>0</v>
      </c>
      <c r="I20" s="164">
        <v>0</v>
      </c>
      <c r="J20" s="164"/>
      <c r="K20" s="164">
        <v>1005.13</v>
      </c>
      <c r="L20" s="164" t="s">
        <v>349</v>
      </c>
      <c r="M20" s="164">
        <v>53.92</v>
      </c>
      <c r="N20" s="164">
        <v>1491264000</v>
      </c>
      <c r="O20" s="164">
        <v>5.58</v>
      </c>
      <c r="P20" s="164">
        <v>32</v>
      </c>
      <c r="Q20" s="164">
        <v>7.21</v>
      </c>
      <c r="R20"/>
    </row>
    <row r="21" spans="1:18" x14ac:dyDescent="0.25">
      <c r="A21" s="164">
        <v>50.43</v>
      </c>
      <c r="B21" s="164">
        <v>0.52</v>
      </c>
      <c r="C21" s="164">
        <v>24.75</v>
      </c>
      <c r="D21" s="8">
        <v>42828.791666666664</v>
      </c>
      <c r="E21" s="164">
        <v>0.36</v>
      </c>
      <c r="F21" s="164" t="s">
        <v>350</v>
      </c>
      <c r="G21" s="164">
        <v>367.26</v>
      </c>
      <c r="H21" s="164">
        <v>1.1999999999999999E-3</v>
      </c>
      <c r="I21" s="164">
        <v>0.02</v>
      </c>
      <c r="J21" s="164" t="s">
        <v>448</v>
      </c>
      <c r="K21" s="164">
        <v>1006.07</v>
      </c>
      <c r="L21" s="164" t="s">
        <v>349</v>
      </c>
      <c r="M21" s="164">
        <v>50.43</v>
      </c>
      <c r="N21" s="164">
        <v>1491267600</v>
      </c>
      <c r="O21" s="164">
        <v>6.09</v>
      </c>
      <c r="P21" s="164">
        <v>50</v>
      </c>
      <c r="Q21" s="164">
        <v>8.4600000000000009</v>
      </c>
      <c r="R21"/>
    </row>
    <row r="22" spans="1:18" x14ac:dyDescent="0.25">
      <c r="A22" s="164">
        <v>43.14</v>
      </c>
      <c r="B22" s="164">
        <v>0.62</v>
      </c>
      <c r="C22" s="164">
        <v>20.84</v>
      </c>
      <c r="D22" s="8">
        <v>42828.833333333336</v>
      </c>
      <c r="E22" s="164">
        <v>0.35</v>
      </c>
      <c r="F22" s="164" t="s">
        <v>503</v>
      </c>
      <c r="G22" s="164">
        <v>367.54</v>
      </c>
      <c r="H22" s="164">
        <v>2.8E-3</v>
      </c>
      <c r="I22" s="164">
        <v>0.09</v>
      </c>
      <c r="J22" s="164" t="s">
        <v>448</v>
      </c>
      <c r="K22" s="164">
        <v>1007.82</v>
      </c>
      <c r="L22" s="164" t="s">
        <v>428</v>
      </c>
      <c r="M22" s="164">
        <v>46.9</v>
      </c>
      <c r="N22" s="164">
        <v>1491271200</v>
      </c>
      <c r="O22" s="164">
        <v>6.96</v>
      </c>
      <c r="P22" s="164">
        <v>40</v>
      </c>
      <c r="Q22" s="164">
        <v>7.66</v>
      </c>
      <c r="R22"/>
    </row>
    <row r="23" spans="1:18" x14ac:dyDescent="0.25">
      <c r="A23" s="164">
        <v>41.04</v>
      </c>
      <c r="B23" s="164">
        <v>0.69</v>
      </c>
      <c r="C23" s="164">
        <v>27.86</v>
      </c>
      <c r="D23" s="8">
        <v>42828.875</v>
      </c>
      <c r="E23" s="164">
        <v>0.51</v>
      </c>
      <c r="F23" s="164" t="s">
        <v>448</v>
      </c>
      <c r="G23" s="164">
        <v>367.08</v>
      </c>
      <c r="H23" s="164">
        <v>8.8000000000000005E-3</v>
      </c>
      <c r="I23" s="164">
        <v>0.47</v>
      </c>
      <c r="J23" s="164" t="s">
        <v>448</v>
      </c>
      <c r="K23" s="164">
        <v>1009.53</v>
      </c>
      <c r="L23" s="164" t="s">
        <v>819</v>
      </c>
      <c r="M23" s="164">
        <v>44.97</v>
      </c>
      <c r="N23" s="164">
        <v>1491274800</v>
      </c>
      <c r="O23" s="164">
        <v>10</v>
      </c>
      <c r="P23" s="164">
        <v>29</v>
      </c>
      <c r="Q23" s="164">
        <v>7.19</v>
      </c>
      <c r="R23"/>
    </row>
    <row r="24" spans="1:18" x14ac:dyDescent="0.25">
      <c r="A24" s="164">
        <v>39.01</v>
      </c>
      <c r="B24" s="164">
        <v>0.88</v>
      </c>
      <c r="C24" s="164">
        <v>32.47</v>
      </c>
      <c r="D24" s="8">
        <v>42828.916666666664</v>
      </c>
      <c r="E24" s="164">
        <v>0.67</v>
      </c>
      <c r="F24" s="164" t="s">
        <v>448</v>
      </c>
      <c r="G24" s="164">
        <v>365.6</v>
      </c>
      <c r="H24" s="164">
        <v>1.5100000000000001E-2</v>
      </c>
      <c r="I24" s="164">
        <v>0.56999999999999995</v>
      </c>
      <c r="J24" s="164" t="s">
        <v>448</v>
      </c>
      <c r="K24" s="164">
        <v>1010.48</v>
      </c>
      <c r="L24" s="164" t="s">
        <v>460</v>
      </c>
      <c r="M24" s="164">
        <v>42.75</v>
      </c>
      <c r="N24" s="164">
        <v>1491278400</v>
      </c>
      <c r="O24" s="164">
        <v>5.04</v>
      </c>
      <c r="P24" s="164">
        <v>38</v>
      </c>
      <c r="Q24" s="164">
        <v>6.03</v>
      </c>
      <c r="R24"/>
    </row>
    <row r="25" spans="1:18" x14ac:dyDescent="0.25">
      <c r="A25" s="164">
        <v>36.33</v>
      </c>
      <c r="B25" s="164">
        <v>0.96</v>
      </c>
      <c r="C25" s="164">
        <v>30.41</v>
      </c>
      <c r="D25" s="8">
        <v>42828.958333333336</v>
      </c>
      <c r="E25" s="164">
        <v>0.67</v>
      </c>
      <c r="F25" s="164" t="s">
        <v>448</v>
      </c>
      <c r="G25" s="164">
        <v>363.37</v>
      </c>
      <c r="H25" s="164">
        <v>1.66E-2</v>
      </c>
      <c r="I25" s="164">
        <v>0.57999999999999996</v>
      </c>
      <c r="J25" s="164" t="s">
        <v>448</v>
      </c>
      <c r="K25" s="164">
        <v>1010.98</v>
      </c>
      <c r="L25" s="164" t="s">
        <v>460</v>
      </c>
      <c r="M25" s="164">
        <v>40.35</v>
      </c>
      <c r="N25" s="164">
        <v>1491282000</v>
      </c>
      <c r="O25" s="164">
        <v>3.82</v>
      </c>
      <c r="P25" s="164">
        <v>43</v>
      </c>
      <c r="Q25" s="164">
        <v>5.77</v>
      </c>
      <c r="R25"/>
    </row>
    <row r="26" spans="1:18" x14ac:dyDescent="0.25">
      <c r="A26" s="164">
        <v>35.51</v>
      </c>
      <c r="B26" s="164">
        <v>1</v>
      </c>
      <c r="C26" s="164">
        <v>31.36</v>
      </c>
      <c r="D26" s="8">
        <v>42829</v>
      </c>
      <c r="E26" s="164">
        <v>0.72</v>
      </c>
      <c r="F26" s="164" t="s">
        <v>448</v>
      </c>
      <c r="G26" s="164">
        <v>361.51</v>
      </c>
      <c r="H26" s="164">
        <v>2.1000000000000001E-2</v>
      </c>
      <c r="I26" s="164">
        <v>0.61</v>
      </c>
      <c r="J26" s="164" t="s">
        <v>448</v>
      </c>
      <c r="K26" s="164">
        <v>1011.24</v>
      </c>
      <c r="L26" s="164" t="s">
        <v>460</v>
      </c>
      <c r="M26" s="164">
        <v>39.61</v>
      </c>
      <c r="N26" s="164">
        <v>1491285600</v>
      </c>
      <c r="O26" s="164">
        <v>2.81</v>
      </c>
      <c r="P26" s="164">
        <v>28</v>
      </c>
      <c r="Q26" s="164">
        <v>5.68</v>
      </c>
      <c r="R26"/>
    </row>
    <row r="27" spans="1:18" x14ac:dyDescent="0.25">
      <c r="A27" s="164">
        <v>34.590000000000003</v>
      </c>
      <c r="B27" s="164">
        <v>1</v>
      </c>
      <c r="C27" s="164">
        <v>31.3</v>
      </c>
      <c r="D27" s="8">
        <v>42829.041666666664</v>
      </c>
      <c r="E27" s="164">
        <v>0.76</v>
      </c>
      <c r="F27" s="164" t="s">
        <v>448</v>
      </c>
      <c r="G27" s="164">
        <v>360.73</v>
      </c>
      <c r="H27" s="164">
        <v>3.6400000000000002E-2</v>
      </c>
      <c r="I27" s="164">
        <v>0.69</v>
      </c>
      <c r="J27" s="164" t="s">
        <v>448</v>
      </c>
      <c r="K27" s="164">
        <v>1011.14</v>
      </c>
      <c r="L27" s="164" t="s">
        <v>460</v>
      </c>
      <c r="M27" s="164">
        <v>38.08</v>
      </c>
      <c r="N27" s="164">
        <v>1491289200</v>
      </c>
      <c r="O27" s="164">
        <v>2.17</v>
      </c>
      <c r="P27" s="164">
        <v>14</v>
      </c>
      <c r="Q27" s="164">
        <v>4.55</v>
      </c>
      <c r="R27"/>
    </row>
    <row r="28" spans="1:18" x14ac:dyDescent="0.25">
      <c r="A28" s="164">
        <v>32.770000000000003</v>
      </c>
      <c r="B28" s="164">
        <v>1</v>
      </c>
      <c r="C28" s="164">
        <v>31.86</v>
      </c>
      <c r="D28" s="8">
        <v>42829.083333333336</v>
      </c>
      <c r="E28" s="164">
        <v>0.83</v>
      </c>
      <c r="F28" s="164" t="s">
        <v>448</v>
      </c>
      <c r="G28" s="164">
        <v>359.94</v>
      </c>
      <c r="H28" s="164">
        <v>4.2500000000000003E-2</v>
      </c>
      <c r="I28" s="164">
        <v>0.7</v>
      </c>
      <c r="J28" s="164" t="s">
        <v>448</v>
      </c>
      <c r="K28" s="164">
        <v>1011.05</v>
      </c>
      <c r="L28" s="164" t="s">
        <v>460</v>
      </c>
      <c r="M28" s="164">
        <v>36.39</v>
      </c>
      <c r="N28" s="164">
        <v>1491292800</v>
      </c>
      <c r="O28" s="164">
        <v>5.28</v>
      </c>
      <c r="P28" s="164">
        <v>39</v>
      </c>
      <c r="Q28" s="164">
        <v>4.3899999999999997</v>
      </c>
      <c r="R28"/>
    </row>
    <row r="29" spans="1:18" x14ac:dyDescent="0.25">
      <c r="A29" s="164">
        <v>32.020000000000003</v>
      </c>
      <c r="B29" s="164">
        <v>1</v>
      </c>
      <c r="C29" s="164">
        <v>32.090000000000003</v>
      </c>
      <c r="D29" s="8">
        <v>42829.125</v>
      </c>
      <c r="E29" s="164">
        <v>0.88</v>
      </c>
      <c r="F29" s="164" t="s">
        <v>820</v>
      </c>
      <c r="G29" s="164">
        <v>359.16</v>
      </c>
      <c r="H29" s="164">
        <v>4.9500000000000002E-2</v>
      </c>
      <c r="I29" s="164">
        <v>0.72</v>
      </c>
      <c r="J29" s="164" t="s">
        <v>820</v>
      </c>
      <c r="K29" s="164">
        <v>1010.99</v>
      </c>
      <c r="L29" s="164" t="s">
        <v>821</v>
      </c>
      <c r="M29" s="164">
        <v>35.270000000000003</v>
      </c>
      <c r="N29" s="164">
        <v>1491296400</v>
      </c>
      <c r="O29" s="164">
        <v>1.45</v>
      </c>
      <c r="P29" s="164">
        <v>14</v>
      </c>
      <c r="Q29" s="164">
        <v>3.84</v>
      </c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2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359</v>
      </c>
      <c r="U1" s="215"/>
      <c r="V1" s="215"/>
      <c r="W1" s="215"/>
      <c r="X1" s="215"/>
    </row>
    <row r="2" spans="1:24" ht="15.75" thickBot="1" x14ac:dyDescent="0.3">
      <c r="A2" s="12">
        <v>42828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360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372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373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374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1010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1011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1012</v>
      </c>
      <c r="J20" s="148" t="s">
        <v>87</v>
      </c>
      <c r="M20" s="164" t="s">
        <v>351</v>
      </c>
      <c r="N20" s="164" t="s">
        <v>351</v>
      </c>
      <c r="T20" s="193"/>
      <c r="U20" s="193"/>
      <c r="V20" s="193"/>
      <c r="W20" s="193"/>
      <c r="X20" s="193"/>
    </row>
    <row r="21" spans="3:24" x14ac:dyDescent="0.25">
      <c r="C21" t="s">
        <v>1013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1014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1015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1016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1017</v>
      </c>
      <c r="J25" s="148" t="s">
        <v>150</v>
      </c>
      <c r="M25" s="164" t="b">
        <v>1</v>
      </c>
    </row>
    <row r="26" spans="3:24" x14ac:dyDescent="0.25">
      <c r="C26" t="s">
        <v>1018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C:\Users\stu\Documents\GitHub\eaglep3-reporting\EC\2017-04-03-refined-times.txt</v>
      </c>
    </row>
    <row r="27" spans="3:24" x14ac:dyDescent="0.25">
      <c r="C27" t="s">
        <v>1019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C:\Users\stu\Documents\GitHub\eaglep3-reporting\EC\2017-04-03-Enforcements.txt</v>
      </c>
    </row>
    <row r="28" spans="3:24" x14ac:dyDescent="0.25">
      <c r="C28" t="s">
        <v>1020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C:\Users\stu\Documents\GitHub\eaglep3-reporting\EC\2017-04-03-Runs-refined.txt</v>
      </c>
    </row>
    <row r="29" spans="3:24" x14ac:dyDescent="0.25">
      <c r="C29" t="s">
        <v>1021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C:\Users\stu\Documents\GitHub\eaglep3-reporting\EC\2017-04-03-Trips.txt</v>
      </c>
    </row>
    <row r="30" spans="3:24" x14ac:dyDescent="0.25">
      <c r="C30" t="s">
        <v>1022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C:\Users\stu\Documents\GitHub\eaglep3-reporting\EC\2017-04-03-Weather.txt</v>
      </c>
    </row>
    <row r="31" spans="3:24" x14ac:dyDescent="0.25">
      <c r="C31" t="s">
        <v>1023</v>
      </c>
      <c r="J31" s="148" t="s">
        <v>203</v>
      </c>
      <c r="M31" s="164" t="s">
        <v>204</v>
      </c>
    </row>
    <row r="32" spans="3:24" x14ac:dyDescent="0.25">
      <c r="C32" t="s">
        <v>1024</v>
      </c>
    </row>
    <row r="33" spans="3:3" x14ac:dyDescent="0.25">
      <c r="C33" t="s">
        <v>1025</v>
      </c>
    </row>
    <row r="34" spans="3:3" x14ac:dyDescent="0.25">
      <c r="C34" t="s">
        <v>1026</v>
      </c>
    </row>
    <row r="35" spans="3:3" x14ac:dyDescent="0.25">
      <c r="C35" t="s">
        <v>1027</v>
      </c>
    </row>
    <row r="36" spans="3:3" x14ac:dyDescent="0.25">
      <c r="C36" t="s">
        <v>1028</v>
      </c>
    </row>
    <row r="37" spans="3:3" x14ac:dyDescent="0.25">
      <c r="C37" t="s">
        <v>1029</v>
      </c>
    </row>
    <row r="38" spans="3:3" x14ac:dyDescent="0.25">
      <c r="C38" t="s">
        <v>1030</v>
      </c>
    </row>
    <row r="39" spans="3:3" x14ac:dyDescent="0.25">
      <c r="C39" t="s">
        <v>1031</v>
      </c>
    </row>
    <row r="40" spans="3:3" x14ac:dyDescent="0.25">
      <c r="C40" t="s">
        <v>1032</v>
      </c>
    </row>
    <row r="41" spans="3:3" x14ac:dyDescent="0.25">
      <c r="C41" t="s">
        <v>1033</v>
      </c>
    </row>
    <row r="42" spans="3:3" x14ac:dyDescent="0.25">
      <c r="C42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457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458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219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220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221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222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223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224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225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226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227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228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229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230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231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232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233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234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235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236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237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238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239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240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241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242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243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244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245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246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247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248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249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250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251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252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253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254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255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256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257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258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259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260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261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262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263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264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265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266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267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268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269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270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271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272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273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274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275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276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277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278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279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280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281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282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283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284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285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286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287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288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289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290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291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292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293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294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295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296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297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298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299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300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301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302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303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304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305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306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307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308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309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310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311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312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313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314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315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316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317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318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319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320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321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322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323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324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325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326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327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328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329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330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331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332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333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334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335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336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337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338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339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340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341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342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343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344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345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346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347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348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2017-04-28T00:46:45Z</dcterms:modified>
</cp:coreProperties>
</file>