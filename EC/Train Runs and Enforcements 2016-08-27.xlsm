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Variables" sheetId="5" r:id="rId5"/>
    <sheet name="Redmine List Values" sheetId="7" r:id="rId6"/>
  </sheets>
  <externalReferences>
    <externalReference r:id="rId7"/>
    <externalReference r:id="rId8"/>
  </externalReferences>
  <definedNames>
    <definedName name="_xlnm._FilterDatabase" localSheetId="1" hidden="1">Enforcements!$A$6:$Z$61</definedName>
    <definedName name="_xlnm._FilterDatabase" localSheetId="2" hidden="1">'Missing Trips'!$A$2:$H$2</definedName>
    <definedName name="_xlnm._FilterDatabase" localSheetId="0" hidden="1">'Train Runs'!$A$12:$AG$237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Runs'!$A$12:$J$63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3" i="1" l="1"/>
  <c r="L83" i="1"/>
  <c r="M83" i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T84" i="1"/>
  <c r="V84" i="1"/>
  <c r="Y84" i="1"/>
  <c r="Z84" i="1"/>
  <c r="AB84" i="1"/>
  <c r="AC84" i="1"/>
  <c r="AD84" i="1"/>
  <c r="AG84" i="1" s="1"/>
  <c r="AE84" i="1"/>
  <c r="AF84" i="1"/>
  <c r="AH84" i="1"/>
  <c r="K69" i="1"/>
  <c r="L69" i="1"/>
  <c r="M69" i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V70" i="1"/>
  <c r="Y70" i="1"/>
  <c r="Z70" i="1"/>
  <c r="AB70" i="1"/>
  <c r="AC70" i="1"/>
  <c r="AD70" i="1"/>
  <c r="AG70" i="1" s="1"/>
  <c r="AE70" i="1"/>
  <c r="AF70" i="1"/>
  <c r="AH70" i="1"/>
  <c r="K61" i="1"/>
  <c r="L61" i="1"/>
  <c r="M61" i="1"/>
  <c r="V61" i="1"/>
  <c r="Y61" i="1"/>
  <c r="Z61" i="1"/>
  <c r="AB61" i="1"/>
  <c r="AC61" i="1"/>
  <c r="AD61" i="1"/>
  <c r="T61" i="1" s="1"/>
  <c r="AE61" i="1"/>
  <c r="AF61" i="1"/>
  <c r="AH61" i="1"/>
  <c r="K62" i="1"/>
  <c r="L62" i="1"/>
  <c r="M62" i="1"/>
  <c r="V62" i="1"/>
  <c r="Y62" i="1"/>
  <c r="Z62" i="1"/>
  <c r="AB62" i="1"/>
  <c r="AC62" i="1"/>
  <c r="AD62" i="1"/>
  <c r="T62" i="1" s="1"/>
  <c r="AE62" i="1"/>
  <c r="AF62" i="1"/>
  <c r="AH62" i="1"/>
  <c r="K15" i="1"/>
  <c r="L15" i="1"/>
  <c r="M15" i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V16" i="1"/>
  <c r="Y16" i="1"/>
  <c r="Z16" i="1"/>
  <c r="AB16" i="1"/>
  <c r="AC16" i="1"/>
  <c r="AD16" i="1"/>
  <c r="T16" i="1" s="1"/>
  <c r="AE16" i="1"/>
  <c r="AF16" i="1"/>
  <c r="AH16" i="1"/>
  <c r="K29" i="1"/>
  <c r="L29" i="1"/>
  <c r="M29" i="1"/>
  <c r="V29" i="1"/>
  <c r="Y29" i="1"/>
  <c r="Z29" i="1"/>
  <c r="AB29" i="1"/>
  <c r="AC29" i="1"/>
  <c r="AD29" i="1"/>
  <c r="T29" i="1" s="1"/>
  <c r="AE29" i="1"/>
  <c r="AF29" i="1"/>
  <c r="AH29" i="1"/>
  <c r="E3" i="6"/>
  <c r="F3" i="6"/>
  <c r="G3" i="6"/>
  <c r="H3" i="6"/>
  <c r="E4" i="6"/>
  <c r="F4" i="6"/>
  <c r="G4" i="6"/>
  <c r="H4" i="6"/>
  <c r="E5" i="6"/>
  <c r="F5" i="6"/>
  <c r="G5" i="6"/>
  <c r="H5" i="6"/>
  <c r="E6" i="6"/>
  <c r="F6" i="6"/>
  <c r="G6" i="6"/>
  <c r="H6" i="6"/>
  <c r="E7" i="6"/>
  <c r="F7" i="6"/>
  <c r="G7" i="6"/>
  <c r="H7" i="6"/>
  <c r="E8" i="6"/>
  <c r="F8" i="6"/>
  <c r="G8" i="6"/>
  <c r="H8" i="6"/>
  <c r="E9" i="6"/>
  <c r="F9" i="6"/>
  <c r="G9" i="6"/>
  <c r="H9" i="6"/>
  <c r="K43" i="1"/>
  <c r="L43" i="1"/>
  <c r="M43" i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V47" i="1"/>
  <c r="Y47" i="1"/>
  <c r="Z47" i="1"/>
  <c r="AB47" i="1"/>
  <c r="AC47" i="1"/>
  <c r="AD47" i="1"/>
  <c r="T47" i="1" s="1"/>
  <c r="AE47" i="1"/>
  <c r="AF47" i="1"/>
  <c r="AH47" i="1"/>
  <c r="K48" i="1"/>
  <c r="L48" i="1"/>
  <c r="M48" i="1"/>
  <c r="V48" i="1"/>
  <c r="Y48" i="1"/>
  <c r="Z48" i="1"/>
  <c r="AB48" i="1"/>
  <c r="AC48" i="1"/>
  <c r="AD48" i="1"/>
  <c r="AG48" i="1" s="1"/>
  <c r="AE48" i="1"/>
  <c r="AF48" i="1"/>
  <c r="AH48" i="1"/>
  <c r="S24" i="3"/>
  <c r="R24" i="3" s="1"/>
  <c r="T24" i="3"/>
  <c r="U24" i="3"/>
  <c r="V24" i="3"/>
  <c r="S26" i="3"/>
  <c r="R26" i="3" s="1"/>
  <c r="T26" i="3"/>
  <c r="U26" i="3"/>
  <c r="V26" i="3"/>
  <c r="S13" i="3"/>
  <c r="R13" i="3" s="1"/>
  <c r="T13" i="3"/>
  <c r="U13" i="3"/>
  <c r="V13" i="3"/>
  <c r="S11" i="3"/>
  <c r="R11" i="3" s="1"/>
  <c r="T11" i="3"/>
  <c r="U11" i="3"/>
  <c r="V11" i="3"/>
  <c r="S8" i="3"/>
  <c r="R8" i="3" s="1"/>
  <c r="T8" i="3"/>
  <c r="U8" i="3"/>
  <c r="V8" i="3"/>
  <c r="S12" i="3"/>
  <c r="R12" i="3" s="1"/>
  <c r="T12" i="3"/>
  <c r="U12" i="3"/>
  <c r="V12" i="3"/>
  <c r="S9" i="3"/>
  <c r="R9" i="3" s="1"/>
  <c r="T9" i="3"/>
  <c r="U9" i="3"/>
  <c r="V9" i="3"/>
  <c r="S10" i="3"/>
  <c r="R10" i="3" s="1"/>
  <c r="T10" i="3"/>
  <c r="U10" i="3"/>
  <c r="V10" i="3"/>
  <c r="S22" i="3"/>
  <c r="R22" i="3" s="1"/>
  <c r="T22" i="3"/>
  <c r="U22" i="3"/>
  <c r="V22" i="3"/>
  <c r="S37" i="3"/>
  <c r="R37" i="3" s="1"/>
  <c r="T37" i="3"/>
  <c r="U37" i="3"/>
  <c r="V37" i="3"/>
  <c r="S21" i="3"/>
  <c r="R21" i="3" s="1"/>
  <c r="T21" i="3"/>
  <c r="U21" i="3"/>
  <c r="V21" i="3"/>
  <c r="S28" i="3"/>
  <c r="R28" i="3" s="1"/>
  <c r="T28" i="3"/>
  <c r="U28" i="3"/>
  <c r="V28" i="3"/>
  <c r="S14" i="3"/>
  <c r="R14" i="3" s="1"/>
  <c r="T14" i="3"/>
  <c r="U14" i="3"/>
  <c r="V14" i="3"/>
  <c r="S38" i="3"/>
  <c r="R38" i="3" s="1"/>
  <c r="T38" i="3"/>
  <c r="U38" i="3"/>
  <c r="V38" i="3"/>
  <c r="S42" i="3"/>
  <c r="R42" i="3" s="1"/>
  <c r="T42" i="3"/>
  <c r="U42" i="3"/>
  <c r="V42" i="3"/>
  <c r="S27" i="3"/>
  <c r="R27" i="3" s="1"/>
  <c r="T27" i="3"/>
  <c r="U27" i="3"/>
  <c r="V27" i="3"/>
  <c r="S29" i="3"/>
  <c r="R29" i="3" s="1"/>
  <c r="T29" i="3"/>
  <c r="U29" i="3"/>
  <c r="V29" i="3"/>
  <c r="S39" i="3"/>
  <c r="R39" i="3" s="1"/>
  <c r="T39" i="3"/>
  <c r="U39" i="3"/>
  <c r="V39" i="3"/>
  <c r="S40" i="3"/>
  <c r="R40" i="3" s="1"/>
  <c r="T40" i="3"/>
  <c r="U40" i="3"/>
  <c r="V40" i="3"/>
  <c r="S30" i="3"/>
  <c r="R30" i="3" s="1"/>
  <c r="T30" i="3"/>
  <c r="U30" i="3"/>
  <c r="V30" i="3"/>
  <c r="S41" i="3"/>
  <c r="R41" i="3" s="1"/>
  <c r="T41" i="3"/>
  <c r="U41" i="3"/>
  <c r="V41" i="3"/>
  <c r="S43" i="3"/>
  <c r="R43" i="3" s="1"/>
  <c r="T43" i="3"/>
  <c r="U43" i="3"/>
  <c r="V43" i="3"/>
  <c r="S31" i="3"/>
  <c r="R31" i="3" s="1"/>
  <c r="T31" i="3"/>
  <c r="U31" i="3"/>
  <c r="V31" i="3"/>
  <c r="S18" i="3"/>
  <c r="R18" i="3" s="1"/>
  <c r="T18" i="3"/>
  <c r="U18" i="3"/>
  <c r="V18" i="3"/>
  <c r="S45" i="3"/>
  <c r="R45" i="3" s="1"/>
  <c r="T45" i="3"/>
  <c r="U45" i="3"/>
  <c r="V45" i="3"/>
  <c r="S16" i="3"/>
  <c r="R16" i="3" s="1"/>
  <c r="T16" i="3"/>
  <c r="U16" i="3"/>
  <c r="V16" i="3"/>
  <c r="S32" i="3"/>
  <c r="R32" i="3" s="1"/>
  <c r="T32" i="3"/>
  <c r="U32" i="3"/>
  <c r="V32" i="3"/>
  <c r="S33" i="3"/>
  <c r="R33" i="3" s="1"/>
  <c r="T33" i="3"/>
  <c r="U33" i="3"/>
  <c r="V33" i="3"/>
  <c r="S7" i="3"/>
  <c r="R7" i="3" s="1"/>
  <c r="T7" i="3"/>
  <c r="U7" i="3"/>
  <c r="V7" i="3"/>
  <c r="S17" i="3"/>
  <c r="R17" i="3" s="1"/>
  <c r="T17" i="3"/>
  <c r="U17" i="3"/>
  <c r="V17" i="3"/>
  <c r="S44" i="3"/>
  <c r="R44" i="3" s="1"/>
  <c r="T44" i="3"/>
  <c r="U44" i="3"/>
  <c r="V44" i="3"/>
  <c r="S25" i="3"/>
  <c r="R25" i="3" s="1"/>
  <c r="T25" i="3"/>
  <c r="U25" i="3"/>
  <c r="V25" i="3"/>
  <c r="S34" i="3"/>
  <c r="R34" i="3" s="1"/>
  <c r="T34" i="3"/>
  <c r="U34" i="3"/>
  <c r="V34" i="3"/>
  <c r="S20" i="3"/>
  <c r="R20" i="3" s="1"/>
  <c r="T20" i="3"/>
  <c r="U20" i="3"/>
  <c r="V20" i="3"/>
  <c r="S35" i="3"/>
  <c r="R35" i="3" s="1"/>
  <c r="T35" i="3"/>
  <c r="U35" i="3"/>
  <c r="V35" i="3"/>
  <c r="P46" i="3"/>
  <c r="Q46" i="3"/>
  <c r="S46" i="3"/>
  <c r="R46" i="3" s="1"/>
  <c r="T46" i="3"/>
  <c r="U46" i="3"/>
  <c r="V46" i="3"/>
  <c r="S36" i="3"/>
  <c r="R36" i="3" s="1"/>
  <c r="T36" i="3"/>
  <c r="U36" i="3"/>
  <c r="V36" i="3"/>
  <c r="S15" i="3"/>
  <c r="R15" i="3" s="1"/>
  <c r="T15" i="3"/>
  <c r="U15" i="3"/>
  <c r="V15" i="3"/>
  <c r="S19" i="3"/>
  <c r="R19" i="3" s="1"/>
  <c r="T19" i="3"/>
  <c r="U19" i="3"/>
  <c r="V19" i="3"/>
  <c r="K14" i="1"/>
  <c r="L14" i="1"/>
  <c r="M14" i="1"/>
  <c r="N14" i="1" s="1"/>
  <c r="V14" i="1"/>
  <c r="Y14" i="1"/>
  <c r="Z14" i="1"/>
  <c r="AB14" i="1"/>
  <c r="AC14" i="1"/>
  <c r="AD14" i="1"/>
  <c r="AE14" i="1"/>
  <c r="AF14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K22" i="1"/>
  <c r="L22" i="1"/>
  <c r="M22" i="1"/>
  <c r="V22" i="1"/>
  <c r="Y22" i="1"/>
  <c r="Z22" i="1"/>
  <c r="AB22" i="1"/>
  <c r="AC22" i="1"/>
  <c r="AD22" i="1"/>
  <c r="AE22" i="1"/>
  <c r="AF22" i="1"/>
  <c r="K23" i="1"/>
  <c r="L23" i="1"/>
  <c r="M23" i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K25" i="1"/>
  <c r="L25" i="1"/>
  <c r="M25" i="1"/>
  <c r="V25" i="1"/>
  <c r="Q24" i="3" s="1"/>
  <c r="Y25" i="1"/>
  <c r="Z25" i="1"/>
  <c r="AB25" i="1"/>
  <c r="AC25" i="1"/>
  <c r="AD25" i="1"/>
  <c r="AG25" i="1" s="1"/>
  <c r="AE25" i="1"/>
  <c r="P24" i="3" s="1"/>
  <c r="AF25" i="1"/>
  <c r="K26" i="1"/>
  <c r="L26" i="1"/>
  <c r="M26" i="1"/>
  <c r="V26" i="1"/>
  <c r="Y26" i="1"/>
  <c r="Z26" i="1"/>
  <c r="AB26" i="1"/>
  <c r="AC26" i="1"/>
  <c r="AD26" i="1"/>
  <c r="AG26" i="1" s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P28" i="1" s="1"/>
  <c r="V28" i="1"/>
  <c r="Y28" i="1"/>
  <c r="Z28" i="1"/>
  <c r="AB28" i="1"/>
  <c r="AC28" i="1"/>
  <c r="AD28" i="1"/>
  <c r="AE28" i="1"/>
  <c r="AF28" i="1"/>
  <c r="K30" i="1"/>
  <c r="L30" i="1"/>
  <c r="M30" i="1"/>
  <c r="N30" i="1" s="1"/>
  <c r="V30" i="1"/>
  <c r="Q11" i="3" s="1"/>
  <c r="Y30" i="1"/>
  <c r="Z30" i="1"/>
  <c r="AB30" i="1"/>
  <c r="AC30" i="1"/>
  <c r="AD30" i="1"/>
  <c r="T30" i="1" s="1"/>
  <c r="AE30" i="1"/>
  <c r="P8" i="3" s="1"/>
  <c r="AF30" i="1"/>
  <c r="K31" i="1"/>
  <c r="L31" i="1"/>
  <c r="M31" i="1"/>
  <c r="V31" i="1"/>
  <c r="Y31" i="1"/>
  <c r="Z31" i="1"/>
  <c r="AB31" i="1"/>
  <c r="AC31" i="1"/>
  <c r="AD31" i="1"/>
  <c r="AE31" i="1"/>
  <c r="AF31" i="1"/>
  <c r="K32" i="1"/>
  <c r="L32" i="1"/>
  <c r="M32" i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Q26" i="3" s="1"/>
  <c r="Y33" i="1"/>
  <c r="Z33" i="1"/>
  <c r="AB33" i="1"/>
  <c r="AC33" i="1"/>
  <c r="AD33" i="1"/>
  <c r="AE33" i="1"/>
  <c r="P9" i="3" s="1"/>
  <c r="AF33" i="1"/>
  <c r="K34" i="1"/>
  <c r="L34" i="1"/>
  <c r="M34" i="1"/>
  <c r="V34" i="1"/>
  <c r="Y34" i="1"/>
  <c r="Z34" i="1"/>
  <c r="AB34" i="1"/>
  <c r="AC34" i="1"/>
  <c r="AD34" i="1"/>
  <c r="T34" i="1" s="1"/>
  <c r="AE34" i="1"/>
  <c r="AF34" i="1"/>
  <c r="K35" i="1"/>
  <c r="L35" i="1"/>
  <c r="M35" i="1"/>
  <c r="V35" i="1"/>
  <c r="Y35" i="1"/>
  <c r="Z35" i="1"/>
  <c r="AB35" i="1"/>
  <c r="AC35" i="1"/>
  <c r="AD35" i="1"/>
  <c r="AE35" i="1"/>
  <c r="AF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K37" i="1"/>
  <c r="L37" i="1"/>
  <c r="M37" i="1"/>
  <c r="P37" i="1" s="1"/>
  <c r="V37" i="1"/>
  <c r="Q13" i="3" s="1"/>
  <c r="Y37" i="1"/>
  <c r="Z37" i="1"/>
  <c r="AB37" i="1"/>
  <c r="AC37" i="1"/>
  <c r="AD37" i="1"/>
  <c r="AE37" i="1"/>
  <c r="P13" i="3" s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K49" i="1"/>
  <c r="L49" i="1"/>
  <c r="M49" i="1"/>
  <c r="N49" i="1" s="1"/>
  <c r="V49" i="1"/>
  <c r="Q10" i="3" s="1"/>
  <c r="Y49" i="1"/>
  <c r="Z49" i="1"/>
  <c r="AB49" i="1"/>
  <c r="AC49" i="1"/>
  <c r="AD49" i="1"/>
  <c r="T49" i="1" s="1"/>
  <c r="AE49" i="1"/>
  <c r="P22" i="3" s="1"/>
  <c r="AF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K51" i="1"/>
  <c r="L51" i="1"/>
  <c r="M51" i="1"/>
  <c r="N51" i="1" s="1"/>
  <c r="V51" i="1"/>
  <c r="Q37" i="3" s="1"/>
  <c r="Y51" i="1"/>
  <c r="Z51" i="1"/>
  <c r="AB51" i="1"/>
  <c r="AC51" i="1"/>
  <c r="AD51" i="1"/>
  <c r="AE51" i="1"/>
  <c r="P37" i="3" s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Q28" i="3" s="1"/>
  <c r="Y56" i="1"/>
  <c r="Z56" i="1"/>
  <c r="AB56" i="1"/>
  <c r="AC56" i="1"/>
  <c r="AD56" i="1"/>
  <c r="AG56" i="1" s="1"/>
  <c r="AE56" i="1"/>
  <c r="P28" i="3" s="1"/>
  <c r="AF56" i="1"/>
  <c r="K57" i="1"/>
  <c r="L57" i="1"/>
  <c r="M57" i="1"/>
  <c r="P57" i="1" s="1"/>
  <c r="V57" i="1"/>
  <c r="Y57" i="1"/>
  <c r="Z57" i="1"/>
  <c r="AB57" i="1"/>
  <c r="AC57" i="1"/>
  <c r="AD57" i="1"/>
  <c r="AE57" i="1"/>
  <c r="AF57" i="1"/>
  <c r="K58" i="1"/>
  <c r="L58" i="1"/>
  <c r="M58" i="1"/>
  <c r="N58" i="1" s="1"/>
  <c r="V58" i="1"/>
  <c r="Q21" i="3" s="1"/>
  <c r="Y58" i="1"/>
  <c r="Z58" i="1"/>
  <c r="AB58" i="1"/>
  <c r="AC58" i="1"/>
  <c r="AD58" i="1"/>
  <c r="AE58" i="1"/>
  <c r="P21" i="3" s="1"/>
  <c r="AF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K60" i="1"/>
  <c r="L60" i="1"/>
  <c r="M60" i="1"/>
  <c r="N60" i="1" s="1"/>
  <c r="V60" i="1"/>
  <c r="Q29" i="3" s="1"/>
  <c r="Y60" i="1"/>
  <c r="Z60" i="1"/>
  <c r="AB60" i="1"/>
  <c r="AC60" i="1"/>
  <c r="AD60" i="1"/>
  <c r="T60" i="1" s="1"/>
  <c r="AE60" i="1"/>
  <c r="P29" i="3" s="1"/>
  <c r="AF60" i="1"/>
  <c r="K63" i="1"/>
  <c r="L63" i="1"/>
  <c r="M63" i="1"/>
  <c r="P63" i="1" s="1"/>
  <c r="V63" i="1"/>
  <c r="Y63" i="1"/>
  <c r="Z63" i="1"/>
  <c r="AB63" i="1"/>
  <c r="AC63" i="1"/>
  <c r="AD63" i="1"/>
  <c r="AG63" i="1" s="1"/>
  <c r="AE63" i="1"/>
  <c r="AF63" i="1"/>
  <c r="K64" i="1"/>
  <c r="L64" i="1"/>
  <c r="M64" i="1"/>
  <c r="N64" i="1" s="1"/>
  <c r="V64" i="1"/>
  <c r="Q30" i="3" s="1"/>
  <c r="Y64" i="1"/>
  <c r="Z64" i="1"/>
  <c r="AB64" i="1"/>
  <c r="AC64" i="1"/>
  <c r="AD64" i="1"/>
  <c r="AE64" i="1"/>
  <c r="P30" i="3" s="1"/>
  <c r="AF64" i="1"/>
  <c r="K65" i="1"/>
  <c r="L65" i="1"/>
  <c r="M65" i="1"/>
  <c r="N65" i="1" s="1"/>
  <c r="V65" i="1"/>
  <c r="Q38" i="3" s="1"/>
  <c r="Y65" i="1"/>
  <c r="Z65" i="1"/>
  <c r="AB65" i="1"/>
  <c r="AC65" i="1"/>
  <c r="AD65" i="1"/>
  <c r="T65" i="1" s="1"/>
  <c r="AE65" i="1"/>
  <c r="P38" i="3" s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Q14" i="3" s="1"/>
  <c r="Y67" i="1"/>
  <c r="Z67" i="1"/>
  <c r="AB67" i="1"/>
  <c r="AC67" i="1"/>
  <c r="AD67" i="1"/>
  <c r="AG67" i="1" s="1"/>
  <c r="AE67" i="1"/>
  <c r="P27" i="3" s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K76" i="1"/>
  <c r="L76" i="1"/>
  <c r="M76" i="1"/>
  <c r="N76" i="1" s="1"/>
  <c r="V76" i="1"/>
  <c r="Q31" i="3" s="1"/>
  <c r="Y76" i="1"/>
  <c r="Z76" i="1"/>
  <c r="AB76" i="1"/>
  <c r="AC76" i="1"/>
  <c r="AD76" i="1"/>
  <c r="AG76" i="1" s="1"/>
  <c r="AE76" i="1"/>
  <c r="P31" i="3" s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K85" i="1"/>
  <c r="L85" i="1"/>
  <c r="M85" i="1"/>
  <c r="N85" i="1" s="1"/>
  <c r="V85" i="1"/>
  <c r="Q18" i="3" s="1"/>
  <c r="Y85" i="1"/>
  <c r="Z85" i="1"/>
  <c r="AB85" i="1"/>
  <c r="AC85" i="1"/>
  <c r="AD85" i="1"/>
  <c r="T85" i="1" s="1"/>
  <c r="AE85" i="1"/>
  <c r="P18" i="3" s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Q16" i="3" s="1"/>
  <c r="Y90" i="1"/>
  <c r="Z90" i="1"/>
  <c r="AB90" i="1"/>
  <c r="AC90" i="1"/>
  <c r="AD90" i="1"/>
  <c r="T90" i="1" s="1"/>
  <c r="AE90" i="1"/>
  <c r="P16" i="3" s="1"/>
  <c r="AF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K94" i="1"/>
  <c r="L94" i="1"/>
  <c r="M94" i="1"/>
  <c r="N94" i="1" s="1"/>
  <c r="V94" i="1"/>
  <c r="Q32" i="3" s="1"/>
  <c r="Y94" i="1"/>
  <c r="Z94" i="1"/>
  <c r="AB94" i="1"/>
  <c r="AC94" i="1"/>
  <c r="AD94" i="1"/>
  <c r="T94" i="1" s="1"/>
  <c r="AE94" i="1"/>
  <c r="P32" i="3" s="1"/>
  <c r="AF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Q42" i="3" s="1"/>
  <c r="Y172" i="1"/>
  <c r="Z172" i="1"/>
  <c r="AB172" i="1"/>
  <c r="AC172" i="1"/>
  <c r="AD172" i="1"/>
  <c r="T172" i="1" s="1"/>
  <c r="AE172" i="1"/>
  <c r="P42" i="3" s="1"/>
  <c r="AF172" i="1"/>
  <c r="K97" i="1"/>
  <c r="L97" i="1"/>
  <c r="M97" i="1"/>
  <c r="P97" i="1" s="1"/>
  <c r="V97" i="1"/>
  <c r="Y97" i="1"/>
  <c r="Z97" i="1"/>
  <c r="AB97" i="1"/>
  <c r="AC97" i="1"/>
  <c r="AD97" i="1"/>
  <c r="AE97" i="1"/>
  <c r="AF97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Q41" i="3" s="1"/>
  <c r="Y175" i="1"/>
  <c r="Z175" i="1"/>
  <c r="AB175" i="1"/>
  <c r="AC175" i="1"/>
  <c r="AD175" i="1"/>
  <c r="T175" i="1" s="1"/>
  <c r="AE175" i="1"/>
  <c r="P41" i="3" s="1"/>
  <c r="AF175" i="1"/>
  <c r="K176" i="1"/>
  <c r="L176" i="1"/>
  <c r="M176" i="1"/>
  <c r="N176" i="1" s="1"/>
  <c r="V176" i="1"/>
  <c r="Q43" i="3" s="1"/>
  <c r="Y176" i="1"/>
  <c r="Z176" i="1"/>
  <c r="AB176" i="1"/>
  <c r="AC176" i="1"/>
  <c r="AD176" i="1"/>
  <c r="AG176" i="1" s="1"/>
  <c r="AE176" i="1"/>
  <c r="P43" i="3" s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Q45" i="3" s="1"/>
  <c r="Y178" i="1"/>
  <c r="Z178" i="1"/>
  <c r="AB178" i="1"/>
  <c r="AC178" i="1"/>
  <c r="AD178" i="1"/>
  <c r="T178" i="1" s="1"/>
  <c r="AE178" i="1"/>
  <c r="P45" i="3" s="1"/>
  <c r="AF17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K98" i="1"/>
  <c r="L98" i="1"/>
  <c r="M98" i="1"/>
  <c r="N98" i="1" s="1"/>
  <c r="V98" i="1"/>
  <c r="Y98" i="1"/>
  <c r="Z98" i="1"/>
  <c r="AB98" i="1"/>
  <c r="AC98" i="1"/>
  <c r="AD98" i="1"/>
  <c r="AG98" i="1" s="1"/>
  <c r="AE98" i="1"/>
  <c r="AF9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K185" i="1"/>
  <c r="L185" i="1"/>
  <c r="M185" i="1"/>
  <c r="N185" i="1" s="1"/>
  <c r="V185" i="1"/>
  <c r="Q44" i="3" s="1"/>
  <c r="Y185" i="1"/>
  <c r="Z185" i="1"/>
  <c r="AB185" i="1"/>
  <c r="AC185" i="1"/>
  <c r="AD185" i="1"/>
  <c r="T185" i="1" s="1"/>
  <c r="AE185" i="1"/>
  <c r="P44" i="3" s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00" i="1"/>
  <c r="L100" i="1"/>
  <c r="M100" i="1"/>
  <c r="N100" i="1" s="1"/>
  <c r="V100" i="1"/>
  <c r="Q33" i="3" s="1"/>
  <c r="Y100" i="1"/>
  <c r="Z100" i="1"/>
  <c r="AB100" i="1"/>
  <c r="AC100" i="1"/>
  <c r="AD100" i="1"/>
  <c r="AE100" i="1"/>
  <c r="P33" i="3" s="1"/>
  <c r="AF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N106" i="1" s="1"/>
  <c r="V106" i="1"/>
  <c r="Q7" i="3" s="1"/>
  <c r="Y106" i="1"/>
  <c r="Z106" i="1"/>
  <c r="AB106" i="1"/>
  <c r="AC106" i="1"/>
  <c r="AD106" i="1"/>
  <c r="AG106" i="1" s="1"/>
  <c r="AE106" i="1"/>
  <c r="P7" i="3" s="1"/>
  <c r="AF106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Q17" i="3" s="1"/>
  <c r="Y108" i="1"/>
  <c r="Z108" i="1"/>
  <c r="AB108" i="1"/>
  <c r="AC108" i="1"/>
  <c r="AD108" i="1"/>
  <c r="T108" i="1" s="1"/>
  <c r="AE108" i="1"/>
  <c r="P17" i="3" s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K120" i="1"/>
  <c r="L120" i="1"/>
  <c r="M120" i="1"/>
  <c r="N120" i="1" s="1"/>
  <c r="V120" i="1"/>
  <c r="Q34" i="3" s="1"/>
  <c r="Y120" i="1"/>
  <c r="Z120" i="1"/>
  <c r="AB120" i="1"/>
  <c r="AC120" i="1"/>
  <c r="AD120" i="1"/>
  <c r="AE120" i="1"/>
  <c r="P34" i="3" s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Q25" i="3" s="1"/>
  <c r="Y122" i="1"/>
  <c r="Z122" i="1"/>
  <c r="AB122" i="1"/>
  <c r="AC122" i="1"/>
  <c r="AD122" i="1"/>
  <c r="T122" i="1" s="1"/>
  <c r="AE122" i="1"/>
  <c r="P25" i="3" s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Q35" i="3" s="1"/>
  <c r="Y128" i="1"/>
  <c r="Z128" i="1"/>
  <c r="AB128" i="1"/>
  <c r="AC128" i="1"/>
  <c r="AD128" i="1"/>
  <c r="T128" i="1" s="1"/>
  <c r="AE128" i="1"/>
  <c r="P35" i="3" s="1"/>
  <c r="AF128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Q20" i="3" s="1"/>
  <c r="Y131" i="1"/>
  <c r="Z131" i="1"/>
  <c r="AB131" i="1"/>
  <c r="AC131" i="1"/>
  <c r="AD131" i="1"/>
  <c r="T131" i="1" s="1"/>
  <c r="AE131" i="1"/>
  <c r="P20" i="3" s="1"/>
  <c r="AF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Q36" i="3" s="1"/>
  <c r="Y142" i="1"/>
  <c r="Z142" i="1"/>
  <c r="AB142" i="1"/>
  <c r="AC142" i="1"/>
  <c r="AD142" i="1"/>
  <c r="AG142" i="1" s="1"/>
  <c r="AE142" i="1"/>
  <c r="P36" i="3" s="1"/>
  <c r="AF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K149" i="1"/>
  <c r="L149" i="1"/>
  <c r="M149" i="1"/>
  <c r="N149" i="1" s="1"/>
  <c r="V149" i="1"/>
  <c r="Q15" i="3" s="1"/>
  <c r="Y149" i="1"/>
  <c r="Z149" i="1"/>
  <c r="AB149" i="1"/>
  <c r="AC149" i="1"/>
  <c r="AD149" i="1"/>
  <c r="T149" i="1" s="1"/>
  <c r="AE149" i="1"/>
  <c r="P15" i="3" s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Q19" i="3" s="1"/>
  <c r="Y155" i="1"/>
  <c r="Z155" i="1"/>
  <c r="AB155" i="1"/>
  <c r="AC155" i="1"/>
  <c r="AD155" i="1"/>
  <c r="T155" i="1" s="1"/>
  <c r="AE155" i="1"/>
  <c r="P19" i="3" s="1"/>
  <c r="AF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9" i="1"/>
  <c r="L229" i="1"/>
  <c r="M229" i="1"/>
  <c r="N229" i="1" s="1"/>
  <c r="V229" i="1"/>
  <c r="Y229" i="1"/>
  <c r="Z229" i="1"/>
  <c r="AB229" i="1"/>
  <c r="AC229" i="1"/>
  <c r="AD229" i="1"/>
  <c r="AE229" i="1"/>
  <c r="AF229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T70" i="1" l="1"/>
  <c r="X70" i="1"/>
  <c r="AA29" i="1"/>
  <c r="AA16" i="1"/>
  <c r="AI16" i="1" s="1"/>
  <c r="AA15" i="1"/>
  <c r="AA62" i="1"/>
  <c r="X31" i="1"/>
  <c r="X74" i="1"/>
  <c r="X64" i="1"/>
  <c r="X16" i="1"/>
  <c r="X72" i="1"/>
  <c r="AA61" i="1"/>
  <c r="AA70" i="1"/>
  <c r="AI70" i="1" s="1"/>
  <c r="X63" i="1"/>
  <c r="X62" i="1"/>
  <c r="X194" i="1"/>
  <c r="AA69" i="1"/>
  <c r="X73" i="1"/>
  <c r="X69" i="1"/>
  <c r="X18" i="1"/>
  <c r="X29" i="1"/>
  <c r="X161" i="1"/>
  <c r="X67" i="1"/>
  <c r="AA83" i="1"/>
  <c r="X196" i="1"/>
  <c r="X75" i="1"/>
  <c r="X71" i="1"/>
  <c r="X66" i="1"/>
  <c r="X199" i="1"/>
  <c r="X195" i="1"/>
  <c r="X65" i="1"/>
  <c r="X61" i="1"/>
  <c r="X30" i="1"/>
  <c r="X85" i="1"/>
  <c r="AA84" i="1"/>
  <c r="W84" i="1" s="1"/>
  <c r="U84" i="1"/>
  <c r="S84" i="1" s="1"/>
  <c r="X84" i="1"/>
  <c r="AG83" i="1"/>
  <c r="X83" i="1"/>
  <c r="X15" i="1"/>
  <c r="AG16" i="1"/>
  <c r="X17" i="1"/>
  <c r="W70" i="1"/>
  <c r="U70" i="1"/>
  <c r="S70" i="1" s="1"/>
  <c r="AG69" i="1"/>
  <c r="W69" i="1" s="1"/>
  <c r="AG62" i="1"/>
  <c r="U62" i="1" s="1"/>
  <c r="S62" i="1" s="1"/>
  <c r="AG61" i="1"/>
  <c r="AG15" i="1"/>
  <c r="AG29" i="1"/>
  <c r="AA43" i="1"/>
  <c r="AG43" i="1"/>
  <c r="X202" i="1"/>
  <c r="X193" i="1"/>
  <c r="AA154" i="1"/>
  <c r="W154" i="1" s="1"/>
  <c r="X192" i="1"/>
  <c r="X163" i="1"/>
  <c r="X51" i="1"/>
  <c r="X37" i="1"/>
  <c r="P34" i="1"/>
  <c r="P31" i="1"/>
  <c r="P25" i="1"/>
  <c r="P22" i="1"/>
  <c r="X191" i="1"/>
  <c r="X39" i="1"/>
  <c r="X164" i="1"/>
  <c r="X160" i="1"/>
  <c r="X177" i="1"/>
  <c r="X167" i="1"/>
  <c r="X159" i="1"/>
  <c r="X176" i="1"/>
  <c r="X53" i="1"/>
  <c r="X166" i="1"/>
  <c r="X162" i="1"/>
  <c r="X179" i="1"/>
  <c r="X175" i="1"/>
  <c r="X153" i="1"/>
  <c r="X38" i="1"/>
  <c r="AA22" i="1"/>
  <c r="AA48" i="1"/>
  <c r="AI48" i="1" s="1"/>
  <c r="AA47" i="1"/>
  <c r="AA46" i="1"/>
  <c r="AA45" i="1"/>
  <c r="AA44" i="1"/>
  <c r="W44" i="1" s="1"/>
  <c r="X49" i="1"/>
  <c r="X165" i="1"/>
  <c r="X178" i="1"/>
  <c r="X174" i="1"/>
  <c r="X156" i="1"/>
  <c r="X148" i="1"/>
  <c r="X42" i="1"/>
  <c r="X155" i="1"/>
  <c r="AG111" i="1"/>
  <c r="U111" i="1" s="1"/>
  <c r="S111" i="1" s="1"/>
  <c r="T164" i="1"/>
  <c r="AA36" i="1"/>
  <c r="AA23" i="1"/>
  <c r="X45" i="1"/>
  <c r="X154" i="1"/>
  <c r="X40" i="1"/>
  <c r="X157" i="1"/>
  <c r="W10" i="3"/>
  <c r="X47" i="1"/>
  <c r="X43" i="1"/>
  <c r="X41" i="1"/>
  <c r="AG59" i="1"/>
  <c r="U59" i="1" s="1"/>
  <c r="S59" i="1" s="1"/>
  <c r="Q9" i="3"/>
  <c r="X52" i="1"/>
  <c r="X48" i="1"/>
  <c r="X44" i="1"/>
  <c r="AA220" i="1"/>
  <c r="T148" i="1"/>
  <c r="AG123" i="1"/>
  <c r="AA170" i="1"/>
  <c r="AA90" i="1"/>
  <c r="AA87" i="1"/>
  <c r="W87" i="1" s="1"/>
  <c r="X54" i="1"/>
  <c r="X50" i="1"/>
  <c r="X46" i="1"/>
  <c r="T154" i="1"/>
  <c r="U154" i="1" s="1"/>
  <c r="S154" i="1" s="1"/>
  <c r="AA95" i="1"/>
  <c r="AI95" i="1" s="1"/>
  <c r="AA221" i="1"/>
  <c r="AA205" i="1"/>
  <c r="AA144" i="1"/>
  <c r="AA132" i="1"/>
  <c r="AG191" i="1"/>
  <c r="U191" i="1" s="1"/>
  <c r="S191" i="1" s="1"/>
  <c r="AA186" i="1"/>
  <c r="AA178" i="1"/>
  <c r="AA175" i="1"/>
  <c r="AA26" i="1"/>
  <c r="W26" i="1" s="1"/>
  <c r="X22" i="1"/>
  <c r="W30" i="3"/>
  <c r="W39" i="3"/>
  <c r="W29" i="3"/>
  <c r="AA230" i="1"/>
  <c r="AA214" i="1"/>
  <c r="AA165" i="1"/>
  <c r="AI165" i="1" s="1"/>
  <c r="T76" i="1"/>
  <c r="U76" i="1" s="1"/>
  <c r="S76" i="1" s="1"/>
  <c r="AA74" i="1"/>
  <c r="AA42" i="1"/>
  <c r="AA28" i="1"/>
  <c r="W45" i="3"/>
  <c r="Q22" i="3"/>
  <c r="T48" i="1"/>
  <c r="U48" i="1" s="1"/>
  <c r="S48" i="1" s="1"/>
  <c r="W18" i="3"/>
  <c r="W14" i="3"/>
  <c r="W8" i="3"/>
  <c r="W11" i="3"/>
  <c r="W22" i="3"/>
  <c r="W24" i="3"/>
  <c r="AG47" i="1"/>
  <c r="AG45" i="1"/>
  <c r="T44" i="1"/>
  <c r="U44" i="1" s="1"/>
  <c r="S44" i="1" s="1"/>
  <c r="AG46" i="1"/>
  <c r="P12" i="3"/>
  <c r="W27" i="3"/>
  <c r="P14" i="3"/>
  <c r="P11" i="3"/>
  <c r="P39" i="3"/>
  <c r="P10" i="3"/>
  <c r="P26" i="3"/>
  <c r="W36" i="3"/>
  <c r="W46" i="3"/>
  <c r="W16" i="3"/>
  <c r="W25" i="3"/>
  <c r="W44" i="3"/>
  <c r="W31" i="3"/>
  <c r="W28" i="3"/>
  <c r="W19" i="3"/>
  <c r="W20" i="3"/>
  <c r="W34" i="3"/>
  <c r="W33" i="3"/>
  <c r="W41" i="3"/>
  <c r="W42" i="3"/>
  <c r="W37" i="3"/>
  <c r="W9" i="3"/>
  <c r="W26" i="3"/>
  <c r="AG85" i="1"/>
  <c r="AA80" i="1"/>
  <c r="Q40" i="3"/>
  <c r="Q27" i="3"/>
  <c r="Q8" i="3"/>
  <c r="X120" i="1"/>
  <c r="AG107" i="1"/>
  <c r="U107" i="1" s="1"/>
  <c r="S107" i="1" s="1"/>
  <c r="AA187" i="1"/>
  <c r="AG182" i="1"/>
  <c r="U182" i="1" s="1"/>
  <c r="S182" i="1" s="1"/>
  <c r="X182" i="1"/>
  <c r="X98" i="1"/>
  <c r="AG171" i="1"/>
  <c r="U171" i="1" s="1"/>
  <c r="S171" i="1" s="1"/>
  <c r="X171" i="1"/>
  <c r="T169" i="1"/>
  <c r="U169" i="1" s="1"/>
  <c r="S169" i="1" s="1"/>
  <c r="AG164" i="1"/>
  <c r="AA25" i="1"/>
  <c r="AI25" i="1" s="1"/>
  <c r="AG22" i="1"/>
  <c r="AG21" i="1"/>
  <c r="U21" i="1" s="1"/>
  <c r="S21" i="1" s="1"/>
  <c r="AA19" i="1"/>
  <c r="P40" i="3"/>
  <c r="AA180" i="1"/>
  <c r="W180" i="1" s="1"/>
  <c r="T224" i="1"/>
  <c r="U224" i="1" s="1"/>
  <c r="S224" i="1" s="1"/>
  <c r="AA222" i="1"/>
  <c r="AA202" i="1"/>
  <c r="T201" i="1"/>
  <c r="U201" i="1" s="1"/>
  <c r="S201" i="1" s="1"/>
  <c r="AA137" i="1"/>
  <c r="W137" i="1" s="1"/>
  <c r="AA179" i="1"/>
  <c r="AI179" i="1" s="1"/>
  <c r="AA85" i="1"/>
  <c r="AA67" i="1"/>
  <c r="W67" i="1" s="1"/>
  <c r="AA35" i="1"/>
  <c r="Q39" i="3"/>
  <c r="Q12" i="3"/>
  <c r="W32" i="3"/>
  <c r="W43" i="3"/>
  <c r="W40" i="3"/>
  <c r="W38" i="3"/>
  <c r="W21" i="3"/>
  <c r="W12" i="3"/>
  <c r="W13" i="3"/>
  <c r="W15" i="3"/>
  <c r="W35" i="3"/>
  <c r="W17" i="3"/>
  <c r="W7" i="3"/>
  <c r="T17" i="1"/>
  <c r="U17" i="1" s="1"/>
  <c r="S17" i="1" s="1"/>
  <c r="AA201" i="1"/>
  <c r="W201" i="1" s="1"/>
  <c r="AA198" i="1"/>
  <c r="AA160" i="1"/>
  <c r="AG150" i="1"/>
  <c r="U150" i="1" s="1"/>
  <c r="S150" i="1" s="1"/>
  <c r="AA146" i="1"/>
  <c r="AA142" i="1"/>
  <c r="W142" i="1" s="1"/>
  <c r="AA135" i="1"/>
  <c r="AI135" i="1" s="1"/>
  <c r="X133" i="1"/>
  <c r="AA121" i="1"/>
  <c r="W121" i="1" s="1"/>
  <c r="X109" i="1"/>
  <c r="AA108" i="1"/>
  <c r="AG104" i="1"/>
  <c r="U104" i="1" s="1"/>
  <c r="S104" i="1" s="1"/>
  <c r="AA102" i="1"/>
  <c r="AA191" i="1"/>
  <c r="AA185" i="1"/>
  <c r="X184" i="1"/>
  <c r="AG178" i="1"/>
  <c r="U178" i="1" s="1"/>
  <c r="S178" i="1" s="1"/>
  <c r="AA88" i="1"/>
  <c r="AA57" i="1"/>
  <c r="AA50" i="1"/>
  <c r="AA27" i="1"/>
  <c r="AG208" i="1"/>
  <c r="U208" i="1" s="1"/>
  <c r="S208" i="1" s="1"/>
  <c r="AA223" i="1"/>
  <c r="AA157" i="1"/>
  <c r="W157" i="1" s="1"/>
  <c r="T157" i="1"/>
  <c r="U157" i="1" s="1"/>
  <c r="S157" i="1" s="1"/>
  <c r="AA155" i="1"/>
  <c r="AA139" i="1"/>
  <c r="W139" i="1" s="1"/>
  <c r="AG124" i="1"/>
  <c r="U124" i="1" s="1"/>
  <c r="S124" i="1" s="1"/>
  <c r="X124" i="1"/>
  <c r="AG119" i="1"/>
  <c r="U119" i="1" s="1"/>
  <c r="S119" i="1" s="1"/>
  <c r="AA117" i="1"/>
  <c r="AA110" i="1"/>
  <c r="AA109" i="1"/>
  <c r="AI109" i="1" s="1"/>
  <c r="AA106" i="1"/>
  <c r="W106" i="1" s="1"/>
  <c r="AA195" i="1"/>
  <c r="W195" i="1" s="1"/>
  <c r="AA194" i="1"/>
  <c r="AA192" i="1"/>
  <c r="W192" i="1" s="1"/>
  <c r="AA182" i="1"/>
  <c r="AA94" i="1"/>
  <c r="AA82" i="1"/>
  <c r="AA77" i="1"/>
  <c r="W77" i="1" s="1"/>
  <c r="T72" i="1"/>
  <c r="AA63" i="1"/>
  <c r="W63" i="1" s="1"/>
  <c r="AA60" i="1"/>
  <c r="AA39" i="1"/>
  <c r="T25" i="1"/>
  <c r="U25" i="1" s="1"/>
  <c r="AA213" i="1"/>
  <c r="AA153" i="1"/>
  <c r="T132" i="1"/>
  <c r="X132" i="1"/>
  <c r="AG132" i="1"/>
  <c r="AA129" i="1"/>
  <c r="W129" i="1" s="1"/>
  <c r="X128" i="1"/>
  <c r="AG128" i="1"/>
  <c r="AG113" i="1"/>
  <c r="X113" i="1"/>
  <c r="AG229" i="1"/>
  <c r="T229" i="1"/>
  <c r="AG213" i="1"/>
  <c r="T213" i="1"/>
  <c r="T153" i="1"/>
  <c r="AG153" i="1"/>
  <c r="T227" i="1"/>
  <c r="U227" i="1" s="1"/>
  <c r="S227" i="1" s="1"/>
  <c r="T211" i="1"/>
  <c r="U211" i="1" s="1"/>
  <c r="S211" i="1" s="1"/>
  <c r="AG161" i="1"/>
  <c r="T161" i="1"/>
  <c r="AG125" i="1"/>
  <c r="X125" i="1"/>
  <c r="AA125" i="1"/>
  <c r="AA227" i="1"/>
  <c r="W227" i="1" s="1"/>
  <c r="AA211" i="1"/>
  <c r="W211" i="1" s="1"/>
  <c r="AG202" i="1"/>
  <c r="U202" i="1" s="1"/>
  <c r="S202" i="1" s="1"/>
  <c r="AA210" i="1"/>
  <c r="AA162" i="1"/>
  <c r="T143" i="1"/>
  <c r="X143" i="1"/>
  <c r="AG143" i="1"/>
  <c r="AA113" i="1"/>
  <c r="X112" i="1"/>
  <c r="AA140" i="1"/>
  <c r="AA136" i="1"/>
  <c r="AA116" i="1"/>
  <c r="AG194" i="1"/>
  <c r="AG193" i="1"/>
  <c r="U193" i="1" s="1"/>
  <c r="S193" i="1" s="1"/>
  <c r="AG190" i="1"/>
  <c r="AG181" i="1"/>
  <c r="U181" i="1" s="1"/>
  <c r="S181" i="1" s="1"/>
  <c r="X181" i="1"/>
  <c r="AA173" i="1"/>
  <c r="AI173" i="1" s="1"/>
  <c r="AG168" i="1"/>
  <c r="U168" i="1" s="1"/>
  <c r="S168" i="1" s="1"/>
  <c r="AG94" i="1"/>
  <c r="AA66" i="1"/>
  <c r="AA55" i="1"/>
  <c r="W55" i="1" s="1"/>
  <c r="AA40" i="1"/>
  <c r="AG34" i="1"/>
  <c r="AA229" i="1"/>
  <c r="AA226" i="1"/>
  <c r="AA207" i="1"/>
  <c r="AA161" i="1"/>
  <c r="AA159" i="1"/>
  <c r="AA158" i="1"/>
  <c r="AA156" i="1"/>
  <c r="AA152" i="1"/>
  <c r="AG140" i="1"/>
  <c r="U140" i="1" s="1"/>
  <c r="S140" i="1" s="1"/>
  <c r="X140" i="1"/>
  <c r="AA133" i="1"/>
  <c r="W133" i="1" s="1"/>
  <c r="AG131" i="1"/>
  <c r="U131" i="1" s="1"/>
  <c r="S131" i="1" s="1"/>
  <c r="AA124" i="1"/>
  <c r="AA123" i="1"/>
  <c r="AA120" i="1"/>
  <c r="AG112" i="1"/>
  <c r="U112" i="1" s="1"/>
  <c r="S112" i="1" s="1"/>
  <c r="AA111" i="1"/>
  <c r="AA105" i="1"/>
  <c r="AA99" i="1"/>
  <c r="AA188" i="1"/>
  <c r="W188" i="1" s="1"/>
  <c r="AA177" i="1"/>
  <c r="AA172" i="1"/>
  <c r="AA163" i="1"/>
  <c r="AA86" i="1"/>
  <c r="AG72" i="1"/>
  <c r="AG65" i="1"/>
  <c r="U65" i="1" s="1"/>
  <c r="S65" i="1" s="1"/>
  <c r="AA59" i="1"/>
  <c r="T41" i="1"/>
  <c r="U41" i="1" s="1"/>
  <c r="S41" i="1" s="1"/>
  <c r="AG39" i="1"/>
  <c r="U39" i="1" s="1"/>
  <c r="S39" i="1" s="1"/>
  <c r="AA37" i="1"/>
  <c r="AA31" i="1"/>
  <c r="AA17" i="1"/>
  <c r="W17" i="1" s="1"/>
  <c r="AA193" i="1"/>
  <c r="AA181" i="1"/>
  <c r="AA97" i="1"/>
  <c r="T87" i="1"/>
  <c r="U87" i="1" s="1"/>
  <c r="S87" i="1" s="1"/>
  <c r="AA81" i="1"/>
  <c r="W81" i="1" s="1"/>
  <c r="AA73" i="1"/>
  <c r="W73" i="1" s="1"/>
  <c r="AA64" i="1"/>
  <c r="AA54" i="1"/>
  <c r="AA41" i="1"/>
  <c r="W41" i="1" s="1"/>
  <c r="AA38" i="1"/>
  <c r="X35" i="1"/>
  <c r="AA34" i="1"/>
  <c r="AA33" i="1"/>
  <c r="AA32" i="1"/>
  <c r="X26" i="1"/>
  <c r="AA131" i="1"/>
  <c r="AA130" i="1"/>
  <c r="X129" i="1"/>
  <c r="T121" i="1"/>
  <c r="U121" i="1" s="1"/>
  <c r="S121" i="1" s="1"/>
  <c r="T120" i="1"/>
  <c r="X116" i="1"/>
  <c r="AG116" i="1"/>
  <c r="U116" i="1" s="1"/>
  <c r="S116" i="1" s="1"/>
  <c r="AA115" i="1"/>
  <c r="AA114" i="1"/>
  <c r="AG108" i="1"/>
  <c r="U108" i="1" s="1"/>
  <c r="S108" i="1" s="1"/>
  <c r="X108" i="1"/>
  <c r="T100" i="1"/>
  <c r="AG100" i="1"/>
  <c r="AG221" i="1"/>
  <c r="U221" i="1" s="1"/>
  <c r="S221" i="1" s="1"/>
  <c r="AG205" i="1"/>
  <c r="U205" i="1" s="1"/>
  <c r="S205" i="1" s="1"/>
  <c r="AG158" i="1"/>
  <c r="U158" i="1" s="1"/>
  <c r="S158" i="1" s="1"/>
  <c r="AG151" i="1"/>
  <c r="U151" i="1" s="1"/>
  <c r="S151" i="1" s="1"/>
  <c r="X151" i="1"/>
  <c r="AA148" i="1"/>
  <c r="AG147" i="1"/>
  <c r="U147" i="1" s="1"/>
  <c r="S147" i="1" s="1"/>
  <c r="X147" i="1"/>
  <c r="AA145" i="1"/>
  <c r="AG144" i="1"/>
  <c r="U144" i="1" s="1"/>
  <c r="S144" i="1" s="1"/>
  <c r="X144" i="1"/>
  <c r="AA138" i="1"/>
  <c r="X137" i="1"/>
  <c r="AG136" i="1"/>
  <c r="U136" i="1" s="1"/>
  <c r="S136" i="1" s="1"/>
  <c r="X136" i="1"/>
  <c r="T133" i="1"/>
  <c r="U133" i="1" s="1"/>
  <c r="S133" i="1" s="1"/>
  <c r="AA127" i="1"/>
  <c r="AA126" i="1"/>
  <c r="AG117" i="1"/>
  <c r="X117" i="1"/>
  <c r="T115" i="1"/>
  <c r="AG115" i="1"/>
  <c r="AG102" i="1"/>
  <c r="X102" i="1"/>
  <c r="AG226" i="1"/>
  <c r="AG210" i="1"/>
  <c r="AG198" i="1"/>
  <c r="U198" i="1" s="1"/>
  <c r="S198" i="1" s="1"/>
  <c r="AG160" i="1"/>
  <c r="AG156" i="1"/>
  <c r="U156" i="1" s="1"/>
  <c r="S156" i="1" s="1"/>
  <c r="AA150" i="1"/>
  <c r="AA149" i="1"/>
  <c r="AG148" i="1"/>
  <c r="AA143" i="1"/>
  <c r="AA134" i="1"/>
  <c r="T129" i="1"/>
  <c r="U129" i="1" s="1"/>
  <c r="S129" i="1" s="1"/>
  <c r="AA122" i="1"/>
  <c r="X121" i="1"/>
  <c r="AG120" i="1"/>
  <c r="AA151" i="1"/>
  <c r="AA147" i="1"/>
  <c r="AA141" i="1"/>
  <c r="W141" i="1" s="1"/>
  <c r="T137" i="1"/>
  <c r="U137" i="1" s="1"/>
  <c r="S137" i="1" s="1"/>
  <c r="AA128" i="1"/>
  <c r="AG127" i="1"/>
  <c r="U127" i="1" s="1"/>
  <c r="S127" i="1" s="1"/>
  <c r="T125" i="1"/>
  <c r="AA119" i="1"/>
  <c r="T105" i="1"/>
  <c r="X105" i="1"/>
  <c r="AG105" i="1"/>
  <c r="T102" i="1"/>
  <c r="X101" i="1"/>
  <c r="T165" i="1"/>
  <c r="U165" i="1" s="1"/>
  <c r="S165" i="1" s="1"/>
  <c r="T77" i="1"/>
  <c r="U77" i="1" s="1"/>
  <c r="S77" i="1" s="1"/>
  <c r="T67" i="1"/>
  <c r="U67" i="1" s="1"/>
  <c r="S67" i="1" s="1"/>
  <c r="T31" i="1"/>
  <c r="AA18" i="1"/>
  <c r="W18" i="1" s="1"/>
  <c r="T18" i="1"/>
  <c r="U18" i="1" s="1"/>
  <c r="S18" i="1" s="1"/>
  <c r="T113" i="1"/>
  <c r="AA107" i="1"/>
  <c r="AA219" i="1"/>
  <c r="X106" i="1"/>
  <c r="AA101" i="1"/>
  <c r="T195" i="1"/>
  <c r="U195" i="1" s="1"/>
  <c r="S195" i="1" s="1"/>
  <c r="AA190" i="1"/>
  <c r="AA189" i="1"/>
  <c r="X188" i="1"/>
  <c r="AG187" i="1"/>
  <c r="AA183" i="1"/>
  <c r="AA98" i="1"/>
  <c r="W98" i="1" s="1"/>
  <c r="T98" i="1"/>
  <c r="U98" i="1" s="1"/>
  <c r="S98" i="1" s="1"/>
  <c r="AA176" i="1"/>
  <c r="W176" i="1" s="1"/>
  <c r="AG175" i="1"/>
  <c r="AG172" i="1"/>
  <c r="U172" i="1" s="1"/>
  <c r="S172" i="1" s="1"/>
  <c r="AA169" i="1"/>
  <c r="AI169" i="1" s="1"/>
  <c r="AA168" i="1"/>
  <c r="AG167" i="1"/>
  <c r="U167" i="1" s="1"/>
  <c r="S167" i="1" s="1"/>
  <c r="AA164" i="1"/>
  <c r="AA92" i="1"/>
  <c r="W92" i="1" s="1"/>
  <c r="AA91" i="1"/>
  <c r="W91" i="1" s="1"/>
  <c r="AG90" i="1"/>
  <c r="AG86" i="1"/>
  <c r="U86" i="1" s="1"/>
  <c r="S86" i="1" s="1"/>
  <c r="X86" i="1"/>
  <c r="X81" i="1"/>
  <c r="AG80" i="1"/>
  <c r="U80" i="1" s="1"/>
  <c r="S80" i="1" s="1"/>
  <c r="AA79" i="1"/>
  <c r="AA78" i="1"/>
  <c r="AA76" i="1"/>
  <c r="AG75" i="1"/>
  <c r="U75" i="1" s="1"/>
  <c r="S75" i="1" s="1"/>
  <c r="AA68" i="1"/>
  <c r="T66" i="1"/>
  <c r="AG60" i="1"/>
  <c r="X60" i="1"/>
  <c r="X57" i="1"/>
  <c r="AG54" i="1"/>
  <c r="U54" i="1" s="1"/>
  <c r="S54" i="1" s="1"/>
  <c r="AA52" i="1"/>
  <c r="W52" i="1" s="1"/>
  <c r="AA51" i="1"/>
  <c r="AG50" i="1"/>
  <c r="U50" i="1" s="1"/>
  <c r="S50" i="1" s="1"/>
  <c r="AG40" i="1"/>
  <c r="U40" i="1" s="1"/>
  <c r="S40" i="1" s="1"/>
  <c r="T35" i="1"/>
  <c r="AG31" i="1"/>
  <c r="AG30" i="1"/>
  <c r="U30" i="1" s="1"/>
  <c r="S30" i="1" s="1"/>
  <c r="T22" i="1"/>
  <c r="AA20" i="1"/>
  <c r="AA14" i="1"/>
  <c r="AA118" i="1"/>
  <c r="AA112" i="1"/>
  <c r="T109" i="1"/>
  <c r="U109" i="1" s="1"/>
  <c r="S109" i="1" s="1"/>
  <c r="AA104" i="1"/>
  <c r="AA103" i="1"/>
  <c r="AG101" i="1"/>
  <c r="U101" i="1" s="1"/>
  <c r="S101" i="1" s="1"/>
  <c r="T192" i="1"/>
  <c r="U192" i="1" s="1"/>
  <c r="S192" i="1" s="1"/>
  <c r="T184" i="1"/>
  <c r="T179" i="1"/>
  <c r="U179" i="1" s="1"/>
  <c r="S179" i="1" s="1"/>
  <c r="X168" i="1"/>
  <c r="X77" i="1"/>
  <c r="X76" i="1"/>
  <c r="T73" i="1"/>
  <c r="U73" i="1" s="1"/>
  <c r="S73" i="1" s="1"/>
  <c r="AG35" i="1"/>
  <c r="T26" i="1"/>
  <c r="U26" i="1" s="1"/>
  <c r="T106" i="1"/>
  <c r="U106" i="1" s="1"/>
  <c r="S106" i="1" s="1"/>
  <c r="AA100" i="1"/>
  <c r="AA196" i="1"/>
  <c r="T188" i="1"/>
  <c r="U188" i="1" s="1"/>
  <c r="S188" i="1" s="1"/>
  <c r="AA184" i="1"/>
  <c r="AA167" i="1"/>
  <c r="AA166" i="1"/>
  <c r="AA96" i="1"/>
  <c r="W96" i="1" s="1"/>
  <c r="AG89" i="1"/>
  <c r="U89" i="1" s="1"/>
  <c r="S89" i="1" s="1"/>
  <c r="X89" i="1"/>
  <c r="T81" i="1"/>
  <c r="U81" i="1" s="1"/>
  <c r="S81" i="1" s="1"/>
  <c r="AA75" i="1"/>
  <c r="AA72" i="1"/>
  <c r="AG71" i="1"/>
  <c r="U71" i="1" s="1"/>
  <c r="S71" i="1" s="1"/>
  <c r="AG66" i="1"/>
  <c r="T63" i="1"/>
  <c r="U63" i="1" s="1"/>
  <c r="S63" i="1" s="1"/>
  <c r="AA58" i="1"/>
  <c r="AG49" i="1"/>
  <c r="U49" i="1" s="1"/>
  <c r="S49" i="1" s="1"/>
  <c r="AA24" i="1"/>
  <c r="AI180" i="1"/>
  <c r="X221" i="1"/>
  <c r="X158" i="1"/>
  <c r="AG146" i="1"/>
  <c r="T142" i="1"/>
  <c r="U142" i="1" s="1"/>
  <c r="S142" i="1" s="1"/>
  <c r="X142" i="1"/>
  <c r="X141" i="1"/>
  <c r="X150" i="1"/>
  <c r="AG149" i="1"/>
  <c r="X146" i="1"/>
  <c r="AG145" i="1"/>
  <c r="T138" i="1"/>
  <c r="X138" i="1"/>
  <c r="AG138" i="1"/>
  <c r="T135" i="1"/>
  <c r="U135" i="1" s="1"/>
  <c r="S135" i="1" s="1"/>
  <c r="X135" i="1"/>
  <c r="AG223" i="1"/>
  <c r="AG207" i="1"/>
  <c r="AG162" i="1"/>
  <c r="AG159" i="1"/>
  <c r="AG155" i="1"/>
  <c r="AG152" i="1"/>
  <c r="X149" i="1"/>
  <c r="X145" i="1"/>
  <c r="T139" i="1"/>
  <c r="U139" i="1" s="1"/>
  <c r="S139" i="1" s="1"/>
  <c r="X139" i="1"/>
  <c r="T134" i="1"/>
  <c r="X134" i="1"/>
  <c r="AG134" i="1"/>
  <c r="X223" i="1"/>
  <c r="X207" i="1"/>
  <c r="X152" i="1"/>
  <c r="T141" i="1"/>
  <c r="U141" i="1" s="1"/>
  <c r="S141" i="1" s="1"/>
  <c r="X187" i="1"/>
  <c r="AG186" i="1"/>
  <c r="T180" i="1"/>
  <c r="U180" i="1" s="1"/>
  <c r="S180" i="1" s="1"/>
  <c r="X180" i="1"/>
  <c r="AG97" i="1"/>
  <c r="X97" i="1"/>
  <c r="T97" i="1"/>
  <c r="X131" i="1"/>
  <c r="AG130" i="1"/>
  <c r="X127" i="1"/>
  <c r="AG126" i="1"/>
  <c r="X123" i="1"/>
  <c r="AG122" i="1"/>
  <c r="X119" i="1"/>
  <c r="AG118" i="1"/>
  <c r="X115" i="1"/>
  <c r="AG114" i="1"/>
  <c r="X111" i="1"/>
  <c r="AG110" i="1"/>
  <c r="X107" i="1"/>
  <c r="AG219" i="1"/>
  <c r="X104" i="1"/>
  <c r="AG103" i="1"/>
  <c r="X100" i="1"/>
  <c r="AG196" i="1"/>
  <c r="AG99" i="1"/>
  <c r="X190" i="1"/>
  <c r="AG189" i="1"/>
  <c r="X186" i="1"/>
  <c r="AG185" i="1"/>
  <c r="T183" i="1"/>
  <c r="X183" i="1"/>
  <c r="AG183" i="1"/>
  <c r="X130" i="1"/>
  <c r="X126" i="1"/>
  <c r="X122" i="1"/>
  <c r="X118" i="1"/>
  <c r="X114" i="1"/>
  <c r="X110" i="1"/>
  <c r="X103" i="1"/>
  <c r="X99" i="1"/>
  <c r="X189" i="1"/>
  <c r="X185" i="1"/>
  <c r="AG184" i="1"/>
  <c r="AG174" i="1"/>
  <c r="T177" i="1"/>
  <c r="T170" i="1"/>
  <c r="X170" i="1"/>
  <c r="X169" i="1"/>
  <c r="AG166" i="1"/>
  <c r="T163" i="1"/>
  <c r="AG93" i="1"/>
  <c r="X93" i="1"/>
  <c r="T91" i="1"/>
  <c r="U91" i="1" s="1"/>
  <c r="S91" i="1" s="1"/>
  <c r="T88" i="1"/>
  <c r="X88" i="1"/>
  <c r="X87" i="1"/>
  <c r="AG82" i="1"/>
  <c r="T79" i="1"/>
  <c r="X79" i="1"/>
  <c r="T64" i="1"/>
  <c r="AG64" i="1"/>
  <c r="AA56" i="1"/>
  <c r="W56" i="1" s="1"/>
  <c r="AG53" i="1"/>
  <c r="AG177" i="1"/>
  <c r="T173" i="1"/>
  <c r="U173" i="1" s="1"/>
  <c r="S173" i="1" s="1"/>
  <c r="X173" i="1"/>
  <c r="X172" i="1"/>
  <c r="AA171" i="1"/>
  <c r="AG170" i="1"/>
  <c r="AG163" i="1"/>
  <c r="T95" i="1"/>
  <c r="U95" i="1" s="1"/>
  <c r="S95" i="1" s="1"/>
  <c r="T92" i="1"/>
  <c r="U92" i="1" s="1"/>
  <c r="S92" i="1" s="1"/>
  <c r="X92" i="1"/>
  <c r="X91" i="1"/>
  <c r="X90" i="1"/>
  <c r="AA89" i="1"/>
  <c r="AG88" i="1"/>
  <c r="X80" i="1"/>
  <c r="AG79" i="1"/>
  <c r="T78" i="1"/>
  <c r="X78" i="1"/>
  <c r="AG78" i="1"/>
  <c r="AA71" i="1"/>
  <c r="T58" i="1"/>
  <c r="X58" i="1"/>
  <c r="AG58" i="1"/>
  <c r="T38" i="1"/>
  <c r="AG38" i="1"/>
  <c r="T176" i="1"/>
  <c r="U176" i="1" s="1"/>
  <c r="S176" i="1" s="1"/>
  <c r="AA174" i="1"/>
  <c r="T96" i="1"/>
  <c r="U96" i="1" s="1"/>
  <c r="S96" i="1" s="1"/>
  <c r="X96" i="1"/>
  <c r="X95" i="1"/>
  <c r="X94" i="1"/>
  <c r="AA93" i="1"/>
  <c r="T74" i="1"/>
  <c r="AG74" i="1"/>
  <c r="AA65" i="1"/>
  <c r="AG51" i="1"/>
  <c r="T51" i="1"/>
  <c r="T166" i="1"/>
  <c r="T82" i="1"/>
  <c r="X82" i="1"/>
  <c r="T68" i="1"/>
  <c r="X68" i="1"/>
  <c r="AG68" i="1"/>
  <c r="T36" i="1"/>
  <c r="X36" i="1"/>
  <c r="AG36" i="1"/>
  <c r="T33" i="1"/>
  <c r="X33" i="1"/>
  <c r="AG33" i="1"/>
  <c r="X34" i="1"/>
  <c r="T24" i="1"/>
  <c r="X24" i="1"/>
  <c r="AG24" i="1"/>
  <c r="X25" i="1"/>
  <c r="X59" i="1"/>
  <c r="T57" i="1"/>
  <c r="T42" i="1"/>
  <c r="T37" i="1"/>
  <c r="AG57" i="1"/>
  <c r="T55" i="1"/>
  <c r="U55" i="1" s="1"/>
  <c r="S55" i="1" s="1"/>
  <c r="T52" i="1"/>
  <c r="U52" i="1" s="1"/>
  <c r="S52" i="1" s="1"/>
  <c r="AA49" i="1"/>
  <c r="AG42" i="1"/>
  <c r="AG37" i="1"/>
  <c r="T28" i="1"/>
  <c r="X28" i="1"/>
  <c r="AG28" i="1"/>
  <c r="T20" i="1"/>
  <c r="X20" i="1"/>
  <c r="AG20" i="1"/>
  <c r="X21" i="1"/>
  <c r="T14" i="1"/>
  <c r="AG14" i="1"/>
  <c r="T56" i="1"/>
  <c r="U56" i="1" s="1"/>
  <c r="S56" i="1" s="1"/>
  <c r="X56" i="1"/>
  <c r="X55" i="1"/>
  <c r="AA53" i="1"/>
  <c r="AA30" i="1"/>
  <c r="AA21" i="1"/>
  <c r="AG32" i="1"/>
  <c r="AG27" i="1"/>
  <c r="AG23" i="1"/>
  <c r="AG19" i="1"/>
  <c r="X32" i="1"/>
  <c r="X27" i="1"/>
  <c r="X23" i="1"/>
  <c r="X19" i="1"/>
  <c r="AA224" i="1"/>
  <c r="W224" i="1" s="1"/>
  <c r="AG214" i="1"/>
  <c r="U214" i="1" s="1"/>
  <c r="S214" i="1" s="1"/>
  <c r="AA208" i="1"/>
  <c r="AA206" i="1"/>
  <c r="AA199" i="1"/>
  <c r="AI199" i="1" s="1"/>
  <c r="T199" i="1"/>
  <c r="U199" i="1" s="1"/>
  <c r="S199" i="1" s="1"/>
  <c r="X224" i="1"/>
  <c r="AG222" i="1"/>
  <c r="X208" i="1"/>
  <c r="AG206" i="1"/>
  <c r="AG230" i="1"/>
  <c r="X222" i="1"/>
  <c r="AG220" i="1"/>
  <c r="L24" i="3"/>
  <c r="L26" i="3"/>
  <c r="L13" i="3"/>
  <c r="L11" i="3"/>
  <c r="L8" i="3"/>
  <c r="L12" i="3"/>
  <c r="L9" i="3"/>
  <c r="L10" i="3"/>
  <c r="L22" i="3"/>
  <c r="L37" i="3"/>
  <c r="L21" i="3"/>
  <c r="L28" i="3"/>
  <c r="L14" i="3"/>
  <c r="L38" i="3"/>
  <c r="L42" i="3"/>
  <c r="L27" i="3"/>
  <c r="L29" i="3"/>
  <c r="L39" i="3"/>
  <c r="L40" i="3"/>
  <c r="L30" i="3"/>
  <c r="L41" i="3"/>
  <c r="L43" i="3"/>
  <c r="L31" i="3"/>
  <c r="L18" i="3"/>
  <c r="L45" i="3"/>
  <c r="L16" i="3"/>
  <c r="L32" i="3"/>
  <c r="L33" i="3"/>
  <c r="L7" i="3"/>
  <c r="L17" i="3"/>
  <c r="L44" i="3"/>
  <c r="L25" i="3"/>
  <c r="L34" i="3"/>
  <c r="L20" i="3"/>
  <c r="L35" i="3"/>
  <c r="L46" i="3"/>
  <c r="L36" i="3"/>
  <c r="L15" i="3"/>
  <c r="L19" i="3"/>
  <c r="L23" i="3"/>
  <c r="K197" i="1"/>
  <c r="L197" i="1"/>
  <c r="M197" i="1"/>
  <c r="N197" i="1" s="1"/>
  <c r="V197" i="1"/>
  <c r="Y197" i="1"/>
  <c r="Z197" i="1"/>
  <c r="AB197" i="1"/>
  <c r="AC197" i="1"/>
  <c r="AD197" i="1"/>
  <c r="X197" i="1" s="1"/>
  <c r="AE197" i="1"/>
  <c r="AF197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X206" i="1" s="1"/>
  <c r="AE204" i="1"/>
  <c r="AF204" i="1"/>
  <c r="K209" i="1"/>
  <c r="L209" i="1"/>
  <c r="M209" i="1"/>
  <c r="N209" i="1" s="1"/>
  <c r="V209" i="1"/>
  <c r="Y209" i="1"/>
  <c r="Z209" i="1"/>
  <c r="AB209" i="1"/>
  <c r="AC209" i="1"/>
  <c r="AD209" i="1"/>
  <c r="X210" i="1" s="1"/>
  <c r="AE209" i="1"/>
  <c r="AF209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25" i="1"/>
  <c r="L225" i="1"/>
  <c r="M225" i="1"/>
  <c r="N225" i="1" s="1"/>
  <c r="V225" i="1"/>
  <c r="Y225" i="1"/>
  <c r="Z225" i="1"/>
  <c r="AB225" i="1"/>
  <c r="AC225" i="1"/>
  <c r="AD225" i="1"/>
  <c r="X227" i="1" s="1"/>
  <c r="AE225" i="1"/>
  <c r="AF225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K13" i="1"/>
  <c r="L13" i="1"/>
  <c r="M13" i="1"/>
  <c r="N13" i="1" s="1"/>
  <c r="V13" i="1"/>
  <c r="Y13" i="1"/>
  <c r="Z13" i="1"/>
  <c r="AB13" i="1"/>
  <c r="AC13" i="1"/>
  <c r="AD13" i="1"/>
  <c r="AE13" i="1"/>
  <c r="AF13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S23" i="3"/>
  <c r="R23" i="3" s="1"/>
  <c r="T23" i="3"/>
  <c r="U23" i="3"/>
  <c r="V23" i="3"/>
  <c r="W48" i="1" l="1"/>
  <c r="AI15" i="1"/>
  <c r="W16" i="1"/>
  <c r="U102" i="1"/>
  <c r="S102" i="1" s="1"/>
  <c r="W171" i="1"/>
  <c r="W36" i="1"/>
  <c r="AI154" i="1"/>
  <c r="AI201" i="1"/>
  <c r="AI138" i="1"/>
  <c r="U164" i="1"/>
  <c r="S164" i="1" s="1"/>
  <c r="W43" i="1"/>
  <c r="U16" i="1"/>
  <c r="S16" i="1" s="1"/>
  <c r="X201" i="1"/>
  <c r="X198" i="1"/>
  <c r="AI84" i="1"/>
  <c r="AI83" i="1"/>
  <c r="U83" i="1"/>
  <c r="S83" i="1" s="1"/>
  <c r="W83" i="1"/>
  <c r="U43" i="1"/>
  <c r="S43" i="1" s="1"/>
  <c r="U15" i="1"/>
  <c r="S15" i="1" s="1"/>
  <c r="AI69" i="1"/>
  <c r="U69" i="1"/>
  <c r="S69" i="1" s="1"/>
  <c r="AI62" i="1"/>
  <c r="W62" i="1"/>
  <c r="AI61" i="1"/>
  <c r="U61" i="1"/>
  <c r="S61" i="1" s="1"/>
  <c r="W15" i="1"/>
  <c r="W61" i="1"/>
  <c r="AI29" i="1"/>
  <c r="U29" i="1"/>
  <c r="S29" i="1" s="1"/>
  <c r="W29" i="1"/>
  <c r="AI43" i="1"/>
  <c r="AI55" i="1"/>
  <c r="AI155" i="1"/>
  <c r="U113" i="1"/>
  <c r="S113" i="1" s="1"/>
  <c r="W47" i="1"/>
  <c r="AI123" i="1"/>
  <c r="W46" i="1"/>
  <c r="AI132" i="1"/>
  <c r="W22" i="1"/>
  <c r="AI17" i="1"/>
  <c r="AI82" i="1"/>
  <c r="AI47" i="1"/>
  <c r="AI45" i="1"/>
  <c r="W132" i="1"/>
  <c r="W199" i="1"/>
  <c r="AI136" i="1"/>
  <c r="AI44" i="1"/>
  <c r="W222" i="1"/>
  <c r="AI114" i="1"/>
  <c r="W149" i="1"/>
  <c r="W100" i="1"/>
  <c r="U66" i="1"/>
  <c r="S66" i="1" s="1"/>
  <c r="U115" i="1"/>
  <c r="S115" i="1" s="1"/>
  <c r="U213" i="1"/>
  <c r="S213" i="1" s="1"/>
  <c r="W110" i="1"/>
  <c r="W118" i="1"/>
  <c r="W134" i="1"/>
  <c r="W60" i="1"/>
  <c r="W111" i="1"/>
  <c r="W153" i="1"/>
  <c r="AI126" i="1"/>
  <c r="AI140" i="1"/>
  <c r="W187" i="1"/>
  <c r="W173" i="1"/>
  <c r="AI194" i="1"/>
  <c r="AI39" i="1"/>
  <c r="AI139" i="1"/>
  <c r="AI158" i="1"/>
  <c r="S25" i="1"/>
  <c r="AI182" i="1"/>
  <c r="W183" i="1"/>
  <c r="W135" i="1"/>
  <c r="W33" i="1"/>
  <c r="AI130" i="1"/>
  <c r="AI186" i="1"/>
  <c r="AI202" i="1"/>
  <c r="W72" i="1"/>
  <c r="W124" i="1"/>
  <c r="W140" i="1"/>
  <c r="AI113" i="1"/>
  <c r="W178" i="1"/>
  <c r="W123" i="1"/>
  <c r="W165" i="1"/>
  <c r="U148" i="1"/>
  <c r="S148" i="1" s="1"/>
  <c r="W30" i="1"/>
  <c r="W39" i="1"/>
  <c r="AI142" i="1"/>
  <c r="U22" i="1"/>
  <c r="AI90" i="1"/>
  <c r="W102" i="1"/>
  <c r="AI170" i="1"/>
  <c r="W191" i="1"/>
  <c r="W94" i="1"/>
  <c r="T13" i="1"/>
  <c r="X13" i="1"/>
  <c r="AI162" i="1"/>
  <c r="U125" i="1"/>
  <c r="S125" i="1" s="1"/>
  <c r="W117" i="1"/>
  <c r="AI59" i="1"/>
  <c r="AI146" i="1"/>
  <c r="W74" i="1"/>
  <c r="AI38" i="1"/>
  <c r="U123" i="1"/>
  <c r="S123" i="1" s="1"/>
  <c r="U100" i="1"/>
  <c r="S100" i="1" s="1"/>
  <c r="W131" i="1"/>
  <c r="W34" i="1"/>
  <c r="W193" i="1"/>
  <c r="W125" i="1"/>
  <c r="W95" i="1"/>
  <c r="W21" i="1"/>
  <c r="W174" i="1"/>
  <c r="AI111" i="1"/>
  <c r="AI91" i="1"/>
  <c r="AI185" i="1"/>
  <c r="AI151" i="1"/>
  <c r="AI124" i="1"/>
  <c r="AI195" i="1"/>
  <c r="W152" i="1"/>
  <c r="W159" i="1"/>
  <c r="AI66" i="1"/>
  <c r="W31" i="1"/>
  <c r="W147" i="1"/>
  <c r="W143" i="1"/>
  <c r="W113" i="1"/>
  <c r="AI191" i="1"/>
  <c r="AI14" i="1"/>
  <c r="AI88" i="1"/>
  <c r="W90" i="1"/>
  <c r="W150" i="1"/>
  <c r="U47" i="1"/>
  <c r="S47" i="1" s="1"/>
  <c r="AI198" i="1"/>
  <c r="AI189" i="1"/>
  <c r="W109" i="1"/>
  <c r="AI164" i="1"/>
  <c r="W107" i="1"/>
  <c r="W226" i="1"/>
  <c r="W85" i="1"/>
  <c r="AI196" i="1"/>
  <c r="AI161" i="1"/>
  <c r="U229" i="1"/>
  <c r="S229" i="1" s="1"/>
  <c r="U45" i="1"/>
  <c r="S45" i="1" s="1"/>
  <c r="W45" i="1"/>
  <c r="U46" i="1"/>
  <c r="S46" i="1" s="1"/>
  <c r="AI46" i="1"/>
  <c r="AI71" i="1"/>
  <c r="W208" i="1"/>
  <c r="W49" i="1"/>
  <c r="AI68" i="1"/>
  <c r="AI58" i="1"/>
  <c r="AI101" i="1"/>
  <c r="AI72" i="1"/>
  <c r="W179" i="1"/>
  <c r="AI143" i="1"/>
  <c r="U85" i="1"/>
  <c r="S85" i="1" s="1"/>
  <c r="AI193" i="1"/>
  <c r="W75" i="1"/>
  <c r="W167" i="1"/>
  <c r="W104" i="1"/>
  <c r="W160" i="1"/>
  <c r="AI115" i="1"/>
  <c r="W163" i="1"/>
  <c r="AI128" i="1"/>
  <c r="W25" i="1"/>
  <c r="W184" i="1"/>
  <c r="W164" i="1"/>
  <c r="AI147" i="1"/>
  <c r="W59" i="1"/>
  <c r="AI102" i="1"/>
  <c r="W24" i="1"/>
  <c r="AI100" i="1"/>
  <c r="W71" i="1"/>
  <c r="AI79" i="1"/>
  <c r="AI85" i="1"/>
  <c r="U90" i="1"/>
  <c r="S90" i="1" s="1"/>
  <c r="W181" i="1"/>
  <c r="AI157" i="1"/>
  <c r="AI172" i="1"/>
  <c r="W145" i="1"/>
  <c r="U94" i="1"/>
  <c r="S94" i="1" s="1"/>
  <c r="W194" i="1"/>
  <c r="W202" i="1"/>
  <c r="W198" i="1"/>
  <c r="AI37" i="1"/>
  <c r="W50" i="1"/>
  <c r="W169" i="1"/>
  <c r="AI127" i="1"/>
  <c r="AI131" i="1"/>
  <c r="W219" i="1"/>
  <c r="U160" i="1"/>
  <c r="S160" i="1" s="1"/>
  <c r="U117" i="1"/>
  <c r="S117" i="1" s="1"/>
  <c r="U194" i="1"/>
  <c r="S194" i="1" s="1"/>
  <c r="W182" i="1"/>
  <c r="W112" i="1"/>
  <c r="W79" i="1"/>
  <c r="U31" i="1"/>
  <c r="U128" i="1"/>
  <c r="S128" i="1" s="1"/>
  <c r="W40" i="1"/>
  <c r="AI116" i="1"/>
  <c r="U143" i="1"/>
  <c r="S143" i="1" s="1"/>
  <c r="U161" i="1"/>
  <c r="S161" i="1" s="1"/>
  <c r="U132" i="1"/>
  <c r="S132" i="1" s="1"/>
  <c r="W78" i="1"/>
  <c r="AI117" i="1"/>
  <c r="AI176" i="1"/>
  <c r="W119" i="1"/>
  <c r="W210" i="1"/>
  <c r="AI148" i="1"/>
  <c r="W64" i="1"/>
  <c r="AI97" i="1"/>
  <c r="U72" i="1"/>
  <c r="S72" i="1" s="1"/>
  <c r="AI168" i="1"/>
  <c r="AI190" i="1"/>
  <c r="U153" i="1"/>
  <c r="S153" i="1" s="1"/>
  <c r="W151" i="1"/>
  <c r="U120" i="1"/>
  <c r="S120" i="1" s="1"/>
  <c r="W37" i="1"/>
  <c r="AI40" i="1"/>
  <c r="AI94" i="1"/>
  <c r="AI166" i="1"/>
  <c r="AI144" i="1"/>
  <c r="U210" i="1"/>
  <c r="S210" i="1" s="1"/>
  <c r="W144" i="1"/>
  <c r="W148" i="1"/>
  <c r="W156" i="1"/>
  <c r="W65" i="1"/>
  <c r="AI74" i="1"/>
  <c r="W89" i="1"/>
  <c r="AI53" i="1"/>
  <c r="AI107" i="1"/>
  <c r="AI174" i="1"/>
  <c r="AI150" i="1"/>
  <c r="U190" i="1"/>
  <c r="S190" i="1" s="1"/>
  <c r="U226" i="1"/>
  <c r="S226" i="1" s="1"/>
  <c r="W168" i="1"/>
  <c r="W108" i="1"/>
  <c r="W128" i="1"/>
  <c r="W229" i="1"/>
  <c r="AI75" i="1"/>
  <c r="W38" i="1"/>
  <c r="W97" i="1"/>
  <c r="AI118" i="1"/>
  <c r="AI134" i="1"/>
  <c r="AI86" i="1"/>
  <c r="W207" i="1"/>
  <c r="U35" i="1"/>
  <c r="W190" i="1"/>
  <c r="W105" i="1"/>
  <c r="W161" i="1"/>
  <c r="U34" i="1"/>
  <c r="AI34" i="1"/>
  <c r="W213" i="1"/>
  <c r="AG212" i="1"/>
  <c r="X213" i="1"/>
  <c r="AG200" i="1"/>
  <c r="AI24" i="1"/>
  <c r="AI33" i="1"/>
  <c r="AI65" i="1"/>
  <c r="AI183" i="1"/>
  <c r="W66" i="1"/>
  <c r="U187" i="1"/>
  <c r="S187" i="1" s="1"/>
  <c r="AI187" i="1"/>
  <c r="W86" i="1"/>
  <c r="AI21" i="1"/>
  <c r="W172" i="1"/>
  <c r="AI110" i="1"/>
  <c r="W116" i="1"/>
  <c r="W53" i="1"/>
  <c r="AI49" i="1"/>
  <c r="W166" i="1"/>
  <c r="X219" i="1"/>
  <c r="AI159" i="1"/>
  <c r="AI30" i="1"/>
  <c r="U175" i="1"/>
  <c r="S175" i="1" s="1"/>
  <c r="AI175" i="1"/>
  <c r="W101" i="1"/>
  <c r="W35" i="1"/>
  <c r="X230" i="1"/>
  <c r="X229" i="1"/>
  <c r="AI89" i="1"/>
  <c r="AI152" i="1"/>
  <c r="W76" i="1"/>
  <c r="AI76" i="1"/>
  <c r="AI54" i="1"/>
  <c r="W54" i="1"/>
  <c r="W127" i="1"/>
  <c r="W136" i="1"/>
  <c r="W158" i="1"/>
  <c r="X14" i="1"/>
  <c r="AI93" i="1"/>
  <c r="X226" i="1"/>
  <c r="X205" i="1"/>
  <c r="AI51" i="1"/>
  <c r="U60" i="1"/>
  <c r="S60" i="1" s="1"/>
  <c r="AI60" i="1"/>
  <c r="W80" i="1"/>
  <c r="U105" i="1"/>
  <c r="S105" i="1" s="1"/>
  <c r="AI105" i="1"/>
  <c r="AI80" i="1"/>
  <c r="W175" i="1"/>
  <c r="W120" i="1"/>
  <c r="AI98" i="1"/>
  <c r="W115" i="1"/>
  <c r="W221" i="1"/>
  <c r="W205" i="1"/>
  <c r="U51" i="1"/>
  <c r="S51" i="1" s="1"/>
  <c r="AI50" i="1"/>
  <c r="AI64" i="1"/>
  <c r="U82" i="1"/>
  <c r="S82" i="1" s="1"/>
  <c r="AI81" i="1"/>
  <c r="AI92" i="1"/>
  <c r="U93" i="1"/>
  <c r="S93" i="1" s="1"/>
  <c r="U138" i="1"/>
  <c r="S138" i="1" s="1"/>
  <c r="AI171" i="1"/>
  <c r="AI19" i="1"/>
  <c r="U20" i="1"/>
  <c r="S20" i="1" s="1"/>
  <c r="AI56" i="1"/>
  <c r="U57" i="1"/>
  <c r="S57" i="1" s="1"/>
  <c r="W20" i="1"/>
  <c r="U36" i="1"/>
  <c r="S36" i="1" s="1"/>
  <c r="AI35" i="1"/>
  <c r="AI87" i="1"/>
  <c r="U88" i="1"/>
  <c r="S88" i="1" s="1"/>
  <c r="AI112" i="1"/>
  <c r="U177" i="1"/>
  <c r="S177" i="1" s="1"/>
  <c r="AI63" i="1"/>
  <c r="U64" i="1"/>
  <c r="S64" i="1" s="1"/>
  <c r="W177" i="1"/>
  <c r="AI121" i="1"/>
  <c r="U185" i="1"/>
  <c r="S185" i="1" s="1"/>
  <c r="AI125" i="1"/>
  <c r="U189" i="1"/>
  <c r="S189" i="1" s="1"/>
  <c r="AI129" i="1"/>
  <c r="U99" i="1"/>
  <c r="S99" i="1" s="1"/>
  <c r="AI133" i="1"/>
  <c r="U196" i="1"/>
  <c r="S196" i="1" s="1"/>
  <c r="AI137" i="1"/>
  <c r="U103" i="1"/>
  <c r="S103" i="1" s="1"/>
  <c r="AI141" i="1"/>
  <c r="U219" i="1"/>
  <c r="S219" i="1" s="1"/>
  <c r="AI145" i="1"/>
  <c r="U110" i="1"/>
  <c r="S110" i="1" s="1"/>
  <c r="AI149" i="1"/>
  <c r="U114" i="1"/>
  <c r="S114" i="1" s="1"/>
  <c r="AI153" i="1"/>
  <c r="U118" i="1"/>
  <c r="S118" i="1" s="1"/>
  <c r="AI156" i="1"/>
  <c r="U122" i="1"/>
  <c r="S122" i="1" s="1"/>
  <c r="AI160" i="1"/>
  <c r="U126" i="1"/>
  <c r="S126" i="1" s="1"/>
  <c r="AI163" i="1"/>
  <c r="U130" i="1"/>
  <c r="S130" i="1" s="1"/>
  <c r="U97" i="1"/>
  <c r="S97" i="1" s="1"/>
  <c r="AI106" i="1"/>
  <c r="AI122" i="1"/>
  <c r="U186" i="1"/>
  <c r="S186" i="1" s="1"/>
  <c r="W114" i="1"/>
  <c r="AI167" i="1"/>
  <c r="U134" i="1"/>
  <c r="S134" i="1" s="1"/>
  <c r="U155" i="1"/>
  <c r="S155" i="1" s="1"/>
  <c r="AI188" i="1"/>
  <c r="U162" i="1"/>
  <c r="S162" i="1" s="1"/>
  <c r="U223" i="1"/>
  <c r="S223" i="1" s="1"/>
  <c r="W185" i="1"/>
  <c r="W126" i="1"/>
  <c r="W155" i="1"/>
  <c r="W223" i="1"/>
  <c r="W138" i="1"/>
  <c r="U23" i="1"/>
  <c r="AI22" i="1"/>
  <c r="W23" i="1"/>
  <c r="U27" i="1"/>
  <c r="S27" i="1" s="1"/>
  <c r="AI26" i="1"/>
  <c r="U14" i="1"/>
  <c r="S14" i="1" s="1"/>
  <c r="U32" i="1"/>
  <c r="AI31" i="1"/>
  <c r="W32" i="1"/>
  <c r="AI27" i="1"/>
  <c r="U28" i="1"/>
  <c r="S28" i="1" s="1"/>
  <c r="AI36" i="1"/>
  <c r="U37" i="1"/>
  <c r="S37" i="1" s="1"/>
  <c r="AI67" i="1"/>
  <c r="U68" i="1"/>
  <c r="S68" i="1" s="1"/>
  <c r="W68" i="1"/>
  <c r="U38" i="1"/>
  <c r="S38" i="1" s="1"/>
  <c r="W51" i="1"/>
  <c r="U19" i="1"/>
  <c r="S19" i="1" s="1"/>
  <c r="W19" i="1"/>
  <c r="AI18" i="1"/>
  <c r="U42" i="1"/>
  <c r="S42" i="1" s="1"/>
  <c r="AI41" i="1"/>
  <c r="W14" i="1"/>
  <c r="AI20" i="1"/>
  <c r="W28" i="1"/>
  <c r="AI23" i="1"/>
  <c r="U24" i="1"/>
  <c r="S24" i="1" s="1"/>
  <c r="AI32" i="1"/>
  <c r="U33" i="1"/>
  <c r="S33" i="1" s="1"/>
  <c r="AI42" i="1"/>
  <c r="AI73" i="1"/>
  <c r="U74" i="1"/>
  <c r="S74" i="1" s="1"/>
  <c r="W93" i="1"/>
  <c r="AI57" i="1"/>
  <c r="U58" i="1"/>
  <c r="S58" i="1" s="1"/>
  <c r="AI78" i="1"/>
  <c r="U79" i="1"/>
  <c r="S79" i="1" s="1"/>
  <c r="AI96" i="1"/>
  <c r="U163" i="1"/>
  <c r="S163" i="1" s="1"/>
  <c r="U170" i="1"/>
  <c r="S170" i="1" s="1"/>
  <c r="AI103" i="1"/>
  <c r="W42" i="1"/>
  <c r="U166" i="1"/>
  <c r="S166" i="1" s="1"/>
  <c r="AI99" i="1"/>
  <c r="W82" i="1"/>
  <c r="U184" i="1"/>
  <c r="S184" i="1" s="1"/>
  <c r="AI120" i="1"/>
  <c r="U183" i="1"/>
  <c r="S183" i="1" s="1"/>
  <c r="AI119" i="1"/>
  <c r="W170" i="1"/>
  <c r="W189" i="1"/>
  <c r="W122" i="1"/>
  <c r="W186" i="1"/>
  <c r="AI178" i="1"/>
  <c r="U146" i="1"/>
  <c r="S146" i="1" s="1"/>
  <c r="AI28" i="1"/>
  <c r="W57" i="1"/>
  <c r="W27" i="1"/>
  <c r="AI77" i="1"/>
  <c r="U78" i="1"/>
  <c r="S78" i="1" s="1"/>
  <c r="AI52" i="1"/>
  <c r="U53" i="1"/>
  <c r="S53" i="1" s="1"/>
  <c r="W58" i="1"/>
  <c r="W88" i="1"/>
  <c r="AI104" i="1"/>
  <c r="AI108" i="1"/>
  <c r="U174" i="1"/>
  <c r="S174" i="1" s="1"/>
  <c r="W196" i="1"/>
  <c r="W130" i="1"/>
  <c r="W103" i="1"/>
  <c r="U152" i="1"/>
  <c r="S152" i="1" s="1"/>
  <c r="AI184" i="1"/>
  <c r="U159" i="1"/>
  <c r="S159" i="1" s="1"/>
  <c r="AI192" i="1"/>
  <c r="U207" i="1"/>
  <c r="S207" i="1" s="1"/>
  <c r="AI177" i="1"/>
  <c r="U145" i="1"/>
  <c r="S145" i="1" s="1"/>
  <c r="AI181" i="1"/>
  <c r="U149" i="1"/>
  <c r="S149" i="1" s="1"/>
  <c r="W99" i="1"/>
  <c r="W162" i="1"/>
  <c r="W146" i="1"/>
  <c r="W214" i="1"/>
  <c r="T209" i="1"/>
  <c r="X211" i="1"/>
  <c r="X220" i="1"/>
  <c r="X214" i="1"/>
  <c r="U230" i="1"/>
  <c r="S230" i="1" s="1"/>
  <c r="U206" i="1"/>
  <c r="S206" i="1" s="1"/>
  <c r="U220" i="1"/>
  <c r="S220" i="1" s="1"/>
  <c r="W220" i="1"/>
  <c r="U222" i="1"/>
  <c r="S222" i="1" s="1"/>
  <c r="W206" i="1"/>
  <c r="W230" i="1"/>
  <c r="W23" i="3"/>
  <c r="AA217" i="1"/>
  <c r="AA225" i="1"/>
  <c r="AG209" i="1"/>
  <c r="T204" i="1"/>
  <c r="X209" i="1"/>
  <c r="AA218" i="1"/>
  <c r="W218" i="1" s="1"/>
  <c r="AA216" i="1"/>
  <c r="AA215" i="1"/>
  <c r="AA212" i="1"/>
  <c r="AA200" i="1"/>
  <c r="AA13" i="1"/>
  <c r="AA232" i="1"/>
  <c r="W232" i="1" s="1"/>
  <c r="AA231" i="1"/>
  <c r="AA197" i="1"/>
  <c r="X228" i="1"/>
  <c r="AA203" i="1"/>
  <c r="W203" i="1" s="1"/>
  <c r="X218" i="1"/>
  <c r="AG217" i="1"/>
  <c r="AG234" i="1"/>
  <c r="U234" i="1" s="1"/>
  <c r="S234" i="1" s="1"/>
  <c r="X234" i="1"/>
  <c r="AG231" i="1"/>
  <c r="U231" i="1" s="1"/>
  <c r="S231" i="1" s="1"/>
  <c r="AA204" i="1"/>
  <c r="T200" i="1"/>
  <c r="T197" i="1"/>
  <c r="T218" i="1"/>
  <c r="U218" i="1" s="1"/>
  <c r="S218" i="1" s="1"/>
  <c r="AA234" i="1"/>
  <c r="AA233" i="1"/>
  <c r="W233" i="1" s="1"/>
  <c r="AA209" i="1"/>
  <c r="AG204" i="1"/>
  <c r="X204" i="1"/>
  <c r="AG197" i="1"/>
  <c r="AI210" i="1"/>
  <c r="T216" i="1"/>
  <c r="X216" i="1"/>
  <c r="AG216" i="1"/>
  <c r="X217" i="1"/>
  <c r="T232" i="1"/>
  <c r="U232" i="1" s="1"/>
  <c r="S232" i="1" s="1"/>
  <c r="T225" i="1"/>
  <c r="X225" i="1"/>
  <c r="X212" i="1"/>
  <c r="T228" i="1"/>
  <c r="AG215" i="1"/>
  <c r="AI221" i="1"/>
  <c r="AG13" i="1"/>
  <c r="X215" i="1"/>
  <c r="T233" i="1"/>
  <c r="U233" i="1" s="1"/>
  <c r="S233" i="1" s="1"/>
  <c r="X233" i="1"/>
  <c r="X232" i="1"/>
  <c r="X231" i="1"/>
  <c r="AA228" i="1"/>
  <c r="AG225" i="1"/>
  <c r="AG228" i="1"/>
  <c r="T212" i="1"/>
  <c r="T203" i="1"/>
  <c r="U203" i="1" s="1"/>
  <c r="S203" i="1" s="1"/>
  <c r="X203" i="1"/>
  <c r="M26" i="5"/>
  <c r="S34" i="1" l="1"/>
  <c r="S22" i="1"/>
  <c r="S31" i="1"/>
  <c r="U200" i="1"/>
  <c r="S200" i="1" s="1"/>
  <c r="W200" i="1"/>
  <c r="W212" i="1"/>
  <c r="U212" i="1"/>
  <c r="S212" i="1" s="1"/>
  <c r="AI13" i="1"/>
  <c r="AI197" i="1"/>
  <c r="AH13" i="1"/>
  <c r="AH23" i="1"/>
  <c r="AH33" i="1"/>
  <c r="AH52" i="1"/>
  <c r="AH53" i="1"/>
  <c r="AH54" i="1"/>
  <c r="AH60" i="1"/>
  <c r="AH63" i="1"/>
  <c r="AH82" i="1"/>
  <c r="AH85" i="1"/>
  <c r="AH91" i="1"/>
  <c r="AH92" i="1"/>
  <c r="AH102" i="1"/>
  <c r="AH108" i="1"/>
  <c r="AH109" i="1"/>
  <c r="AH110" i="1"/>
  <c r="AH113" i="1"/>
  <c r="AH117" i="1"/>
  <c r="AH126" i="1"/>
  <c r="AH130" i="1"/>
  <c r="AH136" i="1"/>
  <c r="AH141" i="1"/>
  <c r="AH145" i="1"/>
  <c r="AH147" i="1"/>
  <c r="AH152" i="1"/>
  <c r="AH156" i="1"/>
  <c r="AH170" i="1"/>
  <c r="AH173" i="1"/>
  <c r="AH176" i="1"/>
  <c r="AH182" i="1"/>
  <c r="AH183" i="1"/>
  <c r="AH186" i="1"/>
  <c r="AH190" i="1"/>
  <c r="AH191" i="1"/>
  <c r="AH195" i="1"/>
  <c r="AH153" i="1"/>
  <c r="AH159" i="1"/>
  <c r="AH162" i="1"/>
  <c r="AH171" i="1"/>
  <c r="AH177" i="1"/>
  <c r="AH179" i="1"/>
  <c r="AH193" i="1"/>
  <c r="AH18" i="1"/>
  <c r="AH19" i="1"/>
  <c r="AH24" i="1"/>
  <c r="AH26" i="1"/>
  <c r="AH27" i="1"/>
  <c r="AH28" i="1"/>
  <c r="AH30" i="1"/>
  <c r="AH31" i="1"/>
  <c r="AH34" i="1"/>
  <c r="AH37" i="1"/>
  <c r="AH40" i="1"/>
  <c r="AH41" i="1"/>
  <c r="AH42" i="1"/>
  <c r="AH49" i="1"/>
  <c r="AH55" i="1"/>
  <c r="AH56" i="1"/>
  <c r="AH64" i="1"/>
  <c r="AH65" i="1"/>
  <c r="AH75" i="1"/>
  <c r="AH76" i="1"/>
  <c r="AH94" i="1"/>
  <c r="AH97" i="1"/>
  <c r="AH98" i="1"/>
  <c r="AH99" i="1"/>
  <c r="AH100" i="1"/>
  <c r="AH103" i="1"/>
  <c r="AH114" i="1"/>
  <c r="AH118" i="1"/>
  <c r="AH119" i="1"/>
  <c r="AH120" i="1"/>
  <c r="AH121" i="1"/>
  <c r="AH122" i="1"/>
  <c r="AH123" i="1"/>
  <c r="AH131" i="1"/>
  <c r="AH137" i="1"/>
  <c r="AH142" i="1"/>
  <c r="AH143" i="1"/>
  <c r="AH146" i="1"/>
  <c r="AH157" i="1"/>
  <c r="AH165" i="1"/>
  <c r="AH174" i="1"/>
  <c r="AH178" i="1"/>
  <c r="AH192" i="1"/>
  <c r="AH196" i="1"/>
  <c r="AH200" i="1"/>
  <c r="AH14" i="1"/>
  <c r="AH20" i="1"/>
  <c r="AH32" i="1"/>
  <c r="AH50" i="1"/>
  <c r="AH57" i="1"/>
  <c r="AH66" i="1"/>
  <c r="AH71" i="1"/>
  <c r="AH77" i="1"/>
  <c r="AH78" i="1"/>
  <c r="AH79" i="1"/>
  <c r="AH86" i="1"/>
  <c r="AH87" i="1"/>
  <c r="AH88" i="1"/>
  <c r="AH89" i="1"/>
  <c r="AH95" i="1"/>
  <c r="AH96" i="1"/>
  <c r="AH111" i="1"/>
  <c r="AH112" i="1"/>
  <c r="AH116" i="1"/>
  <c r="AH124" i="1"/>
  <c r="AH127" i="1"/>
  <c r="AH132" i="1"/>
  <c r="AH133" i="1"/>
  <c r="AH134" i="1"/>
  <c r="AH138" i="1"/>
  <c r="AH139" i="1"/>
  <c r="AH148" i="1"/>
  <c r="AH149" i="1"/>
  <c r="AH150" i="1"/>
  <c r="AH154" i="1"/>
  <c r="AH160" i="1"/>
  <c r="AH161" i="1"/>
  <c r="AH163" i="1"/>
  <c r="AH166" i="1"/>
  <c r="AH167" i="1"/>
  <c r="AH172" i="1"/>
  <c r="AH175" i="1"/>
  <c r="AH180" i="1"/>
  <c r="AH185" i="1"/>
  <c r="AH187" i="1"/>
  <c r="AH188" i="1"/>
  <c r="AH189" i="1"/>
  <c r="AH198" i="1"/>
  <c r="AH199" i="1"/>
  <c r="AH201" i="1"/>
  <c r="AH17" i="1"/>
  <c r="AH21" i="1"/>
  <c r="AH22" i="1"/>
  <c r="AH25" i="1"/>
  <c r="AH35" i="1"/>
  <c r="AH36" i="1"/>
  <c r="AH38" i="1"/>
  <c r="AH39" i="1"/>
  <c r="AH51" i="1"/>
  <c r="AH58" i="1"/>
  <c r="AH59" i="1"/>
  <c r="AH67" i="1"/>
  <c r="AH68" i="1"/>
  <c r="AH72" i="1"/>
  <c r="AH73" i="1"/>
  <c r="AH74" i="1"/>
  <c r="AH80" i="1"/>
  <c r="AH81" i="1"/>
  <c r="AH90" i="1"/>
  <c r="AH93" i="1"/>
  <c r="AH101" i="1"/>
  <c r="AH104" i="1"/>
  <c r="AH105" i="1"/>
  <c r="AH106" i="1"/>
  <c r="AH107" i="1"/>
  <c r="AH115" i="1"/>
  <c r="AH125" i="1"/>
  <c r="AH128" i="1"/>
  <c r="AH129" i="1"/>
  <c r="AH135" i="1"/>
  <c r="AH140" i="1"/>
  <c r="AH144" i="1"/>
  <c r="AH151" i="1"/>
  <c r="AH155" i="1"/>
  <c r="AH158" i="1"/>
  <c r="AH164" i="1"/>
  <c r="AH168" i="1"/>
  <c r="AH169" i="1"/>
  <c r="AH181" i="1"/>
  <c r="AH194" i="1"/>
  <c r="AH202" i="1"/>
  <c r="AH184" i="1"/>
  <c r="AH197" i="1"/>
  <c r="AI200" i="1"/>
  <c r="W217" i="1"/>
  <c r="U209" i="1"/>
  <c r="S209" i="1" s="1"/>
  <c r="AI217" i="1"/>
  <c r="U197" i="1"/>
  <c r="S197" i="1" s="1"/>
  <c r="AI218" i="1"/>
  <c r="U217" i="1"/>
  <c r="S217" i="1" s="1"/>
  <c r="AI206" i="1"/>
  <c r="AI233" i="1"/>
  <c r="W234" i="1"/>
  <c r="W204" i="1"/>
  <c r="AI229" i="1"/>
  <c r="AI205" i="1"/>
  <c r="AI225" i="1"/>
  <c r="AI222" i="1"/>
  <c r="AI230" i="1"/>
  <c r="AI209" i="1"/>
  <c r="U204" i="1"/>
  <c r="S204" i="1" s="1"/>
  <c r="AI214" i="1"/>
  <c r="AI234" i="1"/>
  <c r="AI220" i="1"/>
  <c r="W209" i="1"/>
  <c r="AH213" i="1"/>
  <c r="AH214" i="1"/>
  <c r="AH223" i="1"/>
  <c r="AH203" i="1"/>
  <c r="AH204" i="1"/>
  <c r="AH205" i="1"/>
  <c r="AH217" i="1"/>
  <c r="AH218" i="1"/>
  <c r="AH219" i="1"/>
  <c r="AH220" i="1"/>
  <c r="AH221" i="1"/>
  <c r="AH222" i="1"/>
  <c r="AH229" i="1"/>
  <c r="AH230" i="1"/>
  <c r="AH231" i="1"/>
  <c r="AH232" i="1"/>
  <c r="AH233" i="1"/>
  <c r="AH234" i="1"/>
  <c r="AH224" i="1"/>
  <c r="AH225" i="1"/>
  <c r="AH226" i="1"/>
  <c r="AH227" i="1"/>
  <c r="AH228" i="1"/>
  <c r="AH207" i="1"/>
  <c r="AH209" i="1"/>
  <c r="AH211" i="1"/>
  <c r="AH215" i="1"/>
  <c r="AH206" i="1"/>
  <c r="AH208" i="1"/>
  <c r="AH210" i="1"/>
  <c r="AH212" i="1"/>
  <c r="AH216" i="1"/>
  <c r="AI213" i="1"/>
  <c r="W13" i="1"/>
  <c r="W216" i="1"/>
  <c r="W197" i="1"/>
  <c r="AI226" i="1"/>
  <c r="W231" i="1"/>
  <c r="AI203" i="1"/>
  <c r="W228" i="1"/>
  <c r="AI211" i="1"/>
  <c r="U215" i="1"/>
  <c r="S215" i="1" s="1"/>
  <c r="AI231" i="1"/>
  <c r="AI224" i="1"/>
  <c r="AI228" i="1"/>
  <c r="AI204" i="1"/>
  <c r="AI208" i="1"/>
  <c r="AI216" i="1"/>
  <c r="U228" i="1"/>
  <c r="S228" i="1" s="1"/>
  <c r="W225" i="1"/>
  <c r="U225" i="1"/>
  <c r="S225" i="1" s="1"/>
  <c r="AI215" i="1"/>
  <c r="U13" i="1"/>
  <c r="S13" i="1" s="1"/>
  <c r="AI219" i="1"/>
  <c r="AI227" i="1"/>
  <c r="AI207" i="1"/>
  <c r="AI223" i="1"/>
  <c r="AI212" i="1"/>
  <c r="AI232" i="1"/>
  <c r="U216" i="1"/>
  <c r="S216" i="1" s="1"/>
  <c r="W215" i="1"/>
  <c r="Q23" i="3"/>
  <c r="P23" i="3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M2" i="3" l="1"/>
  <c r="M3" i="3" s="1"/>
  <c r="J7" i="1" l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A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<sst xmlns="http://schemas.openxmlformats.org/spreadsheetml/2006/main" count="2112" uniqueCount="711">
  <si>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</si>
  <si>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</si>
  <si>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</si>
  <si>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</si>
  <si>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</si>
  <si>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</si>
  <si>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</si>
  <si>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</si>
  <si>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</si>
  <si>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</si>
  <si>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</si>
  <si>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</si>
  <si>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</si>
  <si>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</si>
  <si>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</si>
  <si>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</si>
  <si>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</si>
  <si>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</si>
  <si>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</si>
  <si>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</si>
  <si>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</si>
  <si>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</si>
  <si>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</si>
  <si>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</si>
  <si>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</si>
  <si>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</si>
  <si>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</si>
  <si>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</si>
  <si>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</si>
  <si>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</si>
  <si>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</si>
  <si>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</si>
  <si>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</si>
  <si>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</si>
  <si>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</si>
  <si>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</si>
  <si>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</si>
  <si>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</si>
  <si>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</si>
  <si>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</si>
  <si>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</si>
  <si>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</si>
  <si>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</si>
  <si>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</si>
  <si>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</si>
  <si>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</si>
  <si>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</si>
  <si>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</si>
  <si>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</si>
  <si>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</si>
  <si>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</si>
  <si>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</si>
  <si>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</si>
  <si>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</si>
  <si>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</si>
  <si>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</si>
  <si>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</si>
  <si>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</si>
  <si>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</si>
  <si>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</si>
  <si>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</si>
  <si>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</si>
  <si>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</si>
  <si>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</si>
  <si>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</si>
  <si>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</si>
  <si>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</si>
  <si>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</si>
  <si>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</si>
  <si>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</si>
  <si>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</si>
  <si>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</si>
  <si>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</si>
  <si>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</si>
  <si>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</si>
  <si>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</si>
  <si>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</si>
  <si>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</si>
  <si>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</si>
  <si>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</si>
  <si>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</si>
  <si>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</si>
  <si>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</si>
  <si>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</si>
  <si>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</si>
  <si>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</si>
  <si>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</si>
  <si>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</si>
  <si>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</si>
  <si>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204:143</t>
  </si>
  <si>
    <t>rtdc.l.rtdc.4013:itc</t>
  </si>
  <si>
    <t>rtdc.l.rtdc.4029:itc</t>
  </si>
  <si>
    <t>rtdc.l.rtdc.4030:itc</t>
  </si>
  <si>
    <t>rtdc.l.rtdc.4027:itc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</si>
  <si>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</si>
  <si>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</si>
  <si>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</si>
  <si>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</si>
  <si>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</si>
  <si>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</si>
  <si>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</si>
  <si>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</si>
  <si>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</si>
  <si>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</si>
  <si>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</si>
  <si>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</si>
  <si>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</si>
  <si>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</si>
  <si>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</si>
  <si>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204:462</t>
  </si>
  <si>
    <t>Omit due to TWC &lt; 1</t>
  </si>
  <si>
    <t>Reactive Enforcement (3)</t>
  </si>
  <si>
    <t>rtdc.l.rtdc.4014:itc</t>
  </si>
  <si>
    <t>DE.1.0.7.0</t>
  </si>
  <si>
    <t>rtdc.l.rtdc.4031:itc</t>
  </si>
  <si>
    <t>rtdc.l.rtdc.4032:itc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</si>
  <si>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</si>
  <si>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</si>
  <si>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</si>
  <si>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</si>
  <si>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</si>
  <si>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</si>
  <si>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</si>
  <si>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</si>
  <si>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</si>
  <si>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204:455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</si>
  <si>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</si>
  <si>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</si>
  <si>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</si>
  <si>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</si>
  <si>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</si>
  <si>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204:158</t>
  </si>
  <si>
    <t>204:147</t>
  </si>
  <si>
    <t>204:453</t>
  </si>
  <si>
    <t>204:232994</t>
  </si>
  <si>
    <t>204:449</t>
  </si>
  <si>
    <t>204:149</t>
  </si>
  <si>
    <t>ISHMAEL</t>
  </si>
  <si>
    <t>204:469</t>
  </si>
  <si>
    <t>204:467</t>
  </si>
  <si>
    <t>LEVIN</t>
  </si>
  <si>
    <t>204:457</t>
  </si>
  <si>
    <t>204:233310</t>
  </si>
  <si>
    <t>STAMBAUGH</t>
  </si>
  <si>
    <t>rtdc.l.rtdc.4037:itc</t>
  </si>
  <si>
    <t xml:space="preserve">baselines for EC: </t>
  </si>
  <si>
    <t>baselines for NWES:</t>
  </si>
  <si>
    <t>M - F = 47 trips</t>
  </si>
  <si>
    <t>Sat - Sun = 33 Trips</t>
  </si>
  <si>
    <t>204:233300</t>
  </si>
  <si>
    <t>rtdc.l.rtdc.4042:itc</t>
  </si>
  <si>
    <t>rtdc.l.rtdc.4038:itc</t>
  </si>
  <si>
    <t>204:150</t>
  </si>
  <si>
    <t>204:156</t>
  </si>
  <si>
    <t>204:451</t>
  </si>
  <si>
    <t>204:233291</t>
  </si>
  <si>
    <t>204:154</t>
  </si>
  <si>
    <t>236-12</t>
  </si>
  <si>
    <t>238-12</t>
  </si>
  <si>
    <t>240-12</t>
  </si>
  <si>
    <t>241-12</t>
  </si>
  <si>
    <t>242-12</t>
  </si>
  <si>
    <t>243-12</t>
  </si>
  <si>
    <t>244-12</t>
  </si>
  <si>
    <t>245-12</t>
  </si>
  <si>
    <t>246-12</t>
  </si>
  <si>
    <t>309-12</t>
  </si>
  <si>
    <t>311-12</t>
  </si>
  <si>
    <t>315-12</t>
  </si>
  <si>
    <t>rtdc.l.rtdc.4008:itc</t>
  </si>
  <si>
    <t>YANAI</t>
  </si>
  <si>
    <t>313-12</t>
  </si>
  <si>
    <t>204:152</t>
  </si>
  <si>
    <t>rtdc.l.rtdc.4009:itc</t>
  </si>
  <si>
    <t>rtdc.l.rtdc.4010:itc</t>
  </si>
  <si>
    <t>204:141</t>
  </si>
  <si>
    <t>CHANDLER</t>
  </si>
  <si>
    <t>204:233314</t>
  </si>
  <si>
    <t>204:471</t>
  </si>
  <si>
    <t>rtdc.l.rtdc.4002:itc</t>
  </si>
  <si>
    <t>rtdc.l.rtdc.4001:itc</t>
  </si>
  <si>
    <t>:.+((SYSTEM_STATE.+slice.+state.+changed )|(ment ac)|(system.+state.+changed )|(\|lc)|(penalty)|(\[timeout)|(PRM\|1\|D)|(kpr)|(kdp))</t>
  </si>
  <si>
    <t>204:444</t>
  </si>
  <si>
    <t>204:145</t>
  </si>
  <si>
    <t>204:447</t>
  </si>
  <si>
    <t>rtdc.l.rtdc.4041:itc</t>
  </si>
  <si>
    <t>rtdc.l.rtdc.4007:itc</t>
  </si>
  <si>
    <t>204:160</t>
  </si>
  <si>
    <t>204:233293</t>
  </si>
  <si>
    <t>204:232975</t>
  </si>
  <si>
    <t>204:233298</t>
  </si>
  <si>
    <t>rtdc.l.rtdc.4003:itc</t>
  </si>
  <si>
    <t>204:460</t>
  </si>
  <si>
    <t>204:232992</t>
  </si>
  <si>
    <t>204:232986</t>
  </si>
  <si>
    <t>204:232978</t>
  </si>
  <si>
    <t>204:136</t>
  </si>
  <si>
    <t>204:165</t>
  </si>
  <si>
    <t>204:435</t>
  </si>
  <si>
    <t>204:233327</t>
  </si>
  <si>
    <t>204:233312</t>
  </si>
  <si>
    <t>204:233000</t>
  </si>
  <si>
    <t>204:139</t>
  </si>
  <si>
    <t>204:163</t>
  </si>
  <si>
    <t>300:23306</t>
  </si>
  <si>
    <t>HAITHCOX</t>
  </si>
  <si>
    <t>204:233368</t>
  </si>
  <si>
    <t>204:138</t>
  </si>
  <si>
    <t>204:233002</t>
  </si>
  <si>
    <t>204:233011</t>
  </si>
  <si>
    <t>204:233320</t>
  </si>
  <si>
    <t>204:134</t>
  </si>
  <si>
    <t>204:464</t>
  </si>
  <si>
    <t>204:232989</t>
  </si>
  <si>
    <t>204:478</t>
  </si>
  <si>
    <t>rtdc.l.rtdc.4004:itc</t>
  </si>
  <si>
    <t>ARVIDSON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</si>
  <si>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</si>
  <si>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</si>
  <si>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</si>
  <si>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</si>
  <si>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</si>
  <si>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</si>
  <si>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</si>
  <si>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</si>
  <si>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</si>
  <si>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</si>
  <si>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</si>
  <si>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</si>
  <si>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</si>
  <si>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</si>
  <si>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</si>
  <si>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</si>
  <si>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</si>
  <si>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</si>
  <si>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</si>
  <si>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</si>
  <si>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</si>
  <si>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</si>
  <si>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Loco – PTC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</si>
  <si>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</si>
  <si>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</si>
  <si>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</si>
  <si>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</si>
  <si>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</si>
  <si>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</si>
  <si>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</si>
  <si>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</si>
  <si>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</si>
  <si>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</si>
  <si>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</si>
  <si>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MAELZER</t>
  </si>
  <si>
    <t>MAHAN</t>
  </si>
  <si>
    <t>rtdc.l.rtdc.4025:itc</t>
  </si>
  <si>
    <t>rtdc.l.rtdc.4026:itc</t>
  </si>
  <si>
    <t>MOSES</t>
  </si>
  <si>
    <t>STURGEON</t>
  </si>
  <si>
    <t>204:130</t>
  </si>
  <si>
    <t>204:232980</t>
  </si>
  <si>
    <t>204:233307</t>
  </si>
  <si>
    <t>204:233332</t>
  </si>
  <si>
    <t>204:232977</t>
  </si>
  <si>
    <t>204:169</t>
  </si>
  <si>
    <t>204:132</t>
  </si>
  <si>
    <t>204:170</t>
  </si>
  <si>
    <t>204:440</t>
  </si>
  <si>
    <t>204:233286</t>
  </si>
  <si>
    <t>300:23302</t>
  </si>
  <si>
    <t>300:58626</t>
  </si>
  <si>
    <t>From 08-24-2016 13:14:05.327 until 13:28:22.128, 61st 2S should have been clear (controls sent to it the entire time was CLEAR). However, it cycled back and forth between PROCEED CAB and STOP. Any ideas why?</t>
  </si>
  <si>
    <t>204:422</t>
  </si>
  <si>
    <t>204:233302</t>
  </si>
  <si>
    <t>204:233010</t>
  </si>
  <si>
    <t>204:232993</t>
  </si>
  <si>
    <t>204:438</t>
  </si>
  <si>
    <t>204:232991</t>
  </si>
  <si>
    <t>204:233321</t>
  </si>
  <si>
    <t>204:233304</t>
  </si>
  <si>
    <t>204:233282</t>
  </si>
  <si>
    <t>204:233301</t>
  </si>
  <si>
    <t>300:23304</t>
  </si>
  <si>
    <t>315-25</t>
  </si>
  <si>
    <t>300:58628</t>
  </si>
  <si>
    <t>204:988</t>
  </si>
  <si>
    <t>300:58649</t>
  </si>
  <si>
    <t>300:58950</t>
  </si>
  <si>
    <t>300:58632</t>
  </si>
  <si>
    <t>300:58946</t>
  </si>
  <si>
    <t>204:1039</t>
  </si>
  <si>
    <t>rtdc.l.rtdc.4019:itc</t>
  </si>
  <si>
    <t>rtdc.l.rtdc.4012:itc</t>
  </si>
  <si>
    <t>rtdc.l.rtdc.4020:itc</t>
  </si>
  <si>
    <t>SHOOK</t>
  </si>
  <si>
    <t>BROWN</t>
  </si>
  <si>
    <t>WEBSTER</t>
  </si>
  <si>
    <t>Did not initialize</t>
  </si>
  <si>
    <t>Output Refined Run Times to File?</t>
  </si>
  <si>
    <t>RefinedRTDCRunTimesOutputFile</t>
  </si>
  <si>
    <t>rtdc.l.rtdc.4040:itc</t>
  </si>
  <si>
    <t>DAVIS</t>
  </si>
  <si>
    <t>MALAVE</t>
  </si>
  <si>
    <t>STRICKLAND</t>
  </si>
  <si>
    <t>rtdc.l.rtdc.4039:itc</t>
  </si>
  <si>
    <t>rtdc.l.rtdc.4028:itc</t>
  </si>
  <si>
    <t>903-26</t>
  </si>
  <si>
    <t>STEWART</t>
  </si>
  <si>
    <t>904-26</t>
  </si>
  <si>
    <t>65-26</t>
  </si>
  <si>
    <t>62-26</t>
  </si>
  <si>
    <t>68-26</t>
  </si>
  <si>
    <t>64-26</t>
  </si>
  <si>
    <t>303-26</t>
  </si>
  <si>
    <t>906-26</t>
  </si>
  <si>
    <t>305-26</t>
  </si>
  <si>
    <t>67-26</t>
  </si>
  <si>
    <t>908-26</t>
  </si>
  <si>
    <t>240-26</t>
  </si>
  <si>
    <t>245-26</t>
  </si>
  <si>
    <t>242-26</t>
  </si>
  <si>
    <t>309-26</t>
  </si>
  <si>
    <t>244-26</t>
  </si>
  <si>
    <t>311-26</t>
  </si>
  <si>
    <t>246-26</t>
  </si>
  <si>
    <t>313-26</t>
  </si>
  <si>
    <t>TEMPORARY SPEED RESTRICTION</t>
  </si>
  <si>
    <t>Bulletin (2)</t>
  </si>
  <si>
    <t>GRADE CROSSING</t>
  </si>
  <si>
    <t>Y</t>
  </si>
  <si>
    <t>204:726</t>
  </si>
  <si>
    <t>204:232982</t>
  </si>
  <si>
    <t>204:232963</t>
  </si>
  <si>
    <t>204:777</t>
  </si>
  <si>
    <t>204:232996</t>
  </si>
  <si>
    <t>204:232971</t>
  </si>
  <si>
    <t>204:232984</t>
  </si>
  <si>
    <t>204:458</t>
  </si>
  <si>
    <t>204:233281</t>
  </si>
  <si>
    <t>204:232970</t>
  </si>
  <si>
    <t>204:233319</t>
  </si>
  <si>
    <t>204:233309</t>
  </si>
  <si>
    <t>204:473</t>
  </si>
  <si>
    <t>204:233316</t>
  </si>
  <si>
    <t>204:233019</t>
  </si>
  <si>
    <t>204:233295</t>
  </si>
  <si>
    <t>204:232988</t>
  </si>
  <si>
    <t>204:123</t>
  </si>
  <si>
    <t>204:482</t>
  </si>
  <si>
    <t>204:232985</t>
  </si>
  <si>
    <t>204:174</t>
  </si>
  <si>
    <t>204:233351</t>
  </si>
  <si>
    <t>204:1098</t>
  </si>
  <si>
    <t>204:233299</t>
  </si>
  <si>
    <t>204:5888</t>
  </si>
  <si>
    <t>204:232974</t>
  </si>
  <si>
    <t>204:172</t>
  </si>
  <si>
    <t>204:488</t>
  </si>
  <si>
    <t>204:1416</t>
  </si>
  <si>
    <t>300:23310</t>
  </si>
  <si>
    <t>204:497</t>
  </si>
  <si>
    <t>204:491</t>
  </si>
  <si>
    <t>300:23346</t>
  </si>
  <si>
    <t>204:900</t>
  </si>
  <si>
    <t>204:18891</t>
  </si>
  <si>
    <t>204:529</t>
  </si>
  <si>
    <t>300:23299</t>
  </si>
  <si>
    <t>204:19122</t>
  </si>
  <si>
    <t>300:23449</t>
  </si>
  <si>
    <t>204:133</t>
  </si>
  <si>
    <t>204:1095</t>
  </si>
  <si>
    <t>204:789</t>
  </si>
  <si>
    <t>300:58956</t>
  </si>
  <si>
    <t>300:58636</t>
  </si>
  <si>
    <t>204:1118</t>
  </si>
  <si>
    <t>204:874</t>
  </si>
  <si>
    <t>300:58640</t>
  </si>
  <si>
    <t>204:1002</t>
  </si>
  <si>
    <t>300:24260</t>
  </si>
  <si>
    <t>300:25442</t>
  </si>
  <si>
    <t>300:24402</t>
  </si>
  <si>
    <t>300:58634</t>
  </si>
  <si>
    <t>300:28786</t>
  </si>
  <si>
    <t>300:58647</t>
  </si>
  <si>
    <t>300:21575</t>
  </si>
  <si>
    <t>Early arrival</t>
  </si>
  <si>
    <t>Overspeed</t>
  </si>
  <si>
    <t>101-27</t>
  </si>
  <si>
    <t>102-27</t>
  </si>
  <si>
    <t>204:232677</t>
  </si>
  <si>
    <t>105-27</t>
  </si>
  <si>
    <t>204:683</t>
  </si>
  <si>
    <t>204:233380</t>
  </si>
  <si>
    <t>106-27</t>
  </si>
  <si>
    <t>204:232751</t>
  </si>
  <si>
    <t>107-27</t>
  </si>
  <si>
    <t>204:233263</t>
  </si>
  <si>
    <t>108-27</t>
  </si>
  <si>
    <t>109-27</t>
  </si>
  <si>
    <t>110-27</t>
  </si>
  <si>
    <t>204:64125</t>
  </si>
  <si>
    <t>204:62272</t>
  </si>
  <si>
    <t>111-27</t>
  </si>
  <si>
    <t>204:728</t>
  </si>
  <si>
    <t>112-27</t>
  </si>
  <si>
    <t>204:70169</t>
  </si>
  <si>
    <t>204:64149</t>
  </si>
  <si>
    <t>204:64043</t>
  </si>
  <si>
    <t>113-27</t>
  </si>
  <si>
    <t>204:437</t>
  </si>
  <si>
    <t>204:233329</t>
  </si>
  <si>
    <t>114-27</t>
  </si>
  <si>
    <t>204:64157</t>
  </si>
  <si>
    <t>116-27</t>
  </si>
  <si>
    <t>204:232973</t>
  </si>
  <si>
    <t>117-27</t>
  </si>
  <si>
    <t>204:466</t>
  </si>
  <si>
    <t>204:55021</t>
  </si>
  <si>
    <t>204:64696</t>
  </si>
  <si>
    <t>204:233297</t>
  </si>
  <si>
    <t>118-27</t>
  </si>
  <si>
    <t>204:232972</t>
  </si>
  <si>
    <t>119-27</t>
  </si>
  <si>
    <t>204:64698</t>
  </si>
  <si>
    <t>204:233311</t>
  </si>
  <si>
    <t>204:783</t>
  </si>
  <si>
    <t>204:63550</t>
  </si>
  <si>
    <t>120-27</t>
  </si>
  <si>
    <t>204:333</t>
  </si>
  <si>
    <t>121-27</t>
  </si>
  <si>
    <t>204:58752</t>
  </si>
  <si>
    <t>122-27</t>
  </si>
  <si>
    <t>123-27</t>
  </si>
  <si>
    <t>124-27</t>
  </si>
  <si>
    <t>204:232983</t>
  </si>
  <si>
    <t>125-27</t>
  </si>
  <si>
    <t>126-27</t>
  </si>
  <si>
    <t>133-27</t>
  </si>
  <si>
    <t>134-27</t>
  </si>
  <si>
    <t>135-27</t>
  </si>
  <si>
    <t>204:1515</t>
  </si>
  <si>
    <t>204:233215</t>
  </si>
  <si>
    <t>136-27</t>
  </si>
  <si>
    <t>204:232890</t>
  </si>
  <si>
    <t>137-27</t>
  </si>
  <si>
    <t>138-27</t>
  </si>
  <si>
    <t>139-27</t>
  </si>
  <si>
    <t>204:639</t>
  </si>
  <si>
    <t>140-27</t>
  </si>
  <si>
    <t>204:194</t>
  </si>
  <si>
    <t>141-27</t>
  </si>
  <si>
    <t>204:19137</t>
  </si>
  <si>
    <t>142-27</t>
  </si>
  <si>
    <t>143-27</t>
  </si>
  <si>
    <t>144-27</t>
  </si>
  <si>
    <t>204:232979</t>
  </si>
  <si>
    <t>147-27</t>
  </si>
  <si>
    <t>204:19118</t>
  </si>
  <si>
    <t>148-27</t>
  </si>
  <si>
    <t>204:220</t>
  </si>
  <si>
    <t>149-27</t>
  </si>
  <si>
    <t>204:233259</t>
  </si>
  <si>
    <t>150-27</t>
  </si>
  <si>
    <t>204:232944</t>
  </si>
  <si>
    <t>151-27</t>
  </si>
  <si>
    <t>204:233200</t>
  </si>
  <si>
    <t>152-27</t>
  </si>
  <si>
    <t>204:232879</t>
  </si>
  <si>
    <t>155-27</t>
  </si>
  <si>
    <t>204:504</t>
  </si>
  <si>
    <t>156-27</t>
  </si>
  <si>
    <t>157-27</t>
  </si>
  <si>
    <t>158-27</t>
  </si>
  <si>
    <t>159-27</t>
  </si>
  <si>
    <t>160-27</t>
  </si>
  <si>
    <t>161-27</t>
  </si>
  <si>
    <t>204:500</t>
  </si>
  <si>
    <t>204:233305</t>
  </si>
  <si>
    <t>162-27</t>
  </si>
  <si>
    <t>163-27</t>
  </si>
  <si>
    <t>164-27</t>
  </si>
  <si>
    <t>204:233034</t>
  </si>
  <si>
    <t>165-27</t>
  </si>
  <si>
    <t>166-27</t>
  </si>
  <si>
    <t>204:233040</t>
  </si>
  <si>
    <t>169-27</t>
  </si>
  <si>
    <t>170-27</t>
  </si>
  <si>
    <t>204:127</t>
  </si>
  <si>
    <t>171-27</t>
  </si>
  <si>
    <t>172-27</t>
  </si>
  <si>
    <t>173-27</t>
  </si>
  <si>
    <t>174-27</t>
  </si>
  <si>
    <t>175-27</t>
  </si>
  <si>
    <t>176-27</t>
  </si>
  <si>
    <t>177-27</t>
  </si>
  <si>
    <t>204:475</t>
  </si>
  <si>
    <t>204:233359</t>
  </si>
  <si>
    <t>178-27</t>
  </si>
  <si>
    <t>204:167</t>
  </si>
  <si>
    <t>179-27</t>
  </si>
  <si>
    <t>204:233376</t>
  </si>
  <si>
    <t>180-27</t>
  </si>
  <si>
    <t>204:233053</t>
  </si>
  <si>
    <t>1800-27</t>
  </si>
  <si>
    <t>1801-27</t>
  </si>
  <si>
    <t>204:1168</t>
  </si>
  <si>
    <t>300:58933</t>
  </si>
  <si>
    <t>1802-27</t>
  </si>
  <si>
    <t>300:58619</t>
  </si>
  <si>
    <t>204:820</t>
  </si>
  <si>
    <t>1803-27</t>
  </si>
  <si>
    <t>204:1109</t>
  </si>
  <si>
    <t>300:58952</t>
  </si>
  <si>
    <t>1804-27</t>
  </si>
  <si>
    <t>300:58638</t>
  </si>
  <si>
    <t>204:803</t>
  </si>
  <si>
    <t>1805-27</t>
  </si>
  <si>
    <t>300:58960</t>
  </si>
  <si>
    <t>1806-27</t>
  </si>
  <si>
    <t>204:811</t>
  </si>
  <si>
    <t>1807-27</t>
  </si>
  <si>
    <t>300:58944</t>
  </si>
  <si>
    <t>1808-27</t>
  </si>
  <si>
    <t>300:58630</t>
  </si>
  <si>
    <t>1809-27</t>
  </si>
  <si>
    <t>204:1074</t>
  </si>
  <si>
    <t>181-27</t>
  </si>
  <si>
    <t>204:19134</t>
  </si>
  <si>
    <t>1810-27</t>
  </si>
  <si>
    <t>204:831</t>
  </si>
  <si>
    <t>1811-27</t>
  </si>
  <si>
    <t>1812-27</t>
  </si>
  <si>
    <t>204:794</t>
  </si>
  <si>
    <t>1813-27</t>
  </si>
  <si>
    <t>1814-27</t>
  </si>
  <si>
    <t>300:58624</t>
  </si>
  <si>
    <t>204:797</t>
  </si>
  <si>
    <t>1815-27</t>
  </si>
  <si>
    <t>204:1084</t>
  </si>
  <si>
    <t>300:58941</t>
  </si>
  <si>
    <t>1816-27</t>
  </si>
  <si>
    <t>204:873</t>
  </si>
  <si>
    <t>1817-27</t>
  </si>
  <si>
    <t>204:1172</t>
  </si>
  <si>
    <t>1818-27</t>
  </si>
  <si>
    <t>204:733</t>
  </si>
  <si>
    <t>1819-27</t>
  </si>
  <si>
    <t>204:1044</t>
  </si>
  <si>
    <t>182-27</t>
  </si>
  <si>
    <t>1820-27</t>
  </si>
  <si>
    <t>300:58623</t>
  </si>
  <si>
    <t>204:691</t>
  </si>
  <si>
    <t>1821-27</t>
  </si>
  <si>
    <t>1822-27</t>
  </si>
  <si>
    <t>204:752</t>
  </si>
  <si>
    <t>1823-27</t>
  </si>
  <si>
    <t>300:58954</t>
  </si>
  <si>
    <t>1824-27</t>
  </si>
  <si>
    <t>204:724</t>
  </si>
  <si>
    <t>1825-27</t>
  </si>
  <si>
    <t>204:1013</t>
  </si>
  <si>
    <t>300:58943</t>
  </si>
  <si>
    <t>1826-27</t>
  </si>
  <si>
    <t>204:804</t>
  </si>
  <si>
    <t>1827-27</t>
  </si>
  <si>
    <t>204:1090</t>
  </si>
  <si>
    <t>1828-27</t>
  </si>
  <si>
    <t>204:731</t>
  </si>
  <si>
    <t>1829-27</t>
  </si>
  <si>
    <t>204:1009</t>
  </si>
  <si>
    <t>183-27</t>
  </si>
  <si>
    <t>204:233317</t>
  </si>
  <si>
    <t>1830-27</t>
  </si>
  <si>
    <t>1831-27</t>
  </si>
  <si>
    <t>204:1006</t>
  </si>
  <si>
    <t>1832-27</t>
  </si>
  <si>
    <t>204:768</t>
  </si>
  <si>
    <t>1833-27</t>
  </si>
  <si>
    <t>204:1014</t>
  </si>
  <si>
    <t>184-27</t>
  </si>
  <si>
    <t>185-27</t>
  </si>
  <si>
    <t>186-27</t>
  </si>
  <si>
    <t>187-27</t>
  </si>
  <si>
    <t>188-27</t>
  </si>
  <si>
    <t>189-27</t>
  </si>
  <si>
    <t>204:233278</t>
  </si>
  <si>
    <t>190-27</t>
  </si>
  <si>
    <t>1902-27</t>
  </si>
  <si>
    <t>300:21511</t>
  </si>
  <si>
    <t>191-27</t>
  </si>
  <si>
    <t>204:495</t>
  </si>
  <si>
    <t>192-27</t>
  </si>
  <si>
    <t>204:232981</t>
  </si>
  <si>
    <t>193-27</t>
  </si>
  <si>
    <t>204:233336</t>
  </si>
  <si>
    <t>194-27</t>
  </si>
  <si>
    <t>195-27</t>
  </si>
  <si>
    <t>204:433</t>
  </si>
  <si>
    <t>196-27</t>
  </si>
  <si>
    <t>197-27</t>
  </si>
  <si>
    <t>198-27</t>
  </si>
  <si>
    <t>199-27</t>
  </si>
  <si>
    <t>204:420</t>
  </si>
  <si>
    <t>200-27</t>
  </si>
  <si>
    <t>201-27</t>
  </si>
  <si>
    <t>204:477</t>
  </si>
  <si>
    <t>204:233303</t>
  </si>
  <si>
    <t>202-27</t>
  </si>
  <si>
    <t>203-27</t>
  </si>
  <si>
    <t>204-27</t>
  </si>
  <si>
    <t>205-27</t>
  </si>
  <si>
    <t>204:233343</t>
  </si>
  <si>
    <t>206-27</t>
  </si>
  <si>
    <t>207-27</t>
  </si>
  <si>
    <t>208-27</t>
  </si>
  <si>
    <t>204:233042</t>
  </si>
  <si>
    <t>209-27</t>
  </si>
  <si>
    <t>204:233318</t>
  </si>
  <si>
    <t>210-27</t>
  </si>
  <si>
    <t>211-27</t>
  </si>
  <si>
    <t>212-27</t>
  </si>
  <si>
    <t>213-27</t>
  </si>
  <si>
    <t>214-27</t>
  </si>
  <si>
    <t>215-27</t>
  </si>
  <si>
    <t>216-27</t>
  </si>
  <si>
    <t>217-27</t>
  </si>
  <si>
    <t>204:520</t>
  </si>
  <si>
    <t>218-27</t>
  </si>
  <si>
    <t>219-27</t>
  </si>
  <si>
    <t>220-27</t>
  </si>
  <si>
    <t>221-27</t>
  </si>
  <si>
    <t>222-27</t>
  </si>
  <si>
    <t>223-27</t>
  </si>
  <si>
    <t>224-27</t>
  </si>
  <si>
    <t>225-27</t>
  </si>
  <si>
    <t>226-27</t>
  </si>
  <si>
    <t>227-27</t>
  </si>
  <si>
    <t>228-27</t>
  </si>
  <si>
    <t>204:232957</t>
  </si>
  <si>
    <t>229-27</t>
  </si>
  <si>
    <t>230-27</t>
  </si>
  <si>
    <t>204:233030</t>
  </si>
  <si>
    <t>231-27</t>
  </si>
  <si>
    <t>232-27</t>
  </si>
  <si>
    <t>233-27</t>
  </si>
  <si>
    <t>234-27</t>
  </si>
  <si>
    <t>235-27</t>
  </si>
  <si>
    <t>236-27</t>
  </si>
  <si>
    <t>204:178</t>
  </si>
  <si>
    <t>237-27</t>
  </si>
  <si>
    <t>238-27</t>
  </si>
  <si>
    <t>204:233025</t>
  </si>
  <si>
    <t>239-27</t>
  </si>
  <si>
    <t>240-27</t>
  </si>
  <si>
    <t>204:1179</t>
  </si>
  <si>
    <t>241-27</t>
  </si>
  <si>
    <t>242-27</t>
  </si>
  <si>
    <t>243-27</t>
  </si>
  <si>
    <t>204:233285</t>
  </si>
  <si>
    <t>244-27</t>
  </si>
  <si>
    <t>245-27</t>
  </si>
  <si>
    <t>246-27</t>
  </si>
  <si>
    <t>303-27</t>
  </si>
  <si>
    <t>300:23297</t>
  </si>
  <si>
    <t>307-27</t>
  </si>
  <si>
    <t>311-27</t>
  </si>
  <si>
    <t>313-27</t>
  </si>
  <si>
    <t>300:23312</t>
  </si>
  <si>
    <t>315-26</t>
  </si>
  <si>
    <t>60-27</t>
  </si>
  <si>
    <t>204:1947</t>
  </si>
  <si>
    <t>61-27</t>
  </si>
  <si>
    <t>204:1513</t>
  </si>
  <si>
    <t>63-27</t>
  </si>
  <si>
    <t>204:1488</t>
  </si>
  <si>
    <t>204:233288</t>
  </si>
  <si>
    <t>64-27</t>
  </si>
  <si>
    <t>204:232990</t>
  </si>
  <si>
    <t>69-27</t>
  </si>
  <si>
    <t>ACKERMAN</t>
  </si>
  <si>
    <t>KILLION</t>
  </si>
  <si>
    <t>YORK</t>
  </si>
  <si>
    <t>153-27</t>
  </si>
  <si>
    <t>STORY</t>
  </si>
  <si>
    <t>BARTLETT</t>
  </si>
  <si>
    <t>154-27</t>
  </si>
  <si>
    <t>167-27</t>
  </si>
  <si>
    <t>168-27</t>
  </si>
  <si>
    <t>50-27</t>
  </si>
  <si>
    <t>POLLOCK</t>
  </si>
  <si>
    <t>DE LA ROSA</t>
  </si>
  <si>
    <t>HILLS</t>
  </si>
  <si>
    <t>305-27</t>
  </si>
  <si>
    <t>GOLIGHTLY</t>
  </si>
  <si>
    <t>315-27</t>
  </si>
  <si>
    <t>127-27</t>
  </si>
  <si>
    <t>128-27</t>
  </si>
  <si>
    <t>129-27</t>
  </si>
  <si>
    <t>130-27</t>
  </si>
  <si>
    <t>131-27</t>
  </si>
  <si>
    <t>132-27</t>
  </si>
  <si>
    <t>Central Park XING failure</t>
  </si>
  <si>
    <t>103-27</t>
  </si>
  <si>
    <t>104-27</t>
  </si>
  <si>
    <t>115-27</t>
  </si>
  <si>
    <t>145-27</t>
  </si>
  <si>
    <t>146-27</t>
  </si>
  <si>
    <t>Trip ID wasn't available while init'ing at DUS</t>
  </si>
  <si>
    <t>Consist wasn't correctly populated while init'ing at DUS</t>
  </si>
  <si>
    <t>40th 4S STOP, cleared shortly</t>
  </si>
  <si>
    <t>61st 2N STOP, cleared shortly</t>
  </si>
  <si>
    <t>EC1332RH 133-1T 1S was STOP &amp; PROCEED, no issues found</t>
  </si>
  <si>
    <t>Form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</si>
</sst>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0" fontId="10" fillId="0" borderId="0"/>
  </cellStyleXfs>
  <cellXfs count="16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1" fillId="0" borderId="5" xfId="0" applyNumberFormat="1" applyFont="1" applyFill="1" applyBorder="1" applyAlignment="1">
      <alignment horizontal="center" wrapText="1"/>
    </xf>
    <xf numFmtId="169" fontId="1" fillId="0" borderId="5" xfId="0" applyNumberFormat="1" applyFont="1" applyBorder="1" applyAlignment="1">
      <alignment horizontal="center" vertical="center" wrapText="1"/>
    </xf>
    <xf numFmtId="169" fontId="1" fillId="0" borderId="5" xfId="0" applyNumberFormat="1" applyFont="1" applyFill="1" applyBorder="1" applyAlignment="1">
      <alignment horizontal="center" vertical="center"/>
    </xf>
    <xf numFmtId="169" fontId="1" fillId="0" borderId="5" xfId="0" applyNumberFormat="1" applyFont="1" applyBorder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0" fontId="0" fillId="0" borderId="0" xfId="0" applyNumberForma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0" xfId="0" applyNumberFormat="1" applyFont="1" applyBorder="1" applyAlignment="1">
      <alignment horizontal="center" wrapText="1"/>
    </xf>
    <xf numFmtId="0" fontId="1" fillId="0" borderId="0" xfId="0" applyNumberFormat="1" applyFont="1" applyBorder="1" applyAlignment="1">
      <alignment horizontal="left" wrapText="1"/>
    </xf>
    <xf numFmtId="0" fontId="0" fillId="0" borderId="5" xfId="0" applyNumberFormat="1" applyBorder="1"/>
    <xf numFmtId="0" fontId="0" fillId="0" borderId="0" xfId="0" applyNumberFormat="1" applyAlignment="1">
      <alignment horizontal="center"/>
    </xf>
    <xf numFmtId="0" fontId="0" fillId="0" borderId="5" xfId="0" applyNumberFormat="1" applyFill="1" applyBorder="1" applyAlignment="1"/>
    <xf numFmtId="169" fontId="0" fillId="0" borderId="17" xfId="0" applyFill="1" applyBorder="1" applyAlignment="1">
      <alignment horizontal="left"/>
    </xf>
    <xf numFmtId="169" fontId="0" fillId="2" borderId="11" xfId="0" applyFill="1" applyBorder="1" applyAlignment="1">
      <alignment vertical="center"/>
    </xf>
    <xf numFmtId="169" fontId="0" fillId="2" borderId="12" xfId="0" applyFill="1" applyBorder="1" applyAlignment="1">
      <alignment horizontal="left" vertical="center"/>
    </xf>
    <xf numFmtId="0" fontId="0" fillId="2" borderId="13" xfId="0" applyNumberFormat="1" applyFill="1" applyBorder="1" applyAlignment="1"/>
    <xf numFmtId="169" fontId="0" fillId="0" borderId="0" xfId="0" applyAlignment="1"/>
    <xf numFmtId="169" fontId="0" fillId="0" borderId="14" xfId="0" applyBorder="1" applyAlignment="1">
      <alignment vertical="center"/>
    </xf>
    <xf numFmtId="169" fontId="0" fillId="0" borderId="15" xfId="0" applyBorder="1" applyAlignment="1">
      <alignment horizontal="left" vertical="center"/>
    </xf>
    <xf numFmtId="0" fontId="0" fillId="0" borderId="16" xfId="0" applyNumberFormat="1" applyBorder="1" applyAlignment="1"/>
    <xf numFmtId="1" fontId="1" fillId="0" borderId="0" xfId="0" applyNumberFormat="1" applyFont="1" applyBorder="1"/>
    <xf numFmtId="169" fontId="0" fillId="9" borderId="0" xfId="0" applyFill="1"/>
    <xf numFmtId="0" fontId="1" fillId="0" borderId="0" xfId="3" applyFont="1"/>
    <xf numFmtId="0" fontId="10" fillId="0" borderId="0" xfId="3"/>
    <xf numFmtId="0" fontId="12" fillId="0" borderId="0" xfId="0" applyNumberFormat="1" applyFont="1"/>
    <xf numFmtId="0" fontId="10" fillId="0" borderId="0" xfId="3" applyNumberFormat="1"/>
    <xf numFmtId="0" fontId="0" fillId="0" borderId="0" xfId="3" applyFont="1"/>
    <xf numFmtId="0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0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352425</xdr:colOff>
          <xdr:row>1</xdr:row>
          <xdr:rowOff>28575</xdr:rowOff>
        </xdr:from>
        <xdr:to>
          <xdr:col>13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7"/>
  <sheetViews>
    <sheetView tabSelected="1" workbookViewId="0">
      <selection activeCell="R243" sqref="R243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.7109375" style="43" customWidth="1"/>
    <col min="15" max="15" width="4.7109375" style="2" customWidth="1"/>
    <col min="16" max="16" width="4" style="2" customWidth="1"/>
    <col min="17" max="17" width="5.85546875" hidden="1" customWidth="1"/>
    <col min="18" max="18" width="34.28515625" customWidth="1"/>
    <col min="19" max="19" width="7.7109375" style="23" customWidth="1"/>
    <col min="20" max="20" width="3.85546875" customWidth="1"/>
    <col min="21" max="21" width="5" style="114" customWidth="1"/>
    <col min="22" max="22" width="5.7109375" style="104" customWidth="1"/>
    <col min="23" max="23" width="3.85546875" style="22" customWidth="1"/>
    <col min="24" max="24" width="5.28515625" style="118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7" customWidth="1"/>
    <col min="32" max="32" width="6.28515625" style="94" customWidth="1"/>
    <col min="33" max="33" width="5.42578125" customWidth="1"/>
    <col min="34" max="34" width="5" style="100" customWidth="1"/>
    <col min="35" max="35" width="5.7109375" style="141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122</v>
      </c>
      <c r="J1" s="43"/>
      <c r="K1" s="30"/>
      <c r="L1" s="30"/>
      <c r="M1" s="42"/>
      <c r="N1" s="43"/>
      <c r="O1" s="2"/>
      <c r="P1" s="2"/>
      <c r="R1" s="40" t="s">
        <v>123</v>
      </c>
      <c r="S1" s="43"/>
      <c r="T1" s="30"/>
      <c r="U1" s="121"/>
      <c r="V1" s="42"/>
      <c r="W1" s="43"/>
      <c r="X1" s="114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8">
        <f>Variables!$A$2</f>
        <v>42609</v>
      </c>
      <c r="J2" s="79"/>
      <c r="K2" s="80"/>
      <c r="L2" s="80"/>
      <c r="M2" s="81" t="s">
        <v>8</v>
      </c>
      <c r="N2" s="82"/>
      <c r="O2" s="83"/>
      <c r="P2" s="2"/>
      <c r="R2" s="78">
        <f>Variables!$A$2</f>
        <v>42609</v>
      </c>
      <c r="S2" s="79"/>
      <c r="T2" s="80"/>
      <c r="U2" s="122"/>
      <c r="V2" s="102" t="s">
        <v>8</v>
      </c>
      <c r="W2" s="82"/>
      <c r="X2" s="115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4" t="s">
        <v>10</v>
      </c>
      <c r="J3" s="85"/>
      <c r="K3" s="86"/>
      <c r="L3" s="86"/>
      <c r="M3" s="44" t="s">
        <v>11</v>
      </c>
      <c r="N3" s="45" t="s">
        <v>12</v>
      </c>
      <c r="O3" s="3" t="s">
        <v>13</v>
      </c>
      <c r="P3" s="2"/>
      <c r="R3" s="84" t="s">
        <v>10</v>
      </c>
      <c r="S3" s="85"/>
      <c r="T3" s="86"/>
      <c r="U3" s="123"/>
      <c r="V3" s="44" t="s">
        <v>11</v>
      </c>
      <c r="W3" s="45" t="s">
        <v>12</v>
      </c>
      <c r="X3" s="116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7" t="s">
        <v>14</v>
      </c>
      <c r="J4" s="57">
        <f>SUM(J5:J7)</f>
        <v>146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7" t="s">
        <v>14</v>
      </c>
      <c r="S4" s="57">
        <f>SUM(S5:S7)</f>
        <v>34</v>
      </c>
      <c r="T4" s="46"/>
      <c r="U4" s="124"/>
      <c r="V4" s="47" t="s">
        <v>15</v>
      </c>
      <c r="W4" s="45" t="s">
        <v>15</v>
      </c>
      <c r="X4" s="116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7" t="s">
        <v>17</v>
      </c>
      <c r="J5" s="57">
        <f>COUNTIFS($N$13:$N$9392,"&gt;0",$AG$13:$AG$9392,I1)</f>
        <v>122</v>
      </c>
      <c r="K5" s="46"/>
      <c r="L5" s="46"/>
      <c r="M5" s="47">
        <f>AVERAGEIFS($N$13:$N$9392,$AG$13:$AG$9392,I1)</f>
        <v>40.871174863690406</v>
      </c>
      <c r="N5" s="45">
        <f t="array" ref="N5">MIN(IF($AG$13:$AG$9392=I1,IF(ISNUMBER($N$13:$N$9392),IF($N$13:$N$9392&gt;0,$N$13:$N$9392))))</f>
        <v>34.983333338750526</v>
      </c>
      <c r="O5" s="3">
        <f t="array" ref="O5">MAX(IF($AG$13:$AG$9392=I1,IF(ISNUMBER($N$13:$N$9392),IF($N$13:$N$9392&gt;0,$N$13:$N$9392))))</f>
        <v>82.316666672704741</v>
      </c>
      <c r="P5" s="2"/>
      <c r="R5" s="87" t="s">
        <v>17</v>
      </c>
      <c r="S5" s="57">
        <f>COUNTIFS($N$13:$N$9392,"&gt;0",$AG$13:$AG$9392,R1)</f>
        <v>34</v>
      </c>
      <c r="T5" s="46"/>
      <c r="U5" s="124"/>
      <c r="V5" s="47">
        <f>AVERAGEIFS($N$13:$N$9392,$AG$13:$AG$9392,R1)</f>
        <v>14.76519607767627</v>
      </c>
      <c r="W5" s="45">
        <f t="array" ref="W5">MIN(IF($AG$13:$AG$9392=R1,IF(ISNUMBER($N$13:$N$9392),IF($N$13:$N$9392&gt;0,$N$13:$N$9392))))</f>
        <v>12.450000008102506</v>
      </c>
      <c r="X5" s="116">
        <f t="array" ref="X5">MAX(IF($AG$13:$AG$9392=R1,IF(ISNUMBER($N$13:$N$9392),IF($N$13:$N$9392&gt;0,$N$13:$N$9392))))</f>
        <v>18.949999997857958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8" t="s">
        <v>43</v>
      </c>
      <c r="J6" s="57">
        <f>COUNT($O$13:$O$152)</f>
        <v>0</v>
      </c>
      <c r="K6" s="46"/>
      <c r="L6" s="46"/>
      <c r="M6" s="47">
        <f>IFERROR(AVERAGE($O$13:$O$152),0)</f>
        <v>0</v>
      </c>
      <c r="N6" s="45">
        <f>MIN($O$13:$O$152)</f>
        <v>0</v>
      </c>
      <c r="O6" s="3">
        <f>MAX($O$13:$O$152)</f>
        <v>0</v>
      </c>
      <c r="P6" s="2"/>
      <c r="R6" s="88" t="s">
        <v>43</v>
      </c>
      <c r="S6" s="57">
        <f>COUNT($O$13:$O$152)</f>
        <v>0</v>
      </c>
      <c r="T6" s="46"/>
      <c r="U6" s="124"/>
      <c r="V6" s="47">
        <f>IFERROR(AVERAGE($O$13:$O$152),0)</f>
        <v>0</v>
      </c>
      <c r="W6" s="45">
        <f>MIN($O$13:$O$152)</f>
        <v>0</v>
      </c>
      <c r="X6" s="116">
        <f>MAX($O$13:$O$152)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9" t="s">
        <v>9</v>
      </c>
      <c r="J7" s="57">
        <f>COUNTIFS($P$13:$P$9392,"&gt;0",$AG$13:$AG$9392,I1)</f>
        <v>24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9" t="s">
        <v>9</v>
      </c>
      <c r="S7" s="57">
        <f>COUNTIFS($P$13:$P$9392,"&gt;0",$AG$13:$AG$9392,R1)</f>
        <v>0</v>
      </c>
      <c r="T7" s="46"/>
      <c r="U7" s="124"/>
      <c r="V7" s="47" t="s">
        <v>15</v>
      </c>
      <c r="W7" s="45" t="s">
        <v>15</v>
      </c>
      <c r="X7" s="116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7" t="s">
        <v>16</v>
      </c>
      <c r="J8" s="57">
        <f>J5</f>
        <v>122</v>
      </c>
      <c r="K8" s="46"/>
      <c r="L8" s="46"/>
      <c r="M8" s="47">
        <f>M5</f>
        <v>40.871174863690406</v>
      </c>
      <c r="N8" s="45">
        <f>N5</f>
        <v>34.983333338750526</v>
      </c>
      <c r="O8" s="3">
        <f>O5</f>
        <v>82.316666672704741</v>
      </c>
      <c r="P8" s="2"/>
      <c r="R8" s="87" t="s">
        <v>16</v>
      </c>
      <c r="S8" s="57">
        <f>S5</f>
        <v>34</v>
      </c>
      <c r="T8" s="46"/>
      <c r="U8" s="124"/>
      <c r="V8" s="47">
        <f>V5</f>
        <v>14.76519607767627</v>
      </c>
      <c r="W8" s="45">
        <f>W5</f>
        <v>12.450000008102506</v>
      </c>
      <c r="X8" s="116">
        <f>X5</f>
        <v>18.949999997857958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7" t="s">
        <v>19</v>
      </c>
      <c r="J9" s="71">
        <f>J8/J4</f>
        <v>0.83561643835616439</v>
      </c>
      <c r="K9" s="48"/>
      <c r="L9" s="48"/>
      <c r="M9" s="90"/>
      <c r="N9" s="43"/>
      <c r="O9" s="91"/>
      <c r="P9" s="2"/>
      <c r="R9" s="87" t="s">
        <v>19</v>
      </c>
      <c r="S9" s="71">
        <f>S8/S4</f>
        <v>1</v>
      </c>
      <c r="T9" s="48"/>
      <c r="U9" s="121"/>
      <c r="V9" s="90"/>
      <c r="W9" s="43"/>
      <c r="X9" s="117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14"/>
      <c r="V10" s="103"/>
      <c r="W10" s="22"/>
      <c r="X10" s="118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63" t="str">
        <f>"Eagle P3 System Performance - "&amp;TEXT(Variables!A2,"yyyy-mm-dd")</f>
        <v>Eagle P3 System Performance - 2016-08-27</v>
      </c>
      <c r="B11" s="163"/>
      <c r="C11" s="163"/>
      <c r="D11" s="163"/>
      <c r="E11" s="163"/>
      <c r="F11" s="163"/>
      <c r="G11" s="163"/>
      <c r="H11" s="163"/>
      <c r="I11" s="163"/>
      <c r="J11" s="163"/>
      <c r="K11" s="163"/>
      <c r="L11" s="163"/>
      <c r="M11" s="163"/>
      <c r="N11" s="163"/>
      <c r="O11" s="163"/>
      <c r="P11" s="163"/>
      <c r="S11" s="72">
        <f>AVERAGE(S13:S96)</f>
        <v>0.796875</v>
      </c>
      <c r="V11" s="103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93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25" t="s">
        <v>71</v>
      </c>
      <c r="V12" s="105" t="s">
        <v>45</v>
      </c>
      <c r="W12" s="53" t="s">
        <v>23</v>
      </c>
      <c r="X12" s="119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94</v>
      </c>
      <c r="AE12" s="98" t="s">
        <v>101</v>
      </c>
      <c r="AF12" s="95" t="s">
        <v>106</v>
      </c>
      <c r="AG12" s="4" t="s">
        <v>124</v>
      </c>
      <c r="AH12" s="101" t="s">
        <v>127</v>
      </c>
      <c r="AI12" s="148" t="s">
        <v>248</v>
      </c>
      <c r="AJ12" s="53" t="s">
        <v>249</v>
      </c>
      <c r="AK12" s="53" t="s">
        <v>221</v>
      </c>
      <c r="AL12" s="53" t="s">
        <v>250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385</v>
      </c>
      <c r="B13" s="7">
        <v>4020</v>
      </c>
      <c r="C13" s="24" t="s">
        <v>113</v>
      </c>
      <c r="D13" s="24" t="s">
        <v>328</v>
      </c>
      <c r="E13" s="15">
        <v>42609.132986111108</v>
      </c>
      <c r="F13" s="15">
        <v>42609.135625000003</v>
      </c>
      <c r="G13" s="7">
        <v>1</v>
      </c>
      <c r="H13" s="15" t="s">
        <v>341</v>
      </c>
      <c r="I13" s="15">
        <v>42609.16128472222</v>
      </c>
      <c r="J13" s="7">
        <v>0</v>
      </c>
      <c r="K13" s="132" t="str">
        <f>IF(ISEVEN(B13),(B13-1)&amp;"/"&amp;B13,B13&amp;"/"&amp;(B13+1))</f>
        <v>4019/4020</v>
      </c>
      <c r="L13" s="24" t="str">
        <f>VLOOKUP(A13,'Trips&amp;Operators'!$C$1:$E$10000,3,FALSE)</f>
        <v>MAELZER</v>
      </c>
      <c r="M13" s="6">
        <f>I13-F13</f>
        <v>2.565972221782431E-2</v>
      </c>
      <c r="N13" s="7">
        <f>24*60*SUM($M13:$M13)</f>
        <v>36.949999993667006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2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6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https://search-rtdc-monitor-bjffxe2xuh6vdkpspy63sjmuny.us-east-1.es.amazonaws.com/_plugin/kibana/#/discover/Steve-Slow-Train-Analysis-(2080s-and-2083s)?_g=(refreshInterval:(display:Off,section:0,value:0),time:(from:'2016-08-27 02:11:30-0600',mode:absolute,to:'2016-08-27 04:52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" s="54" t="str">
        <f>IF(AA13&lt;IF(AG13="EC",23,5.65),"Y","N")</f>
        <v>N</v>
      </c>
      <c r="X13" s="120" t="e">
        <f>VALUE(LEFT(AD13,4))-VALUE(LEFT(AD12,4))</f>
        <v>#VALUE!</v>
      </c>
      <c r="Y13" s="69">
        <f>RIGHT(D13,LEN(D13)-4)/10000</f>
        <v>7.2599999999999998E-2</v>
      </c>
      <c r="Z13" s="69">
        <f>RIGHT(H13,LEN(H13)-4)/10000</f>
        <v>23.331600000000002</v>
      </c>
      <c r="AA13" s="69">
        <f>ABS(Z13-Y13)</f>
        <v>23.259</v>
      </c>
      <c r="AB13" s="66" t="e">
        <f>VLOOKUP(A13,Enforcements!$C$7:$J$21,8,0)</f>
        <v>#N/A</v>
      </c>
      <c r="AC13" s="62" t="e">
        <f>VLOOKUP(A13,Enforcements!$C$7:$E$21,3,0)</f>
        <v>#N/A</v>
      </c>
      <c r="AD13" s="63" t="str">
        <f>IF(LEN(A13)=6,"0"&amp;A13,A13)</f>
        <v>0101-27</v>
      </c>
      <c r="AE13" s="99" t="str">
        <f t="shared" ref="AE13:AE76" si="0">"aws s3 cp "&amp;s3_bucket&amp;"/RTDC"&amp;B13&amp;"/"&amp;TEXT(F13,"YYYY-MM-DD")&amp;"/ "&amp;search_path&amp;"\RTDC"&amp;B13&amp;"\"&amp;TEXT(F13,"YYYY-MM-DD")&amp;" --recursive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--recursive &amp; """&amp;walkandungz&amp;""" "&amp;search_path&amp;"\RTDC"&amp;B13&amp;"\"&amp;TEXT(F13+1,"YYYY-MM-DD")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3" s="96" t="str">
        <f t="shared" ref="AF13:AF76" si="1">astrogrep_path&amp;" /spath="&amp;search_path&amp;" /stypes=""*"&amp;B13&amp;"*"&amp;TEXT(I13-utc_offset/24,"YYYYMMDD")&amp;"*"" /stext="" "&amp;TEXT(I13-utc_offset/24,"HH")&amp;search_regexp&amp;""" /e /r /s"</f>
        <v>"C:\Program Files (x86)\AstroGrep\AstroGrep.exe" /spath="%USERPROFILE%\AppData\Local\Temp\OnboardLogs" /stypes="*4020*20160827*" /stext=" 09:.+((SYSTEM_STATE.+slice.+state.+changed )|(ment ac)|(system.+state.+changed )|(\|lc)|(penalty)|(\[timeout)|(PRM\|1\|D)|(kpr)|(kdp))" /e /r /s</v>
      </c>
      <c r="AG13" s="1" t="str">
        <f>IFERROR(IF(VALUE(LEFT(AD13,2))&lt;=2,"EC",IF(OR(VALUE(LEFT(AD13,2))=8,VALUE(LEFT(AD13,2))=18),"NW","Other")),"Other")</f>
        <v>EC</v>
      </c>
      <c r="AH13" s="100" t="str">
        <f t="shared" ref="AH13:AH88" si="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4020 --swversion DE.1.0.7.0 --startMP 204:726 --initTime 2016-08-27T03:11:30 --startdatetime 2016-08-27T03:15:18 --delay 1 --endMP 204:233316 --enddatetime 2016-08-27T03:52:15 --enforcementcount 0 &gt;&gt;C:\Users\stu\Documents\GitHub\eaglep3-reporting\EC\2016-08-27-refined-times.txt</v>
      </c>
      <c r="AI13" s="149" t="str">
        <f t="shared" ref="AI13:AI88" si="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AA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{"issue":{"subject":"","project_id":79,"tracker_id":40,"status_id":1,"priority_id":2,"assigned_to_id":23,"start_date":"2016-08-27","description":"","custom_fields":[{"id":1,"name":"Subdivision","value":"EC"},{"id":4,"name":"Milepost","value":"23.259"},{"id":17,"name":"Train ID","value":"101-27"},{"id":16,"name":"Locomotive ID","value":"4020"},{"id":130,"name":"Impact","value":""},{"id":150,"name":"Time of Event (Mountain Time)","value":"03:52:15"},{"id":151,"name":"Denver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386</v>
      </c>
      <c r="B14" s="7">
        <v>4032</v>
      </c>
      <c r="C14" s="24" t="s">
        <v>113</v>
      </c>
      <c r="D14" s="24" t="s">
        <v>387</v>
      </c>
      <c r="E14" s="15">
        <v>42609.167581018519</v>
      </c>
      <c r="F14" s="15">
        <v>42609.174571759257</v>
      </c>
      <c r="G14" s="7">
        <v>1</v>
      </c>
      <c r="H14" s="15" t="s">
        <v>263</v>
      </c>
      <c r="I14" s="15">
        <v>42609.201770833337</v>
      </c>
      <c r="J14" s="7">
        <v>0</v>
      </c>
      <c r="K14" s="132" t="str">
        <f>IF(ISEVEN(B14),(B14-1)&amp;"/"&amp;B14,B14&amp;"/"&amp;(B14+1))</f>
        <v>4031/4032</v>
      </c>
      <c r="L14" s="24" t="str">
        <f>VLOOKUP(A14,'Trips&amp;Operators'!$C$1:$E$10000,3,FALSE)</f>
        <v>MAELZER</v>
      </c>
      <c r="M14" s="6">
        <f>I14-F14</f>
        <v>2.7199074080272112E-2</v>
      </c>
      <c r="N14" s="7">
        <f>24*60*SUM($M14:$M14)</f>
        <v>39.166666675591841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2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6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https://search-rtdc-monitor-bjffxe2xuh6vdkpspy63sjmuny.us-east-1.es.amazonaws.com/_plugin/kibana/#/discover/Steve-Slow-Train-Analysis-(2080s-and-2083s)?_g=(refreshInterval:(display:Off,section:0,value:0),time:(from:'2016-08-27 03:01:19-0600',mode:absolute,to:'2016-08-27 05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" s="54" t="str">
        <f>IF(AA14&lt;IF(AG14="EC",23,5.65),"Y","N")</f>
        <v>N</v>
      </c>
      <c r="X14" s="120">
        <f>VALUE(LEFT(AD14,4))-VALUE(LEFT(AD13,4))</f>
        <v>1</v>
      </c>
      <c r="Y14" s="69">
        <f>RIGHT(D14,LEN(D14)-4)/10000</f>
        <v>23.267700000000001</v>
      </c>
      <c r="Z14" s="69">
        <f>RIGHT(H14,LEN(H14)-4)/10000</f>
        <v>1.32E-2</v>
      </c>
      <c r="AA14" s="69">
        <f>ABS(Z14-Y14)</f>
        <v>23.2545</v>
      </c>
      <c r="AB14" s="66" t="e">
        <f>VLOOKUP(A14,Enforcements!$C$7:$J$21,8,0)</f>
        <v>#N/A</v>
      </c>
      <c r="AC14" s="62" t="e">
        <f>VLOOKUP(A14,Enforcements!$C$7:$E$21,3,0)</f>
        <v>#N/A</v>
      </c>
      <c r="AD14" s="63" t="str">
        <f>IF(LEN(A14)=6,"0"&amp;A14,A14)</f>
        <v>0102-27</v>
      </c>
      <c r="AE14" s="99" t="str">
        <f t="shared" si="0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4" s="96" t="str">
        <f t="shared" si="1"/>
        <v>"C:\Program Files (x86)\AstroGrep\AstroGrep.exe" /spath="%USERPROFILE%\AppData\Local\Temp\OnboardLogs" /stypes="*4032*20160827*" /stext=" 10:.+((SYSTEM_STATE.+slice.+state.+changed )|(ment ac)|(system.+state.+changed )|(\|lc)|(penalty)|(\[timeout)|(PRM\|1\|D)|(kpr)|(kdp))" /e /r /s</v>
      </c>
      <c r="AG14" s="1" t="str">
        <f>IFERROR(IF(VALUE(LEFT(AD14,2))&lt;=2,"EC",IF(OR(VALUE(LEFT(AD14,2))=8,VALUE(LEFT(AD14,2))=18),"NW","Other")),"Other")</f>
        <v>EC</v>
      </c>
      <c r="AH14" s="100" t="str">
        <f t="shared" si="2"/>
        <v>"%USERPROFILE%\Documents\GitHub\eaglep3\Utilities\RefineRTDCRunTimes.py" --tripid 102-27 --locoid 4032 --swversion DE.1.0.7.0 --startMP 204:232677 --initTime 2016-08-27T04:01:19 --startdatetime 2016-08-27T04:11:23 --delay 1 --endMP 204:132 --enddatetime 2016-08-27T04:50:33 --enforcementcount 0 &gt;&gt;C:\Users\stu\Documents\GitHub\eaglep3-reporting\EC\2016-08-27-refined-times.txt</v>
      </c>
      <c r="AI14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{"issue":{"subject":"","project_id":79,"tracker_id":40,"status_id":1,"priority_id":2,"assigned_to_id":23,"start_date":"2016-08-27","description":"","custom_fields":[{"id":1,"name":"Subdivision","value":"EC"},{"id":4,"name":"Milepost","value":"23.2545"},{"id":17,"name":"Train ID","value":"102-27"},{"id":16,"name":"Locomotive ID","value":"4032"},{"id":130,"name":"Impact","value":""},{"id":150,"name":"Time of Event (Mountain Time)","value":"04:50:33"},{"id":151,"name":"Denver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700</v>
      </c>
      <c r="B15" s="7"/>
      <c r="C15" s="24"/>
      <c r="D15" s="24"/>
      <c r="E15" s="15"/>
      <c r="F15" s="15"/>
      <c r="G15" s="7"/>
      <c r="H15" s="15"/>
      <c r="I15" s="15"/>
      <c r="J15" s="7">
        <v>0</v>
      </c>
      <c r="K15" s="132" t="str">
        <f t="shared" ref="K15:K16" si="4">IF(ISEVEN(B15),(B15-1)&amp;"/"&amp;B15,B15&amp;"/"&amp;(B15+1))</f>
        <v>-1/</v>
      </c>
      <c r="L15" s="24" t="e">
        <f>VLOOKUP(A15,'Trips&amp;Operators'!$C$1:$E$10000,3,FALSE)</f>
        <v>#N/A</v>
      </c>
      <c r="M15" s="6">
        <f t="shared" ref="M15:M16" si="5">I15-F15</f>
        <v>0</v>
      </c>
      <c r="N15" s="7"/>
      <c r="O15" s="7"/>
      <c r="P15" s="7">
        <v>1</v>
      </c>
      <c r="Q15" s="25"/>
      <c r="R15" s="25" t="s">
        <v>295</v>
      </c>
      <c r="S15" s="37">
        <f t="shared" ref="S15:S16" si="6">SUM(U15:U15)/IF(AG15="EC",12,1)</f>
        <v>0</v>
      </c>
      <c r="T15" s="52" t="str">
        <f t="shared" ref="T15:T16" si="7">IF(ISEVEN(LEFT(AD15,4)),"Southbound","NorthBound")</f>
        <v>NorthBound</v>
      </c>
      <c r="U15" s="12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0</v>
      </c>
      <c r="V15" s="106" t="e">
        <f t="shared" ref="V15:V16" si="8"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15&amp;"%22')),sort:!(Time,asc))"</f>
        <v>#VALUE!</v>
      </c>
      <c r="W15" s="54" t="e">
        <f t="shared" ref="W15:W16" si="9">IF(AA15&lt;IF(AG15="EC",23,5.65),"Y","N")</f>
        <v>#VALUE!</v>
      </c>
      <c r="X15" s="120">
        <f t="shared" ref="X15:X18" si="10">VALUE(LEFT(AD15,4))-VALUE(LEFT(AD14,4))</f>
        <v>1</v>
      </c>
      <c r="Y15" s="69" t="e">
        <f t="shared" ref="Y15:Y16" si="11">RIGHT(D15,LEN(D15)-4)/10000</f>
        <v>#VALUE!</v>
      </c>
      <c r="Z15" s="69" t="e">
        <f t="shared" ref="Z15:Z16" si="12">RIGHT(H15,LEN(H15)-4)/10000</f>
        <v>#VALUE!</v>
      </c>
      <c r="AA15" s="69" t="e">
        <f t="shared" ref="AA15:AA16" si="13">ABS(Z15-Y15)</f>
        <v>#VALUE!</v>
      </c>
      <c r="AB15" s="66" t="e">
        <f>VLOOKUP(A15,Enforcements!$C$7:$J$21,8,0)</f>
        <v>#N/A</v>
      </c>
      <c r="AC15" s="62" t="e">
        <f>VLOOKUP(A15,Enforcements!$C$7:$E$21,3,0)</f>
        <v>#N/A</v>
      </c>
      <c r="AD15" s="63" t="str">
        <f t="shared" ref="AD15:AD16" si="14">IF(LEN(A15)=6,"0"&amp;A15,A15)</f>
        <v>0103-27</v>
      </c>
      <c r="AE15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5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5" s="1" t="str">
        <f t="shared" ref="AG15:AG16" si="15">IFERROR(IF(VALUE(LEFT(AD15,2))&lt;=2,"EC",IF(OR(VALUE(LEFT(AD15,2))=8,VALUE(LEFT(AD15,2))=18),"NW","Other")),"Other")</f>
        <v>EC</v>
      </c>
      <c r="AH15" s="100" t="str">
        <f t="shared" ref="AH15:AH16" si="16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15" s="149" t="e">
        <f t="shared" ref="AI15:AI16" si="17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AA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#VALUE!</v>
      </c>
      <c r="AJ15" s="55"/>
      <c r="AK15" s="55"/>
      <c r="AL15" s="55"/>
    </row>
    <row r="16" spans="1:91" s="1" customFormat="1" x14ac:dyDescent="0.25">
      <c r="A16" s="39" t="s">
        <v>701</v>
      </c>
      <c r="B16" s="7"/>
      <c r="C16" s="24"/>
      <c r="D16" s="24"/>
      <c r="E16" s="15"/>
      <c r="F16" s="15"/>
      <c r="G16" s="7"/>
      <c r="H16" s="15"/>
      <c r="I16" s="15"/>
      <c r="J16" s="7">
        <v>0</v>
      </c>
      <c r="K16" s="132" t="str">
        <f t="shared" si="4"/>
        <v>-1/</v>
      </c>
      <c r="L16" s="24" t="e">
        <f>VLOOKUP(A16,'Trips&amp;Operators'!$C$1:$E$10000,3,FALSE)</f>
        <v>#N/A</v>
      </c>
      <c r="M16" s="6">
        <f t="shared" si="5"/>
        <v>0</v>
      </c>
      <c r="N16" s="7"/>
      <c r="O16" s="7"/>
      <c r="P16" s="7">
        <v>1</v>
      </c>
      <c r="Q16" s="25"/>
      <c r="R16" s="25" t="s">
        <v>295</v>
      </c>
      <c r="S16" s="37">
        <f t="shared" si="6"/>
        <v>0</v>
      </c>
      <c r="T16" s="52" t="str">
        <f t="shared" si="7"/>
        <v>Southbound</v>
      </c>
      <c r="U16" s="12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106" t="e">
        <f t="shared" si="8"/>
        <v>#VALUE!</v>
      </c>
      <c r="W16" s="54" t="e">
        <f t="shared" si="9"/>
        <v>#VALUE!</v>
      </c>
      <c r="X16" s="120">
        <f t="shared" si="10"/>
        <v>1</v>
      </c>
      <c r="Y16" s="69" t="e">
        <f t="shared" si="11"/>
        <v>#VALUE!</v>
      </c>
      <c r="Z16" s="69" t="e">
        <f t="shared" si="12"/>
        <v>#VALUE!</v>
      </c>
      <c r="AA16" s="69" t="e">
        <f t="shared" si="13"/>
        <v>#VALUE!</v>
      </c>
      <c r="AB16" s="66" t="e">
        <f>VLOOKUP(A16,Enforcements!$C$7:$J$21,8,0)</f>
        <v>#N/A</v>
      </c>
      <c r="AC16" s="62" t="e">
        <f>VLOOKUP(A16,Enforcements!$C$7:$E$21,3,0)</f>
        <v>#N/A</v>
      </c>
      <c r="AD16" s="63" t="str">
        <f t="shared" si="14"/>
        <v>0104-27</v>
      </c>
      <c r="AE16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16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16" s="1" t="str">
        <f t="shared" si="15"/>
        <v>EC</v>
      </c>
      <c r="AH16" s="100" t="str">
        <f t="shared" si="16"/>
        <v>"%USERPROFILE%\Documents\GitHub\eaglep3\Utilities\RefineRTDCRunTimes.py" --tripid 104-27 --locoid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16" s="149" t="e">
        <f t="shared" si="17"/>
        <v>#VALUE!</v>
      </c>
      <c r="AJ16" s="55"/>
      <c r="AK16" s="55"/>
      <c r="AL16" s="55"/>
    </row>
    <row r="17" spans="1:38" s="1" customFormat="1" x14ac:dyDescent="0.25">
      <c r="A17" s="39" t="s">
        <v>388</v>
      </c>
      <c r="B17" s="7">
        <v>4014</v>
      </c>
      <c r="C17" s="24" t="s">
        <v>113</v>
      </c>
      <c r="D17" s="24" t="s">
        <v>389</v>
      </c>
      <c r="E17" s="15">
        <v>42609.170844907407</v>
      </c>
      <c r="F17" s="15">
        <v>42609.177337962959</v>
      </c>
      <c r="G17" s="7">
        <v>1</v>
      </c>
      <c r="H17" s="15" t="s">
        <v>390</v>
      </c>
      <c r="I17" s="15">
        <v>42609.203564814816</v>
      </c>
      <c r="J17" s="7">
        <v>0</v>
      </c>
      <c r="K17" s="132" t="str">
        <f t="shared" ref="K17:K42" si="18">IF(ISEVEN(B17),(B17-1)&amp;"/"&amp;B17,B17&amp;"/"&amp;(B17+1))</f>
        <v>4013/4014</v>
      </c>
      <c r="L17" s="24" t="str">
        <f>VLOOKUP(A17,'Trips&amp;Operators'!$C$1:$E$10000,3,FALSE)</f>
        <v>ACKERMAN</v>
      </c>
      <c r="M17" s="6">
        <f t="shared" ref="M17:M42" si="19">I17-F17</f>
        <v>2.6226851856335998E-2</v>
      </c>
      <c r="N17" s="7">
        <f>24*60*SUM($M17:$M17)</f>
        <v>37.766666673123837</v>
      </c>
      <c r="O17" s="7"/>
      <c r="P17" s="7"/>
      <c r="Q17" s="25"/>
      <c r="R17" s="25"/>
      <c r="S17" s="37">
        <f>SUM(U17:U17)/IF(AG17="EC",12,1)</f>
        <v>1</v>
      </c>
      <c r="T17" s="52" t="str">
        <f t="shared" ref="T17:T42" si="20">IF(ISEVEN(LEFT(AD17,4)),"Southbound","NorthBound")</f>
        <v>NorthBound</v>
      </c>
      <c r="U17" s="12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6" t="str">
        <f t="shared" ref="V17:V42" si="21"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https://search-rtdc-monitor-bjffxe2xuh6vdkpspy63sjmuny.us-east-1.es.amazonaws.com/_plugin/kibana/#/discover/Steve-Slow-Train-Analysis-(2080s-and-2083s)?_g=(refreshInterval:(display:Off,section:0,value:0),time:(from:'2016-08-27 03:06:01-0600',mode:absolute,to:'2016-08-27 05:53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7" s="54" t="str">
        <f t="shared" ref="W17:W42" si="22">IF(AA17&lt;IF(AG17="EC",23,5.65),"Y","N")</f>
        <v>N</v>
      </c>
      <c r="X17" s="120">
        <f t="shared" si="10"/>
        <v>1</v>
      </c>
      <c r="Y17" s="69">
        <f t="shared" ref="Y17:Y42" si="23">RIGHT(D17,LEN(D17)-4)/10000</f>
        <v>6.83E-2</v>
      </c>
      <c r="Z17" s="69">
        <f t="shared" ref="Z17:Z42" si="24">RIGHT(H17,LEN(H17)-4)/10000</f>
        <v>23.338000000000001</v>
      </c>
      <c r="AA17" s="69">
        <f t="shared" ref="AA17:AA42" si="25">ABS(Z17-Y17)</f>
        <v>23.2697</v>
      </c>
      <c r="AB17" s="66" t="e">
        <f>VLOOKUP(A17,Enforcements!$C$7:$J$21,8,0)</f>
        <v>#N/A</v>
      </c>
      <c r="AC17" s="62" t="e">
        <f>VLOOKUP(A17,Enforcements!$C$7:$E$21,3,0)</f>
        <v>#N/A</v>
      </c>
      <c r="AD17" s="63" t="str">
        <f t="shared" ref="AD17:AD42" si="26">IF(LEN(A17)=6,"0"&amp;A17,A17)</f>
        <v>0105-27</v>
      </c>
      <c r="AE17" s="99" t="str">
        <f t="shared" si="0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17" s="96" t="str">
        <f t="shared" si="1"/>
        <v>"C:\Program Files (x86)\AstroGrep\AstroGrep.exe" /spath="%USERPROFILE%\AppData\Local\Temp\OnboardLogs" /stypes="*4014*20160827*" /stext=" 10:.+((SYSTEM_STATE.+slice.+state.+changed )|(ment ac)|(system.+state.+changed )|(\|lc)|(penalty)|(\[timeout)|(PRM\|1\|D)|(kpr)|(kdp))" /e /r /s</v>
      </c>
      <c r="AG17" s="1" t="str">
        <f t="shared" ref="AG17:AG42" si="27">IFERROR(IF(VALUE(LEFT(AD17,2))&lt;=2,"EC",IF(OR(VALUE(LEFT(AD17,2))=8,VALUE(LEFT(AD17,2))=18),"NW","Other")),"Other")</f>
        <v>EC</v>
      </c>
      <c r="AH17" s="100" t="str">
        <f t="shared" si="2"/>
        <v>"%USERPROFILE%\Documents\GitHub\eaglep3\Utilities\RefineRTDCRunTimes.py" --tripid 105-27 --locoid 4014 --swversion DE.1.0.7.0 --startMP 204:683 --initTime 2016-08-27T04:06:01 --startdatetime 2016-08-27T04:15:22 --delay 1 --endMP 204:233380 --enddatetime 2016-08-27T04:53:08 --enforcementcount 0 &gt;&gt;C:\Users\stu\Documents\GitHub\eaglep3-reporting\EC\2016-08-27-refined-times.txt</v>
      </c>
      <c r="AI17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{"issue":{"subject":"","project_id":79,"tracker_id":40,"status_id":1,"priority_id":2,"assigned_to_id":23,"start_date":"2016-08-27","description":"","custom_fields":[{"id":1,"name":"Subdivision","value":"EC"},{"id":4,"name":"Milepost","value":"23.2697"},{"id":17,"name":"Train ID","value":"105-27"},{"id":16,"name":"Locomotive ID","value":"4014"},{"id":130,"name":"Impact","value":""},{"id":150,"name":"Time of Event (Mountain Time)","value":"04:53:08"},{"id":151,"name":"Denver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391</v>
      </c>
      <c r="B18" s="7">
        <v>4041</v>
      </c>
      <c r="C18" s="24" t="s">
        <v>113</v>
      </c>
      <c r="D18" s="24" t="s">
        <v>392</v>
      </c>
      <c r="E18" s="15">
        <v>42609.211747685185</v>
      </c>
      <c r="F18" s="15">
        <v>42609.216226851851</v>
      </c>
      <c r="G18" s="7">
        <v>1</v>
      </c>
      <c r="H18" s="15" t="s">
        <v>136</v>
      </c>
      <c r="I18" s="15">
        <v>42609.24628472222</v>
      </c>
      <c r="J18" s="7">
        <v>0</v>
      </c>
      <c r="K18" s="132" t="str">
        <f t="shared" si="18"/>
        <v>4041/4042</v>
      </c>
      <c r="L18" s="24" t="str">
        <f>VLOOKUP(A18,'Trips&amp;Operators'!$C$1:$E$10000,3,FALSE)</f>
        <v>ACKERMAN</v>
      </c>
      <c r="M18" s="6">
        <f t="shared" si="19"/>
        <v>3.0057870368182193E-2</v>
      </c>
      <c r="N18" s="7">
        <f>24*60*SUM($M18:$M18)</f>
        <v>43.283333330182359</v>
      </c>
      <c r="O18" s="7"/>
      <c r="P18" s="7"/>
      <c r="Q18" s="25"/>
      <c r="R18" s="25"/>
      <c r="S18" s="37">
        <f>SUM(U18:U18)/IF(AG18="EC",12,1)</f>
        <v>1</v>
      </c>
      <c r="T18" s="52" t="str">
        <f t="shared" si="20"/>
        <v>Southbound</v>
      </c>
      <c r="U18" s="12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04:04:55-0600',mode:absolute,to:'2016-08-27 06:54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8" s="54" t="str">
        <f t="shared" si="22"/>
        <v>N</v>
      </c>
      <c r="X18" s="120">
        <f t="shared" si="10"/>
        <v>1</v>
      </c>
      <c r="Y18" s="69">
        <f t="shared" si="23"/>
        <v>23.275099999999998</v>
      </c>
      <c r="Z18" s="69">
        <f t="shared" si="24"/>
        <v>1.49E-2</v>
      </c>
      <c r="AA18" s="69">
        <f t="shared" si="25"/>
        <v>23.260199999999998</v>
      </c>
      <c r="AB18" s="66" t="e">
        <f>VLOOKUP(A18,Enforcements!$C$7:$J$21,8,0)</f>
        <v>#N/A</v>
      </c>
      <c r="AC18" s="62" t="e">
        <f>VLOOKUP(A18,Enforcements!$C$7:$E$21,3,0)</f>
        <v>#N/A</v>
      </c>
      <c r="AD18" s="63" t="str">
        <f t="shared" si="26"/>
        <v>0106-27</v>
      </c>
      <c r="AE18" s="99" t="str">
        <f t="shared" si="0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18" s="96" t="str">
        <f t="shared" si="1"/>
        <v>"C:\Program Files (x86)\AstroGrep\AstroGrep.exe" /spath="%USERPROFILE%\AppData\Local\Temp\OnboardLogs" /stypes="*4041*20160827*" /stext=" 11:.+((SYSTEM_STATE.+slice.+state.+changed )|(ment ac)|(system.+state.+changed )|(\|lc)|(penalty)|(\[timeout)|(PRM\|1\|D)|(kpr)|(kdp))" /e /r /s</v>
      </c>
      <c r="AG18" s="1" t="str">
        <f t="shared" si="27"/>
        <v>EC</v>
      </c>
      <c r="AH18" s="100" t="str">
        <f t="shared" si="2"/>
        <v>"%USERPROFILE%\Documents\GitHub\eaglep3\Utilities\RefineRTDCRunTimes.py" --tripid 106-27 --locoid 4041 --swversion DE.1.0.7.0 --startMP 204:232751 --initTime 2016-08-27T05:04:55 --startdatetime 2016-08-27T05:11:22 --delay 1 --endMP 204:149 --enddatetime 2016-08-27T05:54:39 --enforcementcount 0 &gt;&gt;C:\Users\stu\Documents\GitHub\eaglep3-reporting\EC\2016-08-27-refined-times.txt</v>
      </c>
      <c r="AI18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{"issue":{"subject":"","project_id":79,"tracker_id":40,"status_id":1,"priority_id":2,"assigned_to_id":23,"start_date":"2016-08-27","description":"","custom_fields":[{"id":1,"name":"Subdivision","value":"EC"},{"id":4,"name":"Milepost","value":"23.2602"},{"id":17,"name":"Train ID","value":"106-27"},{"id":16,"name":"Locomotive ID","value":"4041"},{"id":130,"name":"Impact","value":""},{"id":150,"name":"Time of Event (Mountain Time)","value":"05:54:39"},{"id":151,"name":"Denver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393</v>
      </c>
      <c r="B19" s="7">
        <v>4025</v>
      </c>
      <c r="C19" s="24" t="s">
        <v>113</v>
      </c>
      <c r="D19" s="24" t="s">
        <v>125</v>
      </c>
      <c r="E19" s="15">
        <v>42609.183113425926</v>
      </c>
      <c r="F19" s="15">
        <v>42609.187789351854</v>
      </c>
      <c r="G19" s="7">
        <v>2</v>
      </c>
      <c r="H19" s="15" t="s">
        <v>394</v>
      </c>
      <c r="I19" s="15">
        <v>42609.216307870367</v>
      </c>
      <c r="J19" s="7">
        <v>0</v>
      </c>
      <c r="K19" s="132" t="str">
        <f t="shared" si="18"/>
        <v>4025/4026</v>
      </c>
      <c r="L19" s="24" t="str">
        <f>VLOOKUP(A19,'Trips&amp;Operators'!$C$1:$E$10000,3,FALSE)</f>
        <v>DAVIS</v>
      </c>
      <c r="M19" s="6">
        <f t="shared" si="19"/>
        <v>2.8518518513010349E-2</v>
      </c>
      <c r="N19" s="7">
        <f>24*60*SUM($M19:$M19)</f>
        <v>41.066666658734903</v>
      </c>
      <c r="O19" s="7"/>
      <c r="P19" s="7"/>
      <c r="Q19" s="25"/>
      <c r="R19" s="25"/>
      <c r="S19" s="37">
        <f>SUM(U19:U19)/IF(AG19="EC",12,1)</f>
        <v>1</v>
      </c>
      <c r="T19" s="52" t="str">
        <f t="shared" si="20"/>
        <v>NorthBound</v>
      </c>
      <c r="U19" s="12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03:23:41-0600',mode:absolute,to:'2016-08-27 06:11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9" s="54" t="str">
        <f t="shared" si="22"/>
        <v>N</v>
      </c>
      <c r="X19" s="120">
        <f t="shared" ref="X19:X28" si="28">VALUE(LEFT(AD19,4))-VALUE(LEFT(AD18,4))</f>
        <v>1</v>
      </c>
      <c r="Y19" s="69">
        <f t="shared" si="23"/>
        <v>4.5499999999999999E-2</v>
      </c>
      <c r="Z19" s="69">
        <f t="shared" si="24"/>
        <v>23.3263</v>
      </c>
      <c r="AA19" s="69">
        <f t="shared" si="25"/>
        <v>23.280799999999999</v>
      </c>
      <c r="AB19" s="66" t="e">
        <f>VLOOKUP(A19,Enforcements!$C$7:$J$21,8,0)</f>
        <v>#N/A</v>
      </c>
      <c r="AC19" s="62" t="e">
        <f>VLOOKUP(A19,Enforcements!$C$7:$E$21,3,0)</f>
        <v>#N/A</v>
      </c>
      <c r="AD19" s="63" t="str">
        <f t="shared" si="26"/>
        <v>0107-27</v>
      </c>
      <c r="AE19" s="99" t="str">
        <f t="shared" si="0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9" s="96" t="str">
        <f t="shared" si="1"/>
        <v>"C:\Program Files (x86)\AstroGrep\AstroGrep.exe" /spath="%USERPROFILE%\AppData\Local\Temp\OnboardLogs" /stypes="*4025*20160827*" /stext=" 11:.+((SYSTEM_STATE.+slice.+state.+changed )|(ment ac)|(system.+state.+changed )|(\|lc)|(penalty)|(\[timeout)|(PRM\|1\|D)|(kpr)|(kdp))" /e /r /s</v>
      </c>
      <c r="AG19" s="1" t="str">
        <f t="shared" si="27"/>
        <v>EC</v>
      </c>
      <c r="AH19" s="100" t="str">
        <f t="shared" si="2"/>
        <v>"%USERPROFILE%\Documents\GitHub\eaglep3\Utilities\RefineRTDCRunTimes.py" --tripid 107-27 --locoid 4025 --swversion DE.1.0.7.0 --startMP 204:455 --initTime 2016-08-27T04:23:41 --startdatetime 2016-08-27T04:30:25 --delay 2 --endMP 204:233263 --enddatetime 2016-08-27T05:11:29 --enforcementcount 0 &gt;&gt;C:\Users\stu\Documents\GitHub\eaglep3-reporting\EC\2016-08-27-refined-times.txt</v>
      </c>
      <c r="AI19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{"issue":{"subject":"","project_id":79,"tracker_id":40,"status_id":1,"priority_id":2,"assigned_to_id":23,"start_date":"2016-08-27","description":"","custom_fields":[{"id":1,"name":"Subdivision","value":"EC"},{"id":4,"name":"Milepost","value":"23.2808"},{"id":17,"name":"Train ID","value":"107-27"},{"id":16,"name":"Locomotive ID","value":"4025"},{"id":130,"name":"Impact","value":""},{"id":150,"name":"Time of Event (Mountain Time)","value":"05:11:29"},{"id":151,"name":"Denver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395</v>
      </c>
      <c r="B20" s="7">
        <v>4026</v>
      </c>
      <c r="C20" s="24" t="s">
        <v>113</v>
      </c>
      <c r="D20" s="24" t="s">
        <v>261</v>
      </c>
      <c r="E20" s="15">
        <v>42609.221331018518</v>
      </c>
      <c r="F20" s="15">
        <v>42609.226550925923</v>
      </c>
      <c r="G20" s="7">
        <v>1</v>
      </c>
      <c r="H20" s="15" t="s">
        <v>183</v>
      </c>
      <c r="I20" s="15">
        <v>42609.254837962966</v>
      </c>
      <c r="J20" s="7">
        <v>0</v>
      </c>
      <c r="K20" s="132" t="str">
        <f t="shared" si="18"/>
        <v>4025/4026</v>
      </c>
      <c r="L20" s="24" t="str">
        <f>VLOOKUP(A20,'Trips&amp;Operators'!$C$1:$E$10000,3,FALSE)</f>
        <v>DAVIS</v>
      </c>
      <c r="M20" s="6">
        <f t="shared" si="19"/>
        <v>2.828703704290092E-2</v>
      </c>
      <c r="N20" s="7">
        <f>24*60*SUM($M20:$M20)</f>
        <v>40.733333341777325</v>
      </c>
      <c r="O20" s="7"/>
      <c r="P20" s="7"/>
      <c r="Q20" s="25"/>
      <c r="R20" s="25"/>
      <c r="S20" s="37">
        <f>SUM(U20:U20)/IF(AG20="EC",12,1)</f>
        <v>1</v>
      </c>
      <c r="T20" s="52" t="str">
        <f t="shared" si="20"/>
        <v>Southbound</v>
      </c>
      <c r="U20" s="12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04:18:43-0600',mode:absolute,to:'2016-08-27 07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0" s="54" t="str">
        <f t="shared" si="22"/>
        <v>N</v>
      </c>
      <c r="X20" s="120">
        <f t="shared" si="28"/>
        <v>1</v>
      </c>
      <c r="Y20" s="69">
        <f t="shared" si="23"/>
        <v>23.297699999999999</v>
      </c>
      <c r="Z20" s="69">
        <f t="shared" si="24"/>
        <v>1.4500000000000001E-2</v>
      </c>
      <c r="AA20" s="69">
        <f t="shared" si="25"/>
        <v>23.283199999999997</v>
      </c>
      <c r="AB20" s="66" t="e">
        <f>VLOOKUP(A20,Enforcements!$C$7:$J$21,8,0)</f>
        <v>#N/A</v>
      </c>
      <c r="AC20" s="62" t="e">
        <f>VLOOKUP(A20,Enforcements!$C$7:$E$21,3,0)</f>
        <v>#N/A</v>
      </c>
      <c r="AD20" s="63" t="str">
        <f t="shared" si="26"/>
        <v>0108-27</v>
      </c>
      <c r="AE20" s="99" t="str">
        <f t="shared" si="0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20" s="96" t="str">
        <f t="shared" si="1"/>
        <v>"C:\Program Files (x86)\AstroGrep\AstroGrep.exe" /spath="%USERPROFILE%\AppData\Local\Temp\OnboardLogs" /stypes="*4026*20160827*" /stext=" 12:.+((SYSTEM_STATE.+slice.+state.+changed )|(ment ac)|(system.+state.+changed )|(\|lc)|(penalty)|(\[timeout)|(PRM\|1\|D)|(kpr)|(kdp))" /e /r /s</v>
      </c>
      <c r="AG20" s="1" t="str">
        <f t="shared" si="27"/>
        <v>EC</v>
      </c>
      <c r="AH20" s="100" t="str">
        <f t="shared" si="2"/>
        <v>"%USERPROFILE%\Documents\GitHub\eaglep3\Utilities\RefineRTDCRunTimes.py" --tripid 108-27 --locoid 4026 --swversion DE.1.0.7.0 --startMP 204:232977 --initTime 2016-08-27T05:18:43 --startdatetime 2016-08-27T05:26:14 --delay 1 --endMP 204:145 --enddatetime 2016-08-27T06:06:58 --enforcementcount 0 &gt;&gt;C:\Users\stu\Documents\GitHub\eaglep3-reporting\EC\2016-08-27-refined-times.txt</v>
      </c>
      <c r="AI20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{"issue":{"subject":"","project_id":79,"tracker_id":40,"status_id":1,"priority_id":2,"assigned_to_id":23,"start_date":"2016-08-27","description":"","custom_fields":[{"id":1,"name":"Subdivision","value":"EC"},{"id":4,"name":"Milepost","value":"23.2832"},{"id":17,"name":"Train ID","value":"108-27"},{"id":16,"name":"Locomotive ID","value":"4026"},{"id":130,"name":"Impact","value":""},{"id":150,"name":"Time of Event (Mountain Time)","value":"06:06:58"},{"id":151,"name":"Denver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396</v>
      </c>
      <c r="B21" s="7">
        <v>4009</v>
      </c>
      <c r="C21" s="24" t="s">
        <v>113</v>
      </c>
      <c r="D21" s="24" t="s">
        <v>340</v>
      </c>
      <c r="E21" s="15">
        <v>42609.194432870368</v>
      </c>
      <c r="F21" s="15">
        <v>42609.19866898148</v>
      </c>
      <c r="G21" s="7">
        <v>1</v>
      </c>
      <c r="H21" s="15" t="s">
        <v>200</v>
      </c>
      <c r="I21" s="15">
        <v>42609.226875</v>
      </c>
      <c r="J21" s="7">
        <v>0</v>
      </c>
      <c r="K21" s="132" t="str">
        <f t="shared" si="18"/>
        <v>4009/4010</v>
      </c>
      <c r="L21" s="24" t="str">
        <f>VLOOKUP(A21,'Trips&amp;Operators'!$C$1:$E$10000,3,FALSE)</f>
        <v>KILLION</v>
      </c>
      <c r="M21" s="6">
        <f t="shared" si="19"/>
        <v>2.8206018519995268E-2</v>
      </c>
      <c r="N21" s="7">
        <f>24*60*SUM($M21:$M21)</f>
        <v>40.616666668793187</v>
      </c>
      <c r="O21" s="7"/>
      <c r="P21" s="7"/>
      <c r="Q21" s="25"/>
      <c r="R21" s="25"/>
      <c r="S21" s="37">
        <f>SUM(U21:U21)/IF(AG21="EC",12,1)</f>
        <v>1</v>
      </c>
      <c r="T21" s="52" t="str">
        <f t="shared" si="20"/>
        <v>NorthBound</v>
      </c>
      <c r="U21" s="12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03:39:59-0600',mode:absolute,to:'2016-08-27 06:26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1" s="54" t="str">
        <f t="shared" si="22"/>
        <v>N</v>
      </c>
      <c r="X21" s="120">
        <f t="shared" si="28"/>
        <v>1</v>
      </c>
      <c r="Y21" s="69">
        <f t="shared" si="23"/>
        <v>4.7300000000000002E-2</v>
      </c>
      <c r="Z21" s="69">
        <f t="shared" si="24"/>
        <v>23.331199999999999</v>
      </c>
      <c r="AA21" s="69">
        <f t="shared" si="25"/>
        <v>23.283899999999999</v>
      </c>
      <c r="AB21" s="66" t="e">
        <f>VLOOKUP(A21,Enforcements!$C$7:$J$21,8,0)</f>
        <v>#N/A</v>
      </c>
      <c r="AC21" s="62" t="e">
        <f>VLOOKUP(A21,Enforcements!$C$7:$E$21,3,0)</f>
        <v>#N/A</v>
      </c>
      <c r="AD21" s="63" t="str">
        <f t="shared" si="26"/>
        <v>0109-27</v>
      </c>
      <c r="AE21" s="99" t="str">
        <f t="shared" si="0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21" s="96" t="str">
        <f t="shared" si="1"/>
        <v>"C:\Program Files (x86)\AstroGrep\AstroGrep.exe" /spath="%USERPROFILE%\AppData\Local\Temp\OnboardLogs" /stypes="*4009*20160827*" /stext=" 11:.+((SYSTEM_STATE.+slice.+state.+changed )|(ment ac)|(system.+state.+changed )|(\|lc)|(penalty)|(\[timeout)|(PRM\|1\|D)|(kpr)|(kdp))" /e /r /s</v>
      </c>
      <c r="AG21" s="1" t="str">
        <f t="shared" si="27"/>
        <v>EC</v>
      </c>
      <c r="AH21" s="100" t="str">
        <f t="shared" si="2"/>
        <v>"%USERPROFILE%\Documents\GitHub\eaglep3\Utilities\RefineRTDCRunTimes.py" --tripid 109-27 --locoid 4009 --swversion DE.1.0.7.0 --startMP 204:473 --initTime 2016-08-27T04:39:59 --startdatetime 2016-08-27T04:46:05 --delay 1 --endMP 204:233312 --enddatetime 2016-08-27T05:26:42 --enforcementcount 0 &gt;&gt;C:\Users\stu\Documents\GitHub\eaglep3-reporting\EC\2016-08-27-refined-times.txt</v>
      </c>
      <c r="AI21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{"issue":{"subject":"","project_id":79,"tracker_id":40,"status_id":1,"priority_id":2,"assigned_to_id":23,"start_date":"2016-08-27","description":"","custom_fields":[{"id":1,"name":"Subdivision","value":"EC"},{"id":4,"name":"Milepost","value":"23.2839"},{"id":17,"name":"Train ID","value":"109-27"},{"id":16,"name":"Locomotive ID","value":"4009"},{"id":130,"name":"Impact","value":""},{"id":150,"name":"Time of Event (Mountain Time)","value":"05:26:42"},{"id":151,"name":"Denver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397</v>
      </c>
      <c r="B22" s="7">
        <v>4010</v>
      </c>
      <c r="C22" s="24" t="s">
        <v>113</v>
      </c>
      <c r="D22" s="24" t="s">
        <v>353</v>
      </c>
      <c r="E22" s="15">
        <v>42609.232268518521</v>
      </c>
      <c r="F22" s="15">
        <v>42609.257407407407</v>
      </c>
      <c r="G22" s="7">
        <v>1</v>
      </c>
      <c r="H22" s="15" t="s">
        <v>398</v>
      </c>
      <c r="I22" s="15">
        <v>42609.267685185187</v>
      </c>
      <c r="J22" s="7">
        <v>0</v>
      </c>
      <c r="K22" s="132" t="str">
        <f t="shared" si="18"/>
        <v>4009/4010</v>
      </c>
      <c r="L22" s="24" t="str">
        <f>VLOOKUP(A22,'Trips&amp;Operators'!$C$1:$E$10000,3,FALSE)</f>
        <v>KILLION</v>
      </c>
      <c r="M22" s="6">
        <f t="shared" si="19"/>
        <v>1.0277777779265307E-2</v>
      </c>
      <c r="N22" s="7"/>
      <c r="O22" s="7"/>
      <c r="P22" s="7">
        <f>24*60*SUM($M22:$M23)</f>
        <v>29.600000004284084</v>
      </c>
      <c r="Q22" s="25"/>
      <c r="R22" s="25" t="s">
        <v>699</v>
      </c>
      <c r="S22" s="37">
        <f>SUM(U22:U23)/IF(AG22="EC",12,1)</f>
        <v>0.91666666666666663</v>
      </c>
      <c r="T22" s="52" t="str">
        <f t="shared" si="20"/>
        <v>Southbound</v>
      </c>
      <c r="U22" s="12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3</v>
      </c>
      <c r="V22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04:34:28-0600',mode:absolute,to:'2016-08-27 07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2" s="54" t="str">
        <f t="shared" si="22"/>
        <v>Y</v>
      </c>
      <c r="X22" s="120">
        <f t="shared" si="28"/>
        <v>1</v>
      </c>
      <c r="Y22" s="69">
        <f t="shared" si="23"/>
        <v>23.2974</v>
      </c>
      <c r="Z22" s="69">
        <f t="shared" si="24"/>
        <v>6.4124999999999996</v>
      </c>
      <c r="AA22" s="69">
        <f t="shared" si="25"/>
        <v>16.884900000000002</v>
      </c>
      <c r="AB22" s="66" t="e">
        <f>VLOOKUP(A22,Enforcements!$C$7:$J$21,8,0)</f>
        <v>#N/A</v>
      </c>
      <c r="AC22" s="62" t="e">
        <f>VLOOKUP(A22,Enforcements!$C$7:$E$21,3,0)</f>
        <v>#N/A</v>
      </c>
      <c r="AD22" s="63" t="str">
        <f t="shared" si="26"/>
        <v>0110-27</v>
      </c>
      <c r="AE22" s="99" t="str">
        <f t="shared" si="0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22" s="96" t="str">
        <f t="shared" si="1"/>
        <v>"C:\Program Files (x86)\AstroGrep\AstroGrep.exe" /spath="%USERPROFILE%\AppData\Local\Temp\OnboardLogs" /stypes="*4010*20160827*" /stext=" 12:.+((SYSTEM_STATE.+slice.+state.+changed )|(ment ac)|(system.+state.+changed )|(\|lc)|(penalty)|(\[timeout)|(PRM\|1\|D)|(kpr)|(kdp))" /e /r /s</v>
      </c>
      <c r="AG22" s="1" t="str">
        <f t="shared" si="27"/>
        <v>EC</v>
      </c>
      <c r="AH22" s="100" t="str">
        <f t="shared" si="2"/>
        <v>"%USERPROFILE%\Documents\GitHub\eaglep3\Utilities\RefineRTDCRunTimes.py" --tripid 110-27 --locoid 4010 --swversion DE.1.0.7.0 --startMP 204:232974 --initTime 2016-08-27T05:34:28 --startdatetime 2016-08-27T06:10:40 --delay 1 --endMP 204:64125 --enddatetime 2016-08-27T06:25:28 --enforcementcount 0 &gt;&gt;C:\Users\stu\Documents\GitHub\eaglep3-reporting\EC\2016-08-27-refined-times.txt</v>
      </c>
      <c r="AI22" s="149" t="str">
        <f t="shared" si="3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failure","project_id":79,"tracker_id":40,"status_id":1,"priority_id":2,"assigned_to_id":23,"start_date":"2016-08-27","description":"","custom_fields":[{"id":1,"name":"Subdivision","value":"EC"},{"id":4,"name":"Milepost","value":"16.8849"},{"id":17,"name":"Train ID","value":"110-27"},{"id":16,"name":"Locomotive ID","value":"4010"},{"id":130,"name":"Impact","value":""},{"id":150,"name":"Time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397</v>
      </c>
      <c r="B23" s="7">
        <v>4010</v>
      </c>
      <c r="C23" s="24" t="s">
        <v>113</v>
      </c>
      <c r="D23" s="24" t="s">
        <v>399</v>
      </c>
      <c r="E23" s="15">
        <v>42609.255601851852</v>
      </c>
      <c r="F23" s="15">
        <v>42609.257407407407</v>
      </c>
      <c r="G23" s="7">
        <v>2</v>
      </c>
      <c r="H23" s="15" t="s">
        <v>172</v>
      </c>
      <c r="I23" s="15">
        <v>42609.267685185187</v>
      </c>
      <c r="J23" s="7">
        <v>0</v>
      </c>
      <c r="K23" s="132" t="str">
        <f t="shared" si="18"/>
        <v>4009/4010</v>
      </c>
      <c r="L23" s="24" t="str">
        <f>VLOOKUP(A23,'Trips&amp;Operators'!$C$1:$E$10000,3,FALSE)</f>
        <v>KILLION</v>
      </c>
      <c r="M23" s="6">
        <f t="shared" si="19"/>
        <v>1.0277777779265307E-2</v>
      </c>
      <c r="N23" s="7"/>
      <c r="O23" s="7"/>
      <c r="P23" s="7"/>
      <c r="Q23" s="25"/>
      <c r="R23" s="25"/>
      <c r="S23" s="37"/>
      <c r="T23" s="52" t="str">
        <f t="shared" si="20"/>
        <v>Southbound</v>
      </c>
      <c r="U23" s="12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8</v>
      </c>
      <c r="V23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05:08:04-0600',mode:absolute,to:'2016-08-27 07:25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23" s="54" t="str">
        <f t="shared" si="22"/>
        <v>Y</v>
      </c>
      <c r="X23" s="120">
        <f t="shared" si="28"/>
        <v>0</v>
      </c>
      <c r="Y23" s="69">
        <f t="shared" si="23"/>
        <v>6.2271999999999998</v>
      </c>
      <c r="Z23" s="69">
        <f t="shared" si="24"/>
        <v>1.52E-2</v>
      </c>
      <c r="AA23" s="69">
        <f t="shared" si="25"/>
        <v>6.2119999999999997</v>
      </c>
      <c r="AB23" s="66" t="e">
        <f>VLOOKUP(A23,Enforcements!$C$7:$J$21,8,0)</f>
        <v>#N/A</v>
      </c>
      <c r="AC23" s="62" t="e">
        <f>VLOOKUP(A23,Enforcements!$C$7:$E$21,3,0)</f>
        <v>#N/A</v>
      </c>
      <c r="AD23" s="63" t="str">
        <f t="shared" si="26"/>
        <v>0110-27</v>
      </c>
      <c r="AE23" s="99" t="str">
        <f t="shared" si="0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23" s="96" t="str">
        <f t="shared" si="1"/>
        <v>"C:\Program Files (x86)\AstroGrep\AstroGrep.exe" /spath="%USERPROFILE%\AppData\Local\Temp\OnboardLogs" /stypes="*4010*20160827*" /stext=" 12:.+((SYSTEM_STATE.+slice.+state.+changed )|(ment ac)|(system.+state.+changed )|(\|lc)|(penalty)|(\[timeout)|(PRM\|1\|D)|(kpr)|(kdp))" /e /r /s</v>
      </c>
      <c r="AG23" s="1" t="str">
        <f t="shared" si="27"/>
        <v>EC</v>
      </c>
      <c r="AH23" s="100" t="str">
        <f t="shared" si="2"/>
        <v>"%USERPROFILE%\Documents\GitHub\eaglep3\Utilities\RefineRTDCRunTimes.py" --tripid 110-27 --locoid 4010 --swversion DE.1.0.7.0 --startMP 204:62272 --initTime 2016-08-27T06:08:04 --startdatetime 2016-08-27T06:10:40 --delay 2 --endMP 204:152 --enddatetime 2016-08-27T06:25:28 --enforcementcount 0 &gt;&gt;C:\Users\stu\Documents\GitHub\eaglep3-reporting\EC\2016-08-27-refined-times.txt</v>
      </c>
      <c r="AI23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{"issue":{"subject":"","project_id":79,"tracker_id":40,"status_id":1,"priority_id":2,"assigned_to_id":23,"start_date":"2016-08-27","description":"","custom_fields":[{"id":1,"name":"Subdivision","value":"EC"},{"id":4,"name":"Milepost","value":"6.212"},{"id":17,"name":"Train ID","value":"110-27"},{"id":16,"name":"Locomotive ID","value":"4010"},{"id":130,"name":"Impact","value":""},{"id":150,"name":"Time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400</v>
      </c>
      <c r="B24" s="7">
        <v>4020</v>
      </c>
      <c r="C24" s="24" t="s">
        <v>113</v>
      </c>
      <c r="D24" s="24" t="s">
        <v>401</v>
      </c>
      <c r="E24" s="15">
        <v>42609.206342592595</v>
      </c>
      <c r="F24" s="15">
        <v>42609.208703703705</v>
      </c>
      <c r="G24" s="7">
        <v>1</v>
      </c>
      <c r="H24" s="15" t="s">
        <v>343</v>
      </c>
      <c r="I24" s="15">
        <v>42609.234201388892</v>
      </c>
      <c r="J24" s="7">
        <v>0</v>
      </c>
      <c r="K24" s="132" t="str">
        <f t="shared" si="18"/>
        <v>4019/4020</v>
      </c>
      <c r="L24" s="24" t="str">
        <f>VLOOKUP(A24,'Trips&amp;Operators'!$C$1:$E$10000,3,FALSE)</f>
        <v>MAHAN</v>
      </c>
      <c r="M24" s="6">
        <f t="shared" si="19"/>
        <v>2.5497685186564922E-2</v>
      </c>
      <c r="N24" s="7">
        <f>24*60*SUM($M24:$M24)</f>
        <v>36.716666668653488</v>
      </c>
      <c r="O24" s="7"/>
      <c r="P24" s="7"/>
      <c r="Q24" s="25"/>
      <c r="R24" s="25"/>
      <c r="S24" s="37">
        <f>SUM(U24:U24)/IF(AG24="EC",12,1)</f>
        <v>1</v>
      </c>
      <c r="T24" s="52" t="str">
        <f t="shared" si="20"/>
        <v>NorthBound</v>
      </c>
      <c r="U24" s="12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03:57:08-0600',mode:absolute,to:'2016-08-27 06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4" s="54" t="str">
        <f t="shared" si="22"/>
        <v>N</v>
      </c>
      <c r="X24" s="120">
        <f t="shared" si="28"/>
        <v>1</v>
      </c>
      <c r="Y24" s="69">
        <f t="shared" si="23"/>
        <v>7.2800000000000004E-2</v>
      </c>
      <c r="Z24" s="69">
        <f t="shared" si="24"/>
        <v>23.329499999999999</v>
      </c>
      <c r="AA24" s="69">
        <f t="shared" si="25"/>
        <v>23.256699999999999</v>
      </c>
      <c r="AB24" s="66" t="e">
        <f>VLOOKUP(A24,Enforcements!$C$7:$J$21,8,0)</f>
        <v>#N/A</v>
      </c>
      <c r="AC24" s="62" t="e">
        <f>VLOOKUP(A24,Enforcements!$C$7:$E$21,3,0)</f>
        <v>#N/A</v>
      </c>
      <c r="AD24" s="63" t="str">
        <f t="shared" si="26"/>
        <v>0111-27</v>
      </c>
      <c r="AE24" s="99" t="str">
        <f t="shared" si="0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24" s="96" t="str">
        <f t="shared" si="1"/>
        <v>"C:\Program Files (x86)\AstroGrep\AstroGrep.exe" /spath="%USERPROFILE%\AppData\Local\Temp\OnboardLogs" /stypes="*4020*20160827*" /stext=" 11:.+((SYSTEM_STATE.+slice.+state.+changed )|(ment ac)|(system.+state.+changed )|(\|lc)|(penalty)|(\[timeout)|(PRM\|1\|D)|(kpr)|(kdp))" /e /r /s</v>
      </c>
      <c r="AG24" s="1" t="str">
        <f t="shared" si="27"/>
        <v>EC</v>
      </c>
      <c r="AH24" s="100" t="str">
        <f t="shared" si="2"/>
        <v>"%USERPROFILE%\Documents\GitHub\eaglep3\Utilities\RefineRTDCRunTimes.py" --tripid 111-27 --locoid 4020 --swversion DE.1.0.7.0 --startMP 204:728 --initTime 2016-08-27T04:57:08 --startdatetime 2016-08-27T05:00:32 --delay 1 --endMP 204:233295 --enddatetime 2016-08-27T05:37:15 --enforcementcount 0 &gt;&gt;C:\Users\stu\Documents\GitHub\eaglep3-reporting\EC\2016-08-27-refined-times.txt</v>
      </c>
      <c r="AI24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{"issue":{"subject":"","project_id":79,"tracker_id":40,"status_id":1,"priority_id":2,"assigned_to_id":23,"start_date":"2016-08-27","description":"","custom_fields":[{"id":1,"name":"Subdivision","value":"EC"},{"id":4,"name":"Milepost","value":"23.2567"},{"id":17,"name":"Train ID","value":"111-27"},{"id":16,"name":"Locomotive ID","value":"4020"},{"id":130,"name":"Impact","value":""},{"id":150,"name":"Time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402</v>
      </c>
      <c r="B25" s="7">
        <v>4019</v>
      </c>
      <c r="C25" s="24" t="s">
        <v>113</v>
      </c>
      <c r="D25" s="24" t="s">
        <v>334</v>
      </c>
      <c r="E25" s="15">
        <v>42609.238796296297</v>
      </c>
      <c r="F25" s="15">
        <v>42609.28429398148</v>
      </c>
      <c r="G25" s="7">
        <v>2</v>
      </c>
      <c r="H25" s="15" t="s">
        <v>403</v>
      </c>
      <c r="I25" s="15">
        <v>42609.284432870372</v>
      </c>
      <c r="J25" s="7">
        <v>0</v>
      </c>
      <c r="K25" s="132" t="str">
        <f t="shared" si="18"/>
        <v>4019/4020</v>
      </c>
      <c r="L25" s="24" t="str">
        <f>VLOOKUP(A25,'Trips&amp;Operators'!$C$1:$E$10000,3,FALSE)</f>
        <v>MAHAN</v>
      </c>
      <c r="M25" s="6">
        <f t="shared" si="19"/>
        <v>1.3888889225199819E-4</v>
      </c>
      <c r="N25" s="7"/>
      <c r="O25" s="7"/>
      <c r="P25" s="7">
        <f>24*60*SUM($M25:$M26)</f>
        <v>0.40000000968575478</v>
      </c>
      <c r="Q25" s="25"/>
      <c r="R25" s="25" t="s">
        <v>699</v>
      </c>
      <c r="S25" s="37">
        <f>SUM(U25:U26)/IF(AG25="EC",12,1)</f>
        <v>0.25</v>
      </c>
      <c r="T25" s="52" t="str">
        <f t="shared" si="20"/>
        <v>Southbound</v>
      </c>
      <c r="U25" s="12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04:43:52-0600',mode:absolute,to:'2016-08-27 07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5" s="54" t="str">
        <f t="shared" si="22"/>
        <v>Y</v>
      </c>
      <c r="X25" s="120">
        <f t="shared" si="28"/>
        <v>1</v>
      </c>
      <c r="Y25" s="69">
        <f t="shared" si="23"/>
        <v>23.298400000000001</v>
      </c>
      <c r="Z25" s="69">
        <f t="shared" si="24"/>
        <v>7.0168999999999997</v>
      </c>
      <c r="AA25" s="69">
        <f t="shared" si="25"/>
        <v>16.281500000000001</v>
      </c>
      <c r="AB25" s="66" t="e">
        <f>VLOOKUP(A25,Enforcements!$C$7:$J$21,8,0)</f>
        <v>#N/A</v>
      </c>
      <c r="AC25" s="62" t="e">
        <f>VLOOKUP(A25,Enforcements!$C$7:$E$21,3,0)</f>
        <v>#N/A</v>
      </c>
      <c r="AD25" s="63" t="str">
        <f t="shared" si="26"/>
        <v>0112-27</v>
      </c>
      <c r="AE25" s="99" t="str">
        <f t="shared" si="0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25" s="96" t="str">
        <f t="shared" si="1"/>
        <v>"C:\Program Files (x86)\AstroGrep\AstroGrep.exe" /spath="%USERPROFILE%\AppData\Local\Temp\OnboardLogs" /stypes="*4019*20160827*" /stext=" 12:.+((SYSTEM_STATE.+slice.+state.+changed )|(ment ac)|(system.+state.+changed )|(\|lc)|(penalty)|(\[timeout)|(PRM\|1\|D)|(kpr)|(kdp))" /e /r /s</v>
      </c>
      <c r="AG25" s="1" t="str">
        <f t="shared" si="27"/>
        <v>EC</v>
      </c>
      <c r="AH25" s="100" t="str">
        <f t="shared" si="2"/>
        <v>"%USERPROFILE%\Documents\GitHub\eaglep3\Utilities\RefineRTDCRunTimes.py" --tripid 112-27 --locoid 4019 --swversion DE.1.0.7.0 --startMP 204:232984 --initTime 2016-08-27T05:43:52 --startdatetime 2016-08-27T06:49:23 --delay 2 --endMP 204:70169 --enddatetime 2016-08-27T06:49:35 --enforcementcount 0 &gt;&gt;C:\Users\stu\Documents\GitHub\eaglep3-reporting\EC\2016-08-27-refined-times.txt</v>
      </c>
      <c r="AI25" s="149" t="str">
        <f t="shared" si="3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failure","project_id":79,"tracker_id":40,"status_id":1,"priority_id":2,"assigned_to_id":23,"start_date":"2016-08-27","description":"","custom_fields":[{"id":1,"name":"Subdivision","value":"EC"},{"id":4,"name":"Milepost","value":"16.2815"},{"id":17,"name":"Train ID","value":"112-27"},{"id":16,"name":"Locomotive ID","value":"4019"},{"id":130,"name":"Impact","value":""},{"id":150,"name":"Time of Event (Mountain Time)","value":"06:49:35"},{"id":151,"name":"Denver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402</v>
      </c>
      <c r="B26" s="7">
        <v>4019</v>
      </c>
      <c r="C26" s="24" t="s">
        <v>113</v>
      </c>
      <c r="D26" s="24" t="s">
        <v>404</v>
      </c>
      <c r="E26" s="15">
        <v>42609.26635416667</v>
      </c>
      <c r="F26" s="15">
        <v>42609.28429398148</v>
      </c>
      <c r="G26" s="7">
        <v>0</v>
      </c>
      <c r="H26" s="15" t="s">
        <v>405</v>
      </c>
      <c r="I26" s="15">
        <v>42609.284432870372</v>
      </c>
      <c r="J26" s="7">
        <v>0</v>
      </c>
      <c r="K26" s="132" t="str">
        <f t="shared" si="18"/>
        <v>4019/4020</v>
      </c>
      <c r="L26" s="24" t="str">
        <f>VLOOKUP(A26,'Trips&amp;Operators'!$C$1:$E$10000,3,FALSE)</f>
        <v>MAHAN</v>
      </c>
      <c r="M26" s="6">
        <f t="shared" si="19"/>
        <v>1.3888889225199819E-4</v>
      </c>
      <c r="N26" s="7"/>
      <c r="O26" s="7"/>
      <c r="P26" s="7"/>
      <c r="Q26" s="25"/>
      <c r="R26" s="25"/>
      <c r="S26" s="37"/>
      <c r="T26" s="52" t="str">
        <f t="shared" si="20"/>
        <v>Southbound</v>
      </c>
      <c r="U26" s="12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0</v>
      </c>
      <c r="V26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05:23:33-0600',mode:absolute,to:'2016-08-27 07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6" s="54" t="str">
        <f t="shared" si="22"/>
        <v>Y</v>
      </c>
      <c r="X26" s="120">
        <f t="shared" si="28"/>
        <v>0</v>
      </c>
      <c r="Y26" s="69">
        <f t="shared" si="23"/>
        <v>6.4149000000000003</v>
      </c>
      <c r="Z26" s="69">
        <f t="shared" si="24"/>
        <v>6.4043000000000001</v>
      </c>
      <c r="AA26" s="69">
        <f t="shared" si="25"/>
        <v>1.0600000000000165E-2</v>
      </c>
      <c r="AB26" s="66" t="e">
        <f>VLOOKUP(A26,Enforcements!$C$7:$J$21,8,0)</f>
        <v>#N/A</v>
      </c>
      <c r="AC26" s="62" t="e">
        <f>VLOOKUP(A26,Enforcements!$C$7:$E$21,3,0)</f>
        <v>#N/A</v>
      </c>
      <c r="AD26" s="63" t="str">
        <f t="shared" si="26"/>
        <v>0112-27</v>
      </c>
      <c r="AE26" s="99" t="str">
        <f t="shared" si="0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26" s="96" t="str">
        <f t="shared" si="1"/>
        <v>"C:\Program Files (x86)\AstroGrep\AstroGrep.exe" /spath="%USERPROFILE%\AppData\Local\Temp\OnboardLogs" /stypes="*4019*20160827*" /stext=" 12:.+((SYSTEM_STATE.+slice.+state.+changed )|(ment ac)|(system.+state.+changed )|(\|lc)|(penalty)|(\[timeout)|(PRM\|1\|D)|(kpr)|(kdp))" /e /r /s</v>
      </c>
      <c r="AG26" s="1" t="str">
        <f t="shared" si="27"/>
        <v>EC</v>
      </c>
      <c r="AH26" s="100" t="str">
        <f t="shared" si="2"/>
        <v>"%USERPROFILE%\Documents\GitHub\eaglep3\Utilities\RefineRTDCRunTimes.py" --tripid 112-27 --locoid 4019 --swversion DE.1.0.7.0 --startMP 204:64149 --initTime 2016-08-27T06:23:33 --startdatetime 2016-08-27T06:49:23 --delay 0 --endMP 204:64043 --enddatetime 2016-08-27T06:49:35 --enforcementcount 0 &gt;&gt;C:\Users\stu\Documents\GitHub\eaglep3-reporting\EC\2016-08-27-refined-times.txt</v>
      </c>
      <c r="AI26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0.0106000000000002"},{"id":17,"name":"Train ID","value":"112-27"},{"id":16,"name":"Locomotive ID","value":"4019"},{"id":130,"name":"Impact","value":""},{"id":150,"name":"Time of Event (Mountain Time)","value":"06:49:35"},{"id":151,"name":"Denver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406</v>
      </c>
      <c r="B27" s="7">
        <v>4031</v>
      </c>
      <c r="C27" s="24" t="s">
        <v>113</v>
      </c>
      <c r="D27" s="24" t="s">
        <v>407</v>
      </c>
      <c r="E27" s="15">
        <v>42609.211608796293</v>
      </c>
      <c r="F27" s="15">
        <v>42609.2190625</v>
      </c>
      <c r="G27" s="7">
        <v>1</v>
      </c>
      <c r="H27" s="15" t="s">
        <v>408</v>
      </c>
      <c r="I27" s="15">
        <v>42609.244490740741</v>
      </c>
      <c r="J27" s="7">
        <v>0</v>
      </c>
      <c r="K27" s="132" t="str">
        <f t="shared" si="18"/>
        <v>4031/4032</v>
      </c>
      <c r="L27" s="24" t="str">
        <f>VLOOKUP(A27,'Trips&amp;Operators'!$C$1:$E$10000,3,FALSE)</f>
        <v>MAELZER</v>
      </c>
      <c r="M27" s="6">
        <f t="shared" si="19"/>
        <v>2.5428240740438923E-2</v>
      </c>
      <c r="N27" s="7">
        <f>24*60*SUM($M27:$M27)</f>
        <v>36.616666666232049</v>
      </c>
      <c r="O27" s="7"/>
      <c r="P27" s="7"/>
      <c r="Q27" s="25"/>
      <c r="R27" s="25"/>
      <c r="S27" s="37">
        <f>SUM(U27:U27)/IF(AG27="EC",12,1)</f>
        <v>1</v>
      </c>
      <c r="T27" s="52" t="str">
        <f t="shared" si="20"/>
        <v>NorthBound</v>
      </c>
      <c r="U27" s="12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04:04:43-0600',mode:absolute,to:'2016-08-27 06:52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7" s="54" t="str">
        <f t="shared" si="22"/>
        <v>N</v>
      </c>
      <c r="X27" s="120">
        <f t="shared" si="28"/>
        <v>1</v>
      </c>
      <c r="Y27" s="69">
        <f t="shared" si="23"/>
        <v>4.3700000000000003E-2</v>
      </c>
      <c r="Z27" s="69">
        <f t="shared" si="24"/>
        <v>23.332899999999999</v>
      </c>
      <c r="AA27" s="69">
        <f t="shared" si="25"/>
        <v>23.289199999999997</v>
      </c>
      <c r="AB27" s="66" t="e">
        <f>VLOOKUP(A27,Enforcements!$C$7:$J$21,8,0)</f>
        <v>#N/A</v>
      </c>
      <c r="AC27" s="62" t="e">
        <f>VLOOKUP(A27,Enforcements!$C$7:$E$21,3,0)</f>
        <v>#N/A</v>
      </c>
      <c r="AD27" s="63" t="str">
        <f t="shared" si="26"/>
        <v>0113-27</v>
      </c>
      <c r="AE27" s="99" t="str">
        <f t="shared" si="0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27" s="96" t="str">
        <f t="shared" si="1"/>
        <v>"C:\Program Files (x86)\AstroGrep\AstroGrep.exe" /spath="%USERPROFILE%\AppData\Local\Temp\OnboardLogs" /stypes="*4031*20160827*" /stext=" 11:.+((SYSTEM_STATE.+slice.+state.+changed )|(ment ac)|(system.+state.+changed )|(\|lc)|(penalty)|(\[timeout)|(PRM\|1\|D)|(kpr)|(kdp))" /e /r /s</v>
      </c>
      <c r="AG27" s="1" t="str">
        <f t="shared" si="27"/>
        <v>EC</v>
      </c>
      <c r="AH27" s="100" t="str">
        <f t="shared" si="2"/>
        <v>"%USERPROFILE%\Documents\GitHub\eaglep3\Utilities\RefineRTDCRunTimes.py" --tripid 113-27 --locoid 4031 --swversion DE.1.0.7.0 --startMP 204:437 --initTime 2016-08-27T05:04:43 --startdatetime 2016-08-27T05:15:27 --delay 1 --endMP 204:233329 --enddatetime 2016-08-27T05:52:04 --enforcementcount 0 &gt;&gt;C:\Users\stu\Documents\GitHub\eaglep3-reporting\EC\2016-08-27-refined-times.txt</v>
      </c>
      <c r="AI27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{"issue":{"subject":"","project_id":79,"tracker_id":40,"status_id":1,"priority_id":2,"assigned_to_id":23,"start_date":"2016-08-27","description":"","custom_fields":[{"id":1,"name":"Subdivision","value":"EC"},{"id":4,"name":"Milepost","value":"23.2892"},{"id":17,"name":"Train ID","value":"113-27"},{"id":16,"name":"Locomotive ID","value":"4031"},{"id":130,"name":"Impact","value":""},{"id":150,"name":"Time of Event (Mountain Time)","value":"05:52:04"},{"id":151,"name":"Denver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409</v>
      </c>
      <c r="B28" s="7">
        <v>4032</v>
      </c>
      <c r="C28" s="24" t="s">
        <v>113</v>
      </c>
      <c r="D28" s="24" t="s">
        <v>347</v>
      </c>
      <c r="E28" s="15">
        <v>42609.253437500003</v>
      </c>
      <c r="F28" s="15">
        <v>42609.257905092592</v>
      </c>
      <c r="G28" s="7">
        <v>1</v>
      </c>
      <c r="H28" s="15" t="s">
        <v>410</v>
      </c>
      <c r="I28" s="15">
        <v>42609.294861111113</v>
      </c>
      <c r="J28" s="7">
        <v>0</v>
      </c>
      <c r="K28" s="132" t="str">
        <f t="shared" si="18"/>
        <v>4031/4032</v>
      </c>
      <c r="L28" s="24" t="str">
        <f>VLOOKUP(A28,'Trips&amp;Operators'!$C$1:$E$10000,3,FALSE)</f>
        <v>MAELZER</v>
      </c>
      <c r="M28" s="6">
        <f t="shared" si="19"/>
        <v>3.6956018520868383E-2</v>
      </c>
      <c r="N28" s="7"/>
      <c r="O28" s="7"/>
      <c r="P28" s="7">
        <f>24*60*SUM($M28:$M28)</f>
        <v>53.216666670050472</v>
      </c>
      <c r="Q28" s="25"/>
      <c r="R28" s="25" t="s">
        <v>699</v>
      </c>
      <c r="S28" s="37">
        <f>SUM(U28:U28)/IF(AG28="EC",12,1)</f>
        <v>0.25</v>
      </c>
      <c r="T28" s="52" t="str">
        <f t="shared" si="20"/>
        <v>Southbound</v>
      </c>
      <c r="U28" s="12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3</v>
      </c>
      <c r="V28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05:04:57-0600',mode:absolute,to:'2016-08-27 08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28" s="54" t="str">
        <f t="shared" si="22"/>
        <v>Y</v>
      </c>
      <c r="X28" s="120">
        <f t="shared" si="28"/>
        <v>1</v>
      </c>
      <c r="Y28" s="69">
        <f t="shared" si="23"/>
        <v>23.298500000000001</v>
      </c>
      <c r="Z28" s="69">
        <f t="shared" si="24"/>
        <v>6.4157000000000002</v>
      </c>
      <c r="AA28" s="69">
        <f t="shared" si="25"/>
        <v>16.8828</v>
      </c>
      <c r="AB28" s="66" t="e">
        <f>VLOOKUP(A28,Enforcements!$C$7:$J$21,8,0)</f>
        <v>#N/A</v>
      </c>
      <c r="AC28" s="62" t="e">
        <f>VLOOKUP(A28,Enforcements!$C$7:$E$21,3,0)</f>
        <v>#N/A</v>
      </c>
      <c r="AD28" s="63" t="str">
        <f t="shared" si="26"/>
        <v>0114-27</v>
      </c>
      <c r="AE28" s="99" t="str">
        <f t="shared" si="0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28" s="96" t="str">
        <f t="shared" si="1"/>
        <v>"C:\Program Files (x86)\AstroGrep\AstroGrep.exe" /spath="%USERPROFILE%\AppData\Local\Temp\OnboardLogs" /stypes="*4032*20160827*" /stext=" 13:.+((SYSTEM_STATE.+slice.+state.+changed )|(ment ac)|(system.+state.+changed )|(\|lc)|(penalty)|(\[timeout)|(PRM\|1\|D)|(kpr)|(kdp))" /e /r /s</v>
      </c>
      <c r="AG28" s="1" t="str">
        <f t="shared" si="27"/>
        <v>EC</v>
      </c>
      <c r="AH28" s="100" t="str">
        <f t="shared" si="2"/>
        <v>"%USERPROFILE%\Documents\GitHub\eaglep3\Utilities\RefineRTDCRunTimes.py" --tripid 114-27 --locoid 4032 --swversion DE.1.0.7.0 --startMP 204:232985 --initTime 2016-08-27T06:04:57 --startdatetime 2016-08-27T06:11:23 --delay 1 --endMP 204:64157 --enddatetime 2016-08-27T07:04:36 --enforcementcount 0 &gt;&gt;C:\Users\stu\Documents\GitHub\eaglep3-reporting\EC\2016-08-27-refined-times.txt</v>
      </c>
      <c r="AI28" s="149" t="str">
        <f t="shared" si="3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failure","project_id":79,"tracker_id":40,"status_id":1,"priority_id":2,"assigned_to_id":23,"start_date":"2016-08-27","description":"","custom_fields":[{"id":1,"name":"Subdivision","value":"EC"},{"id":4,"name":"Milepost","value":"16.8828"},{"id":17,"name":"Train ID","value":"114-27"},{"id":16,"name":"Locomotive ID","value":"4032"},{"id":130,"name":"Impact","value":""},{"id":150,"name":"Time of Event (Mountain Time)","value":"07:04:36"},{"id":151,"name":"Denver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702</v>
      </c>
      <c r="B29" s="7"/>
      <c r="C29" s="24"/>
      <c r="D29" s="24"/>
      <c r="E29" s="15"/>
      <c r="F29" s="15"/>
      <c r="G29" s="7"/>
      <c r="H29" s="15"/>
      <c r="I29" s="15"/>
      <c r="J29" s="7">
        <v>0</v>
      </c>
      <c r="K29" s="132" t="str">
        <f t="shared" si="18"/>
        <v>-1/</v>
      </c>
      <c r="L29" s="24" t="e">
        <f>VLOOKUP(A29,'Trips&amp;Operators'!$C$1:$E$10000,3,FALSE)</f>
        <v>#N/A</v>
      </c>
      <c r="M29" s="6">
        <f t="shared" si="19"/>
        <v>0</v>
      </c>
      <c r="N29" s="7"/>
      <c r="O29" s="7"/>
      <c r="P29" s="7">
        <v>1</v>
      </c>
      <c r="Q29" s="25"/>
      <c r="R29" s="25" t="s">
        <v>295</v>
      </c>
      <c r="S29" s="37">
        <f>SUM(U29:U29)/IF(AG29="EC",12,1)</f>
        <v>0</v>
      </c>
      <c r="T29" s="52" t="str">
        <f t="shared" si="20"/>
        <v>NorthBound</v>
      </c>
      <c r="U29" s="12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106" t="e">
        <f t="shared" si="21"/>
        <v>#VALUE!</v>
      </c>
      <c r="W29" s="54" t="e">
        <f t="shared" si="22"/>
        <v>#VALUE!</v>
      </c>
      <c r="X29" s="120">
        <f t="shared" ref="X29:X31" si="29">VALUE(LEFT(AD29,4))-VALUE(LEFT(AD28,4))</f>
        <v>1</v>
      </c>
      <c r="Y29" s="69" t="e">
        <f t="shared" si="23"/>
        <v>#VALUE!</v>
      </c>
      <c r="Z29" s="69" t="e">
        <f t="shared" si="24"/>
        <v>#VALUE!</v>
      </c>
      <c r="AA29" s="69" t="e">
        <f t="shared" si="25"/>
        <v>#VALUE!</v>
      </c>
      <c r="AB29" s="66" t="e">
        <f>VLOOKUP(A29,Enforcements!$C$7:$J$21,8,0)</f>
        <v>#N/A</v>
      </c>
      <c r="AC29" s="62" t="e">
        <f>VLOOKUP(A29,Enforcements!$C$7:$E$21,3,0)</f>
        <v>#N/A</v>
      </c>
      <c r="AD29" s="63" t="str">
        <f t="shared" si="26"/>
        <v>0115-27</v>
      </c>
      <c r="AE29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29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29" s="1" t="str">
        <f t="shared" si="27"/>
        <v>EC</v>
      </c>
      <c r="AH29" s="100" t="str">
        <f t="shared" ref="AH29" si="30">refinertdcruntimes&amp;" --tripid "&amp;A29&amp;" --locoid "&amp;B29&amp;" --swversion "&amp;C29&amp;" --startMP "&amp;D29&amp;" --initTime "&amp;TEXT(E29,"yyyy-mm-ddTHH:MM:SS")&amp;" --startdatetime "&amp;TEXT(F29,"yyyy-mm-ddTHH:MM:SS")&amp;" --delay "&amp;G29&amp;" --endMP "&amp;H29&amp;" --enddatetime "&amp;TEXT(I29,"yyyy-mm-ddTHH:MM:SS")&amp;" --enforcementcount "&amp;J29&amp;IF(outputrefinedruntimes," &gt;&gt;"&amp;RefinedRTDCRunTimesOutputFile,"")</f>
        <v>"%USERPROFILE%\Documents\GitHub\eaglep3\Utilities\RefineRTDCRunTimes.py" --tripid 115-27 --locoid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29" s="149" t="e">
        <f t="shared" ref="AI29" si="31">"echo {""issue"":{""subject"":"""&amp;R29&amp;""",""project_id"":79,""tracker_id"":40,""status_id"":"&amp;redmine_status&amp;",""priority_id"":"&amp;redmine_priority&amp;",""assigned_to_id"":"&amp;redmine_assignee&amp;",""start_date"":"""&amp;TEXT(I29,"YYYY-mm-dd")&amp;""",""description"":"""&amp;AJ29&amp;""",""custom_fields"":[{""id"":1,""name"":""Subdivision"",""value"":"""&amp;AG29&amp;"""},{""id"":4,""name"":""Milepost"",""value"":"""&amp;AA29&amp;"""},{""id"":17,""name"":""Train ID"",""value"":"""&amp;A29&amp;"""},{""id"":16,""name"":""Locomotive ID"",""value"":"""&amp;B29&amp;"""},{""id"":130,""name"":""Impact"",""value"":"""&amp;AK29&amp;"""},{""id"":150,""name"":""Time of Event (Mountain Time)"",""value"":"""&amp;TEXT(I29,"hh:mm:ss")&amp;"""},{""id"":151,""name"":""Denver Issue ID"",""value"":"""&amp;"""},{""id"":178,""name"":""Operational Impact"",""value"":"""&amp;redmine_op_impact&amp;"""},{""id"":179,""name"":""Denver Segment Assigned"",""value"":"""&amp;AL29&amp;"""}]}}"&amp;" | curl -X POST -H ""Content-Type: application/json"" -H ""X-Redmine-API-Key: "&amp;redm_api_key&amp;""" "&amp;redm_url&amp;" --data @-"</f>
        <v>#VALUE!</v>
      </c>
      <c r="AJ29" s="55"/>
      <c r="AK29" s="55"/>
      <c r="AL29" s="55"/>
    </row>
    <row r="30" spans="1:38" s="1" customFormat="1" x14ac:dyDescent="0.25">
      <c r="A30" s="39" t="s">
        <v>411</v>
      </c>
      <c r="B30" s="7">
        <v>4030</v>
      </c>
      <c r="C30" s="24" t="s">
        <v>113</v>
      </c>
      <c r="D30" s="24" t="s">
        <v>412</v>
      </c>
      <c r="E30" s="15">
        <v>42609.27008101852</v>
      </c>
      <c r="F30" s="15">
        <v>42609.271562499998</v>
      </c>
      <c r="G30" s="7">
        <v>1</v>
      </c>
      <c r="H30" s="15" t="s">
        <v>172</v>
      </c>
      <c r="I30" s="15">
        <v>42609.323796296296</v>
      </c>
      <c r="J30" s="7">
        <v>0</v>
      </c>
      <c r="K30" s="132" t="str">
        <f t="shared" si="18"/>
        <v>4029/4030</v>
      </c>
      <c r="L30" s="24" t="str">
        <f>VLOOKUP(A30,'Trips&amp;Operators'!$C$1:$E$10000,3,FALSE)</f>
        <v>STRICKLAND</v>
      </c>
      <c r="M30" s="6">
        <f t="shared" si="19"/>
        <v>5.2233796297514345E-2</v>
      </c>
      <c r="N30" s="7">
        <f>24*60*SUM($M30:$M30)</f>
        <v>75.216666668420658</v>
      </c>
      <c r="O30" s="7"/>
      <c r="P30" s="7"/>
      <c r="Q30" s="25"/>
      <c r="R30" s="25"/>
      <c r="S30" s="37">
        <f>SUM(U30:U30)/IF(AG30="EC",12,1)</f>
        <v>1</v>
      </c>
      <c r="T30" s="52" t="str">
        <f t="shared" si="20"/>
        <v>Southbound</v>
      </c>
      <c r="U30" s="12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05:28:55-0600',mode:absolute,to:'2016-08-27 08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30" s="54" t="str">
        <f t="shared" si="22"/>
        <v>N</v>
      </c>
      <c r="X30" s="120">
        <f t="shared" si="29"/>
        <v>1</v>
      </c>
      <c r="Y30" s="69">
        <f t="shared" si="23"/>
        <v>23.2973</v>
      </c>
      <c r="Z30" s="69">
        <f t="shared" si="24"/>
        <v>1.52E-2</v>
      </c>
      <c r="AA30" s="69">
        <f t="shared" si="25"/>
        <v>23.2821</v>
      </c>
      <c r="AB30" s="66">
        <f>VLOOKUP(A30,Enforcements!$C$7:$J$21,8,0)</f>
        <v>48048</v>
      </c>
      <c r="AC30" s="62" t="str">
        <f>VLOOKUP(A30,Enforcements!$C$7:$E$21,3,0)</f>
        <v>GRADE CROSSING</v>
      </c>
      <c r="AD30" s="63" t="str">
        <f t="shared" si="26"/>
        <v>0116-27</v>
      </c>
      <c r="AE30" s="99" t="str">
        <f t="shared" si="0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30" s="96" t="str">
        <f t="shared" si="1"/>
        <v>"C:\Program Files (x86)\AstroGrep\AstroGrep.exe" /spath="%USERPROFILE%\AppData\Local\Temp\OnboardLogs" /stypes="*4030*20160827*" /stext=" 13:.+((SYSTEM_STATE.+slice.+state.+changed )|(ment ac)|(system.+state.+changed )|(\|lc)|(penalty)|(\[timeout)|(PRM\|1\|D)|(kpr)|(kdp))" /e /r /s</v>
      </c>
      <c r="AG30" s="1" t="str">
        <f t="shared" si="27"/>
        <v>EC</v>
      </c>
      <c r="AH30" s="100" t="str">
        <f t="shared" si="2"/>
        <v>"%USERPROFILE%\Documents\GitHub\eaglep3\Utilities\RefineRTDCRunTimes.py" --tripid 116-27 --locoid 4030 --swversion DE.1.0.7.0 --startMP 204:232973 --initTime 2016-08-27T06:28:55 --startdatetime 2016-08-27T06:31:03 --delay 1 --endMP 204:152 --enddatetime 2016-08-27T07:46:16 --enforcementcount 0 &gt;&gt;C:\Users\stu\Documents\GitHub\eaglep3-reporting\EC\2016-08-27-refined-times.txt</v>
      </c>
      <c r="AI30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{"issue":{"subject":"","project_id":79,"tracker_id":40,"status_id":1,"priority_id":2,"assigned_to_id":23,"start_date":"2016-08-27","description":"","custom_fields":[{"id":1,"name":"Subdivision","value":"EC"},{"id":4,"name":"Milepost","value":"23.2821"},{"id":17,"name":"Train ID","value":"116-27"},{"id":16,"name":"Locomotive ID","value":"4030"},{"id":130,"name":"Impact","value":""},{"id":150,"name":"Time of Event (Mountain Time)","value":"07:46:16"},{"id":151,"name":"Denver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413</v>
      </c>
      <c r="B31" s="7">
        <v>4038</v>
      </c>
      <c r="C31" s="24" t="s">
        <v>113</v>
      </c>
      <c r="D31" s="24" t="s">
        <v>414</v>
      </c>
      <c r="E31" s="15">
        <v>42609.237280092595</v>
      </c>
      <c r="F31" s="15">
        <v>42609.255243055559</v>
      </c>
      <c r="G31" s="7">
        <v>1</v>
      </c>
      <c r="H31" s="15" t="s">
        <v>415</v>
      </c>
      <c r="I31" s="15">
        <v>42609.275034722225</v>
      </c>
      <c r="J31" s="7">
        <v>0</v>
      </c>
      <c r="K31" s="132" t="str">
        <f t="shared" si="18"/>
        <v>4037/4038</v>
      </c>
      <c r="L31" s="24" t="str">
        <f>VLOOKUP(A31,'Trips&amp;Operators'!$C$1:$E$10000,3,FALSE)</f>
        <v>MALAVE</v>
      </c>
      <c r="M31" s="6">
        <f t="shared" si="19"/>
        <v>1.9791666665696539E-2</v>
      </c>
      <c r="N31" s="7"/>
      <c r="O31" s="7"/>
      <c r="P31" s="7">
        <f>24*60*SUM($M31:$M32)</f>
        <v>56.999999997206032</v>
      </c>
      <c r="Q31" s="25"/>
      <c r="R31" s="25" t="s">
        <v>699</v>
      </c>
      <c r="S31" s="37">
        <f>SUM(U31:U32)/IF(AG31="EC",12,1)</f>
        <v>0.75</v>
      </c>
      <c r="T31" s="52" t="str">
        <f t="shared" si="20"/>
        <v>NorthBound</v>
      </c>
      <c r="U31" s="12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6</v>
      </c>
      <c r="V31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04:41:41-0600',mode:absolute,to:'2016-08-27 07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1" s="54" t="str">
        <f t="shared" si="22"/>
        <v>Y</v>
      </c>
      <c r="X31" s="120">
        <f t="shared" si="29"/>
        <v>1</v>
      </c>
      <c r="Y31" s="69">
        <f t="shared" si="23"/>
        <v>4.6600000000000003E-2</v>
      </c>
      <c r="Z31" s="69">
        <f t="shared" si="24"/>
        <v>5.5021000000000004</v>
      </c>
      <c r="AA31" s="69">
        <f t="shared" si="25"/>
        <v>5.4555000000000007</v>
      </c>
      <c r="AB31" s="66" t="e">
        <f>VLOOKUP(A31,Enforcements!$C$7:$J$21,8,0)</f>
        <v>#N/A</v>
      </c>
      <c r="AC31" s="62" t="e">
        <f>VLOOKUP(A31,Enforcements!$C$7:$E$21,3,0)</f>
        <v>#N/A</v>
      </c>
      <c r="AD31" s="63" t="str">
        <f t="shared" si="26"/>
        <v>0117-27</v>
      </c>
      <c r="AE31" s="99" t="str">
        <f t="shared" si="0"/>
        <v>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 &amp; 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</v>
      </c>
      <c r="AF31" s="96" t="str">
        <f t="shared" si="1"/>
        <v>"C:\Program Files (x86)\AstroGrep\AstroGrep.exe" /spath="%USERPROFILE%\AppData\Local\Temp\OnboardLogs" /stypes="*4038*20160827*" /stext=" 12:.+((SYSTEM_STATE.+slice.+state.+changed )|(ment ac)|(system.+state.+changed )|(\|lc)|(penalty)|(\[timeout)|(PRM\|1\|D)|(kpr)|(kdp))" /e /r /s</v>
      </c>
      <c r="AG31" s="1" t="str">
        <f t="shared" si="27"/>
        <v>EC</v>
      </c>
      <c r="AH31" s="100" t="str">
        <f t="shared" si="2"/>
        <v>"%USERPROFILE%\Documents\GitHub\eaglep3\Utilities\RefineRTDCRunTimes.py" --tripid 117-27 --locoid 4038 --swversion DE.1.0.7.0 --startMP 204:466 --initTime 2016-08-27T05:41:41 --startdatetime 2016-08-27T06:07:33 --delay 1 --endMP 204:55021 --enddatetime 2016-08-27T06:36:03 --enforcementcount 0 &gt;&gt;C:\Users\stu\Documents\GitHub\eaglep3-reporting\EC\2016-08-27-refined-times.txt</v>
      </c>
      <c r="AI31" s="149" t="str">
        <f t="shared" si="3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failure","project_id":79,"tracker_id":40,"status_id":1,"priority_id":2,"assigned_to_id":23,"start_date":"2016-08-27","description":"","custom_fields":[{"id":1,"name":"Subdivision","value":"EC"},{"id":4,"name":"Milepost","value":"5.4555"},{"id":17,"name":"Train ID","value":"117-27"},{"id":16,"name":"Locomotive ID","value":"4038"},{"id":130,"name":"Impact","value":""},{"id":150,"name":"Time of Event (Mountain Time)","value":"06:36:03"},{"id":151,"name":"Denver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ht="16.5" customHeight="1" x14ac:dyDescent="0.25">
      <c r="A32" s="39" t="s">
        <v>413</v>
      </c>
      <c r="B32" s="7">
        <v>4038</v>
      </c>
      <c r="C32" s="24" t="s">
        <v>113</v>
      </c>
      <c r="D32" s="24" t="s">
        <v>416</v>
      </c>
      <c r="E32" s="15">
        <v>42609.254247685189</v>
      </c>
      <c r="F32" s="15">
        <v>42609.255243055559</v>
      </c>
      <c r="G32" s="7">
        <v>1</v>
      </c>
      <c r="H32" s="15" t="s">
        <v>417</v>
      </c>
      <c r="I32" s="15">
        <v>42609.275034722225</v>
      </c>
      <c r="J32" s="7">
        <v>0</v>
      </c>
      <c r="K32" s="132" t="str">
        <f t="shared" si="18"/>
        <v>4037/4038</v>
      </c>
      <c r="L32" s="24" t="str">
        <f>VLOOKUP(A32,'Trips&amp;Operators'!$C$1:$E$10000,3,FALSE)</f>
        <v>MALAVE</v>
      </c>
      <c r="M32" s="6">
        <f t="shared" si="19"/>
        <v>1.9791666665696539E-2</v>
      </c>
      <c r="N32" s="7"/>
      <c r="O32" s="7"/>
      <c r="P32" s="7"/>
      <c r="Q32" s="25"/>
      <c r="R32" s="25"/>
      <c r="S32" s="37"/>
      <c r="T32" s="52" t="str">
        <f t="shared" si="20"/>
        <v>NorthBound</v>
      </c>
      <c r="U32" s="12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3</v>
      </c>
      <c r="V32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05:06:07-0600',mode:absolute,to:'2016-08-27 07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32" s="54" t="str">
        <f t="shared" si="22"/>
        <v>Y</v>
      </c>
      <c r="X32" s="120">
        <f>VALUE(LEFT(AD32,4))-VALUE(LEFT(AD31,4))</f>
        <v>0</v>
      </c>
      <c r="Y32" s="69">
        <f t="shared" si="23"/>
        <v>6.4695999999999998</v>
      </c>
      <c r="Z32" s="69">
        <f t="shared" si="24"/>
        <v>23.329699999999999</v>
      </c>
      <c r="AA32" s="69">
        <f t="shared" si="25"/>
        <v>16.860099999999999</v>
      </c>
      <c r="AB32" s="66" t="e">
        <f>VLOOKUP(A32,Enforcements!$C$7:$J$21,8,0)</f>
        <v>#N/A</v>
      </c>
      <c r="AC32" s="62" t="e">
        <f>VLOOKUP(A32,Enforcements!$C$7:$E$21,3,0)</f>
        <v>#N/A</v>
      </c>
      <c r="AD32" s="63" t="str">
        <f t="shared" si="26"/>
        <v>0117-27</v>
      </c>
      <c r="AE32" s="99" t="str">
        <f t="shared" si="0"/>
        <v>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 &amp; 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</v>
      </c>
      <c r="AF32" s="96" t="str">
        <f t="shared" si="1"/>
        <v>"C:\Program Files (x86)\AstroGrep\AstroGrep.exe" /spath="%USERPROFILE%\AppData\Local\Temp\OnboardLogs" /stypes="*4038*20160827*" /stext=" 12:.+((SYSTEM_STATE.+slice.+state.+changed )|(ment ac)|(system.+state.+changed )|(\|lc)|(penalty)|(\[timeout)|(PRM\|1\|D)|(kpr)|(kdp))" /e /r /s</v>
      </c>
      <c r="AG32" s="1" t="str">
        <f t="shared" si="27"/>
        <v>EC</v>
      </c>
      <c r="AH32" s="100" t="str">
        <f t="shared" si="2"/>
        <v>"%USERPROFILE%\Documents\GitHub\eaglep3\Utilities\RefineRTDCRunTimes.py" --tripid 117-27 --locoid 4038 --swversion DE.1.0.7.0 --startMP 204:64696 --initTime 2016-08-27T06:06:07 --startdatetime 2016-08-27T06:07:33 --delay 1 --endMP 204:233297 --enddatetime 2016-08-27T06:36:03 --enforcementcount 0 &gt;&gt;C:\Users\stu\Documents\GitHub\eaglep3-reporting\EC\2016-08-27-refined-times.txt</v>
      </c>
      <c r="AI32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{"issue":{"subject":"","project_id":79,"tracker_id":40,"status_id":1,"priority_id":2,"assigned_to_id":23,"start_date":"2016-08-27","description":"","custom_fields":[{"id":1,"name":"Subdivision","value":"EC"},{"id":4,"name":"Milepost","value":"16.8601"},{"id":17,"name":"Train ID","value":"117-27"},{"id":16,"name":"Locomotive ID","value":"4038"},{"id":130,"name":"Impact","value":""},{"id":150,"name":"Time of Event (Mountain Time)","value":"06:36:03"},{"id":151,"name":"Denver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418</v>
      </c>
      <c r="B33" s="7">
        <v>4037</v>
      </c>
      <c r="C33" s="24" t="s">
        <v>113</v>
      </c>
      <c r="D33" s="24" t="s">
        <v>419</v>
      </c>
      <c r="E33" s="15">
        <v>42609.277743055558</v>
      </c>
      <c r="F33" s="15">
        <v>42609.279849537037</v>
      </c>
      <c r="G33" s="7">
        <v>2</v>
      </c>
      <c r="H33" s="15" t="s">
        <v>152</v>
      </c>
      <c r="I33" s="15">
        <v>42609.33320601852</v>
      </c>
      <c r="J33" s="7">
        <v>0</v>
      </c>
      <c r="K33" s="132" t="str">
        <f t="shared" si="18"/>
        <v>4037/4038</v>
      </c>
      <c r="L33" s="24" t="str">
        <f>VLOOKUP(A33,'Trips&amp;Operators'!$C$1:$E$10000,3,FALSE)</f>
        <v>MALAVE</v>
      </c>
      <c r="M33" s="6">
        <f t="shared" si="19"/>
        <v>5.3356481483206153E-2</v>
      </c>
      <c r="N33" s="7">
        <f>24*60*SUM($M33:$M33)</f>
        <v>76.83333333581686</v>
      </c>
      <c r="O33" s="7"/>
      <c r="P33" s="7"/>
      <c r="Q33" s="25"/>
      <c r="R33" s="25"/>
      <c r="S33" s="37">
        <f>SUM(U33:U33)/IF(AG33="EC",12,1)</f>
        <v>1</v>
      </c>
      <c r="T33" s="52" t="str">
        <f t="shared" si="20"/>
        <v>Southbound</v>
      </c>
      <c r="U33" s="12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33" s="54" t="str">
        <f t="shared" si="22"/>
        <v>N</v>
      </c>
      <c r="X33" s="120">
        <f>VALUE(LEFT(AD33,4))-VALUE(LEFT(AD32,4))</f>
        <v>1</v>
      </c>
      <c r="Y33" s="69">
        <f t="shared" si="23"/>
        <v>23.2972</v>
      </c>
      <c r="Z33" s="69">
        <f t="shared" si="24"/>
        <v>1.4999999999999999E-2</v>
      </c>
      <c r="AA33" s="69">
        <f t="shared" si="25"/>
        <v>23.2822</v>
      </c>
      <c r="AB33" s="66">
        <f>VLOOKUP(A33,Enforcements!$C$7:$J$21,8,0)</f>
        <v>48048</v>
      </c>
      <c r="AC33" s="62" t="str">
        <f>VLOOKUP(A33,Enforcements!$C$7:$E$21,3,0)</f>
        <v>GRADE CROSSING</v>
      </c>
      <c r="AD33" s="63" t="str">
        <f t="shared" si="26"/>
        <v>0118-27</v>
      </c>
      <c r="AE33" s="99" t="str">
        <f t="shared" si="0"/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AF33" s="96" t="str">
        <f t="shared" si="1"/>
        <v>"C:\Program Files (x86)\AstroGrep\AstroGrep.exe" /spath="%USERPROFILE%\AppData\Local\Temp\OnboardLogs" /stypes="*4037*20160827*" /stext=" 13:.+((SYSTEM_STATE.+slice.+state.+changed )|(ment ac)|(system.+state.+changed )|(\|lc)|(penalty)|(\[timeout)|(PRM\|1\|D)|(kpr)|(kdp))" /e /r /s</v>
      </c>
      <c r="AG33" s="1" t="str">
        <f t="shared" si="27"/>
        <v>EC</v>
      </c>
      <c r="AH33" s="100" t="str">
        <f t="shared" si="2"/>
        <v>"%USERPROFILE%\Documents\GitHub\eaglep3\Utilities\RefineRTDCRunTimes.py" --tripid 118-27 --locoid 4037 --swversion DE.1.0.7.0 --startMP 204:232972 --initTime 2016-08-27T06:39:57 --startdatetime 2016-08-27T06:42:59 --delay 2 --endMP 204:150 --enddatetime 2016-08-27T07:59:49 --enforcementcount 0 &gt;&gt;C:\Users\stu\Documents\GitHub\eaglep3-reporting\EC\2016-08-27-refined-times.txt</v>
      </c>
      <c r="AI33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{"issue":{"subject":"","project_id":79,"tracker_id":40,"status_id":1,"priority_id":2,"assigned_to_id":23,"start_date":"2016-08-27","description":"","custom_fields":[{"id":1,"name":"Subdivision","value":"EC"},{"id":4,"name":"Milepost","value":"23.2822"},{"id":17,"name":"Train ID","value":"118-27"},{"id":16,"name":"Locomotive ID","value":"4037"},{"id":130,"name":"Impact","value":""},{"id":150,"name":"Time of Event (Mountain Time)","value":"07:59:49"},{"id":151,"name":"Denver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31" customFormat="1" x14ac:dyDescent="0.25">
      <c r="A34" s="39" t="s">
        <v>420</v>
      </c>
      <c r="B34" s="7">
        <v>4014</v>
      </c>
      <c r="C34" s="24" t="s">
        <v>113</v>
      </c>
      <c r="D34" s="24" t="s">
        <v>421</v>
      </c>
      <c r="E34" s="15">
        <v>42609.263796296298</v>
      </c>
      <c r="F34" s="15">
        <v>42609.264918981484</v>
      </c>
      <c r="G34" s="7">
        <v>1</v>
      </c>
      <c r="H34" s="15" t="s">
        <v>422</v>
      </c>
      <c r="I34" s="15">
        <v>42609.285509259258</v>
      </c>
      <c r="J34" s="7">
        <v>0</v>
      </c>
      <c r="K34" s="132" t="str">
        <f t="shared" si="18"/>
        <v>4013/4014</v>
      </c>
      <c r="L34" s="24" t="str">
        <f>VLOOKUP(A34,'Trips&amp;Operators'!$C$1:$E$10000,3,FALSE)</f>
        <v>ACKERMAN</v>
      </c>
      <c r="M34" s="6">
        <f t="shared" si="19"/>
        <v>2.0590277774317656E-2</v>
      </c>
      <c r="N34" s="7"/>
      <c r="O34" s="7"/>
      <c r="P34" s="7">
        <f>24*60*SUM($M34:$M35)</f>
        <v>59.299999990034848</v>
      </c>
      <c r="Q34" s="25"/>
      <c r="R34" s="25" t="s">
        <v>699</v>
      </c>
      <c r="S34" s="37">
        <f>SUM(U34:U35)/IF(AG34="EC",12,1)</f>
        <v>1</v>
      </c>
      <c r="T34" s="52" t="str">
        <f t="shared" si="20"/>
        <v>NorthBound</v>
      </c>
      <c r="U34" s="12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3</v>
      </c>
      <c r="V34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05:19:52-0600',mode:absolute,to:'2016-08-27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4" s="54" t="str">
        <f t="shared" si="22"/>
        <v>Y</v>
      </c>
      <c r="X34" s="120">
        <f>VALUE(LEFT(AD34,4))-VALUE(LEFT(AD33,4))</f>
        <v>1</v>
      </c>
      <c r="Y34" s="69">
        <f t="shared" si="23"/>
        <v>6.4698000000000002</v>
      </c>
      <c r="Z34" s="69">
        <f t="shared" si="24"/>
        <v>23.331099999999999</v>
      </c>
      <c r="AA34" s="69">
        <f t="shared" si="25"/>
        <v>16.8613</v>
      </c>
      <c r="AB34" s="66" t="e">
        <f>VLOOKUP(A34,Enforcements!$C$7:$J$21,8,0)</f>
        <v>#N/A</v>
      </c>
      <c r="AC34" s="62" t="e">
        <f>VLOOKUP(A34,Enforcements!$C$7:$E$21,3,0)</f>
        <v>#N/A</v>
      </c>
      <c r="AD34" s="63" t="str">
        <f t="shared" si="26"/>
        <v>0119-27</v>
      </c>
      <c r="AE34" s="99" t="str">
        <f t="shared" si="0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34" s="96" t="str">
        <f t="shared" si="1"/>
        <v>"C:\Program Files (x86)\AstroGrep\AstroGrep.exe" /spath="%USERPROFILE%\AppData\Local\Temp\OnboardLogs" /stypes="*4014*20160827*" /stext=" 12:.+((SYSTEM_STATE.+slice.+state.+changed )|(ment ac)|(system.+state.+changed )|(\|lc)|(penalty)|(\[timeout)|(PRM\|1\|D)|(kpr)|(kdp))" /e /r /s</v>
      </c>
      <c r="AG34" s="1" t="str">
        <f t="shared" si="27"/>
        <v>EC</v>
      </c>
      <c r="AH34" s="100" t="str">
        <f t="shared" si="2"/>
        <v>"%USERPROFILE%\Documents\GitHub\eaglep3\Utilities\RefineRTDCRunTimes.py" --tripid 119-27 --locoid 4014 --swversion DE.1.0.7.0 --startMP 204:64698 --initTime 2016-08-27T06:19:52 --startdatetime 2016-08-27T06:21:29 --delay 1 --endMP 204:233311 --enddatetime 2016-08-27T06:51:08 --enforcementcount 0 &gt;&gt;C:\Users\stu\Documents\GitHub\eaglep3-reporting\EC\2016-08-27-refined-times.txt</v>
      </c>
      <c r="AI34" s="149" t="str">
        <f t="shared" si="3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failure","project_id":79,"tracker_id":40,"status_id":1,"priority_id":2,"assigned_to_id":23,"start_date":"2016-08-27","description":"","custom_fields":[{"id":1,"name":"Subdivision","value":"EC"},{"id":4,"name":"Milepost","value":"16.8613"},{"id":17,"name":"Train ID","value":"119-27"},{"id":16,"name":"Locomotive ID","value":"4014"},{"id":130,"name":"Impact","value":""},{"id":150,"name":"Time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420</v>
      </c>
      <c r="B35" s="7">
        <v>4014</v>
      </c>
      <c r="C35" s="24" t="s">
        <v>113</v>
      </c>
      <c r="D35" s="24" t="s">
        <v>423</v>
      </c>
      <c r="E35" s="15">
        <v>42609.249212962961</v>
      </c>
      <c r="F35" s="15">
        <v>42609.264918981484</v>
      </c>
      <c r="G35" s="7">
        <v>1</v>
      </c>
      <c r="H35" s="15" t="s">
        <v>424</v>
      </c>
      <c r="I35" s="15">
        <v>42609.285509259258</v>
      </c>
      <c r="J35" s="7">
        <v>0</v>
      </c>
      <c r="K35" s="132" t="str">
        <f t="shared" si="18"/>
        <v>4013/4014</v>
      </c>
      <c r="L35" s="24" t="str">
        <f>VLOOKUP(A35,'Trips&amp;Operators'!$C$1:$E$10000,3,FALSE)</f>
        <v>ACKERMAN</v>
      </c>
      <c r="M35" s="6">
        <f t="shared" si="19"/>
        <v>2.0590277774317656E-2</v>
      </c>
      <c r="N35" s="7"/>
      <c r="O35" s="7"/>
      <c r="P35" s="7"/>
      <c r="Q35" s="25"/>
      <c r="R35" s="25"/>
      <c r="S35" s="37"/>
      <c r="T35" s="52" t="str">
        <f t="shared" si="20"/>
        <v>NorthBound</v>
      </c>
      <c r="U35" s="12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9</v>
      </c>
      <c r="V35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04:58:52-0600',mode:absolute,to:'2016-08-27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35" s="54" t="str">
        <f t="shared" si="22"/>
        <v>Y</v>
      </c>
      <c r="X35" s="120">
        <f>VALUE(LEFT(AD35,4))-VALUE(LEFT(AD34,4))</f>
        <v>0</v>
      </c>
      <c r="Y35" s="69">
        <f t="shared" si="23"/>
        <v>7.8299999999999995E-2</v>
      </c>
      <c r="Z35" s="69">
        <f t="shared" si="24"/>
        <v>6.3550000000000004</v>
      </c>
      <c r="AA35" s="69">
        <f t="shared" si="25"/>
        <v>6.2767000000000008</v>
      </c>
      <c r="AB35" s="66" t="e">
        <f>VLOOKUP(A35,Enforcements!$C$7:$J$21,8,0)</f>
        <v>#N/A</v>
      </c>
      <c r="AC35" s="62" t="e">
        <f>VLOOKUP(A35,Enforcements!$C$7:$E$21,3,0)</f>
        <v>#N/A</v>
      </c>
      <c r="AD35" s="63" t="str">
        <f t="shared" si="26"/>
        <v>0119-27</v>
      </c>
      <c r="AE35" s="99" t="str">
        <f t="shared" si="0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35" s="96" t="str">
        <f t="shared" si="1"/>
        <v>"C:\Program Files (x86)\AstroGrep\AstroGrep.exe" /spath="%USERPROFILE%\AppData\Local\Temp\OnboardLogs" /stypes="*4014*20160827*" /stext=" 12:.+((SYSTEM_STATE.+slice.+state.+changed )|(ment ac)|(system.+state.+changed )|(\|lc)|(penalty)|(\[timeout)|(PRM\|1\|D)|(kpr)|(kdp))" /e /r /s</v>
      </c>
      <c r="AG35" s="1" t="str">
        <f t="shared" si="27"/>
        <v>EC</v>
      </c>
      <c r="AH35" s="100" t="str">
        <f t="shared" si="2"/>
        <v>"%USERPROFILE%\Documents\GitHub\eaglep3\Utilities\RefineRTDCRunTimes.py" --tripid 119-27 --locoid 4014 --swversion DE.1.0.7.0 --startMP 204:783 --initTime 2016-08-27T05:58:52 --startdatetime 2016-08-27T06:21:29 --delay 1 --endMP 204:63550 --enddatetime 2016-08-27T06:51:08 --enforcementcount 0 &gt;&gt;C:\Users\stu\Documents\GitHub\eaglep3-reporting\EC\2016-08-27-refined-times.txt</v>
      </c>
      <c r="AI35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{"issue":{"subject":"","project_id":79,"tracker_id":40,"status_id":1,"priority_id":2,"assigned_to_id":23,"start_date":"2016-08-27","description":"","custom_fields":[{"id":1,"name":"Subdivision","value":"EC"},{"id":4,"name":"Milepost","value":"6.2767"},{"id":17,"name":"Train ID","value":"119-27"},{"id":16,"name":"Locomotive ID","value":"4014"},{"id":130,"name":"Impact","value":""},{"id":150,"name":"Time of Event (Mountain Time)","value":"06:51:08"},{"id":151,"name":"Denver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425</v>
      </c>
      <c r="B36" s="7">
        <v>4013</v>
      </c>
      <c r="C36" s="24" t="s">
        <v>113</v>
      </c>
      <c r="D36" s="24" t="s">
        <v>134</v>
      </c>
      <c r="E36" s="15">
        <v>42609.294710648152</v>
      </c>
      <c r="F36" s="15">
        <v>42609.296886574077</v>
      </c>
      <c r="G36" s="7">
        <v>1</v>
      </c>
      <c r="H36" s="15" t="s">
        <v>426</v>
      </c>
      <c r="I36" s="15">
        <v>42609.339641203704</v>
      </c>
      <c r="J36" s="7">
        <v>0</v>
      </c>
      <c r="K36" s="132" t="str">
        <f t="shared" si="18"/>
        <v>4013/4014</v>
      </c>
      <c r="L36" s="24" t="str">
        <f>VLOOKUP(A36,'Trips&amp;Operators'!$C$1:$E$10000,3,FALSE)</f>
        <v>ACKERMAN</v>
      </c>
      <c r="M36" s="6">
        <f t="shared" si="19"/>
        <v>4.2754629626870155E-2</v>
      </c>
      <c r="N36" s="7">
        <f>24*60*SUM($M36:$M36)</f>
        <v>61.566666662693024</v>
      </c>
      <c r="O36" s="7"/>
      <c r="P36" s="7"/>
      <c r="Q36" s="25"/>
      <c r="R36" s="25"/>
      <c r="S36" s="37">
        <f t="shared" ref="S36:S42" si="32">SUM(U36:U36)/IF(AG36="EC",12,1)</f>
        <v>1</v>
      </c>
      <c r="T36" s="52" t="str">
        <f t="shared" si="20"/>
        <v>Southbound</v>
      </c>
      <c r="U36" s="12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06:04:23-0600',mode:absolute,to:'2016-08-27 09:09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36" s="54" t="str">
        <f t="shared" si="22"/>
        <v>N</v>
      </c>
      <c r="X36" s="120">
        <f>VALUE(LEFT(AD36,4))-VALUE(LEFT(AD35,4))</f>
        <v>1</v>
      </c>
      <c r="Y36" s="69">
        <f t="shared" si="23"/>
        <v>23.299399999999999</v>
      </c>
      <c r="Z36" s="69">
        <f t="shared" si="24"/>
        <v>3.3300000000000003E-2</v>
      </c>
      <c r="AA36" s="69">
        <f t="shared" si="25"/>
        <v>23.266099999999998</v>
      </c>
      <c r="AB36" s="66" t="e">
        <f>VLOOKUP(A36,Enforcements!$C$7:$J$21,8,0)</f>
        <v>#N/A</v>
      </c>
      <c r="AC36" s="62" t="e">
        <f>VLOOKUP(A36,Enforcements!$C$7:$E$21,3,0)</f>
        <v>#N/A</v>
      </c>
      <c r="AD36" s="63" t="str">
        <f t="shared" si="26"/>
        <v>0120-27</v>
      </c>
      <c r="AE36" s="99" t="str">
        <f t="shared" si="0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36" s="96" t="str">
        <f t="shared" si="1"/>
        <v>"C:\Program Files (x86)\AstroGrep\AstroGrep.exe" /spath="%USERPROFILE%\AppData\Local\Temp\OnboardLogs" /stypes="*4013*20160827*" /stext=" 14:.+((SYSTEM_STATE.+slice.+state.+changed )|(ment ac)|(system.+state.+changed )|(\|lc)|(penalty)|(\[timeout)|(PRM\|1\|D)|(kpr)|(kdp))" /e /r /s</v>
      </c>
      <c r="AG36" s="1" t="str">
        <f t="shared" si="27"/>
        <v>EC</v>
      </c>
      <c r="AH36" s="100" t="str">
        <f t="shared" si="2"/>
        <v>"%USERPROFILE%\Documents\GitHub\eaglep3\Utilities\RefineRTDCRunTimes.py" --tripid 120-27 --locoid 4013 --swversion DE.1.0.7.0 --startMP 204:232994 --initTime 2016-08-27T07:04:23 --startdatetime 2016-08-27T07:07:31 --delay 1 --endMP 204:333 --enddatetime 2016-08-27T08:09:05 --enforcementcount 0 &gt;&gt;C:\Users\stu\Documents\GitHub\eaglep3-reporting\EC\2016-08-27-refined-times.txt</v>
      </c>
      <c r="AI36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{"issue":{"subject":"","project_id":79,"tracker_id":40,"status_id":1,"priority_id":2,"assigned_to_id":23,"start_date":"2016-08-27","description":"","custom_fields":[{"id":1,"name":"Subdivision","value":"EC"},{"id":4,"name":"Milepost","value":"23.2661"},{"id":17,"name":"Train ID","value":"120-27"},{"id":16,"name":"Locomotive ID","value":"4013"},{"id":130,"name":"Impact","value":""},{"id":150,"name":"Time of Event (Mountain Time)","value":"08:09:05"},{"id":151,"name":"Denver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427</v>
      </c>
      <c r="B37" s="7">
        <v>4025</v>
      </c>
      <c r="C37" s="24" t="s">
        <v>113</v>
      </c>
      <c r="D37" s="24" t="s">
        <v>335</v>
      </c>
      <c r="E37" s="15">
        <v>42609.25613425926</v>
      </c>
      <c r="F37" s="15">
        <v>42609.375497685185</v>
      </c>
      <c r="G37" s="7">
        <v>1</v>
      </c>
      <c r="H37" s="15" t="s">
        <v>428</v>
      </c>
      <c r="I37" s="15">
        <v>42609.400196759256</v>
      </c>
      <c r="J37" s="7">
        <v>0</v>
      </c>
      <c r="K37" s="132" t="str">
        <f t="shared" si="18"/>
        <v>4025/4026</v>
      </c>
      <c r="L37" s="24" t="str">
        <f>VLOOKUP(A37,'Trips&amp;Operators'!$C$1:$E$10000,3,FALSE)</f>
        <v>DAVIS</v>
      </c>
      <c r="M37" s="6">
        <f t="shared" si="19"/>
        <v>2.4699074070667848E-2</v>
      </c>
      <c r="N37" s="7"/>
      <c r="O37" s="7"/>
      <c r="P37" s="7">
        <f>24*60*SUM($M37:$M37)</f>
        <v>35.566666661761701</v>
      </c>
      <c r="Q37" s="25"/>
      <c r="R37" s="25" t="s">
        <v>699</v>
      </c>
      <c r="S37" s="37">
        <f t="shared" si="32"/>
        <v>0.58333333333333337</v>
      </c>
      <c r="T37" s="52" t="str">
        <f t="shared" si="20"/>
        <v>NorthBound</v>
      </c>
      <c r="U37" s="12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7</v>
      </c>
      <c r="V37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05:08:50-0600',mode:absolute,to:'2016-08-27 10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37" s="54" t="str">
        <f t="shared" si="22"/>
        <v>Y</v>
      </c>
      <c r="X37" s="120">
        <f t="shared" ref="X37:X40" si="33">VALUE(LEFT(AD37,4))-VALUE(LEFT(AD36,4))</f>
        <v>1</v>
      </c>
      <c r="Y37" s="69">
        <f t="shared" si="23"/>
        <v>4.58E-2</v>
      </c>
      <c r="Z37" s="69">
        <f t="shared" si="24"/>
        <v>5.8752000000000004</v>
      </c>
      <c r="AA37" s="69">
        <f t="shared" si="25"/>
        <v>5.8294000000000006</v>
      </c>
      <c r="AB37" s="66">
        <f>VLOOKUP(A37,Enforcements!$C$7:$J$21,8,0)</f>
        <v>58783</v>
      </c>
      <c r="AC37" s="62" t="str">
        <f>VLOOKUP(A37,Enforcements!$C$7:$E$21,3,0)</f>
        <v>GRADE CROSSING</v>
      </c>
      <c r="AD37" s="63" t="str">
        <f t="shared" si="26"/>
        <v>0121-27</v>
      </c>
      <c r="AE37" s="99" t="str">
        <f t="shared" si="0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37" s="96" t="str">
        <f t="shared" si="1"/>
        <v>"C:\Program Files (x86)\AstroGrep\AstroGrep.exe" /spath="%USERPROFILE%\AppData\Local\Temp\OnboardLogs" /stypes="*4025*20160827*" /stext=" 15:.+((SYSTEM_STATE.+slice.+state.+changed )|(ment ac)|(system.+state.+changed )|(\|lc)|(penalty)|(\[timeout)|(PRM\|1\|D)|(kpr)|(kdp))" /e /r /s</v>
      </c>
      <c r="AG37" s="1" t="str">
        <f t="shared" si="27"/>
        <v>EC</v>
      </c>
      <c r="AH37" s="100" t="str">
        <f t="shared" si="2"/>
        <v>"%USERPROFILE%\Documents\GitHub\eaglep3\Utilities\RefineRTDCRunTimes.py" --tripid 121-27 --locoid 4025 --swversion DE.1.0.7.0 --startMP 204:458 --initTime 2016-08-27T06:08:50 --startdatetime 2016-08-27T09:00:43 --delay 1 --endMP 204:58752 --enddatetime 2016-08-27T09:36:17 --enforcementcount 0 &gt;&gt;C:\Users\stu\Documents\GitHub\eaglep3-reporting\EC\2016-08-27-refined-times.txt</v>
      </c>
      <c r="AI37" s="149" t="str">
        <f t="shared" si="3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failure","project_id":79,"tracker_id":40,"status_id":1,"priority_id":2,"assigned_to_id":23,"start_date":"2016-08-27","description":"","custom_fields":[{"id":1,"name":"Subdivision","value":"EC"},{"id":4,"name":"Milepost","value":"5.8294"},{"id":17,"name":"Train ID","value":"121-27"},{"id":16,"name":"Locomotive ID","value":"4025"},{"id":130,"name":"Impact","value":""},{"id":150,"name":"Time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429</v>
      </c>
      <c r="B38" s="7">
        <v>4026</v>
      </c>
      <c r="C38" s="24" t="s">
        <v>113</v>
      </c>
      <c r="D38" s="24" t="s">
        <v>344</v>
      </c>
      <c r="E38" s="15">
        <v>42609.323738425926</v>
      </c>
      <c r="F38" s="15">
        <v>42609.325891203705</v>
      </c>
      <c r="G38" s="7">
        <v>1</v>
      </c>
      <c r="H38" s="15" t="s">
        <v>136</v>
      </c>
      <c r="I38" s="15">
        <v>42609.362997685188</v>
      </c>
      <c r="J38" s="7">
        <v>0</v>
      </c>
      <c r="K38" s="132" t="str">
        <f t="shared" si="18"/>
        <v>4025/4026</v>
      </c>
      <c r="L38" s="24" t="str">
        <f>VLOOKUP(A38,'Trips&amp;Operators'!$C$1:$E$10000,3,FALSE)</f>
        <v>DAVIS</v>
      </c>
      <c r="M38" s="6">
        <f t="shared" si="19"/>
        <v>3.7106481482624076E-2</v>
      </c>
      <c r="N38" s="7">
        <f>24*60*SUM($M38:$M38)</f>
        <v>53.43333333497867</v>
      </c>
      <c r="O38" s="7"/>
      <c r="P38" s="7"/>
      <c r="Q38" s="25"/>
      <c r="R38" s="25"/>
      <c r="S38" s="37">
        <f t="shared" si="32"/>
        <v>1</v>
      </c>
      <c r="T38" s="52" t="str">
        <f t="shared" si="20"/>
        <v>Southbound</v>
      </c>
      <c r="U38" s="12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06:46:11-0600',mode:absolute,to:'2016-08-27 09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38" s="54" t="str">
        <f t="shared" si="22"/>
        <v>N</v>
      </c>
      <c r="X38" s="120">
        <f t="shared" si="33"/>
        <v>1</v>
      </c>
      <c r="Y38" s="69">
        <f t="shared" si="23"/>
        <v>23.2988</v>
      </c>
      <c r="Z38" s="69">
        <f t="shared" si="24"/>
        <v>1.49E-2</v>
      </c>
      <c r="AA38" s="69">
        <f t="shared" si="25"/>
        <v>23.283899999999999</v>
      </c>
      <c r="AB38" s="66" t="e">
        <f>VLOOKUP(A38,Enforcements!$C$7:$J$21,8,0)</f>
        <v>#N/A</v>
      </c>
      <c r="AC38" s="62" t="e">
        <f>VLOOKUP(A38,Enforcements!$C$7:$E$21,3,0)</f>
        <v>#N/A</v>
      </c>
      <c r="AD38" s="63" t="str">
        <f t="shared" si="26"/>
        <v>0122-27</v>
      </c>
      <c r="AE38" s="99" t="str">
        <f t="shared" si="0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38" s="96" t="str">
        <f t="shared" si="1"/>
        <v>"C:\Program Files (x86)\AstroGrep\AstroGrep.exe" /spath="%USERPROFILE%\AppData\Local\Temp\OnboardLogs" /stypes="*4026*20160827*" /stext=" 14:.+((SYSTEM_STATE.+slice.+state.+changed )|(ment ac)|(system.+state.+changed )|(\|lc)|(penalty)|(\[timeout)|(PRM\|1\|D)|(kpr)|(kdp))" /e /r /s</v>
      </c>
      <c r="AG38" s="1" t="str">
        <f t="shared" si="27"/>
        <v>EC</v>
      </c>
      <c r="AH38" s="100" t="str">
        <f t="shared" si="2"/>
        <v>"%USERPROFILE%\Documents\GitHub\eaglep3\Utilities\RefineRTDCRunTimes.py" --tripid 122-27 --locoid 4026 --swversion DE.1.0.7.0 --startMP 204:232988 --initTime 2016-08-27T07:46:11 --startdatetime 2016-08-27T07:49:17 --delay 1 --endMP 204:149 --enddatetime 2016-08-27T08:42:43 --enforcementcount 0 &gt;&gt;C:\Users\stu\Documents\GitHub\eaglep3-reporting\EC\2016-08-27-refined-times.txt</v>
      </c>
      <c r="AI38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{"issue":{"subject":"","project_id":79,"tracker_id":40,"status_id":1,"priority_id":2,"assigned_to_id":23,"start_date":"2016-08-27","description":"","custom_fields":[{"id":1,"name":"Subdivision","value":"EC"},{"id":4,"name":"Milepost","value":"23.2839"},{"id":17,"name":"Train ID","value":"122-27"},{"id":16,"name":"Locomotive ID","value":"4026"},{"id":130,"name":"Impact","value":""},{"id":150,"name":"Time of Event (Mountain Time)","value":"08:42:43"},{"id":151,"name":"Denver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430</v>
      </c>
      <c r="B39" s="7">
        <v>4009</v>
      </c>
      <c r="C39" s="24" t="s">
        <v>113</v>
      </c>
      <c r="D39" s="24" t="s">
        <v>109</v>
      </c>
      <c r="E39" s="15">
        <v>42609.269143518519</v>
      </c>
      <c r="F39" s="15">
        <v>42609.27239583333</v>
      </c>
      <c r="G39" s="7">
        <v>1</v>
      </c>
      <c r="H39" s="15" t="s">
        <v>149</v>
      </c>
      <c r="I39" s="15">
        <v>42609.329560185186</v>
      </c>
      <c r="J39" s="7">
        <v>0</v>
      </c>
      <c r="K39" s="132" t="str">
        <f t="shared" si="18"/>
        <v>4009/4010</v>
      </c>
      <c r="L39" s="24" t="str">
        <f>VLOOKUP(A39,'Trips&amp;Operators'!$C$1:$E$10000,3,FALSE)</f>
        <v>KILLION</v>
      </c>
      <c r="M39" s="6">
        <f t="shared" si="19"/>
        <v>5.7164351856044959E-2</v>
      </c>
      <c r="N39" s="7">
        <f>24*60*SUM($M39:$M39)</f>
        <v>82.316666672704741</v>
      </c>
      <c r="O39" s="7"/>
      <c r="P39" s="7"/>
      <c r="Q39" s="25"/>
      <c r="R39" s="25"/>
      <c r="S39" s="37">
        <f t="shared" si="32"/>
        <v>1</v>
      </c>
      <c r="T39" s="52" t="str">
        <f t="shared" si="20"/>
        <v>NorthBound</v>
      </c>
      <c r="U39" s="12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05:27:34-0600',mode:absolute,to:'2016-08-27 08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39" s="54" t="str">
        <f t="shared" si="22"/>
        <v>N</v>
      </c>
      <c r="X39" s="120">
        <f t="shared" si="33"/>
        <v>1</v>
      </c>
      <c r="Y39" s="69">
        <f t="shared" si="23"/>
        <v>4.6199999999999998E-2</v>
      </c>
      <c r="Z39" s="69">
        <f t="shared" si="24"/>
        <v>23.33</v>
      </c>
      <c r="AA39" s="69">
        <f t="shared" si="25"/>
        <v>23.283799999999999</v>
      </c>
      <c r="AB39" s="66" t="e">
        <f>VLOOKUP(A39,Enforcements!$C$7:$J$21,8,0)</f>
        <v>#N/A</v>
      </c>
      <c r="AC39" s="62" t="e">
        <f>VLOOKUP(A39,Enforcements!$C$7:$E$21,3,0)</f>
        <v>#N/A</v>
      </c>
      <c r="AD39" s="63" t="str">
        <f t="shared" si="26"/>
        <v>0123-27</v>
      </c>
      <c r="AE39" s="99" t="str">
        <f t="shared" si="0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39" s="96" t="str">
        <f t="shared" si="1"/>
        <v>"C:\Program Files (x86)\AstroGrep\AstroGrep.exe" /spath="%USERPROFILE%\AppData\Local\Temp\OnboardLogs" /stypes="*4009*20160827*" /stext=" 13:.+((SYSTEM_STATE.+slice.+state.+changed )|(ment ac)|(system.+state.+changed )|(\|lc)|(penalty)|(\[timeout)|(PRM\|1\|D)|(kpr)|(kdp))" /e /r /s</v>
      </c>
      <c r="AG39" s="1" t="str">
        <f t="shared" si="27"/>
        <v>EC</v>
      </c>
      <c r="AH39" s="100" t="str">
        <f t="shared" si="2"/>
        <v>"%USERPROFILE%\Documents\GitHub\eaglep3\Utilities\RefineRTDCRunTimes.py" --tripid 123-27 --locoid 4009 --swversion DE.1.0.7.0 --startMP 204:462 --initTime 2016-08-27T06:27:34 --startdatetime 2016-08-27T06:32:15 --delay 1 --endMP 204:233300 --enddatetime 2016-08-27T07:54:34 --enforcementcount 0 &gt;&gt;C:\Users\stu\Documents\GitHub\eaglep3-reporting\EC\2016-08-27-refined-times.txt</v>
      </c>
      <c r="AI39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{"issue":{"subject":"","project_id":79,"tracker_id":40,"status_id":1,"priority_id":2,"assigned_to_id":23,"start_date":"2016-08-27","description":"","custom_fields":[{"id":1,"name":"Subdivision","value":"EC"},{"id":4,"name":"Milepost","value":"23.2838"},{"id":17,"name":"Train ID","value":"123-27"},{"id":16,"name":"Locomotive ID","value":"4009"},{"id":130,"name":"Impact","value":""},{"id":150,"name":"Time of Event (Mountain Time)","value":"07:54:34"},{"id":151,"name":"Denver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431</v>
      </c>
      <c r="B40" s="7">
        <v>4010</v>
      </c>
      <c r="C40" s="24" t="s">
        <v>113</v>
      </c>
      <c r="D40" s="24" t="s">
        <v>432</v>
      </c>
      <c r="E40" s="15">
        <v>42609.338958333334</v>
      </c>
      <c r="F40" s="15">
        <v>42609.340694444443</v>
      </c>
      <c r="G40" s="7">
        <v>1</v>
      </c>
      <c r="H40" s="15" t="s">
        <v>153</v>
      </c>
      <c r="I40" s="15">
        <v>42609.377453703702</v>
      </c>
      <c r="J40" s="7">
        <v>0</v>
      </c>
      <c r="K40" s="132" t="str">
        <f t="shared" si="18"/>
        <v>4009/4010</v>
      </c>
      <c r="L40" s="24" t="str">
        <f>VLOOKUP(A40,'Trips&amp;Operators'!$C$1:$E$10000,3,FALSE)</f>
        <v>KILLION</v>
      </c>
      <c r="M40" s="6">
        <f t="shared" si="19"/>
        <v>3.6759259259270038E-2</v>
      </c>
      <c r="N40" s="7">
        <f>24*60*SUM($M40:$M40)</f>
        <v>52.933333333348855</v>
      </c>
      <c r="O40" s="7"/>
      <c r="P40" s="7"/>
      <c r="Q40" s="25"/>
      <c r="R40" s="25"/>
      <c r="S40" s="37">
        <f t="shared" si="32"/>
        <v>1</v>
      </c>
      <c r="T40" s="52" t="str">
        <f t="shared" si="20"/>
        <v>Southbound</v>
      </c>
      <c r="U40" s="12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07:08:06-0600',mode:absolute,to:'2016-08-27 10:03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40" s="54" t="str">
        <f t="shared" si="22"/>
        <v>N</v>
      </c>
      <c r="X40" s="120">
        <f t="shared" si="33"/>
        <v>1</v>
      </c>
      <c r="Y40" s="69">
        <f t="shared" si="23"/>
        <v>23.298300000000001</v>
      </c>
      <c r="Z40" s="69">
        <f t="shared" si="24"/>
        <v>1.5599999999999999E-2</v>
      </c>
      <c r="AA40" s="69">
        <f t="shared" si="25"/>
        <v>23.282700000000002</v>
      </c>
      <c r="AB40" s="66" t="e">
        <f>VLOOKUP(A40,Enforcements!$C$7:$J$21,8,0)</f>
        <v>#N/A</v>
      </c>
      <c r="AC40" s="62" t="e">
        <f>VLOOKUP(A40,Enforcements!$C$7:$E$21,3,0)</f>
        <v>#N/A</v>
      </c>
      <c r="AD40" s="63" t="str">
        <f t="shared" si="26"/>
        <v>0124-27</v>
      </c>
      <c r="AE40" s="99" t="str">
        <f t="shared" si="0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40" s="96" t="str">
        <f t="shared" si="1"/>
        <v>"C:\Program Files (x86)\AstroGrep\AstroGrep.exe" /spath="%USERPROFILE%\AppData\Local\Temp\OnboardLogs" /stypes="*4010*20160827*" /stext=" 15:.+((SYSTEM_STATE.+slice.+state.+changed )|(ment ac)|(system.+state.+changed )|(\|lc)|(penalty)|(\[timeout)|(PRM\|1\|D)|(kpr)|(kdp))" /e /r /s</v>
      </c>
      <c r="AG40" s="1" t="str">
        <f t="shared" si="27"/>
        <v>EC</v>
      </c>
      <c r="AH40" s="100" t="str">
        <f t="shared" si="2"/>
        <v>"%USERPROFILE%\Documents\GitHub\eaglep3\Utilities\RefineRTDCRunTimes.py" --tripid 124-27 --locoid 4010 --swversion DE.1.0.7.0 --startMP 204:232983 --initTime 2016-08-27T08:08:06 --startdatetime 2016-08-27T08:10:36 --delay 1 --endMP 204:156 --enddatetime 2016-08-27T09:03:32 --enforcementcount 0 &gt;&gt;C:\Users\stu\Documents\GitHub\eaglep3-reporting\EC\2016-08-27-refined-times.txt</v>
      </c>
      <c r="AI40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{"issue":{"subject":"","project_id":79,"tracker_id":40,"status_id":1,"priority_id":2,"assigned_to_id":23,"start_date":"2016-08-27","description":"","custom_fields":[{"id":1,"name":"Subdivision","value":"EC"},{"id":4,"name":"Milepost","value":"23.2827"},{"id":17,"name":"Train ID","value":"124-27"},{"id":16,"name":"Locomotive ID","value":"4010"},{"id":130,"name":"Impact","value":""},{"id":150,"name":"Time of Event (Mountain Time)","value":"09:03:32"},{"id":151,"name":"Denver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433</v>
      </c>
      <c r="B41" s="7">
        <v>4020</v>
      </c>
      <c r="C41" s="24" t="s">
        <v>113</v>
      </c>
      <c r="D41" s="24" t="s">
        <v>184</v>
      </c>
      <c r="E41" s="15">
        <v>42609.305185185185</v>
      </c>
      <c r="F41" s="15">
        <v>42609.310729166667</v>
      </c>
      <c r="G41" s="7">
        <v>7</v>
      </c>
      <c r="H41" s="15" t="s">
        <v>279</v>
      </c>
      <c r="I41" s="15">
        <v>42609.342974537038</v>
      </c>
      <c r="J41" s="7">
        <v>0</v>
      </c>
      <c r="K41" s="132" t="str">
        <f t="shared" si="18"/>
        <v>4019/4020</v>
      </c>
      <c r="L41" s="24" t="str">
        <f>VLOOKUP(A41,'Trips&amp;Operators'!$C$1:$E$10000,3,FALSE)</f>
        <v>MAHAN</v>
      </c>
      <c r="M41" s="6">
        <f t="shared" si="19"/>
        <v>3.2245370370219462E-2</v>
      </c>
      <c r="N41" s="7">
        <f>24*60*SUM($M41:$M41)</f>
        <v>46.433333333116025</v>
      </c>
      <c r="O41" s="7"/>
      <c r="P41" s="7"/>
      <c r="Q41" s="25"/>
      <c r="R41" s="25"/>
      <c r="S41" s="37">
        <f t="shared" si="32"/>
        <v>1</v>
      </c>
      <c r="T41" s="52" t="str">
        <f t="shared" si="20"/>
        <v>NorthBound</v>
      </c>
      <c r="U41" s="12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06:19:28-0600',mode:absolute,to:'2016-08-27 09:13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41" s="54" t="str">
        <f t="shared" si="22"/>
        <v>N</v>
      </c>
      <c r="X41" s="120">
        <f t="shared" ref="X41:X54" si="34">VALUE(LEFT(AD41,4))-VALUE(LEFT(AD40,4))</f>
        <v>1</v>
      </c>
      <c r="Y41" s="69">
        <f t="shared" si="23"/>
        <v>4.4699999999999997E-2</v>
      </c>
      <c r="Z41" s="69">
        <f t="shared" si="24"/>
        <v>23.330100000000002</v>
      </c>
      <c r="AA41" s="69">
        <f t="shared" si="25"/>
        <v>23.285400000000003</v>
      </c>
      <c r="AB41" s="66" t="e">
        <f>VLOOKUP(A41,Enforcements!$C$7:$J$21,8,0)</f>
        <v>#N/A</v>
      </c>
      <c r="AC41" s="62" t="e">
        <f>VLOOKUP(A41,Enforcements!$C$7:$E$21,3,0)</f>
        <v>#N/A</v>
      </c>
      <c r="AD41" s="63" t="str">
        <f t="shared" si="26"/>
        <v>0125-27</v>
      </c>
      <c r="AE41" s="99" t="str">
        <f t="shared" si="0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41" s="96" t="str">
        <f t="shared" si="1"/>
        <v>"C:\Program Files (x86)\AstroGrep\AstroGrep.exe" /spath="%USERPROFILE%\AppData\Local\Temp\OnboardLogs" /stypes="*4020*20160827*" /stext=" 14:.+((SYSTEM_STATE.+slice.+state.+changed )|(ment ac)|(system.+state.+changed )|(\|lc)|(penalty)|(\[timeout)|(PRM\|1\|D)|(kpr)|(kdp))" /e /r /s</v>
      </c>
      <c r="AG41" s="1" t="str">
        <f t="shared" si="27"/>
        <v>EC</v>
      </c>
      <c r="AH41" s="100" t="str">
        <f t="shared" si="2"/>
        <v>"%USERPROFILE%\Documents\GitHub\eaglep3\Utilities\RefineRTDCRunTimes.py" --tripid 125-27 --locoid 4020 --swversion DE.1.0.7.0 --startMP 204:447 --initTime 2016-08-27T07:19:28 --startdatetime 2016-08-27T07:27:27 --delay 7 --endMP 204:233301 --enddatetime 2016-08-27T08:13:53 --enforcementcount 0 &gt;&gt;C:\Users\stu\Documents\GitHub\eaglep3-reporting\EC\2016-08-27-refined-times.txt</v>
      </c>
      <c r="AI41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{"issue":{"subject":"","project_id":79,"tracker_id":40,"status_id":1,"priority_id":2,"assigned_to_id":23,"start_date":"2016-08-27","description":"","custom_fields":[{"id":1,"name":"Subdivision","value":"EC"},{"id":4,"name":"Milepost","value":"23.2854"},{"id":17,"name":"Train ID","value":"125-27"},{"id":16,"name":"Locomotive ID","value":"4020"},{"id":130,"name":"Impact","value":""},{"id":150,"name":"Time of Event (Mountain Time)","value":"08:13:53"},{"id":151,"name":"Denver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434</v>
      </c>
      <c r="B42" s="7">
        <v>4019</v>
      </c>
      <c r="C42" s="24" t="s">
        <v>113</v>
      </c>
      <c r="D42" s="24" t="s">
        <v>412</v>
      </c>
      <c r="E42" s="15">
        <v>42609.345937500002</v>
      </c>
      <c r="F42" s="15">
        <v>42609.356180555558</v>
      </c>
      <c r="G42" s="7">
        <v>1</v>
      </c>
      <c r="H42" s="15" t="s">
        <v>172</v>
      </c>
      <c r="I42" s="15">
        <v>42609.392395833333</v>
      </c>
      <c r="J42" s="7">
        <v>0</v>
      </c>
      <c r="K42" s="132" t="str">
        <f t="shared" si="18"/>
        <v>4019/4020</v>
      </c>
      <c r="L42" s="24" t="str">
        <f>VLOOKUP(A42,'Trips&amp;Operators'!$C$1:$E$10000,3,FALSE)</f>
        <v>MAHAN</v>
      </c>
      <c r="M42" s="6">
        <f t="shared" si="19"/>
        <v>3.6215277774317656E-2</v>
      </c>
      <c r="N42" s="7">
        <f>24*60*SUM($M42:$M42)</f>
        <v>52.149999995017424</v>
      </c>
      <c r="O42" s="7"/>
      <c r="P42" s="7"/>
      <c r="Q42" s="25"/>
      <c r="R42" s="25"/>
      <c r="S42" s="37">
        <f t="shared" si="32"/>
        <v>1</v>
      </c>
      <c r="T42" s="52" t="str">
        <f t="shared" si="20"/>
        <v>Southbound</v>
      </c>
      <c r="U42" s="12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6" t="str">
        <f t="shared" si="21"/>
        <v>https://search-rtdc-monitor-bjffxe2xuh6vdkpspy63sjmuny.us-east-1.es.amazonaws.com/_plugin/kibana/#/discover/Steve-Slow-Train-Analysis-(2080s-and-2083s)?_g=(refreshInterval:(display:Off,section:0,value:0),time:(from:'2016-08-27 07:18:09-0600',mode:absolute,to:'2016-08-27 10:25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42" s="54" t="str">
        <f t="shared" si="22"/>
        <v>N</v>
      </c>
      <c r="X42" s="120">
        <f t="shared" si="34"/>
        <v>1</v>
      </c>
      <c r="Y42" s="69">
        <f t="shared" si="23"/>
        <v>23.2973</v>
      </c>
      <c r="Z42" s="69">
        <f t="shared" si="24"/>
        <v>1.52E-2</v>
      </c>
      <c r="AA42" s="69">
        <f t="shared" si="25"/>
        <v>23.2821</v>
      </c>
      <c r="AB42" s="66" t="e">
        <f>VLOOKUP(A42,Enforcements!$C$7:$J$21,8,0)</f>
        <v>#N/A</v>
      </c>
      <c r="AC42" s="62" t="e">
        <f>VLOOKUP(A42,Enforcements!$C$7:$E$21,3,0)</f>
        <v>#N/A</v>
      </c>
      <c r="AD42" s="63" t="str">
        <f t="shared" si="26"/>
        <v>0126-27</v>
      </c>
      <c r="AE42" s="99" t="str">
        <f t="shared" si="0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42" s="96" t="str">
        <f t="shared" si="1"/>
        <v>"C:\Program Files (x86)\AstroGrep\AstroGrep.exe" /spath="%USERPROFILE%\AppData\Local\Temp\OnboardLogs" /stypes="*4019*20160827*" /stext=" 15:.+((SYSTEM_STATE.+slice.+state.+changed )|(ment ac)|(system.+state.+changed )|(\|lc)|(penalty)|(\[timeout)|(PRM\|1\|D)|(kpr)|(kdp))" /e /r /s</v>
      </c>
      <c r="AG42" s="1" t="str">
        <f t="shared" si="27"/>
        <v>EC</v>
      </c>
      <c r="AH42" s="100" t="str">
        <f t="shared" si="2"/>
        <v>"%USERPROFILE%\Documents\GitHub\eaglep3\Utilities\RefineRTDCRunTimes.py" --tripid 126-27 --locoid 4019 --swversion DE.1.0.7.0 --startMP 204:232973 --initTime 2016-08-27T08:18:09 --startdatetime 2016-08-27T08:32:54 --delay 1 --endMP 204:152 --enddatetime 2016-08-27T09:25:03 --enforcementcount 0 &gt;&gt;C:\Users\stu\Documents\GitHub\eaglep3-reporting\EC\2016-08-27-refined-times.txt</v>
      </c>
      <c r="AI42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{"issue":{"subject":"","project_id":79,"tracker_id":40,"status_id":1,"priority_id":2,"assigned_to_id":23,"start_date":"2016-08-27","description":"","custom_fields":[{"id":1,"name":"Subdivision","value":"EC"},{"id":4,"name":"Milepost","value":"23.2821"},{"id":17,"name":"Train ID","value":"126-27"},{"id":16,"name":"Locomotive ID","value":"4019"},{"id":130,"name":"Impact","value":""},{"id":150,"name":"Time of Event (Mountain Time)","value":"09:25:03"},{"id":151,"name":"Denver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693</v>
      </c>
      <c r="B43" s="7"/>
      <c r="C43" s="24" t="s">
        <v>113</v>
      </c>
      <c r="D43" s="24" t="s">
        <v>412</v>
      </c>
      <c r="E43" s="15">
        <v>42609.345937500002</v>
      </c>
      <c r="F43" s="15"/>
      <c r="G43" s="7"/>
      <c r="H43" s="15"/>
      <c r="I43" s="15"/>
      <c r="J43" s="7"/>
      <c r="K43" s="132" t="str">
        <f t="shared" ref="K43:K48" si="35">IF(ISEVEN(B43),(B43-1)&amp;"/"&amp;B43,B43&amp;"/"&amp;(B43+1))</f>
        <v>-1/</v>
      </c>
      <c r="L43" s="24" t="e">
        <f>VLOOKUP(A43,'Trips&amp;Operators'!$C$1:$E$10000,3,FALSE)</f>
        <v>#N/A</v>
      </c>
      <c r="M43" s="6">
        <f t="shared" ref="M43:M48" si="36">I43-F43</f>
        <v>0</v>
      </c>
      <c r="N43" s="7"/>
      <c r="O43" s="7"/>
      <c r="P43" s="7">
        <v>1</v>
      </c>
      <c r="Q43" s="25"/>
      <c r="R43" s="25" t="s">
        <v>295</v>
      </c>
      <c r="S43" s="37">
        <f t="shared" ref="S43:S48" si="37">SUM(U43:U43)/IF(AG43="EC",12,1)</f>
        <v>0</v>
      </c>
      <c r="T43" s="52" t="str">
        <f t="shared" ref="T43:T48" si="38">IF(ISEVEN(LEFT(AD43,4)),"Southbound","NorthBound")</f>
        <v>NorthBound</v>
      </c>
      <c r="U43" s="12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0</v>
      </c>
      <c r="V43" s="106" t="str">
        <f t="shared" ref="V43:V48" si="39"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3" s="54" t="e">
        <f t="shared" ref="W43:W48" si="40">IF(AA43&lt;IF(AG43="EC",23,5.65),"Y","N")</f>
        <v>#VALUE!</v>
      </c>
      <c r="X43" s="120">
        <f t="shared" si="34"/>
        <v>1</v>
      </c>
      <c r="Y43" s="69">
        <f t="shared" ref="Y43:Y48" si="41">RIGHT(D43,LEN(D43)-4)/10000</f>
        <v>23.2973</v>
      </c>
      <c r="Z43" s="69" t="e">
        <f t="shared" ref="Z43:Z48" si="42">RIGHT(H43,LEN(H43)-4)/10000</f>
        <v>#VALUE!</v>
      </c>
      <c r="AA43" s="69" t="e">
        <f t="shared" ref="AA43:AA48" si="43">ABS(Z43-Y43)</f>
        <v>#VALUE!</v>
      </c>
      <c r="AB43" s="66" t="e">
        <f>VLOOKUP(A43,Enforcements!$C$7:$J$21,8,0)</f>
        <v>#N/A</v>
      </c>
      <c r="AC43" s="62" t="e">
        <f>VLOOKUP(A43,Enforcements!$C$7:$E$21,3,0)</f>
        <v>#N/A</v>
      </c>
      <c r="AD43" s="63" t="str">
        <f t="shared" ref="AD43:AD48" si="44">IF(LEN(A43)=6,"0"&amp;A43,A43)</f>
        <v>0127-27</v>
      </c>
      <c r="AE43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3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3" s="1" t="str">
        <f t="shared" ref="AG43:AG48" si="45">IFERROR(IF(VALUE(LEFT(AD43,2))&lt;=2,"EC",IF(OR(VALUE(LEFT(AD43,2))=8,VALUE(LEFT(AD43,2))=18),"NW","Other")),"Other")</f>
        <v>EC</v>
      </c>
      <c r="AH43" s="100" t="str">
        <f t="shared" ref="AH43:AH48" si="46">refinertdcruntimes&amp;" --tripid "&amp;A43&amp;" --locoid "&amp;B43&amp;" --swversion "&amp;C43&amp;" --startMP "&amp;D43&amp;" --initTime "&amp;TEXT(E43,"yyyy-mm-ddTHH:MM:SS")&amp;" --startdatetime "&amp;TEXT(F43,"yyyy-mm-ddTHH:MM:SS")&amp;" --delay "&amp;G43&amp;" --endMP "&amp;H43&amp;" --enddatetime "&amp;TEXT(I43,"yyyy-mm-ddTHH:MM:SS")&amp;" --enforcementcount "&amp;J43&amp;IF(outputrefinedruntimes," &gt;&gt;"&amp;RefinedRTDCRunTimesOutputFile,"")</f>
        <v>"%USERPROFILE%\Documents\GitHub\eaglep3\Utilities\RefineRTDCRunTimes.py" --tripid 127-27 --locoid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3" s="149" t="e">
        <f t="shared" ref="AI43:AI48" si="47">"echo {""issue"":{""subject"":"""&amp;R43&amp;""",""project_id"":79,""tracker_id"":40,""status_id"":"&amp;redmine_status&amp;",""priority_id"":"&amp;redmine_priority&amp;",""assigned_to_id"":"&amp;redmine_assignee&amp;",""start_date"":"""&amp;TEXT(I43,"YYYY-mm-dd")&amp;""",""description"":"""&amp;AJ43&amp;""",""custom_fields"":[{""id"":1,""name"":""Subdivision"",""value"":"""&amp;AG43&amp;"""},{""id"":4,""name"":""Milepost"",""value"":"""&amp;AA43&amp;"""},{""id"":17,""name"":""Train ID"",""value"":"""&amp;A43&amp;"""},{""id"":16,""name"":""Locomotive ID"",""value"":"""&amp;B43&amp;"""},{""id"":130,""name"":""Impact"",""value"":"""&amp;AK43&amp;"""},{""id"":150,""name"":""Time of Event (Mountain Time)"",""value"":"""&amp;TEXT(I43,"hh:mm:ss")&amp;"""},{""id"":151,""name"":""Denver Issue ID"",""value"":"""&amp;"""},{""id"":178,""name"":""Operational Impact"",""value"":"""&amp;redmine_op_impact&amp;"""},{""id"":179,""name"":""Denver Segment Assigned"",""value"":"""&amp;AL43&amp;"""}]}}"&amp;" | curl -X POST -H ""Content-Type: application/json"" -H ""X-Redmine-API-Key: "&amp;redm_api_key&amp;""" "&amp;redm_url&amp;" --data @-"</f>
        <v>#VALUE!</v>
      </c>
      <c r="AJ43" s="55"/>
      <c r="AK43" s="55"/>
      <c r="AL43" s="55"/>
    </row>
    <row r="44" spans="1:38" s="1" customFormat="1" x14ac:dyDescent="0.25">
      <c r="A44" s="39" t="s">
        <v>694</v>
      </c>
      <c r="B44" s="7"/>
      <c r="C44" s="24" t="s">
        <v>113</v>
      </c>
      <c r="D44" s="24" t="s">
        <v>412</v>
      </c>
      <c r="E44" s="15">
        <v>42609.345937500002</v>
      </c>
      <c r="F44" s="15"/>
      <c r="G44" s="7"/>
      <c r="H44" s="15"/>
      <c r="I44" s="15"/>
      <c r="J44" s="7"/>
      <c r="K44" s="132" t="str">
        <f t="shared" si="35"/>
        <v>-1/</v>
      </c>
      <c r="L44" s="24" t="e">
        <f>VLOOKUP(A44,'Trips&amp;Operators'!$C$1:$E$10000,3,FALSE)</f>
        <v>#N/A</v>
      </c>
      <c r="M44" s="6">
        <f t="shared" si="36"/>
        <v>0</v>
      </c>
      <c r="N44" s="7"/>
      <c r="O44" s="7"/>
      <c r="P44" s="7">
        <v>1</v>
      </c>
      <c r="Q44" s="25"/>
      <c r="R44" s="25" t="s">
        <v>295</v>
      </c>
      <c r="S44" s="37">
        <f t="shared" si="37"/>
        <v>0</v>
      </c>
      <c r="T44" s="52" t="str">
        <f t="shared" si="38"/>
        <v>Southbound</v>
      </c>
      <c r="U44" s="12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4" s="54" t="e">
        <f t="shared" si="40"/>
        <v>#VALUE!</v>
      </c>
      <c r="X44" s="120">
        <f t="shared" si="34"/>
        <v>1</v>
      </c>
      <c r="Y44" s="69">
        <f t="shared" si="41"/>
        <v>23.2973</v>
      </c>
      <c r="Z44" s="69" t="e">
        <f t="shared" si="42"/>
        <v>#VALUE!</v>
      </c>
      <c r="AA44" s="69" t="e">
        <f t="shared" si="43"/>
        <v>#VALUE!</v>
      </c>
      <c r="AB44" s="66" t="e">
        <f>VLOOKUP(A44,Enforcements!$C$7:$J$21,8,0)</f>
        <v>#N/A</v>
      </c>
      <c r="AC44" s="62" t="e">
        <f>VLOOKUP(A44,Enforcements!$C$7:$E$21,3,0)</f>
        <v>#N/A</v>
      </c>
      <c r="AD44" s="63" t="str">
        <f t="shared" si="44"/>
        <v>0128-27</v>
      </c>
      <c r="AE44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4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4" s="1" t="str">
        <f t="shared" si="45"/>
        <v>EC</v>
      </c>
      <c r="AH44" s="100" t="str">
        <f t="shared" si="46"/>
        <v>"%USERPROFILE%\Documents\GitHub\eaglep3\Utilities\RefineRTDCRunTimes.py" --tripid 128-27 --locoid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4" s="149" t="e">
        <f t="shared" si="47"/>
        <v>#VALUE!</v>
      </c>
      <c r="AJ44" s="55"/>
      <c r="AK44" s="55"/>
      <c r="AL44" s="55"/>
    </row>
    <row r="45" spans="1:38" s="1" customFormat="1" x14ac:dyDescent="0.25">
      <c r="A45" s="39" t="s">
        <v>695</v>
      </c>
      <c r="B45" s="7"/>
      <c r="C45" s="24" t="s">
        <v>113</v>
      </c>
      <c r="D45" s="24" t="s">
        <v>412</v>
      </c>
      <c r="E45" s="15">
        <v>42609.345937500002</v>
      </c>
      <c r="F45" s="15"/>
      <c r="G45" s="7"/>
      <c r="H45" s="15"/>
      <c r="I45" s="15"/>
      <c r="J45" s="7"/>
      <c r="K45" s="132" t="str">
        <f t="shared" si="35"/>
        <v>-1/</v>
      </c>
      <c r="L45" s="24" t="e">
        <f>VLOOKUP(A45,'Trips&amp;Operators'!$C$1:$E$10000,3,FALSE)</f>
        <v>#N/A</v>
      </c>
      <c r="M45" s="6">
        <f t="shared" si="36"/>
        <v>0</v>
      </c>
      <c r="N45" s="7"/>
      <c r="O45" s="7"/>
      <c r="P45" s="7">
        <v>1</v>
      </c>
      <c r="Q45" s="25"/>
      <c r="R45" s="25" t="s">
        <v>295</v>
      </c>
      <c r="S45" s="37">
        <f t="shared" si="37"/>
        <v>0</v>
      </c>
      <c r="T45" s="52" t="str">
        <f t="shared" si="38"/>
        <v>NorthBound</v>
      </c>
      <c r="U45" s="12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0</v>
      </c>
      <c r="V45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5" s="54" t="e">
        <f t="shared" si="40"/>
        <v>#VALUE!</v>
      </c>
      <c r="X45" s="120">
        <f t="shared" si="34"/>
        <v>1</v>
      </c>
      <c r="Y45" s="69">
        <f t="shared" si="41"/>
        <v>23.2973</v>
      </c>
      <c r="Z45" s="69" t="e">
        <f t="shared" si="42"/>
        <v>#VALUE!</v>
      </c>
      <c r="AA45" s="69" t="e">
        <f t="shared" si="43"/>
        <v>#VALUE!</v>
      </c>
      <c r="AB45" s="66" t="e">
        <f>VLOOKUP(A45,Enforcements!$C$7:$J$21,8,0)</f>
        <v>#N/A</v>
      </c>
      <c r="AC45" s="62" t="e">
        <f>VLOOKUP(A45,Enforcements!$C$7:$E$21,3,0)</f>
        <v>#N/A</v>
      </c>
      <c r="AD45" s="63" t="str">
        <f t="shared" si="44"/>
        <v>0129-27</v>
      </c>
      <c r="AE45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5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5" s="1" t="str">
        <f t="shared" si="45"/>
        <v>EC</v>
      </c>
      <c r="AH45" s="100" t="str">
        <f t="shared" si="46"/>
        <v>"%USERPROFILE%\Documents\GitHub\eaglep3\Utilities\RefineRTDCRunTimes.py" --tripid 129-27 --locoid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5" s="149" t="e">
        <f t="shared" si="47"/>
        <v>#VALUE!</v>
      </c>
      <c r="AJ45" s="55"/>
      <c r="AK45" s="55"/>
      <c r="AL45" s="55"/>
    </row>
    <row r="46" spans="1:38" s="1" customFormat="1" x14ac:dyDescent="0.25">
      <c r="A46" s="39" t="s">
        <v>696</v>
      </c>
      <c r="B46" s="7"/>
      <c r="C46" s="24" t="s">
        <v>113</v>
      </c>
      <c r="D46" s="24" t="s">
        <v>412</v>
      </c>
      <c r="E46" s="15">
        <v>42609.345937500002</v>
      </c>
      <c r="F46" s="15"/>
      <c r="G46" s="7"/>
      <c r="H46" s="15"/>
      <c r="I46" s="15"/>
      <c r="J46" s="7"/>
      <c r="K46" s="132" t="str">
        <f t="shared" si="35"/>
        <v>-1/</v>
      </c>
      <c r="L46" s="24" t="e">
        <f>VLOOKUP(A46,'Trips&amp;Operators'!$C$1:$E$10000,3,FALSE)</f>
        <v>#N/A</v>
      </c>
      <c r="M46" s="6">
        <f t="shared" si="36"/>
        <v>0</v>
      </c>
      <c r="N46" s="7"/>
      <c r="O46" s="7"/>
      <c r="P46" s="7">
        <v>1</v>
      </c>
      <c r="Q46" s="25"/>
      <c r="R46" s="25" t="s">
        <v>295</v>
      </c>
      <c r="S46" s="37">
        <f t="shared" si="37"/>
        <v>0</v>
      </c>
      <c r="T46" s="52" t="str">
        <f t="shared" si="38"/>
        <v>Southbound</v>
      </c>
      <c r="U46" s="12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0</v>
      </c>
      <c r="V46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6" s="54" t="e">
        <f t="shared" si="40"/>
        <v>#VALUE!</v>
      </c>
      <c r="X46" s="120">
        <f t="shared" si="34"/>
        <v>1</v>
      </c>
      <c r="Y46" s="69">
        <f t="shared" si="41"/>
        <v>23.2973</v>
      </c>
      <c r="Z46" s="69" t="e">
        <f t="shared" si="42"/>
        <v>#VALUE!</v>
      </c>
      <c r="AA46" s="69" t="e">
        <f t="shared" si="43"/>
        <v>#VALUE!</v>
      </c>
      <c r="AB46" s="66" t="e">
        <f>VLOOKUP(A46,Enforcements!$C$7:$J$21,8,0)</f>
        <v>#N/A</v>
      </c>
      <c r="AC46" s="62" t="e">
        <f>VLOOKUP(A46,Enforcements!$C$7:$E$21,3,0)</f>
        <v>#N/A</v>
      </c>
      <c r="AD46" s="63" t="str">
        <f t="shared" si="44"/>
        <v>0130-27</v>
      </c>
      <c r="AE46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6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6" s="1" t="str">
        <f t="shared" si="45"/>
        <v>EC</v>
      </c>
      <c r="AH46" s="100" t="str">
        <f t="shared" si="46"/>
        <v>"%USERPROFILE%\Documents\GitHub\eaglep3\Utilities\RefineRTDCRunTimes.py" --tripid 130-27 --locoid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6" s="149" t="e">
        <f t="shared" si="47"/>
        <v>#VALUE!</v>
      </c>
      <c r="AJ46" s="55"/>
      <c r="AK46" s="55"/>
      <c r="AL46" s="55"/>
    </row>
    <row r="47" spans="1:38" s="1" customFormat="1" x14ac:dyDescent="0.25">
      <c r="A47" s="39" t="s">
        <v>697</v>
      </c>
      <c r="B47" s="7"/>
      <c r="C47" s="24" t="s">
        <v>113</v>
      </c>
      <c r="D47" s="24" t="s">
        <v>412</v>
      </c>
      <c r="E47" s="15">
        <v>42609.345937500002</v>
      </c>
      <c r="F47" s="15"/>
      <c r="G47" s="7"/>
      <c r="H47" s="15"/>
      <c r="I47" s="15"/>
      <c r="J47" s="7"/>
      <c r="K47" s="132" t="str">
        <f t="shared" si="35"/>
        <v>-1/</v>
      </c>
      <c r="L47" s="24" t="e">
        <f>VLOOKUP(A47,'Trips&amp;Operators'!$C$1:$E$10000,3,FALSE)</f>
        <v>#N/A</v>
      </c>
      <c r="M47" s="6">
        <f t="shared" si="36"/>
        <v>0</v>
      </c>
      <c r="N47" s="7"/>
      <c r="O47" s="7"/>
      <c r="P47" s="7">
        <v>1</v>
      </c>
      <c r="Q47" s="25"/>
      <c r="R47" s="25" t="s">
        <v>295</v>
      </c>
      <c r="S47" s="37">
        <f t="shared" si="37"/>
        <v>0</v>
      </c>
      <c r="T47" s="52" t="str">
        <f t="shared" si="38"/>
        <v>NorthBound</v>
      </c>
      <c r="U47" s="12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7" s="54" t="e">
        <f t="shared" si="40"/>
        <v>#VALUE!</v>
      </c>
      <c r="X47" s="120">
        <f t="shared" si="34"/>
        <v>1</v>
      </c>
      <c r="Y47" s="69">
        <f t="shared" si="41"/>
        <v>23.2973</v>
      </c>
      <c r="Z47" s="69" t="e">
        <f t="shared" si="42"/>
        <v>#VALUE!</v>
      </c>
      <c r="AA47" s="69" t="e">
        <f t="shared" si="43"/>
        <v>#VALUE!</v>
      </c>
      <c r="AB47" s="66" t="e">
        <f>VLOOKUP(A47,Enforcements!$C$7:$J$21,8,0)</f>
        <v>#N/A</v>
      </c>
      <c r="AC47" s="62" t="e">
        <f>VLOOKUP(A47,Enforcements!$C$7:$E$21,3,0)</f>
        <v>#N/A</v>
      </c>
      <c r="AD47" s="63" t="str">
        <f t="shared" si="44"/>
        <v>0131-27</v>
      </c>
      <c r="AE47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7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7" s="1" t="str">
        <f t="shared" si="45"/>
        <v>EC</v>
      </c>
      <c r="AH47" s="100" t="str">
        <f t="shared" si="46"/>
        <v>"%USERPROFILE%\Documents\GitHub\eaglep3\Utilities\RefineRTDCRunTimes.py" --tripid 131-27 --locoid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7" s="149" t="e">
        <f t="shared" si="47"/>
        <v>#VALUE!</v>
      </c>
      <c r="AJ47" s="55"/>
      <c r="AK47" s="55"/>
      <c r="AL47" s="55"/>
    </row>
    <row r="48" spans="1:38" s="1" customFormat="1" x14ac:dyDescent="0.25">
      <c r="A48" s="39" t="s">
        <v>698</v>
      </c>
      <c r="B48" s="7"/>
      <c r="C48" s="24" t="s">
        <v>113</v>
      </c>
      <c r="D48" s="24" t="s">
        <v>412</v>
      </c>
      <c r="E48" s="15">
        <v>42609.345937500002</v>
      </c>
      <c r="F48" s="15"/>
      <c r="G48" s="7"/>
      <c r="H48" s="15"/>
      <c r="I48" s="15"/>
      <c r="J48" s="7"/>
      <c r="K48" s="132" t="str">
        <f t="shared" si="35"/>
        <v>-1/</v>
      </c>
      <c r="L48" s="24" t="e">
        <f>VLOOKUP(A48,'Trips&amp;Operators'!$C$1:$E$10000,3,FALSE)</f>
        <v>#N/A</v>
      </c>
      <c r="M48" s="6">
        <f t="shared" si="36"/>
        <v>0</v>
      </c>
      <c r="N48" s="7"/>
      <c r="O48" s="7"/>
      <c r="P48" s="7">
        <v>1</v>
      </c>
      <c r="Q48" s="25"/>
      <c r="R48" s="25" t="s">
        <v>295</v>
      </c>
      <c r="S48" s="37">
        <f t="shared" si="37"/>
        <v>0</v>
      </c>
      <c r="T48" s="52" t="str">
        <f t="shared" si="38"/>
        <v>Southbound</v>
      </c>
      <c r="U48" s="12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0</v>
      </c>
      <c r="V48" s="106" t="str">
        <f t="shared" si="39"/>
        <v>https://search-rtdc-monitor-bjffxe2xuh6vdkpspy63sjmuny.us-east-1.es.amazonaws.com/_plugin/kibana/#/discover/Steve-Slow-Train-Analysis-(2080s-and-2083s)?_g=(refreshInterval:(display:Off,section:0,value:0),time:(from:'2016-08-27 07:18:09-0600',mode:absolute,to:'1900-01-00 01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48" s="54" t="e">
        <f t="shared" si="40"/>
        <v>#VALUE!</v>
      </c>
      <c r="X48" s="120">
        <f t="shared" si="34"/>
        <v>1</v>
      </c>
      <c r="Y48" s="69">
        <f t="shared" si="41"/>
        <v>23.2973</v>
      </c>
      <c r="Z48" s="69" t="e">
        <f t="shared" si="42"/>
        <v>#VALUE!</v>
      </c>
      <c r="AA48" s="69" t="e">
        <f t="shared" si="43"/>
        <v>#VALUE!</v>
      </c>
      <c r="AB48" s="66" t="e">
        <f>VLOOKUP(A48,Enforcements!$C$7:$J$21,8,0)</f>
        <v>#N/A</v>
      </c>
      <c r="AC48" s="62" t="e">
        <f>VLOOKUP(A48,Enforcements!$C$7:$E$21,3,0)</f>
        <v>#N/A</v>
      </c>
      <c r="AD48" s="63" t="str">
        <f t="shared" si="44"/>
        <v>0132-27</v>
      </c>
      <c r="AE48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48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48" s="1" t="str">
        <f t="shared" si="45"/>
        <v>EC</v>
      </c>
      <c r="AH48" s="100" t="str">
        <f t="shared" si="46"/>
        <v>"%USERPROFILE%\Documents\GitHub\eaglep3\Utilities\RefineRTDCRunTimes.py" --tripid 132-27 --locoid  --swversion DE.1.0.7.0 --startMP 204:232973 --initTime 2016-08-27T08:18:09 --startdatetime 1900-01-00T00:00:00 --delay  --endMP  --enddatetime 1900-01-00T00:00:00 --enforcementcount  &gt;&gt;C:\Users\stu\Documents\GitHub\eaglep3-reporting\EC\2016-08-27-refined-times.txt</v>
      </c>
      <c r="AI48" s="149" t="e">
        <f t="shared" si="47"/>
        <v>#VALUE!</v>
      </c>
      <c r="AJ48" s="55"/>
      <c r="AK48" s="55"/>
      <c r="AL48" s="55"/>
    </row>
    <row r="49" spans="1:38" s="1" customFormat="1" x14ac:dyDescent="0.25">
      <c r="A49" s="39" t="s">
        <v>435</v>
      </c>
      <c r="B49" s="7">
        <v>4031</v>
      </c>
      <c r="C49" s="24" t="s">
        <v>113</v>
      </c>
      <c r="D49" s="24" t="s">
        <v>335</v>
      </c>
      <c r="E49" s="15">
        <v>42609.318020833336</v>
      </c>
      <c r="F49" s="15">
        <v>42609.323159722226</v>
      </c>
      <c r="G49" s="7">
        <v>1</v>
      </c>
      <c r="H49" s="15" t="s">
        <v>343</v>
      </c>
      <c r="I49" s="15">
        <v>42609.355833333335</v>
      </c>
      <c r="J49" s="7">
        <v>0</v>
      </c>
      <c r="K49" s="132" t="str">
        <f t="shared" ref="K49:K60" si="48">IF(ISEVEN(B49),(B49-1)&amp;"/"&amp;B49,B49&amp;"/"&amp;(B49+1))</f>
        <v>4031/4032</v>
      </c>
      <c r="L49" s="24" t="str">
        <f>VLOOKUP(A49,'Trips&amp;Operators'!$C$1:$E$10000,3,FALSE)</f>
        <v>MAELZER</v>
      </c>
      <c r="M49" s="6">
        <f t="shared" ref="M49:M60" si="49">I49-F49</f>
        <v>3.2673611109203193E-2</v>
      </c>
      <c r="N49" s="7">
        <f t="shared" ref="N49:N56" si="50">24*60*SUM($M49:$M49)</f>
        <v>47.049999997252598</v>
      </c>
      <c r="O49" s="7"/>
      <c r="P49" s="7"/>
      <c r="Q49" s="25"/>
      <c r="R49" s="25"/>
      <c r="S49" s="37">
        <f t="shared" ref="S49:S60" si="51">SUM(U49:U49)/IF(AG49="EC",12,1)</f>
        <v>1</v>
      </c>
      <c r="T49" s="52" t="str">
        <f t="shared" ref="T49:T60" si="52">IF(ISEVEN(LEFT(AD49,4)),"Southbound","NorthBound")</f>
        <v>NorthBound</v>
      </c>
      <c r="U49" s="12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6" t="str">
        <f t="shared" ref="V49:V60" si="53"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https://search-rtdc-monitor-bjffxe2xuh6vdkpspy63sjmuny.us-east-1.es.amazonaws.com/_plugin/kibana/#/discover/Steve-Slow-Train-Analysis-(2080s-and-2083s)?_g=(refreshInterval:(display:Off,section:0,value:0),time:(from:'2016-08-27 06:37:57-0600',mode:absolute,to:'2016-08-27 09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49" s="54" t="str">
        <f t="shared" ref="W49:W60" si="54">IF(AA49&lt;IF(AG49="EC",23,5.65),"Y","N")</f>
        <v>N</v>
      </c>
      <c r="X49" s="120">
        <f t="shared" si="34"/>
        <v>1</v>
      </c>
      <c r="Y49" s="69">
        <f t="shared" ref="Y49:Y60" si="55">RIGHT(D49,LEN(D49)-4)/10000</f>
        <v>4.58E-2</v>
      </c>
      <c r="Z49" s="69">
        <f t="shared" ref="Z49:Z60" si="56">RIGHT(H49,LEN(H49)-4)/10000</f>
        <v>23.329499999999999</v>
      </c>
      <c r="AA49" s="69">
        <f t="shared" ref="AA49:AA60" si="57">ABS(Z49-Y49)</f>
        <v>23.2837</v>
      </c>
      <c r="AB49" s="66">
        <f>VLOOKUP(A49,Enforcements!$C$7:$J$21,8,0)</f>
        <v>53155</v>
      </c>
      <c r="AC49" s="62" t="str">
        <f>VLOOKUP(A49,Enforcements!$C$7:$E$21,3,0)</f>
        <v>GRADE CROSSING</v>
      </c>
      <c r="AD49" s="63" t="str">
        <f t="shared" ref="AD49:AD60" si="58">IF(LEN(A49)=6,"0"&amp;A49,A49)</f>
        <v>0133-27</v>
      </c>
      <c r="AE49" s="99" t="str">
        <f t="shared" si="0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49" s="96" t="str">
        <f t="shared" si="1"/>
        <v>"C:\Program Files (x86)\AstroGrep\AstroGrep.exe" /spath="%USERPROFILE%\AppData\Local\Temp\OnboardLogs" /stypes="*4031*20160827*" /stext=" 14:.+((SYSTEM_STATE.+slice.+state.+changed )|(ment ac)|(system.+state.+changed )|(\|lc)|(penalty)|(\[timeout)|(PRM\|1\|D)|(kpr)|(kdp))" /e /r /s</v>
      </c>
      <c r="AG49" s="1" t="str">
        <f t="shared" ref="AG49:AG60" si="59">IFERROR(IF(VALUE(LEFT(AD49,2))&lt;=2,"EC",IF(OR(VALUE(LEFT(AD49,2))=8,VALUE(LEFT(AD49,2))=18),"NW","Other")),"Other")</f>
        <v>EC</v>
      </c>
      <c r="AH49" s="100" t="str">
        <f t="shared" si="2"/>
        <v>"%USERPROFILE%\Documents\GitHub\eaglep3\Utilities\RefineRTDCRunTimes.py" --tripid 133-27 --locoid 4031 --swversion DE.1.0.7.0 --startMP 204:458 --initTime 2016-08-27T07:37:57 --startdatetime 2016-08-27T07:45:21 --delay 1 --endMP 204:233295 --enddatetime 2016-08-27T08:32:24 --enforcementcount 0 &gt;&gt;C:\Users\stu\Documents\GitHub\eaglep3-reporting\EC\2016-08-27-refined-times.txt</v>
      </c>
      <c r="AI49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{"issue":{"subject":"","project_id":79,"tracker_id":40,"status_id":1,"priority_id":2,"assigned_to_id":23,"start_date":"2016-08-27","description":"","custom_fields":[{"id":1,"name":"Subdivision","value":"EC"},{"id":4,"name":"Milepost","value":"23.2837"},{"id":17,"name":"Train ID","value":"133-27"},{"id":16,"name":"Locomotive ID","value":"4031"},{"id":130,"name":"Impact","value":""},{"id":150,"name":"Time of Event (Mountain Time)","value":"08:32:24"},{"id":151,"name":"Denver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436</v>
      </c>
      <c r="B50" s="7">
        <v>4032</v>
      </c>
      <c r="C50" s="24" t="s">
        <v>113</v>
      </c>
      <c r="D50" s="24" t="s">
        <v>332</v>
      </c>
      <c r="E50" s="15">
        <v>42609.360868055555</v>
      </c>
      <c r="F50" s="15">
        <v>42609.363518518519</v>
      </c>
      <c r="G50" s="7">
        <v>2</v>
      </c>
      <c r="H50" s="15" t="s">
        <v>187</v>
      </c>
      <c r="I50" s="15">
        <v>42609.400416666664</v>
      </c>
      <c r="J50" s="7">
        <v>0</v>
      </c>
      <c r="K50" s="132" t="str">
        <f t="shared" si="48"/>
        <v>4031/4032</v>
      </c>
      <c r="L50" s="24" t="str">
        <f>VLOOKUP(A50,'Trips&amp;Operators'!$C$1:$E$10000,3,FALSE)</f>
        <v>MAELZER</v>
      </c>
      <c r="M50" s="6">
        <f t="shared" si="49"/>
        <v>3.6898148144246079E-2</v>
      </c>
      <c r="N50" s="7">
        <f t="shared" si="50"/>
        <v>53.133333327714354</v>
      </c>
      <c r="O50" s="7"/>
      <c r="P50" s="7"/>
      <c r="Q50" s="25"/>
      <c r="R50" s="25"/>
      <c r="S50" s="37">
        <f t="shared" si="51"/>
        <v>1</v>
      </c>
      <c r="T50" s="52" t="str">
        <f t="shared" si="52"/>
        <v>Southbound</v>
      </c>
      <c r="U50" s="12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07:39:39-0600',mode:absolute,to:'2016-08-27 10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50" s="54" t="str">
        <f t="shared" si="54"/>
        <v>N</v>
      </c>
      <c r="X50" s="120">
        <f t="shared" si="34"/>
        <v>1</v>
      </c>
      <c r="Y50" s="69">
        <f t="shared" si="55"/>
        <v>23.299600000000002</v>
      </c>
      <c r="Z50" s="69">
        <f t="shared" si="56"/>
        <v>1.6E-2</v>
      </c>
      <c r="AA50" s="69">
        <f t="shared" si="57"/>
        <v>23.283600000000003</v>
      </c>
      <c r="AB50" s="66" t="e">
        <f>VLOOKUP(A50,Enforcements!$C$7:$J$21,8,0)</f>
        <v>#N/A</v>
      </c>
      <c r="AC50" s="62" t="e">
        <f>VLOOKUP(A50,Enforcements!$C$7:$E$21,3,0)</f>
        <v>#N/A</v>
      </c>
      <c r="AD50" s="63" t="str">
        <f t="shared" si="58"/>
        <v>0134-27</v>
      </c>
      <c r="AE50" s="99" t="str">
        <f t="shared" si="0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50" s="96" t="str">
        <f t="shared" si="1"/>
        <v>"C:\Program Files (x86)\AstroGrep\AstroGrep.exe" /spath="%USERPROFILE%\AppData\Local\Temp\OnboardLogs" /stypes="*4032*20160827*" /stext=" 15:.+((SYSTEM_STATE.+slice.+state.+changed )|(ment ac)|(system.+state.+changed )|(\|lc)|(penalty)|(\[timeout)|(PRM\|1\|D)|(kpr)|(kdp))" /e /r /s</v>
      </c>
      <c r="AG50" s="1" t="str">
        <f t="shared" si="59"/>
        <v>EC</v>
      </c>
      <c r="AH50" s="100" t="str">
        <f t="shared" si="2"/>
        <v>"%USERPROFILE%\Documents\GitHub\eaglep3\Utilities\RefineRTDCRunTimes.py" --tripid 134-27 --locoid 4032 --swversion DE.1.0.7.0 --startMP 204:232996 --initTime 2016-08-27T08:39:39 --startdatetime 2016-08-27T08:43:28 --delay 2 --endMP 204:160 --enddatetime 2016-08-27T09:36:36 --enforcementcount 0 &gt;&gt;C:\Users\stu\Documents\GitHub\eaglep3-reporting\EC\2016-08-27-refined-times.txt</v>
      </c>
      <c r="AI50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{"issue":{"subject":"","project_id":79,"tracker_id":40,"status_id":1,"priority_id":2,"assigned_to_id":23,"start_date":"2016-08-27","description":"","custom_fields":[{"id":1,"name":"Subdivision","value":"EC"},{"id":4,"name":"Milepost","value":"23.2836"},{"id":17,"name":"Train ID","value":"134-27"},{"id":16,"name":"Locomotive ID","value":"4032"},{"id":130,"name":"Impact","value":""},{"id":150,"name":"Time of Event (Mountain Time)","value":"09:36:36"},{"id":151,"name":"Denver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437</v>
      </c>
      <c r="B51" s="7">
        <v>4042</v>
      </c>
      <c r="C51" s="24" t="s">
        <v>113</v>
      </c>
      <c r="D51" s="24" t="s">
        <v>438</v>
      </c>
      <c r="E51" s="15">
        <v>42609.33148148148</v>
      </c>
      <c r="F51" s="15">
        <v>42609.334386574075</v>
      </c>
      <c r="G51" s="7">
        <v>2</v>
      </c>
      <c r="H51" s="15" t="s">
        <v>439</v>
      </c>
      <c r="I51" s="15">
        <v>42609.366481481484</v>
      </c>
      <c r="J51" s="7">
        <v>0</v>
      </c>
      <c r="K51" s="132" t="str">
        <f t="shared" si="48"/>
        <v>4041/4042</v>
      </c>
      <c r="L51" s="24" t="str">
        <f>VLOOKUP(A51,'Trips&amp;Operators'!$C$1:$E$10000,3,FALSE)</f>
        <v>STRICKLAND</v>
      </c>
      <c r="M51" s="6">
        <f t="shared" si="49"/>
        <v>3.2094907408463769E-2</v>
      </c>
      <c r="N51" s="7">
        <f t="shared" si="50"/>
        <v>46.216666668187827</v>
      </c>
      <c r="O51" s="7"/>
      <c r="P51" s="7"/>
      <c r="Q51" s="25"/>
      <c r="R51" s="25"/>
      <c r="S51" s="37">
        <f t="shared" si="51"/>
        <v>1</v>
      </c>
      <c r="T51" s="52" t="str">
        <f t="shared" si="52"/>
        <v>NorthBound</v>
      </c>
      <c r="U51" s="12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06:57:20-0600',mode:absolute,to:'2016-08-27 09:47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54"/>
        <v>N</v>
      </c>
      <c r="X51" s="120">
        <f t="shared" si="34"/>
        <v>1</v>
      </c>
      <c r="Y51" s="69">
        <f t="shared" si="55"/>
        <v>0.1515</v>
      </c>
      <c r="Z51" s="69">
        <f t="shared" si="56"/>
        <v>23.3215</v>
      </c>
      <c r="AA51" s="69">
        <f t="shared" si="57"/>
        <v>23.17</v>
      </c>
      <c r="AB51" s="66" t="e">
        <f>VLOOKUP(A51,Enforcements!$C$7:$J$21,8,0)</f>
        <v>#N/A</v>
      </c>
      <c r="AC51" s="62" t="e">
        <f>VLOOKUP(A51,Enforcements!$C$7:$E$21,3,0)</f>
        <v>#N/A</v>
      </c>
      <c r="AD51" s="63" t="str">
        <f t="shared" si="58"/>
        <v>0135-27</v>
      </c>
      <c r="AE51" s="99" t="str">
        <f t="shared" si="0"/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51" s="96" t="str">
        <f t="shared" si="1"/>
        <v>"C:\Program Files (x86)\AstroGrep\AstroGrep.exe" /spath="%USERPROFILE%\AppData\Local\Temp\OnboardLogs" /stypes="*4042*20160827*" /stext=" 14:.+((SYSTEM_STATE.+slice.+state.+changed )|(ment ac)|(system.+state.+changed )|(\|lc)|(penalty)|(\[timeout)|(PRM\|1\|D)|(kpr)|(kdp))" /e /r /s</v>
      </c>
      <c r="AG51" s="1" t="str">
        <f t="shared" si="59"/>
        <v>EC</v>
      </c>
      <c r="AH51" s="100" t="str">
        <f t="shared" si="2"/>
        <v>"%USERPROFILE%\Documents\GitHub\eaglep3\Utilities\RefineRTDCRunTimes.py" --tripid 135-27 --locoid 4042 --swversion DE.1.0.7.0 --startMP 204:1515 --initTime 2016-08-27T07:57:20 --startdatetime 2016-08-27T08:01:31 --delay 2 --endMP 204:233215 --enddatetime 2016-08-27T08:47:44 --enforcementcount 0 &gt;&gt;C:\Users\stu\Documents\GitHub\eaglep3-reporting\EC\2016-08-27-refined-times.txt</v>
      </c>
      <c r="AI51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{"issue":{"subject":"","project_id":79,"tracker_id":40,"status_id":1,"priority_id":2,"assigned_to_id":23,"start_date":"2016-08-27","description":"","custom_fields":[{"id":1,"name":"Subdivision","value":"EC"},{"id":4,"name":"Milepost","value":"23.17"},{"id":17,"name":"Train ID","value":"135-27"},{"id":16,"name":"Locomotive ID","value":"4042"},{"id":130,"name":"Impact","value":""},{"id":150,"name":"Time of Event (Mountain Time)","value":"08:47:44"},{"id":151,"name":"Denver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440</v>
      </c>
      <c r="B52" s="7">
        <v>4041</v>
      </c>
      <c r="C52" s="24" t="s">
        <v>113</v>
      </c>
      <c r="D52" s="24" t="s">
        <v>441</v>
      </c>
      <c r="E52" s="15">
        <v>42609.372499999998</v>
      </c>
      <c r="F52" s="15">
        <v>42609.3749537037</v>
      </c>
      <c r="G52" s="7">
        <v>1</v>
      </c>
      <c r="H52" s="15" t="s">
        <v>153</v>
      </c>
      <c r="I52" s="15">
        <v>42609.408194444448</v>
      </c>
      <c r="J52" s="7">
        <v>0</v>
      </c>
      <c r="K52" s="132" t="str">
        <f t="shared" si="48"/>
        <v>4041/4042</v>
      </c>
      <c r="L52" s="24" t="str">
        <f>VLOOKUP(A52,'Trips&amp;Operators'!$C$1:$E$10000,3,FALSE)</f>
        <v>STRICKLAND</v>
      </c>
      <c r="M52" s="6">
        <f t="shared" si="49"/>
        <v>3.3240740747714881E-2</v>
      </c>
      <c r="N52" s="7">
        <f t="shared" si="50"/>
        <v>47.866666676709428</v>
      </c>
      <c r="O52" s="7"/>
      <c r="P52" s="7"/>
      <c r="Q52" s="25"/>
      <c r="R52" s="25"/>
      <c r="S52" s="37">
        <f t="shared" si="51"/>
        <v>1</v>
      </c>
      <c r="T52" s="52" t="str">
        <f t="shared" si="52"/>
        <v>Southbound</v>
      </c>
      <c r="U52" s="12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07:56:24-0600',mode:absolute,to:'2016-08-27 10:47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54"/>
        <v>N</v>
      </c>
      <c r="X52" s="120">
        <f t="shared" si="34"/>
        <v>1</v>
      </c>
      <c r="Y52" s="69">
        <f t="shared" si="55"/>
        <v>23.289000000000001</v>
      </c>
      <c r="Z52" s="69">
        <f t="shared" si="56"/>
        <v>1.5599999999999999E-2</v>
      </c>
      <c r="AA52" s="69">
        <f t="shared" si="57"/>
        <v>23.273400000000002</v>
      </c>
      <c r="AB52" s="66" t="e">
        <f>VLOOKUP(A52,Enforcements!$C$7:$J$21,8,0)</f>
        <v>#N/A</v>
      </c>
      <c r="AC52" s="62" t="e">
        <f>VLOOKUP(A52,Enforcements!$C$7:$E$21,3,0)</f>
        <v>#N/A</v>
      </c>
      <c r="AD52" s="63" t="str">
        <f t="shared" si="58"/>
        <v>0136-27</v>
      </c>
      <c r="AE52" s="99" t="str">
        <f t="shared" si="0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52" s="96" t="str">
        <f t="shared" si="1"/>
        <v>"C:\Program Files (x86)\AstroGrep\AstroGrep.exe" /spath="%USERPROFILE%\AppData\Local\Temp\OnboardLogs" /stypes="*4041*20160827*" /stext=" 15:.+((SYSTEM_STATE.+slice.+state.+changed )|(ment ac)|(system.+state.+changed )|(\|lc)|(penalty)|(\[timeout)|(PRM\|1\|D)|(kpr)|(kdp))" /e /r /s</v>
      </c>
      <c r="AG52" s="1" t="str">
        <f t="shared" si="59"/>
        <v>EC</v>
      </c>
      <c r="AH52" s="100" t="str">
        <f t="shared" si="2"/>
        <v>"%USERPROFILE%\Documents\GitHub\eaglep3\Utilities\RefineRTDCRunTimes.py" --tripid 136-27 --locoid 4041 --swversion DE.1.0.7.0 --startMP 204:232890 --initTime 2016-08-27T08:56:24 --startdatetime 2016-08-27T08:59:56 --delay 1 --endMP 204:156 --enddatetime 2016-08-27T09:47:48 --enforcementcount 0 &gt;&gt;C:\Users\stu\Documents\GitHub\eaglep3-reporting\EC\2016-08-27-refined-times.txt</v>
      </c>
      <c r="AI52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{"issue":{"subject":"","project_id":79,"tracker_id":40,"status_id":1,"priority_id":2,"assigned_to_id":23,"start_date":"2016-08-27","description":"","custom_fields":[{"id":1,"name":"Subdivision","value":"EC"},{"id":4,"name":"Milepost","value":"23.2734"},{"id":17,"name":"Train ID","value":"136-27"},{"id":16,"name":"Locomotive ID","value":"4041"},{"id":130,"name":"Impact","value":""},{"id":150,"name":"Time of Event (Mountain Time)","value":"09:47:48"},{"id":151,"name":"Denver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442</v>
      </c>
      <c r="B53" s="7">
        <v>4038</v>
      </c>
      <c r="C53" s="24" t="s">
        <v>113</v>
      </c>
      <c r="D53" s="24" t="s">
        <v>335</v>
      </c>
      <c r="E53" s="15">
        <v>42609.342812499999</v>
      </c>
      <c r="F53" s="15">
        <v>42609.345173611109</v>
      </c>
      <c r="G53" s="7">
        <v>2</v>
      </c>
      <c r="H53" s="15" t="s">
        <v>266</v>
      </c>
      <c r="I53" s="15">
        <v>42609.380925925929</v>
      </c>
      <c r="J53" s="7">
        <v>0</v>
      </c>
      <c r="K53" s="132" t="str">
        <f t="shared" si="48"/>
        <v>4037/4038</v>
      </c>
      <c r="L53" s="24" t="str">
        <f>VLOOKUP(A53,'Trips&amp;Operators'!$C$1:$E$10000,3,FALSE)</f>
        <v>MALAVE</v>
      </c>
      <c r="M53" s="6">
        <f t="shared" si="49"/>
        <v>3.5752314819546882E-2</v>
      </c>
      <c r="N53" s="7">
        <f t="shared" si="50"/>
        <v>51.48333334014751</v>
      </c>
      <c r="O53" s="7"/>
      <c r="P53" s="7"/>
      <c r="Q53" s="25"/>
      <c r="R53" s="25"/>
      <c r="S53" s="37">
        <f t="shared" si="51"/>
        <v>1</v>
      </c>
      <c r="T53" s="52" t="str">
        <f t="shared" si="52"/>
        <v>NorthBound</v>
      </c>
      <c r="U53" s="12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07:13:39-0600',mode:absolute,to:'2016-08-27 10:08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53" s="54" t="str">
        <f t="shared" si="54"/>
        <v>N</v>
      </c>
      <c r="X53" s="120">
        <f t="shared" si="34"/>
        <v>1</v>
      </c>
      <c r="Y53" s="69">
        <f t="shared" si="55"/>
        <v>4.58E-2</v>
      </c>
      <c r="Z53" s="69">
        <f t="shared" si="56"/>
        <v>23.328600000000002</v>
      </c>
      <c r="AA53" s="69">
        <f t="shared" si="57"/>
        <v>23.282800000000002</v>
      </c>
      <c r="AB53" s="66" t="e">
        <f>VLOOKUP(A53,Enforcements!$C$7:$J$21,8,0)</f>
        <v>#N/A</v>
      </c>
      <c r="AC53" s="62" t="e">
        <f>VLOOKUP(A53,Enforcements!$C$7:$E$21,3,0)</f>
        <v>#N/A</v>
      </c>
      <c r="AD53" s="63" t="str">
        <f t="shared" si="58"/>
        <v>0137-27</v>
      </c>
      <c r="AE53" s="99" t="str">
        <f t="shared" si="0"/>
        <v>aws s3 cp s3://rtdc.mdm.uploadarchive/RTDC4038/2016-08-27/ "%USERPROFILE%\AppData\Local\Temp\OnboardLogs"\RTDC4038\2016-08-27 --recursive &amp; "%USERPROFILE%\Documents\GitHub\mrs-test-scripts\Headless Mode &amp; Sideloading\WalkAndUnGZ.bat" "%USERPROFILE%\AppData\Local\Temp\OnboardLogs"\RTDC4038\2016-08-27 &amp; aws s3 cp s3://rtdc.mdm.uploadarchive/RTDC4038/2016-08-28/ "%USERPROFILE%\AppData\Local\Temp\OnboardLogs"\RTDC4038\2016-08-28 --recursive &amp; "%USERPROFILE%\Documents\GitHub\mrs-test-scripts\Headless Mode &amp; Sideloading\WalkAndUnGZ.bat" "%USERPROFILE%\AppData\Local\Temp\OnboardLogs"\RTDC4038\2016-08-28</v>
      </c>
      <c r="AF53" s="96" t="str">
        <f t="shared" si="1"/>
        <v>"C:\Program Files (x86)\AstroGrep\AstroGrep.exe" /spath="%USERPROFILE%\AppData\Local\Temp\OnboardLogs" /stypes="*4038*20160827*" /stext=" 15:.+((SYSTEM_STATE.+slice.+state.+changed )|(ment ac)|(system.+state.+changed )|(\|lc)|(penalty)|(\[timeout)|(PRM\|1\|D)|(kpr)|(kdp))" /e /r /s</v>
      </c>
      <c r="AG53" s="1" t="str">
        <f t="shared" si="59"/>
        <v>EC</v>
      </c>
      <c r="AH53" s="100" t="str">
        <f t="shared" si="2"/>
        <v>"%USERPROFILE%\Documents\GitHub\eaglep3\Utilities\RefineRTDCRunTimes.py" --tripid 137-27 --locoid 4038 --swversion DE.1.0.7.0 --startMP 204:458 --initTime 2016-08-27T08:13:39 --startdatetime 2016-08-27T08:17:03 --delay 2 --endMP 204:233286 --enddatetime 2016-08-27T09:08:32 --enforcementcount 0 &gt;&gt;C:\Users\stu\Documents\GitHub\eaglep3-reporting\EC\2016-08-27-refined-times.txt</v>
      </c>
      <c r="AI53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{"issue":{"subject":"","project_id":79,"tracker_id":40,"status_id":1,"priority_id":2,"assigned_to_id":23,"start_date":"2016-08-27","description":"","custom_fields":[{"id":1,"name":"Subdivision","value":"EC"},{"id":4,"name":"Milepost","value":"23.2828"},{"id":17,"name":"Train ID","value":"137-27"},{"id":16,"name":"Locomotive ID","value":"4038"},{"id":130,"name":"Impact","value":""},{"id":150,"name":"Time of Event (Mountain Time)","value":"09:08:32"},{"id":151,"name":"Denver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443</v>
      </c>
      <c r="B54" s="7">
        <v>4037</v>
      </c>
      <c r="C54" s="24" t="s">
        <v>113</v>
      </c>
      <c r="D54" s="24" t="s">
        <v>329</v>
      </c>
      <c r="E54" s="15">
        <v>42609.383321759262</v>
      </c>
      <c r="F54" s="15">
        <v>42609.391145833331</v>
      </c>
      <c r="G54" s="7">
        <v>6</v>
      </c>
      <c r="H54" s="15" t="s">
        <v>172</v>
      </c>
      <c r="I54" s="15">
        <v>42609.420231481483</v>
      </c>
      <c r="J54" s="7">
        <v>0</v>
      </c>
      <c r="K54" s="132" t="str">
        <f t="shared" si="48"/>
        <v>4037/4038</v>
      </c>
      <c r="L54" s="24" t="str">
        <f>VLOOKUP(A54,'Trips&amp;Operators'!$C$1:$E$10000,3,FALSE)</f>
        <v>MALAVE</v>
      </c>
      <c r="M54" s="6">
        <f t="shared" si="49"/>
        <v>2.9085648151522037E-2</v>
      </c>
      <c r="N54" s="7">
        <f t="shared" si="50"/>
        <v>41.883333338191733</v>
      </c>
      <c r="O54" s="7"/>
      <c r="P54" s="7"/>
      <c r="Q54" s="25"/>
      <c r="R54" s="25"/>
      <c r="S54" s="37">
        <f t="shared" si="51"/>
        <v>1</v>
      </c>
      <c r="T54" s="52" t="str">
        <f t="shared" si="52"/>
        <v>Southbound</v>
      </c>
      <c r="U54" s="12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08:11:59-0600',mode:absolute,to:'2016-08-27 11:05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W54" s="54" t="str">
        <f t="shared" si="54"/>
        <v>N</v>
      </c>
      <c r="X54" s="120">
        <f t="shared" si="34"/>
        <v>1</v>
      </c>
      <c r="Y54" s="69">
        <f t="shared" si="55"/>
        <v>23.298200000000001</v>
      </c>
      <c r="Z54" s="69">
        <f t="shared" si="56"/>
        <v>1.52E-2</v>
      </c>
      <c r="AA54" s="69">
        <f t="shared" si="57"/>
        <v>23.283000000000001</v>
      </c>
      <c r="AB54" s="66" t="e">
        <f>VLOOKUP(A54,Enforcements!$C$7:$J$21,8,0)</f>
        <v>#N/A</v>
      </c>
      <c r="AC54" s="62" t="e">
        <f>VLOOKUP(A54,Enforcements!$C$7:$E$21,3,0)</f>
        <v>#N/A</v>
      </c>
      <c r="AD54" s="63" t="str">
        <f t="shared" si="58"/>
        <v>0138-27</v>
      </c>
      <c r="AE54" s="99" t="str">
        <f t="shared" si="0"/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AF54" s="96" t="str">
        <f t="shared" si="1"/>
        <v>"C:\Program Files (x86)\AstroGrep\AstroGrep.exe" /spath="%USERPROFILE%\AppData\Local\Temp\OnboardLogs" /stypes="*4037*20160827*" /stext=" 16:.+((SYSTEM_STATE.+slice.+state.+changed )|(ment ac)|(system.+state.+changed )|(\|lc)|(penalty)|(\[timeout)|(PRM\|1\|D)|(kpr)|(kdp))" /e /r /s</v>
      </c>
      <c r="AG54" s="1" t="str">
        <f t="shared" si="59"/>
        <v>EC</v>
      </c>
      <c r="AH54" s="100" t="str">
        <f t="shared" si="2"/>
        <v>"%USERPROFILE%\Documents\GitHub\eaglep3\Utilities\RefineRTDCRunTimes.py" --tripid 138-27 --locoid 4037 --swversion DE.1.0.7.0 --startMP 204:232982 --initTime 2016-08-27T09:11:59 --startdatetime 2016-08-27T09:23:15 --delay 6 --endMP 204:152 --enddatetime 2016-08-27T10:05:08 --enforcementcount 0 &gt;&gt;C:\Users\stu\Documents\GitHub\eaglep3-reporting\EC\2016-08-27-refined-times.txt</v>
      </c>
      <c r="AI54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{"issue":{"subject":"","project_id":79,"tracker_id":40,"status_id":1,"priority_id":2,"assigned_to_id":23,"start_date":"2016-08-27","description":"","custom_fields":[{"id":1,"name":"Subdivision","value":"EC"},{"id":4,"name":"Milepost","value":"23.283"},{"id":17,"name":"Train ID","value":"138-27"},{"id":16,"name":"Locomotive ID","value":"4037"},{"id":130,"name":"Impact","value":""},{"id":150,"name":"Time of Event (Mountain Time)","value":"10:05:08"},{"id":151,"name":"Denver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444</v>
      </c>
      <c r="B55" s="7">
        <v>4014</v>
      </c>
      <c r="C55" s="24" t="s">
        <v>113</v>
      </c>
      <c r="D55" s="24" t="s">
        <v>445</v>
      </c>
      <c r="E55" s="15">
        <v>42609.357268518521</v>
      </c>
      <c r="F55" s="15">
        <v>42609.358611111114</v>
      </c>
      <c r="G55" s="7">
        <v>1</v>
      </c>
      <c r="H55" s="15" t="s">
        <v>276</v>
      </c>
      <c r="I55" s="15">
        <v>42609.389317129629</v>
      </c>
      <c r="J55" s="7">
        <v>0</v>
      </c>
      <c r="K55" s="132" t="str">
        <f t="shared" si="48"/>
        <v>4013/4014</v>
      </c>
      <c r="L55" s="24" t="str">
        <f>VLOOKUP(A55,'Trips&amp;Operators'!$C$1:$E$10000,3,FALSE)</f>
        <v>ACKERMAN</v>
      </c>
      <c r="M55" s="6">
        <f t="shared" si="49"/>
        <v>3.0706018515047617E-2</v>
      </c>
      <c r="N55" s="7">
        <f t="shared" si="50"/>
        <v>44.216666661668569</v>
      </c>
      <c r="O55" s="7"/>
      <c r="P55" s="7"/>
      <c r="Q55" s="25"/>
      <c r="R55" s="25"/>
      <c r="S55" s="37">
        <f t="shared" si="51"/>
        <v>1</v>
      </c>
      <c r="T55" s="52" t="str">
        <f t="shared" si="52"/>
        <v>NorthBound</v>
      </c>
      <c r="U55" s="12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07:34:28-0600',mode:absolute,to:'2016-08-27 10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55" s="54" t="str">
        <f t="shared" si="54"/>
        <v>N</v>
      </c>
      <c r="X55" s="120">
        <f t="shared" ref="X55:X60" si="60">VALUE(LEFT(AD55,4))-VALUE(LEFT(AD54,4))</f>
        <v>1</v>
      </c>
      <c r="Y55" s="69">
        <f t="shared" si="55"/>
        <v>6.3899999999999998E-2</v>
      </c>
      <c r="Z55" s="69">
        <f t="shared" si="56"/>
        <v>23.332100000000001</v>
      </c>
      <c r="AA55" s="69">
        <f t="shared" si="57"/>
        <v>23.2682</v>
      </c>
      <c r="AB55" s="66" t="e">
        <f>VLOOKUP(A55,Enforcements!$C$7:$J$21,8,0)</f>
        <v>#N/A</v>
      </c>
      <c r="AC55" s="62" t="e">
        <f>VLOOKUP(A55,Enforcements!$C$7:$E$21,3,0)</f>
        <v>#N/A</v>
      </c>
      <c r="AD55" s="63" t="str">
        <f t="shared" si="58"/>
        <v>0139-27</v>
      </c>
      <c r="AE55" s="99" t="str">
        <f t="shared" si="0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55" s="96" t="str">
        <f t="shared" si="1"/>
        <v>"C:\Program Files (x86)\AstroGrep\AstroGrep.exe" /spath="%USERPROFILE%\AppData\Local\Temp\OnboardLogs" /stypes="*4014*20160827*" /stext=" 15:.+((SYSTEM_STATE.+slice.+state.+changed )|(ment ac)|(system.+state.+changed )|(\|lc)|(penalty)|(\[timeout)|(PRM\|1\|D)|(kpr)|(kdp))" /e /r /s</v>
      </c>
      <c r="AG55" s="1" t="str">
        <f t="shared" si="59"/>
        <v>EC</v>
      </c>
      <c r="AH55" s="100" t="str">
        <f t="shared" si="2"/>
        <v>"%USERPROFILE%\Documents\GitHub\eaglep3\Utilities\RefineRTDCRunTimes.py" --tripid 139-27 --locoid 4014 --swversion DE.1.0.7.0 --startMP 204:639 --initTime 2016-08-27T08:34:28 --startdatetime 2016-08-27T08:36:24 --delay 1 --endMP 204:233321 --enddatetime 2016-08-27T09:20:37 --enforcementcount 0 &gt;&gt;C:\Users\stu\Documents\GitHub\eaglep3-reporting\EC\2016-08-27-refined-times.txt</v>
      </c>
      <c r="AI55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{"issue":{"subject":"","project_id":79,"tracker_id":40,"status_id":1,"priority_id":2,"assigned_to_id":23,"start_date":"2016-08-27","description":"","custom_fields":[{"id":1,"name":"Subdivision","value":"EC"},{"id":4,"name":"Milepost","value":"23.2682"},{"id":17,"name":"Train ID","value":"139-27"},{"id":16,"name":"Locomotive ID","value":"4014"},{"id":130,"name":"Impact","value":""},{"id":150,"name":"Time of Event (Mountain Time)","value":"09:20:37"},{"id":151,"name":"Denver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446</v>
      </c>
      <c r="B56" s="7">
        <v>4013</v>
      </c>
      <c r="C56" s="24" t="s">
        <v>113</v>
      </c>
      <c r="D56" s="24" t="s">
        <v>209</v>
      </c>
      <c r="E56" s="15">
        <v>42609.394513888888</v>
      </c>
      <c r="F56" s="15">
        <v>42609.396493055552</v>
      </c>
      <c r="G56" s="7">
        <v>1</v>
      </c>
      <c r="H56" s="15" t="s">
        <v>447</v>
      </c>
      <c r="I56" s="15">
        <v>42609.424108796295</v>
      </c>
      <c r="J56" s="7">
        <v>0</v>
      </c>
      <c r="K56" s="132" t="str">
        <f t="shared" si="48"/>
        <v>4013/4014</v>
      </c>
      <c r="L56" s="24" t="str">
        <f>VLOOKUP(A56,'Trips&amp;Operators'!$C$1:$E$10000,3,FALSE)</f>
        <v>ACKERMAN</v>
      </c>
      <c r="M56" s="6">
        <f t="shared" si="49"/>
        <v>2.7615740742476191E-2</v>
      </c>
      <c r="N56" s="7">
        <f t="shared" si="50"/>
        <v>39.766666669165716</v>
      </c>
      <c r="O56" s="7"/>
      <c r="P56" s="7"/>
      <c r="Q56" s="25"/>
      <c r="R56" s="25"/>
      <c r="S56" s="37">
        <f t="shared" si="51"/>
        <v>1</v>
      </c>
      <c r="T56" s="52" t="str">
        <f t="shared" si="52"/>
        <v>Southbound</v>
      </c>
      <c r="U56" s="12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08:28:06-0600',mode:absolute,to:'2016-08-27 11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56" s="54" t="str">
        <f t="shared" si="54"/>
        <v>N</v>
      </c>
      <c r="X56" s="120">
        <f t="shared" si="60"/>
        <v>1</v>
      </c>
      <c r="Y56" s="69">
        <f t="shared" si="55"/>
        <v>23.301100000000002</v>
      </c>
      <c r="Z56" s="69">
        <f t="shared" si="56"/>
        <v>1.9400000000000001E-2</v>
      </c>
      <c r="AA56" s="69">
        <f t="shared" si="57"/>
        <v>23.281700000000001</v>
      </c>
      <c r="AB56" s="66" t="e">
        <f>VLOOKUP(A56,Enforcements!$C$7:$J$21,8,0)</f>
        <v>#N/A</v>
      </c>
      <c r="AC56" s="62" t="e">
        <f>VLOOKUP(A56,Enforcements!$C$7:$E$21,3,0)</f>
        <v>#N/A</v>
      </c>
      <c r="AD56" s="63" t="str">
        <f t="shared" si="58"/>
        <v>0140-27</v>
      </c>
      <c r="AE56" s="99" t="str">
        <f t="shared" si="0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56" s="96" t="str">
        <f t="shared" si="1"/>
        <v>"C:\Program Files (x86)\AstroGrep\AstroGrep.exe" /spath="%USERPROFILE%\AppData\Local\Temp\OnboardLogs" /stypes="*4013*20160827*" /stext=" 16:.+((SYSTEM_STATE.+slice.+state.+changed )|(ment ac)|(system.+state.+changed )|(\|lc)|(penalty)|(\[timeout)|(PRM\|1\|D)|(kpr)|(kdp))" /e /r /s</v>
      </c>
      <c r="AG56" s="1" t="str">
        <f t="shared" si="59"/>
        <v>EC</v>
      </c>
      <c r="AH56" s="100" t="str">
        <f t="shared" si="2"/>
        <v>"%USERPROFILE%\Documents\GitHub\eaglep3\Utilities\RefineRTDCRunTimes.py" --tripid 140-27 --locoid 4013 --swversion DE.1.0.7.0 --startMP 204:233011 --initTime 2016-08-27T09:28:06 --startdatetime 2016-08-27T09:30:57 --delay 1 --endMP 204:194 --enddatetime 2016-08-27T10:10:43 --enforcementcount 0 &gt;&gt;C:\Users\stu\Documents\GitHub\eaglep3-reporting\EC\2016-08-27-refined-times.txt</v>
      </c>
      <c r="AI56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{"issue":{"subject":"","project_id":79,"tracker_id":40,"status_id":1,"priority_id":2,"assigned_to_id":23,"start_date":"2016-08-27","description":"","custom_fields":[{"id":1,"name":"Subdivision","value":"EC"},{"id":4,"name":"Milepost","value":"23.2817"},{"id":17,"name":"Train ID","value":"140-27"},{"id":16,"name":"Locomotive ID","value":"4013"},{"id":130,"name":"Impact","value":""},{"id":150,"name":"Time of Event (Mountain Time)","value":"10:10:43"},{"id":151,"name":"Denver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448</v>
      </c>
      <c r="B57" s="7">
        <v>4025</v>
      </c>
      <c r="C57" s="24" t="s">
        <v>113</v>
      </c>
      <c r="D57" s="24" t="s">
        <v>449</v>
      </c>
      <c r="E57" s="15">
        <v>42609.374212962961</v>
      </c>
      <c r="F57" s="15">
        <v>42609.375497685185</v>
      </c>
      <c r="G57" s="7">
        <v>1</v>
      </c>
      <c r="H57" s="15" t="s">
        <v>351</v>
      </c>
      <c r="I57" s="15">
        <v>42609.400196759256</v>
      </c>
      <c r="J57" s="7">
        <v>0</v>
      </c>
      <c r="K57" s="132" t="str">
        <f t="shared" si="48"/>
        <v>4025/4026</v>
      </c>
      <c r="L57" s="24" t="str">
        <f>VLOOKUP(A57,'Trips&amp;Operators'!$C$1:$E$10000,3,FALSE)</f>
        <v>DAVIS</v>
      </c>
      <c r="M57" s="6">
        <f t="shared" si="49"/>
        <v>2.4699074070667848E-2</v>
      </c>
      <c r="N57" s="7"/>
      <c r="O57" s="7"/>
      <c r="P57" s="7">
        <f>24*60*SUM($M57:$M57)</f>
        <v>35.566666661761701</v>
      </c>
      <c r="Q57" s="25"/>
      <c r="R57" s="25" t="s">
        <v>705</v>
      </c>
      <c r="S57" s="37">
        <f t="shared" si="51"/>
        <v>1</v>
      </c>
      <c r="T57" s="52" t="str">
        <f t="shared" si="52"/>
        <v>NorthBound</v>
      </c>
      <c r="U57" s="12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07:58:52-0600',mode:absolute,to:'2016-08-27 10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57" s="54" t="str">
        <f t="shared" si="54"/>
        <v>Y</v>
      </c>
      <c r="X57" s="120">
        <f t="shared" si="60"/>
        <v>1</v>
      </c>
      <c r="Y57" s="69">
        <f t="shared" si="55"/>
        <v>1.9137</v>
      </c>
      <c r="Z57" s="69">
        <f t="shared" si="56"/>
        <v>23.329899999999999</v>
      </c>
      <c r="AA57" s="69">
        <f t="shared" si="57"/>
        <v>21.4162</v>
      </c>
      <c r="AB57" s="66" t="e">
        <f>VLOOKUP(A57,Enforcements!$C$7:$J$21,8,0)</f>
        <v>#N/A</v>
      </c>
      <c r="AC57" s="62" t="e">
        <f>VLOOKUP(A57,Enforcements!$C$7:$E$21,3,0)</f>
        <v>#N/A</v>
      </c>
      <c r="AD57" s="63" t="str">
        <f t="shared" si="58"/>
        <v>0141-27</v>
      </c>
      <c r="AE57" s="99" t="str">
        <f t="shared" si="0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57" s="96" t="str">
        <f t="shared" si="1"/>
        <v>"C:\Program Files (x86)\AstroGrep\AstroGrep.exe" /spath="%USERPROFILE%\AppData\Local\Temp\OnboardLogs" /stypes="*4025*20160827*" /stext=" 15:.+((SYSTEM_STATE.+slice.+state.+changed )|(ment ac)|(system.+state.+changed )|(\|lc)|(penalty)|(\[timeout)|(PRM\|1\|D)|(kpr)|(kdp))" /e /r /s</v>
      </c>
      <c r="AG57" s="1" t="str">
        <f t="shared" si="59"/>
        <v>EC</v>
      </c>
      <c r="AH57" s="100" t="str">
        <f t="shared" si="2"/>
        <v>"%USERPROFILE%\Documents\GitHub\eaglep3\Utilities\RefineRTDCRunTimes.py" --tripid 141-27 --locoid 4025 --swversion DE.1.0.7.0 --startMP 204:19137 --initTime 2016-08-27T08:58:52 --startdatetime 2016-08-27T09:00:43 --delay 1 --endMP 204:233299 --enddatetime 2016-08-27T09:36:17 --enforcementcount 0 &gt;&gt;C:\Users\stu\Documents\GitHub\eaglep3-reporting\EC\2016-08-27-refined-times.txt</v>
      </c>
      <c r="AI57" s="149" t="str">
        <f t="shared" si="3"/>
        <v>echo {"issue":{"subject":"Trip ID wasn't available while init'ing at DUS","project_id":79,"tracker_id":40,"status_id":1,"priority_id":2,"assigned_to_id":23,"start_date":"2016-08-27","description":"","custom_fields":[{"id":1,"name":"Subdivision","value":"EC"},{"id":4,"name":"Milepost","value":"21.4162"},{"id":17,"name":"Train ID","value":"141-27"},{"id":16,"name":"Locomotive ID","value":"4025"},{"id":130,"name":"Impact","value":""},{"id":150,"name":"Time of Event (Mountain Time)","value":"09:36:17"},{"id":151,"name":"Denver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450</v>
      </c>
      <c r="B58" s="7">
        <v>4026</v>
      </c>
      <c r="C58" s="24" t="s">
        <v>113</v>
      </c>
      <c r="D58" s="24" t="s">
        <v>189</v>
      </c>
      <c r="E58" s="15">
        <v>42609.401539351849</v>
      </c>
      <c r="F58" s="15">
        <v>42609.403703703705</v>
      </c>
      <c r="G58" s="7">
        <v>1</v>
      </c>
      <c r="H58" s="15" t="s">
        <v>153</v>
      </c>
      <c r="I58" s="15">
        <v>42609.434305555558</v>
      </c>
      <c r="J58" s="7">
        <v>0</v>
      </c>
      <c r="K58" s="132" t="str">
        <f t="shared" si="48"/>
        <v>4025/4026</v>
      </c>
      <c r="L58" s="24" t="str">
        <f>VLOOKUP(A58,'Trips&amp;Operators'!$C$1:$E$10000,3,FALSE)</f>
        <v>DAVIS</v>
      </c>
      <c r="M58" s="6">
        <f t="shared" si="49"/>
        <v>3.0601851853134576E-2</v>
      </c>
      <c r="N58" s="7">
        <f>24*60*SUM($M58:$M58)</f>
        <v>44.06666666851379</v>
      </c>
      <c r="O58" s="7"/>
      <c r="P58" s="7"/>
      <c r="Q58" s="25"/>
      <c r="R58" s="25"/>
      <c r="S58" s="37">
        <f t="shared" si="51"/>
        <v>1</v>
      </c>
      <c r="T58" s="52" t="str">
        <f t="shared" si="52"/>
        <v>Southbound</v>
      </c>
      <c r="U58" s="12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08:38:13-0600',mode:absolute,to:'2016-08-27 11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58" s="54" t="str">
        <f t="shared" si="54"/>
        <v>N</v>
      </c>
      <c r="X58" s="120">
        <f t="shared" si="60"/>
        <v>1</v>
      </c>
      <c r="Y58" s="69">
        <f t="shared" si="55"/>
        <v>23.297499999999999</v>
      </c>
      <c r="Z58" s="69">
        <f t="shared" si="56"/>
        <v>1.5599999999999999E-2</v>
      </c>
      <c r="AA58" s="69">
        <f t="shared" si="57"/>
        <v>23.2819</v>
      </c>
      <c r="AB58" s="66">
        <f>VLOOKUP(A58,Enforcements!$C$7:$J$21,8,0)</f>
        <v>229055</v>
      </c>
      <c r="AC58" s="62" t="str">
        <f>VLOOKUP(A58,Enforcements!$C$7:$E$21,3,0)</f>
        <v>PERMANENT SPEED RESTRICTION</v>
      </c>
      <c r="AD58" s="63" t="str">
        <f t="shared" si="58"/>
        <v>0142-27</v>
      </c>
      <c r="AE58" s="99" t="str">
        <f t="shared" si="0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58" s="96" t="str">
        <f t="shared" si="1"/>
        <v>"C:\Program Files (x86)\AstroGrep\AstroGrep.exe" /spath="%USERPROFILE%\AppData\Local\Temp\OnboardLogs" /stypes="*4026*20160827*" /stext=" 16:.+((SYSTEM_STATE.+slice.+state.+changed )|(ment ac)|(system.+state.+changed )|(\|lc)|(penalty)|(\[timeout)|(PRM\|1\|D)|(kpr)|(kdp))" /e /r /s</v>
      </c>
      <c r="AG58" s="1" t="str">
        <f t="shared" si="59"/>
        <v>EC</v>
      </c>
      <c r="AH58" s="100" t="str">
        <f t="shared" si="2"/>
        <v>"%USERPROFILE%\Documents\GitHub\eaglep3\Utilities\RefineRTDCRunTimes.py" --tripid 142-27 --locoid 4026 --swversion DE.1.0.7.0 --startMP 204:232975 --initTime 2016-08-27T09:38:13 --startdatetime 2016-08-27T09:41:20 --delay 1 --endMP 204:156 --enddatetime 2016-08-27T10:25:24 --enforcementcount 0 &gt;&gt;C:\Users\stu\Documents\GitHub\eaglep3-reporting\EC\2016-08-27-refined-times.txt</v>
      </c>
      <c r="AI58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{"issue":{"subject":"","project_id":79,"tracker_id":40,"status_id":1,"priority_id":2,"assigned_to_id":23,"start_date":"2016-08-27","description":"","custom_fields":[{"id":1,"name":"Subdivision","value":"EC"},{"id":4,"name":"Milepost","value":"23.2819"},{"id":17,"name":"Train ID","value":"142-27"},{"id":16,"name":"Locomotive ID","value":"4026"},{"id":130,"name":"Impact","value":""},{"id":150,"name":"Time of Event (Mountain Time)","value":"10:25:24"},{"id":151,"name":"Denver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451</v>
      </c>
      <c r="B59" s="7">
        <v>4009</v>
      </c>
      <c r="C59" s="24" t="s">
        <v>113</v>
      </c>
      <c r="D59" s="24" t="s">
        <v>135</v>
      </c>
      <c r="E59" s="15">
        <v>42609.381886574076</v>
      </c>
      <c r="F59" s="15">
        <v>42609.384212962963</v>
      </c>
      <c r="G59" s="7">
        <v>1</v>
      </c>
      <c r="H59" s="15" t="s">
        <v>343</v>
      </c>
      <c r="I59" s="15">
        <v>42609.409918981481</v>
      </c>
      <c r="J59" s="7">
        <v>0</v>
      </c>
      <c r="K59" s="132" t="str">
        <f t="shared" si="48"/>
        <v>4009/4010</v>
      </c>
      <c r="L59" s="24" t="str">
        <f>VLOOKUP(A59,'Trips&amp;Operators'!$C$1:$E$10000,3,FALSE)</f>
        <v>KILLION</v>
      </c>
      <c r="M59" s="6">
        <f t="shared" si="49"/>
        <v>2.5706018517666962E-2</v>
      </c>
      <c r="N59" s="7">
        <f>24*60*SUM($M59:$M59)</f>
        <v>37.016666665440425</v>
      </c>
      <c r="O59" s="7"/>
      <c r="P59" s="7"/>
      <c r="Q59" s="25"/>
      <c r="R59" s="25"/>
      <c r="S59" s="37">
        <f t="shared" si="51"/>
        <v>1</v>
      </c>
      <c r="T59" s="52" t="str">
        <f t="shared" si="52"/>
        <v>NorthBound</v>
      </c>
      <c r="U59" s="12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08:09:55-0600',mode:absolute,to:'2016-08-27 10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59" s="54" t="str">
        <f t="shared" si="54"/>
        <v>N</v>
      </c>
      <c r="X59" s="120">
        <f t="shared" si="60"/>
        <v>1</v>
      </c>
      <c r="Y59" s="69">
        <f t="shared" si="55"/>
        <v>4.4900000000000002E-2</v>
      </c>
      <c r="Z59" s="69">
        <f t="shared" si="56"/>
        <v>23.329499999999999</v>
      </c>
      <c r="AA59" s="69">
        <f t="shared" si="57"/>
        <v>23.284600000000001</v>
      </c>
      <c r="AB59" s="66" t="e">
        <f>VLOOKUP(A59,Enforcements!$C$7:$J$21,8,0)</f>
        <v>#N/A</v>
      </c>
      <c r="AC59" s="62" t="e">
        <f>VLOOKUP(A59,Enforcements!$C$7:$E$21,3,0)</f>
        <v>#N/A</v>
      </c>
      <c r="AD59" s="63" t="str">
        <f t="shared" si="58"/>
        <v>0143-27</v>
      </c>
      <c r="AE59" s="99" t="str">
        <f t="shared" si="0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59" s="96" t="str">
        <f t="shared" si="1"/>
        <v>"C:\Program Files (x86)\AstroGrep\AstroGrep.exe" /spath="%USERPROFILE%\AppData\Local\Temp\OnboardLogs" /stypes="*4009*20160827*" /stext=" 15:.+((SYSTEM_STATE.+slice.+state.+changed )|(ment ac)|(system.+state.+changed )|(\|lc)|(penalty)|(\[timeout)|(PRM\|1\|D)|(kpr)|(kdp))" /e /r /s</v>
      </c>
      <c r="AG59" s="1" t="str">
        <f t="shared" si="59"/>
        <v>EC</v>
      </c>
      <c r="AH59" s="100" t="str">
        <f t="shared" si="2"/>
        <v>"%USERPROFILE%\Documents\GitHub\eaglep3\Utilities\RefineRTDCRunTimes.py" --tripid 143-27 --locoid 4009 --swversion DE.1.0.7.0 --startMP 204:449 --initTime 2016-08-27T09:09:55 --startdatetime 2016-08-27T09:13:16 --delay 1 --endMP 204:233295 --enddatetime 2016-08-27T09:50:17 --enforcementcount 0 &gt;&gt;C:\Users\stu\Documents\GitHub\eaglep3-reporting\EC\2016-08-27-refined-times.txt</v>
      </c>
      <c r="AI59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{"issue":{"subject":"","project_id":79,"tracker_id":40,"status_id":1,"priority_id":2,"assigned_to_id":23,"start_date":"2016-08-27","description":"","custom_fields":[{"id":1,"name":"Subdivision","value":"EC"},{"id":4,"name":"Milepost","value":"23.2846"},{"id":17,"name":"Train ID","value":"143-27"},{"id":16,"name":"Locomotive ID","value":"4009"},{"id":130,"name":"Impact","value":""},{"id":150,"name":"Time of Event (Mountain Time)","value":"09:50:17"},{"id":151,"name":"Denver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452</v>
      </c>
      <c r="B60" s="7">
        <v>4010</v>
      </c>
      <c r="C60" s="24" t="s">
        <v>113</v>
      </c>
      <c r="D60" s="24" t="s">
        <v>453</v>
      </c>
      <c r="E60" s="15">
        <v>42609.414525462962</v>
      </c>
      <c r="F60" s="15">
        <v>42609.416412037041</v>
      </c>
      <c r="G60" s="7">
        <v>1</v>
      </c>
      <c r="H60" s="15" t="s">
        <v>197</v>
      </c>
      <c r="I60" s="15">
        <v>42609.442210648151</v>
      </c>
      <c r="J60" s="7">
        <v>0</v>
      </c>
      <c r="K60" s="132" t="str">
        <f t="shared" si="48"/>
        <v>4009/4010</v>
      </c>
      <c r="L60" s="24" t="str">
        <f>VLOOKUP(A60,'Trips&amp;Operators'!$C$1:$E$10000,3,FALSE)</f>
        <v>KILLION</v>
      </c>
      <c r="M60" s="6">
        <f t="shared" si="49"/>
        <v>2.5798611110076308E-2</v>
      </c>
      <c r="N60" s="7">
        <f>24*60*SUM($M60:$M60)</f>
        <v>37.149999998509884</v>
      </c>
      <c r="O60" s="7"/>
      <c r="P60" s="7"/>
      <c r="Q60" s="25"/>
      <c r="R60" s="25"/>
      <c r="S60" s="37">
        <f t="shared" si="51"/>
        <v>1</v>
      </c>
      <c r="T60" s="52" t="str">
        <f t="shared" si="52"/>
        <v>Southbound</v>
      </c>
      <c r="U60" s="12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6" t="str">
        <f t="shared" si="53"/>
        <v>https://search-rtdc-monitor-bjffxe2xuh6vdkpspy63sjmuny.us-east-1.es.amazonaws.com/_plugin/kibana/#/discover/Steve-Slow-Train-Analysis-(2080s-and-2083s)?_g=(refreshInterval:(display:Off,section:0,value:0),time:(from:'2016-08-27 08:56:55-0600',mode:absolute,to:'2016-08-27 11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60" s="54" t="str">
        <f t="shared" si="54"/>
        <v>N</v>
      </c>
      <c r="X60" s="120">
        <f t="shared" si="60"/>
        <v>1</v>
      </c>
      <c r="Y60" s="69">
        <f t="shared" si="55"/>
        <v>23.297899999999998</v>
      </c>
      <c r="Z60" s="69">
        <f t="shared" si="56"/>
        <v>1.6500000000000001E-2</v>
      </c>
      <c r="AA60" s="69">
        <f t="shared" si="57"/>
        <v>23.281399999999998</v>
      </c>
      <c r="AB60" s="66" t="e">
        <f>VLOOKUP(A60,Enforcements!$C$7:$J$21,8,0)</f>
        <v>#N/A</v>
      </c>
      <c r="AC60" s="62" t="e">
        <f>VLOOKUP(A60,Enforcements!$C$7:$E$21,3,0)</f>
        <v>#N/A</v>
      </c>
      <c r="AD60" s="63" t="str">
        <f t="shared" si="58"/>
        <v>0144-27</v>
      </c>
      <c r="AE60" s="99" t="str">
        <f t="shared" si="0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60" s="96" t="str">
        <f t="shared" si="1"/>
        <v>"C:\Program Files (x86)\AstroGrep\AstroGrep.exe" /spath="%USERPROFILE%\AppData\Local\Temp\OnboardLogs" /stypes="*4010*20160827*" /stext=" 16:.+((SYSTEM_STATE.+slice.+state.+changed )|(ment ac)|(system.+state.+changed )|(\|lc)|(penalty)|(\[timeout)|(PRM\|1\|D)|(kpr)|(kdp))" /e /r /s</v>
      </c>
      <c r="AG60" s="1" t="str">
        <f t="shared" si="59"/>
        <v>EC</v>
      </c>
      <c r="AH60" s="100" t="str">
        <f t="shared" si="2"/>
        <v>"%USERPROFILE%\Documents\GitHub\eaglep3\Utilities\RefineRTDCRunTimes.py" --tripid 144-27 --locoid 4010 --swversion DE.1.0.7.0 --startMP 204:232979 --initTime 2016-08-27T09:56:55 --startdatetime 2016-08-27T09:59:38 --delay 1 --endMP 204:165 --enddatetime 2016-08-27T10:36:47 --enforcementcount 0 &gt;&gt;C:\Users\stu\Documents\GitHub\eaglep3-reporting\EC\2016-08-27-refined-times.txt</v>
      </c>
      <c r="AI60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{"issue":{"subject":"","project_id":79,"tracker_id":40,"status_id":1,"priority_id":2,"assigned_to_id":23,"start_date":"2016-08-27","description":"","custom_fields":[{"id":1,"name":"Subdivision","value":"EC"},{"id":4,"name":"Milepost","value":"23.2814"},{"id":17,"name":"Train ID","value":"144-27"},{"id":16,"name":"Locomotive ID","value":"4010"},{"id":130,"name":"Impact","value":""},{"id":150,"name":"Time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703</v>
      </c>
      <c r="B61" s="7"/>
      <c r="C61" s="24"/>
      <c r="D61" s="24"/>
      <c r="E61" s="15"/>
      <c r="F61" s="15"/>
      <c r="G61" s="7"/>
      <c r="H61" s="15"/>
      <c r="I61" s="15"/>
      <c r="J61" s="7"/>
      <c r="K61" s="132" t="str">
        <f t="shared" ref="K61:K62" si="61">IF(ISEVEN(B61),(B61-1)&amp;"/"&amp;B61,B61&amp;"/"&amp;(B61+1))</f>
        <v>-1/</v>
      </c>
      <c r="L61" s="24" t="e">
        <f>VLOOKUP(A61,'Trips&amp;Operators'!$C$1:$E$10000,3,FALSE)</f>
        <v>#N/A</v>
      </c>
      <c r="M61" s="6">
        <f t="shared" ref="M61:M62" si="62">I61-F61</f>
        <v>0</v>
      </c>
      <c r="N61" s="7"/>
      <c r="O61" s="7"/>
      <c r="P61" s="7">
        <v>1</v>
      </c>
      <c r="Q61" s="25"/>
      <c r="R61" s="25" t="s">
        <v>295</v>
      </c>
      <c r="S61" s="37">
        <f t="shared" ref="S61:S62" si="63">SUM(U61:U61)/IF(AG61="EC",12,1)</f>
        <v>0</v>
      </c>
      <c r="T61" s="52" t="str">
        <f t="shared" ref="T61:T62" si="64">IF(ISEVEN(LEFT(AD61,4)),"Southbound","NorthBound")</f>
        <v>NorthBound</v>
      </c>
      <c r="U61" s="12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0</v>
      </c>
      <c r="V61" s="106" t="e">
        <f t="shared" ref="V61:V62" si="65"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61&amp;"%22')),sort:!(Time,asc))"</f>
        <v>#VALUE!</v>
      </c>
      <c r="W61" s="54" t="e">
        <f t="shared" ref="W61:W62" si="66">IF(AA61&lt;IF(AG61="EC",23,5.65),"Y","N")</f>
        <v>#VALUE!</v>
      </c>
      <c r="X61" s="120">
        <f t="shared" ref="X61:X67" si="67">VALUE(LEFT(AD61,4))-VALUE(LEFT(AD60,4))</f>
        <v>1</v>
      </c>
      <c r="Y61" s="69" t="e">
        <f t="shared" ref="Y61:Y62" si="68">RIGHT(D61,LEN(D61)-4)/10000</f>
        <v>#VALUE!</v>
      </c>
      <c r="Z61" s="69" t="e">
        <f t="shared" ref="Z61:Z62" si="69">RIGHT(H61,LEN(H61)-4)/10000</f>
        <v>#VALUE!</v>
      </c>
      <c r="AA61" s="69" t="e">
        <f t="shared" ref="AA61:AA62" si="70">ABS(Z61-Y61)</f>
        <v>#VALUE!</v>
      </c>
      <c r="AB61" s="66" t="e">
        <f>VLOOKUP(A61,Enforcements!$C$7:$J$21,8,0)</f>
        <v>#N/A</v>
      </c>
      <c r="AC61" s="62" t="e">
        <f>VLOOKUP(A61,Enforcements!$C$7:$E$21,3,0)</f>
        <v>#N/A</v>
      </c>
      <c r="AD61" s="63" t="str">
        <f t="shared" ref="AD61:AD62" si="71">IF(LEN(A61)=6,"0"&amp;A61,A61)</f>
        <v>0145-27</v>
      </c>
      <c r="AE61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61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61" s="1" t="str">
        <f t="shared" ref="AG61:AG62" si="72">IFERROR(IF(VALUE(LEFT(AD61,2))&lt;=2,"EC",IF(OR(VALUE(LEFT(AD61,2))=8,VALUE(LEFT(AD61,2))=18),"NW","Other")),"Other")</f>
        <v>EC</v>
      </c>
      <c r="AH61" s="100" t="str">
        <f t="shared" ref="AH61:AH62" si="73">refinertdcruntimes&amp;" --tripid "&amp;A61&amp;" --locoid "&amp;B61&amp;" --swversion "&amp;C61&amp;" --startMP "&amp;D61&amp;" --initTime "&amp;TEXT(E61,"yyyy-mm-ddTHH:MM:SS")&amp;" --startdatetime "&amp;TEXT(F61,"yyyy-mm-ddTHH:MM:SS")&amp;" --delay "&amp;G61&amp;" --endMP "&amp;H61&amp;" --enddatetime "&amp;TEXT(I61,"yyyy-mm-ddTHH:MM:SS")&amp;" --enforcementcount "&amp;J61&amp;IF(outputrefinedruntimes," &gt;&gt;"&amp;RefinedRTDCRunTimesOutputFile,"")</f>
        <v>"%USERPROFILE%\Documents\GitHub\eaglep3\Utilities\RefineRTDCRunTimes.py" --tripid 145-27 --locoid  --swversion  --startMP  --initTime 1900-01-00T00:00:00 --startdatetime 1900-01-00T00:00:00 --delay  --endMP  --enddatetime 1900-01-00T00:00:00 --enforcementcount  &gt;&gt;C:\Users\stu\Documents\GitHub\eaglep3-reporting\EC\2016-08-27-refined-times.txt</v>
      </c>
      <c r="AI61" s="149" t="e">
        <f t="shared" ref="AI61:AI62" si="74">"echo {""issue"":{""subject"":"""&amp;R61&amp;""",""project_id"":79,""tracker_id"":40,""status_id"":"&amp;redmine_status&amp;",""priority_id"":"&amp;redmine_priority&amp;",""assigned_to_id"":"&amp;redmine_assignee&amp;",""start_date"":"""&amp;TEXT(I61,"YYYY-mm-dd")&amp;""",""description"":"""&amp;AJ61&amp;""",""custom_fields"":[{""id"":1,""name"":""Subdivision"",""value"":"""&amp;AG61&amp;"""},{""id"":4,""name"":""Milepost"",""value"":"""&amp;AA61&amp;"""},{""id"":17,""name"":""Train ID"",""value"":"""&amp;A61&amp;"""},{""id"":16,""name"":""Locomotive ID"",""value"":"""&amp;B61&amp;"""},{""id"":130,""name"":""Impact"",""value"":"""&amp;AK61&amp;"""},{""id"":150,""name"":""Time of Event (Mountain Time)"",""value"":"""&amp;TEXT(I61,"hh:mm:ss")&amp;"""},{""id"":151,""name"":""Denver Issue ID"",""value"":"""&amp;"""},{""id"":178,""name"":""Operational Impact"",""value"":"""&amp;redmine_op_impact&amp;"""},{""id"":179,""name"":""Denver Segment Assigned"",""value"":"""&amp;AL61&amp;"""}]}}"&amp;" | curl -X POST -H ""Content-Type: application/json"" -H ""X-Redmine-API-Key: "&amp;redm_api_key&amp;""" "&amp;redm_url&amp;" --data @-"</f>
        <v>#VALUE!</v>
      </c>
      <c r="AJ61" s="55"/>
      <c r="AK61" s="55"/>
      <c r="AL61" s="55"/>
    </row>
    <row r="62" spans="1:38" s="1" customFormat="1" x14ac:dyDescent="0.25">
      <c r="A62" s="39" t="s">
        <v>704</v>
      </c>
      <c r="B62" s="7"/>
      <c r="C62" s="24"/>
      <c r="D62" s="24"/>
      <c r="E62" s="15"/>
      <c r="F62" s="15"/>
      <c r="G62" s="7"/>
      <c r="H62" s="15"/>
      <c r="I62" s="15"/>
      <c r="J62" s="7"/>
      <c r="K62" s="132" t="str">
        <f t="shared" si="61"/>
        <v>-1/</v>
      </c>
      <c r="L62" s="24" t="e">
        <f>VLOOKUP(A62,'Trips&amp;Operators'!$C$1:$E$10000,3,FALSE)</f>
        <v>#N/A</v>
      </c>
      <c r="M62" s="6">
        <f t="shared" si="62"/>
        <v>0</v>
      </c>
      <c r="N62" s="7"/>
      <c r="O62" s="7"/>
      <c r="P62" s="7">
        <v>1</v>
      </c>
      <c r="Q62" s="25"/>
      <c r="R62" s="25" t="s">
        <v>295</v>
      </c>
      <c r="S62" s="37">
        <f t="shared" si="63"/>
        <v>0</v>
      </c>
      <c r="T62" s="52" t="str">
        <f t="shared" si="64"/>
        <v>Southbound</v>
      </c>
      <c r="U62" s="12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0</v>
      </c>
      <c r="V62" s="106" t="e">
        <f t="shared" si="65"/>
        <v>#VALUE!</v>
      </c>
      <c r="W62" s="54" t="e">
        <f t="shared" si="66"/>
        <v>#VALUE!</v>
      </c>
      <c r="X62" s="120">
        <f t="shared" si="67"/>
        <v>1</v>
      </c>
      <c r="Y62" s="69" t="e">
        <f t="shared" si="68"/>
        <v>#VALUE!</v>
      </c>
      <c r="Z62" s="69" t="e">
        <f t="shared" si="69"/>
        <v>#VALUE!</v>
      </c>
      <c r="AA62" s="69" t="e">
        <f t="shared" si="70"/>
        <v>#VALUE!</v>
      </c>
      <c r="AB62" s="66" t="e">
        <f>VLOOKUP(A62,Enforcements!$C$7:$J$21,8,0)</f>
        <v>#N/A</v>
      </c>
      <c r="AC62" s="62" t="e">
        <f>VLOOKUP(A62,Enforcements!$C$7:$E$21,3,0)</f>
        <v>#N/A</v>
      </c>
      <c r="AD62" s="63" t="str">
        <f t="shared" si="71"/>
        <v>0146-27</v>
      </c>
      <c r="AE62" s="99" t="str">
        <f t="shared" si="0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62" s="96" t="str">
        <f t="shared" si="1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62" s="1" t="str">
        <f t="shared" si="72"/>
        <v>EC</v>
      </c>
      <c r="AH62" s="100" t="str">
        <f t="shared" si="73"/>
        <v>"%USERPROFILE%\Documents\GitHub\eaglep3\Utilities\RefineRTDCRunTimes.py" --tripid 146-27 --locoid  --swversion  --startMP  --initTime 1900-01-00T00:00:00 --startdatetime 1900-01-00T00:00:00 --delay  --endMP  --enddatetime 1900-01-00T00:00:00 --enforcementcount  &gt;&gt;C:\Users\stu\Documents\GitHub\eaglep3-reporting\EC\2016-08-27-refined-times.txt</v>
      </c>
      <c r="AI62" s="149" t="e">
        <f t="shared" si="74"/>
        <v>#VALUE!</v>
      </c>
      <c r="AJ62" s="55"/>
      <c r="AK62" s="55"/>
      <c r="AL62" s="55"/>
    </row>
    <row r="63" spans="1:38" s="1" customFormat="1" x14ac:dyDescent="0.25">
      <c r="A63" s="39" t="s">
        <v>454</v>
      </c>
      <c r="B63" s="7">
        <v>4020</v>
      </c>
      <c r="C63" s="24" t="s">
        <v>113</v>
      </c>
      <c r="D63" s="24" t="s">
        <v>455</v>
      </c>
      <c r="E63" s="15">
        <v>42609.402754629627</v>
      </c>
      <c r="F63" s="15">
        <v>42609.40420138889</v>
      </c>
      <c r="G63" s="7">
        <v>1</v>
      </c>
      <c r="H63" s="15" t="s">
        <v>417</v>
      </c>
      <c r="I63" s="15">
        <v>42609.429699074077</v>
      </c>
      <c r="J63" s="7">
        <v>0</v>
      </c>
      <c r="K63" s="132" t="str">
        <f t="shared" ref="K63:K68" si="75">IF(ISEVEN(B63),(B63-1)&amp;"/"&amp;B63,B63&amp;"/"&amp;(B63+1))</f>
        <v>4019/4020</v>
      </c>
      <c r="L63" s="24" t="str">
        <f>VLOOKUP(A63,'Trips&amp;Operators'!$C$1:$E$10000,3,FALSE)</f>
        <v>MAHAN</v>
      </c>
      <c r="M63" s="6">
        <f t="shared" ref="M63:M68" si="76">I63-F63</f>
        <v>2.5497685186564922E-2</v>
      </c>
      <c r="N63" s="7"/>
      <c r="O63" s="7"/>
      <c r="P63" s="7">
        <f>24*60*SUM($M63:$M63)</f>
        <v>36.716666668653488</v>
      </c>
      <c r="Q63" s="25"/>
      <c r="R63" s="25" t="s">
        <v>705</v>
      </c>
      <c r="S63" s="37">
        <f t="shared" ref="S63:S68" si="77">SUM(U63:U63)/IF(AG63="EC",12,1)</f>
        <v>1</v>
      </c>
      <c r="T63" s="52" t="str">
        <f t="shared" ref="T63:T68" si="78">IF(ISEVEN(LEFT(AD63,4)),"Southbound","NorthBound")</f>
        <v>NorthBound</v>
      </c>
      <c r="U63" s="12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6" t="str">
        <f t="shared" ref="V63:V68" si="79"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https://search-rtdc-monitor-bjffxe2xuh6vdkpspy63sjmuny.us-east-1.es.amazonaws.com/_plugin/kibana/#/discover/Steve-Slow-Train-Analysis-(2080s-and-2083s)?_g=(refreshInterval:(display:Off,section:0,value:0),time:(from:'2016-08-27 08:39:58-0600',mode:absolute,to:'2016-08-27 11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63" s="54" t="str">
        <f t="shared" ref="W63:W68" si="80">IF(AA63&lt;IF(AG63="EC",23,5.65),"Y","N")</f>
        <v>Y</v>
      </c>
      <c r="X63" s="120">
        <f t="shared" si="67"/>
        <v>1</v>
      </c>
      <c r="Y63" s="69">
        <f t="shared" ref="Y63:Y68" si="81">RIGHT(D63,LEN(D63)-4)/10000</f>
        <v>1.9117999999999999</v>
      </c>
      <c r="Z63" s="69">
        <f t="shared" ref="Z63:Z68" si="82">RIGHT(H63,LEN(H63)-4)/10000</f>
        <v>23.329699999999999</v>
      </c>
      <c r="AA63" s="69">
        <f t="shared" ref="AA63:AA68" si="83">ABS(Z63-Y63)</f>
        <v>21.417899999999999</v>
      </c>
      <c r="AB63" s="66" t="e">
        <f>VLOOKUP(A63,Enforcements!$C$7:$J$21,8,0)</f>
        <v>#N/A</v>
      </c>
      <c r="AC63" s="62" t="e">
        <f>VLOOKUP(A63,Enforcements!$C$7:$E$21,3,0)</f>
        <v>#N/A</v>
      </c>
      <c r="AD63" s="63" t="str">
        <f t="shared" ref="AD63:AD68" si="84">IF(LEN(A63)=6,"0"&amp;A63,A63)</f>
        <v>0147-27</v>
      </c>
      <c r="AE63" s="99" t="str">
        <f t="shared" si="0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63" s="96" t="str">
        <f t="shared" si="1"/>
        <v>"C:\Program Files (x86)\AstroGrep\AstroGrep.exe" /spath="%USERPROFILE%\AppData\Local\Temp\OnboardLogs" /stypes="*4020*20160827*" /stext=" 16:.+((SYSTEM_STATE.+slice.+state.+changed )|(ment ac)|(system.+state.+changed )|(\|lc)|(penalty)|(\[timeout)|(PRM\|1\|D)|(kpr)|(kdp))" /e /r /s</v>
      </c>
      <c r="AG63" s="1" t="str">
        <f t="shared" ref="AG63:AG68" si="85">IFERROR(IF(VALUE(LEFT(AD63,2))&lt;=2,"EC",IF(OR(VALUE(LEFT(AD63,2))=8,VALUE(LEFT(AD63,2))=18),"NW","Other")),"Other")</f>
        <v>EC</v>
      </c>
      <c r="AH63" s="100" t="str">
        <f t="shared" si="2"/>
        <v>"%USERPROFILE%\Documents\GitHub\eaglep3\Utilities\RefineRTDCRunTimes.py" --tripid 147-27 --locoid 4020 --swversion DE.1.0.7.0 --startMP 204:19118 --initTime 2016-08-27T09:39:58 --startdatetime 2016-08-27T09:42:03 --delay 1 --endMP 204:233297 --enddatetime 2016-08-27T10:18:46 --enforcementcount 0 &gt;&gt;C:\Users\stu\Documents\GitHub\eaglep3-reporting\EC\2016-08-27-refined-times.txt</v>
      </c>
      <c r="AI63" s="149" t="str">
        <f t="shared" si="3"/>
        <v>echo {"issue":{"subject":"Trip ID wasn't available while init'ing at DUS","project_id":79,"tracker_id":40,"status_id":1,"priority_id":2,"assigned_to_id":23,"start_date":"2016-08-27","description":"","custom_fields":[{"id":1,"name":"Subdivision","value":"EC"},{"id":4,"name":"Milepost","value":"21.4179"},{"id":17,"name":"Train ID","value":"147-27"},{"id":16,"name":"Locomotive ID","value":"4020"},{"id":130,"name":"Impact","value":""},{"id":150,"name":"Time of Event (Mountain Time)","value":"10:18:46"},{"id":151,"name":"Denver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456</v>
      </c>
      <c r="B64" s="7">
        <v>4019</v>
      </c>
      <c r="C64" s="24" t="s">
        <v>113</v>
      </c>
      <c r="D64" s="24" t="s">
        <v>273</v>
      </c>
      <c r="E64" s="15">
        <v>42609.432372685187</v>
      </c>
      <c r="F64" s="15">
        <v>42609.435115740744</v>
      </c>
      <c r="G64" s="7">
        <v>1</v>
      </c>
      <c r="H64" s="15" t="s">
        <v>457</v>
      </c>
      <c r="I64" s="15">
        <v>42609.462476851855</v>
      </c>
      <c r="J64" s="7">
        <v>0</v>
      </c>
      <c r="K64" s="132" t="str">
        <f t="shared" si="75"/>
        <v>4019/4020</v>
      </c>
      <c r="L64" s="24" t="str">
        <f>VLOOKUP(A64,'Trips&amp;Operators'!$C$1:$E$10000,3,FALSE)</f>
        <v>MAHAN</v>
      </c>
      <c r="M64" s="6">
        <f t="shared" si="76"/>
        <v>2.73611111115315E-2</v>
      </c>
      <c r="N64" s="7">
        <f>24*60*SUM($M64:$M64)</f>
        <v>39.40000000060536</v>
      </c>
      <c r="O64" s="7"/>
      <c r="P64" s="7"/>
      <c r="Q64" s="25"/>
      <c r="R64" s="25"/>
      <c r="S64" s="37">
        <f t="shared" si="77"/>
        <v>1</v>
      </c>
      <c r="T64" s="52" t="str">
        <f t="shared" si="78"/>
        <v>Southbound</v>
      </c>
      <c r="U64" s="12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https://search-rtdc-monitor-bjffxe2xuh6vdkpspy63sjmuny.us-east-1.es.amazonaws.com/_plugin/kibana/#/discover/Steve-Slow-Train-Analysis-(2080s-and-2083s)?_g=(refreshInterval:(display:Off,section:0,value:0),time:(from:'2016-08-27 09:22:37-0600',mode:absolute,to:'2016-08-27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64" s="54" t="str">
        <f t="shared" si="80"/>
        <v>N</v>
      </c>
      <c r="X64" s="120">
        <f t="shared" si="67"/>
        <v>1</v>
      </c>
      <c r="Y64" s="69">
        <f t="shared" si="81"/>
        <v>23.299299999999999</v>
      </c>
      <c r="Z64" s="69">
        <f t="shared" si="82"/>
        <v>2.1999999999999999E-2</v>
      </c>
      <c r="AA64" s="69">
        <f t="shared" si="83"/>
        <v>23.2773</v>
      </c>
      <c r="AB64" s="66" t="e">
        <f>VLOOKUP(A64,Enforcements!$C$7:$J$21,8,0)</f>
        <v>#N/A</v>
      </c>
      <c r="AC64" s="62" t="e">
        <f>VLOOKUP(A64,Enforcements!$C$7:$E$21,3,0)</f>
        <v>#N/A</v>
      </c>
      <c r="AD64" s="63" t="str">
        <f t="shared" si="84"/>
        <v>0148-27</v>
      </c>
      <c r="AE64" s="99" t="str">
        <f t="shared" si="0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64" s="96" t="str">
        <f t="shared" si="1"/>
        <v>"C:\Program Files (x86)\AstroGrep\AstroGrep.exe" /spath="%USERPROFILE%\AppData\Local\Temp\OnboardLogs" /stypes="*4019*20160827*" /stext=" 17:.+((SYSTEM_STATE.+slice.+state.+changed )|(ment ac)|(system.+state.+changed )|(\|lc)|(penalty)|(\[timeout)|(PRM\|1\|D)|(kpr)|(kdp))" /e /r /s</v>
      </c>
      <c r="AG64" s="1" t="str">
        <f t="shared" si="85"/>
        <v>EC</v>
      </c>
      <c r="AH64" s="100" t="str">
        <f t="shared" si="2"/>
        <v>"%USERPROFILE%\Documents\GitHub\eaglep3\Utilities\RefineRTDCRunTimes.py" --tripid 148-27 --locoid 4019 --swversion DE.1.0.7.0 --startMP 204:232993 --initTime 2016-08-27T10:22:37 --startdatetime 2016-08-27T10:26:34 --delay 1 --endMP 204:220 --enddatetime 2016-08-27T11:05:58 --enforcementcount 0 &gt;&gt;C:\Users\stu\Documents\GitHub\eaglep3-reporting\EC\2016-08-27-refined-times.txt</v>
      </c>
      <c r="AI64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{"issue":{"subject":"","project_id":79,"tracker_id":40,"status_id":1,"priority_id":2,"assigned_to_id":23,"start_date":"2016-08-27","description":"","custom_fields":[{"id":1,"name":"Subdivision","value":"EC"},{"id":4,"name":"Milepost","value":"23.2773"},{"id":17,"name":"Train ID","value":"148-27"},{"id":16,"name":"Locomotive ID","value":"4019"},{"id":130,"name":"Impact","value":""},{"id":150,"name":"Time of Event (Mountain Time)","value":"11:05:58"},{"id":151,"name":"Denver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458</v>
      </c>
      <c r="B65" s="7">
        <v>4031</v>
      </c>
      <c r="C65" s="24" t="s">
        <v>113</v>
      </c>
      <c r="D65" s="24" t="s">
        <v>182</v>
      </c>
      <c r="E65" s="15">
        <v>42609.40415509259</v>
      </c>
      <c r="F65" s="15">
        <v>42609.406956018516</v>
      </c>
      <c r="G65" s="7">
        <v>1</v>
      </c>
      <c r="H65" s="15" t="s">
        <v>459</v>
      </c>
      <c r="I65" s="15">
        <v>42609.432037037041</v>
      </c>
      <c r="J65" s="7">
        <v>0</v>
      </c>
      <c r="K65" s="132" t="str">
        <f t="shared" si="75"/>
        <v>4031/4032</v>
      </c>
      <c r="L65" s="24" t="str">
        <f>VLOOKUP(A65,'Trips&amp;Operators'!$C$1:$E$10000,3,FALSE)</f>
        <v>MAELZER</v>
      </c>
      <c r="M65" s="6">
        <f t="shared" si="76"/>
        <v>2.5081018524360843E-2</v>
      </c>
      <c r="N65" s="7">
        <f>24*60*SUM($M65:$M65)</f>
        <v>36.116666675079614</v>
      </c>
      <c r="O65" s="7"/>
      <c r="P65" s="7"/>
      <c r="Q65" s="25"/>
      <c r="R65" s="25"/>
      <c r="S65" s="37">
        <f t="shared" si="77"/>
        <v>1</v>
      </c>
      <c r="T65" s="52" t="str">
        <f t="shared" si="78"/>
        <v>NorthBound</v>
      </c>
      <c r="U65" s="12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https://search-rtdc-monitor-bjffxe2xuh6vdkpspy63sjmuny.us-east-1.es.amazonaws.com/_plugin/kibana/#/discover/Steve-Slow-Train-Analysis-(2080s-and-2083s)?_g=(refreshInterval:(display:Off,section:0,value:0),time:(from:'2016-08-27 08:41:59-0600',mode:absolute,to:'2016-08-27 11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65" s="54" t="str">
        <f t="shared" si="80"/>
        <v>N</v>
      </c>
      <c r="X65" s="120">
        <f t="shared" si="67"/>
        <v>1</v>
      </c>
      <c r="Y65" s="69">
        <f t="shared" si="81"/>
        <v>4.4400000000000002E-2</v>
      </c>
      <c r="Z65" s="69">
        <f t="shared" si="82"/>
        <v>23.325900000000001</v>
      </c>
      <c r="AA65" s="69">
        <f t="shared" si="83"/>
        <v>23.281500000000001</v>
      </c>
      <c r="AB65" s="66" t="e">
        <f>VLOOKUP(A65,Enforcements!$C$7:$J$21,8,0)</f>
        <v>#N/A</v>
      </c>
      <c r="AC65" s="62" t="e">
        <f>VLOOKUP(A65,Enforcements!$C$7:$E$21,3,0)</f>
        <v>#N/A</v>
      </c>
      <c r="AD65" s="63" t="str">
        <f t="shared" si="84"/>
        <v>0149-27</v>
      </c>
      <c r="AE65" s="99" t="str">
        <f t="shared" si="0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65" s="96" t="str">
        <f t="shared" si="1"/>
        <v>"C:\Program Files (x86)\AstroGrep\AstroGrep.exe" /spath="%USERPROFILE%\AppData\Local\Temp\OnboardLogs" /stypes="*4031*20160827*" /stext=" 16:.+((SYSTEM_STATE.+slice.+state.+changed )|(ment ac)|(system.+state.+changed )|(\|lc)|(penalty)|(\[timeout)|(PRM\|1\|D)|(kpr)|(kdp))" /e /r /s</v>
      </c>
      <c r="AG65" s="1" t="str">
        <f t="shared" si="85"/>
        <v>EC</v>
      </c>
      <c r="AH65" s="100" t="str">
        <f t="shared" si="2"/>
        <v>"%USERPROFILE%\Documents\GitHub\eaglep3\Utilities\RefineRTDCRunTimes.py" --tripid 149-27 --locoid 4031 --swversion DE.1.0.7.0 --startMP 204:444 --initTime 2016-08-27T09:41:59 --startdatetime 2016-08-27T09:46:01 --delay 1 --endMP 204:233259 --enddatetime 2016-08-27T10:22:08 --enforcementcount 0 &gt;&gt;C:\Users\stu\Documents\GitHub\eaglep3-reporting\EC\2016-08-27-refined-times.txt</v>
      </c>
      <c r="AI65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{"issue":{"subject":"","project_id":79,"tracker_id":40,"status_id":1,"priority_id":2,"assigned_to_id":23,"start_date":"2016-08-27","description":"","custom_fields":[{"id":1,"name":"Subdivision","value":"EC"},{"id":4,"name":"Milepost","value":"23.2815"},{"id":17,"name":"Train ID","value":"149-27"},{"id":16,"name":"Locomotive ID","value":"4031"},{"id":130,"name":"Impact","value":""},{"id":150,"name":"Time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460</v>
      </c>
      <c r="B66" s="7">
        <v>4032</v>
      </c>
      <c r="C66" s="24" t="s">
        <v>113</v>
      </c>
      <c r="D66" s="24" t="s">
        <v>461</v>
      </c>
      <c r="E66" s="15">
        <v>42609.436932870369</v>
      </c>
      <c r="F66" s="15">
        <v>42609.446226851855</v>
      </c>
      <c r="G66" s="7">
        <v>1</v>
      </c>
      <c r="H66" s="15" t="s">
        <v>183</v>
      </c>
      <c r="I66" s="15">
        <v>42609.472233796296</v>
      </c>
      <c r="J66" s="7">
        <v>0</v>
      </c>
      <c r="K66" s="132" t="str">
        <f t="shared" si="75"/>
        <v>4031/4032</v>
      </c>
      <c r="L66" s="24" t="str">
        <f>VLOOKUP(A66,'Trips&amp;Operators'!$C$1:$E$10000,3,FALSE)</f>
        <v>MAELZER</v>
      </c>
      <c r="M66" s="6">
        <f t="shared" si="76"/>
        <v>2.6006944441178348E-2</v>
      </c>
      <c r="N66" s="7">
        <f>24*60*SUM($M66:$M66)</f>
        <v>37.449999995296821</v>
      </c>
      <c r="O66" s="7"/>
      <c r="P66" s="7"/>
      <c r="Q66" s="25"/>
      <c r="R66" s="25"/>
      <c r="S66" s="37">
        <f t="shared" si="77"/>
        <v>1</v>
      </c>
      <c r="T66" s="52" t="str">
        <f t="shared" si="78"/>
        <v>Southbound</v>
      </c>
      <c r="U66" s="12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https://search-rtdc-monitor-bjffxe2xuh6vdkpspy63sjmuny.us-east-1.es.amazonaws.com/_plugin/kibana/#/discover/Steve-Slow-Train-Analysis-(2080s-and-2083s)?_g=(refreshInterval:(display:Off,section:0,value:0),time:(from:'2016-08-27 09:29:11-0600',mode:absolute,to:'2016-08-27 12:20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66" s="54" t="str">
        <f t="shared" si="80"/>
        <v>N</v>
      </c>
      <c r="X66" s="120">
        <f t="shared" si="67"/>
        <v>1</v>
      </c>
      <c r="Y66" s="69">
        <f t="shared" si="81"/>
        <v>23.2944</v>
      </c>
      <c r="Z66" s="69">
        <f t="shared" si="82"/>
        <v>1.4500000000000001E-2</v>
      </c>
      <c r="AA66" s="69">
        <f t="shared" si="83"/>
        <v>23.279899999999998</v>
      </c>
      <c r="AB66" s="66" t="e">
        <f>VLOOKUP(A66,Enforcements!$C$7:$J$21,8,0)</f>
        <v>#N/A</v>
      </c>
      <c r="AC66" s="62" t="e">
        <f>VLOOKUP(A66,Enforcements!$C$7:$E$21,3,0)</f>
        <v>#N/A</v>
      </c>
      <c r="AD66" s="63" t="str">
        <f t="shared" si="84"/>
        <v>0150-27</v>
      </c>
      <c r="AE66" s="99" t="str">
        <f t="shared" si="0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66" s="96" t="str">
        <f t="shared" si="1"/>
        <v>"C:\Program Files (x86)\AstroGrep\AstroGrep.exe" /spath="%USERPROFILE%\AppData\Local\Temp\OnboardLogs" /stypes="*4032*20160827*" /stext=" 17:.+((SYSTEM_STATE.+slice.+state.+changed )|(ment ac)|(system.+state.+changed )|(\|lc)|(penalty)|(\[timeout)|(PRM\|1\|D)|(kpr)|(kdp))" /e /r /s</v>
      </c>
      <c r="AG66" s="1" t="str">
        <f t="shared" si="85"/>
        <v>EC</v>
      </c>
      <c r="AH66" s="100" t="str">
        <f t="shared" si="2"/>
        <v>"%USERPROFILE%\Documents\GitHub\eaglep3\Utilities\RefineRTDCRunTimes.py" --tripid 150-27 --locoid 4032 --swversion DE.1.0.7.0 --startMP 204:232944 --initTime 2016-08-27T10:29:11 --startdatetime 2016-08-27T10:42:34 --delay 1 --endMP 204:145 --enddatetime 2016-08-27T11:20:01 --enforcementcount 0 &gt;&gt;C:\Users\stu\Documents\GitHub\eaglep3-reporting\EC\2016-08-27-refined-times.txt</v>
      </c>
      <c r="AI66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{"issue":{"subject":"","project_id":79,"tracker_id":40,"status_id":1,"priority_id":2,"assigned_to_id":23,"start_date":"2016-08-27","description":"","custom_fields":[{"id":1,"name":"Subdivision","value":"EC"},{"id":4,"name":"Milepost","value":"23.2799"},{"id":17,"name":"Train ID","value":"150-27"},{"id":16,"name":"Locomotive ID","value":"4032"},{"id":130,"name":"Impact","value":""},{"id":150,"name":"Time of Event (Mountain Time)","value":"11:20:01"},{"id":151,"name":"Denver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462</v>
      </c>
      <c r="B67" s="7">
        <v>4042</v>
      </c>
      <c r="C67" s="24" t="s">
        <v>113</v>
      </c>
      <c r="D67" s="24" t="s">
        <v>192</v>
      </c>
      <c r="E67" s="15">
        <v>42609.414189814815</v>
      </c>
      <c r="F67" s="15">
        <v>42609.416932870372</v>
      </c>
      <c r="G67" s="7">
        <v>1</v>
      </c>
      <c r="H67" s="15" t="s">
        <v>463</v>
      </c>
      <c r="I67" s="15">
        <v>42609.449328703704</v>
      </c>
      <c r="J67" s="7">
        <v>0</v>
      </c>
      <c r="K67" s="132" t="str">
        <f t="shared" si="75"/>
        <v>4041/4042</v>
      </c>
      <c r="L67" s="24" t="str">
        <f>VLOOKUP(A67,'Trips&amp;Operators'!$C$1:$E$10000,3,FALSE)</f>
        <v>STRICKLAND</v>
      </c>
      <c r="M67" s="6">
        <f t="shared" si="76"/>
        <v>3.2395833331975155E-2</v>
      </c>
      <c r="N67" s="7">
        <f>24*60*SUM($M67:$M67)</f>
        <v>46.649999998044223</v>
      </c>
      <c r="O67" s="7"/>
      <c r="P67" s="7"/>
      <c r="Q67" s="25"/>
      <c r="R67" s="25"/>
      <c r="S67" s="37">
        <f t="shared" si="77"/>
        <v>1</v>
      </c>
      <c r="T67" s="52" t="str">
        <f t="shared" si="78"/>
        <v>NorthBound</v>
      </c>
      <c r="U67" s="12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67" s="54" t="str">
        <f t="shared" si="80"/>
        <v>N</v>
      </c>
      <c r="X67" s="120">
        <f t="shared" si="67"/>
        <v>1</v>
      </c>
      <c r="Y67" s="69">
        <f t="shared" si="81"/>
        <v>4.5999999999999999E-2</v>
      </c>
      <c r="Z67" s="69">
        <f t="shared" si="82"/>
        <v>23.32</v>
      </c>
      <c r="AA67" s="69">
        <f t="shared" si="83"/>
        <v>23.274000000000001</v>
      </c>
      <c r="AB67" s="66">
        <f>VLOOKUP(A67,Enforcements!$C$7:$J$21,8,0)</f>
        <v>63069</v>
      </c>
      <c r="AC67" s="62" t="str">
        <f>VLOOKUP(A67,Enforcements!$C$7:$E$21,3,0)</f>
        <v>GRADE CROSSING</v>
      </c>
      <c r="AD67" s="63" t="str">
        <f t="shared" si="84"/>
        <v>0151-27</v>
      </c>
      <c r="AE67" s="99" t="str">
        <f t="shared" si="0"/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67" s="96" t="str">
        <f t="shared" si="1"/>
        <v>"C:\Program Files (x86)\AstroGrep\AstroGrep.exe" /spath="%USERPROFILE%\AppData\Local\Temp\OnboardLogs" /stypes="*4042*20160827*" /stext=" 16:.+((SYSTEM_STATE.+slice.+state.+changed )|(ment ac)|(system.+state.+changed )|(\|lc)|(penalty)|(\[timeout)|(PRM\|1\|D)|(kpr)|(kdp))" /e /r /s</v>
      </c>
      <c r="AG67" s="1" t="str">
        <f t="shared" si="85"/>
        <v>EC</v>
      </c>
      <c r="AH67" s="100" t="str">
        <f t="shared" si="2"/>
        <v>"%USERPROFILE%\Documents\GitHub\eaglep3\Utilities\RefineRTDCRunTimes.py" --tripid 151-27 --locoid 4042 --swversion DE.1.0.7.0 --startMP 204:460 --initTime 2016-08-27T09:56:26 --startdatetime 2016-08-27T10:00:23 --delay 1 --endMP 204:233200 --enddatetime 2016-08-27T10:47:02 --enforcementcount 0 &gt;&gt;C:\Users\stu\Documents\GitHub\eaglep3-reporting\EC\2016-08-27-refined-times.txt</v>
      </c>
      <c r="AI67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{"issue":{"subject":"","project_id":79,"tracker_id":40,"status_id":1,"priority_id":2,"assigned_to_id":23,"start_date":"2016-08-27","description":"","custom_fields":[{"id":1,"name":"Subdivision","value":"EC"},{"id":4,"name":"Milepost","value":"23.274"},{"id":17,"name":"Train ID","value":"151-27"},{"id":16,"name":"Locomotive ID","value":"4042"},{"id":130,"name":"Impact","value":""},{"id":150,"name":"Time of Event (Mountain Time)","value":"10:47:02"},{"id":151,"name":"Denver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464</v>
      </c>
      <c r="B68" s="7">
        <v>4041</v>
      </c>
      <c r="C68" s="24" t="s">
        <v>113</v>
      </c>
      <c r="D68" s="24" t="s">
        <v>465</v>
      </c>
      <c r="E68" s="15">
        <v>42609.453379629631</v>
      </c>
      <c r="F68" s="15">
        <v>42609.456504629627</v>
      </c>
      <c r="G68" s="7">
        <v>1</v>
      </c>
      <c r="H68" s="15" t="s">
        <v>175</v>
      </c>
      <c r="I68" s="15">
        <v>42609.485474537039</v>
      </c>
      <c r="J68" s="7">
        <v>0</v>
      </c>
      <c r="K68" s="132" t="str">
        <f t="shared" si="75"/>
        <v>4041/4042</v>
      </c>
      <c r="L68" s="24" t="str">
        <f>VLOOKUP(A68,'Trips&amp;Operators'!$C$1:$E$10000,3,FALSE)</f>
        <v>STRICKLAND</v>
      </c>
      <c r="M68" s="6">
        <f t="shared" si="76"/>
        <v>2.8969907412829343E-2</v>
      </c>
      <c r="N68" s="7">
        <f>24*60*SUM($M68:$M68)</f>
        <v>41.716666674474254</v>
      </c>
      <c r="O68" s="7"/>
      <c r="P68" s="7"/>
      <c r="Q68" s="25"/>
      <c r="R68" s="25"/>
      <c r="S68" s="37">
        <f t="shared" si="77"/>
        <v>1</v>
      </c>
      <c r="T68" s="52" t="str">
        <f t="shared" si="78"/>
        <v>Southbound</v>
      </c>
      <c r="U68" s="12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6" t="str">
        <f t="shared" si="79"/>
        <v>https://search-rtdc-monitor-bjffxe2xuh6vdkpspy63sjmuny.us-east-1.es.amazonaws.com/_plugin/kibana/#/discover/Steve-Slow-Train-Analysis-(2080s-and-2083s)?_g=(refreshInterval:(display:Off,section:0,value:0),time:(from:'2016-08-27 09:52:52-0600',mode:absolute,to:'2016-08-27 12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68" s="54" t="str">
        <f t="shared" si="80"/>
        <v>N</v>
      </c>
      <c r="X68" s="120">
        <f>VALUE(LEFT(AD68,4))-VALUE(LEFT(AD67,4))</f>
        <v>1</v>
      </c>
      <c r="Y68" s="69">
        <f t="shared" si="81"/>
        <v>23.2879</v>
      </c>
      <c r="Z68" s="69">
        <f t="shared" si="82"/>
        <v>1.41E-2</v>
      </c>
      <c r="AA68" s="69">
        <f t="shared" si="83"/>
        <v>23.273800000000001</v>
      </c>
      <c r="AB68" s="66" t="e">
        <f>VLOOKUP(A68,Enforcements!$C$7:$J$21,8,0)</f>
        <v>#N/A</v>
      </c>
      <c r="AC68" s="62" t="e">
        <f>VLOOKUP(A68,Enforcements!$C$7:$E$21,3,0)</f>
        <v>#N/A</v>
      </c>
      <c r="AD68" s="63" t="str">
        <f t="shared" si="84"/>
        <v>0152-27</v>
      </c>
      <c r="AE68" s="99" t="str">
        <f t="shared" si="0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68" s="96" t="str">
        <f t="shared" si="1"/>
        <v>"C:\Program Files (x86)\AstroGrep\AstroGrep.exe" /spath="%USERPROFILE%\AppData\Local\Temp\OnboardLogs" /stypes="*4041*20160827*" /stext=" 17:.+((SYSTEM_STATE.+slice.+state.+changed )|(ment ac)|(system.+state.+changed )|(\|lc)|(penalty)|(\[timeout)|(PRM\|1\|D)|(kpr)|(kdp))" /e /r /s</v>
      </c>
      <c r="AG68" s="1" t="str">
        <f t="shared" si="85"/>
        <v>EC</v>
      </c>
      <c r="AH68" s="100" t="str">
        <f t="shared" si="2"/>
        <v>"%USERPROFILE%\Documents\GitHub\eaglep3\Utilities\RefineRTDCRunTimes.py" --tripid 152-27 --locoid 4041 --swversion DE.1.0.7.0 --startMP 204:232879 --initTime 2016-08-27T10:52:52 --startdatetime 2016-08-27T10:57:22 --delay 1 --endMP 204:141 --enddatetime 2016-08-27T11:39:05 --enforcementcount 0 &gt;&gt;C:\Users\stu\Documents\GitHub\eaglep3-reporting\EC\2016-08-27-refined-times.txt</v>
      </c>
      <c r="AI68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{"issue":{"subject":"","project_id":79,"tracker_id":40,"status_id":1,"priority_id":2,"assigned_to_id":23,"start_date":"2016-08-27","description":"","custom_fields":[{"id":1,"name":"Subdivision","value":"EC"},{"id":4,"name":"Milepost","value":"23.2738"},{"id":17,"name":"Train ID","value":"152-27"},{"id":16,"name":"Locomotive ID","value":"4041"},{"id":130,"name":"Impact","value":""},{"id":150,"name":"Time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680</v>
      </c>
      <c r="B69" s="7"/>
      <c r="C69" s="24" t="s">
        <v>113</v>
      </c>
      <c r="D69" s="24" t="s">
        <v>465</v>
      </c>
      <c r="E69" s="15">
        <v>42609.453379629631</v>
      </c>
      <c r="F69" s="15">
        <v>42609.456504629627</v>
      </c>
      <c r="G69" s="7">
        <v>1</v>
      </c>
      <c r="H69" s="15" t="s">
        <v>175</v>
      </c>
      <c r="I69" s="15">
        <v>42609.485474537039</v>
      </c>
      <c r="J69" s="7">
        <v>0</v>
      </c>
      <c r="K69" s="132" t="str">
        <f t="shared" ref="K69:K70" si="86">IF(ISEVEN(B69),(B69-1)&amp;"/"&amp;B69,B69&amp;"/"&amp;(B69+1))</f>
        <v>-1/</v>
      </c>
      <c r="L69" s="24" t="str">
        <f>VLOOKUP(A69,'Trips&amp;Operators'!$C$1:$E$10000,3,FALSE)</f>
        <v>MALAVE</v>
      </c>
      <c r="M69" s="6">
        <f t="shared" ref="M69:M70" si="87">I69-F69</f>
        <v>2.8969907412829343E-2</v>
      </c>
      <c r="N69" s="7"/>
      <c r="O69" s="7"/>
      <c r="P69" s="7">
        <v>1</v>
      </c>
      <c r="Q69" s="25"/>
      <c r="R69" s="25" t="s">
        <v>706</v>
      </c>
      <c r="S69" s="37">
        <f t="shared" ref="S69:S70" si="88">SUM(U69:U69)/IF(AG69="EC",12,1)</f>
        <v>0</v>
      </c>
      <c r="T69" s="52" t="str">
        <f t="shared" ref="T69:T70" si="89">IF(ISEVEN(LEFT(AD69,4)),"Southbound","NorthBound")</f>
        <v>NorthBound</v>
      </c>
      <c r="U69" s="12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06" t="str">
        <f t="shared" ref="V69:V70" si="90"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https://search-rtdc-monitor-bjffxe2xuh6vdkpspy63sjmuny.us-east-1.es.amazonaws.com/_plugin/kibana/#/discover/Steve-Slow-Train-Analysis-(2080s-and-2083s)?_g=(refreshInterval:(display:Off,section:0,value:0),time:(from:'2016-08-27 09:52:52-0600',mode:absolute,to:'2016-08-27 12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69" s="54" t="str">
        <f t="shared" ref="W69:W70" si="91">IF(AA69&lt;IF(AG69="EC",23,5.65),"Y","N")</f>
        <v>N</v>
      </c>
      <c r="X69" s="120">
        <f t="shared" ref="X69:X75" si="92">VALUE(LEFT(AD69,4))-VALUE(LEFT(AD68,4))</f>
        <v>1</v>
      </c>
      <c r="Y69" s="69">
        <f t="shared" ref="Y69:Y70" si="93">RIGHT(D69,LEN(D69)-4)/10000</f>
        <v>23.2879</v>
      </c>
      <c r="Z69" s="69">
        <f t="shared" ref="Z69:Z70" si="94">RIGHT(H69,LEN(H69)-4)/10000</f>
        <v>1.41E-2</v>
      </c>
      <c r="AA69" s="69">
        <f t="shared" ref="AA69:AA70" si="95">ABS(Z69-Y69)</f>
        <v>23.273800000000001</v>
      </c>
      <c r="AB69" s="66" t="e">
        <f>VLOOKUP(A69,Enforcements!$C$7:$J$21,8,0)</f>
        <v>#N/A</v>
      </c>
      <c r="AC69" s="62" t="e">
        <f>VLOOKUP(A69,Enforcements!$C$7:$E$21,3,0)</f>
        <v>#N/A</v>
      </c>
      <c r="AD69" s="63" t="str">
        <f t="shared" ref="AD69:AD70" si="96">IF(LEN(A69)=6,"0"&amp;A69,A69)</f>
        <v>0153-27</v>
      </c>
      <c r="AE69" s="99" t="str">
        <f t="shared" si="0"/>
        <v>aws s3 cp s3://rtdc.mdm.uploadarchive/RTDC/2016-08-27/ "%USERPROFILE%\AppData\Local\Temp\OnboardLogs"\RTDC\2016-08-27 --recursive &amp; "%USERPROFILE%\Documents\GitHub\mrs-test-scripts\Headless Mode &amp; Sideloading\WalkAndUnGZ.bat" "%USERPROFILE%\AppData\Local\Temp\OnboardLogs"\RTDC\2016-08-27 &amp; aws s3 cp s3://rtdc.mdm.uploadarchive/RTDC/2016-08-28/ "%USERPROFILE%\AppData\Local\Temp\OnboardLogs"\RTDC\2016-08-28 --recursive &amp; "%USERPROFILE%\Documents\GitHub\mrs-test-scripts\Headless Mode &amp; Sideloading\WalkAndUnGZ.bat" "%USERPROFILE%\AppData\Local\Temp\OnboardLogs"\RTDC\2016-08-28</v>
      </c>
      <c r="AF69" s="96" t="str">
        <f t="shared" si="1"/>
        <v>"C:\Program Files (x86)\AstroGrep\AstroGrep.exe" /spath="%USERPROFILE%\AppData\Local\Temp\OnboardLogs" /stypes="**20160827*" /stext=" 17:.+((SYSTEM_STATE.+slice.+state.+changed )|(ment ac)|(system.+state.+changed )|(\|lc)|(penalty)|(\[timeout)|(PRM\|1\|D)|(kpr)|(kdp))" /e /r /s</v>
      </c>
      <c r="AG69" s="1" t="str">
        <f t="shared" ref="AG69:AG70" si="97">IFERROR(IF(VALUE(LEFT(AD69,2))&lt;=2,"EC",IF(OR(VALUE(LEFT(AD69,2))=8,VALUE(LEFT(AD69,2))=18),"NW","Other")),"Other")</f>
        <v>EC</v>
      </c>
      <c r="AH69" s="100" t="str">
        <f t="shared" ref="AH69:AH70" si="98">refinertdcruntimes&amp;" --tripid "&amp;A69&amp;" --locoid "&amp;B69&amp;" --swversion "&amp;C69&amp;" --startMP "&amp;D69&amp;" --initTime "&amp;TEXT(E69,"yyyy-mm-ddTHH:MM:SS")&amp;" --startdatetime "&amp;TEXT(F69,"yyyy-mm-ddTHH:MM:SS")&amp;" --delay "&amp;G69&amp;" --endMP "&amp;H69&amp;" --enddatetime "&amp;TEXT(I69,"yyyy-mm-ddTHH:MM:SS")&amp;" --enforcementcount "&amp;J69&amp;IF(outputrefinedruntimes," &gt;&gt;"&amp;RefinedRTDCRunTimesOutputFile,"")</f>
        <v>"%USERPROFILE%\Documents\GitHub\eaglep3\Utilities\RefineRTDCRunTimes.py" --tripid 153-27 --locoid  --swversion DE.1.0.7.0 --startMP 204:232879 --initTime 2016-08-27T10:52:52 --startdatetime 2016-08-27T10:57:22 --delay 1 --endMP 204:141 --enddatetime 2016-08-27T11:39:05 --enforcementcount 0 &gt;&gt;C:\Users\stu\Documents\GitHub\eaglep3-reporting\EC\2016-08-27-refined-times.txt</v>
      </c>
      <c r="AI69" s="149" t="str">
        <f t="shared" ref="AI69:AI70" si="99">"echo {""issue"":{""subject"":"""&amp;R69&amp;""",""project_id"":79,""tracker_id"":40,""status_id"":"&amp;redmine_status&amp;",""priority_id"":"&amp;redmine_priority&amp;",""assigned_to_id"":"&amp;redmine_assignee&amp;",""start_date"":"""&amp;TEXT(I69,"YYYY-mm-dd")&amp;""",""description"":"""&amp;AJ69&amp;""",""custom_fields"":[{""id"":1,""name"":""Subdivision"",""value"":"""&amp;AG69&amp;"""},{""id"":4,""name"":""Milepost"",""value"":"""&amp;AA69&amp;"""},{""id"":17,""name"":""Train ID"",""value"":"""&amp;A69&amp;"""},{""id"":16,""name"":""Locomotive ID"",""value"":"""&amp;B69&amp;"""},{""id"":130,""name"":""Impact"",""value"":"""&amp;AK69&amp;"""},{""id"":150,""name"":""Time of Event (Mountain Time)"",""value"":"""&amp;TEXT(I69,"hh:mm:ss")&amp;"""},{""id"":151,""name"":""Denver Issue ID"",""value"":"""&amp;"""},{""id"":178,""name"":""Operational Impact"",""value"":"""&amp;redmine_op_impact&amp;"""},{""id"":179,""name"":""Denver Segment Assigned"",""value"":"""&amp;AL69&amp;"""}]}}"&amp;" | curl -X POST -H ""Content-Type: application/json"" -H ""X-Redmine-API-Key: "&amp;redm_api_key&amp;""" "&amp;redm_url&amp;" --data @-"</f>
        <v>echo {"issue":{"subject":"Consist wasn't correctly populated while init'ing at DUS","project_id":79,"tracker_id":40,"status_id":1,"priority_id":2,"assigned_to_id":23,"start_date":"2016-08-27","description":"","custom_fields":[{"id":1,"name":"Subdivision","value":"EC"},{"id":4,"name":"Milepost","value":"23.2738"},{"id":17,"name":"Train ID","value":"153-27"},{"id":16,"name":"Locomotive ID","value":""},{"id":130,"name":"Impact","value":""},{"id":150,"name":"Time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683</v>
      </c>
      <c r="B70" s="7"/>
      <c r="C70" s="24" t="s">
        <v>113</v>
      </c>
      <c r="D70" s="24" t="s">
        <v>465</v>
      </c>
      <c r="E70" s="15">
        <v>42609.453379629631</v>
      </c>
      <c r="F70" s="15">
        <v>42609.456504629627</v>
      </c>
      <c r="G70" s="7">
        <v>1</v>
      </c>
      <c r="H70" s="15" t="s">
        <v>175</v>
      </c>
      <c r="I70" s="15">
        <v>42609.485474537039</v>
      </c>
      <c r="J70" s="7">
        <v>0</v>
      </c>
      <c r="K70" s="132" t="str">
        <f t="shared" si="86"/>
        <v>-1/</v>
      </c>
      <c r="L70" s="24" t="str">
        <f>VLOOKUP(A70,'Trips&amp;Operators'!$C$1:$E$10000,3,FALSE)</f>
        <v>MALAVE</v>
      </c>
      <c r="M70" s="6">
        <f t="shared" si="87"/>
        <v>2.8969907412829343E-2</v>
      </c>
      <c r="N70" s="7"/>
      <c r="O70" s="7"/>
      <c r="P70" s="7">
        <v>1</v>
      </c>
      <c r="Q70" s="25"/>
      <c r="R70" s="25" t="s">
        <v>706</v>
      </c>
      <c r="S70" s="37">
        <f t="shared" si="88"/>
        <v>1</v>
      </c>
      <c r="T70" s="52" t="str">
        <f t="shared" si="89"/>
        <v>Southbound</v>
      </c>
      <c r="U70" s="12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6" t="str">
        <f t="shared" si="90"/>
        <v>https://search-rtdc-monitor-bjffxe2xuh6vdkpspy63sjmuny.us-east-1.es.amazonaws.com/_plugin/kibana/#/discover/Steve-Slow-Train-Analysis-(2080s-and-2083s)?_g=(refreshInterval:(display:Off,section:0,value:0),time:(from:'2016-08-27 09:52:52-0600',mode:absolute,to:'2016-08-27 12:39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%22')),sort:!(Time,asc))</v>
      </c>
      <c r="W70" s="54" t="str">
        <f t="shared" si="91"/>
        <v>N</v>
      </c>
      <c r="X70" s="120">
        <f t="shared" si="92"/>
        <v>1</v>
      </c>
      <c r="Y70" s="69">
        <f t="shared" si="93"/>
        <v>23.2879</v>
      </c>
      <c r="Z70" s="69">
        <f t="shared" si="94"/>
        <v>1.41E-2</v>
      </c>
      <c r="AA70" s="69">
        <f t="shared" si="95"/>
        <v>23.273800000000001</v>
      </c>
      <c r="AB70" s="66" t="e">
        <f>VLOOKUP(A70,Enforcements!$C$7:$J$21,8,0)</f>
        <v>#N/A</v>
      </c>
      <c r="AC70" s="62" t="e">
        <f>VLOOKUP(A70,Enforcements!$C$7:$E$21,3,0)</f>
        <v>#N/A</v>
      </c>
      <c r="AD70" s="63" t="str">
        <f t="shared" si="96"/>
        <v>0154-27</v>
      </c>
      <c r="AE70" s="99" t="str">
        <f t="shared" si="0"/>
        <v>aws s3 cp s3://rtdc.mdm.uploadarchive/RTDC/2016-08-27/ "%USERPROFILE%\AppData\Local\Temp\OnboardLogs"\RTDC\2016-08-27 --recursive &amp; "%USERPROFILE%\Documents\GitHub\mrs-test-scripts\Headless Mode &amp; Sideloading\WalkAndUnGZ.bat" "%USERPROFILE%\AppData\Local\Temp\OnboardLogs"\RTDC\2016-08-27 &amp; aws s3 cp s3://rtdc.mdm.uploadarchive/RTDC/2016-08-28/ "%USERPROFILE%\AppData\Local\Temp\OnboardLogs"\RTDC\2016-08-28 --recursive &amp; "%USERPROFILE%\Documents\GitHub\mrs-test-scripts\Headless Mode &amp; Sideloading\WalkAndUnGZ.bat" "%USERPROFILE%\AppData\Local\Temp\OnboardLogs"\RTDC\2016-08-28</v>
      </c>
      <c r="AF70" s="96" t="str">
        <f t="shared" si="1"/>
        <v>"C:\Program Files (x86)\AstroGrep\AstroGrep.exe" /spath="%USERPROFILE%\AppData\Local\Temp\OnboardLogs" /stypes="**20160827*" /stext=" 17:.+((SYSTEM_STATE.+slice.+state.+changed )|(ment ac)|(system.+state.+changed )|(\|lc)|(penalty)|(\[timeout)|(PRM\|1\|D)|(kpr)|(kdp))" /e /r /s</v>
      </c>
      <c r="AG70" s="1" t="str">
        <f t="shared" si="97"/>
        <v>EC</v>
      </c>
      <c r="AH70" s="100" t="str">
        <f t="shared" si="98"/>
        <v>"%USERPROFILE%\Documents\GitHub\eaglep3\Utilities\RefineRTDCRunTimes.py" --tripid 154-27 --locoid  --swversion DE.1.0.7.0 --startMP 204:232879 --initTime 2016-08-27T10:52:52 --startdatetime 2016-08-27T10:57:22 --delay 1 --endMP 204:141 --enddatetime 2016-08-27T11:39:05 --enforcementcount 0 &gt;&gt;C:\Users\stu\Documents\GitHub\eaglep3-reporting\EC\2016-08-27-refined-times.txt</v>
      </c>
      <c r="AI70" s="149" t="str">
        <f t="shared" si="99"/>
        <v>echo {"issue":{"subject":"Consist wasn't correctly populated while init'ing at DUS","project_id":79,"tracker_id":40,"status_id":1,"priority_id":2,"assigned_to_id":23,"start_date":"2016-08-27","description":"","custom_fields":[{"id":1,"name":"Subdivision","value":"EC"},{"id":4,"name":"Milepost","value":"23.2738"},{"id":17,"name":"Train ID","value":"154-27"},{"id":16,"name":"Locomotive ID","value":""},{"id":130,"name":"Impact","value":""},{"id":150,"name":"Time of Event (Mountain Time)","value":"11:39:05"},{"id":151,"name":"Denver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466</v>
      </c>
      <c r="B71" s="7">
        <v>4014</v>
      </c>
      <c r="C71" s="24" t="s">
        <v>113</v>
      </c>
      <c r="D71" s="24" t="s">
        <v>467</v>
      </c>
      <c r="E71" s="15">
        <v>42609.428680555553</v>
      </c>
      <c r="F71" s="15">
        <v>42609.437858796293</v>
      </c>
      <c r="G71" s="7">
        <v>1</v>
      </c>
      <c r="H71" s="15" t="s">
        <v>343</v>
      </c>
      <c r="I71" s="15">
        <v>42609.46435185185</v>
      </c>
      <c r="J71" s="7">
        <v>0</v>
      </c>
      <c r="K71" s="132" t="str">
        <f t="shared" ref="K71:K82" si="100">IF(ISEVEN(B71),(B71-1)&amp;"/"&amp;B71,B71&amp;"/"&amp;(B71+1))</f>
        <v>4013/4014</v>
      </c>
      <c r="L71" s="24" t="str">
        <f>VLOOKUP(A71,'Trips&amp;Operators'!$C$1:$E$10000,3,FALSE)</f>
        <v>STORY</v>
      </c>
      <c r="M71" s="6">
        <f t="shared" ref="M71:M82" si="101">I71-F71</f>
        <v>2.6493055556784384E-2</v>
      </c>
      <c r="N71" s="7">
        <f t="shared" ref="N71:N82" si="102">24*60*SUM($M71:$M71)</f>
        <v>38.150000001769513</v>
      </c>
      <c r="O71" s="7"/>
      <c r="P71" s="7"/>
      <c r="Q71" s="25"/>
      <c r="R71" s="25"/>
      <c r="S71" s="37">
        <f t="shared" ref="S71:S82" si="103">SUM(U71:U71)/IF(AG71="EC",12,1)</f>
        <v>1</v>
      </c>
      <c r="T71" s="52" t="str">
        <f t="shared" ref="T71:T82" si="104">IF(ISEVEN(LEFT(AD71,4)),"Southbound","NorthBound")</f>
        <v>NorthBound</v>
      </c>
      <c r="U71" s="12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6" t="str">
        <f t="shared" ref="V71:V82" si="105"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https://search-rtdc-monitor-bjffxe2xuh6vdkpspy63sjmuny.us-east-1.es.amazonaws.com/_plugin/kibana/#/discover/Steve-Slow-Train-Analysis-(2080s-and-2083s)?_g=(refreshInterval:(display:Off,section:0,value:0),time:(from:'2016-08-27 09:17:18-0600',mode:absolute,to:'2016-08-27 12:08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71" s="54" t="str">
        <f t="shared" ref="W71:W82" si="106">IF(AA71&lt;IF(AG71="EC",23,5.65),"Y","N")</f>
        <v>N</v>
      </c>
      <c r="X71" s="120">
        <f t="shared" si="92"/>
        <v>1</v>
      </c>
      <c r="Y71" s="69">
        <f t="shared" ref="Y71:Y82" si="107">RIGHT(D71,LEN(D71)-4)/10000</f>
        <v>5.04E-2</v>
      </c>
      <c r="Z71" s="69">
        <f t="shared" ref="Z71:Z82" si="108">RIGHT(H71,LEN(H71)-4)/10000</f>
        <v>23.329499999999999</v>
      </c>
      <c r="AA71" s="69">
        <f t="shared" ref="AA71:AA82" si="109">ABS(Z71-Y71)</f>
        <v>23.2791</v>
      </c>
      <c r="AB71" s="66" t="e">
        <f>VLOOKUP(A71,Enforcements!$C$7:$J$21,8,0)</f>
        <v>#N/A</v>
      </c>
      <c r="AC71" s="62" t="e">
        <f>VLOOKUP(A71,Enforcements!$C$7:$E$21,3,0)</f>
        <v>#N/A</v>
      </c>
      <c r="AD71" s="63" t="str">
        <f t="shared" ref="AD71:AD82" si="110">IF(LEN(A71)=6,"0"&amp;A71,A71)</f>
        <v>0155-27</v>
      </c>
      <c r="AE71" s="99" t="str">
        <f t="shared" si="0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71" s="96" t="str">
        <f t="shared" si="1"/>
        <v>"C:\Program Files (x86)\AstroGrep\AstroGrep.exe" /spath="%USERPROFILE%\AppData\Local\Temp\OnboardLogs" /stypes="*4014*20160827*" /stext=" 17:.+((SYSTEM_STATE.+slice.+state.+changed )|(ment ac)|(system.+state.+changed )|(\|lc)|(penalty)|(\[timeout)|(PRM\|1\|D)|(kpr)|(kdp))" /e /r /s</v>
      </c>
      <c r="AG71" s="1" t="str">
        <f t="shared" ref="AG71:AG82" si="111">IFERROR(IF(VALUE(LEFT(AD71,2))&lt;=2,"EC",IF(OR(VALUE(LEFT(AD71,2))=8,VALUE(LEFT(AD71,2))=18),"NW","Other")),"Other")</f>
        <v>EC</v>
      </c>
      <c r="AH71" s="100" t="str">
        <f t="shared" si="2"/>
        <v>"%USERPROFILE%\Documents\GitHub\eaglep3\Utilities\RefineRTDCRunTimes.py" --tripid 155-27 --locoid 4014 --swversion DE.1.0.7.0 --startMP 204:504 --initTime 2016-08-27T10:17:18 --startdatetime 2016-08-27T10:30:31 --delay 1 --endMP 204:233295 --enddatetime 2016-08-27T11:08:40 --enforcementcount 0 &gt;&gt;C:\Users\stu\Documents\GitHub\eaglep3-reporting\EC\2016-08-27-refined-times.txt</v>
      </c>
      <c r="AI71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{"issue":{"subject":"","project_id":79,"tracker_id":40,"status_id":1,"priority_id":2,"assigned_to_id":23,"start_date":"2016-08-27","description":"","custom_fields":[{"id":1,"name":"Subdivision","value":"EC"},{"id":4,"name":"Milepost","value":"23.2791"},{"id":17,"name":"Train ID","value":"155-27"},{"id":16,"name":"Locomotive ID","value":"4014"},{"id":130,"name":"Impact","value":""},{"id":150,"name":"Time of Event (Mountain Time)","value":"11:08:40"},{"id":151,"name":"Denver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468</v>
      </c>
      <c r="B72" s="7">
        <v>4013</v>
      </c>
      <c r="C72" s="24" t="s">
        <v>113</v>
      </c>
      <c r="D72" s="24" t="s">
        <v>432</v>
      </c>
      <c r="E72" s="15">
        <v>42609.473321759258</v>
      </c>
      <c r="F72" s="15">
        <v>42609.477013888885</v>
      </c>
      <c r="G72" s="7">
        <v>5</v>
      </c>
      <c r="H72" s="15" t="s">
        <v>196</v>
      </c>
      <c r="I72" s="15">
        <v>42609.50613425926</v>
      </c>
      <c r="J72" s="7">
        <v>0</v>
      </c>
      <c r="K72" s="132" t="str">
        <f t="shared" si="100"/>
        <v>4013/4014</v>
      </c>
      <c r="L72" s="24" t="str">
        <f>VLOOKUP(A72,'Trips&amp;Operators'!$C$1:$E$10000,3,FALSE)</f>
        <v>STORY</v>
      </c>
      <c r="M72" s="6">
        <f t="shared" si="101"/>
        <v>2.9120370374585036E-2</v>
      </c>
      <c r="N72" s="7">
        <f t="shared" si="102"/>
        <v>41.933333339402452</v>
      </c>
      <c r="O72" s="7"/>
      <c r="P72" s="7"/>
      <c r="Q72" s="25"/>
      <c r="R72" s="25"/>
      <c r="S72" s="37">
        <f t="shared" si="103"/>
        <v>1</v>
      </c>
      <c r="T72" s="52" t="str">
        <f t="shared" si="104"/>
        <v>Southbound</v>
      </c>
      <c r="U72" s="12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10:21:35-0600',mode:absolute,to:'2016-08-27 13:08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72" s="54" t="str">
        <f t="shared" si="106"/>
        <v>N</v>
      </c>
      <c r="X72" s="120">
        <f t="shared" si="92"/>
        <v>1</v>
      </c>
      <c r="Y72" s="69">
        <f t="shared" si="107"/>
        <v>23.298300000000001</v>
      </c>
      <c r="Z72" s="69">
        <f t="shared" si="108"/>
        <v>1.3599999999999999E-2</v>
      </c>
      <c r="AA72" s="69">
        <f t="shared" si="109"/>
        <v>23.284700000000001</v>
      </c>
      <c r="AB72" s="66" t="e">
        <f>VLOOKUP(A72,Enforcements!$C$7:$J$21,8,0)</f>
        <v>#N/A</v>
      </c>
      <c r="AC72" s="62" t="e">
        <f>VLOOKUP(A72,Enforcements!$C$7:$E$21,3,0)</f>
        <v>#N/A</v>
      </c>
      <c r="AD72" s="63" t="str">
        <f t="shared" si="110"/>
        <v>0156-27</v>
      </c>
      <c r="AE72" s="99" t="str">
        <f t="shared" si="0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72" s="96" t="str">
        <f t="shared" si="1"/>
        <v>"C:\Program Files (x86)\AstroGrep\AstroGrep.exe" /spath="%USERPROFILE%\AppData\Local\Temp\OnboardLogs" /stypes="*4013*20160827*" /stext=" 18:.+((SYSTEM_STATE.+slice.+state.+changed )|(ment ac)|(system.+state.+changed )|(\|lc)|(penalty)|(\[timeout)|(PRM\|1\|D)|(kpr)|(kdp))" /e /r /s</v>
      </c>
      <c r="AG72" s="1" t="str">
        <f t="shared" si="111"/>
        <v>EC</v>
      </c>
      <c r="AH72" s="100" t="str">
        <f t="shared" si="2"/>
        <v>"%USERPROFILE%\Documents\GitHub\eaglep3\Utilities\RefineRTDCRunTimes.py" --tripid 156-27 --locoid 4013 --swversion DE.1.0.7.0 --startMP 204:232983 --initTime 2016-08-27T11:21:35 --startdatetime 2016-08-27T11:26:54 --delay 5 --endMP 204:136 --enddatetime 2016-08-27T12:08:50 --enforcementcount 0 &gt;&gt;C:\Users\stu\Documents\GitHub\eaglep3-reporting\EC\2016-08-27-refined-times.txt</v>
      </c>
      <c r="AI72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{"issue":{"subject":"","project_id":79,"tracker_id":40,"status_id":1,"priority_id":2,"assigned_to_id":23,"start_date":"2016-08-27","description":"","custom_fields":[{"id":1,"name":"Subdivision","value":"EC"},{"id":4,"name":"Milepost","value":"23.2847"},{"id":17,"name":"Train ID","value":"156-27"},{"id":16,"name":"Locomotive ID","value":"4013"},{"id":130,"name":"Impact","value":""},{"id":150,"name":"Time of Event (Mountain Time)","value":"12:08:50"},{"id":151,"name":"Denver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469</v>
      </c>
      <c r="B73" s="7">
        <v>4025</v>
      </c>
      <c r="C73" s="24" t="s">
        <v>113</v>
      </c>
      <c r="D73" s="24" t="s">
        <v>340</v>
      </c>
      <c r="E73" s="15">
        <v>42609.441504629627</v>
      </c>
      <c r="F73" s="15">
        <v>42609.448067129626</v>
      </c>
      <c r="G73" s="7">
        <v>4</v>
      </c>
      <c r="H73" s="15" t="s">
        <v>422</v>
      </c>
      <c r="I73" s="15">
        <v>42609.475868055553</v>
      </c>
      <c r="J73" s="7">
        <v>0</v>
      </c>
      <c r="K73" s="132" t="str">
        <f t="shared" si="100"/>
        <v>4025/4026</v>
      </c>
      <c r="L73" s="24" t="str">
        <f>VLOOKUP(A73,'Trips&amp;Operators'!$C$1:$E$10000,3,FALSE)</f>
        <v>DAVIS</v>
      </c>
      <c r="M73" s="6">
        <f t="shared" si="101"/>
        <v>2.7800925927294884E-2</v>
      </c>
      <c r="N73" s="7">
        <f t="shared" si="102"/>
        <v>40.033333335304633</v>
      </c>
      <c r="O73" s="7"/>
      <c r="P73" s="7"/>
      <c r="Q73" s="25"/>
      <c r="R73" s="25"/>
      <c r="S73" s="37">
        <f t="shared" si="103"/>
        <v>1</v>
      </c>
      <c r="T73" s="52" t="str">
        <f t="shared" si="104"/>
        <v>NorthBound</v>
      </c>
      <c r="U73" s="12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09:35:46-0600',mode:absolute,to:'2016-08-27 12:25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73" s="54" t="str">
        <f t="shared" si="106"/>
        <v>N</v>
      </c>
      <c r="X73" s="120">
        <f t="shared" si="92"/>
        <v>1</v>
      </c>
      <c r="Y73" s="69">
        <f t="shared" si="107"/>
        <v>4.7300000000000002E-2</v>
      </c>
      <c r="Z73" s="69">
        <f t="shared" si="108"/>
        <v>23.331099999999999</v>
      </c>
      <c r="AA73" s="69">
        <f t="shared" si="109"/>
        <v>23.283799999999999</v>
      </c>
      <c r="AB73" s="66" t="e">
        <f>VLOOKUP(A73,Enforcements!$C$7:$J$21,8,0)</f>
        <v>#N/A</v>
      </c>
      <c r="AC73" s="62" t="e">
        <f>VLOOKUP(A73,Enforcements!$C$7:$E$21,3,0)</f>
        <v>#N/A</v>
      </c>
      <c r="AD73" s="63" t="str">
        <f t="shared" si="110"/>
        <v>0157-27</v>
      </c>
      <c r="AE73" s="99" t="str">
        <f t="shared" si="0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73" s="96" t="str">
        <f t="shared" si="1"/>
        <v>"C:\Program Files (x86)\AstroGrep\AstroGrep.exe" /spath="%USERPROFILE%\AppData\Local\Temp\OnboardLogs" /stypes="*4025*20160827*" /stext=" 17:.+((SYSTEM_STATE.+slice.+state.+changed )|(ment ac)|(system.+state.+changed )|(\|lc)|(penalty)|(\[timeout)|(PRM\|1\|D)|(kpr)|(kdp))" /e /r /s</v>
      </c>
      <c r="AG73" s="1" t="str">
        <f t="shared" si="111"/>
        <v>EC</v>
      </c>
      <c r="AH73" s="100" t="str">
        <f t="shared" si="2"/>
        <v>"%USERPROFILE%\Documents\GitHub\eaglep3\Utilities\RefineRTDCRunTimes.py" --tripid 157-27 --locoid 4025 --swversion DE.1.0.7.0 --startMP 204:473 --initTime 2016-08-27T10:35:46 --startdatetime 2016-08-27T10:45:13 --delay 4 --endMP 204:233311 --enddatetime 2016-08-27T11:25:15 --enforcementcount 0 &gt;&gt;C:\Users\stu\Documents\GitHub\eaglep3-reporting\EC\2016-08-27-refined-times.txt</v>
      </c>
      <c r="AI73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{"issue":{"subject":"","project_id":79,"tracker_id":40,"status_id":1,"priority_id":2,"assigned_to_id":23,"start_date":"2016-08-27","description":"","custom_fields":[{"id":1,"name":"Subdivision","value":"EC"},{"id":4,"name":"Milepost","value":"23.2838"},{"id":17,"name":"Train ID","value":"157-27"},{"id":16,"name":"Locomotive ID","value":"4025"},{"id":130,"name":"Impact","value":""},{"id":150,"name":"Time of Event (Mountain Time)","value":"11:25:15"},{"id":151,"name":"Denver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470</v>
      </c>
      <c r="B74" s="7">
        <v>4026</v>
      </c>
      <c r="C74" s="24" t="s">
        <v>113</v>
      </c>
      <c r="D74" s="24" t="s">
        <v>329</v>
      </c>
      <c r="E74" s="15">
        <v>42609.484247685185</v>
      </c>
      <c r="F74" s="15">
        <v>42609.486979166664</v>
      </c>
      <c r="G74" s="7">
        <v>1</v>
      </c>
      <c r="H74" s="15" t="s">
        <v>172</v>
      </c>
      <c r="I74" s="15">
        <v>42609.515532407408</v>
      </c>
      <c r="J74" s="7">
        <v>0</v>
      </c>
      <c r="K74" s="132" t="str">
        <f t="shared" si="100"/>
        <v>4025/4026</v>
      </c>
      <c r="L74" s="24" t="str">
        <f>VLOOKUP(A74,'Trips&amp;Operators'!$C$1:$E$10000,3,FALSE)</f>
        <v>DAVIS</v>
      </c>
      <c r="M74" s="6">
        <f t="shared" si="101"/>
        <v>2.8553240743349306E-2</v>
      </c>
      <c r="N74" s="7">
        <f t="shared" si="102"/>
        <v>41.116666670423001</v>
      </c>
      <c r="O74" s="7"/>
      <c r="P74" s="7"/>
      <c r="Q74" s="25"/>
      <c r="R74" s="25"/>
      <c r="S74" s="37">
        <f t="shared" si="103"/>
        <v>1</v>
      </c>
      <c r="T74" s="52" t="str">
        <f t="shared" si="104"/>
        <v>Southbound</v>
      </c>
      <c r="U74" s="12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10:37:19-0600',mode:absolute,to:'2016-08-27 13:22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74" s="54" t="str">
        <f t="shared" si="106"/>
        <v>N</v>
      </c>
      <c r="X74" s="120">
        <f t="shared" si="92"/>
        <v>1</v>
      </c>
      <c r="Y74" s="69">
        <f t="shared" si="107"/>
        <v>23.298200000000001</v>
      </c>
      <c r="Z74" s="69">
        <f t="shared" si="108"/>
        <v>1.52E-2</v>
      </c>
      <c r="AA74" s="69">
        <f t="shared" si="109"/>
        <v>23.283000000000001</v>
      </c>
      <c r="AB74" s="66" t="e">
        <f>VLOOKUP(A74,Enforcements!$C$7:$J$21,8,0)</f>
        <v>#N/A</v>
      </c>
      <c r="AC74" s="62" t="e">
        <f>VLOOKUP(A74,Enforcements!$C$7:$E$21,3,0)</f>
        <v>#N/A</v>
      </c>
      <c r="AD74" s="63" t="str">
        <f t="shared" si="110"/>
        <v>0158-27</v>
      </c>
      <c r="AE74" s="99" t="str">
        <f t="shared" si="0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74" s="96" t="str">
        <f t="shared" si="1"/>
        <v>"C:\Program Files (x86)\AstroGrep\AstroGrep.exe" /spath="%USERPROFILE%\AppData\Local\Temp\OnboardLogs" /stypes="*4026*20160827*" /stext=" 18:.+((SYSTEM_STATE.+slice.+state.+changed )|(ment ac)|(system.+state.+changed )|(\|lc)|(penalty)|(\[timeout)|(PRM\|1\|D)|(kpr)|(kdp))" /e /r /s</v>
      </c>
      <c r="AG74" s="1" t="str">
        <f t="shared" si="111"/>
        <v>EC</v>
      </c>
      <c r="AH74" s="100" t="str">
        <f t="shared" si="2"/>
        <v>"%USERPROFILE%\Documents\GitHub\eaglep3\Utilities\RefineRTDCRunTimes.py" --tripid 158-27 --locoid 4026 --swversion DE.1.0.7.0 --startMP 204:232982 --initTime 2016-08-27T11:37:19 --startdatetime 2016-08-27T11:41:15 --delay 1 --endMP 204:152 --enddatetime 2016-08-27T12:22:22 --enforcementcount 0 &gt;&gt;C:\Users\stu\Documents\GitHub\eaglep3-reporting\EC\2016-08-27-refined-times.txt</v>
      </c>
      <c r="AI74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{"issue":{"subject":"","project_id":79,"tracker_id":40,"status_id":1,"priority_id":2,"assigned_to_id":23,"start_date":"2016-08-27","description":"","custom_fields":[{"id":1,"name":"Subdivision","value":"EC"},{"id":4,"name":"Milepost","value":"23.283"},{"id":17,"name":"Train ID","value":"158-27"},{"id":16,"name":"Locomotive ID","value":"4026"},{"id":130,"name":"Impact","value":""},{"id":150,"name":"Time of Event (Mountain Time)","value":"12:22:22"},{"id":151,"name":"Denver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471</v>
      </c>
      <c r="B75" s="7">
        <v>4009</v>
      </c>
      <c r="C75" s="24" t="s">
        <v>113</v>
      </c>
      <c r="D75" s="24" t="s">
        <v>340</v>
      </c>
      <c r="E75" s="15">
        <v>42609.449016203704</v>
      </c>
      <c r="F75" s="15">
        <v>42609.458645833336</v>
      </c>
      <c r="G75" s="7">
        <v>3</v>
      </c>
      <c r="H75" s="15" t="s">
        <v>142</v>
      </c>
      <c r="I75" s="15">
        <v>42609.486331018517</v>
      </c>
      <c r="J75" s="7">
        <v>0</v>
      </c>
      <c r="K75" s="132" t="str">
        <f t="shared" si="100"/>
        <v>4009/4010</v>
      </c>
      <c r="L75" s="24" t="str">
        <f>VLOOKUP(A75,'Trips&amp;Operators'!$C$1:$E$10000,3,FALSE)</f>
        <v>STEWART</v>
      </c>
      <c r="M75" s="6">
        <f t="shared" si="101"/>
        <v>2.7685185181326233E-2</v>
      </c>
      <c r="N75" s="7">
        <f t="shared" si="102"/>
        <v>39.866666661109775</v>
      </c>
      <c r="O75" s="7"/>
      <c r="P75" s="7"/>
      <c r="Q75" s="25"/>
      <c r="R75" s="25"/>
      <c r="S75" s="37">
        <f t="shared" si="103"/>
        <v>1</v>
      </c>
      <c r="T75" s="52" t="str">
        <f t="shared" si="104"/>
        <v>NorthBound</v>
      </c>
      <c r="U75" s="12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09:46:35-0600',mode:absolute,to:'2016-08-27 12:40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75" s="54" t="str">
        <f t="shared" si="106"/>
        <v>N</v>
      </c>
      <c r="X75" s="120">
        <f t="shared" si="92"/>
        <v>1</v>
      </c>
      <c r="Y75" s="69">
        <f t="shared" si="107"/>
        <v>4.7300000000000002E-2</v>
      </c>
      <c r="Z75" s="69">
        <f t="shared" si="108"/>
        <v>23.331</v>
      </c>
      <c r="AA75" s="69">
        <f t="shared" si="109"/>
        <v>23.2837</v>
      </c>
      <c r="AB75" s="66" t="e">
        <f>VLOOKUP(A75,Enforcements!$C$7:$J$21,8,0)</f>
        <v>#N/A</v>
      </c>
      <c r="AC75" s="62" t="e">
        <f>VLOOKUP(A75,Enforcements!$C$7:$E$21,3,0)</f>
        <v>#N/A</v>
      </c>
      <c r="AD75" s="63" t="str">
        <f t="shared" si="110"/>
        <v>0159-27</v>
      </c>
      <c r="AE75" s="99" t="str">
        <f t="shared" si="0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75" s="96" t="str">
        <f t="shared" si="1"/>
        <v>"C:\Program Files (x86)\AstroGrep\AstroGrep.exe" /spath="%USERPROFILE%\AppData\Local\Temp\OnboardLogs" /stypes="*4009*20160827*" /stext=" 17:.+((SYSTEM_STATE.+slice.+state.+changed )|(ment ac)|(system.+state.+changed )|(\|lc)|(penalty)|(\[timeout)|(PRM\|1\|D)|(kpr)|(kdp))" /e /r /s</v>
      </c>
      <c r="AG75" s="1" t="str">
        <f t="shared" si="111"/>
        <v>EC</v>
      </c>
      <c r="AH75" s="100" t="str">
        <f t="shared" si="2"/>
        <v>"%USERPROFILE%\Documents\GitHub\eaglep3\Utilities\RefineRTDCRunTimes.py" --tripid 159-27 --locoid 4009 --swversion DE.1.0.7.0 --startMP 204:473 --initTime 2016-08-27T10:46:35 --startdatetime 2016-08-27T11:00:27 --delay 3 --endMP 204:233310 --enddatetime 2016-08-27T11:40:19 --enforcementcount 0 &gt;&gt;C:\Users\stu\Documents\GitHub\eaglep3-reporting\EC\2016-08-27-refined-times.txt</v>
      </c>
      <c r="AI75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{"issue":{"subject":"","project_id":79,"tracker_id":40,"status_id":1,"priority_id":2,"assigned_to_id":23,"start_date":"2016-08-27","description":"","custom_fields":[{"id":1,"name":"Subdivision","value":"EC"},{"id":4,"name":"Milepost","value":"23.2837"},{"id":17,"name":"Train ID","value":"159-27"},{"id":16,"name":"Locomotive ID","value":"4009"},{"id":130,"name":"Impact","value":""},{"id":150,"name":"Time of Event (Mountain Time)","value":"11:40:19"},{"id":151,"name":"Denver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x14ac:dyDescent="0.25">
      <c r="A76" s="39" t="s">
        <v>472</v>
      </c>
      <c r="B76" s="7">
        <v>4010</v>
      </c>
      <c r="C76" s="24" t="s">
        <v>113</v>
      </c>
      <c r="D76" s="24" t="s">
        <v>201</v>
      </c>
      <c r="E76" s="15">
        <v>42609.496388888889</v>
      </c>
      <c r="F76" s="15">
        <v>42609.498240740744</v>
      </c>
      <c r="G76" s="7">
        <v>1</v>
      </c>
      <c r="H76" s="15" t="s">
        <v>262</v>
      </c>
      <c r="I76" s="15">
        <v>42609.524027777778</v>
      </c>
      <c r="J76" s="7">
        <v>0</v>
      </c>
      <c r="K76" s="132" t="str">
        <f t="shared" si="100"/>
        <v>4009/4010</v>
      </c>
      <c r="L76" s="24" t="str">
        <f>VLOOKUP(A76,'Trips&amp;Operators'!$C$1:$E$10000,3,FALSE)</f>
        <v>STEWART</v>
      </c>
      <c r="M76" s="6">
        <f t="shared" si="101"/>
        <v>2.5787037033296656E-2</v>
      </c>
      <c r="N76" s="7">
        <f t="shared" si="102"/>
        <v>37.133333327947184</v>
      </c>
      <c r="O76" s="7"/>
      <c r="P76" s="7"/>
      <c r="Q76" s="25"/>
      <c r="R76" s="25"/>
      <c r="S76" s="37">
        <f t="shared" si="103"/>
        <v>1</v>
      </c>
      <c r="T76" s="52" t="str">
        <f t="shared" si="104"/>
        <v>Southbound</v>
      </c>
      <c r="U76" s="12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10:54:48-0600',mode:absolute,to:'2016-08-27 13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76" s="54" t="str">
        <f t="shared" si="106"/>
        <v>N</v>
      </c>
      <c r="X76" s="120">
        <f t="shared" ref="X76:X82" si="112">VALUE(LEFT(AD76,4))-VALUE(LEFT(AD75,4))</f>
        <v>1</v>
      </c>
      <c r="Y76" s="69">
        <f t="shared" si="107"/>
        <v>23.3</v>
      </c>
      <c r="Z76" s="69">
        <f t="shared" si="108"/>
        <v>1.6899999999999998E-2</v>
      </c>
      <c r="AA76" s="69">
        <f t="shared" si="109"/>
        <v>23.283100000000001</v>
      </c>
      <c r="AB76" s="66" t="e">
        <f>VLOOKUP(A76,Enforcements!$C$7:$J$21,8,0)</f>
        <v>#N/A</v>
      </c>
      <c r="AC76" s="62" t="e">
        <f>VLOOKUP(A76,Enforcements!$C$7:$E$21,3,0)</f>
        <v>#N/A</v>
      </c>
      <c r="AD76" s="63" t="str">
        <f t="shared" si="110"/>
        <v>0160-27</v>
      </c>
      <c r="AE76" s="99" t="str">
        <f t="shared" si="0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76" s="96" t="str">
        <f t="shared" si="1"/>
        <v>"C:\Program Files (x86)\AstroGrep\AstroGrep.exe" /spath="%USERPROFILE%\AppData\Local\Temp\OnboardLogs" /stypes="*4010*20160827*" /stext=" 18:.+((SYSTEM_STATE.+slice.+state.+changed )|(ment ac)|(system.+state.+changed )|(\|lc)|(penalty)|(\[timeout)|(PRM\|1\|D)|(kpr)|(kdp))" /e /r /s</v>
      </c>
      <c r="AG76" s="1" t="str">
        <f t="shared" si="111"/>
        <v>EC</v>
      </c>
      <c r="AH76" s="100" t="str">
        <f t="shared" si="2"/>
        <v>"%USERPROFILE%\Documents\GitHub\eaglep3\Utilities\RefineRTDCRunTimes.py" --tripid 160-27 --locoid 4010 --swversion DE.1.0.7.0 --startMP 204:233000 --initTime 2016-08-27T11:54:48 --startdatetime 2016-08-27T11:57:28 --delay 1 --endMP 204:169 --enddatetime 2016-08-27T12:34:36 --enforcementcount 0 &gt;&gt;C:\Users\stu\Documents\GitHub\eaglep3-reporting\EC\2016-08-27-refined-times.txt</v>
      </c>
      <c r="AI76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{"issue":{"subject":"","project_id":79,"tracker_id":40,"status_id":1,"priority_id":2,"assigned_to_id":23,"start_date":"2016-08-27","description":"","custom_fields":[{"id":1,"name":"Subdivision","value":"EC"},{"id":4,"name":"Milepost","value":"23.2831"},{"id":17,"name":"Train ID","value":"160-27"},{"id":16,"name":"Locomotive ID","value":"4010"},{"id":130,"name":"Impact","value":""},{"id":150,"name":"Time of Event (Mountain Time)","value":"12:34:36"},{"id":151,"name":"Denver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473</v>
      </c>
      <c r="B77" s="7">
        <v>4020</v>
      </c>
      <c r="C77" s="24" t="s">
        <v>113</v>
      </c>
      <c r="D77" s="24" t="s">
        <v>474</v>
      </c>
      <c r="E77" s="15">
        <v>42609.464513888888</v>
      </c>
      <c r="F77" s="15">
        <v>42609.468958333331</v>
      </c>
      <c r="G77" s="7">
        <v>1</v>
      </c>
      <c r="H77" s="15" t="s">
        <v>475</v>
      </c>
      <c r="I77" s="15">
        <v>42609.494606481479</v>
      </c>
      <c r="J77" s="7">
        <v>0</v>
      </c>
      <c r="K77" s="132" t="str">
        <f t="shared" si="100"/>
        <v>4019/4020</v>
      </c>
      <c r="L77" s="24" t="str">
        <f>VLOOKUP(A77,'Trips&amp;Operators'!$C$1:$E$10000,3,FALSE)</f>
        <v>BARTLETT</v>
      </c>
      <c r="M77" s="6">
        <f t="shared" si="101"/>
        <v>2.5648148148320615E-2</v>
      </c>
      <c r="N77" s="7">
        <f t="shared" si="102"/>
        <v>36.933333333581686</v>
      </c>
      <c r="O77" s="7"/>
      <c r="P77" s="7"/>
      <c r="Q77" s="25"/>
      <c r="R77" s="25"/>
      <c r="S77" s="37">
        <f t="shared" si="103"/>
        <v>1</v>
      </c>
      <c r="T77" s="52" t="str">
        <f t="shared" si="104"/>
        <v>NorthBound</v>
      </c>
      <c r="U77" s="12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10:08:54-0600',mode:absolute,to:'2016-08-27 12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77" s="54" t="str">
        <f t="shared" si="106"/>
        <v>N</v>
      </c>
      <c r="X77" s="120">
        <f t="shared" si="112"/>
        <v>1</v>
      </c>
      <c r="Y77" s="69">
        <f t="shared" si="107"/>
        <v>0.05</v>
      </c>
      <c r="Z77" s="69">
        <f t="shared" si="108"/>
        <v>23.330500000000001</v>
      </c>
      <c r="AA77" s="69">
        <f t="shared" si="109"/>
        <v>23.2805</v>
      </c>
      <c r="AB77" s="66" t="e">
        <f>VLOOKUP(A77,Enforcements!$C$7:$J$21,8,0)</f>
        <v>#N/A</v>
      </c>
      <c r="AC77" s="62" t="e">
        <f>VLOOKUP(A77,Enforcements!$C$7:$E$21,3,0)</f>
        <v>#N/A</v>
      </c>
      <c r="AD77" s="63" t="str">
        <f t="shared" si="110"/>
        <v>0161-27</v>
      </c>
      <c r="AE77" s="99" t="str">
        <f t="shared" ref="AE77:AE140" si="113">"aws s3 cp "&amp;s3_bucket&amp;"/RTDC"&amp;B77&amp;"/"&amp;TEXT(F77,"YYYY-MM-DD")&amp;"/ "&amp;search_path&amp;"\RTDC"&amp;B77&amp;"\"&amp;TEXT(F77,"YYYY-MM-DD")&amp;" --recursive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--recursive &amp; """&amp;walkandungz&amp;""" "&amp;search_path&amp;"\RTDC"&amp;B77&amp;"\"&amp;TEXT(F77+1,"YYYY-MM-DD")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77" s="96" t="str">
        <f t="shared" ref="AF77:AF140" si="114">astrogrep_path&amp;" /spath="&amp;search_path&amp;" /stypes=""*"&amp;B77&amp;"*"&amp;TEXT(I77-utc_offset/24,"YYYYMMDD")&amp;"*"" /stext="" "&amp;TEXT(I77-utc_offset/24,"HH")&amp;search_regexp&amp;""" /e /r /s"</f>
        <v>"C:\Program Files (x86)\AstroGrep\AstroGrep.exe" /spath="%USERPROFILE%\AppData\Local\Temp\OnboardLogs" /stypes="*4020*20160827*" /stext=" 17:.+((SYSTEM_STATE.+slice.+state.+changed )|(ment ac)|(system.+state.+changed )|(\|lc)|(penalty)|(\[timeout)|(PRM\|1\|D)|(kpr)|(kdp))" /e /r /s</v>
      </c>
      <c r="AG77" s="1" t="str">
        <f t="shared" si="111"/>
        <v>EC</v>
      </c>
      <c r="AH77" s="100" t="str">
        <f t="shared" si="2"/>
        <v>"%USERPROFILE%\Documents\GitHub\eaglep3\Utilities\RefineRTDCRunTimes.py" --tripid 161-27 --locoid 4020 --swversion DE.1.0.7.0 --startMP 204:500 --initTime 2016-08-27T11:08:54 --startdatetime 2016-08-27T11:15:18 --delay 1 --endMP 204:233305 --enddatetime 2016-08-27T11:52:14 --enforcementcount 0 &gt;&gt;C:\Users\stu\Documents\GitHub\eaglep3-reporting\EC\2016-08-27-refined-times.txt</v>
      </c>
      <c r="AI77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{"issue":{"subject":"","project_id":79,"tracker_id":40,"status_id":1,"priority_id":2,"assigned_to_id":23,"start_date":"2016-08-27","description":"","custom_fields":[{"id":1,"name":"Subdivision","value":"EC"},{"id":4,"name":"Milepost","value":"23.2805"},{"id":17,"name":"Train ID","value":"161-27"},{"id":16,"name":"Locomotive ID","value":"4020"},{"id":130,"name":"Impact","value":""},{"id":150,"name":"Time of Event (Mountain Time)","value":"11:52:14"},{"id":151,"name":"Denver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476</v>
      </c>
      <c r="B78" s="7">
        <v>4019</v>
      </c>
      <c r="C78" s="24" t="s">
        <v>113</v>
      </c>
      <c r="D78" s="24" t="s">
        <v>193</v>
      </c>
      <c r="E78" s="15">
        <v>42609.496747685182</v>
      </c>
      <c r="F78" s="15">
        <v>42609.507870370369</v>
      </c>
      <c r="G78" s="7">
        <v>1</v>
      </c>
      <c r="H78" s="15" t="s">
        <v>175</v>
      </c>
      <c r="I78" s="15">
        <v>42609.534953703704</v>
      </c>
      <c r="J78" s="7">
        <v>0</v>
      </c>
      <c r="K78" s="132" t="str">
        <f t="shared" si="100"/>
        <v>4019/4020</v>
      </c>
      <c r="L78" s="24" t="str">
        <f>VLOOKUP(A78,'Trips&amp;Operators'!$C$1:$E$10000,3,FALSE)</f>
        <v>BARTLETT</v>
      </c>
      <c r="M78" s="6">
        <f t="shared" si="101"/>
        <v>2.7083333334303461E-2</v>
      </c>
      <c r="N78" s="7">
        <f t="shared" si="102"/>
        <v>39.000000001396984</v>
      </c>
      <c r="O78" s="7"/>
      <c r="P78" s="7"/>
      <c r="Q78" s="25"/>
      <c r="R78" s="25"/>
      <c r="S78" s="37">
        <f t="shared" si="103"/>
        <v>1</v>
      </c>
      <c r="T78" s="52" t="str">
        <f t="shared" si="104"/>
        <v>Southbound</v>
      </c>
      <c r="U78" s="12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10:55:19-0600',mode:absolute,to:'2016-08-27 13:50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78" s="54" t="str">
        <f t="shared" si="106"/>
        <v>N</v>
      </c>
      <c r="X78" s="120">
        <f t="shared" si="112"/>
        <v>1</v>
      </c>
      <c r="Y78" s="69">
        <f t="shared" si="107"/>
        <v>23.299199999999999</v>
      </c>
      <c r="Z78" s="69">
        <f t="shared" si="108"/>
        <v>1.41E-2</v>
      </c>
      <c r="AA78" s="69">
        <f t="shared" si="109"/>
        <v>23.2851</v>
      </c>
      <c r="AB78" s="66" t="e">
        <f>VLOOKUP(A78,Enforcements!$C$7:$J$21,8,0)</f>
        <v>#N/A</v>
      </c>
      <c r="AC78" s="62" t="e">
        <f>VLOOKUP(A78,Enforcements!$C$7:$E$21,3,0)</f>
        <v>#N/A</v>
      </c>
      <c r="AD78" s="63" t="str">
        <f t="shared" si="110"/>
        <v>0162-27</v>
      </c>
      <c r="AE78" s="99" t="str">
        <f t="shared" si="113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78" s="96" t="str">
        <f t="shared" si="114"/>
        <v>"C:\Program Files (x86)\AstroGrep\AstroGrep.exe" /spath="%USERPROFILE%\AppData\Local\Temp\OnboardLogs" /stypes="*4019*20160827*" /stext=" 18:.+((SYSTEM_STATE.+slice.+state.+changed )|(ment ac)|(system.+state.+changed )|(\|lc)|(penalty)|(\[timeout)|(PRM\|1\|D)|(kpr)|(kdp))" /e /r /s</v>
      </c>
      <c r="AG78" s="1" t="str">
        <f t="shared" si="111"/>
        <v>EC</v>
      </c>
      <c r="AH78" s="100" t="str">
        <f t="shared" si="2"/>
        <v>"%USERPROFILE%\Documents\GitHub\eaglep3\Utilities\RefineRTDCRunTimes.py" --tripid 162-27 --locoid 4019 --swversion DE.1.0.7.0 --startMP 204:232992 --initTime 2016-08-27T11:55:19 --startdatetime 2016-08-27T12:11:20 --delay 1 --endMP 204:141 --enddatetime 2016-08-27T12:50:20 --enforcementcount 0 &gt;&gt;C:\Users\stu\Documents\GitHub\eaglep3-reporting\EC\2016-08-27-refined-times.txt</v>
      </c>
      <c r="AI78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{"issue":{"subject":"","project_id":79,"tracker_id":40,"status_id":1,"priority_id":2,"assigned_to_id":23,"start_date":"2016-08-27","description":"","custom_fields":[{"id":1,"name":"Subdivision","value":"EC"},{"id":4,"name":"Milepost","value":"23.2851"},{"id":17,"name":"Train ID","value":"162-27"},{"id":16,"name":"Locomotive ID","value":"4019"},{"id":130,"name":"Impact","value":""},{"id":150,"name":"Time of Event (Mountain Time)","value":"12:50:20"},{"id":151,"name":"Denver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477</v>
      </c>
      <c r="B79" s="7">
        <v>4031</v>
      </c>
      <c r="C79" s="24" t="s">
        <v>113</v>
      </c>
      <c r="D79" s="24" t="s">
        <v>125</v>
      </c>
      <c r="E79" s="15">
        <v>42609.475381944445</v>
      </c>
      <c r="F79" s="15">
        <v>42609.479930555557</v>
      </c>
      <c r="G79" s="7">
        <v>1</v>
      </c>
      <c r="H79" s="15" t="s">
        <v>177</v>
      </c>
      <c r="I79" s="15">
        <v>42609.50503472222</v>
      </c>
      <c r="J79" s="7">
        <v>0</v>
      </c>
      <c r="K79" s="132" t="str">
        <f t="shared" si="100"/>
        <v>4031/4032</v>
      </c>
      <c r="L79" s="24" t="str">
        <f>VLOOKUP(A79,'Trips&amp;Operators'!$C$1:$E$10000,3,FALSE)</f>
        <v>MOSES</v>
      </c>
      <c r="M79" s="6">
        <f t="shared" si="101"/>
        <v>2.5104166663368233E-2</v>
      </c>
      <c r="N79" s="7">
        <f t="shared" si="102"/>
        <v>36.149999995250255</v>
      </c>
      <c r="O79" s="7"/>
      <c r="P79" s="7"/>
      <c r="Q79" s="25"/>
      <c r="R79" s="25"/>
      <c r="S79" s="37">
        <f t="shared" si="103"/>
        <v>1</v>
      </c>
      <c r="T79" s="52" t="str">
        <f t="shared" si="104"/>
        <v>NorthBound</v>
      </c>
      <c r="U79" s="12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10:24:33-0600',mode:absolute,to:'2016-08-27 13:07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79" s="54" t="str">
        <f t="shared" si="106"/>
        <v>N</v>
      </c>
      <c r="X79" s="120">
        <f t="shared" si="112"/>
        <v>1</v>
      </c>
      <c r="Y79" s="69">
        <f t="shared" si="107"/>
        <v>4.5499999999999999E-2</v>
      </c>
      <c r="Z79" s="69">
        <f t="shared" si="108"/>
        <v>23.331399999999999</v>
      </c>
      <c r="AA79" s="69">
        <f t="shared" si="109"/>
        <v>23.285899999999998</v>
      </c>
      <c r="AB79" s="66" t="e">
        <f>VLOOKUP(A79,Enforcements!$C$7:$J$21,8,0)</f>
        <v>#N/A</v>
      </c>
      <c r="AC79" s="62" t="e">
        <f>VLOOKUP(A79,Enforcements!$C$7:$E$21,3,0)</f>
        <v>#N/A</v>
      </c>
      <c r="AD79" s="63" t="str">
        <f t="shared" si="110"/>
        <v>0163-27</v>
      </c>
      <c r="AE79" s="99" t="str">
        <f t="shared" si="113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79" s="96" t="str">
        <f t="shared" si="114"/>
        <v>"C:\Program Files (x86)\AstroGrep\AstroGrep.exe" /spath="%USERPROFILE%\AppData\Local\Temp\OnboardLogs" /stypes="*4031*20160827*" /stext=" 18:.+((SYSTEM_STATE.+slice.+state.+changed )|(ment ac)|(system.+state.+changed )|(\|lc)|(penalty)|(\[timeout)|(PRM\|1\|D)|(kpr)|(kdp))" /e /r /s</v>
      </c>
      <c r="AG79" s="1" t="str">
        <f t="shared" si="111"/>
        <v>EC</v>
      </c>
      <c r="AH79" s="100" t="str">
        <f t="shared" si="2"/>
        <v>"%USERPROFILE%\Documents\GitHub\eaglep3\Utilities\RefineRTDCRunTimes.py" --tripid 163-27 --locoid 4031 --swversion DE.1.0.7.0 --startMP 204:455 --initTime 2016-08-27T11:24:33 --startdatetime 2016-08-27T11:31:06 --delay 1 --endMP 204:233314 --enddatetime 2016-08-27T12:07:15 --enforcementcount 0 &gt;&gt;C:\Users\stu\Documents\GitHub\eaglep3-reporting\EC\2016-08-27-refined-times.txt</v>
      </c>
      <c r="AI79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{"issue":{"subject":"","project_id":79,"tracker_id":40,"status_id":1,"priority_id":2,"assigned_to_id":23,"start_date":"2016-08-27","description":"","custom_fields":[{"id":1,"name":"Subdivision","value":"EC"},{"id":4,"name":"Milepost","value":"23.2859"},{"id":17,"name":"Train ID","value":"163-27"},{"id":16,"name":"Locomotive ID","value":"4031"},{"id":130,"name":"Impact","value":""},{"id":150,"name":"Time of Event (Mountain Time)","value":"12:07:15"},{"id":151,"name":"Denver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x14ac:dyDescent="0.25">
      <c r="A80" s="39" t="s">
        <v>478</v>
      </c>
      <c r="B80" s="7">
        <v>4032</v>
      </c>
      <c r="C80" s="24" t="s">
        <v>113</v>
      </c>
      <c r="D80" s="24" t="s">
        <v>479</v>
      </c>
      <c r="E80" s="15">
        <v>42609.514432870368</v>
      </c>
      <c r="F80" s="15">
        <v>42609.518287037034</v>
      </c>
      <c r="G80" s="7">
        <v>1</v>
      </c>
      <c r="H80" s="15" t="s">
        <v>345</v>
      </c>
      <c r="I80" s="15">
        <v>42609.545069444444</v>
      </c>
      <c r="J80" s="7">
        <v>0</v>
      </c>
      <c r="K80" s="132" t="str">
        <f t="shared" si="100"/>
        <v>4031/4032</v>
      </c>
      <c r="L80" s="24" t="str">
        <f>VLOOKUP(A80,'Trips&amp;Operators'!$C$1:$E$10000,3,FALSE)</f>
        <v>MOSES</v>
      </c>
      <c r="M80" s="6">
        <f t="shared" si="101"/>
        <v>2.6782407410792075E-2</v>
      </c>
      <c r="N80" s="7">
        <f t="shared" si="102"/>
        <v>38.566666671540588</v>
      </c>
      <c r="O80" s="7"/>
      <c r="P80" s="7"/>
      <c r="Q80" s="25"/>
      <c r="R80" s="25"/>
      <c r="S80" s="37">
        <f t="shared" si="103"/>
        <v>1</v>
      </c>
      <c r="T80" s="52" t="str">
        <f t="shared" si="104"/>
        <v>Southbound</v>
      </c>
      <c r="U80" s="12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11:20:47-0600',mode:absolute,to:'2016-08-27 14:04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80" s="54" t="str">
        <f t="shared" si="106"/>
        <v>N</v>
      </c>
      <c r="X80" s="120">
        <f t="shared" si="112"/>
        <v>1</v>
      </c>
      <c r="Y80" s="69">
        <f t="shared" si="107"/>
        <v>23.3034</v>
      </c>
      <c r="Z80" s="69">
        <f t="shared" si="108"/>
        <v>1.23E-2</v>
      </c>
      <c r="AA80" s="69">
        <f t="shared" si="109"/>
        <v>23.2911</v>
      </c>
      <c r="AB80" s="66" t="e">
        <f>VLOOKUP(A80,Enforcements!$C$7:$J$21,8,0)</f>
        <v>#N/A</v>
      </c>
      <c r="AC80" s="62" t="e">
        <f>VLOOKUP(A80,Enforcements!$C$7:$E$21,3,0)</f>
        <v>#N/A</v>
      </c>
      <c r="AD80" s="63" t="str">
        <f t="shared" si="110"/>
        <v>0164-27</v>
      </c>
      <c r="AE80" s="99" t="str">
        <f t="shared" si="113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80" s="96" t="str">
        <f t="shared" si="114"/>
        <v>"C:\Program Files (x86)\AstroGrep\AstroGrep.exe" /spath="%USERPROFILE%\AppData\Local\Temp\OnboardLogs" /stypes="*4032*20160827*" /stext=" 19:.+((SYSTEM_STATE.+slice.+state.+changed )|(ment ac)|(system.+state.+changed )|(\|lc)|(penalty)|(\[timeout)|(PRM\|1\|D)|(kpr)|(kdp))" /e /r /s</v>
      </c>
      <c r="AG80" s="1" t="str">
        <f t="shared" si="111"/>
        <v>EC</v>
      </c>
      <c r="AH80" s="100" t="str">
        <f t="shared" si="2"/>
        <v>"%USERPROFILE%\Documents\GitHub\eaglep3\Utilities\RefineRTDCRunTimes.py" --tripid 164-27 --locoid 4032 --swversion DE.1.0.7.0 --startMP 204:233034 --initTime 2016-08-27T12:20:47 --startdatetime 2016-08-27T12:26:20 --delay 1 --endMP 204:123 --enddatetime 2016-08-27T13:04:54 --enforcementcount 0 &gt;&gt;C:\Users\stu\Documents\GitHub\eaglep3-reporting\EC\2016-08-27-refined-times.txt</v>
      </c>
      <c r="AI80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{"issue":{"subject":"","project_id":79,"tracker_id":40,"status_id":1,"priority_id":2,"assigned_to_id":23,"start_date":"2016-08-27","description":"","custom_fields":[{"id":1,"name":"Subdivision","value":"EC"},{"id":4,"name":"Milepost","value":"23.2911"},{"id":17,"name":"Train ID","value":"164-27"},{"id":16,"name":"Locomotive ID","value":"4032"},{"id":130,"name":"Impact","value":""},{"id":150,"name":"Time of Event (Mountain Time)","value":"13:04:54"},{"id":151,"name":"Denver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23" customFormat="1" x14ac:dyDescent="0.25">
      <c r="A81" s="39" t="s">
        <v>480</v>
      </c>
      <c r="B81" s="7">
        <v>4042</v>
      </c>
      <c r="C81" s="24" t="s">
        <v>113</v>
      </c>
      <c r="D81" s="24" t="s">
        <v>125</v>
      </c>
      <c r="E81" s="15">
        <v>42609.487222222226</v>
      </c>
      <c r="F81" s="15">
        <v>42609.48982638889</v>
      </c>
      <c r="G81" s="7">
        <v>2</v>
      </c>
      <c r="H81" s="15" t="s">
        <v>206</v>
      </c>
      <c r="I81" s="15">
        <v>42609.515960648147</v>
      </c>
      <c r="J81" s="7">
        <v>0</v>
      </c>
      <c r="K81" s="132" t="str">
        <f t="shared" si="100"/>
        <v>4041/4042</v>
      </c>
      <c r="L81" s="24" t="str">
        <f>VLOOKUP(A81,'Trips&amp;Operators'!$C$1:$E$10000,3,FALSE)</f>
        <v>SHOOK</v>
      </c>
      <c r="M81" s="6">
        <f t="shared" si="101"/>
        <v>2.6134259256650694E-2</v>
      </c>
      <c r="N81" s="7">
        <f t="shared" si="102"/>
        <v>37.633333329576999</v>
      </c>
      <c r="O81" s="7"/>
      <c r="P81" s="7"/>
      <c r="Q81" s="25"/>
      <c r="R81" s="25"/>
      <c r="S81" s="37">
        <f t="shared" si="103"/>
        <v>1</v>
      </c>
      <c r="T81" s="52" t="str">
        <f t="shared" si="104"/>
        <v>NorthBound</v>
      </c>
      <c r="U81" s="12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10:41:36-0600',mode:absolute,to:'2016-08-27 13:22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81" s="54" t="str">
        <f t="shared" si="106"/>
        <v>N</v>
      </c>
      <c r="X81" s="120">
        <f t="shared" si="112"/>
        <v>1</v>
      </c>
      <c r="Y81" s="69">
        <f t="shared" si="107"/>
        <v>4.5499999999999999E-2</v>
      </c>
      <c r="Z81" s="69">
        <f t="shared" si="108"/>
        <v>23.3368</v>
      </c>
      <c r="AA81" s="69">
        <f t="shared" si="109"/>
        <v>23.2913</v>
      </c>
      <c r="AB81" s="66" t="e">
        <f>VLOOKUP(A81,Enforcements!$C$7:$J$21,8,0)</f>
        <v>#N/A</v>
      </c>
      <c r="AC81" s="62" t="e">
        <f>VLOOKUP(A81,Enforcements!$C$7:$E$21,3,0)</f>
        <v>#N/A</v>
      </c>
      <c r="AD81" s="63" t="str">
        <f t="shared" si="110"/>
        <v>0165-27</v>
      </c>
      <c r="AE81" s="99" t="str">
        <f t="shared" si="113"/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81" s="96" t="str">
        <f t="shared" si="114"/>
        <v>"C:\Program Files (x86)\AstroGrep\AstroGrep.exe" /spath="%USERPROFILE%\AppData\Local\Temp\OnboardLogs" /stypes="*4042*20160827*" /stext=" 18:.+((SYSTEM_STATE.+slice.+state.+changed )|(ment ac)|(system.+state.+changed )|(\|lc)|(penalty)|(\[timeout)|(PRM\|1\|D)|(kpr)|(kdp))" /e /r /s</v>
      </c>
      <c r="AG81" s="1" t="str">
        <f t="shared" si="111"/>
        <v>EC</v>
      </c>
      <c r="AH81" s="100" t="str">
        <f t="shared" si="2"/>
        <v>"%USERPROFILE%\Documents\GitHub\eaglep3\Utilities\RefineRTDCRunTimes.py" --tripid 165-27 --locoid 4042 --swversion DE.1.0.7.0 --startMP 204:455 --initTime 2016-08-27T11:41:36 --startdatetime 2016-08-27T11:45:21 --delay 2 --endMP 204:233368 --enddatetime 2016-08-27T12:22:59 --enforcementcount 0 &gt;&gt;C:\Users\stu\Documents\GitHub\eaglep3-reporting\EC\2016-08-27-refined-times.txt</v>
      </c>
      <c r="AI81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{"issue":{"subject":"","project_id":79,"tracker_id":40,"status_id":1,"priority_id":2,"assigned_to_id":23,"start_date":"2016-08-27","description":"","custom_fields":[{"id":1,"name":"Subdivision","value":"EC"},{"id":4,"name":"Milepost","value":"23.2913"},{"id":17,"name":"Train ID","value":"165-27"},{"id":16,"name":"Locomotive ID","value":"4042"},{"id":130,"name":"Impact","value":""},{"id":150,"name":"Time of Event (Mountain Time)","value":"12:22:59"},{"id":151,"name":"Denver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x14ac:dyDescent="0.25">
      <c r="A82" s="39" t="s">
        <v>481</v>
      </c>
      <c r="B82" s="7">
        <v>4041</v>
      </c>
      <c r="C82" s="24" t="s">
        <v>113</v>
      </c>
      <c r="D82" s="24" t="s">
        <v>482</v>
      </c>
      <c r="E82" s="15">
        <v>42609.522800925923</v>
      </c>
      <c r="F82" s="15">
        <v>42609.528634259259</v>
      </c>
      <c r="G82" s="7">
        <v>1</v>
      </c>
      <c r="H82" s="15" t="s">
        <v>156</v>
      </c>
      <c r="I82" s="15">
        <v>42609.555983796294</v>
      </c>
      <c r="J82" s="7">
        <v>0</v>
      </c>
      <c r="K82" s="132" t="str">
        <f t="shared" si="100"/>
        <v>4041/4042</v>
      </c>
      <c r="L82" s="24" t="str">
        <f>VLOOKUP(A82,'Trips&amp;Operators'!$C$1:$E$10000,3,FALSE)</f>
        <v>SHOOK</v>
      </c>
      <c r="M82" s="6">
        <f t="shared" si="101"/>
        <v>2.7349537034751847E-2</v>
      </c>
      <c r="N82" s="7">
        <f t="shared" si="102"/>
        <v>39.38333333004266</v>
      </c>
      <c r="O82" s="7"/>
      <c r="P82" s="7"/>
      <c r="Q82" s="25"/>
      <c r="R82" s="25"/>
      <c r="S82" s="37">
        <f t="shared" si="103"/>
        <v>1</v>
      </c>
      <c r="T82" s="52" t="str">
        <f t="shared" si="104"/>
        <v>Southbound</v>
      </c>
      <c r="U82" s="12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6" t="str">
        <f t="shared" si="105"/>
        <v>https://search-rtdc-monitor-bjffxe2xuh6vdkpspy63sjmuny.us-east-1.es.amazonaws.com/_plugin/kibana/#/discover/Steve-Slow-Train-Analysis-(2080s-and-2083s)?_g=(refreshInterval:(display:Off,section:0,value:0),time:(from:'2016-08-27 11:32:50-0600',mode:absolute,to:'2016-08-27 14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82" s="54" t="str">
        <f t="shared" si="106"/>
        <v>N</v>
      </c>
      <c r="X82" s="120">
        <f t="shared" si="112"/>
        <v>1</v>
      </c>
      <c r="Y82" s="69">
        <f t="shared" si="107"/>
        <v>23.303999999999998</v>
      </c>
      <c r="Z82" s="69">
        <f t="shared" si="108"/>
        <v>1.54E-2</v>
      </c>
      <c r="AA82" s="69">
        <f t="shared" si="109"/>
        <v>23.288599999999999</v>
      </c>
      <c r="AB82" s="66" t="e">
        <f>VLOOKUP(A82,Enforcements!$C$7:$J$21,8,0)</f>
        <v>#N/A</v>
      </c>
      <c r="AC82" s="62" t="e">
        <f>VLOOKUP(A82,Enforcements!$C$7:$E$21,3,0)</f>
        <v>#N/A</v>
      </c>
      <c r="AD82" s="63" t="str">
        <f t="shared" si="110"/>
        <v>0166-27</v>
      </c>
      <c r="AE82" s="99" t="str">
        <f t="shared" si="113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82" s="96" t="str">
        <f t="shared" si="114"/>
        <v>"C:\Program Files (x86)\AstroGrep\AstroGrep.exe" /spath="%USERPROFILE%\AppData\Local\Temp\OnboardLogs" /stypes="*4041*20160827*" /stext=" 19:.+((SYSTEM_STATE.+slice.+state.+changed )|(ment ac)|(system.+state.+changed )|(\|lc)|(penalty)|(\[timeout)|(PRM\|1\|D)|(kpr)|(kdp))" /e /r /s</v>
      </c>
      <c r="AG82" s="1" t="str">
        <f t="shared" si="111"/>
        <v>EC</v>
      </c>
      <c r="AH82" s="100" t="str">
        <f t="shared" si="2"/>
        <v>"%USERPROFILE%\Documents\GitHub\eaglep3\Utilities\RefineRTDCRunTimes.py" --tripid 166-27 --locoid 4041 --swversion DE.1.0.7.0 --startMP 204:233040 --initTime 2016-08-27T12:32:50 --startdatetime 2016-08-27T12:41:14 --delay 1 --endMP 204:154 --enddatetime 2016-08-27T13:20:37 --enforcementcount 0 &gt;&gt;C:\Users\stu\Documents\GitHub\eaglep3-reporting\EC\2016-08-27-refined-times.txt</v>
      </c>
      <c r="AI82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{"issue":{"subject":"","project_id":79,"tracker_id":40,"status_id":1,"priority_id":2,"assigned_to_id":23,"start_date":"2016-08-27","description":"","custom_fields":[{"id":1,"name":"Subdivision","value":"EC"},{"id":4,"name":"Milepost","value":"23.2886"},{"id":17,"name":"Train ID","value":"166-27"},{"id":16,"name":"Locomotive ID","value":"4041"},{"id":130,"name":"Impact","value":""},{"id":150,"name":"Time of Event (Mountain Time)","value":"13:20:37"},{"id":151,"name":"Denver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23" customFormat="1" x14ac:dyDescent="0.25">
      <c r="A83" s="39" t="s">
        <v>684</v>
      </c>
      <c r="B83" s="7"/>
      <c r="C83" s="24"/>
      <c r="D83" s="24"/>
      <c r="E83" s="15"/>
      <c r="F83" s="15"/>
      <c r="G83" s="7"/>
      <c r="H83" s="15"/>
      <c r="I83" s="15"/>
      <c r="J83" s="7">
        <v>0</v>
      </c>
      <c r="K83" s="132" t="str">
        <f t="shared" ref="K83:K84" si="115">IF(ISEVEN(B83),(B83-1)&amp;"/"&amp;B83,B83&amp;"/"&amp;(B83+1))</f>
        <v>-1/</v>
      </c>
      <c r="L83" s="24" t="str">
        <f>VLOOKUP(A83,'Trips&amp;Operators'!$C$1:$E$10000,3,FALSE)</f>
        <v>BROWN</v>
      </c>
      <c r="M83" s="6">
        <f t="shared" ref="M83:M84" si="116">I83-F83</f>
        <v>0</v>
      </c>
      <c r="N83" s="7"/>
      <c r="O83" s="7"/>
      <c r="P83" s="7">
        <v>1</v>
      </c>
      <c r="Q83" s="25"/>
      <c r="R83" s="25" t="s">
        <v>706</v>
      </c>
      <c r="S83" s="37">
        <f t="shared" ref="S83:S84" si="117">SUM(U83:U83)/IF(AG83="EC",12,1)</f>
        <v>0</v>
      </c>
      <c r="T83" s="52" t="str">
        <f t="shared" ref="T83:T84" si="118">IF(ISEVEN(LEFT(AD83,4)),"Southbound","NorthBound")</f>
        <v>NorthBound</v>
      </c>
      <c r="U83" s="12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0</v>
      </c>
      <c r="V83" s="106" t="e">
        <f t="shared" ref="V83:V84" si="119"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83&amp;"%22')),sort:!(Time,asc))"</f>
        <v>#VALUE!</v>
      </c>
      <c r="W83" s="54" t="e">
        <f t="shared" ref="W83:W84" si="120">IF(AA83&lt;IF(AG83="EC",23,5.65),"Y","N")</f>
        <v>#VALUE!</v>
      </c>
      <c r="X83" s="120">
        <f t="shared" ref="X83:X85" si="121">VALUE(LEFT(AD83,4))-VALUE(LEFT(AD82,4))</f>
        <v>1</v>
      </c>
      <c r="Y83" s="69" t="e">
        <f t="shared" ref="Y83:Y84" si="122">RIGHT(D83,LEN(D83)-4)/10000</f>
        <v>#VALUE!</v>
      </c>
      <c r="Z83" s="69" t="e">
        <f t="shared" ref="Z83:Z84" si="123">RIGHT(H83,LEN(H83)-4)/10000</f>
        <v>#VALUE!</v>
      </c>
      <c r="AA83" s="69" t="e">
        <f t="shared" ref="AA83:AA84" si="124">ABS(Z83-Y83)</f>
        <v>#VALUE!</v>
      </c>
      <c r="AB83" s="66" t="e">
        <f>VLOOKUP(A83,Enforcements!$C$7:$J$21,8,0)</f>
        <v>#N/A</v>
      </c>
      <c r="AC83" s="62" t="e">
        <f>VLOOKUP(A83,Enforcements!$C$7:$E$21,3,0)</f>
        <v>#N/A</v>
      </c>
      <c r="AD83" s="63" t="str">
        <f t="shared" ref="AD83:AD84" si="125">IF(LEN(A83)=6,"0"&amp;A83,A83)</f>
        <v>0167-27</v>
      </c>
      <c r="AE83" s="99" t="str">
        <f t="shared" si="113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83" s="96" t="str">
        <f t="shared" si="114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83" s="1" t="str">
        <f t="shared" ref="AG83:AG84" si="126">IFERROR(IF(VALUE(LEFT(AD83,2))&lt;=2,"EC",IF(OR(VALUE(LEFT(AD83,2))=8,VALUE(LEFT(AD83,2))=18),"NW","Other")),"Other")</f>
        <v>EC</v>
      </c>
      <c r="AH83" s="100" t="str">
        <f t="shared" ref="AH83:AH84" si="127">refinertdcruntimes&amp;" --tripid "&amp;A83&amp;" --locoid "&amp;B83&amp;" --swversion "&amp;C83&amp;" --startMP "&amp;D83&amp;" --initTime "&amp;TEXT(E83,"yyyy-mm-ddTHH:MM:SS")&amp;" --startdatetime "&amp;TEXT(F83,"yyyy-mm-ddTHH:MM:SS")&amp;" --delay "&amp;G83&amp;" --endMP "&amp;H83&amp;" --enddatetime "&amp;TEXT(I83,"yyyy-mm-ddTHH:MM:SS")&amp;" --enforcementcount "&amp;J83&amp;IF(outputrefinedruntimes," &gt;&gt;"&amp;RefinedRTDCRunTimesOutputFile,"")</f>
        <v>"%USERPROFILE%\Documents\GitHub\eaglep3\Utilities\RefineRTDCRunTimes.py" --tripid 167-27 --locoid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83" s="149" t="e">
        <f t="shared" ref="AI83:AI84" si="128">"echo {""issue"":{""subject"":"""&amp;R83&amp;""",""project_id"":79,""tracker_id"":40,""status_id"":"&amp;redmine_status&amp;",""priority_id"":"&amp;redmine_priority&amp;",""assigned_to_id"":"&amp;redmine_assignee&amp;",""start_date"":"""&amp;TEXT(I83,"YYYY-mm-dd")&amp;""",""description"":"""&amp;AJ83&amp;""",""custom_fields"":[{""id"":1,""name"":""Subdivision"",""value"":"""&amp;AG83&amp;"""},{""id"":4,""name"":""Milepost"",""value"":"""&amp;AA83&amp;"""},{""id"":17,""name"":""Train ID"",""value"":"""&amp;A83&amp;"""},{""id"":16,""name"":""Locomotive ID"",""value"":"""&amp;B83&amp;"""},{""id"":130,""name"":""Impact"",""value"":"""&amp;AK83&amp;"""},{""id"":150,""name"":""Time of Event (Mountain Time)"",""value"":"""&amp;TEXT(I83,"hh:mm:ss")&amp;"""},{""id"":151,""name"":""Denver Issue ID"",""value"":"""&amp;"""},{""id"":178,""name"":""Operational Impact"",""value"":"""&amp;redmine_op_impact&amp;"""},{""id"":179,""name"":""Denver Segment Assigned"",""value"":"""&amp;AL83&amp;"""}]}}"&amp;" | curl -X POST -H ""Content-Type: application/json"" -H ""X-Redmine-API-Key: "&amp;redm_api_key&amp;""" "&amp;redm_url&amp;" --data @-"</f>
        <v>#VALUE!</v>
      </c>
      <c r="AJ83" s="55"/>
      <c r="AK83" s="55"/>
      <c r="AL83" s="55"/>
    </row>
    <row r="84" spans="1:38" s="23" customFormat="1" x14ac:dyDescent="0.25">
      <c r="A84" s="39" t="s">
        <v>685</v>
      </c>
      <c r="B84" s="7"/>
      <c r="C84" s="24"/>
      <c r="D84" s="24"/>
      <c r="E84" s="15"/>
      <c r="F84" s="15"/>
      <c r="G84" s="7"/>
      <c r="H84" s="15"/>
      <c r="I84" s="15"/>
      <c r="J84" s="7">
        <v>0</v>
      </c>
      <c r="K84" s="132" t="str">
        <f t="shared" si="115"/>
        <v>-1/</v>
      </c>
      <c r="L84" s="24" t="str">
        <f>VLOOKUP(A84,'Trips&amp;Operators'!$C$1:$E$10000,3,FALSE)</f>
        <v>BROWN</v>
      </c>
      <c r="M84" s="6">
        <f t="shared" si="116"/>
        <v>0</v>
      </c>
      <c r="N84" s="7"/>
      <c r="O84" s="7"/>
      <c r="P84" s="7">
        <v>1</v>
      </c>
      <c r="Q84" s="25"/>
      <c r="R84" s="25" t="s">
        <v>706</v>
      </c>
      <c r="S84" s="37">
        <f t="shared" si="117"/>
        <v>0</v>
      </c>
      <c r="T84" s="52" t="str">
        <f t="shared" si="118"/>
        <v>Southbound</v>
      </c>
      <c r="U84" s="12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0</v>
      </c>
      <c r="V84" s="106" t="e">
        <f t="shared" si="119"/>
        <v>#VALUE!</v>
      </c>
      <c r="W84" s="54" t="e">
        <f t="shared" si="120"/>
        <v>#VALUE!</v>
      </c>
      <c r="X84" s="120">
        <f t="shared" si="121"/>
        <v>1</v>
      </c>
      <c r="Y84" s="69" t="e">
        <f t="shared" si="122"/>
        <v>#VALUE!</v>
      </c>
      <c r="Z84" s="69" t="e">
        <f t="shared" si="123"/>
        <v>#VALUE!</v>
      </c>
      <c r="AA84" s="69" t="e">
        <f t="shared" si="124"/>
        <v>#VALUE!</v>
      </c>
      <c r="AB84" s="66" t="e">
        <f>VLOOKUP(A84,Enforcements!$C$7:$J$21,8,0)</f>
        <v>#N/A</v>
      </c>
      <c r="AC84" s="62" t="e">
        <f>VLOOKUP(A84,Enforcements!$C$7:$E$21,3,0)</f>
        <v>#N/A</v>
      </c>
      <c r="AD84" s="63" t="str">
        <f t="shared" si="125"/>
        <v>0168-27</v>
      </c>
      <c r="AE84" s="99" t="str">
        <f t="shared" si="113"/>
        <v>aws s3 cp s3://rtdc.mdm.uploadarchive/RTDC/1900-01-00/ "%USERPROFILE%\AppData\Local\Temp\OnboardLogs"\RTDC\1900-01-00 --recursive &amp; "%USERPROFILE%\Documents\GitHub\mrs-test-scripts\Headless Mode &amp; Sideloading\WalkAndUnGZ.bat" "%USERPROFILE%\AppData\Local\Temp\OnboardLogs"\RTDC\1900-01-00 &amp; aws s3 cp s3://rtdc.mdm.uploadarchive/RTDC/1900-01-01/ "%USERPROFILE%\AppData\Local\Temp\OnboardLogs"\RTDC\1900-01-01 --recursive &amp; "%USERPROFILE%\Documents\GitHub\mrs-test-scripts\Headless Mode &amp; Sideloading\WalkAndUnGZ.bat" "%USERPROFILE%\AppData\Local\Temp\OnboardLogs"\RTDC\1900-01-01</v>
      </c>
      <c r="AF84" s="96" t="str">
        <f t="shared" si="114"/>
        <v>"C:\Program Files (x86)\AstroGrep\AstroGrep.exe" /spath="%USERPROFILE%\AppData\Local\Temp\OnboardLogs" /stypes="**19000100*" /stext=" 06:.+((SYSTEM_STATE.+slice.+state.+changed )|(ment ac)|(system.+state.+changed )|(\|lc)|(penalty)|(\[timeout)|(PRM\|1\|D)|(kpr)|(kdp))" /e /r /s</v>
      </c>
      <c r="AG84" s="1" t="str">
        <f t="shared" si="126"/>
        <v>EC</v>
      </c>
      <c r="AH84" s="100" t="str">
        <f t="shared" si="127"/>
        <v>"%USERPROFILE%\Documents\GitHub\eaglep3\Utilities\RefineRTDCRunTimes.py" --tripid 168-27 --locoid  --swversion  --startMP  --initTime 1900-01-00T00:00:00 --startdatetime 1900-01-00T00:00:00 --delay  --endMP  --enddatetime 1900-01-00T00:00:00 --enforcementcount 0 &gt;&gt;C:\Users\stu\Documents\GitHub\eaglep3-reporting\EC\2016-08-27-refined-times.txt</v>
      </c>
      <c r="AI84" s="149" t="e">
        <f t="shared" si="128"/>
        <v>#VALUE!</v>
      </c>
      <c r="AJ84" s="55"/>
      <c r="AK84" s="55"/>
      <c r="AL84" s="55"/>
    </row>
    <row r="85" spans="1:38" x14ac:dyDescent="0.25">
      <c r="A85" s="39" t="s">
        <v>483</v>
      </c>
      <c r="B85" s="7">
        <v>4014</v>
      </c>
      <c r="C85" s="24" t="s">
        <v>113</v>
      </c>
      <c r="D85" s="24" t="s">
        <v>265</v>
      </c>
      <c r="E85" s="15">
        <v>42609.507974537039</v>
      </c>
      <c r="F85" s="15">
        <v>42609.512557870374</v>
      </c>
      <c r="G85" s="7">
        <v>1</v>
      </c>
      <c r="H85" s="15" t="s">
        <v>210</v>
      </c>
      <c r="I85" s="15">
        <v>42609.543981481482</v>
      </c>
      <c r="J85" s="7">
        <v>0</v>
      </c>
      <c r="K85" s="132" t="str">
        <f t="shared" ref="K85:K116" si="129">IF(ISEVEN(B85),(B85-1)&amp;"/"&amp;B85,B85&amp;"/"&amp;(B85+1))</f>
        <v>4013/4014</v>
      </c>
      <c r="L85" s="24" t="str">
        <f>VLOOKUP(A85,'Trips&amp;Operators'!$C$1:$E$10000,3,FALSE)</f>
        <v>STORY</v>
      </c>
      <c r="M85" s="6">
        <f t="shared" ref="M85:M116" si="130">I85-F85</f>
        <v>3.142361110803904E-2</v>
      </c>
      <c r="N85" s="7">
        <f t="shared" ref="N85:N96" si="131">24*60*SUM($M85:$M85)</f>
        <v>45.249999995576218</v>
      </c>
      <c r="O85" s="7"/>
      <c r="P85" s="7"/>
      <c r="Q85" s="25"/>
      <c r="R85" s="25"/>
      <c r="S85" s="37">
        <f t="shared" ref="S85:S116" si="132">SUM(U85:U85)/IF(AG85="EC",12,1)</f>
        <v>1</v>
      </c>
      <c r="T85" s="52" t="str">
        <f t="shared" ref="T85:T116" si="133">IF(ISEVEN(LEFT(AD85,4)),"Southbound","NorthBound")</f>
        <v>NorthBound</v>
      </c>
      <c r="U85" s="12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6" t="str">
        <f t="shared" ref="V85:V116" si="134"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https://search-rtdc-monitor-bjffxe2xuh6vdkpspy63sjmuny.us-east-1.es.amazonaws.com/_plugin/kibana/#/discover/Steve-Slow-Train-Analysis-(2080s-and-2083s)?_g=(refreshInterval:(display:Off,section:0,value:0),time:(from:'2016-08-27 11:11:29-0600',mode:absolute,to:'2016-08-27 14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85" s="54" t="str">
        <f t="shared" ref="W85:W116" si="135">IF(AA85&lt;IF(AG85="EC",23,5.65),"Y","N")</f>
        <v>N</v>
      </c>
      <c r="X85" s="120">
        <f t="shared" si="121"/>
        <v>1</v>
      </c>
      <c r="Y85" s="69">
        <f t="shared" ref="Y85:Y116" si="136">RIGHT(D85,LEN(D85)-4)/10000</f>
        <v>4.3999999999999997E-2</v>
      </c>
      <c r="Z85" s="69">
        <f t="shared" ref="Z85:Z116" si="137">RIGHT(H85,LEN(H85)-4)/10000</f>
        <v>23.332000000000001</v>
      </c>
      <c r="AA85" s="69">
        <f t="shared" ref="AA85:AA116" si="138">ABS(Z85-Y85)</f>
        <v>23.288</v>
      </c>
      <c r="AB85" s="66">
        <f>VLOOKUP(A85,Enforcements!$C$7:$J$21,8,0)</f>
        <v>183829</v>
      </c>
      <c r="AC85" s="62" t="str">
        <f>VLOOKUP(A85,Enforcements!$C$7:$E$21,3,0)</f>
        <v>PERMANENT SPEED RESTRICTION</v>
      </c>
      <c r="AD85" s="63" t="str">
        <f t="shared" ref="AD85:AD116" si="139">IF(LEN(A85)=6,"0"&amp;A85,A85)</f>
        <v>0169-27</v>
      </c>
      <c r="AE85" s="99" t="str">
        <f t="shared" si="113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85" s="96" t="str">
        <f t="shared" si="114"/>
        <v>"C:\Program Files (x86)\AstroGrep\AstroGrep.exe" /spath="%USERPROFILE%\AppData\Local\Temp\OnboardLogs" /stypes="*4014*20160827*" /stext=" 19:.+((SYSTEM_STATE.+slice.+state.+changed )|(ment ac)|(system.+state.+changed )|(\|lc)|(penalty)|(\[timeout)|(PRM\|1\|D)|(kpr)|(kdp))" /e /r /s</v>
      </c>
      <c r="AG85" s="1" t="str">
        <f t="shared" ref="AG85:AG116" si="140">IFERROR(IF(VALUE(LEFT(AD85,2))&lt;=2,"EC",IF(OR(VALUE(LEFT(AD85,2))=8,VALUE(LEFT(AD85,2))=18),"NW","Other")),"Other")</f>
        <v>EC</v>
      </c>
      <c r="AH85" s="100" t="str">
        <f t="shared" si="2"/>
        <v>"%USERPROFILE%\Documents\GitHub\eaglep3\Utilities\RefineRTDCRunTimes.py" --tripid 169-27 --locoid 4014 --swversion DE.1.0.7.0 --startMP 204:440 --initTime 2016-08-27T12:11:29 --startdatetime 2016-08-27T12:18:05 --delay 1 --endMP 204:233320 --enddatetime 2016-08-27T13:03:20 --enforcementcount 0 &gt;&gt;C:\Users\stu\Documents\GitHub\eaglep3-reporting\EC\2016-08-27-refined-times.txt</v>
      </c>
      <c r="AI85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{"issue":{"subject":"","project_id":79,"tracker_id":40,"status_id":1,"priority_id":2,"assigned_to_id":23,"start_date":"2016-08-27","description":"","custom_fields":[{"id":1,"name":"Subdivision","value":"EC"},{"id":4,"name":"Milepost","value":"23.288"},{"id":17,"name":"Train ID","value":"169-27"},{"id":16,"name":"Locomotive ID","value":"4014"},{"id":130,"name":"Impact","value":""},{"id":150,"name":"Time of Event (Mountain Time)","value":"13:03:20"},{"id":151,"name":"Denver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x14ac:dyDescent="0.25">
      <c r="A86" s="39" t="s">
        <v>484</v>
      </c>
      <c r="B86" s="7">
        <v>4013</v>
      </c>
      <c r="C86" s="24" t="s">
        <v>113</v>
      </c>
      <c r="D86" s="24" t="s">
        <v>193</v>
      </c>
      <c r="E86" s="15">
        <v>42609.545057870368</v>
      </c>
      <c r="F86" s="15">
        <v>42609.549479166664</v>
      </c>
      <c r="G86" s="7">
        <v>1</v>
      </c>
      <c r="H86" s="15" t="s">
        <v>485</v>
      </c>
      <c r="I86" s="15">
        <v>42609.577372685184</v>
      </c>
      <c r="J86" s="7">
        <v>0</v>
      </c>
      <c r="K86" s="132" t="str">
        <f t="shared" si="129"/>
        <v>4013/4014</v>
      </c>
      <c r="L86" s="24" t="str">
        <f>VLOOKUP(A86,'Trips&amp;Operators'!$C$1:$E$10000,3,FALSE)</f>
        <v>STORY</v>
      </c>
      <c r="M86" s="6">
        <f t="shared" si="130"/>
        <v>2.789351851970423E-2</v>
      </c>
      <c r="N86" s="7">
        <f t="shared" si="131"/>
        <v>40.166666668374091</v>
      </c>
      <c r="O86" s="7"/>
      <c r="P86" s="7"/>
      <c r="Q86" s="25"/>
      <c r="R86" s="25"/>
      <c r="S86" s="37">
        <f t="shared" si="132"/>
        <v>1</v>
      </c>
      <c r="T86" s="52" t="str">
        <f t="shared" si="133"/>
        <v>Southbound</v>
      </c>
      <c r="U86" s="12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12:04:53-0600',mode:absolute,to:'2016-08-27 14:51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86" s="54" t="str">
        <f t="shared" si="135"/>
        <v>N</v>
      </c>
      <c r="X86" s="120">
        <f t="shared" ref="X86:X117" si="141">VALUE(LEFT(AD86,4))-VALUE(LEFT(AD85,4))</f>
        <v>1</v>
      </c>
      <c r="Y86" s="69">
        <f t="shared" si="136"/>
        <v>23.299199999999999</v>
      </c>
      <c r="Z86" s="69">
        <f t="shared" si="137"/>
        <v>1.2699999999999999E-2</v>
      </c>
      <c r="AA86" s="69">
        <f t="shared" si="138"/>
        <v>23.2865</v>
      </c>
      <c r="AB86" s="66" t="e">
        <f>VLOOKUP(A86,Enforcements!$C$7:$J$21,8,0)</f>
        <v>#N/A</v>
      </c>
      <c r="AC86" s="62" t="e">
        <f>VLOOKUP(A86,Enforcements!$C$7:$E$21,3,0)</f>
        <v>#N/A</v>
      </c>
      <c r="AD86" s="63" t="str">
        <f t="shared" si="139"/>
        <v>0170-27</v>
      </c>
      <c r="AE86" s="99" t="str">
        <f t="shared" si="113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86" s="96" t="str">
        <f t="shared" si="114"/>
        <v>"C:\Program Files (x86)\AstroGrep\AstroGrep.exe" /spath="%USERPROFILE%\AppData\Local\Temp\OnboardLogs" /stypes="*4013*20160827*" /stext=" 19:.+((SYSTEM_STATE.+slice.+state.+changed )|(ment ac)|(system.+state.+changed )|(\|lc)|(penalty)|(\[timeout)|(PRM\|1\|D)|(kpr)|(kdp))" /e /r /s</v>
      </c>
      <c r="AG86" s="1" t="str">
        <f t="shared" si="140"/>
        <v>EC</v>
      </c>
      <c r="AH86" s="100" t="str">
        <f t="shared" si="2"/>
        <v>"%USERPROFILE%\Documents\GitHub\eaglep3\Utilities\RefineRTDCRunTimes.py" --tripid 170-27 --locoid 4013 --swversion DE.1.0.7.0 --startMP 204:232992 --initTime 2016-08-27T13:04:53 --startdatetime 2016-08-27T13:11:15 --delay 1 --endMP 204:127 --enddatetime 2016-08-27T13:51:25 --enforcementcount 0 &gt;&gt;C:\Users\stu\Documents\GitHub\eaglep3-reporting\EC\2016-08-27-refined-times.txt</v>
      </c>
      <c r="AI86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{"issue":{"subject":"","project_id":79,"tracker_id":40,"status_id":1,"priority_id":2,"assigned_to_id":23,"start_date":"2016-08-27","description":"","custom_fields":[{"id":1,"name":"Subdivision","value":"EC"},{"id":4,"name":"Milepost","value":"23.2865"},{"id":17,"name":"Train ID","value":"170-27"},{"id":16,"name":"Locomotive ID","value":"4013"},{"id":130,"name":"Impact","value":""},{"id":150,"name":"Time of Event (Mountain Time)","value":"13:51:25"},{"id":151,"name":"Denver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23" customFormat="1" x14ac:dyDescent="0.25">
      <c r="A87" s="39" t="s">
        <v>486</v>
      </c>
      <c r="B87" s="7">
        <v>4025</v>
      </c>
      <c r="C87" s="24" t="s">
        <v>113</v>
      </c>
      <c r="D87" s="24" t="s">
        <v>133</v>
      </c>
      <c r="E87" s="15">
        <v>42609.517766203702</v>
      </c>
      <c r="F87" s="15">
        <v>42609.52138888889</v>
      </c>
      <c r="G87" s="7">
        <v>1</v>
      </c>
      <c r="H87" s="15" t="s">
        <v>336</v>
      </c>
      <c r="I87" s="15">
        <v>42609.547337962962</v>
      </c>
      <c r="J87" s="7">
        <v>0</v>
      </c>
      <c r="K87" s="132" t="str">
        <f t="shared" si="129"/>
        <v>4025/4026</v>
      </c>
      <c r="L87" s="24" t="str">
        <f>VLOOKUP(A87,'Trips&amp;Operators'!$C$1:$E$10000,3,FALSE)</f>
        <v>WEBSTER</v>
      </c>
      <c r="M87" s="6">
        <f t="shared" si="130"/>
        <v>2.5949074071832001E-2</v>
      </c>
      <c r="N87" s="7">
        <f t="shared" si="131"/>
        <v>37.366666663438082</v>
      </c>
      <c r="O87" s="7"/>
      <c r="P87" s="7"/>
      <c r="Q87" s="25"/>
      <c r="R87" s="25"/>
      <c r="S87" s="37">
        <f t="shared" si="132"/>
        <v>1</v>
      </c>
      <c r="T87" s="52" t="str">
        <f t="shared" si="133"/>
        <v>NorthBound</v>
      </c>
      <c r="U87" s="12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11:25:35-0600',mode:absolute,to:'2016-08-27 14:08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87" s="54" t="str">
        <f t="shared" si="135"/>
        <v>N</v>
      </c>
      <c r="X87" s="120">
        <f t="shared" si="141"/>
        <v>1</v>
      </c>
      <c r="Y87" s="69">
        <f t="shared" si="136"/>
        <v>4.53E-2</v>
      </c>
      <c r="Z87" s="69">
        <f t="shared" si="137"/>
        <v>23.328099999999999</v>
      </c>
      <c r="AA87" s="69">
        <f t="shared" si="138"/>
        <v>23.282799999999998</v>
      </c>
      <c r="AB87" s="66" t="e">
        <f>VLOOKUP(A87,Enforcements!$C$7:$J$21,8,0)</f>
        <v>#N/A</v>
      </c>
      <c r="AC87" s="62" t="e">
        <f>VLOOKUP(A87,Enforcements!$C$7:$E$21,3,0)</f>
        <v>#N/A</v>
      </c>
      <c r="AD87" s="63" t="str">
        <f t="shared" si="139"/>
        <v>0171-27</v>
      </c>
      <c r="AE87" s="99" t="str">
        <f t="shared" si="113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87" s="96" t="str">
        <f t="shared" si="114"/>
        <v>"C:\Program Files (x86)\AstroGrep\AstroGrep.exe" /spath="%USERPROFILE%\AppData\Local\Temp\OnboardLogs" /stypes="*4025*20160827*" /stext=" 19:.+((SYSTEM_STATE.+slice.+state.+changed )|(ment ac)|(system.+state.+changed )|(\|lc)|(penalty)|(\[timeout)|(PRM\|1\|D)|(kpr)|(kdp))" /e /r /s</v>
      </c>
      <c r="AG87" s="1" t="str">
        <f t="shared" si="140"/>
        <v>EC</v>
      </c>
      <c r="AH87" s="100" t="str">
        <f t="shared" si="2"/>
        <v>"%USERPROFILE%\Documents\GitHub\eaglep3\Utilities\RefineRTDCRunTimes.py" --tripid 171-27 --locoid 4025 --swversion DE.1.0.7.0 --startMP 204:453 --initTime 2016-08-27T12:25:35 --startdatetime 2016-08-27T12:30:48 --delay 1 --endMP 204:233281 --enddatetime 2016-08-27T13:08:10 --enforcementcount 0 &gt;&gt;C:\Users\stu\Documents\GitHub\eaglep3-reporting\EC\2016-08-27-refined-times.txt</v>
      </c>
      <c r="AI87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{"issue":{"subject":"","project_id":79,"tracker_id":40,"status_id":1,"priority_id":2,"assigned_to_id":23,"start_date":"2016-08-27","description":"","custom_fields":[{"id":1,"name":"Subdivision","value":"EC"},{"id":4,"name":"Milepost","value":"23.2828"},{"id":17,"name":"Train ID","value":"171-27"},{"id":16,"name":"Locomotive ID","value":"4025"},{"id":130,"name":"Impact","value":""},{"id":150,"name":"Time of Event (Mountain Time)","value":"13:08:10"},{"id":151,"name":"Denver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x14ac:dyDescent="0.25">
      <c r="A88" s="39" t="s">
        <v>487</v>
      </c>
      <c r="B88" s="7">
        <v>4026</v>
      </c>
      <c r="C88" s="24" t="s">
        <v>113</v>
      </c>
      <c r="D88" s="24" t="s">
        <v>134</v>
      </c>
      <c r="E88" s="15">
        <v>42609.556851851848</v>
      </c>
      <c r="F88" s="15">
        <v>42609.560231481482</v>
      </c>
      <c r="G88" s="7">
        <v>1</v>
      </c>
      <c r="H88" s="15" t="s">
        <v>257</v>
      </c>
      <c r="I88" s="15">
        <v>42609.588136574072</v>
      </c>
      <c r="J88" s="7">
        <v>0</v>
      </c>
      <c r="K88" s="132" t="str">
        <f t="shared" si="129"/>
        <v>4025/4026</v>
      </c>
      <c r="L88" s="24" t="str">
        <f>VLOOKUP(A88,'Trips&amp;Operators'!$C$1:$E$10000,3,FALSE)</f>
        <v>WEBSTER</v>
      </c>
      <c r="M88" s="6">
        <f t="shared" si="130"/>
        <v>2.7905092589207925E-2</v>
      </c>
      <c r="N88" s="7">
        <f t="shared" si="131"/>
        <v>40.183333328459412</v>
      </c>
      <c r="O88" s="7"/>
      <c r="P88" s="7"/>
      <c r="Q88" s="25"/>
      <c r="R88" s="25"/>
      <c r="S88" s="37">
        <f t="shared" si="132"/>
        <v>1</v>
      </c>
      <c r="T88" s="52" t="str">
        <f t="shared" si="133"/>
        <v>Southbound</v>
      </c>
      <c r="U88" s="12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12:21:52-0600',mode:absolute,to:'2016-08-27 15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88" s="54" t="str">
        <f t="shared" si="135"/>
        <v>N</v>
      </c>
      <c r="X88" s="120">
        <f t="shared" si="141"/>
        <v>1</v>
      </c>
      <c r="Y88" s="69">
        <f t="shared" si="136"/>
        <v>23.299399999999999</v>
      </c>
      <c r="Z88" s="69">
        <f t="shared" si="137"/>
        <v>1.2999999999999999E-2</v>
      </c>
      <c r="AA88" s="69">
        <f t="shared" si="138"/>
        <v>23.286399999999997</v>
      </c>
      <c r="AB88" s="66" t="e">
        <f>VLOOKUP(A88,Enforcements!$C$7:$J$21,8,0)</f>
        <v>#N/A</v>
      </c>
      <c r="AC88" s="62" t="e">
        <f>VLOOKUP(A88,Enforcements!$C$7:$E$21,3,0)</f>
        <v>#N/A</v>
      </c>
      <c r="AD88" s="63" t="str">
        <f t="shared" si="139"/>
        <v>0172-27</v>
      </c>
      <c r="AE88" s="99" t="str">
        <f t="shared" si="113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88" s="96" t="str">
        <f t="shared" si="114"/>
        <v>"C:\Program Files (x86)\AstroGrep\AstroGrep.exe" /spath="%USERPROFILE%\AppData\Local\Temp\OnboardLogs" /stypes="*4026*20160827*" /stext=" 20:.+((SYSTEM_STATE.+slice.+state.+changed )|(ment ac)|(system.+state.+changed )|(\|lc)|(penalty)|(\[timeout)|(PRM\|1\|D)|(kpr)|(kdp))" /e /r /s</v>
      </c>
      <c r="AG88" s="1" t="str">
        <f t="shared" si="140"/>
        <v>EC</v>
      </c>
      <c r="AH88" s="100" t="str">
        <f t="shared" si="2"/>
        <v>"%USERPROFILE%\Documents\GitHub\eaglep3\Utilities\RefineRTDCRunTimes.py" --tripid 172-27 --locoid 4026 --swversion DE.1.0.7.0 --startMP 204:232994 --initTime 2016-08-27T13:21:52 --startdatetime 2016-08-27T13:26:44 --delay 1 --endMP 204:130 --enddatetime 2016-08-27T14:06:55 --enforcementcount 0 &gt;&gt;C:\Users\stu\Documents\GitHub\eaglep3-reporting\EC\2016-08-27-refined-times.txt</v>
      </c>
      <c r="AI88" s="149" t="str">
        <f t="shared" si="3"/>
        <v>echo {"issue":{"subject":"","project_id":79,"tracker_id":40,"status_id":1,"priority_id":2,"assigned_to_id":23,"start_date":"2016-08-27","description":"","custom_fields":[{"id":1,"name":"Subdivision","value":"EC"},{"id":4,"name":"Milepost","value":"23.2864"},{"id":17,"name":"Train ID","value":"172-27"},{"id":16,"name":"Locomotive ID","value":"4026"},{"id":130,"name":"Impact","value":""},{"id":150,"name":"Time of Event (Mountain Time)","value":"14:06:55"},{"id":151,"name":"Denver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x14ac:dyDescent="0.25">
      <c r="A89" s="39" t="s">
        <v>488</v>
      </c>
      <c r="B89" s="7">
        <v>4009</v>
      </c>
      <c r="C89" s="24" t="s">
        <v>113</v>
      </c>
      <c r="D89" s="24" t="s">
        <v>359</v>
      </c>
      <c r="E89" s="15">
        <v>42609.527604166666</v>
      </c>
      <c r="F89" s="15">
        <v>42609.531481481485</v>
      </c>
      <c r="G89" s="7">
        <v>1</v>
      </c>
      <c r="H89" s="15" t="s">
        <v>259</v>
      </c>
      <c r="I89" s="15">
        <v>42609.556689814817</v>
      </c>
      <c r="J89" s="7">
        <v>0</v>
      </c>
      <c r="K89" s="132" t="str">
        <f t="shared" si="129"/>
        <v>4009/4010</v>
      </c>
      <c r="L89" s="24" t="str">
        <f>VLOOKUP(A89,'Trips&amp;Operators'!$C$1:$E$10000,3,FALSE)</f>
        <v>STEWART</v>
      </c>
      <c r="M89" s="6">
        <f t="shared" si="130"/>
        <v>2.5208333332557231E-2</v>
      </c>
      <c r="N89" s="7">
        <f t="shared" si="131"/>
        <v>36.299999998882413</v>
      </c>
      <c r="O89" s="7"/>
      <c r="P89" s="7"/>
      <c r="Q89" s="25"/>
      <c r="R89" s="25"/>
      <c r="S89" s="37">
        <f t="shared" si="132"/>
        <v>1</v>
      </c>
      <c r="T89" s="52" t="str">
        <f t="shared" si="133"/>
        <v>NorthBound</v>
      </c>
      <c r="U89" s="12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11:39:45-0600',mode:absolute,to:'2016-08-27 14:21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89" s="54" t="str">
        <f t="shared" si="135"/>
        <v>N</v>
      </c>
      <c r="X89" s="120">
        <f t="shared" si="141"/>
        <v>1</v>
      </c>
      <c r="Y89" s="69">
        <f t="shared" si="136"/>
        <v>4.9099999999999998E-2</v>
      </c>
      <c r="Z89" s="69">
        <f t="shared" si="137"/>
        <v>23.3307</v>
      </c>
      <c r="AA89" s="69">
        <f t="shared" si="138"/>
        <v>23.281600000000001</v>
      </c>
      <c r="AB89" s="66" t="e">
        <f>VLOOKUP(A89,Enforcements!$C$7:$J$21,8,0)</f>
        <v>#N/A</v>
      </c>
      <c r="AC89" s="62" t="e">
        <f>VLOOKUP(A89,Enforcements!$C$7:$E$21,3,0)</f>
        <v>#N/A</v>
      </c>
      <c r="AD89" s="63" t="str">
        <f t="shared" si="139"/>
        <v>0173-27</v>
      </c>
      <c r="AE89" s="99" t="str">
        <f t="shared" si="113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89" s="96" t="str">
        <f t="shared" si="114"/>
        <v>"C:\Program Files (x86)\AstroGrep\AstroGrep.exe" /spath="%USERPROFILE%\AppData\Local\Temp\OnboardLogs" /stypes="*4009*20160827*" /stext=" 19:.+((SYSTEM_STATE.+slice.+state.+changed )|(ment ac)|(system.+state.+changed )|(\|lc)|(penalty)|(\[timeout)|(PRM\|1\|D)|(kpr)|(kdp))" /e /r /s</v>
      </c>
      <c r="AG89" s="1" t="str">
        <f t="shared" si="140"/>
        <v>EC</v>
      </c>
      <c r="AH89" s="100" t="str">
        <f t="shared" ref="AH89:AH152" si="142">refinertdcruntimes&amp;" --tripid "&amp;A89&amp;" --locoid "&amp;B89&amp;" --swversion "&amp;C89&amp;" --startMP "&amp;D89&amp;" --initTime "&amp;TEXT(E89,"yyyy-mm-ddTHH:MM:SS")&amp;" --startdatetime "&amp;TEXT(F89,"yyyy-mm-ddTHH:MM:SS")&amp;" --delay "&amp;G89&amp;" --endMP "&amp;H89&amp;" --enddatetime "&amp;TEXT(I89,"yyyy-mm-ddTHH:MM:SS")&amp;" --enforcementcount "&amp;J89&amp;IF(outputrefinedruntimes," &gt;&gt;"&amp;RefinedRTDCRunTimesOutputFile,"")</f>
        <v>"%USERPROFILE%\Documents\GitHub\eaglep3\Utilities\RefineRTDCRunTimes.py" --tripid 173-27 --locoid 4009 --swversion DE.1.0.7.0 --startMP 204:491 --initTime 2016-08-27T12:39:45 --startdatetime 2016-08-27T12:45:20 --delay 1 --endMP 204:233307 --enddatetime 2016-08-27T13:21:38 --enforcementcount 0 &gt;&gt;C:\Users\stu\Documents\GitHub\eaglep3-reporting\EC\2016-08-27-refined-times.txt</v>
      </c>
      <c r="AI89" s="149" t="str">
        <f t="shared" ref="AI89:AI152" si="143">"echo {""issue"":{""subject"":"""&amp;R89&amp;""",""project_id"":79,""tracker_id"":40,""status_id"":"&amp;redmine_status&amp;",""priority_id"":"&amp;redmine_priority&amp;",""assigned_to_id"":"&amp;redmine_assignee&amp;",""start_date"":"""&amp;TEXT(I89,"YYYY-mm-dd")&amp;""",""description"":"""&amp;AJ89&amp;""",""custom_fields"":[{""id"":1,""name"":""Subdivision"",""value"":"""&amp;AG89&amp;"""},{""id"":4,""name"":""Milepost"",""value"":"""&amp;AA89&amp;"""},{""id"":17,""name"":""Train ID"",""value"":"""&amp;A89&amp;"""},{""id"":16,""name"":""Locomotive ID"",""value"":"""&amp;B89&amp;"""},{""id"":130,""name"":""Impact"",""value"":"""&amp;AK89&amp;"""},{""id"":150,""name"":""Time of Event (Mountain Time)"",""value"":"""&amp;TEXT(I89,"hh:mm:ss")&amp;"""},{""id"":151,""name"":""Denver Issue ID"",""value"":"""&amp;"""},{""id"":178,""name"":""Operational Impact"",""value"":"""&amp;redmine_op_impact&amp;"""},{""id"":179,""name"":""Denver Segment Assigned"",""value"":"""&amp;AL89&amp;"""}]}}"&amp;"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{"issue":{"subject":"","project_id":79,"tracker_id":40,"status_id":1,"priority_id":2,"assigned_to_id":23,"start_date":"2016-08-27","description":"","custom_fields":[{"id":1,"name":"Subdivision","value":"EC"},{"id":4,"name":"Milepost","value":"23.2816"},{"id":17,"name":"Train ID","value":"173-27"},{"id":16,"name":"Locomotive ID","value":"4009"},{"id":130,"name":"Impact","value":""},{"id":150,"name":"Time of Event (Mountain Time)","value":"13:21:38"},{"id":151,"name":"Denver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489</v>
      </c>
      <c r="B90" s="7">
        <v>4010</v>
      </c>
      <c r="C90" s="24" t="s">
        <v>113</v>
      </c>
      <c r="D90" s="24" t="s">
        <v>193</v>
      </c>
      <c r="E90" s="15">
        <v>42609.567569444444</v>
      </c>
      <c r="F90" s="15">
        <v>42609.570520833331</v>
      </c>
      <c r="G90" s="7">
        <v>1</v>
      </c>
      <c r="H90" s="15" t="s">
        <v>196</v>
      </c>
      <c r="I90" s="15">
        <v>42609.597766203704</v>
      </c>
      <c r="J90" s="7">
        <v>0</v>
      </c>
      <c r="K90" s="132" t="str">
        <f t="shared" si="129"/>
        <v>4009/4010</v>
      </c>
      <c r="L90" s="24" t="str">
        <f>VLOOKUP(A90,'Trips&amp;Operators'!$C$1:$E$10000,3,FALSE)</f>
        <v>STEWART</v>
      </c>
      <c r="M90" s="6">
        <f t="shared" si="130"/>
        <v>2.7245370372838806E-2</v>
      </c>
      <c r="N90" s="7">
        <f t="shared" si="131"/>
        <v>39.233333336887881</v>
      </c>
      <c r="O90" s="7"/>
      <c r="P90" s="7"/>
      <c r="Q90" s="25"/>
      <c r="R90" s="25"/>
      <c r="S90" s="37">
        <f t="shared" si="132"/>
        <v>1</v>
      </c>
      <c r="T90" s="52" t="str">
        <f t="shared" si="133"/>
        <v>Southbound</v>
      </c>
      <c r="U90" s="12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12:37:18-0600',mode:absolute,to:'2016-08-27 15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90" s="54" t="str">
        <f t="shared" si="135"/>
        <v>N</v>
      </c>
      <c r="X90" s="120">
        <f t="shared" si="141"/>
        <v>1</v>
      </c>
      <c r="Y90" s="69">
        <f t="shared" si="136"/>
        <v>23.299199999999999</v>
      </c>
      <c r="Z90" s="69">
        <f t="shared" si="137"/>
        <v>1.3599999999999999E-2</v>
      </c>
      <c r="AA90" s="69">
        <f t="shared" si="138"/>
        <v>23.285599999999999</v>
      </c>
      <c r="AB90" s="66">
        <f>VLOOKUP(A90,Enforcements!$C$7:$J$21,8,0)</f>
        <v>109135</v>
      </c>
      <c r="AC90" s="62" t="str">
        <f>VLOOKUP(A90,Enforcements!$C$7:$E$21,3,0)</f>
        <v>GRADE CROSSING</v>
      </c>
      <c r="AD90" s="63" t="str">
        <f t="shared" si="139"/>
        <v>0174-27</v>
      </c>
      <c r="AE90" s="99" t="str">
        <f t="shared" si="113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90" s="96" t="str">
        <f t="shared" si="114"/>
        <v>"C:\Program Files (x86)\AstroGrep\AstroGrep.exe" /spath="%USERPROFILE%\AppData\Local\Temp\OnboardLogs" /stypes="*4010*20160827*" /stext=" 20:.+((SYSTEM_STATE.+slice.+state.+changed )|(ment ac)|(system.+state.+changed )|(\|lc)|(penalty)|(\[timeout)|(PRM\|1\|D)|(kpr)|(kdp))" /e /r /s</v>
      </c>
      <c r="AG90" s="1" t="str">
        <f t="shared" si="140"/>
        <v>EC</v>
      </c>
      <c r="AH90" s="100" t="str">
        <f t="shared" si="142"/>
        <v>"%USERPROFILE%\Documents\GitHub\eaglep3\Utilities\RefineRTDCRunTimes.py" --tripid 174-27 --locoid 4010 --swversion DE.1.0.7.0 --startMP 204:232992 --initTime 2016-08-27T13:37:18 --startdatetime 2016-08-27T13:41:33 --delay 1 --endMP 204:136 --enddatetime 2016-08-27T14:20:47 --enforcementcount 0 &gt;&gt;C:\Users\stu\Documents\GitHub\eaglep3-reporting\EC\2016-08-27-refined-times.txt</v>
      </c>
      <c r="AI9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{"issue":{"subject":"","project_id":79,"tracker_id":40,"status_id":1,"priority_id":2,"assigned_to_id":23,"start_date":"2016-08-27","description":"","custom_fields":[{"id":1,"name":"Subdivision","value":"EC"},{"id":4,"name":"Milepost","value":"23.2856"},{"id":17,"name":"Train ID","value":"174-27"},{"id":16,"name":"Locomotive ID","value":"4010"},{"id":130,"name":"Impact","value":""},{"id":150,"name":"Time of Event (Mountain Time)","value":"14:20:47"},{"id":151,"name":"Denver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x14ac:dyDescent="0.25">
      <c r="A91" s="39" t="s">
        <v>490</v>
      </c>
      <c r="B91" s="7">
        <v>4020</v>
      </c>
      <c r="C91" s="24" t="s">
        <v>113</v>
      </c>
      <c r="D91" s="24" t="s">
        <v>212</v>
      </c>
      <c r="E91" s="15">
        <v>42609.536446759259</v>
      </c>
      <c r="F91" s="15">
        <v>42609.541898148149</v>
      </c>
      <c r="G91" s="7">
        <v>1</v>
      </c>
      <c r="H91" s="15" t="s">
        <v>177</v>
      </c>
      <c r="I91" s="15">
        <v>42609.567395833335</v>
      </c>
      <c r="J91" s="7">
        <v>0</v>
      </c>
      <c r="K91" s="132" t="str">
        <f t="shared" si="129"/>
        <v>4019/4020</v>
      </c>
      <c r="L91" s="24" t="str">
        <f>VLOOKUP(A91,'Trips&amp;Operators'!$C$1:$E$10000,3,FALSE)</f>
        <v>BARTLETT</v>
      </c>
      <c r="M91" s="6">
        <f t="shared" si="130"/>
        <v>2.5497685186564922E-2</v>
      </c>
      <c r="N91" s="7">
        <f t="shared" si="131"/>
        <v>36.716666668653488</v>
      </c>
      <c r="O91" s="7"/>
      <c r="P91" s="7"/>
      <c r="Q91" s="25"/>
      <c r="R91" s="25"/>
      <c r="S91" s="37">
        <f t="shared" si="132"/>
        <v>1</v>
      </c>
      <c r="T91" s="52" t="str">
        <f t="shared" si="133"/>
        <v>NorthBound</v>
      </c>
      <c r="U91" s="12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11:52:29-0600',mode:absolute,to:'2016-08-27 14:37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91" s="54" t="str">
        <f t="shared" si="135"/>
        <v>N</v>
      </c>
      <c r="X91" s="120">
        <f t="shared" si="141"/>
        <v>1</v>
      </c>
      <c r="Y91" s="69">
        <f t="shared" si="136"/>
        <v>4.6399999999999997E-2</v>
      </c>
      <c r="Z91" s="69">
        <f t="shared" si="137"/>
        <v>23.331399999999999</v>
      </c>
      <c r="AA91" s="69">
        <f t="shared" si="138"/>
        <v>23.285</v>
      </c>
      <c r="AB91" s="66" t="e">
        <f>VLOOKUP(A91,Enforcements!$C$7:$J$21,8,0)</f>
        <v>#N/A</v>
      </c>
      <c r="AC91" s="62" t="e">
        <f>VLOOKUP(A91,Enforcements!$C$7:$E$21,3,0)</f>
        <v>#N/A</v>
      </c>
      <c r="AD91" s="63" t="str">
        <f t="shared" si="139"/>
        <v>0175-27</v>
      </c>
      <c r="AE91" s="99" t="str">
        <f t="shared" si="113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91" s="96" t="str">
        <f t="shared" si="114"/>
        <v>"C:\Program Files (x86)\AstroGrep\AstroGrep.exe" /spath="%USERPROFILE%\AppData\Local\Temp\OnboardLogs" /stypes="*4020*20160827*" /stext=" 19:.+((SYSTEM_STATE.+slice.+state.+changed )|(ment ac)|(system.+state.+changed )|(\|lc)|(penalty)|(\[timeout)|(PRM\|1\|D)|(kpr)|(kdp))" /e /r /s</v>
      </c>
      <c r="AG91" s="1" t="str">
        <f t="shared" si="140"/>
        <v>EC</v>
      </c>
      <c r="AH91" s="100" t="str">
        <f t="shared" si="142"/>
        <v>"%USERPROFILE%\Documents\GitHub\eaglep3\Utilities\RefineRTDCRunTimes.py" --tripid 175-27 --locoid 4020 --swversion DE.1.0.7.0 --startMP 204:464 --initTime 2016-08-27T12:52:29 --startdatetime 2016-08-27T13:00:20 --delay 1 --endMP 204:233314 --enddatetime 2016-08-27T13:37:03 --enforcementcount 0 &gt;&gt;C:\Users\stu\Documents\GitHub\eaglep3-reporting\EC\2016-08-27-refined-times.txt</v>
      </c>
      <c r="AI9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{"issue":{"subject":"","project_id":79,"tracker_id":40,"status_id":1,"priority_id":2,"assigned_to_id":23,"start_date":"2016-08-27","description":"","custom_fields":[{"id":1,"name":"Subdivision","value":"EC"},{"id":4,"name":"Milepost","value":"23.285"},{"id":17,"name":"Train ID","value":"175-27"},{"id":16,"name":"Locomotive ID","value":"4020"},{"id":130,"name":"Impact","value":""},{"id":150,"name":"Time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x14ac:dyDescent="0.25">
      <c r="A92" s="39" t="s">
        <v>491</v>
      </c>
      <c r="B92" s="7">
        <v>4019</v>
      </c>
      <c r="C92" s="24" t="s">
        <v>113</v>
      </c>
      <c r="D92" s="24" t="s">
        <v>201</v>
      </c>
      <c r="E92" s="15">
        <v>42609.569039351853</v>
      </c>
      <c r="F92" s="15">
        <v>42609.580752314818</v>
      </c>
      <c r="G92" s="7">
        <v>1</v>
      </c>
      <c r="H92" s="15" t="s">
        <v>172</v>
      </c>
      <c r="I92" s="15">
        <v>42609.608067129629</v>
      </c>
      <c r="J92" s="7">
        <v>0</v>
      </c>
      <c r="K92" s="132" t="str">
        <f t="shared" si="129"/>
        <v>4019/4020</v>
      </c>
      <c r="L92" s="24" t="str">
        <f>VLOOKUP(A92,'Trips&amp;Operators'!$C$1:$E$10000,3,FALSE)</f>
        <v>BARTLETT</v>
      </c>
      <c r="M92" s="6">
        <f t="shared" si="130"/>
        <v>2.7314814811688848E-2</v>
      </c>
      <c r="N92" s="7">
        <f t="shared" si="131"/>
        <v>39.333333328831941</v>
      </c>
      <c r="O92" s="7"/>
      <c r="P92" s="7"/>
      <c r="Q92" s="25"/>
      <c r="R92" s="25"/>
      <c r="S92" s="37">
        <f t="shared" si="132"/>
        <v>1</v>
      </c>
      <c r="T92" s="52" t="str">
        <f t="shared" si="133"/>
        <v>Southbound</v>
      </c>
      <c r="U92" s="12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12:39:25-0600',mode:absolute,to:'2016-08-27 15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92" s="54" t="str">
        <f t="shared" si="135"/>
        <v>N</v>
      </c>
      <c r="X92" s="120">
        <f t="shared" si="141"/>
        <v>1</v>
      </c>
      <c r="Y92" s="69">
        <f t="shared" si="136"/>
        <v>23.3</v>
      </c>
      <c r="Z92" s="69">
        <f t="shared" si="137"/>
        <v>1.52E-2</v>
      </c>
      <c r="AA92" s="69">
        <f t="shared" si="138"/>
        <v>23.284800000000001</v>
      </c>
      <c r="AB92" s="66" t="e">
        <f>VLOOKUP(A92,Enforcements!$C$7:$J$21,8,0)</f>
        <v>#N/A</v>
      </c>
      <c r="AC92" s="62" t="e">
        <f>VLOOKUP(A92,Enforcements!$C$7:$E$21,3,0)</f>
        <v>#N/A</v>
      </c>
      <c r="AD92" s="63" t="str">
        <f t="shared" si="139"/>
        <v>0176-27</v>
      </c>
      <c r="AE92" s="99" t="str">
        <f t="shared" si="113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92" s="96" t="str">
        <f t="shared" si="114"/>
        <v>"C:\Program Files (x86)\AstroGrep\AstroGrep.exe" /spath="%USERPROFILE%\AppData\Local\Temp\OnboardLogs" /stypes="*4019*20160827*" /stext=" 20:.+((SYSTEM_STATE.+slice.+state.+changed )|(ment ac)|(system.+state.+changed )|(\|lc)|(penalty)|(\[timeout)|(PRM\|1\|D)|(kpr)|(kdp))" /e /r /s</v>
      </c>
      <c r="AG92" s="1" t="str">
        <f t="shared" si="140"/>
        <v>EC</v>
      </c>
      <c r="AH92" s="100" t="str">
        <f t="shared" si="142"/>
        <v>"%USERPROFILE%\Documents\GitHub\eaglep3\Utilities\RefineRTDCRunTimes.py" --tripid 176-27 --locoid 4019 --swversion DE.1.0.7.0 --startMP 204:233000 --initTime 2016-08-27T13:39:25 --startdatetime 2016-08-27T13:56:17 --delay 1 --endMP 204:152 --enddatetime 2016-08-27T14:35:37 --enforcementcount 0 &gt;&gt;C:\Users\stu\Documents\GitHub\eaglep3-reporting\EC\2016-08-27-refined-times.txt</v>
      </c>
      <c r="AI92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{"issue":{"subject":"","project_id":79,"tracker_id":40,"status_id":1,"priority_id":2,"assigned_to_id":23,"start_date":"2016-08-27","description":"","custom_fields":[{"id":1,"name":"Subdivision","value":"EC"},{"id":4,"name":"Milepost","value":"23.2848"},{"id":17,"name":"Train ID","value":"176-27"},{"id":16,"name":"Locomotive ID","value":"4019"},{"id":130,"name":"Impact","value":""},{"id":150,"name":"Time of Event (Mountain Time)","value":"14:35:37"},{"id":151,"name":"Denver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x14ac:dyDescent="0.25">
      <c r="A93" s="39" t="s">
        <v>492</v>
      </c>
      <c r="B93" s="7">
        <v>4031</v>
      </c>
      <c r="C93" s="24" t="s">
        <v>113</v>
      </c>
      <c r="D93" s="24" t="s">
        <v>493</v>
      </c>
      <c r="E93" s="15">
        <v>42609.548958333333</v>
      </c>
      <c r="F93" s="15">
        <v>42609.552268518521</v>
      </c>
      <c r="G93" s="7">
        <v>1</v>
      </c>
      <c r="H93" s="15" t="s">
        <v>494</v>
      </c>
      <c r="I93" s="15">
        <v>42609.577719907407</v>
      </c>
      <c r="J93" s="7">
        <v>0</v>
      </c>
      <c r="K93" s="132" t="str">
        <f t="shared" si="129"/>
        <v>4031/4032</v>
      </c>
      <c r="L93" s="24" t="str">
        <f>VLOOKUP(A93,'Trips&amp;Operators'!$C$1:$E$10000,3,FALSE)</f>
        <v>MOSES</v>
      </c>
      <c r="M93" s="6">
        <f t="shared" si="130"/>
        <v>2.545138888672227E-2</v>
      </c>
      <c r="N93" s="7">
        <f t="shared" si="131"/>
        <v>36.649999996880069</v>
      </c>
      <c r="O93" s="7"/>
      <c r="P93" s="7"/>
      <c r="Q93" s="25"/>
      <c r="R93" s="25"/>
      <c r="S93" s="37">
        <f t="shared" si="132"/>
        <v>1</v>
      </c>
      <c r="T93" s="52" t="str">
        <f t="shared" si="133"/>
        <v>NorthBound</v>
      </c>
      <c r="U93" s="12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12:10:30-0600',mode:absolute,to:'2016-08-27 14:51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93" s="54" t="str">
        <f t="shared" si="135"/>
        <v>N</v>
      </c>
      <c r="X93" s="120">
        <f t="shared" si="141"/>
        <v>1</v>
      </c>
      <c r="Y93" s="69">
        <f t="shared" si="136"/>
        <v>4.7500000000000001E-2</v>
      </c>
      <c r="Z93" s="69">
        <f t="shared" si="137"/>
        <v>23.335899999999999</v>
      </c>
      <c r="AA93" s="69">
        <f t="shared" si="138"/>
        <v>23.288399999999999</v>
      </c>
      <c r="AB93" s="66" t="e">
        <f>VLOOKUP(A93,Enforcements!$C$7:$J$21,8,0)</f>
        <v>#N/A</v>
      </c>
      <c r="AC93" s="62" t="e">
        <f>VLOOKUP(A93,Enforcements!$C$7:$E$21,3,0)</f>
        <v>#N/A</v>
      </c>
      <c r="AD93" s="63" t="str">
        <f t="shared" si="139"/>
        <v>0177-27</v>
      </c>
      <c r="AE93" s="99" t="str">
        <f t="shared" si="113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93" s="96" t="str">
        <f t="shared" si="114"/>
        <v>"C:\Program Files (x86)\AstroGrep\AstroGrep.exe" /spath="%USERPROFILE%\AppData\Local\Temp\OnboardLogs" /stypes="*4031*20160827*" /stext=" 19:.+((SYSTEM_STATE.+slice.+state.+changed )|(ment ac)|(system.+state.+changed )|(\|lc)|(penalty)|(\[timeout)|(PRM\|1\|D)|(kpr)|(kdp))" /e /r /s</v>
      </c>
      <c r="AG93" s="1" t="str">
        <f t="shared" si="140"/>
        <v>EC</v>
      </c>
      <c r="AH93" s="100" t="str">
        <f t="shared" si="142"/>
        <v>"%USERPROFILE%\Documents\GitHub\eaglep3\Utilities\RefineRTDCRunTimes.py" --tripid 177-27 --locoid 4031 --swversion DE.1.0.7.0 --startMP 204:475 --initTime 2016-08-27T13:10:30 --startdatetime 2016-08-27T13:15:16 --delay 1 --endMP 204:233359 --enddatetime 2016-08-27T13:51:55 --enforcementcount 0 &gt;&gt;C:\Users\stu\Documents\GitHub\eaglep3-reporting\EC\2016-08-27-refined-times.txt</v>
      </c>
      <c r="AI93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{"issue":{"subject":"","project_id":79,"tracker_id":40,"status_id":1,"priority_id":2,"assigned_to_id":23,"start_date":"2016-08-27","description":"","custom_fields":[{"id":1,"name":"Subdivision","value":"EC"},{"id":4,"name":"Milepost","value":"23.2884"},{"id":17,"name":"Train ID","value":"177-27"},{"id":16,"name":"Locomotive ID","value":"4031"},{"id":130,"name":"Impact","value":""},{"id":150,"name":"Time of Event (Mountain Time)","value":"13:51:55"},{"id":151,"name":"Denver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495</v>
      </c>
      <c r="B94" s="7">
        <v>4032</v>
      </c>
      <c r="C94" s="24" t="s">
        <v>113</v>
      </c>
      <c r="D94" s="24" t="s">
        <v>342</v>
      </c>
      <c r="E94" s="15">
        <v>42609.586817129632</v>
      </c>
      <c r="F94" s="15">
        <v>42609.591157407405</v>
      </c>
      <c r="G94" s="7">
        <v>1</v>
      </c>
      <c r="H94" s="15" t="s">
        <v>496</v>
      </c>
      <c r="I94" s="15">
        <v>42609.619328703702</v>
      </c>
      <c r="J94" s="7">
        <v>0</v>
      </c>
      <c r="K94" s="132" t="str">
        <f t="shared" si="129"/>
        <v>4031/4032</v>
      </c>
      <c r="L94" s="24" t="str">
        <f>VLOOKUP(A94,'Trips&amp;Operators'!$C$1:$E$10000,3,FALSE)</f>
        <v>MOSES</v>
      </c>
      <c r="M94" s="6">
        <f t="shared" si="130"/>
        <v>2.8171296296932269E-2</v>
      </c>
      <c r="N94" s="7">
        <f t="shared" si="131"/>
        <v>40.566666667582467</v>
      </c>
      <c r="O94" s="7"/>
      <c r="P94" s="7"/>
      <c r="Q94" s="25"/>
      <c r="R94" s="25"/>
      <c r="S94" s="37">
        <f t="shared" si="132"/>
        <v>1</v>
      </c>
      <c r="T94" s="52" t="str">
        <f t="shared" si="133"/>
        <v>Southbound</v>
      </c>
      <c r="U94" s="12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13:05:01-0600',mode:absolute,to:'2016-08-27 15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94" s="54" t="str">
        <f t="shared" si="135"/>
        <v>N</v>
      </c>
      <c r="X94" s="120">
        <f t="shared" si="141"/>
        <v>1</v>
      </c>
      <c r="Y94" s="69">
        <f t="shared" si="136"/>
        <v>23.3019</v>
      </c>
      <c r="Z94" s="69">
        <f t="shared" si="137"/>
        <v>1.67E-2</v>
      </c>
      <c r="AA94" s="69">
        <f t="shared" si="138"/>
        <v>23.2852</v>
      </c>
      <c r="AB94" s="66" t="e">
        <f>VLOOKUP(A94,Enforcements!$C$7:$J$21,8,0)</f>
        <v>#N/A</v>
      </c>
      <c r="AC94" s="62" t="e">
        <f>VLOOKUP(A94,Enforcements!$C$7:$E$21,3,0)</f>
        <v>#N/A</v>
      </c>
      <c r="AD94" s="63" t="str">
        <f t="shared" si="139"/>
        <v>0178-27</v>
      </c>
      <c r="AE94" s="99" t="str">
        <f t="shared" si="113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94" s="96" t="str">
        <f t="shared" si="114"/>
        <v>"C:\Program Files (x86)\AstroGrep\AstroGrep.exe" /spath="%USERPROFILE%\AppData\Local\Temp\OnboardLogs" /stypes="*4032*20160827*" /stext=" 20:.+((SYSTEM_STATE.+slice.+state.+changed )|(ment ac)|(system.+state.+changed )|(\|lc)|(penalty)|(\[timeout)|(PRM\|1\|D)|(kpr)|(kdp))" /e /r /s</v>
      </c>
      <c r="AG94" s="1" t="str">
        <f t="shared" si="140"/>
        <v>EC</v>
      </c>
      <c r="AH94" s="100" t="str">
        <f t="shared" si="142"/>
        <v>"%USERPROFILE%\Documents\GitHub\eaglep3\Utilities\RefineRTDCRunTimes.py" --tripid 178-27 --locoid 4032 --swversion DE.1.0.7.0 --startMP 204:233019 --initTime 2016-08-27T14:05:01 --startdatetime 2016-08-27T14:11:16 --delay 1 --endMP 204:167 --enddatetime 2016-08-27T14:51:50 --enforcementcount 0 &gt;&gt;C:\Users\stu\Documents\GitHub\eaglep3-reporting\EC\2016-08-27-refined-times.txt</v>
      </c>
      <c r="AI94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{"issue":{"subject":"","project_id":79,"tracker_id":40,"status_id":1,"priority_id":2,"assigned_to_id":23,"start_date":"2016-08-27","description":"","custom_fields":[{"id":1,"name":"Subdivision","value":"EC"},{"id":4,"name":"Milepost","value":"23.2852"},{"id":17,"name":"Train ID","value":"178-27"},{"id":16,"name":"Locomotive ID","value":"4032"},{"id":130,"name":"Impact","value":""},{"id":150,"name":"Time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497</v>
      </c>
      <c r="B95" s="7">
        <v>4042</v>
      </c>
      <c r="C95" s="24" t="s">
        <v>113</v>
      </c>
      <c r="D95" s="24" t="s">
        <v>154</v>
      </c>
      <c r="E95" s="15">
        <v>42609.557569444441</v>
      </c>
      <c r="F95" s="15">
        <v>42609.562696759262</v>
      </c>
      <c r="G95" s="7">
        <v>1</v>
      </c>
      <c r="H95" s="15" t="s">
        <v>498</v>
      </c>
      <c r="I95" s="15">
        <v>42609.588437500002</v>
      </c>
      <c r="J95" s="7">
        <v>0</v>
      </c>
      <c r="K95" s="132" t="str">
        <f t="shared" si="129"/>
        <v>4041/4042</v>
      </c>
      <c r="L95" s="24" t="str">
        <f>VLOOKUP(A95,'Trips&amp;Operators'!$C$1:$E$10000,3,FALSE)</f>
        <v>SHOOK</v>
      </c>
      <c r="M95" s="6">
        <f t="shared" si="130"/>
        <v>2.5740740740729962E-2</v>
      </c>
      <c r="N95" s="7">
        <f t="shared" si="131"/>
        <v>37.066666666651145</v>
      </c>
      <c r="O95" s="7"/>
      <c r="P95" s="7"/>
      <c r="Q95" s="25"/>
      <c r="R95" s="25"/>
      <c r="S95" s="37">
        <f t="shared" si="132"/>
        <v>1</v>
      </c>
      <c r="T95" s="52" t="str">
        <f t="shared" si="133"/>
        <v>NorthBound</v>
      </c>
      <c r="U95" s="12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12:22:54-0600',mode:absolute,to:'2016-08-27 15:07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95" s="54" t="str">
        <f t="shared" si="135"/>
        <v>N</v>
      </c>
      <c r="X95" s="120">
        <f t="shared" si="141"/>
        <v>1</v>
      </c>
      <c r="Y95" s="69">
        <f t="shared" si="136"/>
        <v>4.5100000000000001E-2</v>
      </c>
      <c r="Z95" s="69">
        <f t="shared" si="137"/>
        <v>23.337599999999998</v>
      </c>
      <c r="AA95" s="69">
        <f t="shared" si="138"/>
        <v>23.292499999999997</v>
      </c>
      <c r="AB95" s="66" t="e">
        <f>VLOOKUP(A95,Enforcements!$C$7:$J$21,8,0)</f>
        <v>#N/A</v>
      </c>
      <c r="AC95" s="62" t="e">
        <f>VLOOKUP(A95,Enforcements!$C$7:$E$21,3,0)</f>
        <v>#N/A</v>
      </c>
      <c r="AD95" s="63" t="str">
        <f t="shared" si="139"/>
        <v>0179-27</v>
      </c>
      <c r="AE95" s="99" t="str">
        <f t="shared" si="113"/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95" s="96" t="str">
        <f t="shared" si="114"/>
        <v>"C:\Program Files (x86)\AstroGrep\AstroGrep.exe" /spath="%USERPROFILE%\AppData\Local\Temp\OnboardLogs" /stypes="*4042*20160827*" /stext=" 20:.+((SYSTEM_STATE.+slice.+state.+changed )|(ment ac)|(system.+state.+changed )|(\|lc)|(penalty)|(\[timeout)|(PRM\|1\|D)|(kpr)|(kdp))" /e /r /s</v>
      </c>
      <c r="AG95" s="1" t="str">
        <f t="shared" si="140"/>
        <v>EC</v>
      </c>
      <c r="AH95" s="100" t="str">
        <f t="shared" si="142"/>
        <v>"%USERPROFILE%\Documents\GitHub\eaglep3\Utilities\RefineRTDCRunTimes.py" --tripid 179-27 --locoid 4042 --swversion DE.1.0.7.0 --startMP 204:451 --initTime 2016-08-27T13:22:54 --startdatetime 2016-08-27T13:30:17 --delay 1 --endMP 204:233376 --enddatetime 2016-08-27T14:07:21 --enforcementcount 0 &gt;&gt;C:\Users\stu\Documents\GitHub\eaglep3-reporting\EC\2016-08-27-refined-times.txt</v>
      </c>
      <c r="AI95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{"issue":{"subject":"","project_id":79,"tracker_id":40,"status_id":1,"priority_id":2,"assigned_to_id":23,"start_date":"2016-08-27","description":"","custom_fields":[{"id":1,"name":"Subdivision","value":"EC"},{"id":4,"name":"Milepost","value":"23.2925"},{"id":17,"name":"Train ID","value":"179-27"},{"id":16,"name":"Locomotive ID","value":"4042"},{"id":130,"name":"Impact","value":""},{"id":150,"name":"Time of Event (Mountain Time)","value":"14:07:21"},{"id":151,"name":"Denver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499</v>
      </c>
      <c r="B96" s="7">
        <v>4041</v>
      </c>
      <c r="C96" s="24" t="s">
        <v>113</v>
      </c>
      <c r="D96" s="24" t="s">
        <v>500</v>
      </c>
      <c r="E96" s="15">
        <v>42609.596597222226</v>
      </c>
      <c r="F96" s="15">
        <v>42609.6015625</v>
      </c>
      <c r="G96" s="7">
        <v>1</v>
      </c>
      <c r="H96" s="15" t="s">
        <v>496</v>
      </c>
      <c r="I96" s="15">
        <v>42609.629606481481</v>
      </c>
      <c r="J96" s="7">
        <v>0</v>
      </c>
      <c r="K96" s="132" t="str">
        <f t="shared" si="129"/>
        <v>4041/4042</v>
      </c>
      <c r="L96" s="24" t="str">
        <f>VLOOKUP(A96,'Trips&amp;Operators'!$C$1:$E$10000,3,FALSE)</f>
        <v>SHOOK</v>
      </c>
      <c r="M96" s="6">
        <f t="shared" si="130"/>
        <v>2.8043981481459923E-2</v>
      </c>
      <c r="N96" s="7">
        <f t="shared" si="131"/>
        <v>40.383333333302289</v>
      </c>
      <c r="O96" s="7"/>
      <c r="P96" s="7"/>
      <c r="Q96" s="25"/>
      <c r="R96" s="25"/>
      <c r="S96" s="37">
        <f t="shared" si="132"/>
        <v>1</v>
      </c>
      <c r="T96" s="52" t="str">
        <f t="shared" si="133"/>
        <v>Southbound</v>
      </c>
      <c r="U96" s="12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13:19:06-0600',mode:absolute,to:'2016-08-27 16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96" s="54" t="str">
        <f t="shared" si="135"/>
        <v>N</v>
      </c>
      <c r="X96" s="120">
        <f t="shared" si="141"/>
        <v>1</v>
      </c>
      <c r="Y96" s="69">
        <f t="shared" si="136"/>
        <v>23.305299999999999</v>
      </c>
      <c r="Z96" s="69">
        <f t="shared" si="137"/>
        <v>1.67E-2</v>
      </c>
      <c r="AA96" s="69">
        <f t="shared" si="138"/>
        <v>23.288599999999999</v>
      </c>
      <c r="AB96" s="66" t="e">
        <f>VLOOKUP(A96,Enforcements!$C$7:$J$21,8,0)</f>
        <v>#N/A</v>
      </c>
      <c r="AC96" s="62" t="e">
        <f>VLOOKUP(A96,Enforcements!$C$7:$E$21,3,0)</f>
        <v>#N/A</v>
      </c>
      <c r="AD96" s="63" t="str">
        <f t="shared" si="139"/>
        <v>0180-27</v>
      </c>
      <c r="AE96" s="99" t="str">
        <f t="shared" si="113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96" s="96" t="str">
        <f t="shared" si="114"/>
        <v>"C:\Program Files (x86)\AstroGrep\AstroGrep.exe" /spath="%USERPROFILE%\AppData\Local\Temp\OnboardLogs" /stypes="*4041*20160827*" /stext=" 21:.+((SYSTEM_STATE.+slice.+state.+changed )|(ment ac)|(system.+state.+changed )|(\|lc)|(penalty)|(\[timeout)|(PRM\|1\|D)|(kpr)|(kdp))" /e /r /s</v>
      </c>
      <c r="AG96" s="1" t="str">
        <f t="shared" si="140"/>
        <v>EC</v>
      </c>
      <c r="AH96" s="100" t="str">
        <f t="shared" si="142"/>
        <v>"%USERPROFILE%\Documents\GitHub\eaglep3\Utilities\RefineRTDCRunTimes.py" --tripid 180-27 --locoid 4041 --swversion DE.1.0.7.0 --startMP 204:233053 --initTime 2016-08-27T14:19:06 --startdatetime 2016-08-27T14:26:15 --delay 1 --endMP 204:167 --enddatetime 2016-08-27T15:06:38 --enforcementcount 0 &gt;&gt;C:\Users\stu\Documents\GitHub\eaglep3-reporting\EC\2016-08-27-refined-times.txt</v>
      </c>
      <c r="AI96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{"issue":{"subject":"","project_id":79,"tracker_id":40,"status_id":1,"priority_id":2,"assigned_to_id":23,"start_date":"2016-08-27","description":"","custom_fields":[{"id":1,"name":"Subdivision","value":"EC"},{"id":4,"name":"Milepost","value":"23.2886"},{"id":17,"name":"Train ID","value":"180-27"},{"id":16,"name":"Locomotive ID","value":"4041"},{"id":130,"name":"Impact","value":""},{"id":150,"name":"Time of Event (Mountain Time)","value":"15:06:38"},{"id":151,"name":"Denver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524</v>
      </c>
      <c r="B97" s="7">
        <v>4029</v>
      </c>
      <c r="C97" s="24" t="s">
        <v>113</v>
      </c>
      <c r="D97" s="24" t="s">
        <v>525</v>
      </c>
      <c r="E97" s="15">
        <v>42609.579791666663</v>
      </c>
      <c r="F97" s="15">
        <v>42609.580960648149</v>
      </c>
      <c r="G97" s="7">
        <v>1</v>
      </c>
      <c r="H97" s="15" t="s">
        <v>343</v>
      </c>
      <c r="I97" s="15">
        <v>42609.606064814812</v>
      </c>
      <c r="J97" s="7">
        <v>0</v>
      </c>
      <c r="K97" s="132" t="str">
        <f t="shared" si="129"/>
        <v>4029/4030</v>
      </c>
      <c r="L97" s="24" t="str">
        <f>VLOOKUP(A97,'Trips&amp;Operators'!$C$1:$E$10000,3,FALSE)</f>
        <v>BROWN</v>
      </c>
      <c r="M97" s="6">
        <f t="shared" si="130"/>
        <v>2.5104166663368233E-2</v>
      </c>
      <c r="N97" s="7"/>
      <c r="O97" s="7"/>
      <c r="P97" s="7">
        <f>24*60*SUM($M97:$M97)</f>
        <v>36.149999995250255</v>
      </c>
      <c r="Q97" s="25"/>
      <c r="R97" s="25" t="s">
        <v>706</v>
      </c>
      <c r="S97" s="37">
        <f t="shared" si="132"/>
        <v>1</v>
      </c>
      <c r="T97" s="52" t="str">
        <f t="shared" si="133"/>
        <v>NorthBound</v>
      </c>
      <c r="U97" s="12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12:54:54-0600',mode:absolute,to:'2016-08-27 15:32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135"/>
        <v>Y</v>
      </c>
      <c r="X97" s="120">
        <f t="shared" si="141"/>
        <v>1</v>
      </c>
      <c r="Y97" s="69">
        <f t="shared" si="136"/>
        <v>1.9134</v>
      </c>
      <c r="Z97" s="69">
        <f t="shared" si="137"/>
        <v>23.329499999999999</v>
      </c>
      <c r="AA97" s="69">
        <f t="shared" si="138"/>
        <v>21.4161</v>
      </c>
      <c r="AB97" s="66" t="e">
        <f>VLOOKUP(A97,Enforcements!$C$7:$J$21,8,0)</f>
        <v>#N/A</v>
      </c>
      <c r="AC97" s="62" t="e">
        <f>VLOOKUP(A97,Enforcements!$C$7:$E$21,3,0)</f>
        <v>#N/A</v>
      </c>
      <c r="AD97" s="63" t="str">
        <f t="shared" si="139"/>
        <v>0181-27</v>
      </c>
      <c r="AE97" s="99" t="str">
        <f t="shared" si="113"/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97" s="96" t="str">
        <f t="shared" si="114"/>
        <v>"C:\Program Files (x86)\AstroGrep\AstroGrep.exe" /spath="%USERPROFILE%\AppData\Local\Temp\OnboardLogs" /stypes="*4029*20160827*" /stext=" 20:.+((SYSTEM_STATE.+slice.+state.+changed )|(ment ac)|(system.+state.+changed )|(\|lc)|(penalty)|(\[timeout)|(PRM\|1\|D)|(kpr)|(kdp))" /e /r /s</v>
      </c>
      <c r="AG97" s="1" t="str">
        <f t="shared" si="140"/>
        <v>EC</v>
      </c>
      <c r="AH97" s="100" t="str">
        <f t="shared" si="142"/>
        <v>"%USERPROFILE%\Documents\GitHub\eaglep3\Utilities\RefineRTDCRunTimes.py" --tripid 181-27 --locoid 4029 --swversion DE.1.0.7.0 --startMP 204:19134 --initTime 2016-08-27T13:54:54 --startdatetime 2016-08-27T13:56:35 --delay 1 --endMP 204:233295 --enddatetime 2016-08-27T14:32:44 --enforcementcount 0 &gt;&gt;C:\Users\stu\Documents\GitHub\eaglep3-reporting\EC\2016-08-27-refined-times.txt</v>
      </c>
      <c r="AI97" s="149" t="str">
        <f t="shared" si="143"/>
        <v>echo {"issue":{"subject":"Consist wasn't correctly populated while init'ing at DUS","project_id":79,"tracker_id":40,"status_id":1,"priority_id":2,"assigned_to_id":23,"start_date":"2016-08-27","description":"","custom_fields":[{"id":1,"name":"Subdivision","value":"EC"},{"id":4,"name":"Milepost","value":"21.4161"},{"id":17,"name":"Train ID","value":"181-27"},{"id":16,"name":"Locomotive ID","value":"4029"},{"id":130,"name":"Impact","value":""},{"id":150,"name":"Time of Event (Mountain Time)","value":"14:32:44"},{"id":151,"name":"Denver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x14ac:dyDescent="0.25">
      <c r="A98" s="39" t="s">
        <v>546</v>
      </c>
      <c r="B98" s="7">
        <v>4030</v>
      </c>
      <c r="C98" s="24" t="s">
        <v>113</v>
      </c>
      <c r="D98" s="24" t="s">
        <v>412</v>
      </c>
      <c r="E98" s="15">
        <v>42609.60837962963</v>
      </c>
      <c r="F98" s="15">
        <v>42609.61209490741</v>
      </c>
      <c r="G98" s="7">
        <v>1</v>
      </c>
      <c r="H98" s="15" t="s">
        <v>202</v>
      </c>
      <c r="I98" s="15">
        <v>42609.639826388891</v>
      </c>
      <c r="J98" s="7">
        <v>0</v>
      </c>
      <c r="K98" s="132" t="str">
        <f t="shared" si="129"/>
        <v>4029/4030</v>
      </c>
      <c r="L98" s="24" t="str">
        <f>VLOOKUP(A98,'Trips&amp;Operators'!$C$1:$E$10000,3,FALSE)</f>
        <v>BROWN</v>
      </c>
      <c r="M98" s="6">
        <f t="shared" si="130"/>
        <v>2.7731481481168885E-2</v>
      </c>
      <c r="N98" s="7">
        <f t="shared" ref="N98:N129" si="144">24*60*SUM($M98:$M98)</f>
        <v>39.933333332883194</v>
      </c>
      <c r="O98" s="7"/>
      <c r="P98" s="7"/>
      <c r="Q98" s="25"/>
      <c r="R98" s="25"/>
      <c r="S98" s="37">
        <f t="shared" si="132"/>
        <v>1</v>
      </c>
      <c r="T98" s="52" t="str">
        <f t="shared" si="133"/>
        <v>Southbound</v>
      </c>
      <c r="U98" s="12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13:36:04-0600',mode:absolute,to:'2016-08-27 16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135"/>
        <v>N</v>
      </c>
      <c r="X98" s="120">
        <f t="shared" si="141"/>
        <v>1</v>
      </c>
      <c r="Y98" s="69">
        <f t="shared" si="136"/>
        <v>23.2973</v>
      </c>
      <c r="Z98" s="69">
        <f t="shared" si="137"/>
        <v>1.3899999999999999E-2</v>
      </c>
      <c r="AA98" s="69">
        <f t="shared" si="138"/>
        <v>23.2834</v>
      </c>
      <c r="AB98" s="66" t="e">
        <f>VLOOKUP(A98,Enforcements!$C$7:$J$21,8,0)</f>
        <v>#N/A</v>
      </c>
      <c r="AC98" s="62" t="e">
        <f>VLOOKUP(A98,Enforcements!$C$7:$E$21,3,0)</f>
        <v>#N/A</v>
      </c>
      <c r="AD98" s="63" t="str">
        <f t="shared" si="139"/>
        <v>0182-27</v>
      </c>
      <c r="AE98" s="99" t="str">
        <f t="shared" si="113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98" s="96" t="str">
        <f t="shared" si="114"/>
        <v>"C:\Program Files (x86)\AstroGrep\AstroGrep.exe" /spath="%USERPROFILE%\AppData\Local\Temp\OnboardLogs" /stypes="*4030*20160827*" /stext=" 21:.+((SYSTEM_STATE.+slice.+state.+changed )|(ment ac)|(system.+state.+changed )|(\|lc)|(penalty)|(\[timeout)|(PRM\|1\|D)|(kpr)|(kdp))" /e /r /s</v>
      </c>
      <c r="AG98" s="1" t="str">
        <f t="shared" si="140"/>
        <v>EC</v>
      </c>
      <c r="AH98" s="100" t="str">
        <f t="shared" si="142"/>
        <v>"%USERPROFILE%\Documents\GitHub\eaglep3\Utilities\RefineRTDCRunTimes.py" --tripid 182-27 --locoid 4030 --swversion DE.1.0.7.0 --startMP 204:232973 --initTime 2016-08-27T14:36:04 --startdatetime 2016-08-27T14:41:25 --delay 1 --endMP 204:139 --enddatetime 2016-08-27T15:21:21 --enforcementcount 0 &gt;&gt;C:\Users\stu\Documents\GitHub\eaglep3-reporting\EC\2016-08-27-refined-times.txt</v>
      </c>
      <c r="AI98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{"issue":{"subject":"","project_id":79,"tracker_id":40,"status_id":1,"priority_id":2,"assigned_to_id":23,"start_date":"2016-08-27","description":"","custom_fields":[{"id":1,"name":"Subdivision","value":"EC"},{"id":4,"name":"Milepost","value":"23.2834"},{"id":17,"name":"Train ID","value":"182-27"},{"id":16,"name":"Locomotive ID","value":"4030"},{"id":130,"name":"Impact","value":""},{"id":150,"name":"Time of Event (Mountain Time)","value":"15:21:21"},{"id":151,"name":"Denver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568</v>
      </c>
      <c r="B99" s="7">
        <v>4014</v>
      </c>
      <c r="C99" s="24" t="s">
        <v>113</v>
      </c>
      <c r="D99" s="24" t="s">
        <v>274</v>
      </c>
      <c r="E99" s="15">
        <v>42609.580462962964</v>
      </c>
      <c r="F99" s="15">
        <v>42609.583518518521</v>
      </c>
      <c r="G99" s="7">
        <v>1</v>
      </c>
      <c r="H99" s="15" t="s">
        <v>569</v>
      </c>
      <c r="I99" s="15">
        <v>42609.611342592594</v>
      </c>
      <c r="J99" s="7">
        <v>0</v>
      </c>
      <c r="K99" s="132" t="str">
        <f t="shared" si="129"/>
        <v>4013/4014</v>
      </c>
      <c r="L99" s="24" t="str">
        <f>VLOOKUP(A99,'Trips&amp;Operators'!$C$1:$E$10000,3,FALSE)</f>
        <v>STORY</v>
      </c>
      <c r="M99" s="6">
        <f t="shared" si="130"/>
        <v>2.7824074073578231E-2</v>
      </c>
      <c r="N99" s="7">
        <f t="shared" si="144"/>
        <v>40.066666665952653</v>
      </c>
      <c r="O99" s="7"/>
      <c r="P99" s="7"/>
      <c r="Q99" s="25"/>
      <c r="R99" s="25"/>
      <c r="S99" s="37">
        <f t="shared" si="132"/>
        <v>1</v>
      </c>
      <c r="T99" s="52" t="str">
        <f t="shared" si="133"/>
        <v>NorthBound</v>
      </c>
      <c r="U99" s="12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12:55:52-0600',mode:absolute,to:'2016-08-27 15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99" s="54" t="str">
        <f t="shared" si="135"/>
        <v>N</v>
      </c>
      <c r="X99" s="120">
        <f t="shared" si="141"/>
        <v>1</v>
      </c>
      <c r="Y99" s="69">
        <f t="shared" si="136"/>
        <v>4.3799999999999999E-2</v>
      </c>
      <c r="Z99" s="69">
        <f t="shared" si="137"/>
        <v>23.331700000000001</v>
      </c>
      <c r="AA99" s="69">
        <f t="shared" si="138"/>
        <v>23.2879</v>
      </c>
      <c r="AB99" s="66" t="e">
        <f>VLOOKUP(A99,Enforcements!$C$7:$J$21,8,0)</f>
        <v>#N/A</v>
      </c>
      <c r="AC99" s="62" t="e">
        <f>VLOOKUP(A99,Enforcements!$C$7:$E$21,3,0)</f>
        <v>#N/A</v>
      </c>
      <c r="AD99" s="63" t="str">
        <f t="shared" si="139"/>
        <v>0183-27</v>
      </c>
      <c r="AE99" s="99" t="str">
        <f t="shared" si="113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99" s="96" t="str">
        <f t="shared" si="114"/>
        <v>"C:\Program Files (x86)\AstroGrep\AstroGrep.exe" /spath="%USERPROFILE%\AppData\Local\Temp\OnboardLogs" /stypes="*4014*20160827*" /stext=" 20:.+((SYSTEM_STATE.+slice.+state.+changed )|(ment ac)|(system.+state.+changed )|(\|lc)|(penalty)|(\[timeout)|(PRM\|1\|D)|(kpr)|(kdp))" /e /r /s</v>
      </c>
      <c r="AG99" s="1" t="str">
        <f t="shared" si="140"/>
        <v>EC</v>
      </c>
      <c r="AH99" s="100" t="str">
        <f t="shared" si="142"/>
        <v>"%USERPROFILE%\Documents\GitHub\eaglep3\Utilities\RefineRTDCRunTimes.py" --tripid 183-27 --locoid 4014 --swversion DE.1.0.7.0 --startMP 204:438 --initTime 2016-08-27T13:55:52 --startdatetime 2016-08-27T14:00:16 --delay 1 --endMP 204:233317 --enddatetime 2016-08-27T14:40:20 --enforcementcount 0 &gt;&gt;C:\Users\stu\Documents\GitHub\eaglep3-reporting\EC\2016-08-27-refined-times.txt</v>
      </c>
      <c r="AI99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{"issue":{"subject":"","project_id":79,"tracker_id":40,"status_id":1,"priority_id":2,"assigned_to_id":23,"start_date":"2016-08-27","description":"","custom_fields":[{"id":1,"name":"Subdivision","value":"EC"},{"id":4,"name":"Milepost","value":"23.2879"},{"id":17,"name":"Train ID","value":"183-27"},{"id":16,"name":"Locomotive ID","value":"4014"},{"id":130,"name":"Impact","value":""},{"id":150,"name":"Time of Event (Mountain Time)","value":"14:40:20"},{"id":151,"name":"Denver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577</v>
      </c>
      <c r="B100" s="7">
        <v>4013</v>
      </c>
      <c r="C100" s="24" t="s">
        <v>113</v>
      </c>
      <c r="D100" s="24" t="s">
        <v>273</v>
      </c>
      <c r="E100" s="15">
        <v>42609.615891203706</v>
      </c>
      <c r="F100" s="15">
        <v>42609.622442129628</v>
      </c>
      <c r="G100" s="7">
        <v>1</v>
      </c>
      <c r="H100" s="15" t="s">
        <v>153</v>
      </c>
      <c r="I100" s="15">
        <v>42609.650717592594</v>
      </c>
      <c r="J100" s="7">
        <v>0</v>
      </c>
      <c r="K100" s="132" t="str">
        <f t="shared" si="129"/>
        <v>4013/4014</v>
      </c>
      <c r="L100" s="24" t="str">
        <f>VLOOKUP(A100,'Trips&amp;Operators'!$C$1:$E$10000,3,FALSE)</f>
        <v>STORY</v>
      </c>
      <c r="M100" s="6">
        <f t="shared" si="130"/>
        <v>2.8275462966121268E-2</v>
      </c>
      <c r="N100" s="7">
        <f t="shared" si="144"/>
        <v>40.716666671214625</v>
      </c>
      <c r="O100" s="7"/>
      <c r="P100" s="7"/>
      <c r="Q100" s="25"/>
      <c r="R100" s="25"/>
      <c r="S100" s="37">
        <f t="shared" si="132"/>
        <v>1</v>
      </c>
      <c r="T100" s="52" t="str">
        <f t="shared" si="133"/>
        <v>Southbound</v>
      </c>
      <c r="U100" s="12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13:46:53-0600',mode:absolute,to:'2016-08-27 16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00" s="54" t="str">
        <f t="shared" si="135"/>
        <v>N</v>
      </c>
      <c r="X100" s="120">
        <f t="shared" si="141"/>
        <v>1</v>
      </c>
      <c r="Y100" s="69">
        <f t="shared" si="136"/>
        <v>23.299299999999999</v>
      </c>
      <c r="Z100" s="69">
        <f t="shared" si="137"/>
        <v>1.5599999999999999E-2</v>
      </c>
      <c r="AA100" s="69">
        <f t="shared" si="138"/>
        <v>23.2837</v>
      </c>
      <c r="AB100" s="66" t="e">
        <f>VLOOKUP(A100,Enforcements!$C$7:$J$21,8,0)</f>
        <v>#N/A</v>
      </c>
      <c r="AC100" s="62" t="e">
        <f>VLOOKUP(A100,Enforcements!$C$7:$E$21,3,0)</f>
        <v>#N/A</v>
      </c>
      <c r="AD100" s="63" t="str">
        <f t="shared" si="139"/>
        <v>0184-27</v>
      </c>
      <c r="AE100" s="99" t="str">
        <f t="shared" si="113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100" s="96" t="str">
        <f t="shared" si="114"/>
        <v>"C:\Program Files (x86)\AstroGrep\AstroGrep.exe" /spath="%USERPROFILE%\AppData\Local\Temp\OnboardLogs" /stypes="*4013*20160827*" /stext=" 21:.+((SYSTEM_STATE.+slice.+state.+changed )|(ment ac)|(system.+state.+changed )|(\|lc)|(penalty)|(\[timeout)|(PRM\|1\|D)|(kpr)|(kdp))" /e /r /s</v>
      </c>
      <c r="AG100" s="1" t="str">
        <f t="shared" si="140"/>
        <v>EC</v>
      </c>
      <c r="AH100" s="100" t="str">
        <f t="shared" si="142"/>
        <v>"%USERPROFILE%\Documents\GitHub\eaglep3\Utilities\RefineRTDCRunTimes.py" --tripid 184-27 --locoid 4013 --swversion DE.1.0.7.0 --startMP 204:232993 --initTime 2016-08-27T14:46:53 --startdatetime 2016-08-27T14:56:19 --delay 1 --endMP 204:156 --enddatetime 2016-08-27T15:37:02 --enforcementcount 0 &gt;&gt;C:\Users\stu\Documents\GitHub\eaglep3-reporting\EC\2016-08-27-refined-times.txt</v>
      </c>
      <c r="AI10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{"issue":{"subject":"","project_id":79,"tracker_id":40,"status_id":1,"priority_id":2,"assigned_to_id":23,"start_date":"2016-08-27","description":"","custom_fields":[{"id":1,"name":"Subdivision","value":"EC"},{"id":4,"name":"Milepost","value":"23.2837"},{"id":17,"name":"Train ID","value":"184-27"},{"id":16,"name":"Locomotive ID","value":"4013"},{"id":130,"name":"Impact","value":""},{"id":150,"name":"Time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578</v>
      </c>
      <c r="B101" s="7">
        <v>4025</v>
      </c>
      <c r="C101" s="24" t="s">
        <v>113</v>
      </c>
      <c r="D101" s="24" t="s">
        <v>141</v>
      </c>
      <c r="E101" s="15">
        <v>42609.589814814812</v>
      </c>
      <c r="F101" s="15">
        <v>42609.593946759262</v>
      </c>
      <c r="G101" s="7">
        <v>1</v>
      </c>
      <c r="H101" s="15" t="s">
        <v>200</v>
      </c>
      <c r="I101" s="15">
        <v>42609.619849537034</v>
      </c>
      <c r="J101" s="7">
        <v>0</v>
      </c>
      <c r="K101" s="132" t="str">
        <f t="shared" si="129"/>
        <v>4025/4026</v>
      </c>
      <c r="L101" s="24" t="str">
        <f>VLOOKUP(A101,'Trips&amp;Operators'!$C$1:$E$10000,3,FALSE)</f>
        <v>WEBSTER</v>
      </c>
      <c r="M101" s="6">
        <f t="shared" si="130"/>
        <v>2.5902777771989349E-2</v>
      </c>
      <c r="N101" s="7">
        <f t="shared" si="144"/>
        <v>37.299999991664663</v>
      </c>
      <c r="O101" s="7"/>
      <c r="P101" s="7"/>
      <c r="Q101" s="25"/>
      <c r="R101" s="25"/>
      <c r="S101" s="37">
        <f t="shared" si="132"/>
        <v>1</v>
      </c>
      <c r="T101" s="52" t="str">
        <f t="shared" si="133"/>
        <v>NorthBound</v>
      </c>
      <c r="U101" s="12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13:09:20-0600',mode:absolute,to:'2016-08-27 15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01" s="54" t="str">
        <f t="shared" si="135"/>
        <v>N</v>
      </c>
      <c r="X101" s="120">
        <f t="shared" si="141"/>
        <v>1</v>
      </c>
      <c r="Y101" s="69">
        <f t="shared" si="136"/>
        <v>4.5699999999999998E-2</v>
      </c>
      <c r="Z101" s="69">
        <f t="shared" si="137"/>
        <v>23.331199999999999</v>
      </c>
      <c r="AA101" s="69">
        <f t="shared" si="138"/>
        <v>23.285499999999999</v>
      </c>
      <c r="AB101" s="66" t="e">
        <f>VLOOKUP(A101,Enforcements!$C$7:$J$21,8,0)</f>
        <v>#N/A</v>
      </c>
      <c r="AC101" s="62" t="e">
        <f>VLOOKUP(A101,Enforcements!$C$7:$E$21,3,0)</f>
        <v>#N/A</v>
      </c>
      <c r="AD101" s="63" t="str">
        <f t="shared" si="139"/>
        <v>0185-27</v>
      </c>
      <c r="AE101" s="99" t="str">
        <f t="shared" si="113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01" s="96" t="str">
        <f t="shared" si="114"/>
        <v>"C:\Program Files (x86)\AstroGrep\AstroGrep.exe" /spath="%USERPROFILE%\AppData\Local\Temp\OnboardLogs" /stypes="*4025*20160827*" /stext=" 20:.+((SYSTEM_STATE.+slice.+state.+changed )|(ment ac)|(system.+state.+changed )|(\|lc)|(penalty)|(\[timeout)|(PRM\|1\|D)|(kpr)|(kdp))" /e /r /s</v>
      </c>
      <c r="AG101" s="1" t="str">
        <f t="shared" si="140"/>
        <v>EC</v>
      </c>
      <c r="AH101" s="100" t="str">
        <f t="shared" si="142"/>
        <v>"%USERPROFILE%\Documents\GitHub\eaglep3\Utilities\RefineRTDCRunTimes.py" --tripid 185-27 --locoid 4025 --swversion DE.1.0.7.0 --startMP 204:457 --initTime 2016-08-27T14:09:20 --startdatetime 2016-08-27T14:15:17 --delay 1 --endMP 204:233312 --enddatetime 2016-08-27T14:52:35 --enforcementcount 0 &gt;&gt;C:\Users\stu\Documents\GitHub\eaglep3-reporting\EC\2016-08-27-refined-times.txt</v>
      </c>
      <c r="AI10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{"issue":{"subject":"","project_id":79,"tracker_id":40,"status_id":1,"priority_id":2,"assigned_to_id":23,"start_date":"2016-08-27","description":"","custom_fields":[{"id":1,"name":"Subdivision","value":"EC"},{"id":4,"name":"Milepost","value":"23.2855"},{"id":17,"name":"Train ID","value":"185-27"},{"id":16,"name":"Locomotive ID","value":"4025"},{"id":130,"name":"Impact","value":""},{"id":150,"name":"Time of Event (Mountain Time)","value":"14:52:35"},{"id":151,"name":"Denver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579</v>
      </c>
      <c r="B102" s="7">
        <v>4026</v>
      </c>
      <c r="C102" s="24" t="s">
        <v>113</v>
      </c>
      <c r="D102" s="24" t="s">
        <v>194</v>
      </c>
      <c r="E102" s="15">
        <v>42609.630069444444</v>
      </c>
      <c r="F102" s="15">
        <v>42609.633009259262</v>
      </c>
      <c r="G102" s="7">
        <v>1</v>
      </c>
      <c r="H102" s="15" t="s">
        <v>183</v>
      </c>
      <c r="I102" s="15">
        <v>42609.660520833335</v>
      </c>
      <c r="J102" s="7">
        <v>0</v>
      </c>
      <c r="K102" s="132" t="str">
        <f t="shared" si="129"/>
        <v>4025/4026</v>
      </c>
      <c r="L102" s="24" t="str">
        <f>VLOOKUP(A102,'Trips&amp;Operators'!$C$1:$E$10000,3,FALSE)</f>
        <v>WEBSTER</v>
      </c>
      <c r="M102" s="6">
        <f t="shared" si="130"/>
        <v>2.7511574073287193E-2</v>
      </c>
      <c r="N102" s="7">
        <f t="shared" si="144"/>
        <v>39.616666665533558</v>
      </c>
      <c r="O102" s="7"/>
      <c r="P102" s="7"/>
      <c r="Q102" s="25"/>
      <c r="R102" s="25"/>
      <c r="S102" s="37">
        <f t="shared" si="132"/>
        <v>1</v>
      </c>
      <c r="T102" s="52" t="str">
        <f t="shared" si="133"/>
        <v>Southbound</v>
      </c>
      <c r="U102" s="12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14:07:18-0600',mode:absolute,to:'2016-08-27 16:51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02" s="54" t="str">
        <f t="shared" si="135"/>
        <v>N</v>
      </c>
      <c r="X102" s="120">
        <f t="shared" si="141"/>
        <v>1</v>
      </c>
      <c r="Y102" s="69">
        <f t="shared" si="136"/>
        <v>23.2986</v>
      </c>
      <c r="Z102" s="69">
        <f t="shared" si="137"/>
        <v>1.4500000000000001E-2</v>
      </c>
      <c r="AA102" s="69">
        <f t="shared" si="138"/>
        <v>23.284099999999999</v>
      </c>
      <c r="AB102" s="66" t="e">
        <f>VLOOKUP(A102,Enforcements!$C$7:$J$21,8,0)</f>
        <v>#N/A</v>
      </c>
      <c r="AC102" s="62" t="e">
        <f>VLOOKUP(A102,Enforcements!$C$7:$E$21,3,0)</f>
        <v>#N/A</v>
      </c>
      <c r="AD102" s="63" t="str">
        <f t="shared" si="139"/>
        <v>0186-27</v>
      </c>
      <c r="AE102" s="99" t="str">
        <f t="shared" si="113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02" s="96" t="str">
        <f t="shared" si="114"/>
        <v>"C:\Program Files (x86)\AstroGrep\AstroGrep.exe" /spath="%USERPROFILE%\AppData\Local\Temp\OnboardLogs" /stypes="*4026*20160827*" /stext=" 21:.+((SYSTEM_STATE.+slice.+state.+changed )|(ment ac)|(system.+state.+changed )|(\|lc)|(penalty)|(\[timeout)|(PRM\|1\|D)|(kpr)|(kdp))" /e /r /s</v>
      </c>
      <c r="AG102" s="1" t="str">
        <f t="shared" si="140"/>
        <v>EC</v>
      </c>
      <c r="AH102" s="100" t="str">
        <f t="shared" si="142"/>
        <v>"%USERPROFILE%\Documents\GitHub\eaglep3\Utilities\RefineRTDCRunTimes.py" --tripid 186-27 --locoid 4026 --swversion DE.1.0.7.0 --startMP 204:232986 --initTime 2016-08-27T15:07:18 --startdatetime 2016-08-27T15:11:32 --delay 1 --endMP 204:145 --enddatetime 2016-08-27T15:51:09 --enforcementcount 0 &gt;&gt;C:\Users\stu\Documents\GitHub\eaglep3-reporting\EC\2016-08-27-refined-times.txt</v>
      </c>
      <c r="AI102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{"issue":{"subject":"","project_id":79,"tracker_id":40,"status_id":1,"priority_id":2,"assigned_to_id":23,"start_date":"2016-08-27","description":"","custom_fields":[{"id":1,"name":"Subdivision","value":"EC"},{"id":4,"name":"Milepost","value":"23.2841"},{"id":17,"name":"Train ID","value":"186-27"},{"id":16,"name":"Locomotive ID","value":"4026"},{"id":130,"name":"Impact","value":""},{"id":150,"name":"Time of Event (Mountain Time)","value":"15:51:09"},{"id":151,"name":"Denver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580</v>
      </c>
      <c r="B103" s="7">
        <v>4009</v>
      </c>
      <c r="C103" s="24" t="s">
        <v>113</v>
      </c>
      <c r="D103" s="24" t="s">
        <v>125</v>
      </c>
      <c r="E103" s="15">
        <v>42609.601990740739</v>
      </c>
      <c r="F103" s="15">
        <v>42609.604548611111</v>
      </c>
      <c r="G103" s="7">
        <v>1</v>
      </c>
      <c r="H103" s="15" t="s">
        <v>200</v>
      </c>
      <c r="I103" s="15">
        <v>42609.629803240743</v>
      </c>
      <c r="J103" s="7">
        <v>0</v>
      </c>
      <c r="K103" s="132" t="str">
        <f t="shared" si="129"/>
        <v>4009/4010</v>
      </c>
      <c r="L103" s="24" t="str">
        <f>VLOOKUP(A103,'Trips&amp;Operators'!$C$1:$E$10000,3,FALSE)</f>
        <v>STEWART</v>
      </c>
      <c r="M103" s="6">
        <f t="shared" si="130"/>
        <v>2.5254629632399883E-2</v>
      </c>
      <c r="N103" s="7">
        <f t="shared" si="144"/>
        <v>36.366666670655832</v>
      </c>
      <c r="O103" s="7"/>
      <c r="P103" s="7"/>
      <c r="Q103" s="25"/>
      <c r="R103" s="25"/>
      <c r="S103" s="37">
        <f t="shared" si="132"/>
        <v>1</v>
      </c>
      <c r="T103" s="52" t="str">
        <f t="shared" si="133"/>
        <v>NorthBound</v>
      </c>
      <c r="U103" s="12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13:26:52-0600',mode:absolute,to:'2016-08-27 16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03" s="54" t="str">
        <f t="shared" si="135"/>
        <v>N</v>
      </c>
      <c r="X103" s="120">
        <f t="shared" si="141"/>
        <v>1</v>
      </c>
      <c r="Y103" s="69">
        <f t="shared" si="136"/>
        <v>4.5499999999999999E-2</v>
      </c>
      <c r="Z103" s="69">
        <f t="shared" si="137"/>
        <v>23.331199999999999</v>
      </c>
      <c r="AA103" s="69">
        <f t="shared" si="138"/>
        <v>23.285699999999999</v>
      </c>
      <c r="AB103" s="66" t="e">
        <f>VLOOKUP(A103,Enforcements!$C$7:$J$21,8,0)</f>
        <v>#N/A</v>
      </c>
      <c r="AC103" s="62" t="e">
        <f>VLOOKUP(A103,Enforcements!$C$7:$E$21,3,0)</f>
        <v>#N/A</v>
      </c>
      <c r="AD103" s="63" t="str">
        <f t="shared" si="139"/>
        <v>0187-27</v>
      </c>
      <c r="AE103" s="99" t="str">
        <f t="shared" si="113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103" s="96" t="str">
        <f t="shared" si="114"/>
        <v>"C:\Program Files (x86)\AstroGrep\AstroGrep.exe" /spath="%USERPROFILE%\AppData\Local\Temp\OnboardLogs" /stypes="*4009*20160827*" /stext=" 21:.+((SYSTEM_STATE.+slice.+state.+changed )|(ment ac)|(system.+state.+changed )|(\|lc)|(penalty)|(\[timeout)|(PRM\|1\|D)|(kpr)|(kdp))" /e /r /s</v>
      </c>
      <c r="AG103" s="1" t="str">
        <f t="shared" si="140"/>
        <v>EC</v>
      </c>
      <c r="AH103" s="100" t="str">
        <f t="shared" si="142"/>
        <v>"%USERPROFILE%\Documents\GitHub\eaglep3\Utilities\RefineRTDCRunTimes.py" --tripid 187-27 --locoid 4009 --swversion DE.1.0.7.0 --startMP 204:455 --initTime 2016-08-27T14:26:52 --startdatetime 2016-08-27T14:30:33 --delay 1 --endMP 204:233312 --enddatetime 2016-08-27T15:06:55 --enforcementcount 0 &gt;&gt;C:\Users\stu\Documents\GitHub\eaglep3-reporting\EC\2016-08-27-refined-times.txt</v>
      </c>
      <c r="AI103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{"issue":{"subject":"","project_id":79,"tracker_id":40,"status_id":1,"priority_id":2,"assigned_to_id":23,"start_date":"2016-08-27","description":"","custom_fields":[{"id":1,"name":"Subdivision","value":"EC"},{"id":4,"name":"Milepost","value":"23.2857"},{"id":17,"name":"Train ID","value":"187-27"},{"id":16,"name":"Locomotive ID","value":"4009"},{"id":130,"name":"Impact","value":""},{"id":150,"name":"Time of Event (Mountain Time)","value":"15:06:55"},{"id":151,"name":"Denver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581</v>
      </c>
      <c r="B104" s="7">
        <v>4010</v>
      </c>
      <c r="C104" s="24" t="s">
        <v>113</v>
      </c>
      <c r="D104" s="24" t="s">
        <v>208</v>
      </c>
      <c r="E104" s="15">
        <v>42609.636701388888</v>
      </c>
      <c r="F104" s="15">
        <v>42609.643391203703</v>
      </c>
      <c r="G104" s="7">
        <v>1</v>
      </c>
      <c r="H104" s="15" t="s">
        <v>348</v>
      </c>
      <c r="I104" s="15">
        <v>42609.67050925926</v>
      </c>
      <c r="J104" s="7">
        <v>0</v>
      </c>
      <c r="K104" s="132" t="str">
        <f t="shared" si="129"/>
        <v>4009/4010</v>
      </c>
      <c r="L104" s="24" t="str">
        <f>VLOOKUP(A104,'Trips&amp;Operators'!$C$1:$E$10000,3,FALSE)</f>
        <v>STEWART</v>
      </c>
      <c r="M104" s="6">
        <f t="shared" si="130"/>
        <v>2.7118055557366461E-2</v>
      </c>
      <c r="N104" s="7">
        <f t="shared" si="144"/>
        <v>39.050000002607703</v>
      </c>
      <c r="O104" s="7"/>
      <c r="P104" s="7"/>
      <c r="Q104" s="25"/>
      <c r="R104" s="25"/>
      <c r="S104" s="37">
        <f t="shared" si="132"/>
        <v>1</v>
      </c>
      <c r="T104" s="52" t="str">
        <f t="shared" si="133"/>
        <v>Southbound</v>
      </c>
      <c r="U104" s="12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14:16:51-0600',mode:absolute,to:'2016-08-27 17:05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04" s="54" t="str">
        <f t="shared" si="135"/>
        <v>N</v>
      </c>
      <c r="X104" s="120">
        <f t="shared" si="141"/>
        <v>1</v>
      </c>
      <c r="Y104" s="69">
        <f t="shared" si="136"/>
        <v>23.3002</v>
      </c>
      <c r="Z104" s="69">
        <f t="shared" si="137"/>
        <v>1.7399999999999999E-2</v>
      </c>
      <c r="AA104" s="69">
        <f t="shared" si="138"/>
        <v>23.282800000000002</v>
      </c>
      <c r="AB104" s="66" t="e">
        <f>VLOOKUP(A104,Enforcements!$C$7:$J$21,8,0)</f>
        <v>#N/A</v>
      </c>
      <c r="AC104" s="62" t="e">
        <f>VLOOKUP(A104,Enforcements!$C$7:$E$21,3,0)</f>
        <v>#N/A</v>
      </c>
      <c r="AD104" s="63" t="str">
        <f t="shared" si="139"/>
        <v>0188-27</v>
      </c>
      <c r="AE104" s="99" t="str">
        <f t="shared" si="113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104" s="96" t="str">
        <f t="shared" si="114"/>
        <v>"C:\Program Files (x86)\AstroGrep\AstroGrep.exe" /spath="%USERPROFILE%\AppData\Local\Temp\OnboardLogs" /stypes="*4010*20160827*" /stext=" 22:.+((SYSTEM_STATE.+slice.+state.+changed )|(ment ac)|(system.+state.+changed )|(\|lc)|(penalty)|(\[timeout)|(PRM\|1\|D)|(kpr)|(kdp))" /e /r /s</v>
      </c>
      <c r="AG104" s="1" t="str">
        <f t="shared" si="140"/>
        <v>EC</v>
      </c>
      <c r="AH104" s="100" t="str">
        <f t="shared" si="142"/>
        <v>"%USERPROFILE%\Documents\GitHub\eaglep3\Utilities\RefineRTDCRunTimes.py" --tripid 188-27 --locoid 4010 --swversion DE.1.0.7.0 --startMP 204:233002 --initTime 2016-08-27T15:16:51 --startdatetime 2016-08-27T15:26:29 --delay 1 --endMP 204:174 --enddatetime 2016-08-27T16:05:32 --enforcementcount 0 &gt;&gt;C:\Users\stu\Documents\GitHub\eaglep3-reporting\EC\2016-08-27-refined-times.txt</v>
      </c>
      <c r="AI104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{"issue":{"subject":"","project_id":79,"tracker_id":40,"status_id":1,"priority_id":2,"assigned_to_id":23,"start_date":"2016-08-27","description":"","custom_fields":[{"id":1,"name":"Subdivision","value":"EC"},{"id":4,"name":"Milepost","value":"23.2828"},{"id":17,"name":"Train ID","value":"188-27"},{"id":16,"name":"Locomotive ID","value":"4010"},{"id":130,"name":"Impact","value":""},{"id":150,"name":"Time of Event (Mountain Time)","value":"16:05:32"},{"id":151,"name":"Denver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s="23" customFormat="1" x14ac:dyDescent="0.25">
      <c r="A105" s="39" t="s">
        <v>582</v>
      </c>
      <c r="B105" s="7">
        <v>4020</v>
      </c>
      <c r="C105" s="24" t="s">
        <v>113</v>
      </c>
      <c r="D105" s="24" t="s">
        <v>198</v>
      </c>
      <c r="E105" s="15">
        <v>42609.610439814816</v>
      </c>
      <c r="F105" s="15">
        <v>42609.615023148152</v>
      </c>
      <c r="G105" s="7">
        <v>1</v>
      </c>
      <c r="H105" s="15" t="s">
        <v>583</v>
      </c>
      <c r="I105" s="15">
        <v>42609.640138888892</v>
      </c>
      <c r="J105" s="7">
        <v>0</v>
      </c>
      <c r="K105" s="132" t="str">
        <f t="shared" si="129"/>
        <v>4019/4020</v>
      </c>
      <c r="L105" s="24" t="str">
        <f>VLOOKUP(A105,'Trips&amp;Operators'!$C$1:$E$10000,3,FALSE)</f>
        <v>BARTLETT</v>
      </c>
      <c r="M105" s="6">
        <f t="shared" si="130"/>
        <v>2.5115740740147885E-2</v>
      </c>
      <c r="N105" s="7">
        <f t="shared" si="144"/>
        <v>36.166666665812954</v>
      </c>
      <c r="O105" s="7"/>
      <c r="P105" s="7"/>
      <c r="Q105" s="25"/>
      <c r="R105" s="25"/>
      <c r="S105" s="37">
        <f t="shared" si="132"/>
        <v>1</v>
      </c>
      <c r="T105" s="52" t="str">
        <f t="shared" si="133"/>
        <v>NorthBound</v>
      </c>
      <c r="U105" s="12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13:39:02-0600',mode:absolute,to:'2016-08-27 16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05" s="54" t="str">
        <f t="shared" si="135"/>
        <v>N</v>
      </c>
      <c r="X105" s="120">
        <f t="shared" si="141"/>
        <v>1</v>
      </c>
      <c r="Y105" s="69">
        <f t="shared" si="136"/>
        <v>4.3499999999999997E-2</v>
      </c>
      <c r="Z105" s="69">
        <f t="shared" si="137"/>
        <v>23.3278</v>
      </c>
      <c r="AA105" s="69">
        <f t="shared" si="138"/>
        <v>23.284299999999998</v>
      </c>
      <c r="AB105" s="66" t="e">
        <f>VLOOKUP(A105,Enforcements!$C$7:$J$21,8,0)</f>
        <v>#N/A</v>
      </c>
      <c r="AC105" s="62" t="e">
        <f>VLOOKUP(A105,Enforcements!$C$7:$E$21,3,0)</f>
        <v>#N/A</v>
      </c>
      <c r="AD105" s="63" t="str">
        <f t="shared" si="139"/>
        <v>0189-27</v>
      </c>
      <c r="AE105" s="99" t="str">
        <f t="shared" si="113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05" s="96" t="str">
        <f t="shared" si="114"/>
        <v>"C:\Program Files (x86)\AstroGrep\AstroGrep.exe" /spath="%USERPROFILE%\AppData\Local\Temp\OnboardLogs" /stypes="*4020*20160827*" /stext=" 21:.+((SYSTEM_STATE.+slice.+state.+changed )|(ment ac)|(system.+state.+changed )|(\|lc)|(penalty)|(\[timeout)|(PRM\|1\|D)|(kpr)|(kdp))" /e /r /s</v>
      </c>
      <c r="AG105" s="1" t="str">
        <f t="shared" si="140"/>
        <v>EC</v>
      </c>
      <c r="AH105" s="100" t="str">
        <f t="shared" si="142"/>
        <v>"%USERPROFILE%\Documents\GitHub\eaglep3\Utilities\RefineRTDCRunTimes.py" --tripid 189-27 --locoid 4020 --swversion DE.1.0.7.0 --startMP 204:435 --initTime 2016-08-27T14:39:02 --startdatetime 2016-08-27T14:45:38 --delay 1 --endMP 204:233278 --enddatetime 2016-08-27T15:21:48 --enforcementcount 0 &gt;&gt;C:\Users\stu\Documents\GitHub\eaglep3-reporting\EC\2016-08-27-refined-times.txt</v>
      </c>
      <c r="AI105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{"issue":{"subject":"","project_id":79,"tracker_id":40,"status_id":1,"priority_id":2,"assigned_to_id":23,"start_date":"2016-08-27","description":"","custom_fields":[{"id":1,"name":"Subdivision","value":"EC"},{"id":4,"name":"Milepost","value":"23.2843"},{"id":17,"name":"Train ID","value":"189-27"},{"id":16,"name":"Locomotive ID","value":"4020"},{"id":130,"name":"Impact","value":""},{"id":150,"name":"Time of Event (Mountain Time)","value":"15:21:48"},{"id":151,"name":"Denver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584</v>
      </c>
      <c r="B106" s="7">
        <v>4019</v>
      </c>
      <c r="C106" s="24" t="s">
        <v>113</v>
      </c>
      <c r="D106" s="24" t="s">
        <v>195</v>
      </c>
      <c r="E106" s="15">
        <v>42609.649050925924</v>
      </c>
      <c r="F106" s="15">
        <v>42609.653657407405</v>
      </c>
      <c r="G106" s="7">
        <v>1</v>
      </c>
      <c r="H106" s="15" t="s">
        <v>496</v>
      </c>
      <c r="I106" s="15">
        <v>42609.681493055556</v>
      </c>
      <c r="J106" s="7">
        <v>0</v>
      </c>
      <c r="K106" s="132" t="str">
        <f t="shared" si="129"/>
        <v>4019/4020</v>
      </c>
      <c r="L106" s="24" t="str">
        <f>VLOOKUP(A106,'Trips&amp;Operators'!$C$1:$E$10000,3,FALSE)</f>
        <v>BARTLETT</v>
      </c>
      <c r="M106" s="6">
        <f t="shared" si="130"/>
        <v>2.7835648150357883E-2</v>
      </c>
      <c r="N106" s="7">
        <f t="shared" si="144"/>
        <v>40.083333336515352</v>
      </c>
      <c r="O106" s="7"/>
      <c r="P106" s="7"/>
      <c r="Q106" s="25"/>
      <c r="R106" s="25"/>
      <c r="S106" s="37">
        <f t="shared" si="132"/>
        <v>1</v>
      </c>
      <c r="T106" s="52" t="str">
        <f t="shared" si="133"/>
        <v>Southbound</v>
      </c>
      <c r="U106" s="12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14:34:38-0600',mode:absolute,to:'2016-08-27 17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06" s="54" t="str">
        <f t="shared" si="135"/>
        <v>N</v>
      </c>
      <c r="X106" s="120">
        <f t="shared" si="141"/>
        <v>1</v>
      </c>
      <c r="Y106" s="69">
        <f t="shared" si="136"/>
        <v>23.297799999999999</v>
      </c>
      <c r="Z106" s="69">
        <f t="shared" si="137"/>
        <v>1.67E-2</v>
      </c>
      <c r="AA106" s="69">
        <f t="shared" si="138"/>
        <v>23.281099999999999</v>
      </c>
      <c r="AB106" s="66">
        <f>VLOOKUP(A106,Enforcements!$C$7:$J$21,8,0)</f>
        <v>42961</v>
      </c>
      <c r="AC106" s="62" t="str">
        <f>VLOOKUP(A106,Enforcements!$C$7:$E$21,3,0)</f>
        <v>GRADE CROSSING</v>
      </c>
      <c r="AD106" s="63" t="str">
        <f t="shared" si="139"/>
        <v>0190-27</v>
      </c>
      <c r="AE106" s="99" t="str">
        <f t="shared" si="113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06" s="96" t="str">
        <f t="shared" si="114"/>
        <v>"C:\Program Files (x86)\AstroGrep\AstroGrep.exe" /spath="%USERPROFILE%\AppData\Local\Temp\OnboardLogs" /stypes="*4019*20160827*" /stext=" 22:.+((SYSTEM_STATE.+slice.+state.+changed )|(ment ac)|(system.+state.+changed )|(\|lc)|(penalty)|(\[timeout)|(PRM\|1\|D)|(kpr)|(kdp))" /e /r /s</v>
      </c>
      <c r="AG106" s="1" t="str">
        <f t="shared" si="140"/>
        <v>EC</v>
      </c>
      <c r="AH106" s="100" t="str">
        <f t="shared" si="142"/>
        <v>"%USERPROFILE%\Documents\GitHub\eaglep3\Utilities\RefineRTDCRunTimes.py" --tripid 190-27 --locoid 4019 --swversion DE.1.0.7.0 --startMP 204:232978 --initTime 2016-08-27T15:34:38 --startdatetime 2016-08-27T15:41:16 --delay 1 --endMP 204:167 --enddatetime 2016-08-27T16:21:21 --enforcementcount 0 &gt;&gt;C:\Users\stu\Documents\GitHub\eaglep3-reporting\EC\2016-08-27-refined-times.txt</v>
      </c>
      <c r="AI106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{"issue":{"subject":"","project_id":79,"tracker_id":40,"status_id":1,"priority_id":2,"assigned_to_id":23,"start_date":"2016-08-27","description":"","custom_fields":[{"id":1,"name":"Subdivision","value":"EC"},{"id":4,"name":"Milepost","value":"23.2811"},{"id":17,"name":"Train ID","value":"190-27"},{"id":16,"name":"Locomotive ID","value":"4019"},{"id":130,"name":"Impact","value":""},{"id":150,"name":"Time of Event (Mountain Time)","value":"16:21:21"},{"id":151,"name":"Denver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587</v>
      </c>
      <c r="B107" s="7">
        <v>4031</v>
      </c>
      <c r="C107" s="24" t="s">
        <v>113</v>
      </c>
      <c r="D107" s="24" t="s">
        <v>588</v>
      </c>
      <c r="E107" s="15">
        <v>42609.622465277775</v>
      </c>
      <c r="F107" s="15">
        <v>42609.625439814816</v>
      </c>
      <c r="G107" s="7">
        <v>1</v>
      </c>
      <c r="H107" s="15" t="s">
        <v>277</v>
      </c>
      <c r="I107" s="15">
        <v>42609.650543981479</v>
      </c>
      <c r="J107" s="7">
        <v>0</v>
      </c>
      <c r="K107" s="132" t="str">
        <f t="shared" si="129"/>
        <v>4031/4032</v>
      </c>
      <c r="L107" s="24" t="str">
        <f>VLOOKUP(A107,'Trips&amp;Operators'!$C$1:$E$10000,3,FALSE)</f>
        <v>MOSES</v>
      </c>
      <c r="M107" s="6">
        <f t="shared" si="130"/>
        <v>2.5104166663368233E-2</v>
      </c>
      <c r="N107" s="7">
        <f t="shared" si="144"/>
        <v>36.149999995250255</v>
      </c>
      <c r="O107" s="7"/>
      <c r="P107" s="7"/>
      <c r="Q107" s="25"/>
      <c r="R107" s="25"/>
      <c r="S107" s="37">
        <f t="shared" si="132"/>
        <v>1</v>
      </c>
      <c r="T107" s="52" t="str">
        <f t="shared" si="133"/>
        <v>NorthBound</v>
      </c>
      <c r="U107" s="12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13:56:21-0600',mode:absolute,to:'2016-08-27 16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07" s="54" t="str">
        <f t="shared" si="135"/>
        <v>N</v>
      </c>
      <c r="X107" s="120">
        <f t="shared" si="141"/>
        <v>1</v>
      </c>
      <c r="Y107" s="69">
        <f t="shared" si="136"/>
        <v>4.9500000000000002E-2</v>
      </c>
      <c r="Z107" s="69">
        <f t="shared" si="137"/>
        <v>23.330400000000001</v>
      </c>
      <c r="AA107" s="69">
        <f t="shared" si="138"/>
        <v>23.280900000000003</v>
      </c>
      <c r="AB107" s="66" t="e">
        <f>VLOOKUP(A107,Enforcements!$C$7:$J$21,8,0)</f>
        <v>#N/A</v>
      </c>
      <c r="AC107" s="62" t="e">
        <f>VLOOKUP(A107,Enforcements!$C$7:$E$21,3,0)</f>
        <v>#N/A</v>
      </c>
      <c r="AD107" s="63" t="str">
        <f t="shared" si="139"/>
        <v>0191-27</v>
      </c>
      <c r="AE107" s="99" t="str">
        <f t="shared" si="113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07" s="96" t="str">
        <f t="shared" si="114"/>
        <v>"C:\Program Files (x86)\AstroGrep\AstroGrep.exe" /spath="%USERPROFILE%\AppData\Local\Temp\OnboardLogs" /stypes="*4031*20160827*" /stext=" 21:.+((SYSTEM_STATE.+slice.+state.+changed )|(ment ac)|(system.+state.+changed )|(\|lc)|(penalty)|(\[timeout)|(PRM\|1\|D)|(kpr)|(kdp))" /e /r /s</v>
      </c>
      <c r="AG107" s="1" t="str">
        <f t="shared" si="140"/>
        <v>EC</v>
      </c>
      <c r="AH107" s="100" t="str">
        <f t="shared" si="142"/>
        <v>"%USERPROFILE%\Documents\GitHub\eaglep3\Utilities\RefineRTDCRunTimes.py" --tripid 191-27 --locoid 4031 --swversion DE.1.0.7.0 --startMP 204:495 --initTime 2016-08-27T14:56:21 --startdatetime 2016-08-27T15:00:38 --delay 1 --endMP 204:233304 --enddatetime 2016-08-27T15:36:47 --enforcementcount 0 &gt;&gt;C:\Users\stu\Documents\GitHub\eaglep3-reporting\EC\2016-08-27-refined-times.txt</v>
      </c>
      <c r="AI107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{"issue":{"subject":"","project_id":79,"tracker_id":40,"status_id":1,"priority_id":2,"assigned_to_id":23,"start_date":"2016-08-27","description":"","custom_fields":[{"id":1,"name":"Subdivision","value":"EC"},{"id":4,"name":"Milepost","value":"23.2809"},{"id":17,"name":"Train ID","value":"191-27"},{"id":16,"name":"Locomotive ID","value":"4031"},{"id":130,"name":"Impact","value":""},{"id":150,"name":"Time of Event (Mountain Time)","value":"15:36:47"},{"id":151,"name":"Denver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x14ac:dyDescent="0.25">
      <c r="A108" s="39" t="s">
        <v>589</v>
      </c>
      <c r="B108" s="7">
        <v>4032</v>
      </c>
      <c r="C108" s="24" t="s">
        <v>113</v>
      </c>
      <c r="D108" s="24" t="s">
        <v>590</v>
      </c>
      <c r="E108" s="15">
        <v>42609.661354166667</v>
      </c>
      <c r="F108" s="15">
        <v>42609.664097222223</v>
      </c>
      <c r="G108" s="7">
        <v>1</v>
      </c>
      <c r="H108" s="15" t="s">
        <v>172</v>
      </c>
      <c r="I108" s="15">
        <v>42609.691863425927</v>
      </c>
      <c r="J108" s="7">
        <v>0</v>
      </c>
      <c r="K108" s="132" t="str">
        <f t="shared" si="129"/>
        <v>4031/4032</v>
      </c>
      <c r="L108" s="24" t="str">
        <f>VLOOKUP(A108,'Trips&amp;Operators'!$C$1:$E$10000,3,FALSE)</f>
        <v>MOSES</v>
      </c>
      <c r="M108" s="6">
        <f t="shared" si="130"/>
        <v>2.7766203704231884E-2</v>
      </c>
      <c r="N108" s="7">
        <f t="shared" si="144"/>
        <v>39.983333334093913</v>
      </c>
      <c r="O108" s="7"/>
      <c r="P108" s="7"/>
      <c r="Q108" s="25"/>
      <c r="R108" s="25"/>
      <c r="S108" s="37">
        <f t="shared" si="132"/>
        <v>1</v>
      </c>
      <c r="T108" s="52" t="str">
        <f t="shared" si="133"/>
        <v>Southbound</v>
      </c>
      <c r="U108" s="12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14:52:21-0600',mode:absolute,to:'2016-08-27 17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08" s="54" t="str">
        <f t="shared" si="135"/>
        <v>N</v>
      </c>
      <c r="X108" s="120">
        <f t="shared" si="141"/>
        <v>1</v>
      </c>
      <c r="Y108" s="69">
        <f t="shared" si="136"/>
        <v>23.298100000000002</v>
      </c>
      <c r="Z108" s="69">
        <f t="shared" si="137"/>
        <v>1.52E-2</v>
      </c>
      <c r="AA108" s="69">
        <f t="shared" si="138"/>
        <v>23.282900000000001</v>
      </c>
      <c r="AB108" s="66">
        <f>VLOOKUP(A108,Enforcements!$C$7:$J$21,8,0)</f>
        <v>30562</v>
      </c>
      <c r="AC108" s="62" t="str">
        <f>VLOOKUP(A108,Enforcements!$C$7:$E$21,3,0)</f>
        <v>PERMANENT SPEED RESTRICTION</v>
      </c>
      <c r="AD108" s="63" t="str">
        <f t="shared" si="139"/>
        <v>0192-27</v>
      </c>
      <c r="AE108" s="99" t="str">
        <f t="shared" si="113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08" s="96" t="str">
        <f t="shared" si="114"/>
        <v>"C:\Program Files (x86)\AstroGrep\AstroGrep.exe" /spath="%USERPROFILE%\AppData\Local\Temp\OnboardLogs" /stypes="*4032*20160827*" /stext=" 22:.+((SYSTEM_STATE.+slice.+state.+changed )|(ment ac)|(system.+state.+changed )|(\|lc)|(penalty)|(\[timeout)|(PRM\|1\|D)|(kpr)|(kdp))" /e /r /s</v>
      </c>
      <c r="AG108" s="1" t="str">
        <f t="shared" si="140"/>
        <v>EC</v>
      </c>
      <c r="AH108" s="100" t="str">
        <f t="shared" si="142"/>
        <v>"%USERPROFILE%\Documents\GitHub\eaglep3\Utilities\RefineRTDCRunTimes.py" --tripid 192-27 --locoid 4032 --swversion DE.1.0.7.0 --startMP 204:232981 --initTime 2016-08-27T15:52:21 --startdatetime 2016-08-27T15:56:18 --delay 1 --endMP 204:152 --enddatetime 2016-08-27T16:36:17 --enforcementcount 0 &gt;&gt;C:\Users\stu\Documents\GitHub\eaglep3-reporting\EC\2016-08-27-refined-times.txt</v>
      </c>
      <c r="AI108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{"issue":{"subject":"","project_id":79,"tracker_id":40,"status_id":1,"priority_id":2,"assigned_to_id":23,"start_date":"2016-08-27","description":"","custom_fields":[{"id":1,"name":"Subdivision","value":"EC"},{"id":4,"name":"Milepost","value":"23.2829"},{"id":17,"name":"Train ID","value":"192-27"},{"id":16,"name":"Locomotive ID","value":"4032"},{"id":130,"name":"Impact","value":""},{"id":150,"name":"Time of Event (Mountain Time)","value":"16:36:17"},{"id":151,"name":"Denver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591</v>
      </c>
      <c r="B109" s="7">
        <v>4042</v>
      </c>
      <c r="C109" s="24" t="s">
        <v>113</v>
      </c>
      <c r="D109" s="24" t="s">
        <v>358</v>
      </c>
      <c r="E109" s="15">
        <v>42609.631203703706</v>
      </c>
      <c r="F109" s="15">
        <v>42609.63559027778</v>
      </c>
      <c r="G109" s="7">
        <v>1</v>
      </c>
      <c r="H109" s="15" t="s">
        <v>592</v>
      </c>
      <c r="I109" s="15">
        <v>42609.660914351851</v>
      </c>
      <c r="J109" s="7">
        <v>0</v>
      </c>
      <c r="K109" s="132" t="str">
        <f t="shared" si="129"/>
        <v>4041/4042</v>
      </c>
      <c r="L109" s="24" t="str">
        <f>VLOOKUP(A109,'Trips&amp;Operators'!$C$1:$E$10000,3,FALSE)</f>
        <v>SHOOK</v>
      </c>
      <c r="M109" s="6">
        <f t="shared" si="130"/>
        <v>2.5324074071249925E-2</v>
      </c>
      <c r="N109" s="7">
        <f t="shared" si="144"/>
        <v>36.466666662599891</v>
      </c>
      <c r="O109" s="7"/>
      <c r="P109" s="7"/>
      <c r="Q109" s="25"/>
      <c r="R109" s="25"/>
      <c r="S109" s="37">
        <f t="shared" si="132"/>
        <v>1</v>
      </c>
      <c r="T109" s="52" t="str">
        <f t="shared" si="133"/>
        <v>NorthBound</v>
      </c>
      <c r="U109" s="12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14:08:56-0600',mode:absolute,to:'2016-08-27 16:51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09" s="54" t="str">
        <f t="shared" si="135"/>
        <v>N</v>
      </c>
      <c r="X109" s="120">
        <f t="shared" si="141"/>
        <v>1</v>
      </c>
      <c r="Y109" s="69">
        <f t="shared" si="136"/>
        <v>4.9700000000000001E-2</v>
      </c>
      <c r="Z109" s="69">
        <f t="shared" si="137"/>
        <v>23.333600000000001</v>
      </c>
      <c r="AA109" s="69">
        <f t="shared" si="138"/>
        <v>23.283899999999999</v>
      </c>
      <c r="AB109" s="66" t="e">
        <f>VLOOKUP(A109,Enforcements!$C$7:$J$21,8,0)</f>
        <v>#N/A</v>
      </c>
      <c r="AC109" s="62" t="e">
        <f>VLOOKUP(A109,Enforcements!$C$7:$E$21,3,0)</f>
        <v>#N/A</v>
      </c>
      <c r="AD109" s="63" t="str">
        <f t="shared" si="139"/>
        <v>0193-27</v>
      </c>
      <c r="AE109" s="99" t="str">
        <f t="shared" si="113"/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109" s="96" t="str">
        <f t="shared" si="114"/>
        <v>"C:\Program Files (x86)\AstroGrep\AstroGrep.exe" /spath="%USERPROFILE%\AppData\Local\Temp\OnboardLogs" /stypes="*4042*20160827*" /stext=" 21:.+((SYSTEM_STATE.+slice.+state.+changed )|(ment ac)|(system.+state.+changed )|(\|lc)|(penalty)|(\[timeout)|(PRM\|1\|D)|(kpr)|(kdp))" /e /r /s</v>
      </c>
      <c r="AG109" s="1" t="str">
        <f t="shared" si="140"/>
        <v>EC</v>
      </c>
      <c r="AH109" s="100" t="str">
        <f t="shared" si="142"/>
        <v>"%USERPROFILE%\Documents\GitHub\eaglep3\Utilities\RefineRTDCRunTimes.py" --tripid 193-27 --locoid 4042 --swversion DE.1.0.7.0 --startMP 204:497 --initTime 2016-08-27T15:08:56 --startdatetime 2016-08-27T15:15:15 --delay 1 --endMP 204:233336 --enddatetime 2016-08-27T15:51:43 --enforcementcount 0 &gt;&gt;C:\Users\stu\Documents\GitHub\eaglep3-reporting\EC\2016-08-27-refined-times.txt</v>
      </c>
      <c r="AI109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{"issue":{"subject":"","project_id":79,"tracker_id":40,"status_id":1,"priority_id":2,"assigned_to_id":23,"start_date":"2016-08-27","description":"","custom_fields":[{"id":1,"name":"Subdivision","value":"EC"},{"id":4,"name":"Milepost","value":"23.2839"},{"id":17,"name":"Train ID","value":"193-27"},{"id":16,"name":"Locomotive ID","value":"4042"},{"id":130,"name":"Impact","value":""},{"id":150,"name":"Time of Event (Mountain Time)","value":"15:51:43"},{"id":151,"name":"Denver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x14ac:dyDescent="0.25">
      <c r="A110" s="39" t="s">
        <v>593</v>
      </c>
      <c r="B110" s="7">
        <v>4041</v>
      </c>
      <c r="C110" s="24" t="s">
        <v>113</v>
      </c>
      <c r="D110" s="24" t="s">
        <v>342</v>
      </c>
      <c r="E110" s="15">
        <v>42609.66778935185</v>
      </c>
      <c r="F110" s="15">
        <v>42609.674490740741</v>
      </c>
      <c r="G110" s="7">
        <v>1</v>
      </c>
      <c r="H110" s="15" t="s">
        <v>187</v>
      </c>
      <c r="I110" s="15">
        <v>42609.702094907407</v>
      </c>
      <c r="J110" s="7">
        <v>0</v>
      </c>
      <c r="K110" s="132" t="str">
        <f t="shared" si="129"/>
        <v>4041/4042</v>
      </c>
      <c r="L110" s="24" t="str">
        <f>VLOOKUP(A110,'Trips&amp;Operators'!$C$1:$E$10000,3,FALSE)</f>
        <v>SHOOK</v>
      </c>
      <c r="M110" s="6">
        <f t="shared" si="130"/>
        <v>2.7604166665696539E-2</v>
      </c>
      <c r="N110" s="7">
        <f t="shared" si="144"/>
        <v>39.749999998603016</v>
      </c>
      <c r="O110" s="7"/>
      <c r="P110" s="7"/>
      <c r="Q110" s="25"/>
      <c r="R110" s="25"/>
      <c r="S110" s="37">
        <f t="shared" si="132"/>
        <v>1</v>
      </c>
      <c r="T110" s="52" t="str">
        <f t="shared" si="133"/>
        <v>Southbound</v>
      </c>
      <c r="U110" s="12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15:01:37-0600',mode:absolute,to:'2016-08-27 17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10" s="54" t="str">
        <f t="shared" si="135"/>
        <v>N</v>
      </c>
      <c r="X110" s="120">
        <f t="shared" si="141"/>
        <v>1</v>
      </c>
      <c r="Y110" s="69">
        <f t="shared" si="136"/>
        <v>23.3019</v>
      </c>
      <c r="Z110" s="69">
        <f t="shared" si="137"/>
        <v>1.6E-2</v>
      </c>
      <c r="AA110" s="69">
        <f t="shared" si="138"/>
        <v>23.285900000000002</v>
      </c>
      <c r="AB110" s="66" t="e">
        <f>VLOOKUP(A110,Enforcements!$C$7:$J$21,8,0)</f>
        <v>#N/A</v>
      </c>
      <c r="AC110" s="62" t="e">
        <f>VLOOKUP(A110,Enforcements!$C$7:$E$21,3,0)</f>
        <v>#N/A</v>
      </c>
      <c r="AD110" s="63" t="str">
        <f t="shared" si="139"/>
        <v>0194-27</v>
      </c>
      <c r="AE110" s="99" t="str">
        <f t="shared" si="113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110" s="96" t="str">
        <f t="shared" si="114"/>
        <v>"C:\Program Files (x86)\AstroGrep\AstroGrep.exe" /spath="%USERPROFILE%\AppData\Local\Temp\OnboardLogs" /stypes="*4041*20160827*" /stext=" 22:.+((SYSTEM_STATE.+slice.+state.+changed )|(ment ac)|(system.+state.+changed )|(\|lc)|(penalty)|(\[timeout)|(PRM\|1\|D)|(kpr)|(kdp))" /e /r /s</v>
      </c>
      <c r="AG110" s="1" t="str">
        <f t="shared" si="140"/>
        <v>EC</v>
      </c>
      <c r="AH110" s="100" t="str">
        <f t="shared" si="142"/>
        <v>"%USERPROFILE%\Documents\GitHub\eaglep3\Utilities\RefineRTDCRunTimes.py" --tripid 194-27 --locoid 4041 --swversion DE.1.0.7.0 --startMP 204:233019 --initTime 2016-08-27T16:01:37 --startdatetime 2016-08-27T16:11:16 --delay 1 --endMP 204:160 --enddatetime 2016-08-27T16:51:01 --enforcementcount 0 &gt;&gt;C:\Users\stu\Documents\GitHub\eaglep3-reporting\EC\2016-08-27-refined-times.txt</v>
      </c>
      <c r="AI11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{"issue":{"subject":"","project_id":79,"tracker_id":40,"status_id":1,"priority_id":2,"assigned_to_id":23,"start_date":"2016-08-27","description":"","custom_fields":[{"id":1,"name":"Subdivision","value":"EC"},{"id":4,"name":"Milepost","value":"23.2859"},{"id":17,"name":"Train ID","value":"194-27"},{"id":16,"name":"Locomotive ID","value":"4041"},{"id":130,"name":"Impact","value":""},{"id":150,"name":"Time of Event (Mountain Time)","value":"16:51:01"},{"id":151,"name":"Denver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x14ac:dyDescent="0.25">
      <c r="A111" s="39" t="s">
        <v>594</v>
      </c>
      <c r="B111" s="7">
        <v>4029</v>
      </c>
      <c r="C111" s="24" t="s">
        <v>113</v>
      </c>
      <c r="D111" s="24" t="s">
        <v>595</v>
      </c>
      <c r="E111" s="15">
        <v>42609.642372685186</v>
      </c>
      <c r="F111" s="15">
        <v>42609.645995370367</v>
      </c>
      <c r="G111" s="7">
        <v>1</v>
      </c>
      <c r="H111" s="15" t="s">
        <v>200</v>
      </c>
      <c r="I111" s="15">
        <v>42609.67114583333</v>
      </c>
      <c r="J111" s="7">
        <v>0</v>
      </c>
      <c r="K111" s="132" t="str">
        <f t="shared" si="129"/>
        <v>4029/4030</v>
      </c>
      <c r="L111" s="24" t="str">
        <f>VLOOKUP(A111,'Trips&amp;Operators'!$C$1:$E$10000,3,FALSE)</f>
        <v>BROWN</v>
      </c>
      <c r="M111" s="6">
        <f t="shared" si="130"/>
        <v>2.5150462963210884E-2</v>
      </c>
      <c r="N111" s="7">
        <f t="shared" si="144"/>
        <v>36.216666667023674</v>
      </c>
      <c r="O111" s="7"/>
      <c r="P111" s="7"/>
      <c r="Q111" s="25"/>
      <c r="R111" s="25"/>
      <c r="S111" s="37">
        <f t="shared" si="132"/>
        <v>1</v>
      </c>
      <c r="T111" s="52" t="str">
        <f t="shared" si="133"/>
        <v>NorthBound</v>
      </c>
      <c r="U111" s="12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14:25:01-0600',mode:absolute,to:'2016-08-27 17:06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135"/>
        <v>N</v>
      </c>
      <c r="X111" s="120">
        <f t="shared" si="141"/>
        <v>1</v>
      </c>
      <c r="Y111" s="69">
        <f t="shared" si="136"/>
        <v>4.3299999999999998E-2</v>
      </c>
      <c r="Z111" s="69">
        <f t="shared" si="137"/>
        <v>23.331199999999999</v>
      </c>
      <c r="AA111" s="69">
        <f t="shared" si="138"/>
        <v>23.2879</v>
      </c>
      <c r="AB111" s="66" t="e">
        <f>VLOOKUP(A111,Enforcements!$C$7:$J$21,8,0)</f>
        <v>#N/A</v>
      </c>
      <c r="AC111" s="62" t="e">
        <f>VLOOKUP(A111,Enforcements!$C$7:$E$21,3,0)</f>
        <v>#N/A</v>
      </c>
      <c r="AD111" s="63" t="str">
        <f t="shared" si="139"/>
        <v>0195-27</v>
      </c>
      <c r="AE111" s="99" t="str">
        <f t="shared" si="113"/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11" s="96" t="str">
        <f t="shared" si="114"/>
        <v>"C:\Program Files (x86)\AstroGrep\AstroGrep.exe" /spath="%USERPROFILE%\AppData\Local\Temp\OnboardLogs" /stypes="*4029*20160827*" /stext=" 22:.+((SYSTEM_STATE.+slice.+state.+changed )|(ment ac)|(system.+state.+changed )|(\|lc)|(penalty)|(\[timeout)|(PRM\|1\|D)|(kpr)|(kdp))" /e /r /s</v>
      </c>
      <c r="AG111" s="1" t="str">
        <f t="shared" si="140"/>
        <v>EC</v>
      </c>
      <c r="AH111" s="100" t="str">
        <f t="shared" si="142"/>
        <v>"%USERPROFILE%\Documents\GitHub\eaglep3\Utilities\RefineRTDCRunTimes.py" --tripid 195-27 --locoid 4029 --swversion DE.1.0.7.0 --startMP 204:433 --initTime 2016-08-27T15:25:01 --startdatetime 2016-08-27T15:30:14 --delay 1 --endMP 204:233312 --enddatetime 2016-08-27T16:06:27 --enforcementcount 0 &gt;&gt;C:\Users\stu\Documents\GitHub\eaglep3-reporting\EC\2016-08-27-refined-times.txt</v>
      </c>
      <c r="AI11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{"issue":{"subject":"","project_id":79,"tracker_id":40,"status_id":1,"priority_id":2,"assigned_to_id":23,"start_date":"2016-08-27","description":"","custom_fields":[{"id":1,"name":"Subdivision","value":"EC"},{"id":4,"name":"Milepost","value":"23.2879"},{"id":17,"name":"Train ID","value":"195-27"},{"id":16,"name":"Locomotive ID","value":"4029"},{"id":130,"name":"Impact","value":""},{"id":150,"name":"Time of Event (Mountain Time)","value":"16:06:27"},{"id":151,"name":"Denver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596</v>
      </c>
      <c r="B112" s="7">
        <v>4030</v>
      </c>
      <c r="C112" s="24" t="s">
        <v>113</v>
      </c>
      <c r="D112" s="24" t="s">
        <v>272</v>
      </c>
      <c r="E112" s="15">
        <v>42609.6799537037</v>
      </c>
      <c r="F112" s="15">
        <v>42609.684895833336</v>
      </c>
      <c r="G112" s="7">
        <v>1</v>
      </c>
      <c r="H112" s="15" t="s">
        <v>153</v>
      </c>
      <c r="I112" s="15">
        <v>42609.71334490741</v>
      </c>
      <c r="J112" s="7">
        <v>0</v>
      </c>
      <c r="K112" s="132" t="str">
        <f t="shared" si="129"/>
        <v>4029/4030</v>
      </c>
      <c r="L112" s="24" t="str">
        <f>VLOOKUP(A112,'Trips&amp;Operators'!$C$1:$E$10000,3,FALSE)</f>
        <v>BROWN</v>
      </c>
      <c r="M112" s="6">
        <f t="shared" si="130"/>
        <v>2.8449074074160308E-2</v>
      </c>
      <c r="N112" s="7">
        <f t="shared" si="144"/>
        <v>40.966666666790843</v>
      </c>
      <c r="O112" s="7"/>
      <c r="P112" s="7"/>
      <c r="Q112" s="25"/>
      <c r="R112" s="25"/>
      <c r="S112" s="37">
        <f t="shared" si="132"/>
        <v>1</v>
      </c>
      <c r="T112" s="52" t="str">
        <f t="shared" si="133"/>
        <v>Southbound</v>
      </c>
      <c r="U112" s="12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15:19:08-0600',mode:absolute,to:'2016-08-27 18:07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135"/>
        <v>N</v>
      </c>
      <c r="X112" s="120">
        <f t="shared" si="141"/>
        <v>1</v>
      </c>
      <c r="Y112" s="69">
        <f t="shared" si="136"/>
        <v>23.300999999999998</v>
      </c>
      <c r="Z112" s="69">
        <f t="shared" si="137"/>
        <v>1.5599999999999999E-2</v>
      </c>
      <c r="AA112" s="69">
        <f t="shared" si="138"/>
        <v>23.285399999999999</v>
      </c>
      <c r="AB112" s="66" t="e">
        <f>VLOOKUP(A112,Enforcements!$C$7:$J$21,8,0)</f>
        <v>#N/A</v>
      </c>
      <c r="AC112" s="62" t="e">
        <f>VLOOKUP(A112,Enforcements!$C$7:$E$21,3,0)</f>
        <v>#N/A</v>
      </c>
      <c r="AD112" s="63" t="str">
        <f t="shared" si="139"/>
        <v>0196-27</v>
      </c>
      <c r="AE112" s="99" t="str">
        <f t="shared" si="113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12" s="96" t="str">
        <f t="shared" si="114"/>
        <v>"C:\Program Files (x86)\AstroGrep\AstroGrep.exe" /spath="%USERPROFILE%\AppData\Local\Temp\OnboardLogs" /stypes="*4030*20160827*" /stext=" 23:.+((SYSTEM_STATE.+slice.+state.+changed )|(ment ac)|(system.+state.+changed )|(\|lc)|(penalty)|(\[timeout)|(PRM\|1\|D)|(kpr)|(kdp))" /e /r /s</v>
      </c>
      <c r="AG112" s="1" t="str">
        <f t="shared" si="140"/>
        <v>EC</v>
      </c>
      <c r="AH112" s="100" t="str">
        <f t="shared" si="142"/>
        <v>"%USERPROFILE%\Documents\GitHub\eaglep3\Utilities\RefineRTDCRunTimes.py" --tripid 196-27 --locoid 4030 --swversion DE.1.0.7.0 --startMP 204:233010 --initTime 2016-08-27T16:19:08 --startdatetime 2016-08-27T16:26:15 --delay 1 --endMP 204:156 --enddatetime 2016-08-27T17:07:13 --enforcementcount 0 &gt;&gt;C:\Users\stu\Documents\GitHub\eaglep3-reporting\EC\2016-08-27-refined-times.txt</v>
      </c>
      <c r="AI112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{"issue":{"subject":"","project_id":79,"tracker_id":40,"status_id":1,"priority_id":2,"assigned_to_id":23,"start_date":"2016-08-27","description":"","custom_fields":[{"id":1,"name":"Subdivision","value":"EC"},{"id":4,"name":"Milepost","value":"23.2854"},{"id":17,"name":"Train ID","value":"196-27"},{"id":16,"name":"Locomotive ID","value":"4030"},{"id":130,"name":"Impact","value":""},{"id":150,"name":"Time of Event (Mountain Time)","value":"17:07:13"},{"id":151,"name":"Denver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597</v>
      </c>
      <c r="B113" s="7">
        <v>4014</v>
      </c>
      <c r="C113" s="24" t="s">
        <v>113</v>
      </c>
      <c r="D113" s="24" t="s">
        <v>335</v>
      </c>
      <c r="E113" s="15">
        <v>42609.653101851851</v>
      </c>
      <c r="F113" s="15">
        <v>42609.656631944446</v>
      </c>
      <c r="G113" s="7">
        <v>1</v>
      </c>
      <c r="H113" s="15" t="s">
        <v>339</v>
      </c>
      <c r="I113" s="15">
        <v>42609.682534722226</v>
      </c>
      <c r="J113" s="7">
        <v>0</v>
      </c>
      <c r="K113" s="132" t="str">
        <f t="shared" si="129"/>
        <v>4013/4014</v>
      </c>
      <c r="L113" s="24" t="str">
        <f>VLOOKUP(A113,'Trips&amp;Operators'!$C$1:$E$10000,3,FALSE)</f>
        <v>STORY</v>
      </c>
      <c r="M113" s="6">
        <f t="shared" si="130"/>
        <v>2.5902777779265307E-2</v>
      </c>
      <c r="N113" s="7">
        <f t="shared" si="144"/>
        <v>37.300000002142042</v>
      </c>
      <c r="O113" s="7"/>
      <c r="P113" s="7"/>
      <c r="Q113" s="25"/>
      <c r="R113" s="25"/>
      <c r="S113" s="37">
        <f t="shared" si="132"/>
        <v>1</v>
      </c>
      <c r="T113" s="52" t="str">
        <f t="shared" si="133"/>
        <v>NorthBound</v>
      </c>
      <c r="U113" s="12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14:40:28-0600',mode:absolute,to:'2016-08-27 17:22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13" s="54" t="str">
        <f t="shared" si="135"/>
        <v>N</v>
      </c>
      <c r="X113" s="120">
        <f t="shared" si="141"/>
        <v>1</v>
      </c>
      <c r="Y113" s="69">
        <f t="shared" si="136"/>
        <v>4.58E-2</v>
      </c>
      <c r="Z113" s="69">
        <f t="shared" si="137"/>
        <v>23.3309</v>
      </c>
      <c r="AA113" s="69">
        <f t="shared" si="138"/>
        <v>23.2851</v>
      </c>
      <c r="AB113" s="66" t="e">
        <f>VLOOKUP(A113,Enforcements!$C$7:$J$21,8,0)</f>
        <v>#N/A</v>
      </c>
      <c r="AC113" s="62" t="e">
        <f>VLOOKUP(A113,Enforcements!$C$7:$E$21,3,0)</f>
        <v>#N/A</v>
      </c>
      <c r="AD113" s="63" t="str">
        <f t="shared" si="139"/>
        <v>0197-27</v>
      </c>
      <c r="AE113" s="99" t="str">
        <f t="shared" si="113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113" s="96" t="str">
        <f t="shared" si="114"/>
        <v>"C:\Program Files (x86)\AstroGrep\AstroGrep.exe" /spath="%USERPROFILE%\AppData\Local\Temp\OnboardLogs" /stypes="*4014*20160827*" /stext=" 22:.+((SYSTEM_STATE.+slice.+state.+changed )|(ment ac)|(system.+state.+changed )|(\|lc)|(penalty)|(\[timeout)|(PRM\|1\|D)|(kpr)|(kdp))" /e /r /s</v>
      </c>
      <c r="AG113" s="1" t="str">
        <f t="shared" si="140"/>
        <v>EC</v>
      </c>
      <c r="AH113" s="100" t="str">
        <f t="shared" si="142"/>
        <v>"%USERPROFILE%\Documents\GitHub\eaglep3\Utilities\RefineRTDCRunTimes.py" --tripid 197-27 --locoid 4014 --swversion DE.1.0.7.0 --startMP 204:458 --initTime 2016-08-27T15:40:28 --startdatetime 2016-08-27T15:45:33 --delay 1 --endMP 204:233309 --enddatetime 2016-08-27T16:22:51 --enforcementcount 0 &gt;&gt;C:\Users\stu\Documents\GitHub\eaglep3-reporting\EC\2016-08-27-refined-times.txt</v>
      </c>
      <c r="AI113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{"issue":{"subject":"","project_id":79,"tracker_id":40,"status_id":1,"priority_id":2,"assigned_to_id":23,"start_date":"2016-08-27","description":"","custom_fields":[{"id":1,"name":"Subdivision","value":"EC"},{"id":4,"name":"Milepost","value":"23.2851"},{"id":17,"name":"Train ID","value":"197-27"},{"id":16,"name":"Locomotive ID","value":"4014"},{"id":130,"name":"Impact","value":""},{"id":150,"name":"Time of Event (Mountain Time)","value":"16:22:51"},{"id":151,"name":"Denver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x14ac:dyDescent="0.25">
      <c r="A114" s="39" t="s">
        <v>598</v>
      </c>
      <c r="B114" s="7">
        <v>4013</v>
      </c>
      <c r="C114" s="24" t="s">
        <v>113</v>
      </c>
      <c r="D114" s="24" t="s">
        <v>261</v>
      </c>
      <c r="E114" s="15">
        <v>42609.688379629632</v>
      </c>
      <c r="F114" s="15">
        <v>42609.695381944446</v>
      </c>
      <c r="G114" s="7">
        <v>1</v>
      </c>
      <c r="H114" s="15" t="s">
        <v>348</v>
      </c>
      <c r="I114" s="15">
        <v>42609.723287037035</v>
      </c>
      <c r="J114" s="7">
        <v>0</v>
      </c>
      <c r="K114" s="132" t="str">
        <f t="shared" si="129"/>
        <v>4013/4014</v>
      </c>
      <c r="L114" s="24" t="str">
        <f>VLOOKUP(A114,'Trips&amp;Operators'!$C$1:$E$10000,3,FALSE)</f>
        <v>STORY</v>
      </c>
      <c r="M114" s="6">
        <f t="shared" si="130"/>
        <v>2.7905092589207925E-2</v>
      </c>
      <c r="N114" s="7">
        <f t="shared" si="144"/>
        <v>40.183333328459412</v>
      </c>
      <c r="O114" s="7"/>
      <c r="P114" s="7"/>
      <c r="Q114" s="25"/>
      <c r="R114" s="25"/>
      <c r="S114" s="37">
        <f t="shared" si="132"/>
        <v>1</v>
      </c>
      <c r="T114" s="52" t="str">
        <f t="shared" si="133"/>
        <v>Southbound</v>
      </c>
      <c r="U114" s="12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15:31:16-0600',mode:absolute,to:'2016-08-27 18:21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14" s="54" t="str">
        <f t="shared" si="135"/>
        <v>N</v>
      </c>
      <c r="X114" s="120">
        <f t="shared" si="141"/>
        <v>1</v>
      </c>
      <c r="Y114" s="69">
        <f t="shared" si="136"/>
        <v>23.297699999999999</v>
      </c>
      <c r="Z114" s="69">
        <f t="shared" si="137"/>
        <v>1.7399999999999999E-2</v>
      </c>
      <c r="AA114" s="69">
        <f t="shared" si="138"/>
        <v>23.2803</v>
      </c>
      <c r="AB114" s="66" t="e">
        <f>VLOOKUP(A114,Enforcements!$C$7:$J$21,8,0)</f>
        <v>#N/A</v>
      </c>
      <c r="AC114" s="62" t="e">
        <f>VLOOKUP(A114,Enforcements!$C$7:$E$21,3,0)</f>
        <v>#N/A</v>
      </c>
      <c r="AD114" s="63" t="str">
        <f t="shared" si="139"/>
        <v>0198-27</v>
      </c>
      <c r="AE114" s="99" t="str">
        <f t="shared" si="113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114" s="96" t="str">
        <f t="shared" si="114"/>
        <v>"C:\Program Files (x86)\AstroGrep\AstroGrep.exe" /spath="%USERPROFILE%\AppData\Local\Temp\OnboardLogs" /stypes="*4013*20160827*" /stext=" 23:.+((SYSTEM_STATE.+slice.+state.+changed )|(ment ac)|(system.+state.+changed )|(\|lc)|(penalty)|(\[timeout)|(PRM\|1\|D)|(kpr)|(kdp))" /e /r /s</v>
      </c>
      <c r="AG114" s="1" t="str">
        <f t="shared" si="140"/>
        <v>EC</v>
      </c>
      <c r="AH114" s="100" t="str">
        <f t="shared" si="142"/>
        <v>"%USERPROFILE%\Documents\GitHub\eaglep3\Utilities\RefineRTDCRunTimes.py" --tripid 198-27 --locoid 4013 --swversion DE.1.0.7.0 --startMP 204:232977 --initTime 2016-08-27T16:31:16 --startdatetime 2016-08-27T16:41:21 --delay 1 --endMP 204:174 --enddatetime 2016-08-27T17:21:32 --enforcementcount 0 &gt;&gt;C:\Users\stu\Documents\GitHub\eaglep3-reporting\EC\2016-08-27-refined-times.txt</v>
      </c>
      <c r="AI114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{"issue":{"subject":"","project_id":79,"tracker_id":40,"status_id":1,"priority_id":2,"assigned_to_id":23,"start_date":"2016-08-27","description":"","custom_fields":[{"id":1,"name":"Subdivision","value":"EC"},{"id":4,"name":"Milepost","value":"23.2803"},{"id":17,"name":"Train ID","value":"198-27"},{"id":16,"name":"Locomotive ID","value":"4013"},{"id":130,"name":"Impact","value":""},{"id":150,"name":"Time of Event (Mountain Time)","value":"17:21:32"},{"id":151,"name":"Denver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x14ac:dyDescent="0.25">
      <c r="A115" s="39" t="s">
        <v>599</v>
      </c>
      <c r="B115" s="7">
        <v>4025</v>
      </c>
      <c r="C115" s="24" t="s">
        <v>113</v>
      </c>
      <c r="D115" s="24" t="s">
        <v>600</v>
      </c>
      <c r="E115" s="15">
        <v>42609.662939814814</v>
      </c>
      <c r="F115" s="15">
        <v>42609.667210648149</v>
      </c>
      <c r="G115" s="7">
        <v>1</v>
      </c>
      <c r="H115" s="15" t="s">
        <v>190</v>
      </c>
      <c r="I115" s="15">
        <v>42609.692858796298</v>
      </c>
      <c r="J115" s="7">
        <v>0</v>
      </c>
      <c r="K115" s="132" t="str">
        <f t="shared" si="129"/>
        <v>4025/4026</v>
      </c>
      <c r="L115" s="24" t="str">
        <f>VLOOKUP(A115,'Trips&amp;Operators'!$C$1:$E$10000,3,FALSE)</f>
        <v>WEBSTER</v>
      </c>
      <c r="M115" s="6">
        <f t="shared" si="130"/>
        <v>2.5648148148320615E-2</v>
      </c>
      <c r="N115" s="7">
        <f t="shared" si="144"/>
        <v>36.933333333581686</v>
      </c>
      <c r="O115" s="7"/>
      <c r="P115" s="7"/>
      <c r="Q115" s="25"/>
      <c r="R115" s="25"/>
      <c r="S115" s="37">
        <f t="shared" si="132"/>
        <v>1</v>
      </c>
      <c r="T115" s="52" t="str">
        <f t="shared" si="133"/>
        <v>NorthBound</v>
      </c>
      <c r="U115" s="12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14:54:38-0600',mode:absolute,to:'2016-08-27 17:37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15" s="54" t="str">
        <f t="shared" si="135"/>
        <v>N</v>
      </c>
      <c r="X115" s="120">
        <f t="shared" si="141"/>
        <v>1</v>
      </c>
      <c r="Y115" s="69">
        <f t="shared" si="136"/>
        <v>4.2000000000000003E-2</v>
      </c>
      <c r="Z115" s="69">
        <f t="shared" si="137"/>
        <v>23.329799999999999</v>
      </c>
      <c r="AA115" s="69">
        <f t="shared" si="138"/>
        <v>23.287799999999997</v>
      </c>
      <c r="AB115" s="66" t="e">
        <f>VLOOKUP(A115,Enforcements!$C$7:$J$21,8,0)</f>
        <v>#N/A</v>
      </c>
      <c r="AC115" s="62" t="e">
        <f>VLOOKUP(A115,Enforcements!$C$7:$E$21,3,0)</f>
        <v>#N/A</v>
      </c>
      <c r="AD115" s="63" t="str">
        <f t="shared" si="139"/>
        <v>0199-27</v>
      </c>
      <c r="AE115" s="99" t="str">
        <f t="shared" si="113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15" s="96" t="str">
        <f t="shared" si="114"/>
        <v>"C:\Program Files (x86)\AstroGrep\AstroGrep.exe" /spath="%USERPROFILE%\AppData\Local\Temp\OnboardLogs" /stypes="*4025*20160827*" /stext=" 22:.+((SYSTEM_STATE.+slice.+state.+changed )|(ment ac)|(system.+state.+changed )|(\|lc)|(penalty)|(\[timeout)|(PRM\|1\|D)|(kpr)|(kdp))" /e /r /s</v>
      </c>
      <c r="AG115" s="1" t="str">
        <f t="shared" si="140"/>
        <v>EC</v>
      </c>
      <c r="AH115" s="100" t="str">
        <f t="shared" si="142"/>
        <v>"%USERPROFILE%\Documents\GitHub\eaglep3\Utilities\RefineRTDCRunTimes.py" --tripid 199-27 --locoid 4025 --swversion DE.1.0.7.0 --startMP 204:420 --initTime 2016-08-27T15:54:38 --startdatetime 2016-08-27T16:00:47 --delay 1 --endMP 204:233298 --enddatetime 2016-08-27T16:37:43 --enforcementcount 0 &gt;&gt;C:\Users\stu\Documents\GitHub\eaglep3-reporting\EC\2016-08-27-refined-times.txt</v>
      </c>
      <c r="AI115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{"issue":{"subject":"","project_id":79,"tracker_id":40,"status_id":1,"priority_id":2,"assigned_to_id":23,"start_date":"2016-08-27","description":"","custom_fields":[{"id":1,"name":"Subdivision","value":"EC"},{"id":4,"name":"Milepost","value":"23.2878"},{"id":17,"name":"Train ID","value":"199-27"},{"id":16,"name":"Locomotive ID","value":"4025"},{"id":130,"name":"Impact","value":""},{"id":150,"name":"Time of Event (Mountain Time)","value":"16:37:43"},{"id":151,"name":"Denver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601</v>
      </c>
      <c r="B116" s="7">
        <v>4026</v>
      </c>
      <c r="C116" s="24" t="s">
        <v>113</v>
      </c>
      <c r="D116" s="24" t="s">
        <v>273</v>
      </c>
      <c r="E116" s="15">
        <v>42609.702743055554</v>
      </c>
      <c r="F116" s="15">
        <v>42609.705879629626</v>
      </c>
      <c r="G116" s="7">
        <v>1</v>
      </c>
      <c r="H116" s="15" t="s">
        <v>211</v>
      </c>
      <c r="I116" s="15">
        <v>42609.733784722222</v>
      </c>
      <c r="J116" s="7">
        <v>0</v>
      </c>
      <c r="K116" s="132" t="str">
        <f t="shared" si="129"/>
        <v>4025/4026</v>
      </c>
      <c r="L116" s="24" t="str">
        <f>VLOOKUP(A116,'Trips&amp;Operators'!$C$1:$E$10000,3,FALSE)</f>
        <v>WEBSTER</v>
      </c>
      <c r="M116" s="6">
        <f t="shared" si="130"/>
        <v>2.7905092596483883E-2</v>
      </c>
      <c r="N116" s="7">
        <f t="shared" si="144"/>
        <v>40.183333338936791</v>
      </c>
      <c r="O116" s="7"/>
      <c r="P116" s="7"/>
      <c r="Q116" s="25"/>
      <c r="R116" s="25"/>
      <c r="S116" s="37">
        <f t="shared" si="132"/>
        <v>1</v>
      </c>
      <c r="T116" s="52" t="str">
        <f t="shared" si="133"/>
        <v>Southbound</v>
      </c>
      <c r="U116" s="12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6" t="str">
        <f t="shared" si="134"/>
        <v>https://search-rtdc-monitor-bjffxe2xuh6vdkpspy63sjmuny.us-east-1.es.amazonaws.com/_plugin/kibana/#/discover/Steve-Slow-Train-Analysis-(2080s-and-2083s)?_g=(refreshInterval:(display:Off,section:0,value:0),time:(from:'2016-08-27 15:51:57-0600',mode:absolute,to:'2016-08-27 18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16" s="54" t="str">
        <f t="shared" si="135"/>
        <v>N</v>
      </c>
      <c r="X116" s="120">
        <f t="shared" si="141"/>
        <v>1</v>
      </c>
      <c r="Y116" s="69">
        <f t="shared" si="136"/>
        <v>23.299299999999999</v>
      </c>
      <c r="Z116" s="69">
        <f t="shared" si="137"/>
        <v>1.34E-2</v>
      </c>
      <c r="AA116" s="69">
        <f t="shared" si="138"/>
        <v>23.285899999999998</v>
      </c>
      <c r="AB116" s="66" t="e">
        <f>VLOOKUP(A116,Enforcements!$C$7:$J$21,8,0)</f>
        <v>#N/A</v>
      </c>
      <c r="AC116" s="62" t="e">
        <f>VLOOKUP(A116,Enforcements!$C$7:$E$21,3,0)</f>
        <v>#N/A</v>
      </c>
      <c r="AD116" s="63" t="str">
        <f t="shared" si="139"/>
        <v>0200-27</v>
      </c>
      <c r="AE116" s="99" t="str">
        <f t="shared" si="113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16" s="96" t="str">
        <f t="shared" si="114"/>
        <v>"C:\Program Files (x86)\AstroGrep\AstroGrep.exe" /spath="%USERPROFILE%\AppData\Local\Temp\OnboardLogs" /stypes="*4026*20160827*" /stext=" 23:.+((SYSTEM_STATE.+slice.+state.+changed )|(ment ac)|(system.+state.+changed )|(\|lc)|(penalty)|(\[timeout)|(PRM\|1\|D)|(kpr)|(kdp))" /e /r /s</v>
      </c>
      <c r="AG116" s="1" t="str">
        <f t="shared" si="140"/>
        <v>EC</v>
      </c>
      <c r="AH116" s="100" t="str">
        <f t="shared" si="142"/>
        <v>"%USERPROFILE%\Documents\GitHub\eaglep3\Utilities\RefineRTDCRunTimes.py" --tripid 200-27 --locoid 4026 --swversion DE.1.0.7.0 --startMP 204:232993 --initTime 2016-08-27T16:51:57 --startdatetime 2016-08-27T16:56:28 --delay 1 --endMP 204:134 --enddatetime 2016-08-27T17:36:39 --enforcementcount 0 &gt;&gt;C:\Users\stu\Documents\GitHub\eaglep3-reporting\EC\2016-08-27-refined-times.txt</v>
      </c>
      <c r="AI116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{"issue":{"subject":"","project_id":79,"tracker_id":40,"status_id":1,"priority_id":2,"assigned_to_id":23,"start_date":"2016-08-27","description":"","custom_fields":[{"id":1,"name":"Subdivision","value":"EC"},{"id":4,"name":"Milepost","value":"23.2859"},{"id":17,"name":"Train ID","value":"200-27"},{"id":16,"name":"Locomotive ID","value":"4026"},{"id":130,"name":"Impact","value":""},{"id":150,"name":"Time of Event (Mountain Time)","value":"17:36:39"},{"id":151,"name":"Denver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x14ac:dyDescent="0.25">
      <c r="A117" s="39" t="s">
        <v>602</v>
      </c>
      <c r="B117" s="7">
        <v>4009</v>
      </c>
      <c r="C117" s="24" t="s">
        <v>113</v>
      </c>
      <c r="D117" s="24" t="s">
        <v>603</v>
      </c>
      <c r="E117" s="15">
        <v>42609.674837962964</v>
      </c>
      <c r="F117" s="15">
        <v>42609.677314814813</v>
      </c>
      <c r="G117" s="7">
        <v>1</v>
      </c>
      <c r="H117" s="15" t="s">
        <v>604</v>
      </c>
      <c r="I117" s="15">
        <v>42609.702546296299</v>
      </c>
      <c r="J117" s="7">
        <v>0</v>
      </c>
      <c r="K117" s="132" t="str">
        <f t="shared" ref="K117:K148" si="145">IF(ISEVEN(B117),(B117-1)&amp;"/"&amp;B117,B117&amp;"/"&amp;(B117+1))</f>
        <v>4009/4010</v>
      </c>
      <c r="L117" s="24" t="str">
        <f>VLOOKUP(A117,'Trips&amp;Operators'!$C$1:$E$10000,3,FALSE)</f>
        <v>STEWART</v>
      </c>
      <c r="M117" s="6">
        <f t="shared" ref="M117:M148" si="146">I117-F117</f>
        <v>2.5231481486116536E-2</v>
      </c>
      <c r="N117" s="7">
        <f t="shared" si="144"/>
        <v>36.333333340007812</v>
      </c>
      <c r="O117" s="7"/>
      <c r="P117" s="7"/>
      <c r="Q117" s="25"/>
      <c r="R117" s="25"/>
      <c r="S117" s="37">
        <f t="shared" ref="S117:S148" si="147">SUM(U117:U117)/IF(AG117="EC",12,1)</f>
        <v>1</v>
      </c>
      <c r="T117" s="52" t="str">
        <f t="shared" ref="T117:T148" si="148">IF(ISEVEN(LEFT(AD117,4)),"Southbound","NorthBound")</f>
        <v>NorthBound</v>
      </c>
      <c r="U117" s="12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6" t="str">
        <f t="shared" ref="V117:V148" si="149"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https://search-rtdc-monitor-bjffxe2xuh6vdkpspy63sjmuny.us-east-1.es.amazonaws.com/_plugin/kibana/#/discover/Steve-Slow-Train-Analysis-(2080s-and-2083s)?_g=(refreshInterval:(display:Off,section:0,value:0),time:(from:'2016-08-27 15:11:46-0600',mode:absolute,to:'2016-08-27 17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17" s="54" t="str">
        <f t="shared" ref="W117:W148" si="150">IF(AA117&lt;IF(AG117="EC",23,5.65),"Y","N")</f>
        <v>N</v>
      </c>
      <c r="X117" s="120">
        <f t="shared" si="141"/>
        <v>1</v>
      </c>
      <c r="Y117" s="69">
        <f t="shared" ref="Y117:Y148" si="151">RIGHT(D117,LEN(D117)-4)/10000</f>
        <v>4.7699999999999999E-2</v>
      </c>
      <c r="Z117" s="69">
        <f t="shared" ref="Z117:Z148" si="152">RIGHT(H117,LEN(H117)-4)/10000</f>
        <v>23.330300000000001</v>
      </c>
      <c r="AA117" s="69">
        <f t="shared" ref="AA117:AA148" si="153">ABS(Z117-Y117)</f>
        <v>23.282600000000002</v>
      </c>
      <c r="AB117" s="66" t="e">
        <f>VLOOKUP(A117,Enforcements!$C$7:$J$21,8,0)</f>
        <v>#N/A</v>
      </c>
      <c r="AC117" s="62" t="e">
        <f>VLOOKUP(A117,Enforcements!$C$7:$E$21,3,0)</f>
        <v>#N/A</v>
      </c>
      <c r="AD117" s="63" t="str">
        <f t="shared" ref="AD117:AD148" si="154">IF(LEN(A117)=6,"0"&amp;A117,A117)</f>
        <v>0201-27</v>
      </c>
      <c r="AE117" s="99" t="str">
        <f t="shared" si="113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117" s="96" t="str">
        <f t="shared" si="114"/>
        <v>"C:\Program Files (x86)\AstroGrep\AstroGrep.exe" /spath="%USERPROFILE%\AppData\Local\Temp\OnboardLogs" /stypes="*4009*20160827*" /stext=" 22:.+((SYSTEM_STATE.+slice.+state.+changed )|(ment ac)|(system.+state.+changed )|(\|lc)|(penalty)|(\[timeout)|(PRM\|1\|D)|(kpr)|(kdp))" /e /r /s</v>
      </c>
      <c r="AG117" s="1" t="str">
        <f t="shared" ref="AG117:AG148" si="155">IFERROR(IF(VALUE(LEFT(AD117,2))&lt;=2,"EC",IF(OR(VALUE(LEFT(AD117,2))=8,VALUE(LEFT(AD117,2))=18),"NW","Other")),"Other")</f>
        <v>EC</v>
      </c>
      <c r="AH117" s="100" t="str">
        <f t="shared" si="142"/>
        <v>"%USERPROFILE%\Documents\GitHub\eaglep3\Utilities\RefineRTDCRunTimes.py" --tripid 201-27 --locoid 4009 --swversion DE.1.0.7.0 --startMP 204:477 --initTime 2016-08-27T16:11:46 --startdatetime 2016-08-27T16:15:20 --delay 1 --endMP 204:233303 --enddatetime 2016-08-27T16:51:40 --enforcementcount 0 &gt;&gt;C:\Users\stu\Documents\GitHub\eaglep3-reporting\EC\2016-08-27-refined-times.txt</v>
      </c>
      <c r="AI117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{"issue":{"subject":"","project_id":79,"tracker_id":40,"status_id":1,"priority_id":2,"assigned_to_id":23,"start_date":"2016-08-27","description":"","custom_fields":[{"id":1,"name":"Subdivision","value":"EC"},{"id":4,"name":"Milepost","value":"23.2826"},{"id":17,"name":"Train ID","value":"201-27"},{"id":16,"name":"Locomotive ID","value":"4009"},{"id":130,"name":"Impact","value":""},{"id":150,"name":"Time of Event (Mountain Time)","value":"16:51:40"},{"id":151,"name":"Denver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605</v>
      </c>
      <c r="B118" s="7">
        <v>4010</v>
      </c>
      <c r="C118" s="24" t="s">
        <v>113</v>
      </c>
      <c r="D118" s="24" t="s">
        <v>333</v>
      </c>
      <c r="E118" s="15">
        <v>42609.713356481479</v>
      </c>
      <c r="F118" s="15">
        <v>42609.716226851851</v>
      </c>
      <c r="G118" s="7">
        <v>1</v>
      </c>
      <c r="H118" s="15" t="s">
        <v>203</v>
      </c>
      <c r="I118" s="15">
        <v>42609.742824074077</v>
      </c>
      <c r="J118" s="7">
        <v>0</v>
      </c>
      <c r="K118" s="132" t="str">
        <f t="shared" si="145"/>
        <v>4009/4010</v>
      </c>
      <c r="L118" s="24" t="str">
        <f>VLOOKUP(A118,'Trips&amp;Operators'!$C$1:$E$10000,3,FALSE)</f>
        <v>STEWART</v>
      </c>
      <c r="M118" s="6">
        <f t="shared" si="146"/>
        <v>2.6597222225973383E-2</v>
      </c>
      <c r="N118" s="7">
        <f t="shared" si="144"/>
        <v>38.300000005401671</v>
      </c>
      <c r="O118" s="7"/>
      <c r="P118" s="7"/>
      <c r="Q118" s="25"/>
      <c r="R118" s="25"/>
      <c r="S118" s="37">
        <f t="shared" si="147"/>
        <v>1</v>
      </c>
      <c r="T118" s="52" t="str">
        <f t="shared" si="148"/>
        <v>Southbound</v>
      </c>
      <c r="U118" s="12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16:07:14-0600',mode:absolute,to:'2016-08-27 18:49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18" s="54" t="str">
        <f t="shared" si="150"/>
        <v>N</v>
      </c>
      <c r="X118" s="120">
        <f t="shared" ref="X118:X152" si="156">VALUE(LEFT(AD118,4))-VALUE(LEFT(AD117,4))</f>
        <v>1</v>
      </c>
      <c r="Y118" s="69">
        <f t="shared" si="151"/>
        <v>23.2971</v>
      </c>
      <c r="Z118" s="69">
        <f t="shared" si="152"/>
        <v>1.6299999999999999E-2</v>
      </c>
      <c r="AA118" s="69">
        <f t="shared" si="153"/>
        <v>23.280799999999999</v>
      </c>
      <c r="AB118" s="66" t="e">
        <f>VLOOKUP(A118,Enforcements!$C$7:$J$21,8,0)</f>
        <v>#N/A</v>
      </c>
      <c r="AC118" s="62" t="e">
        <f>VLOOKUP(A118,Enforcements!$C$7:$E$21,3,0)</f>
        <v>#N/A</v>
      </c>
      <c r="AD118" s="63" t="str">
        <f t="shared" si="154"/>
        <v>0202-27</v>
      </c>
      <c r="AE118" s="99" t="str">
        <f t="shared" si="113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118" s="96" t="str">
        <f t="shared" si="114"/>
        <v>"C:\Program Files (x86)\AstroGrep\AstroGrep.exe" /spath="%USERPROFILE%\AppData\Local\Temp\OnboardLogs" /stypes="*4010*20160827*" /stext=" 23:.+((SYSTEM_STATE.+slice.+state.+changed )|(ment ac)|(system.+state.+changed )|(\|lc)|(penalty)|(\[timeout)|(PRM\|1\|D)|(kpr)|(kdp))" /e /r /s</v>
      </c>
      <c r="AG118" s="1" t="str">
        <f t="shared" si="155"/>
        <v>EC</v>
      </c>
      <c r="AH118" s="100" t="str">
        <f t="shared" si="142"/>
        <v>"%USERPROFILE%\Documents\GitHub\eaglep3\Utilities\RefineRTDCRunTimes.py" --tripid 202-27 --locoid 4010 --swversion DE.1.0.7.0 --startMP 204:232971 --initTime 2016-08-27T17:07:14 --startdatetime 2016-08-27T17:11:22 --delay 1 --endMP 204:163 --enddatetime 2016-08-27T17:49:40 --enforcementcount 0 &gt;&gt;C:\Users\stu\Documents\GitHub\eaglep3-reporting\EC\2016-08-27-refined-times.txt</v>
      </c>
      <c r="AI118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{"issue":{"subject":"","project_id":79,"tracker_id":40,"status_id":1,"priority_id":2,"assigned_to_id":23,"start_date":"2016-08-27","description":"","custom_fields":[{"id":1,"name":"Subdivision","value":"EC"},{"id":4,"name":"Milepost","value":"23.2808"},{"id":17,"name":"Train ID","value":"202-27"},{"id":16,"name":"Locomotive ID","value":"4010"},{"id":130,"name":"Impact","value":""},{"id":150,"name":"Time of Event (Mountain Time)","value":"17:49:40"},{"id":151,"name":"Denver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x14ac:dyDescent="0.25">
      <c r="A119" s="39" t="s">
        <v>606</v>
      </c>
      <c r="B119" s="7">
        <v>4020</v>
      </c>
      <c r="C119" s="24" t="s">
        <v>113</v>
      </c>
      <c r="D119" s="24" t="s">
        <v>135</v>
      </c>
      <c r="E119" s="15">
        <v>42609.683391203704</v>
      </c>
      <c r="F119" s="15">
        <v>42609.687731481485</v>
      </c>
      <c r="G119" s="7">
        <v>1</v>
      </c>
      <c r="H119" s="15" t="s">
        <v>190</v>
      </c>
      <c r="I119" s="15">
        <v>42609.713553240741</v>
      </c>
      <c r="J119" s="7">
        <v>0</v>
      </c>
      <c r="K119" s="132" t="str">
        <f t="shared" si="145"/>
        <v>4019/4020</v>
      </c>
      <c r="L119" s="24" t="str">
        <f>VLOOKUP(A119,'Trips&amp;Operators'!$C$1:$E$10000,3,FALSE)</f>
        <v>BARTLETT</v>
      </c>
      <c r="M119" s="6">
        <f t="shared" si="146"/>
        <v>2.5821759256359655E-2</v>
      </c>
      <c r="N119" s="7">
        <f t="shared" si="144"/>
        <v>37.183333329157904</v>
      </c>
      <c r="O119" s="7"/>
      <c r="P119" s="7"/>
      <c r="Q119" s="25"/>
      <c r="R119" s="25"/>
      <c r="S119" s="37">
        <f t="shared" si="147"/>
        <v>1</v>
      </c>
      <c r="T119" s="52" t="str">
        <f t="shared" si="148"/>
        <v>NorthBound</v>
      </c>
      <c r="U119" s="12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15:24:05-0600',mode:absolute,to:'2016-08-27 18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19" s="54" t="str">
        <f t="shared" si="150"/>
        <v>N</v>
      </c>
      <c r="X119" s="120">
        <f t="shared" si="156"/>
        <v>1</v>
      </c>
      <c r="Y119" s="69">
        <f t="shared" si="151"/>
        <v>4.4900000000000002E-2</v>
      </c>
      <c r="Z119" s="69">
        <f t="shared" si="152"/>
        <v>23.329799999999999</v>
      </c>
      <c r="AA119" s="69">
        <f t="shared" si="153"/>
        <v>23.2849</v>
      </c>
      <c r="AB119" s="66" t="e">
        <f>VLOOKUP(A119,Enforcements!$C$7:$J$21,8,0)</f>
        <v>#N/A</v>
      </c>
      <c r="AC119" s="62" t="e">
        <f>VLOOKUP(A119,Enforcements!$C$7:$E$21,3,0)</f>
        <v>#N/A</v>
      </c>
      <c r="AD119" s="63" t="str">
        <f t="shared" si="154"/>
        <v>0203-27</v>
      </c>
      <c r="AE119" s="99" t="str">
        <f t="shared" si="113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19" s="96" t="str">
        <f t="shared" si="114"/>
        <v>"C:\Program Files (x86)\AstroGrep\AstroGrep.exe" /spath="%USERPROFILE%\AppData\Local\Temp\OnboardLogs" /stypes="*4020*20160827*" /stext=" 23:.+((SYSTEM_STATE.+slice.+state.+changed )|(ment ac)|(system.+state.+changed )|(\|lc)|(penalty)|(\[timeout)|(PRM\|1\|D)|(kpr)|(kdp))" /e /r /s</v>
      </c>
      <c r="AG119" s="1" t="str">
        <f t="shared" si="155"/>
        <v>EC</v>
      </c>
      <c r="AH119" s="100" t="str">
        <f t="shared" si="142"/>
        <v>"%USERPROFILE%\Documents\GitHub\eaglep3\Utilities\RefineRTDCRunTimes.py" --tripid 203-27 --locoid 4020 --swversion DE.1.0.7.0 --startMP 204:449 --initTime 2016-08-27T16:24:05 --startdatetime 2016-08-27T16:30:20 --delay 1 --endMP 204:233298 --enddatetime 2016-08-27T17:07:31 --enforcementcount 0 &gt;&gt;C:\Users\stu\Documents\GitHub\eaglep3-reporting\EC\2016-08-27-refined-times.txt</v>
      </c>
      <c r="AI119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{"issue":{"subject":"","project_id":79,"tracker_id":40,"status_id":1,"priority_id":2,"assigned_to_id":23,"start_date":"2016-08-27","description":"","custom_fields":[{"id":1,"name":"Subdivision","value":"EC"},{"id":4,"name":"Milepost","value":"23.2849"},{"id":17,"name":"Train ID","value":"203-27"},{"id":16,"name":"Locomotive ID","value":"4020"},{"id":130,"name":"Impact","value":""},{"id":150,"name":"Time of Event (Mountain Time)","value":"17:07:31"},{"id":151,"name":"Denver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607</v>
      </c>
      <c r="B120" s="7">
        <v>4019</v>
      </c>
      <c r="C120" s="24" t="s">
        <v>113</v>
      </c>
      <c r="D120" s="24" t="s">
        <v>337</v>
      </c>
      <c r="E120" s="15">
        <v>42609.714999999997</v>
      </c>
      <c r="F120" s="15">
        <v>42609.726724537039</v>
      </c>
      <c r="G120" s="7">
        <v>1</v>
      </c>
      <c r="H120" s="15" t="s">
        <v>152</v>
      </c>
      <c r="I120" s="15">
        <v>42609.754386574074</v>
      </c>
      <c r="J120" s="7">
        <v>0</v>
      </c>
      <c r="K120" s="132" t="str">
        <f t="shared" si="145"/>
        <v>4019/4020</v>
      </c>
      <c r="L120" s="24" t="str">
        <f>VLOOKUP(A120,'Trips&amp;Operators'!$C$1:$E$10000,3,FALSE)</f>
        <v>BARTLETT</v>
      </c>
      <c r="M120" s="6">
        <f t="shared" si="146"/>
        <v>2.7662037035042886E-2</v>
      </c>
      <c r="N120" s="7">
        <f t="shared" si="144"/>
        <v>39.833333330461755</v>
      </c>
      <c r="O120" s="7"/>
      <c r="P120" s="7"/>
      <c r="Q120" s="25"/>
      <c r="R120" s="25"/>
      <c r="S120" s="37">
        <f t="shared" si="147"/>
        <v>1</v>
      </c>
      <c r="T120" s="52" t="str">
        <f t="shared" si="148"/>
        <v>Southbound</v>
      </c>
      <c r="U120" s="12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16:09:36-0600',mode:absolute,to:'2016-08-27 19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20" s="54" t="str">
        <f t="shared" si="150"/>
        <v>N</v>
      </c>
      <c r="X120" s="120">
        <f t="shared" si="156"/>
        <v>1</v>
      </c>
      <c r="Y120" s="69">
        <f t="shared" si="151"/>
        <v>23.297000000000001</v>
      </c>
      <c r="Z120" s="69">
        <f t="shared" si="152"/>
        <v>1.4999999999999999E-2</v>
      </c>
      <c r="AA120" s="69">
        <f t="shared" si="153"/>
        <v>23.282</v>
      </c>
      <c r="AB120" s="66" t="e">
        <f>VLOOKUP(A120,Enforcements!$C$7:$J$21,8,0)</f>
        <v>#N/A</v>
      </c>
      <c r="AC120" s="62" t="e">
        <f>VLOOKUP(A120,Enforcements!$C$7:$E$21,3,0)</f>
        <v>#N/A</v>
      </c>
      <c r="AD120" s="63" t="str">
        <f t="shared" si="154"/>
        <v>0204-27</v>
      </c>
      <c r="AE120" s="99" t="str">
        <f t="shared" si="113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20" s="96" t="str">
        <f t="shared" si="114"/>
        <v>"C:\Program Files (x86)\AstroGrep\AstroGrep.exe" /spath="%USERPROFILE%\AppData\Local\Temp\OnboardLogs" /stypes="*4019*20160828*" /stext=" 00:.+((SYSTEM_STATE.+slice.+state.+changed )|(ment ac)|(system.+state.+changed )|(\|lc)|(penalty)|(\[timeout)|(PRM\|1\|D)|(kpr)|(kdp))" /e /r /s</v>
      </c>
      <c r="AG120" s="1" t="str">
        <f t="shared" si="155"/>
        <v>EC</v>
      </c>
      <c r="AH120" s="100" t="str">
        <f t="shared" si="142"/>
        <v>"%USERPROFILE%\Documents\GitHub\eaglep3\Utilities\RefineRTDCRunTimes.py" --tripid 204-27 --locoid 4019 --swversion DE.1.0.7.0 --startMP 204:232970 --initTime 2016-08-27T17:09:36 --startdatetime 2016-08-27T17:26:29 --delay 1 --endMP 204:150 --enddatetime 2016-08-27T18:06:19 --enforcementcount 0 &gt;&gt;C:\Users\stu\Documents\GitHub\eaglep3-reporting\EC\2016-08-27-refined-times.txt</v>
      </c>
      <c r="AI12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{"issue":{"subject":"","project_id":79,"tracker_id":40,"status_id":1,"priority_id":2,"assigned_to_id":23,"start_date":"2016-08-27","description":"","custom_fields":[{"id":1,"name":"Subdivision","value":"EC"},{"id":4,"name":"Milepost","value":"23.282"},{"id":17,"name":"Train ID","value":"204-27"},{"id":16,"name":"Locomotive ID","value":"4019"},{"id":130,"name":"Impact","value":""},{"id":150,"name":"Time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608</v>
      </c>
      <c r="B121" s="7">
        <v>4031</v>
      </c>
      <c r="C121" s="24" t="s">
        <v>113</v>
      </c>
      <c r="D121" s="24" t="s">
        <v>133</v>
      </c>
      <c r="E121" s="15">
        <v>42609.695231481484</v>
      </c>
      <c r="F121" s="15">
        <v>42609.698125000003</v>
      </c>
      <c r="G121" s="7">
        <v>1</v>
      </c>
      <c r="H121" s="15" t="s">
        <v>609</v>
      </c>
      <c r="I121" s="15">
        <v>42609.723310185182</v>
      </c>
      <c r="J121" s="7">
        <v>0</v>
      </c>
      <c r="K121" s="132" t="str">
        <f t="shared" si="145"/>
        <v>4031/4032</v>
      </c>
      <c r="L121" s="24" t="str">
        <f>VLOOKUP(A121,'Trips&amp;Operators'!$C$1:$E$10000,3,FALSE)</f>
        <v>MOSES</v>
      </c>
      <c r="M121" s="6">
        <f t="shared" si="146"/>
        <v>2.5185185178997926E-2</v>
      </c>
      <c r="N121" s="7">
        <f t="shared" si="144"/>
        <v>36.266666657757014</v>
      </c>
      <c r="O121" s="7"/>
      <c r="P121" s="7"/>
      <c r="Q121" s="25"/>
      <c r="R121" s="25"/>
      <c r="S121" s="37">
        <f t="shared" si="147"/>
        <v>1</v>
      </c>
      <c r="T121" s="52" t="str">
        <f t="shared" si="148"/>
        <v>NorthBound</v>
      </c>
      <c r="U121" s="12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15:41:08-0600',mode:absolute,to:'2016-08-27 18:21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21" s="54" t="str">
        <f t="shared" si="150"/>
        <v>N</v>
      </c>
      <c r="X121" s="120">
        <f t="shared" si="156"/>
        <v>1</v>
      </c>
      <c r="Y121" s="69">
        <f t="shared" si="151"/>
        <v>4.53E-2</v>
      </c>
      <c r="Z121" s="69">
        <f t="shared" si="152"/>
        <v>23.334299999999999</v>
      </c>
      <c r="AA121" s="69">
        <f t="shared" si="153"/>
        <v>23.288999999999998</v>
      </c>
      <c r="AB121" s="66" t="e">
        <f>VLOOKUP(A121,Enforcements!$C$7:$J$21,8,0)</f>
        <v>#N/A</v>
      </c>
      <c r="AC121" s="62" t="e">
        <f>VLOOKUP(A121,Enforcements!$C$7:$E$21,3,0)</f>
        <v>#N/A</v>
      </c>
      <c r="AD121" s="63" t="str">
        <f t="shared" si="154"/>
        <v>0205-27</v>
      </c>
      <c r="AE121" s="99" t="str">
        <f t="shared" si="113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21" s="96" t="str">
        <f t="shared" si="114"/>
        <v>"C:\Program Files (x86)\AstroGrep\AstroGrep.exe" /spath="%USERPROFILE%\AppData\Local\Temp\OnboardLogs" /stypes="*4031*20160827*" /stext=" 23:.+((SYSTEM_STATE.+slice.+state.+changed )|(ment ac)|(system.+state.+changed )|(\|lc)|(penalty)|(\[timeout)|(PRM\|1\|D)|(kpr)|(kdp))" /e /r /s</v>
      </c>
      <c r="AG121" s="1" t="str">
        <f t="shared" si="155"/>
        <v>EC</v>
      </c>
      <c r="AH121" s="100" t="str">
        <f t="shared" si="142"/>
        <v>"%USERPROFILE%\Documents\GitHub\eaglep3\Utilities\RefineRTDCRunTimes.py" --tripid 205-27 --locoid 4031 --swversion DE.1.0.7.0 --startMP 204:453 --initTime 2016-08-27T16:41:08 --startdatetime 2016-08-27T16:45:18 --delay 1 --endMP 204:233343 --enddatetime 2016-08-27T17:21:34 --enforcementcount 0 &gt;&gt;C:\Users\stu\Documents\GitHub\eaglep3-reporting\EC\2016-08-27-refined-times.txt</v>
      </c>
      <c r="AI12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{"issue":{"subject":"","project_id":79,"tracker_id":40,"status_id":1,"priority_id":2,"assigned_to_id":23,"start_date":"2016-08-27","description":"","custom_fields":[{"id":1,"name":"Subdivision","value":"EC"},{"id":4,"name":"Milepost","value":"23.289"},{"id":17,"name":"Train ID","value":"205-27"},{"id":16,"name":"Locomotive ID","value":"4031"},{"id":130,"name":"Impact","value":""},{"id":150,"name":"Time of Event (Mountain Time)","value":"17:21:34"},{"id":151,"name":"Denver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610</v>
      </c>
      <c r="B122" s="7">
        <v>4032</v>
      </c>
      <c r="C122" s="24" t="s">
        <v>113</v>
      </c>
      <c r="D122" s="24" t="s">
        <v>258</v>
      </c>
      <c r="E122" s="15">
        <v>42609.734594907408</v>
      </c>
      <c r="F122" s="15">
        <v>42609.737002314818</v>
      </c>
      <c r="G122" s="7">
        <v>1</v>
      </c>
      <c r="H122" s="15" t="s">
        <v>207</v>
      </c>
      <c r="I122" s="15">
        <v>42609.765567129631</v>
      </c>
      <c r="J122" s="7">
        <v>0</v>
      </c>
      <c r="K122" s="132" t="str">
        <f t="shared" si="145"/>
        <v>4031/4032</v>
      </c>
      <c r="L122" s="24" t="str">
        <f>VLOOKUP(A122,'Trips&amp;Operators'!$C$1:$E$10000,3,FALSE)</f>
        <v>MOSES</v>
      </c>
      <c r="M122" s="6">
        <f t="shared" si="146"/>
        <v>2.8564814812853001E-2</v>
      </c>
      <c r="N122" s="7">
        <f t="shared" si="144"/>
        <v>41.133333330508322</v>
      </c>
      <c r="O122" s="7"/>
      <c r="P122" s="7"/>
      <c r="Q122" s="25"/>
      <c r="R122" s="25"/>
      <c r="S122" s="37">
        <f t="shared" si="147"/>
        <v>1</v>
      </c>
      <c r="T122" s="52" t="str">
        <f t="shared" si="148"/>
        <v>Southbound</v>
      </c>
      <c r="U122" s="12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16:37:49-0600',mode:absolute,to:'2016-08-27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22" s="54" t="str">
        <f t="shared" si="150"/>
        <v>N</v>
      </c>
      <c r="X122" s="120">
        <f t="shared" si="156"/>
        <v>1</v>
      </c>
      <c r="Y122" s="69">
        <f t="shared" si="151"/>
        <v>23.297999999999998</v>
      </c>
      <c r="Z122" s="69">
        <f t="shared" si="152"/>
        <v>1.38E-2</v>
      </c>
      <c r="AA122" s="69">
        <f t="shared" si="153"/>
        <v>23.284199999999998</v>
      </c>
      <c r="AB122" s="66" t="e">
        <f>VLOOKUP(A122,Enforcements!$C$7:$J$21,8,0)</f>
        <v>#N/A</v>
      </c>
      <c r="AC122" s="62" t="e">
        <f>VLOOKUP(A122,Enforcements!$C$7:$E$21,3,0)</f>
        <v>#N/A</v>
      </c>
      <c r="AD122" s="63" t="str">
        <f t="shared" si="154"/>
        <v>0206-27</v>
      </c>
      <c r="AE122" s="99" t="str">
        <f t="shared" si="113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22" s="96" t="str">
        <f t="shared" si="114"/>
        <v>"C:\Program Files (x86)\AstroGrep\AstroGrep.exe" /spath="%USERPROFILE%\AppData\Local\Temp\OnboardLogs" /stypes="*4032*20160828*" /stext=" 00:.+((SYSTEM_STATE.+slice.+state.+changed )|(ment ac)|(system.+state.+changed )|(\|lc)|(penalty)|(\[timeout)|(PRM\|1\|D)|(kpr)|(kdp))" /e /r /s</v>
      </c>
      <c r="AG122" s="1" t="str">
        <f t="shared" si="155"/>
        <v>EC</v>
      </c>
      <c r="AH122" s="100" t="str">
        <f t="shared" si="142"/>
        <v>"%USERPROFILE%\Documents\GitHub\eaglep3\Utilities\RefineRTDCRunTimes.py" --tripid 206-27 --locoid 4032 --swversion DE.1.0.7.0 --startMP 204:232980 --initTime 2016-08-27T17:37:49 --startdatetime 2016-08-27T17:41:17 --delay 1 --endMP 204:138 --enddatetime 2016-08-27T18:22:25 --enforcementcount 0 &gt;&gt;C:\Users\stu\Documents\GitHub\eaglep3-reporting\EC\2016-08-27-refined-times.txt</v>
      </c>
      <c r="AI122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{"issue":{"subject":"","project_id":79,"tracker_id":40,"status_id":1,"priority_id":2,"assigned_to_id":23,"start_date":"2016-08-27","description":"","custom_fields":[{"id":1,"name":"Subdivision","value":"EC"},{"id":4,"name":"Milepost","value":"23.2842"},{"id":17,"name":"Train ID","value":"206-27"},{"id":16,"name":"Locomotive ID","value":"4032"},{"id":130,"name":"Impact","value":""},{"id":150,"name":"Time of Event (Mountain Time)","value":"18:22:25"},{"id":151,"name":"Denver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611</v>
      </c>
      <c r="B123" s="7">
        <v>4042</v>
      </c>
      <c r="C123" s="24" t="s">
        <v>113</v>
      </c>
      <c r="D123" s="24" t="s">
        <v>182</v>
      </c>
      <c r="E123" s="15">
        <v>42609.703449074077</v>
      </c>
      <c r="F123" s="15">
        <v>42609.708518518521</v>
      </c>
      <c r="G123" s="7">
        <v>1</v>
      </c>
      <c r="H123" s="15" t="s">
        <v>349</v>
      </c>
      <c r="I123" s="15">
        <v>42609.7341087963</v>
      </c>
      <c r="J123" s="7">
        <v>0</v>
      </c>
      <c r="K123" s="132" t="str">
        <f t="shared" si="145"/>
        <v>4041/4042</v>
      </c>
      <c r="L123" s="24" t="str">
        <f>VLOOKUP(A123,'Trips&amp;Operators'!$C$1:$E$10000,3,FALSE)</f>
        <v>SHOOK</v>
      </c>
      <c r="M123" s="6">
        <f t="shared" si="146"/>
        <v>2.5590277778974269E-2</v>
      </c>
      <c r="N123" s="7">
        <f t="shared" si="144"/>
        <v>36.850000001722947</v>
      </c>
      <c r="O123" s="7"/>
      <c r="P123" s="7"/>
      <c r="Q123" s="25"/>
      <c r="R123" s="25"/>
      <c r="S123" s="37">
        <f t="shared" si="147"/>
        <v>1</v>
      </c>
      <c r="T123" s="52" t="str">
        <f t="shared" si="148"/>
        <v>NorthBound</v>
      </c>
      <c r="U123" s="12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15:52:58-0600',mode:absolute,to:'2016-08-27 18:37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23" s="54" t="str">
        <f t="shared" si="150"/>
        <v>N</v>
      </c>
      <c r="X123" s="120">
        <f t="shared" si="156"/>
        <v>1</v>
      </c>
      <c r="Y123" s="69">
        <f t="shared" si="151"/>
        <v>4.4400000000000002E-2</v>
      </c>
      <c r="Z123" s="69">
        <f t="shared" si="152"/>
        <v>23.335100000000001</v>
      </c>
      <c r="AA123" s="69">
        <f t="shared" si="153"/>
        <v>23.290700000000001</v>
      </c>
      <c r="AB123" s="66" t="e">
        <f>VLOOKUP(A123,Enforcements!$C$7:$J$21,8,0)</f>
        <v>#N/A</v>
      </c>
      <c r="AC123" s="62" t="e">
        <f>VLOOKUP(A123,Enforcements!$C$7:$E$21,3,0)</f>
        <v>#N/A</v>
      </c>
      <c r="AD123" s="63" t="str">
        <f t="shared" si="154"/>
        <v>0207-27</v>
      </c>
      <c r="AE123" s="99" t="str">
        <f t="shared" si="113"/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AF123" s="96" t="str">
        <f t="shared" si="114"/>
        <v>"C:\Program Files (x86)\AstroGrep\AstroGrep.exe" /spath="%USERPROFILE%\AppData\Local\Temp\OnboardLogs" /stypes="*4042*20160827*" /stext=" 23:.+((SYSTEM_STATE.+slice.+state.+changed )|(ment ac)|(system.+state.+changed )|(\|lc)|(penalty)|(\[timeout)|(PRM\|1\|D)|(kpr)|(kdp))" /e /r /s</v>
      </c>
      <c r="AG123" s="1" t="str">
        <f t="shared" si="155"/>
        <v>EC</v>
      </c>
      <c r="AH123" s="100" t="str">
        <f t="shared" si="142"/>
        <v>"%USERPROFILE%\Documents\GitHub\eaglep3\Utilities\RefineRTDCRunTimes.py" --tripid 207-27 --locoid 4042 --swversion DE.1.0.7.0 --startMP 204:444 --initTime 2016-08-27T16:52:58 --startdatetime 2016-08-27T17:00:16 --delay 1 --endMP 204:233351 --enddatetime 2016-08-27T17:37:07 --enforcementcount 0 &gt;&gt;C:\Users\stu\Documents\GitHub\eaglep3-reporting\EC\2016-08-27-refined-times.txt</v>
      </c>
      <c r="AI123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{"issue":{"subject":"","project_id":79,"tracker_id":40,"status_id":1,"priority_id":2,"assigned_to_id":23,"start_date":"2016-08-27","description":"","custom_fields":[{"id":1,"name":"Subdivision","value":"EC"},{"id":4,"name":"Milepost","value":"23.2907"},{"id":17,"name":"Train ID","value":"207-27"},{"id":16,"name":"Locomotive ID","value":"4042"},{"id":130,"name":"Impact","value":""},{"id":150,"name":"Time of Event (Mountain Time)","value":"17:37:07"},{"id":151,"name":"Denver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612</v>
      </c>
      <c r="B124" s="7">
        <v>4041</v>
      </c>
      <c r="C124" s="24" t="s">
        <v>113</v>
      </c>
      <c r="D124" s="24" t="s">
        <v>613</v>
      </c>
      <c r="E124" s="15">
        <v>42609.740752314814</v>
      </c>
      <c r="F124" s="15">
        <v>42609.747465277775</v>
      </c>
      <c r="G124" s="7">
        <v>1</v>
      </c>
      <c r="H124" s="15" t="s">
        <v>131</v>
      </c>
      <c r="I124" s="15">
        <v>42609.775011574071</v>
      </c>
      <c r="J124" s="7">
        <v>0</v>
      </c>
      <c r="K124" s="132" t="str">
        <f t="shared" si="145"/>
        <v>4041/4042</v>
      </c>
      <c r="L124" s="24" t="str">
        <f>VLOOKUP(A124,'Trips&amp;Operators'!$C$1:$E$10000,3,FALSE)</f>
        <v>SHOOK</v>
      </c>
      <c r="M124" s="6">
        <f t="shared" si="146"/>
        <v>2.7546296296350192E-2</v>
      </c>
      <c r="N124" s="7">
        <f t="shared" si="144"/>
        <v>39.666666666744277</v>
      </c>
      <c r="O124" s="7"/>
      <c r="P124" s="7"/>
      <c r="Q124" s="25"/>
      <c r="R124" s="25"/>
      <c r="S124" s="37">
        <f t="shared" si="147"/>
        <v>1</v>
      </c>
      <c r="T124" s="52" t="str">
        <f t="shared" si="148"/>
        <v>Southbound</v>
      </c>
      <c r="U124" s="12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16:46:41-0600',mode:absolute,to:'2016-08-27 19:36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4041%22')),sort:!(Time,asc))</v>
      </c>
      <c r="W124" s="54" t="str">
        <f t="shared" si="150"/>
        <v>N</v>
      </c>
      <c r="X124" s="120">
        <f t="shared" si="156"/>
        <v>1</v>
      </c>
      <c r="Y124" s="69">
        <f t="shared" si="151"/>
        <v>23.304200000000002</v>
      </c>
      <c r="Z124" s="69">
        <f t="shared" si="152"/>
        <v>1.5800000000000002E-2</v>
      </c>
      <c r="AA124" s="69">
        <f t="shared" si="153"/>
        <v>23.288400000000003</v>
      </c>
      <c r="AB124" s="66" t="e">
        <f>VLOOKUP(A124,Enforcements!$C$7:$J$21,8,0)</f>
        <v>#N/A</v>
      </c>
      <c r="AC124" s="62" t="e">
        <f>VLOOKUP(A124,Enforcements!$C$7:$E$21,3,0)</f>
        <v>#N/A</v>
      </c>
      <c r="AD124" s="63" t="str">
        <f t="shared" si="154"/>
        <v>0208-27</v>
      </c>
      <c r="AE124" s="99" t="str">
        <f t="shared" si="113"/>
        <v>aws s3 cp s3://rtdc.mdm.uploadarchive/RTDC4041/2016-08-27/ "%USERPROFILE%\AppData\Local\Temp\OnboardLogs"\RTDC4041\2016-08-27 --recursive &amp; "%USERPROFILE%\Documents\GitHub\mrs-test-scripts\Headless Mode &amp; Sideloading\WalkAndUnGZ.bat" "%USERPROFILE%\AppData\Local\Temp\OnboardLogs"\RTDC4041\2016-08-27 &amp; aws s3 cp s3://rtdc.mdm.uploadarchive/RTDC4041/2016-08-28/ "%USERPROFILE%\AppData\Local\Temp\OnboardLogs"\RTDC4041\2016-08-28 --recursive &amp; "%USERPROFILE%\Documents\GitHub\mrs-test-scripts\Headless Mode &amp; Sideloading\WalkAndUnGZ.bat" "%USERPROFILE%\AppData\Local\Temp\OnboardLogs"\RTDC4041\2016-08-28</v>
      </c>
      <c r="AF124" s="96" t="str">
        <f t="shared" si="114"/>
        <v>"C:\Program Files (x86)\AstroGrep\AstroGrep.exe" /spath="%USERPROFILE%\AppData\Local\Temp\OnboardLogs" /stypes="*4041*20160828*" /stext=" 00:.+((SYSTEM_STATE.+slice.+state.+changed )|(ment ac)|(system.+state.+changed )|(\|lc)|(penalty)|(\[timeout)|(PRM\|1\|D)|(kpr)|(kdp))" /e /r /s</v>
      </c>
      <c r="AG124" s="1" t="str">
        <f t="shared" si="155"/>
        <v>EC</v>
      </c>
      <c r="AH124" s="100" t="str">
        <f t="shared" si="142"/>
        <v>"%USERPROFILE%\Documents\GitHub\eaglep3\Utilities\RefineRTDCRunTimes.py" --tripid 208-27 --locoid 4041 --swversion DE.1.0.7.0 --startMP 204:233042 --initTime 2016-08-27T17:46:41 --startdatetime 2016-08-27T17:56:21 --delay 1 --endMP 204:158 --enddatetime 2016-08-27T18:36:01 --enforcementcount 0 &gt;&gt;C:\Users\stu\Documents\GitHub\eaglep3-reporting\EC\2016-08-27-refined-times.txt</v>
      </c>
      <c r="AI124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{"issue":{"subject":"","project_id":79,"tracker_id":40,"status_id":1,"priority_id":2,"assigned_to_id":23,"start_date":"2016-08-27","description":"","custom_fields":[{"id":1,"name":"Subdivision","value":"EC"},{"id":4,"name":"Milepost","value":"23.2884"},{"id":17,"name":"Train ID","value":"208-27"},{"id":16,"name":"Locomotive ID","value":"4041"},{"id":130,"name":"Impact","value":""},{"id":150,"name":"Time of Event (Mountain Time)","value":"18:36:01"},{"id":151,"name":"Denver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614</v>
      </c>
      <c r="B125" s="7">
        <v>4029</v>
      </c>
      <c r="C125" s="24" t="s">
        <v>113</v>
      </c>
      <c r="D125" s="24" t="s">
        <v>270</v>
      </c>
      <c r="E125" s="15">
        <v>42609.715648148151</v>
      </c>
      <c r="F125" s="15">
        <v>42609.718958333331</v>
      </c>
      <c r="G125" s="7">
        <v>1</v>
      </c>
      <c r="H125" s="15" t="s">
        <v>615</v>
      </c>
      <c r="I125" s="15">
        <v>42609.743449074071</v>
      </c>
      <c r="J125" s="7">
        <v>0</v>
      </c>
      <c r="K125" s="132" t="str">
        <f t="shared" si="145"/>
        <v>4029/4030</v>
      </c>
      <c r="L125" s="24" t="str">
        <f>VLOOKUP(A125,'Trips&amp;Operators'!$C$1:$E$10000,3,FALSE)</f>
        <v>BROWN</v>
      </c>
      <c r="M125" s="6">
        <f t="shared" si="146"/>
        <v>2.4490740739565808E-2</v>
      </c>
      <c r="N125" s="7">
        <f t="shared" si="144"/>
        <v>35.266666664974764</v>
      </c>
      <c r="O125" s="7"/>
      <c r="P125" s="7"/>
      <c r="Q125" s="25"/>
      <c r="R125" s="25"/>
      <c r="S125" s="37">
        <f t="shared" si="147"/>
        <v>1</v>
      </c>
      <c r="T125" s="52" t="str">
        <f t="shared" si="148"/>
        <v>NorthBound</v>
      </c>
      <c r="U125" s="12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16:10:32-0600',mode:absolute,to:'2016-08-27 18:50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150"/>
        <v>N</v>
      </c>
      <c r="X125" s="120">
        <f t="shared" si="156"/>
        <v>1</v>
      </c>
      <c r="Y125" s="69">
        <f t="shared" si="151"/>
        <v>4.2200000000000001E-2</v>
      </c>
      <c r="Z125" s="69">
        <f t="shared" si="152"/>
        <v>23.331800000000001</v>
      </c>
      <c r="AA125" s="69">
        <f t="shared" si="153"/>
        <v>23.2896</v>
      </c>
      <c r="AB125" s="66" t="e">
        <f>VLOOKUP(A125,Enforcements!$C$7:$J$21,8,0)</f>
        <v>#N/A</v>
      </c>
      <c r="AC125" s="62" t="e">
        <f>VLOOKUP(A125,Enforcements!$C$7:$E$21,3,0)</f>
        <v>#N/A</v>
      </c>
      <c r="AD125" s="63" t="str">
        <f t="shared" si="154"/>
        <v>0209-27</v>
      </c>
      <c r="AE125" s="99" t="str">
        <f t="shared" si="113"/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25" s="96" t="str">
        <f t="shared" si="114"/>
        <v>"C:\Program Files (x86)\AstroGrep\AstroGrep.exe" /spath="%USERPROFILE%\AppData\Local\Temp\OnboardLogs" /stypes="*4029*20160827*" /stext=" 23:.+((SYSTEM_STATE.+slice.+state.+changed )|(ment ac)|(system.+state.+changed )|(\|lc)|(penalty)|(\[timeout)|(PRM\|1\|D)|(kpr)|(kdp))" /e /r /s</v>
      </c>
      <c r="AG125" s="1" t="str">
        <f t="shared" si="155"/>
        <v>EC</v>
      </c>
      <c r="AH125" s="100" t="str">
        <f t="shared" si="142"/>
        <v>"%USERPROFILE%\Documents\GitHub\eaglep3\Utilities\RefineRTDCRunTimes.py" --tripid 209-27 --locoid 4029 --swversion DE.1.0.7.0 --startMP 204:422 --initTime 2016-08-27T17:10:32 --startdatetime 2016-08-27T17:15:18 --delay 1 --endMP 204:233318 --enddatetime 2016-08-27T17:50:34 --enforcementcount 0 &gt;&gt;C:\Users\stu\Documents\GitHub\eaglep3-reporting\EC\2016-08-27-refined-times.txt</v>
      </c>
      <c r="AI125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{"issue":{"subject":"","project_id":79,"tracker_id":40,"status_id":1,"priority_id":2,"assigned_to_id":23,"start_date":"2016-08-27","description":"","custom_fields":[{"id":1,"name":"Subdivision","value":"EC"},{"id":4,"name":"Milepost","value":"23.2896"},{"id":17,"name":"Train ID","value":"209-27"},{"id":16,"name":"Locomotive ID","value":"4029"},{"id":130,"name":"Impact","value":""},{"id":150,"name":"Time of Event (Mountain Time)","value":"17:50:34"},{"id":151,"name":"Denver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616</v>
      </c>
      <c r="B126" s="7">
        <v>4030</v>
      </c>
      <c r="C126" s="24" t="s">
        <v>113</v>
      </c>
      <c r="D126" s="24" t="s">
        <v>334</v>
      </c>
      <c r="E126" s="15">
        <v>42609.7496875</v>
      </c>
      <c r="F126" s="15">
        <v>42609.758055555554</v>
      </c>
      <c r="G126" s="7">
        <v>1</v>
      </c>
      <c r="H126" s="15" t="s">
        <v>89</v>
      </c>
      <c r="I126" s="15">
        <v>42609.785451388889</v>
      </c>
      <c r="J126" s="7">
        <v>0</v>
      </c>
      <c r="K126" s="132" t="str">
        <f t="shared" si="145"/>
        <v>4029/4030</v>
      </c>
      <c r="L126" s="24" t="str">
        <f>VLOOKUP(A126,'Trips&amp;Operators'!$C$1:$E$10000,3,FALSE)</f>
        <v>BROWN</v>
      </c>
      <c r="M126" s="6">
        <f t="shared" si="146"/>
        <v>2.7395833334594499E-2</v>
      </c>
      <c r="N126" s="7">
        <f t="shared" si="144"/>
        <v>39.450000001816079</v>
      </c>
      <c r="O126" s="7"/>
      <c r="P126" s="7"/>
      <c r="Q126" s="25"/>
      <c r="R126" s="25"/>
      <c r="S126" s="37">
        <f t="shared" si="147"/>
        <v>1</v>
      </c>
      <c r="T126" s="52" t="str">
        <f t="shared" si="148"/>
        <v>Southbound</v>
      </c>
      <c r="U126" s="12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16:59:33-0600',mode:absolute,to:'2016-08-27 19:51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150"/>
        <v>N</v>
      </c>
      <c r="X126" s="120">
        <f t="shared" si="156"/>
        <v>1</v>
      </c>
      <c r="Y126" s="69">
        <f t="shared" si="151"/>
        <v>23.298400000000001</v>
      </c>
      <c r="Z126" s="69">
        <f t="shared" si="152"/>
        <v>1.43E-2</v>
      </c>
      <c r="AA126" s="69">
        <f t="shared" si="153"/>
        <v>23.284100000000002</v>
      </c>
      <c r="AB126" s="66" t="e">
        <f>VLOOKUP(A126,Enforcements!$C$7:$J$21,8,0)</f>
        <v>#N/A</v>
      </c>
      <c r="AC126" s="62" t="e">
        <f>VLOOKUP(A126,Enforcements!$C$7:$E$21,3,0)</f>
        <v>#N/A</v>
      </c>
      <c r="AD126" s="63" t="str">
        <f t="shared" si="154"/>
        <v>0210-27</v>
      </c>
      <c r="AE126" s="99" t="str">
        <f t="shared" si="113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26" s="96" t="str">
        <f t="shared" si="114"/>
        <v>"C:\Program Files (x86)\AstroGrep\AstroGrep.exe" /spath="%USERPROFILE%\AppData\Local\Temp\OnboardLogs" /stypes="*4030*20160828*" /stext=" 00:.+((SYSTEM_STATE.+slice.+state.+changed )|(ment ac)|(system.+state.+changed )|(\|lc)|(penalty)|(\[timeout)|(PRM\|1\|D)|(kpr)|(kdp))" /e /r /s</v>
      </c>
      <c r="AG126" s="1" t="str">
        <f t="shared" si="155"/>
        <v>EC</v>
      </c>
      <c r="AH126" s="100" t="str">
        <f t="shared" si="142"/>
        <v>"%USERPROFILE%\Documents\GitHub\eaglep3\Utilities\RefineRTDCRunTimes.py" --tripid 210-27 --locoid 4030 --swversion DE.1.0.7.0 --startMP 204:232984 --initTime 2016-08-27T17:59:33 --startdatetime 2016-08-27T18:11:36 --delay 1 --endMP 204:143 --enddatetime 2016-08-27T18:51:03 --enforcementcount 0 &gt;&gt;C:\Users\stu\Documents\GitHub\eaglep3-reporting\EC\2016-08-27-refined-times.txt</v>
      </c>
      <c r="AI126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{"issue":{"subject":"","project_id":79,"tracker_id":40,"status_id":1,"priority_id":2,"assigned_to_id":23,"start_date":"2016-08-27","description":"","custom_fields":[{"id":1,"name":"Subdivision","value":"EC"},{"id":4,"name":"Milepost","value":"23.2841"},{"id":17,"name":"Train ID","value":"210-27"},{"id":16,"name":"Locomotive ID","value":"4030"},{"id":130,"name":"Impact","value":""},{"id":150,"name":"Time of Event (Mountain Time)","value":"18:51:03"},{"id":151,"name":"Denver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617</v>
      </c>
      <c r="B127" s="7">
        <v>4014</v>
      </c>
      <c r="C127" s="24" t="s">
        <v>113</v>
      </c>
      <c r="D127" s="24" t="s">
        <v>340</v>
      </c>
      <c r="E127" s="15">
        <v>42609.725115740737</v>
      </c>
      <c r="F127" s="15">
        <v>42609.729398148149</v>
      </c>
      <c r="G127" s="7">
        <v>1</v>
      </c>
      <c r="H127" s="15" t="s">
        <v>149</v>
      </c>
      <c r="I127" s="15">
        <v>42609.755787037036</v>
      </c>
      <c r="J127" s="7">
        <v>0</v>
      </c>
      <c r="K127" s="132" t="str">
        <f t="shared" si="145"/>
        <v>4013/4014</v>
      </c>
      <c r="L127" s="24" t="str">
        <f>VLOOKUP(A127,'Trips&amp;Operators'!$C$1:$E$10000,3,FALSE)</f>
        <v>STORY</v>
      </c>
      <c r="M127" s="6">
        <f t="shared" si="146"/>
        <v>2.6388888887595385E-2</v>
      </c>
      <c r="N127" s="7">
        <f t="shared" si="144"/>
        <v>37.999999998137355</v>
      </c>
      <c r="O127" s="7"/>
      <c r="P127" s="7"/>
      <c r="Q127" s="25"/>
      <c r="R127" s="25"/>
      <c r="S127" s="37">
        <f t="shared" si="147"/>
        <v>1</v>
      </c>
      <c r="T127" s="52" t="str">
        <f t="shared" si="148"/>
        <v>NorthBound</v>
      </c>
      <c r="U127" s="12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16:24:10-0600',mode:absolute,to:'2016-08-27 19:08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27" s="54" t="str">
        <f t="shared" si="150"/>
        <v>N</v>
      </c>
      <c r="X127" s="120">
        <f t="shared" si="156"/>
        <v>1</v>
      </c>
      <c r="Y127" s="69">
        <f t="shared" si="151"/>
        <v>4.7300000000000002E-2</v>
      </c>
      <c r="Z127" s="69">
        <f t="shared" si="152"/>
        <v>23.33</v>
      </c>
      <c r="AA127" s="69">
        <f t="shared" si="153"/>
        <v>23.282699999999998</v>
      </c>
      <c r="AB127" s="66" t="e">
        <f>VLOOKUP(A127,Enforcements!$C$7:$J$21,8,0)</f>
        <v>#N/A</v>
      </c>
      <c r="AC127" s="62" t="e">
        <f>VLOOKUP(A127,Enforcements!$C$7:$E$21,3,0)</f>
        <v>#N/A</v>
      </c>
      <c r="AD127" s="63" t="str">
        <f t="shared" si="154"/>
        <v>0211-27</v>
      </c>
      <c r="AE127" s="99" t="str">
        <f t="shared" si="113"/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AF127" s="96" t="str">
        <f t="shared" si="114"/>
        <v>"C:\Program Files (x86)\AstroGrep\AstroGrep.exe" /spath="%USERPROFILE%\AppData\Local\Temp\OnboardLogs" /stypes="*4014*20160828*" /stext=" 00:.+((SYSTEM_STATE.+slice.+state.+changed )|(ment ac)|(system.+state.+changed )|(\|lc)|(penalty)|(\[timeout)|(PRM\|1\|D)|(kpr)|(kdp))" /e /r /s</v>
      </c>
      <c r="AG127" s="1" t="str">
        <f t="shared" si="155"/>
        <v>EC</v>
      </c>
      <c r="AH127" s="100" t="str">
        <f t="shared" si="142"/>
        <v>"%USERPROFILE%\Documents\GitHub\eaglep3\Utilities\RefineRTDCRunTimes.py" --tripid 211-27 --locoid 4014 --swversion DE.1.0.7.0 --startMP 204:473 --initTime 2016-08-27T17:24:10 --startdatetime 2016-08-27T17:30:20 --delay 1 --endMP 204:233300 --enddatetime 2016-08-27T18:08:20 --enforcementcount 0 &gt;&gt;C:\Users\stu\Documents\GitHub\eaglep3-reporting\EC\2016-08-27-refined-times.txt</v>
      </c>
      <c r="AI127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{"issue":{"subject":"","project_id":79,"tracker_id":40,"status_id":1,"priority_id":2,"assigned_to_id":23,"start_date":"2016-08-27","description":"","custom_fields":[{"id":1,"name":"Subdivision","value":"EC"},{"id":4,"name":"Milepost","value":"23.2827"},{"id":17,"name":"Train ID","value":"211-27"},{"id":16,"name":"Locomotive ID","value":"4014"},{"id":130,"name":"Impact","value":""},{"id":150,"name":"Time of Event (Mountain Time)","value":"18:08:20"},{"id":151,"name":"Denver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s="23" customFormat="1" x14ac:dyDescent="0.25">
      <c r="A128" s="39" t="s">
        <v>618</v>
      </c>
      <c r="B128" s="7">
        <v>4013</v>
      </c>
      <c r="C128" s="24" t="s">
        <v>113</v>
      </c>
      <c r="D128" s="24" t="s">
        <v>332</v>
      </c>
      <c r="E128" s="15">
        <v>42609.761111111111</v>
      </c>
      <c r="F128" s="15">
        <v>42609.768379629626</v>
      </c>
      <c r="G128" s="7">
        <v>1</v>
      </c>
      <c r="H128" s="15" t="s">
        <v>132</v>
      </c>
      <c r="I128" s="15">
        <v>42609.797013888892</v>
      </c>
      <c r="J128" s="7">
        <v>0</v>
      </c>
      <c r="K128" s="132" t="str">
        <f t="shared" si="145"/>
        <v>4013/4014</v>
      </c>
      <c r="L128" s="24" t="str">
        <f>VLOOKUP(A128,'Trips&amp;Operators'!$C$1:$E$10000,3,FALSE)</f>
        <v>STORY</v>
      </c>
      <c r="M128" s="6">
        <f t="shared" si="146"/>
        <v>2.8634259266254958E-2</v>
      </c>
      <c r="N128" s="7">
        <f t="shared" si="144"/>
        <v>41.233333343407139</v>
      </c>
      <c r="O128" s="7"/>
      <c r="P128" s="7"/>
      <c r="Q128" s="25"/>
      <c r="R128" s="25"/>
      <c r="S128" s="37">
        <f t="shared" si="147"/>
        <v>1</v>
      </c>
      <c r="T128" s="52" t="str">
        <f t="shared" si="148"/>
        <v>Southbound</v>
      </c>
      <c r="U128" s="12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17:16:00-0600',mode:absolute,to:'2016-08-27 20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W128" s="54" t="str">
        <f t="shared" si="150"/>
        <v>N</v>
      </c>
      <c r="X128" s="120">
        <f t="shared" si="156"/>
        <v>1</v>
      </c>
      <c r="Y128" s="69">
        <f t="shared" si="151"/>
        <v>23.299600000000002</v>
      </c>
      <c r="Z128" s="69">
        <f t="shared" si="152"/>
        <v>1.47E-2</v>
      </c>
      <c r="AA128" s="69">
        <f t="shared" si="153"/>
        <v>23.2849</v>
      </c>
      <c r="AB128" s="66" t="e">
        <f>VLOOKUP(A128,Enforcements!$C$7:$J$21,8,0)</f>
        <v>#N/A</v>
      </c>
      <c r="AC128" s="62" t="e">
        <f>VLOOKUP(A128,Enforcements!$C$7:$E$21,3,0)</f>
        <v>#N/A</v>
      </c>
      <c r="AD128" s="63" t="str">
        <f t="shared" si="154"/>
        <v>0212-27</v>
      </c>
      <c r="AE128" s="99" t="str">
        <f t="shared" si="113"/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AF128" s="96" t="str">
        <f t="shared" si="114"/>
        <v>"C:\Program Files (x86)\AstroGrep\AstroGrep.exe" /spath="%USERPROFILE%\AppData\Local\Temp\OnboardLogs" /stypes="*4013*20160828*" /stext=" 01:.+((SYSTEM_STATE.+slice.+state.+changed )|(ment ac)|(system.+state.+changed )|(\|lc)|(penalty)|(\[timeout)|(PRM\|1\|D)|(kpr)|(kdp))" /e /r /s</v>
      </c>
      <c r="AG128" s="1" t="str">
        <f t="shared" si="155"/>
        <v>EC</v>
      </c>
      <c r="AH128" s="100" t="str">
        <f t="shared" si="142"/>
        <v>"%USERPROFILE%\Documents\GitHub\eaglep3\Utilities\RefineRTDCRunTimes.py" --tripid 212-27 --locoid 4013 --swversion DE.1.0.7.0 --startMP 204:232996 --initTime 2016-08-27T18:16:00 --startdatetime 2016-08-27T18:26:28 --delay 1 --endMP 204:147 --enddatetime 2016-08-27T19:07:42 --enforcementcount 0 &gt;&gt;C:\Users\stu\Documents\GitHub\eaglep3-reporting\EC\2016-08-27-refined-times.txt</v>
      </c>
      <c r="AI128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{"issue":{"subject":"","project_id":79,"tracker_id":40,"status_id":1,"priority_id":2,"assigned_to_id":23,"start_date":"2016-08-27","description":"","custom_fields":[{"id":1,"name":"Subdivision","value":"EC"},{"id":4,"name":"Milepost","value":"23.2849"},{"id":17,"name":"Train ID","value":"212-27"},{"id":16,"name":"Locomotive ID","value":"4013"},{"id":130,"name":"Impact","value":""},{"id":150,"name":"Time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x14ac:dyDescent="0.25">
      <c r="A129" s="39" t="s">
        <v>619</v>
      </c>
      <c r="B129" s="7">
        <v>4025</v>
      </c>
      <c r="C129" s="24" t="s">
        <v>113</v>
      </c>
      <c r="D129" s="24" t="s">
        <v>335</v>
      </c>
      <c r="E129" s="15">
        <v>42609.736145833333</v>
      </c>
      <c r="F129" s="15">
        <v>42609.740266203706</v>
      </c>
      <c r="G129" s="7">
        <v>1</v>
      </c>
      <c r="H129" s="15" t="s">
        <v>155</v>
      </c>
      <c r="I129" s="15">
        <v>42609.7653587963</v>
      </c>
      <c r="J129" s="7">
        <v>0</v>
      </c>
      <c r="K129" s="132" t="str">
        <f t="shared" si="145"/>
        <v>4025/4026</v>
      </c>
      <c r="L129" s="24" t="str">
        <f>VLOOKUP(A129,'Trips&amp;Operators'!$C$1:$E$10000,3,FALSE)</f>
        <v>HILLS</v>
      </c>
      <c r="M129" s="6">
        <f t="shared" si="146"/>
        <v>2.5092592593864538E-2</v>
      </c>
      <c r="N129" s="7">
        <f t="shared" si="144"/>
        <v>36.133333335164934</v>
      </c>
      <c r="O129" s="7"/>
      <c r="P129" s="7"/>
      <c r="Q129" s="25"/>
      <c r="R129" s="25"/>
      <c r="S129" s="37">
        <f t="shared" si="147"/>
        <v>1</v>
      </c>
      <c r="T129" s="52" t="str">
        <f t="shared" si="148"/>
        <v>NorthBound</v>
      </c>
      <c r="U129" s="12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16:40:03-0600',mode:absolute,to:'2016-08-27 19:22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29" s="54" t="str">
        <f t="shared" si="150"/>
        <v>N</v>
      </c>
      <c r="X129" s="120">
        <f t="shared" si="156"/>
        <v>1</v>
      </c>
      <c r="Y129" s="69">
        <f t="shared" si="151"/>
        <v>4.58E-2</v>
      </c>
      <c r="Z129" s="69">
        <f t="shared" si="152"/>
        <v>23.3291</v>
      </c>
      <c r="AA129" s="69">
        <f t="shared" si="153"/>
        <v>23.283300000000001</v>
      </c>
      <c r="AB129" s="66" t="e">
        <f>VLOOKUP(A129,Enforcements!$C$7:$J$21,8,0)</f>
        <v>#N/A</v>
      </c>
      <c r="AC129" s="62" t="e">
        <f>VLOOKUP(A129,Enforcements!$C$7:$E$21,3,0)</f>
        <v>#N/A</v>
      </c>
      <c r="AD129" s="63" t="str">
        <f t="shared" si="154"/>
        <v>0213-27</v>
      </c>
      <c r="AE129" s="99" t="str">
        <f t="shared" si="113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29" s="96" t="str">
        <f t="shared" si="114"/>
        <v>"C:\Program Files (x86)\AstroGrep\AstroGrep.exe" /spath="%USERPROFILE%\AppData\Local\Temp\OnboardLogs" /stypes="*4025*20160828*" /stext=" 00:.+((SYSTEM_STATE.+slice.+state.+changed )|(ment ac)|(system.+state.+changed )|(\|lc)|(penalty)|(\[timeout)|(PRM\|1\|D)|(kpr)|(kdp))" /e /r /s</v>
      </c>
      <c r="AG129" s="1" t="str">
        <f t="shared" si="155"/>
        <v>EC</v>
      </c>
      <c r="AH129" s="100" t="str">
        <f t="shared" si="142"/>
        <v>"%USERPROFILE%\Documents\GitHub\eaglep3\Utilities\RefineRTDCRunTimes.py" --tripid 213-27 --locoid 4025 --swversion DE.1.0.7.0 --startMP 204:458 --initTime 2016-08-27T17:40:03 --startdatetime 2016-08-27T17:45:59 --delay 1 --endMP 204:233291 --enddatetime 2016-08-27T18:22:07 --enforcementcount 0 &gt;&gt;C:\Users\stu\Documents\GitHub\eaglep3-reporting\EC\2016-08-27-refined-times.txt</v>
      </c>
      <c r="AI129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{"issue":{"subject":"","project_id":79,"tracker_id":40,"status_id":1,"priority_id":2,"assigned_to_id":23,"start_date":"2016-08-27","description":"","custom_fields":[{"id":1,"name":"Subdivision","value":"EC"},{"id":4,"name":"Milepost","value":"23.2833"},{"id":17,"name":"Train ID","value":"213-27"},{"id":16,"name":"Locomotive ID","value":"4025"},{"id":130,"name":"Impact","value":""},{"id":150,"name":"Time of Event (Mountain Time)","value":"18:22:07"},{"id":151,"name":"Denver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x14ac:dyDescent="0.25">
      <c r="A130" s="39" t="s">
        <v>620</v>
      </c>
      <c r="B130" s="7">
        <v>4026</v>
      </c>
      <c r="C130" s="24" t="s">
        <v>113</v>
      </c>
      <c r="D130" s="24" t="s">
        <v>189</v>
      </c>
      <c r="E130" s="15">
        <v>42609.766759259262</v>
      </c>
      <c r="F130" s="15">
        <v>42609.778634259259</v>
      </c>
      <c r="G130" s="7">
        <v>16</v>
      </c>
      <c r="H130" s="15" t="s">
        <v>187</v>
      </c>
      <c r="I130" s="15">
        <v>42609.805138888885</v>
      </c>
      <c r="J130" s="7">
        <v>0</v>
      </c>
      <c r="K130" s="132" t="str">
        <f t="shared" si="145"/>
        <v>4025/4026</v>
      </c>
      <c r="L130" s="24" t="str">
        <f>VLOOKUP(A130,'Trips&amp;Operators'!$C$1:$E$10000,3,FALSE)</f>
        <v>HILLS</v>
      </c>
      <c r="M130" s="6">
        <f t="shared" si="146"/>
        <v>2.6504629626288079E-2</v>
      </c>
      <c r="N130" s="7">
        <f t="shared" ref="N130:N161" si="157">24*60*SUM($M130:$M130)</f>
        <v>38.166666661854833</v>
      </c>
      <c r="O130" s="7"/>
      <c r="P130" s="7"/>
      <c r="Q130" s="25"/>
      <c r="R130" s="25"/>
      <c r="S130" s="37">
        <f t="shared" si="147"/>
        <v>1</v>
      </c>
      <c r="T130" s="52" t="str">
        <f t="shared" si="148"/>
        <v>Southbound</v>
      </c>
      <c r="U130" s="12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17:24:08-0600',mode:absolute,to:'2016-08-27 20:19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30" s="54" t="str">
        <f t="shared" si="150"/>
        <v>N</v>
      </c>
      <c r="X130" s="120">
        <f t="shared" si="156"/>
        <v>1</v>
      </c>
      <c r="Y130" s="69">
        <f t="shared" si="151"/>
        <v>23.297499999999999</v>
      </c>
      <c r="Z130" s="69">
        <f t="shared" si="152"/>
        <v>1.6E-2</v>
      </c>
      <c r="AA130" s="69">
        <f t="shared" si="153"/>
        <v>23.281500000000001</v>
      </c>
      <c r="AB130" s="66" t="e">
        <f>VLOOKUP(A130,Enforcements!$C$7:$J$21,8,0)</f>
        <v>#N/A</v>
      </c>
      <c r="AC130" s="62" t="e">
        <f>VLOOKUP(A130,Enforcements!$C$7:$E$21,3,0)</f>
        <v>#N/A</v>
      </c>
      <c r="AD130" s="63" t="str">
        <f t="shared" si="154"/>
        <v>0214-27</v>
      </c>
      <c r="AE130" s="99" t="str">
        <f t="shared" si="113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30" s="96" t="str">
        <f t="shared" si="114"/>
        <v>"C:\Program Files (x86)\AstroGrep\AstroGrep.exe" /spath="%USERPROFILE%\AppData\Local\Temp\OnboardLogs" /stypes="*4026*20160828*" /stext=" 01:.+((SYSTEM_STATE.+slice.+state.+changed )|(ment ac)|(system.+state.+changed )|(\|lc)|(penalty)|(\[timeout)|(PRM\|1\|D)|(kpr)|(kdp))" /e /r /s</v>
      </c>
      <c r="AG130" s="1" t="str">
        <f t="shared" si="155"/>
        <v>EC</v>
      </c>
      <c r="AH130" s="100" t="str">
        <f t="shared" si="142"/>
        <v>"%USERPROFILE%\Documents\GitHub\eaglep3\Utilities\RefineRTDCRunTimes.py" --tripid 214-27 --locoid 4026 --swversion DE.1.0.7.0 --startMP 204:232975 --initTime 2016-08-27T18:24:08 --startdatetime 2016-08-27T18:41:14 --delay 16 --endMP 204:160 --enddatetime 2016-08-27T19:19:24 --enforcementcount 0 &gt;&gt;C:\Users\stu\Documents\GitHub\eaglep3-reporting\EC\2016-08-27-refined-times.txt</v>
      </c>
      <c r="AI13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{"issue":{"subject":"","project_id":79,"tracker_id":40,"status_id":1,"priority_id":2,"assigned_to_id":23,"start_date":"2016-08-27","description":"","custom_fields":[{"id":1,"name":"Subdivision","value":"EC"},{"id":4,"name":"Milepost","value":"23.2815"},{"id":17,"name":"Train ID","value":"214-27"},{"id":16,"name":"Locomotive ID","value":"4026"},{"id":130,"name":"Impact","value":""},{"id":150,"name":"Time of Event (Mountain Time)","value":"19:19:24"},{"id":151,"name":"Denver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621</v>
      </c>
      <c r="B131" s="7">
        <v>4009</v>
      </c>
      <c r="C131" s="24" t="s">
        <v>113</v>
      </c>
      <c r="D131" s="24" t="s">
        <v>192</v>
      </c>
      <c r="E131" s="15">
        <v>42609.745324074072</v>
      </c>
      <c r="F131" s="15">
        <v>42609.750243055554</v>
      </c>
      <c r="G131" s="7">
        <v>1</v>
      </c>
      <c r="H131" s="15" t="s">
        <v>149</v>
      </c>
      <c r="I131" s="15">
        <v>42609.777245370373</v>
      </c>
      <c r="J131" s="7">
        <v>0</v>
      </c>
      <c r="K131" s="132" t="str">
        <f t="shared" si="145"/>
        <v>4009/4010</v>
      </c>
      <c r="L131" s="24" t="str">
        <f>VLOOKUP(A131,'Trips&amp;Operators'!$C$1:$E$10000,3,FALSE)</f>
        <v>WEBSTER</v>
      </c>
      <c r="M131" s="6">
        <f t="shared" si="146"/>
        <v>2.7002314818673767E-2</v>
      </c>
      <c r="N131" s="7">
        <f t="shared" si="157"/>
        <v>38.883333338890225</v>
      </c>
      <c r="O131" s="7"/>
      <c r="P131" s="7"/>
      <c r="Q131" s="25"/>
      <c r="R131" s="25"/>
      <c r="S131" s="37">
        <f t="shared" si="147"/>
        <v>1</v>
      </c>
      <c r="T131" s="52" t="str">
        <f t="shared" si="148"/>
        <v>NorthBound</v>
      </c>
      <c r="U131" s="12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16:53:16-0600',mode:absolute,to:'2016-08-27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131" s="54" t="str">
        <f t="shared" si="150"/>
        <v>N</v>
      </c>
      <c r="X131" s="120">
        <f t="shared" si="156"/>
        <v>1</v>
      </c>
      <c r="Y131" s="69">
        <f t="shared" si="151"/>
        <v>4.5999999999999999E-2</v>
      </c>
      <c r="Z131" s="69">
        <f t="shared" si="152"/>
        <v>23.33</v>
      </c>
      <c r="AA131" s="69">
        <f t="shared" si="153"/>
        <v>23.283999999999999</v>
      </c>
      <c r="AB131" s="66">
        <f>VLOOKUP(A131,Enforcements!$C$7:$J$21,8,0)</f>
        <v>218954</v>
      </c>
      <c r="AC131" s="62" t="str">
        <f>VLOOKUP(A131,Enforcements!$C$7:$E$21,3,0)</f>
        <v>PERMANENT SPEED RESTRICTION</v>
      </c>
      <c r="AD131" s="63" t="str">
        <f t="shared" si="154"/>
        <v>0215-27</v>
      </c>
      <c r="AE131" s="99" t="str">
        <f t="shared" si="113"/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AF131" s="96" t="str">
        <f t="shared" si="114"/>
        <v>"C:\Program Files (x86)\AstroGrep\AstroGrep.exe" /spath="%USERPROFILE%\AppData\Local\Temp\OnboardLogs" /stypes="*4009*20160828*" /stext=" 00:.+((SYSTEM_STATE.+slice.+state.+changed )|(ment ac)|(system.+state.+changed )|(\|lc)|(penalty)|(\[timeout)|(PRM\|1\|D)|(kpr)|(kdp))" /e /r /s</v>
      </c>
      <c r="AG131" s="1" t="str">
        <f t="shared" si="155"/>
        <v>EC</v>
      </c>
      <c r="AH131" s="100" t="str">
        <f t="shared" si="142"/>
        <v>"%USERPROFILE%\Documents\GitHub\eaglep3\Utilities\RefineRTDCRunTimes.py" --tripid 215-27 --locoid 4009 --swversion DE.1.0.7.0 --startMP 204:460 --initTime 2016-08-27T17:53:16 --startdatetime 2016-08-27T18:00:21 --delay 1 --endMP 204:233300 --enddatetime 2016-08-27T18:39:14 --enforcementcount 0 &gt;&gt;C:\Users\stu\Documents\GitHub\eaglep3-reporting\EC\2016-08-27-refined-times.txt</v>
      </c>
      <c r="AI13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{"issue":{"subject":"","project_id":79,"tracker_id":40,"status_id":1,"priority_id":2,"assigned_to_id":23,"start_date":"2016-08-27","description":"","custom_fields":[{"id":1,"name":"Subdivision","value":"EC"},{"id":4,"name":"Milepost","value":"23.284"},{"id":17,"name":"Train ID","value":"215-27"},{"id":16,"name":"Locomotive ID","value":"4009"},{"id":130,"name":"Impact","value":""},{"id":150,"name":"Time of Event (Mountain Time)","value":"18:39:14"},{"id":151,"name":"Denver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622</v>
      </c>
      <c r="B132" s="7">
        <v>4010</v>
      </c>
      <c r="C132" s="24" t="s">
        <v>113</v>
      </c>
      <c r="D132" s="24" t="s">
        <v>347</v>
      </c>
      <c r="E132" s="15">
        <v>42609.785416666666</v>
      </c>
      <c r="F132" s="15">
        <v>42609.789571759262</v>
      </c>
      <c r="G132" s="7">
        <v>1</v>
      </c>
      <c r="H132" s="15" t="s">
        <v>172</v>
      </c>
      <c r="I132" s="15">
        <v>42609.816759259258</v>
      </c>
      <c r="J132" s="7">
        <v>0</v>
      </c>
      <c r="K132" s="132" t="str">
        <f t="shared" si="145"/>
        <v>4009/4010</v>
      </c>
      <c r="L132" s="24" t="str">
        <f>VLOOKUP(A132,'Trips&amp;Operators'!$C$1:$E$10000,3,FALSE)</f>
        <v>WEBSTER</v>
      </c>
      <c r="M132" s="6">
        <f t="shared" si="146"/>
        <v>2.7187499996216502E-2</v>
      </c>
      <c r="N132" s="7">
        <f t="shared" si="157"/>
        <v>39.149999994551763</v>
      </c>
      <c r="O132" s="7"/>
      <c r="P132" s="7"/>
      <c r="Q132" s="25"/>
      <c r="R132" s="25"/>
      <c r="S132" s="37">
        <f t="shared" si="147"/>
        <v>1</v>
      </c>
      <c r="T132" s="52" t="str">
        <f t="shared" si="148"/>
        <v>Southbound</v>
      </c>
      <c r="U132" s="12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17:51:00-0600',mode:absolute,to:'2016-08-27 20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W132" s="54" t="str">
        <f t="shared" si="150"/>
        <v>N</v>
      </c>
      <c r="X132" s="120">
        <f t="shared" si="156"/>
        <v>1</v>
      </c>
      <c r="Y132" s="69">
        <f t="shared" si="151"/>
        <v>23.298500000000001</v>
      </c>
      <c r="Z132" s="69">
        <f t="shared" si="152"/>
        <v>1.52E-2</v>
      </c>
      <c r="AA132" s="69">
        <f t="shared" si="153"/>
        <v>23.283300000000001</v>
      </c>
      <c r="AB132" s="66" t="e">
        <f>VLOOKUP(A132,Enforcements!$C$7:$J$21,8,0)</f>
        <v>#N/A</v>
      </c>
      <c r="AC132" s="62" t="e">
        <f>VLOOKUP(A132,Enforcements!$C$7:$E$21,3,0)</f>
        <v>#N/A</v>
      </c>
      <c r="AD132" s="63" t="str">
        <f t="shared" si="154"/>
        <v>0216-27</v>
      </c>
      <c r="AE132" s="99" t="str">
        <f t="shared" si="113"/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AF132" s="96" t="str">
        <f t="shared" si="114"/>
        <v>"C:\Program Files (x86)\AstroGrep\AstroGrep.exe" /spath="%USERPROFILE%\AppData\Local\Temp\OnboardLogs" /stypes="*4010*20160828*" /stext=" 01:.+((SYSTEM_STATE.+slice.+state.+changed )|(ment ac)|(system.+state.+changed )|(\|lc)|(penalty)|(\[timeout)|(PRM\|1\|D)|(kpr)|(kdp))" /e /r /s</v>
      </c>
      <c r="AG132" s="1" t="str">
        <f t="shared" si="155"/>
        <v>EC</v>
      </c>
      <c r="AH132" s="100" t="str">
        <f t="shared" si="142"/>
        <v>"%USERPROFILE%\Documents\GitHub\eaglep3\Utilities\RefineRTDCRunTimes.py" --tripid 216-27 --locoid 4010 --swversion DE.1.0.7.0 --startMP 204:232985 --initTime 2016-08-27T18:51:00 --startdatetime 2016-08-27T18:56:59 --delay 1 --endMP 204:152 --enddatetime 2016-08-27T19:36:08 --enforcementcount 0 &gt;&gt;C:\Users\stu\Documents\GitHub\eaglep3-reporting\EC\2016-08-27-refined-times.txt</v>
      </c>
      <c r="AI132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{"issue":{"subject":"","project_id":79,"tracker_id":40,"status_id":1,"priority_id":2,"assigned_to_id":23,"start_date":"2016-08-27","description":"","custom_fields":[{"id":1,"name":"Subdivision","value":"EC"},{"id":4,"name":"Milepost","value":"23.2833"},{"id":17,"name":"Train ID","value":"216-27"},{"id":16,"name":"Locomotive ID","value":"4010"},{"id":130,"name":"Impact","value":""},{"id":150,"name":"Time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623</v>
      </c>
      <c r="B133" s="7">
        <v>4020</v>
      </c>
      <c r="C133" s="24" t="s">
        <v>113</v>
      </c>
      <c r="D133" s="24" t="s">
        <v>624</v>
      </c>
      <c r="E133" s="15">
        <v>42609.758368055554</v>
      </c>
      <c r="F133" s="15">
        <v>42609.760613425926</v>
      </c>
      <c r="G133" s="7">
        <v>2</v>
      </c>
      <c r="H133" s="15" t="s">
        <v>343</v>
      </c>
      <c r="I133" s="15">
        <v>42609.78633101852</v>
      </c>
      <c r="J133" s="7">
        <v>0</v>
      </c>
      <c r="K133" s="132" t="str">
        <f t="shared" si="145"/>
        <v>4019/4020</v>
      </c>
      <c r="L133" s="24" t="str">
        <f>VLOOKUP(A133,'Trips&amp;Operators'!$C$1:$E$10000,3,FALSE)</f>
        <v>CHANDLER</v>
      </c>
      <c r="M133" s="6">
        <f t="shared" si="146"/>
        <v>2.5717592594446614E-2</v>
      </c>
      <c r="N133" s="7">
        <f t="shared" si="157"/>
        <v>37.033333336003125</v>
      </c>
      <c r="O133" s="7"/>
      <c r="P133" s="7"/>
      <c r="Q133" s="25"/>
      <c r="R133" s="25"/>
      <c r="S133" s="37">
        <f t="shared" si="147"/>
        <v>1</v>
      </c>
      <c r="T133" s="52" t="str">
        <f t="shared" si="148"/>
        <v>NorthBound</v>
      </c>
      <c r="U133" s="12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17:12:03-0600',mode:absolute,to:'2016-08-27 19:52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33" s="54" t="str">
        <f t="shared" si="150"/>
        <v>N</v>
      </c>
      <c r="X133" s="120">
        <f t="shared" si="156"/>
        <v>1</v>
      </c>
      <c r="Y133" s="69">
        <f t="shared" si="151"/>
        <v>5.1999999999999998E-2</v>
      </c>
      <c r="Z133" s="69">
        <f t="shared" si="152"/>
        <v>23.329499999999999</v>
      </c>
      <c r="AA133" s="69">
        <f t="shared" si="153"/>
        <v>23.2775</v>
      </c>
      <c r="AB133" s="66" t="e">
        <f>VLOOKUP(A133,Enforcements!$C$7:$J$21,8,0)</f>
        <v>#N/A</v>
      </c>
      <c r="AC133" s="62" t="e">
        <f>VLOOKUP(A133,Enforcements!$C$7:$E$21,3,0)</f>
        <v>#N/A</v>
      </c>
      <c r="AD133" s="63" t="str">
        <f t="shared" si="154"/>
        <v>0217-27</v>
      </c>
      <c r="AE133" s="99" t="str">
        <f t="shared" si="113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33" s="96" t="str">
        <f t="shared" si="114"/>
        <v>"C:\Program Files (x86)\AstroGrep\AstroGrep.exe" /spath="%USERPROFILE%\AppData\Local\Temp\OnboardLogs" /stypes="*4020*20160828*" /stext=" 00:.+((SYSTEM_STATE.+slice.+state.+changed )|(ment ac)|(system.+state.+changed )|(\|lc)|(penalty)|(\[timeout)|(PRM\|1\|D)|(kpr)|(kdp))" /e /r /s</v>
      </c>
      <c r="AG133" s="1" t="str">
        <f t="shared" si="155"/>
        <v>EC</v>
      </c>
      <c r="AH133" s="100" t="str">
        <f t="shared" si="142"/>
        <v>"%USERPROFILE%\Documents\GitHub\eaglep3\Utilities\RefineRTDCRunTimes.py" --tripid 217-27 --locoid 4020 --swversion DE.1.0.7.0 --startMP 204:520 --initTime 2016-08-27T18:12:03 --startdatetime 2016-08-27T18:15:17 --delay 2 --endMP 204:233295 --enddatetime 2016-08-27T18:52:19 --enforcementcount 0 &gt;&gt;C:\Users\stu\Documents\GitHub\eaglep3-reporting\EC\2016-08-27-refined-times.txt</v>
      </c>
      <c r="AI133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{"issue":{"subject":"","project_id":79,"tracker_id":40,"status_id":1,"priority_id":2,"assigned_to_id":23,"start_date":"2016-08-27","description":"","custom_fields":[{"id":1,"name":"Subdivision","value":"EC"},{"id":4,"name":"Milepost","value":"23.2775"},{"id":17,"name":"Train ID","value":"217-27"},{"id":16,"name":"Locomotive ID","value":"4020"},{"id":130,"name":"Impact","value":""},{"id":150,"name":"Time of Event (Mountain Time)","value":"18:52:19"},{"id":151,"name":"Denver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625</v>
      </c>
      <c r="B134" s="7">
        <v>4019</v>
      </c>
      <c r="C134" s="24" t="s">
        <v>113</v>
      </c>
      <c r="D134" s="24" t="s">
        <v>329</v>
      </c>
      <c r="E134" s="15">
        <v>42609.798101851855</v>
      </c>
      <c r="F134" s="15">
        <v>42609.799791666665</v>
      </c>
      <c r="G134" s="7">
        <v>1</v>
      </c>
      <c r="H134" s="15" t="s">
        <v>264</v>
      </c>
      <c r="I134" s="15">
        <v>42609.82707175926</v>
      </c>
      <c r="J134" s="7">
        <v>0</v>
      </c>
      <c r="K134" s="132" t="str">
        <f t="shared" si="145"/>
        <v>4019/4020</v>
      </c>
      <c r="L134" s="24" t="str">
        <f>VLOOKUP(A134,'Trips&amp;Operators'!$C$1:$E$10000,3,FALSE)</f>
        <v>CHANDLER</v>
      </c>
      <c r="M134" s="6">
        <f t="shared" si="146"/>
        <v>2.7280092595901806E-2</v>
      </c>
      <c r="N134" s="7">
        <f t="shared" si="157"/>
        <v>39.283333338098601</v>
      </c>
      <c r="O134" s="7"/>
      <c r="P134" s="7"/>
      <c r="Q134" s="25"/>
      <c r="R134" s="25"/>
      <c r="S134" s="37">
        <f t="shared" si="147"/>
        <v>1</v>
      </c>
      <c r="T134" s="52" t="str">
        <f t="shared" si="148"/>
        <v>Southbound</v>
      </c>
      <c r="U134" s="12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18:09:16-0600',mode:absolute,to:'2016-08-27 20:50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34" s="54" t="str">
        <f t="shared" si="150"/>
        <v>N</v>
      </c>
      <c r="X134" s="120">
        <f t="shared" si="156"/>
        <v>1</v>
      </c>
      <c r="Y134" s="69">
        <f t="shared" si="151"/>
        <v>23.298200000000001</v>
      </c>
      <c r="Z134" s="69">
        <f t="shared" si="152"/>
        <v>1.7000000000000001E-2</v>
      </c>
      <c r="AA134" s="69">
        <f t="shared" si="153"/>
        <v>23.281200000000002</v>
      </c>
      <c r="AB134" s="66" t="e">
        <f>VLOOKUP(A134,Enforcements!$C$7:$J$21,8,0)</f>
        <v>#N/A</v>
      </c>
      <c r="AC134" s="62" t="e">
        <f>VLOOKUP(A134,Enforcements!$C$7:$E$21,3,0)</f>
        <v>#N/A</v>
      </c>
      <c r="AD134" s="63" t="str">
        <f t="shared" si="154"/>
        <v>0218-27</v>
      </c>
      <c r="AE134" s="99" t="str">
        <f t="shared" si="113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34" s="96" t="str">
        <f t="shared" si="114"/>
        <v>"C:\Program Files (x86)\AstroGrep\AstroGrep.exe" /spath="%USERPROFILE%\AppData\Local\Temp\OnboardLogs" /stypes="*4019*20160828*" /stext=" 01:.+((SYSTEM_STATE.+slice.+state.+changed )|(ment ac)|(system.+state.+changed )|(\|lc)|(penalty)|(\[timeout)|(PRM\|1\|D)|(kpr)|(kdp))" /e /r /s</v>
      </c>
      <c r="AG134" s="1" t="str">
        <f t="shared" si="155"/>
        <v>EC</v>
      </c>
      <c r="AH134" s="100" t="str">
        <f t="shared" si="142"/>
        <v>"%USERPROFILE%\Documents\GitHub\eaglep3\Utilities\RefineRTDCRunTimes.py" --tripid 218-27 --locoid 4019 --swversion DE.1.0.7.0 --startMP 204:232982 --initTime 2016-08-27T19:09:16 --startdatetime 2016-08-27T19:11:42 --delay 1 --endMP 204:170 --enddatetime 2016-08-27T19:50:59 --enforcementcount 0 &gt;&gt;C:\Users\stu\Documents\GitHub\eaglep3-reporting\EC\2016-08-27-refined-times.txt</v>
      </c>
      <c r="AI134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{"issue":{"subject":"","project_id":79,"tracker_id":40,"status_id":1,"priority_id":2,"assigned_to_id":23,"start_date":"2016-08-27","description":"","custom_fields":[{"id":1,"name":"Subdivision","value":"EC"},{"id":4,"name":"Milepost","value":"23.2812"},{"id":17,"name":"Train ID","value":"218-27"},{"id":16,"name":"Locomotive ID","value":"4019"},{"id":130,"name":"Impact","value":""},{"id":150,"name":"Time of Event (Mountain Time)","value":"19:50:59"},{"id":151,"name":"Denver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626</v>
      </c>
      <c r="B135" s="7">
        <v>4031</v>
      </c>
      <c r="C135" s="24" t="s">
        <v>113</v>
      </c>
      <c r="D135" s="24" t="s">
        <v>214</v>
      </c>
      <c r="E135" s="15">
        <v>42609.769953703704</v>
      </c>
      <c r="F135" s="15">
        <v>42609.771377314813</v>
      </c>
      <c r="G135" s="7">
        <v>1</v>
      </c>
      <c r="H135" s="15" t="s">
        <v>336</v>
      </c>
      <c r="I135" s="15">
        <v>42609.796597222223</v>
      </c>
      <c r="J135" s="7">
        <v>0</v>
      </c>
      <c r="K135" s="132" t="str">
        <f t="shared" si="145"/>
        <v>4031/4032</v>
      </c>
      <c r="L135" s="24" t="str">
        <f>VLOOKUP(A135,'Trips&amp;Operators'!$C$1:$E$10000,3,FALSE)</f>
        <v>STURGEON</v>
      </c>
      <c r="M135" s="6">
        <f t="shared" si="146"/>
        <v>2.5219907409336884E-2</v>
      </c>
      <c r="N135" s="7">
        <f t="shared" si="157"/>
        <v>36.316666669445112</v>
      </c>
      <c r="O135" s="7"/>
      <c r="P135" s="7"/>
      <c r="Q135" s="25"/>
      <c r="R135" s="25"/>
      <c r="S135" s="37">
        <f t="shared" si="147"/>
        <v>1</v>
      </c>
      <c r="T135" s="52" t="str">
        <f t="shared" si="148"/>
        <v>NorthBound</v>
      </c>
      <c r="U135" s="12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17:28:44-0600',mode:absolute,to:'2016-08-27 20:07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35" s="54" t="str">
        <f t="shared" si="150"/>
        <v>N</v>
      </c>
      <c r="X135" s="120">
        <f t="shared" si="156"/>
        <v>1</v>
      </c>
      <c r="Y135" s="69">
        <f t="shared" si="151"/>
        <v>4.7800000000000002E-2</v>
      </c>
      <c r="Z135" s="69">
        <f t="shared" si="152"/>
        <v>23.328099999999999</v>
      </c>
      <c r="AA135" s="69">
        <f t="shared" si="153"/>
        <v>23.2803</v>
      </c>
      <c r="AB135" s="66" t="e">
        <f>VLOOKUP(A135,Enforcements!$C$7:$J$21,8,0)</f>
        <v>#N/A</v>
      </c>
      <c r="AC135" s="62" t="e">
        <f>VLOOKUP(A135,Enforcements!$C$7:$E$21,3,0)</f>
        <v>#N/A</v>
      </c>
      <c r="AD135" s="63" t="str">
        <f t="shared" si="154"/>
        <v>0219-27</v>
      </c>
      <c r="AE135" s="99" t="str">
        <f t="shared" si="113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35" s="96" t="str">
        <f t="shared" si="114"/>
        <v>"C:\Program Files (x86)\AstroGrep\AstroGrep.exe" /spath="%USERPROFILE%\AppData\Local\Temp\OnboardLogs" /stypes="*4031*20160828*" /stext=" 01:.+((SYSTEM_STATE.+slice.+state.+changed )|(ment ac)|(system.+state.+changed )|(\|lc)|(penalty)|(\[timeout)|(PRM\|1\|D)|(kpr)|(kdp))" /e /r /s</v>
      </c>
      <c r="AG135" s="1" t="str">
        <f t="shared" si="155"/>
        <v>EC</v>
      </c>
      <c r="AH135" s="100" t="str">
        <f t="shared" si="142"/>
        <v>"%USERPROFILE%\Documents\GitHub\eaglep3\Utilities\RefineRTDCRunTimes.py" --tripid 219-27 --locoid 4031 --swversion DE.1.0.7.0 --startMP 204:478 --initTime 2016-08-27T18:28:44 --startdatetime 2016-08-27T18:30:47 --delay 1 --endMP 204:233281 --enddatetime 2016-08-27T19:07:06 --enforcementcount 0 &gt;&gt;C:\Users\stu\Documents\GitHub\eaglep3-reporting\EC\2016-08-27-refined-times.txt</v>
      </c>
      <c r="AI135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{"issue":{"subject":"","project_id":79,"tracker_id":40,"status_id":1,"priority_id":2,"assigned_to_id":23,"start_date":"2016-08-27","description":"","custom_fields":[{"id":1,"name":"Subdivision","value":"EC"},{"id":4,"name":"Milepost","value":"23.2803"},{"id":17,"name":"Train ID","value":"219-27"},{"id":16,"name":"Locomotive ID","value":"4031"},{"id":130,"name":"Impact","value":""},{"id":150,"name":"Time of Event (Mountain Time)","value":"19:07:06"},{"id":151,"name":"Denver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627</v>
      </c>
      <c r="B136" s="7">
        <v>4032</v>
      </c>
      <c r="C136" s="24" t="s">
        <v>113</v>
      </c>
      <c r="D136" s="24" t="s">
        <v>432</v>
      </c>
      <c r="E136" s="15">
        <v>42609.805300925924</v>
      </c>
      <c r="F136" s="15">
        <v>42609.810011574074</v>
      </c>
      <c r="G136" s="7">
        <v>2</v>
      </c>
      <c r="H136" s="15" t="s">
        <v>262</v>
      </c>
      <c r="I136" s="15">
        <v>42609.838171296295</v>
      </c>
      <c r="J136" s="7">
        <v>0</v>
      </c>
      <c r="K136" s="132" t="str">
        <f t="shared" si="145"/>
        <v>4031/4032</v>
      </c>
      <c r="L136" s="24" t="str">
        <f>VLOOKUP(A136,'Trips&amp;Operators'!$C$1:$E$10000,3,FALSE)</f>
        <v>STURGEON</v>
      </c>
      <c r="M136" s="6">
        <f t="shared" si="146"/>
        <v>2.8159722220152617E-2</v>
      </c>
      <c r="N136" s="7">
        <f t="shared" si="157"/>
        <v>40.549999997019768</v>
      </c>
      <c r="O136" s="7"/>
      <c r="P136" s="7"/>
      <c r="Q136" s="25"/>
      <c r="R136" s="25"/>
      <c r="S136" s="37">
        <f t="shared" si="147"/>
        <v>1</v>
      </c>
      <c r="T136" s="52" t="str">
        <f t="shared" si="148"/>
        <v>Southbound</v>
      </c>
      <c r="U136" s="12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18:19:38-0600',mode:absolute,to:'2016-08-27 21:06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36" s="54" t="str">
        <f t="shared" si="150"/>
        <v>N</v>
      </c>
      <c r="X136" s="120">
        <f t="shared" si="156"/>
        <v>1</v>
      </c>
      <c r="Y136" s="69">
        <f t="shared" si="151"/>
        <v>23.298300000000001</v>
      </c>
      <c r="Z136" s="69">
        <f t="shared" si="152"/>
        <v>1.6899999999999998E-2</v>
      </c>
      <c r="AA136" s="69">
        <f t="shared" si="153"/>
        <v>23.281400000000001</v>
      </c>
      <c r="AB136" s="66" t="e">
        <f>VLOOKUP(A136,Enforcements!$C$7:$J$21,8,0)</f>
        <v>#N/A</v>
      </c>
      <c r="AC136" s="62" t="e">
        <f>VLOOKUP(A136,Enforcements!$C$7:$E$21,3,0)</f>
        <v>#N/A</v>
      </c>
      <c r="AD136" s="63" t="str">
        <f t="shared" si="154"/>
        <v>0220-27</v>
      </c>
      <c r="AE136" s="99" t="str">
        <f t="shared" si="113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36" s="96" t="str">
        <f t="shared" si="114"/>
        <v>"C:\Program Files (x86)\AstroGrep\AstroGrep.exe" /spath="%USERPROFILE%\AppData\Local\Temp\OnboardLogs" /stypes="*4032*20160828*" /stext=" 02:.+((SYSTEM_STATE.+slice.+state.+changed )|(ment ac)|(system.+state.+changed )|(\|lc)|(penalty)|(\[timeout)|(PRM\|1\|D)|(kpr)|(kdp))" /e /r /s</v>
      </c>
      <c r="AG136" s="1" t="str">
        <f t="shared" si="155"/>
        <v>EC</v>
      </c>
      <c r="AH136" s="100" t="str">
        <f t="shared" si="142"/>
        <v>"%USERPROFILE%\Documents\GitHub\eaglep3\Utilities\RefineRTDCRunTimes.py" --tripid 220-27 --locoid 4032 --swversion DE.1.0.7.0 --startMP 204:232983 --initTime 2016-08-27T19:19:38 --startdatetime 2016-08-27T19:26:25 --delay 2 --endMP 204:169 --enddatetime 2016-08-27T20:06:58 --enforcementcount 0 &gt;&gt;C:\Users\stu\Documents\GitHub\eaglep3-reporting\EC\2016-08-27-refined-times.txt</v>
      </c>
      <c r="AI136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{"issue":{"subject":"","project_id":79,"tracker_id":40,"status_id":1,"priority_id":2,"assigned_to_id":23,"start_date":"2016-08-27","description":"","custom_fields":[{"id":1,"name":"Subdivision","value":"EC"},{"id":4,"name":"Milepost","value":"23.2814"},{"id":17,"name":"Train ID","value":"220-27"},{"id":16,"name":"Locomotive ID","value":"4032"},{"id":130,"name":"Impact","value":""},{"id":150,"name":"Time of Event (Mountain Time)","value":"20:06:58"},{"id":151,"name":"Denver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628</v>
      </c>
      <c r="B137" s="7">
        <v>4029</v>
      </c>
      <c r="C137" s="24" t="s">
        <v>113</v>
      </c>
      <c r="D137" s="24" t="s">
        <v>133</v>
      </c>
      <c r="E137" s="15">
        <v>42609.787731481483</v>
      </c>
      <c r="F137" s="15">
        <v>42609.792164351849</v>
      </c>
      <c r="G137" s="7">
        <v>1</v>
      </c>
      <c r="H137" s="15" t="s">
        <v>338</v>
      </c>
      <c r="I137" s="15">
        <v>42609.816458333335</v>
      </c>
      <c r="J137" s="7">
        <v>0</v>
      </c>
      <c r="K137" s="132" t="str">
        <f t="shared" si="145"/>
        <v>4029/4030</v>
      </c>
      <c r="L137" s="24" t="str">
        <f>VLOOKUP(A137,'Trips&amp;Operators'!$C$1:$E$10000,3,FALSE)</f>
        <v>STAMBAUGH</v>
      </c>
      <c r="M137" s="6">
        <f t="shared" si="146"/>
        <v>2.4293981485243421E-2</v>
      </c>
      <c r="N137" s="7">
        <f t="shared" si="157"/>
        <v>34.983333338750526</v>
      </c>
      <c r="O137" s="7"/>
      <c r="P137" s="7"/>
      <c r="Q137" s="25"/>
      <c r="R137" s="25"/>
      <c r="S137" s="37">
        <f t="shared" si="147"/>
        <v>1</v>
      </c>
      <c r="T137" s="52" t="str">
        <f t="shared" si="148"/>
        <v>NorthBound</v>
      </c>
      <c r="U137" s="12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17:54:20-0600',mode:absolute,to:'2016-08-27 20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37" s="54" t="str">
        <f t="shared" si="150"/>
        <v>N</v>
      </c>
      <c r="X137" s="120">
        <f t="shared" si="156"/>
        <v>1</v>
      </c>
      <c r="Y137" s="69">
        <f t="shared" si="151"/>
        <v>4.53E-2</v>
      </c>
      <c r="Z137" s="69">
        <f t="shared" si="152"/>
        <v>23.331900000000001</v>
      </c>
      <c r="AA137" s="69">
        <f t="shared" si="153"/>
        <v>23.2866</v>
      </c>
      <c r="AB137" s="66" t="e">
        <f>VLOOKUP(A137,Enforcements!$C$7:$J$21,8,0)</f>
        <v>#N/A</v>
      </c>
      <c r="AC137" s="62" t="e">
        <f>VLOOKUP(A137,Enforcements!$C$7:$E$21,3,0)</f>
        <v>#N/A</v>
      </c>
      <c r="AD137" s="63" t="str">
        <f t="shared" si="154"/>
        <v>0221-27</v>
      </c>
      <c r="AE137" s="99" t="str">
        <f t="shared" si="113"/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37" s="96" t="str">
        <f t="shared" si="114"/>
        <v>"C:\Program Files (x86)\AstroGrep\AstroGrep.exe" /spath="%USERPROFILE%\AppData\Local\Temp\OnboardLogs" /stypes="*4029*20160828*" /stext=" 01:.+((SYSTEM_STATE.+slice.+state.+changed )|(ment ac)|(system.+state.+changed )|(\|lc)|(penalty)|(\[timeout)|(PRM\|1\|D)|(kpr)|(kdp))" /e /r /s</v>
      </c>
      <c r="AG137" s="1" t="str">
        <f t="shared" si="155"/>
        <v>EC</v>
      </c>
      <c r="AH137" s="100" t="str">
        <f t="shared" si="142"/>
        <v>"%USERPROFILE%\Documents\GitHub\eaglep3\Utilities\RefineRTDCRunTimes.py" --tripid 221-27 --locoid 4029 --swversion DE.1.0.7.0 --startMP 204:453 --initTime 2016-08-27T18:54:20 --startdatetime 2016-08-27T19:00:43 --delay 1 --endMP 204:233319 --enddatetime 2016-08-27T19:35:42 --enforcementcount 0 &gt;&gt;C:\Users\stu\Documents\GitHub\eaglep3-reporting\EC\2016-08-27-refined-times.txt</v>
      </c>
      <c r="AI137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{"issue":{"subject":"","project_id":79,"tracker_id":40,"status_id":1,"priority_id":2,"assigned_to_id":23,"start_date":"2016-08-27","description":"","custom_fields":[{"id":1,"name":"Subdivision","value":"EC"},{"id":4,"name":"Milepost","value":"23.2866"},{"id":17,"name":"Train ID","value":"221-27"},{"id":16,"name":"Locomotive ID","value":"4029"},{"id":130,"name":"Impact","value":""},{"id":150,"name":"Time of Event (Mountain Time)","value":"19:35:42"},{"id":151,"name":"Denver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629</v>
      </c>
      <c r="B138" s="7">
        <v>4030</v>
      </c>
      <c r="C138" s="24" t="s">
        <v>113</v>
      </c>
      <c r="D138" s="24" t="s">
        <v>275</v>
      </c>
      <c r="E138" s="15">
        <v>42609.825428240743</v>
      </c>
      <c r="F138" s="15">
        <v>42609.83085648148</v>
      </c>
      <c r="G138" s="7">
        <v>1</v>
      </c>
      <c r="H138" s="15" t="s">
        <v>345</v>
      </c>
      <c r="I138" s="15">
        <v>42609.857025462959</v>
      </c>
      <c r="J138" s="7">
        <v>0</v>
      </c>
      <c r="K138" s="132" t="str">
        <f t="shared" si="145"/>
        <v>4029/4030</v>
      </c>
      <c r="L138" s="24" t="str">
        <f>VLOOKUP(A138,'Trips&amp;Operators'!$C$1:$E$10000,3,FALSE)</f>
        <v>STAMBAUGH</v>
      </c>
      <c r="M138" s="6">
        <f t="shared" si="146"/>
        <v>2.6168981479713693E-2</v>
      </c>
      <c r="N138" s="7">
        <f t="shared" si="157"/>
        <v>37.683333330787718</v>
      </c>
      <c r="O138" s="7"/>
      <c r="P138" s="7"/>
      <c r="Q138" s="25"/>
      <c r="R138" s="25"/>
      <c r="S138" s="37">
        <f t="shared" si="147"/>
        <v>1</v>
      </c>
      <c r="T138" s="52" t="str">
        <f t="shared" si="148"/>
        <v>Southbound</v>
      </c>
      <c r="U138" s="12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18:48:37-0600',mode:absolute,to:'2016-08-27 21:34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38" s="54" t="str">
        <f t="shared" si="150"/>
        <v>N</v>
      </c>
      <c r="X138" s="120">
        <f t="shared" si="156"/>
        <v>1</v>
      </c>
      <c r="Y138" s="69">
        <f t="shared" si="151"/>
        <v>23.299099999999999</v>
      </c>
      <c r="Z138" s="69">
        <f t="shared" si="152"/>
        <v>1.23E-2</v>
      </c>
      <c r="AA138" s="69">
        <f t="shared" si="153"/>
        <v>23.286799999999999</v>
      </c>
      <c r="AB138" s="66" t="e">
        <f>VLOOKUP(A138,Enforcements!$C$7:$J$21,8,0)</f>
        <v>#N/A</v>
      </c>
      <c r="AC138" s="62" t="e">
        <f>VLOOKUP(A138,Enforcements!$C$7:$E$21,3,0)</f>
        <v>#N/A</v>
      </c>
      <c r="AD138" s="63" t="str">
        <f t="shared" si="154"/>
        <v>0222-27</v>
      </c>
      <c r="AE138" s="99" t="str">
        <f t="shared" si="113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38" s="96" t="str">
        <f t="shared" si="114"/>
        <v>"C:\Program Files (x86)\AstroGrep\AstroGrep.exe" /spath="%USERPROFILE%\AppData\Local\Temp\OnboardLogs" /stypes="*4030*20160828*" /stext=" 02:.+((SYSTEM_STATE.+slice.+state.+changed )|(ment ac)|(system.+state.+changed )|(\|lc)|(penalty)|(\[timeout)|(PRM\|1\|D)|(kpr)|(kdp))" /e /r /s</v>
      </c>
      <c r="AG138" s="1" t="str">
        <f t="shared" si="155"/>
        <v>EC</v>
      </c>
      <c r="AH138" s="100" t="str">
        <f t="shared" si="142"/>
        <v>"%USERPROFILE%\Documents\GitHub\eaglep3\Utilities\RefineRTDCRunTimes.py" --tripid 222-27 --locoid 4030 --swversion DE.1.0.7.0 --startMP 204:232991 --initTime 2016-08-27T19:48:37 --startdatetime 2016-08-27T19:56:26 --delay 1 --endMP 204:123 --enddatetime 2016-08-27T20:34:07 --enforcementcount 0 &gt;&gt;C:\Users\stu\Documents\GitHub\eaglep3-reporting\EC\2016-08-27-refined-times.txt</v>
      </c>
      <c r="AI138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{"issue":{"subject":"","project_id":79,"tracker_id":40,"status_id":1,"priority_id":2,"assigned_to_id":23,"start_date":"2016-08-27","description":"","custom_fields":[{"id":1,"name":"Subdivision","value":"EC"},{"id":4,"name":"Milepost","value":"23.2868"},{"id":17,"name":"Train ID","value":"222-27"},{"id":16,"name":"Locomotive ID","value":"4030"},{"id":130,"name":"Impact","value":""},{"id":150,"name":"Time of Event (Mountain Time)","value":"20:34:07"},{"id":151,"name":"Denver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s="23" customFormat="1" x14ac:dyDescent="0.25">
      <c r="A139" s="39" t="s">
        <v>630</v>
      </c>
      <c r="B139" s="7">
        <v>4025</v>
      </c>
      <c r="C139" s="24" t="s">
        <v>113</v>
      </c>
      <c r="D139" s="24" t="s">
        <v>135</v>
      </c>
      <c r="E139" s="15">
        <v>42609.807118055556</v>
      </c>
      <c r="F139" s="15">
        <v>42609.812731481485</v>
      </c>
      <c r="G139" s="7">
        <v>1</v>
      </c>
      <c r="H139" s="15" t="s">
        <v>149</v>
      </c>
      <c r="I139" s="15">
        <v>42609.837893518517</v>
      </c>
      <c r="J139" s="7">
        <v>0</v>
      </c>
      <c r="K139" s="132" t="str">
        <f t="shared" si="145"/>
        <v>4025/4026</v>
      </c>
      <c r="L139" s="24" t="str">
        <f>VLOOKUP(A139,'Trips&amp;Operators'!$C$1:$E$10000,3,FALSE)</f>
        <v>HILLS</v>
      </c>
      <c r="M139" s="6">
        <f t="shared" si="146"/>
        <v>2.5162037032714579E-2</v>
      </c>
      <c r="N139" s="7">
        <f t="shared" si="157"/>
        <v>36.233333327108994</v>
      </c>
      <c r="O139" s="7"/>
      <c r="P139" s="7"/>
      <c r="Q139" s="25"/>
      <c r="R139" s="25"/>
      <c r="S139" s="37">
        <f t="shared" si="147"/>
        <v>1</v>
      </c>
      <c r="T139" s="52" t="str">
        <f t="shared" si="148"/>
        <v>NorthBound</v>
      </c>
      <c r="U139" s="12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18:22:15-0600',mode:absolute,to:'2016-08-27 21:06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39" s="54" t="str">
        <f t="shared" si="150"/>
        <v>N</v>
      </c>
      <c r="X139" s="120">
        <f t="shared" si="156"/>
        <v>1</v>
      </c>
      <c r="Y139" s="69">
        <f t="shared" si="151"/>
        <v>4.4900000000000002E-2</v>
      </c>
      <c r="Z139" s="69">
        <f t="shared" si="152"/>
        <v>23.33</v>
      </c>
      <c r="AA139" s="69">
        <f t="shared" si="153"/>
        <v>23.2851</v>
      </c>
      <c r="AB139" s="66" t="e">
        <f>VLOOKUP(A139,Enforcements!$C$7:$J$21,8,0)</f>
        <v>#N/A</v>
      </c>
      <c r="AC139" s="62" t="e">
        <f>VLOOKUP(A139,Enforcements!$C$7:$E$21,3,0)</f>
        <v>#N/A</v>
      </c>
      <c r="AD139" s="63" t="str">
        <f t="shared" si="154"/>
        <v>0223-27</v>
      </c>
      <c r="AE139" s="99" t="str">
        <f t="shared" si="113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39" s="96" t="str">
        <f t="shared" si="114"/>
        <v>"C:\Program Files (x86)\AstroGrep\AstroGrep.exe" /spath="%USERPROFILE%\AppData\Local\Temp\OnboardLogs" /stypes="*4025*20160828*" /stext=" 02:.+((SYSTEM_STATE.+slice.+state.+changed )|(ment ac)|(system.+state.+changed )|(\|lc)|(penalty)|(\[timeout)|(PRM\|1\|D)|(kpr)|(kdp))" /e /r /s</v>
      </c>
      <c r="AG139" s="1" t="str">
        <f t="shared" si="155"/>
        <v>EC</v>
      </c>
      <c r="AH139" s="100" t="str">
        <f t="shared" si="142"/>
        <v>"%USERPROFILE%\Documents\GitHub\eaglep3\Utilities\RefineRTDCRunTimes.py" --tripid 223-27 --locoid 4025 --swversion DE.1.0.7.0 --startMP 204:449 --initTime 2016-08-27T19:22:15 --startdatetime 2016-08-27T19:30:20 --delay 1 --endMP 204:233300 --enddatetime 2016-08-27T20:06:34 --enforcementcount 0 &gt;&gt;C:\Users\stu\Documents\GitHub\eaglep3-reporting\EC\2016-08-27-refined-times.txt</v>
      </c>
      <c r="AI139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{"issue":{"subject":"","project_id":79,"tracker_id":40,"status_id":1,"priority_id":2,"assigned_to_id":23,"start_date":"2016-08-27","description":"","custom_fields":[{"id":1,"name":"Subdivision","value":"EC"},{"id":4,"name":"Milepost","value":"23.2851"},{"id":17,"name":"Train ID","value":"223-27"},{"id":16,"name":"Locomotive ID","value":"4025"},{"id":130,"name":"Impact","value":""},{"id":150,"name":"Time of Event (Mountain Time)","value":"20:06:34"},{"id":151,"name":"Denver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631</v>
      </c>
      <c r="B140" s="7">
        <v>4026</v>
      </c>
      <c r="C140" s="24" t="s">
        <v>113</v>
      </c>
      <c r="D140" s="24" t="s">
        <v>347</v>
      </c>
      <c r="E140" s="15">
        <v>42609.839421296296</v>
      </c>
      <c r="F140" s="15">
        <v>42609.851550925923</v>
      </c>
      <c r="G140" s="7">
        <v>1</v>
      </c>
      <c r="H140" s="15" t="s">
        <v>187</v>
      </c>
      <c r="I140" s="15">
        <v>42609.879259259258</v>
      </c>
      <c r="J140" s="7">
        <v>0</v>
      </c>
      <c r="K140" s="132" t="str">
        <f t="shared" si="145"/>
        <v>4025/4026</v>
      </c>
      <c r="L140" s="24" t="str">
        <f>VLOOKUP(A140,'Trips&amp;Operators'!$C$1:$E$10000,3,FALSE)</f>
        <v>HILLS</v>
      </c>
      <c r="M140" s="6">
        <f t="shared" si="146"/>
        <v>2.7708333334885538E-2</v>
      </c>
      <c r="N140" s="7">
        <f t="shared" si="157"/>
        <v>39.900000002235174</v>
      </c>
      <c r="O140" s="7"/>
      <c r="P140" s="7"/>
      <c r="Q140" s="25"/>
      <c r="R140" s="25"/>
      <c r="S140" s="37">
        <f t="shared" si="147"/>
        <v>1</v>
      </c>
      <c r="T140" s="52" t="str">
        <f t="shared" si="148"/>
        <v>Southbound</v>
      </c>
      <c r="U140" s="12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19:08:46-0600',mode:absolute,to:'2016-08-27 22:06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0" s="54" t="str">
        <f t="shared" si="150"/>
        <v>N</v>
      </c>
      <c r="X140" s="120">
        <f t="shared" si="156"/>
        <v>1</v>
      </c>
      <c r="Y140" s="69">
        <f t="shared" si="151"/>
        <v>23.298500000000001</v>
      </c>
      <c r="Z140" s="69">
        <f t="shared" si="152"/>
        <v>1.6E-2</v>
      </c>
      <c r="AA140" s="69">
        <f t="shared" si="153"/>
        <v>23.282500000000002</v>
      </c>
      <c r="AB140" s="66" t="e">
        <f>VLOOKUP(A140,Enforcements!$C$7:$J$21,8,0)</f>
        <v>#N/A</v>
      </c>
      <c r="AC140" s="62" t="e">
        <f>VLOOKUP(A140,Enforcements!$C$7:$E$21,3,0)</f>
        <v>#N/A</v>
      </c>
      <c r="AD140" s="63" t="str">
        <f t="shared" si="154"/>
        <v>0224-27</v>
      </c>
      <c r="AE140" s="99" t="str">
        <f t="shared" si="113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40" s="96" t="str">
        <f t="shared" si="114"/>
        <v>"C:\Program Files (x86)\AstroGrep\AstroGrep.exe" /spath="%USERPROFILE%\AppData\Local\Temp\OnboardLogs" /stypes="*4026*20160828*" /stext=" 03:.+((SYSTEM_STATE.+slice.+state.+changed )|(ment ac)|(system.+state.+changed )|(\|lc)|(penalty)|(\[timeout)|(PRM\|1\|D)|(kpr)|(kdp))" /e /r /s</v>
      </c>
      <c r="AG140" s="1" t="str">
        <f t="shared" si="155"/>
        <v>EC</v>
      </c>
      <c r="AH140" s="100" t="str">
        <f t="shared" si="142"/>
        <v>"%USERPROFILE%\Documents\GitHub\eaglep3\Utilities\RefineRTDCRunTimes.py" --tripid 224-27 --locoid 4026 --swversion DE.1.0.7.0 --startMP 204:232985 --initTime 2016-08-27T20:08:46 --startdatetime 2016-08-27T20:26:14 --delay 1 --endMP 204:160 --enddatetime 2016-08-27T21:06:08 --enforcementcount 0 &gt;&gt;C:\Users\stu\Documents\GitHub\eaglep3-reporting\EC\2016-08-27-refined-times.txt</v>
      </c>
      <c r="AI14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{"issue":{"subject":"","project_id":79,"tracker_id":40,"status_id":1,"priority_id":2,"assigned_to_id":23,"start_date":"2016-08-27","description":"","custom_fields":[{"id":1,"name":"Subdivision","value":"EC"},{"id":4,"name":"Milepost","value":"23.2825"},{"id":17,"name":"Train ID","value":"224-27"},{"id":16,"name":"Locomotive ID","value":"4026"},{"id":130,"name":"Impact","value":""},{"id":150,"name":"Time of Event (Mountain Time)","value":"21:06:08"},{"id":151,"name":"Denver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632</v>
      </c>
      <c r="B141" s="7">
        <v>4020</v>
      </c>
      <c r="C141" s="24" t="s">
        <v>113</v>
      </c>
      <c r="D141" s="24" t="s">
        <v>214</v>
      </c>
      <c r="E141" s="15">
        <v>42609.83153935185</v>
      </c>
      <c r="F141" s="15">
        <v>42609.83357638889</v>
      </c>
      <c r="G141" s="7">
        <v>1</v>
      </c>
      <c r="H141" s="15" t="s">
        <v>417</v>
      </c>
      <c r="I141" s="15">
        <v>42609.859143518515</v>
      </c>
      <c r="J141" s="7">
        <v>0</v>
      </c>
      <c r="K141" s="132" t="str">
        <f t="shared" si="145"/>
        <v>4019/4020</v>
      </c>
      <c r="L141" s="24" t="str">
        <f>VLOOKUP(A141,'Trips&amp;Operators'!$C$1:$E$10000,3,FALSE)</f>
        <v>CHANDLER</v>
      </c>
      <c r="M141" s="6">
        <f t="shared" si="146"/>
        <v>2.5567129625414964E-2</v>
      </c>
      <c r="N141" s="7">
        <f t="shared" si="157"/>
        <v>36.816666660597548</v>
      </c>
      <c r="O141" s="7"/>
      <c r="P141" s="7"/>
      <c r="Q141" s="25"/>
      <c r="R141" s="25"/>
      <c r="S141" s="37">
        <f t="shared" si="147"/>
        <v>1</v>
      </c>
      <c r="T141" s="52" t="str">
        <f t="shared" si="148"/>
        <v>NorthBound</v>
      </c>
      <c r="U141" s="12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18:57:25-0600',mode:absolute,to:'2016-08-27 21:37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1" s="54" t="str">
        <f t="shared" si="150"/>
        <v>N</v>
      </c>
      <c r="X141" s="120">
        <f t="shared" si="156"/>
        <v>1</v>
      </c>
      <c r="Y141" s="69">
        <f t="shared" si="151"/>
        <v>4.7800000000000002E-2</v>
      </c>
      <c r="Z141" s="69">
        <f t="shared" si="152"/>
        <v>23.329699999999999</v>
      </c>
      <c r="AA141" s="69">
        <f t="shared" si="153"/>
        <v>23.2819</v>
      </c>
      <c r="AB141" s="66" t="e">
        <f>VLOOKUP(A141,Enforcements!$C$7:$J$21,8,0)</f>
        <v>#N/A</v>
      </c>
      <c r="AC141" s="62" t="e">
        <f>VLOOKUP(A141,Enforcements!$C$7:$E$21,3,0)</f>
        <v>#N/A</v>
      </c>
      <c r="AD141" s="63" t="str">
        <f t="shared" si="154"/>
        <v>0225-27</v>
      </c>
      <c r="AE141" s="99" t="str">
        <f t="shared" ref="AE141:AE204" si="158">"aws s3 cp "&amp;s3_bucket&amp;"/RTDC"&amp;B141&amp;"/"&amp;TEXT(F141,"YYYY-MM-DD")&amp;"/ "&amp;search_path&amp;"\RTDC"&amp;B141&amp;"\"&amp;TEXT(F141,"YYYY-MM-DD")&amp;" --recursive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--recursive &amp; """&amp;walkandungz&amp;""" "&amp;search_path&amp;"\RTDC"&amp;B141&amp;"\"&amp;TEXT(F141+1,"YYYY-MM-DD")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41" s="96" t="str">
        <f t="shared" ref="AF141:AF204" si="159">astrogrep_path&amp;" /spath="&amp;search_path&amp;" /stypes=""*"&amp;B141&amp;"*"&amp;TEXT(I141-utc_offset/24,"YYYYMMDD")&amp;"*"" /stext="" "&amp;TEXT(I141-utc_offset/24,"HH")&amp;search_regexp&amp;""" /e /r /s"</f>
        <v>"C:\Program Files (x86)\AstroGrep\AstroGrep.exe" /spath="%USERPROFILE%\AppData\Local\Temp\OnboardLogs" /stypes="*4020*20160828*" /stext=" 02:.+((SYSTEM_STATE.+slice.+state.+changed )|(ment ac)|(system.+state.+changed )|(\|lc)|(penalty)|(\[timeout)|(PRM\|1\|D)|(kpr)|(kdp))" /e /r /s</v>
      </c>
      <c r="AG141" s="1" t="str">
        <f t="shared" si="155"/>
        <v>EC</v>
      </c>
      <c r="AH141" s="100" t="str">
        <f t="shared" si="142"/>
        <v>"%USERPROFILE%\Documents\GitHub\eaglep3\Utilities\RefineRTDCRunTimes.py" --tripid 225-27 --locoid 4020 --swversion DE.1.0.7.0 --startMP 204:478 --initTime 2016-08-27T19:57:25 --startdatetime 2016-08-27T20:00:21 --delay 1 --endMP 204:233297 --enddatetime 2016-08-27T20:37:10 --enforcementcount 0 &gt;&gt;C:\Users\stu\Documents\GitHub\eaglep3-reporting\EC\2016-08-27-refined-times.txt</v>
      </c>
      <c r="AI14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{"issue":{"subject":"","project_id":79,"tracker_id":40,"status_id":1,"priority_id":2,"assigned_to_id":23,"start_date":"2016-08-27","description":"","custom_fields":[{"id":1,"name":"Subdivision","value":"EC"},{"id":4,"name":"Milepost","value":"23.2819"},{"id":17,"name":"Train ID","value":"225-27"},{"id":16,"name":"Locomotive ID","value":"4020"},{"id":130,"name":"Impact","value":""},{"id":150,"name":"Time of Event (Mountain Time)","value":"20:37:10"},{"id":151,"name":"Denver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x14ac:dyDescent="0.25">
      <c r="A142" s="39" t="s">
        <v>633</v>
      </c>
      <c r="B142" s="7">
        <v>4019</v>
      </c>
      <c r="C142" s="24" t="s">
        <v>113</v>
      </c>
      <c r="D142" s="24" t="s">
        <v>353</v>
      </c>
      <c r="E142" s="15">
        <v>42609.86991898148</v>
      </c>
      <c r="F142" s="15">
        <v>42609.87259259259</v>
      </c>
      <c r="G142" s="7">
        <v>1</v>
      </c>
      <c r="H142" s="15" t="s">
        <v>348</v>
      </c>
      <c r="I142" s="15">
        <v>42609.900983796295</v>
      </c>
      <c r="J142" s="7">
        <v>0</v>
      </c>
      <c r="K142" s="132" t="str">
        <f t="shared" si="145"/>
        <v>4019/4020</v>
      </c>
      <c r="L142" s="24" t="str">
        <f>VLOOKUP(A142,'Trips&amp;Operators'!$C$1:$E$10000,3,FALSE)</f>
        <v>CHANDLER</v>
      </c>
      <c r="M142" s="6">
        <f t="shared" si="146"/>
        <v>2.8391203704813961E-2</v>
      </c>
      <c r="N142" s="7">
        <f t="shared" si="157"/>
        <v>40.883333334932104</v>
      </c>
      <c r="O142" s="7"/>
      <c r="P142" s="7"/>
      <c r="Q142" s="25"/>
      <c r="R142" s="25"/>
      <c r="S142" s="37">
        <f t="shared" si="147"/>
        <v>1</v>
      </c>
      <c r="T142" s="52" t="str">
        <f t="shared" si="148"/>
        <v>Southbound</v>
      </c>
      <c r="U142" s="12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19:52:41-0600',mode:absolute,to:'2016-08-27 22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42" s="54" t="str">
        <f t="shared" si="150"/>
        <v>N</v>
      </c>
      <c r="X142" s="120">
        <f t="shared" si="156"/>
        <v>1</v>
      </c>
      <c r="Y142" s="69">
        <f t="shared" si="151"/>
        <v>23.2974</v>
      </c>
      <c r="Z142" s="69">
        <f t="shared" si="152"/>
        <v>1.7399999999999999E-2</v>
      </c>
      <c r="AA142" s="69">
        <f t="shared" si="153"/>
        <v>23.28</v>
      </c>
      <c r="AB142" s="66" t="e">
        <f>VLOOKUP(A142,Enforcements!$C$7:$J$21,8,0)</f>
        <v>#N/A</v>
      </c>
      <c r="AC142" s="62" t="e">
        <f>VLOOKUP(A142,Enforcements!$C$7:$E$21,3,0)</f>
        <v>#N/A</v>
      </c>
      <c r="AD142" s="63" t="str">
        <f t="shared" si="154"/>
        <v>0226-27</v>
      </c>
      <c r="AE142" s="99" t="str">
        <f t="shared" si="158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42" s="96" t="str">
        <f t="shared" si="159"/>
        <v>"C:\Program Files (x86)\AstroGrep\AstroGrep.exe" /spath="%USERPROFILE%\AppData\Local\Temp\OnboardLogs" /stypes="*4019*20160828*" /stext=" 03:.+((SYSTEM_STATE.+slice.+state.+changed )|(ment ac)|(system.+state.+changed )|(\|lc)|(penalty)|(\[timeout)|(PRM\|1\|D)|(kpr)|(kdp))" /e /r /s</v>
      </c>
      <c r="AG142" s="1" t="str">
        <f t="shared" si="155"/>
        <v>EC</v>
      </c>
      <c r="AH142" s="100" t="str">
        <f t="shared" si="142"/>
        <v>"%USERPROFILE%\Documents\GitHub\eaglep3\Utilities\RefineRTDCRunTimes.py" --tripid 226-27 --locoid 4019 --swversion DE.1.0.7.0 --startMP 204:232974 --initTime 2016-08-27T20:52:41 --startdatetime 2016-08-27T20:56:32 --delay 1 --endMP 204:174 --enddatetime 2016-08-27T21:37:25 --enforcementcount 0 &gt;&gt;C:\Users\stu\Documents\GitHub\eaglep3-reporting\EC\2016-08-27-refined-times.txt</v>
      </c>
      <c r="AI142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{"issue":{"subject":"","project_id":79,"tracker_id":40,"status_id":1,"priority_id":2,"assigned_to_id":23,"start_date":"2016-08-27","description":"","custom_fields":[{"id":1,"name":"Subdivision","value":"EC"},{"id":4,"name":"Milepost","value":"23.28"},{"id":17,"name":"Train ID","value":"226-27"},{"id":16,"name":"Locomotive ID","value":"4019"},{"id":130,"name":"Impact","value":""},{"id":150,"name":"Time of Event (Mountain Time)","value":"21:37:25"},{"id":151,"name":"Denver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634</v>
      </c>
      <c r="B143" s="7">
        <v>4031</v>
      </c>
      <c r="C143" s="24" t="s">
        <v>113</v>
      </c>
      <c r="D143" s="24" t="s">
        <v>603</v>
      </c>
      <c r="E143" s="15">
        <v>42609.848807870374</v>
      </c>
      <c r="F143" s="15">
        <v>42609.854409722226</v>
      </c>
      <c r="G143" s="7">
        <v>6</v>
      </c>
      <c r="H143" s="15" t="s">
        <v>278</v>
      </c>
      <c r="I143" s="15">
        <v>42609.88013888889</v>
      </c>
      <c r="J143" s="7">
        <v>0</v>
      </c>
      <c r="K143" s="132" t="str">
        <f t="shared" si="145"/>
        <v>4031/4032</v>
      </c>
      <c r="L143" s="24" t="str">
        <f>VLOOKUP(A143,'Trips&amp;Operators'!$C$1:$E$10000,3,FALSE)</f>
        <v>STURGEON</v>
      </c>
      <c r="M143" s="6">
        <f t="shared" si="146"/>
        <v>2.5729166663950309E-2</v>
      </c>
      <c r="N143" s="7">
        <f t="shared" si="157"/>
        <v>37.049999996088445</v>
      </c>
      <c r="O143" s="7"/>
      <c r="P143" s="7"/>
      <c r="Q143" s="25"/>
      <c r="R143" s="25"/>
      <c r="S143" s="37">
        <f t="shared" si="147"/>
        <v>1</v>
      </c>
      <c r="T143" s="52" t="str">
        <f t="shared" si="148"/>
        <v>NorthBound</v>
      </c>
      <c r="U143" s="12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19:22:17-0600',mode:absolute,to:'2016-08-27 22:07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43" s="54" t="str">
        <f t="shared" si="150"/>
        <v>N</v>
      </c>
      <c r="X143" s="120">
        <f t="shared" si="156"/>
        <v>1</v>
      </c>
      <c r="Y143" s="69">
        <f t="shared" si="151"/>
        <v>4.7699999999999999E-2</v>
      </c>
      <c r="Z143" s="69">
        <f t="shared" si="152"/>
        <v>23.328199999999999</v>
      </c>
      <c r="AA143" s="69">
        <f t="shared" si="153"/>
        <v>23.2805</v>
      </c>
      <c r="AB143" s="66" t="e">
        <f>VLOOKUP(A143,Enforcements!$C$7:$J$21,8,0)</f>
        <v>#N/A</v>
      </c>
      <c r="AC143" s="62" t="e">
        <f>VLOOKUP(A143,Enforcements!$C$7:$E$21,3,0)</f>
        <v>#N/A</v>
      </c>
      <c r="AD143" s="63" t="str">
        <f t="shared" si="154"/>
        <v>0227-27</v>
      </c>
      <c r="AE143" s="99" t="str">
        <f t="shared" si="158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43" s="96" t="str">
        <f t="shared" si="159"/>
        <v>"C:\Program Files (x86)\AstroGrep\AstroGrep.exe" /spath="%USERPROFILE%\AppData\Local\Temp\OnboardLogs" /stypes="*4031*20160828*" /stext=" 03:.+((SYSTEM_STATE.+slice.+state.+changed )|(ment ac)|(system.+state.+changed )|(\|lc)|(penalty)|(\[timeout)|(PRM\|1\|D)|(kpr)|(kdp))" /e /r /s</v>
      </c>
      <c r="AG143" s="1" t="str">
        <f t="shared" si="155"/>
        <v>EC</v>
      </c>
      <c r="AH143" s="100" t="str">
        <f t="shared" si="142"/>
        <v>"%USERPROFILE%\Documents\GitHub\eaglep3\Utilities\RefineRTDCRunTimes.py" --tripid 227-27 --locoid 4031 --swversion DE.1.0.7.0 --startMP 204:477 --initTime 2016-08-27T20:22:17 --startdatetime 2016-08-27T20:30:21 --delay 6 --endMP 204:233282 --enddatetime 2016-08-27T21:07:24 --enforcementcount 0 &gt;&gt;C:\Users\stu\Documents\GitHub\eaglep3-reporting\EC\2016-08-27-refined-times.txt</v>
      </c>
      <c r="AI143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{"issue":{"subject":"","project_id":79,"tracker_id":40,"status_id":1,"priority_id":2,"assigned_to_id":23,"start_date":"2016-08-27","description":"","custom_fields":[{"id":1,"name":"Subdivision","value":"EC"},{"id":4,"name":"Milepost","value":"23.2805"},{"id":17,"name":"Train ID","value":"227-27"},{"id":16,"name":"Locomotive ID","value":"4031"},{"id":130,"name":"Impact","value":""},{"id":150,"name":"Time of Event (Mountain Time)","value":"21:07:24"},{"id":151,"name":"Denver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s="23" customFormat="1" x14ac:dyDescent="0.25">
      <c r="A144" s="39" t="s">
        <v>635</v>
      </c>
      <c r="B144" s="7">
        <v>4032</v>
      </c>
      <c r="C144" s="24" t="s">
        <v>113</v>
      </c>
      <c r="D144" s="24" t="s">
        <v>636</v>
      </c>
      <c r="E144" s="15">
        <v>42609.887164351851</v>
      </c>
      <c r="F144" s="15">
        <v>42609.893379629626</v>
      </c>
      <c r="G144" s="7">
        <v>1</v>
      </c>
      <c r="H144" s="15" t="s">
        <v>354</v>
      </c>
      <c r="I144" s="15">
        <v>42609.921319444446</v>
      </c>
      <c r="J144" s="7">
        <v>0</v>
      </c>
      <c r="K144" s="132" t="str">
        <f t="shared" si="145"/>
        <v>4031/4032</v>
      </c>
      <c r="L144" s="24" t="str">
        <f>VLOOKUP(A144,'Trips&amp;Operators'!$C$1:$E$10000,3,FALSE)</f>
        <v>STURGEON</v>
      </c>
      <c r="M144" s="6">
        <f t="shared" si="146"/>
        <v>2.7939814819546882E-2</v>
      </c>
      <c r="N144" s="7">
        <f t="shared" si="157"/>
        <v>40.23333334014751</v>
      </c>
      <c r="O144" s="7"/>
      <c r="P144" s="7"/>
      <c r="Q144" s="25"/>
      <c r="R144" s="25"/>
      <c r="S144" s="37">
        <f t="shared" si="147"/>
        <v>1</v>
      </c>
      <c r="T144" s="52" t="str">
        <f t="shared" si="148"/>
        <v>Southbound</v>
      </c>
      <c r="U144" s="12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20:17:31-0600',mode:absolute,to:'2016-08-27 23:06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44" s="54" t="str">
        <f t="shared" si="150"/>
        <v>N</v>
      </c>
      <c r="X144" s="120">
        <f t="shared" si="156"/>
        <v>1</v>
      </c>
      <c r="Y144" s="69">
        <f t="shared" si="151"/>
        <v>23.2957</v>
      </c>
      <c r="Z144" s="69">
        <f t="shared" si="152"/>
        <v>1.72E-2</v>
      </c>
      <c r="AA144" s="69">
        <f t="shared" si="153"/>
        <v>23.278500000000001</v>
      </c>
      <c r="AB144" s="66" t="e">
        <f>VLOOKUP(A144,Enforcements!$C$7:$J$21,8,0)</f>
        <v>#N/A</v>
      </c>
      <c r="AC144" s="62" t="e">
        <f>VLOOKUP(A144,Enforcements!$C$7:$E$21,3,0)</f>
        <v>#N/A</v>
      </c>
      <c r="AD144" s="63" t="str">
        <f t="shared" si="154"/>
        <v>0228-27</v>
      </c>
      <c r="AE144" s="99" t="str">
        <f t="shared" si="158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44" s="96" t="str">
        <f t="shared" si="159"/>
        <v>"C:\Program Files (x86)\AstroGrep\AstroGrep.exe" /spath="%USERPROFILE%\AppData\Local\Temp\OnboardLogs" /stypes="*4032*20160828*" /stext=" 04:.+((SYSTEM_STATE.+slice.+state.+changed )|(ment ac)|(system.+state.+changed )|(\|lc)|(penalty)|(\[timeout)|(PRM\|1\|D)|(kpr)|(kdp))" /e /r /s</v>
      </c>
      <c r="AG144" s="1" t="str">
        <f t="shared" si="155"/>
        <v>EC</v>
      </c>
      <c r="AH144" s="100" t="str">
        <f t="shared" si="142"/>
        <v>"%USERPROFILE%\Documents\GitHub\eaglep3\Utilities\RefineRTDCRunTimes.py" --tripid 228-27 --locoid 4032 --swversion DE.1.0.7.0 --startMP 204:232957 --initTime 2016-08-27T21:17:31 --startdatetime 2016-08-27T21:26:28 --delay 1 --endMP 204:172 --enddatetime 2016-08-27T22:06:42 --enforcementcount 0 &gt;&gt;C:\Users\stu\Documents\GitHub\eaglep3-reporting\EC\2016-08-27-refined-times.txt</v>
      </c>
      <c r="AI144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{"issue":{"subject":"","project_id":79,"tracker_id":40,"status_id":1,"priority_id":2,"assigned_to_id":23,"start_date":"2016-08-27","description":"","custom_fields":[{"id":1,"name":"Subdivision","value":"EC"},{"id":4,"name":"Milepost","value":"23.2785"},{"id":17,"name":"Train ID","value":"228-27"},{"id":16,"name":"Locomotive ID","value":"4032"},{"id":130,"name":"Impact","value":""},{"id":150,"name":"Time of Event (Mountain Time)","value":"22:06:42"},{"id":151,"name":"Denver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637</v>
      </c>
      <c r="B145" s="7">
        <v>4029</v>
      </c>
      <c r="C145" s="24" t="s">
        <v>113</v>
      </c>
      <c r="D145" s="24" t="s">
        <v>198</v>
      </c>
      <c r="E145" s="15">
        <v>42609.868645833332</v>
      </c>
      <c r="F145" s="15">
        <v>42609.875324074077</v>
      </c>
      <c r="G145" s="7">
        <v>1</v>
      </c>
      <c r="H145" s="15" t="s">
        <v>260</v>
      </c>
      <c r="I145" s="15">
        <v>42609.899756944447</v>
      </c>
      <c r="J145" s="7">
        <v>0</v>
      </c>
      <c r="K145" s="132" t="str">
        <f t="shared" si="145"/>
        <v>4029/4030</v>
      </c>
      <c r="L145" s="24" t="str">
        <f>VLOOKUP(A145,'Trips&amp;Operators'!$C$1:$E$10000,3,FALSE)</f>
        <v>STAMBAUGH</v>
      </c>
      <c r="M145" s="6">
        <f t="shared" si="146"/>
        <v>2.4432870370219462E-2</v>
      </c>
      <c r="N145" s="7">
        <f t="shared" si="157"/>
        <v>35.183333333116025</v>
      </c>
      <c r="O145" s="7"/>
      <c r="P145" s="7"/>
      <c r="Q145" s="25"/>
      <c r="R145" s="25"/>
      <c r="S145" s="37">
        <f t="shared" si="147"/>
        <v>1</v>
      </c>
      <c r="T145" s="52" t="str">
        <f t="shared" si="148"/>
        <v>NorthBound</v>
      </c>
      <c r="U145" s="12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19:50:51-0600',mode:absolute,to:'2016-08-27 22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45" s="54" t="str">
        <f t="shared" si="150"/>
        <v>N</v>
      </c>
      <c r="X145" s="120">
        <f t="shared" si="156"/>
        <v>1</v>
      </c>
      <c r="Y145" s="69">
        <f t="shared" si="151"/>
        <v>4.3499999999999997E-2</v>
      </c>
      <c r="Z145" s="69">
        <f t="shared" si="152"/>
        <v>23.333200000000001</v>
      </c>
      <c r="AA145" s="69">
        <f t="shared" si="153"/>
        <v>23.2897</v>
      </c>
      <c r="AB145" s="66" t="e">
        <f>VLOOKUP(A145,Enforcements!$C$7:$J$21,8,0)</f>
        <v>#N/A</v>
      </c>
      <c r="AC145" s="62" t="e">
        <f>VLOOKUP(A145,Enforcements!$C$7:$E$21,3,0)</f>
        <v>#N/A</v>
      </c>
      <c r="AD145" s="63" t="str">
        <f t="shared" si="154"/>
        <v>0229-27</v>
      </c>
      <c r="AE145" s="99" t="str">
        <f t="shared" si="158"/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45" s="96" t="str">
        <f t="shared" si="159"/>
        <v>"C:\Program Files (x86)\AstroGrep\AstroGrep.exe" /spath="%USERPROFILE%\AppData\Local\Temp\OnboardLogs" /stypes="*4029*20160828*" /stext=" 03:.+((SYSTEM_STATE.+slice.+state.+changed )|(ment ac)|(system.+state.+changed )|(\|lc)|(penalty)|(\[timeout)|(PRM\|1\|D)|(kpr)|(kdp))" /e /r /s</v>
      </c>
      <c r="AG145" s="1" t="str">
        <f t="shared" si="155"/>
        <v>EC</v>
      </c>
      <c r="AH145" s="100" t="str">
        <f t="shared" si="142"/>
        <v>"%USERPROFILE%\Documents\GitHub\eaglep3\Utilities\RefineRTDCRunTimes.py" --tripid 229-27 --locoid 4029 --swversion DE.1.0.7.0 --startMP 204:435 --initTime 2016-08-27T20:50:51 --startdatetime 2016-08-27T21:00:28 --delay 1 --endMP 204:233332 --enddatetime 2016-08-27T21:35:39 --enforcementcount 0 &gt;&gt;C:\Users\stu\Documents\GitHub\eaglep3-reporting\EC\2016-08-27-refined-times.txt</v>
      </c>
      <c r="AI145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{"issue":{"subject":"","project_id":79,"tracker_id":40,"status_id":1,"priority_id":2,"assigned_to_id":23,"start_date":"2016-08-27","description":"","custom_fields":[{"id":1,"name":"Subdivision","value":"EC"},{"id":4,"name":"Milepost","value":"23.2897"},{"id":17,"name":"Train ID","value":"229-27"},{"id":16,"name":"Locomotive ID","value":"4029"},{"id":130,"name":"Impact","value":""},{"id":150,"name":"Time of Event (Mountain Time)","value":"21:35:39"},{"id":151,"name":"Denver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s="23" customFormat="1" x14ac:dyDescent="0.25">
      <c r="A146" s="39" t="s">
        <v>638</v>
      </c>
      <c r="B146" s="7">
        <v>4030</v>
      </c>
      <c r="C146" s="24" t="s">
        <v>113</v>
      </c>
      <c r="D146" s="24" t="s">
        <v>639</v>
      </c>
      <c r="E146" s="15">
        <v>42609.903993055559</v>
      </c>
      <c r="F146" s="15">
        <v>42609.914247685185</v>
      </c>
      <c r="G146" s="7">
        <v>1</v>
      </c>
      <c r="H146" s="15" t="s">
        <v>207</v>
      </c>
      <c r="I146" s="15">
        <v>42609.940266203703</v>
      </c>
      <c r="J146" s="7">
        <v>0</v>
      </c>
      <c r="K146" s="132" t="str">
        <f t="shared" si="145"/>
        <v>4029/4030</v>
      </c>
      <c r="L146" s="24" t="str">
        <f>VLOOKUP(A146,'Trips&amp;Operators'!$C$1:$E$10000,3,FALSE)</f>
        <v>STAMBAUGH</v>
      </c>
      <c r="M146" s="6">
        <f t="shared" si="146"/>
        <v>2.6018518517958E-2</v>
      </c>
      <c r="N146" s="7">
        <f t="shared" si="157"/>
        <v>37.46666666585952</v>
      </c>
      <c r="O146" s="7"/>
      <c r="P146" s="7"/>
      <c r="Q146" s="25"/>
      <c r="R146" s="25"/>
      <c r="S146" s="37">
        <f t="shared" si="147"/>
        <v>1</v>
      </c>
      <c r="T146" s="52" t="str">
        <f t="shared" si="148"/>
        <v>Southbound</v>
      </c>
      <c r="U146" s="12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20:41:45-0600',mode:absolute,to:'2016-08-27 23:33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46" s="54" t="str">
        <f t="shared" si="150"/>
        <v>N</v>
      </c>
      <c r="X146" s="120">
        <f t="shared" si="156"/>
        <v>1</v>
      </c>
      <c r="Y146" s="69">
        <f t="shared" si="151"/>
        <v>23.303000000000001</v>
      </c>
      <c r="Z146" s="69">
        <f t="shared" si="152"/>
        <v>1.38E-2</v>
      </c>
      <c r="AA146" s="69">
        <f t="shared" si="153"/>
        <v>23.289200000000001</v>
      </c>
      <c r="AB146" s="66" t="e">
        <f>VLOOKUP(A146,Enforcements!$C$7:$J$21,8,0)</f>
        <v>#N/A</v>
      </c>
      <c r="AC146" s="62" t="e">
        <f>VLOOKUP(A146,Enforcements!$C$7:$E$21,3,0)</f>
        <v>#N/A</v>
      </c>
      <c r="AD146" s="63" t="str">
        <f t="shared" si="154"/>
        <v>0230-27</v>
      </c>
      <c r="AE146" s="99" t="str">
        <f t="shared" si="158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46" s="96" t="str">
        <f t="shared" si="159"/>
        <v>"C:\Program Files (x86)\AstroGrep\AstroGrep.exe" /spath="%USERPROFILE%\AppData\Local\Temp\OnboardLogs" /stypes="*4030*20160828*" /stext=" 04:.+((SYSTEM_STATE.+slice.+state.+changed )|(ment ac)|(system.+state.+changed )|(\|lc)|(penalty)|(\[timeout)|(PRM\|1\|D)|(kpr)|(kdp))" /e /r /s</v>
      </c>
      <c r="AG146" s="1" t="str">
        <f t="shared" si="155"/>
        <v>EC</v>
      </c>
      <c r="AH146" s="100" t="str">
        <f t="shared" si="142"/>
        <v>"%USERPROFILE%\Documents\GitHub\eaglep3\Utilities\RefineRTDCRunTimes.py" --tripid 230-27 --locoid 4030 --swversion DE.1.0.7.0 --startMP 204:233030 --initTime 2016-08-27T21:41:45 --startdatetime 2016-08-27T21:56:31 --delay 1 --endMP 204:138 --enddatetime 2016-08-27T22:33:59 --enforcementcount 0 &gt;&gt;C:\Users\stu\Documents\GitHub\eaglep3-reporting\EC\2016-08-27-refined-times.txt</v>
      </c>
      <c r="AI146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{"issue":{"subject":"","project_id":79,"tracker_id":40,"status_id":1,"priority_id":2,"assigned_to_id":23,"start_date":"2016-08-27","description":"","custom_fields":[{"id":1,"name":"Subdivision","value":"EC"},{"id":4,"name":"Milepost","value":"23.2892"},{"id":17,"name":"Train ID","value":"230-27"},{"id":16,"name":"Locomotive ID","value":"4030"},{"id":130,"name":"Impact","value":""},{"id":150,"name":"Time of Event (Mountain Time)","value":"22:33:59"},{"id":151,"name":"Denver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640</v>
      </c>
      <c r="B147" s="7">
        <v>4025</v>
      </c>
      <c r="C147" s="24" t="s">
        <v>113</v>
      </c>
      <c r="D147" s="24" t="s">
        <v>154</v>
      </c>
      <c r="E147" s="15">
        <v>42609.880729166667</v>
      </c>
      <c r="F147" s="15">
        <v>42609.895995370367</v>
      </c>
      <c r="G147" s="7">
        <v>1</v>
      </c>
      <c r="H147" s="15" t="s">
        <v>200</v>
      </c>
      <c r="I147" s="15">
        <v>42609.921203703707</v>
      </c>
      <c r="J147" s="7">
        <v>0</v>
      </c>
      <c r="K147" s="132" t="str">
        <f t="shared" si="145"/>
        <v>4025/4026</v>
      </c>
      <c r="L147" s="24" t="str">
        <f>VLOOKUP(A147,'Trips&amp;Operators'!$C$1:$E$10000,3,FALSE)</f>
        <v>HILLS</v>
      </c>
      <c r="M147" s="6">
        <f t="shared" si="146"/>
        <v>2.5208333339833189E-2</v>
      </c>
      <c r="N147" s="7">
        <f t="shared" si="157"/>
        <v>36.300000009359792</v>
      </c>
      <c r="O147" s="7"/>
      <c r="P147" s="7"/>
      <c r="Q147" s="25"/>
      <c r="R147" s="25"/>
      <c r="S147" s="37">
        <f t="shared" si="147"/>
        <v>1</v>
      </c>
      <c r="T147" s="52" t="str">
        <f t="shared" si="148"/>
        <v>NorthBound</v>
      </c>
      <c r="U147" s="12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20:08:15-0600',mode:absolute,to:'2016-08-27 23:06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47" s="54" t="str">
        <f t="shared" si="150"/>
        <v>N</v>
      </c>
      <c r="X147" s="120">
        <f t="shared" si="156"/>
        <v>1</v>
      </c>
      <c r="Y147" s="69">
        <f t="shared" si="151"/>
        <v>4.5100000000000001E-2</v>
      </c>
      <c r="Z147" s="69">
        <f t="shared" si="152"/>
        <v>23.331199999999999</v>
      </c>
      <c r="AA147" s="69">
        <f t="shared" si="153"/>
        <v>23.286099999999998</v>
      </c>
      <c r="AB147" s="66" t="e">
        <f>VLOOKUP(A147,Enforcements!$C$7:$J$21,8,0)</f>
        <v>#N/A</v>
      </c>
      <c r="AC147" s="62" t="e">
        <f>VLOOKUP(A147,Enforcements!$C$7:$E$21,3,0)</f>
        <v>#N/A</v>
      </c>
      <c r="AD147" s="63" t="str">
        <f t="shared" si="154"/>
        <v>0231-27</v>
      </c>
      <c r="AE147" s="99" t="str">
        <f t="shared" si="158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47" s="96" t="str">
        <f t="shared" si="159"/>
        <v>"C:\Program Files (x86)\AstroGrep\AstroGrep.exe" /spath="%USERPROFILE%\AppData\Local\Temp\OnboardLogs" /stypes="*4025*20160828*" /stext=" 04:.+((SYSTEM_STATE.+slice.+state.+changed )|(ment ac)|(system.+state.+changed )|(\|lc)|(penalty)|(\[timeout)|(PRM\|1\|D)|(kpr)|(kdp))" /e /r /s</v>
      </c>
      <c r="AG147" s="1" t="str">
        <f t="shared" si="155"/>
        <v>EC</v>
      </c>
      <c r="AH147" s="100" t="str">
        <f t="shared" si="142"/>
        <v>"%USERPROFILE%\Documents\GitHub\eaglep3\Utilities\RefineRTDCRunTimes.py" --tripid 231-27 --locoid 4025 --swversion DE.1.0.7.0 --startMP 204:451 --initTime 2016-08-27T21:08:15 --startdatetime 2016-08-27T21:30:14 --delay 1 --endMP 204:233312 --enddatetime 2016-08-27T22:06:32 --enforcementcount 0 &gt;&gt;C:\Users\stu\Documents\GitHub\eaglep3-reporting\EC\2016-08-27-refined-times.txt</v>
      </c>
      <c r="AI147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{"issue":{"subject":"","project_id":79,"tracker_id":40,"status_id":1,"priority_id":2,"assigned_to_id":23,"start_date":"2016-08-27","description":"","custom_fields":[{"id":1,"name":"Subdivision","value":"EC"},{"id":4,"name":"Milepost","value":"23.2861"},{"id":17,"name":"Train ID","value":"231-27"},{"id":16,"name":"Locomotive ID","value":"4025"},{"id":130,"name":"Impact","value":""},{"id":150,"name":"Time of Event (Mountain Time)","value":"22:06:32"},{"id":151,"name":"Denver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641</v>
      </c>
      <c r="B148" s="7">
        <v>4026</v>
      </c>
      <c r="C148" s="24" t="s">
        <v>113</v>
      </c>
      <c r="D148" s="24" t="s">
        <v>213</v>
      </c>
      <c r="E148" s="15">
        <v>42609.925034722219</v>
      </c>
      <c r="F148" s="15">
        <v>42609.935046296298</v>
      </c>
      <c r="G148" s="7">
        <v>1</v>
      </c>
      <c r="H148" s="15" t="s">
        <v>187</v>
      </c>
      <c r="I148" s="15">
        <v>42609.962604166663</v>
      </c>
      <c r="J148" s="7">
        <v>0</v>
      </c>
      <c r="K148" s="132" t="str">
        <f t="shared" si="145"/>
        <v>4025/4026</v>
      </c>
      <c r="L148" s="24" t="str">
        <f>VLOOKUP(A148,'Trips&amp;Operators'!$C$1:$E$10000,3,FALSE)</f>
        <v>HILLS</v>
      </c>
      <c r="M148" s="6">
        <f t="shared" si="146"/>
        <v>2.7557870365853887E-2</v>
      </c>
      <c r="N148" s="7">
        <f t="shared" si="157"/>
        <v>39.683333326829597</v>
      </c>
      <c r="O148" s="7"/>
      <c r="P148" s="7"/>
      <c r="Q148" s="25"/>
      <c r="R148" s="25"/>
      <c r="S148" s="37">
        <f t="shared" si="147"/>
        <v>1</v>
      </c>
      <c r="T148" s="52" t="str">
        <f t="shared" si="148"/>
        <v>Southbound</v>
      </c>
      <c r="U148" s="12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6" t="str">
        <f t="shared" si="149"/>
        <v>https://search-rtdc-monitor-bjffxe2xuh6vdkpspy63sjmuny.us-east-1.es.amazonaws.com/_plugin/kibana/#/discover/Steve-Slow-Train-Analysis-(2080s-and-2083s)?_g=(refreshInterval:(display:Off,section:0,value:0),time:(from:'2016-08-27 21:12:03-0600',mode:absolute,to:'2016-08-28 00:06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48" s="54" t="str">
        <f t="shared" si="150"/>
        <v>N</v>
      </c>
      <c r="X148" s="120">
        <f t="shared" si="156"/>
        <v>1</v>
      </c>
      <c r="Y148" s="69">
        <f t="shared" si="151"/>
        <v>23.2989</v>
      </c>
      <c r="Z148" s="69">
        <f t="shared" si="152"/>
        <v>1.6E-2</v>
      </c>
      <c r="AA148" s="69">
        <f t="shared" si="153"/>
        <v>23.282900000000001</v>
      </c>
      <c r="AB148" s="66" t="e">
        <f>VLOOKUP(A148,Enforcements!$C$7:$J$21,8,0)</f>
        <v>#N/A</v>
      </c>
      <c r="AC148" s="62" t="e">
        <f>VLOOKUP(A148,Enforcements!$C$7:$E$21,3,0)</f>
        <v>#N/A</v>
      </c>
      <c r="AD148" s="63" t="str">
        <f t="shared" si="154"/>
        <v>0232-27</v>
      </c>
      <c r="AE148" s="99" t="str">
        <f t="shared" si="158"/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AF148" s="96" t="str">
        <f t="shared" si="159"/>
        <v>"C:\Program Files (x86)\AstroGrep\AstroGrep.exe" /spath="%USERPROFILE%\AppData\Local\Temp\OnboardLogs" /stypes="*4026*20160828*" /stext=" 05:.+((SYSTEM_STATE.+slice.+state.+changed )|(ment ac)|(system.+state.+changed )|(\|lc)|(penalty)|(\[timeout)|(PRM\|1\|D)|(kpr)|(kdp))" /e /r /s</v>
      </c>
      <c r="AG148" s="1" t="str">
        <f t="shared" si="155"/>
        <v>EC</v>
      </c>
      <c r="AH148" s="100" t="str">
        <f t="shared" si="142"/>
        <v>"%USERPROFILE%\Documents\GitHub\eaglep3\Utilities\RefineRTDCRunTimes.py" --tripid 232-27 --locoid 4026 --swversion DE.1.0.7.0 --startMP 204:232989 --initTime 2016-08-27T22:12:03 --startdatetime 2016-08-27T22:26:28 --delay 1 --endMP 204:160 --enddatetime 2016-08-27T23:06:09 --enforcementcount 0 &gt;&gt;C:\Users\stu\Documents\GitHub\eaglep3-reporting\EC\2016-08-27-refined-times.txt</v>
      </c>
      <c r="AI148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{"issue":{"subject":"","project_id":79,"tracker_id":40,"status_id":1,"priority_id":2,"assigned_to_id":23,"start_date":"2016-08-27","description":"","custom_fields":[{"id":1,"name":"Subdivision","value":"EC"},{"id":4,"name":"Milepost","value":"23.2829"},{"id":17,"name":"Train ID","value":"232-27"},{"id":16,"name":"Locomotive ID","value":"4026"},{"id":130,"name":"Impact","value":""},{"id":150,"name":"Time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s="23" customFormat="1" x14ac:dyDescent="0.25">
      <c r="A149" s="39" t="s">
        <v>642</v>
      </c>
      <c r="B149" s="7">
        <v>4020</v>
      </c>
      <c r="C149" s="24" t="s">
        <v>113</v>
      </c>
      <c r="D149" s="24" t="s">
        <v>603</v>
      </c>
      <c r="E149" s="15">
        <v>42609.915451388886</v>
      </c>
      <c r="F149" s="15">
        <v>42609.916863425926</v>
      </c>
      <c r="G149" s="7">
        <v>1</v>
      </c>
      <c r="H149" s="15" t="s">
        <v>417</v>
      </c>
      <c r="I149" s="15">
        <v>42609.943912037037</v>
      </c>
      <c r="J149" s="7">
        <v>0</v>
      </c>
      <c r="K149" s="132" t="str">
        <f t="shared" ref="K149:K180" si="160">IF(ISEVEN(B149),(B149-1)&amp;"/"&amp;B149,B149&amp;"/"&amp;(B149+1))</f>
        <v>4019/4020</v>
      </c>
      <c r="L149" s="24" t="str">
        <f>VLOOKUP(A149,'Trips&amp;Operators'!$C$1:$E$10000,3,FALSE)</f>
        <v>CHANDLER</v>
      </c>
      <c r="M149" s="6">
        <f t="shared" ref="M149:M180" si="161">I149-F149</f>
        <v>2.7048611111240461E-2</v>
      </c>
      <c r="N149" s="7">
        <f t="shared" si="157"/>
        <v>38.950000000186265</v>
      </c>
      <c r="O149" s="7"/>
      <c r="P149" s="7"/>
      <c r="Q149" s="25"/>
      <c r="R149" s="25"/>
      <c r="S149" s="37">
        <f t="shared" ref="S149:S180" si="162">SUM(U149:U149)/IF(AG149="EC",12,1)</f>
        <v>1</v>
      </c>
      <c r="T149" s="52" t="str">
        <f t="shared" ref="T149:T180" si="163">IF(ISEVEN(LEFT(AD149,4)),"Southbound","NorthBound")</f>
        <v>NorthBound</v>
      </c>
      <c r="U149" s="12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6" t="str">
        <f t="shared" ref="V149:V180" si="164"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https://search-rtdc-monitor-bjffxe2xuh6vdkpspy63sjmuny.us-east-1.es.amazonaws.com/_plugin/kibana/#/discover/Steve-Slow-Train-Analysis-(2080s-and-2083s)?_g=(refreshInterval:(display:Off,section:0,value:0),time:(from:'2016-08-27 20:58:15-0600',mode:absolute,to:'2016-08-27 23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49" s="54" t="str">
        <f t="shared" ref="W149:W180" si="165">IF(AA149&lt;IF(AG149="EC",23,5.65),"Y","N")</f>
        <v>N</v>
      </c>
      <c r="X149" s="120">
        <f t="shared" si="156"/>
        <v>1</v>
      </c>
      <c r="Y149" s="69">
        <f t="shared" ref="Y149:Y180" si="166">RIGHT(D149,LEN(D149)-4)/10000</f>
        <v>4.7699999999999999E-2</v>
      </c>
      <c r="Z149" s="69">
        <f t="shared" ref="Z149:Z180" si="167">RIGHT(H149,LEN(H149)-4)/10000</f>
        <v>23.329699999999999</v>
      </c>
      <c r="AA149" s="69">
        <f t="shared" ref="AA149:AA180" si="168">ABS(Z149-Y149)</f>
        <v>23.282</v>
      </c>
      <c r="AB149" s="66">
        <f>VLOOKUP(A149,Enforcements!$C$7:$J$21,8,0)</f>
        <v>63069</v>
      </c>
      <c r="AC149" s="62" t="str">
        <f>VLOOKUP(A149,Enforcements!$C$7:$E$21,3,0)</f>
        <v>GRADE CROSSING</v>
      </c>
      <c r="AD149" s="63" t="str">
        <f t="shared" ref="AD149:AD180" si="169">IF(LEN(A149)=6,"0"&amp;A149,A149)</f>
        <v>0233-27</v>
      </c>
      <c r="AE149" s="99" t="str">
        <f t="shared" si="158"/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AF149" s="96" t="str">
        <f t="shared" si="159"/>
        <v>"C:\Program Files (x86)\AstroGrep\AstroGrep.exe" /spath="%USERPROFILE%\AppData\Local\Temp\OnboardLogs" /stypes="*4020*20160828*" /stext=" 04:.+((SYSTEM_STATE.+slice.+state.+changed )|(ment ac)|(system.+state.+changed )|(\|lc)|(penalty)|(\[timeout)|(PRM\|1\|D)|(kpr)|(kdp))" /e /r /s</v>
      </c>
      <c r="AG149" s="1" t="str">
        <f t="shared" ref="AG149:AG180" si="170">IFERROR(IF(VALUE(LEFT(AD149,2))&lt;=2,"EC",IF(OR(VALUE(LEFT(AD149,2))=8,VALUE(LEFT(AD149,2))=18),"NW","Other")),"Other")</f>
        <v>EC</v>
      </c>
      <c r="AH149" s="100" t="str">
        <f t="shared" si="142"/>
        <v>"%USERPROFILE%\Documents\GitHub\eaglep3\Utilities\RefineRTDCRunTimes.py" --tripid 233-27 --locoid 4020 --swversion DE.1.0.7.0 --startMP 204:477 --initTime 2016-08-27T21:58:15 --startdatetime 2016-08-27T22:00:17 --delay 1 --endMP 204:233297 --enddatetime 2016-08-27T22:39:14 --enforcementcount 0 &gt;&gt;C:\Users\stu\Documents\GitHub\eaglep3-reporting\EC\2016-08-27-refined-times.txt</v>
      </c>
      <c r="AI149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{"issue":{"subject":"","project_id":79,"tracker_id":40,"status_id":1,"priority_id":2,"assigned_to_id":23,"start_date":"2016-08-27","description":"","custom_fields":[{"id":1,"name":"Subdivision","value":"EC"},{"id":4,"name":"Milepost","value":"23.282"},{"id":17,"name":"Train ID","value":"233-27"},{"id":16,"name":"Locomotive ID","value":"4020"},{"id":130,"name":"Impact","value":""},{"id":150,"name":"Time of Event (Mountain Time)","value":"22:39:14"},{"id":151,"name":"Denver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643</v>
      </c>
      <c r="B150" s="7">
        <v>4019</v>
      </c>
      <c r="C150" s="24" t="s">
        <v>113</v>
      </c>
      <c r="D150" s="24" t="s">
        <v>412</v>
      </c>
      <c r="E150" s="15">
        <v>42609.954467592594</v>
      </c>
      <c r="F150" s="15">
        <v>42609.955821759257</v>
      </c>
      <c r="G150" s="7">
        <v>1</v>
      </c>
      <c r="H150" s="15" t="s">
        <v>153</v>
      </c>
      <c r="I150" s="15">
        <v>42609.986747685187</v>
      </c>
      <c r="J150" s="7">
        <v>0</v>
      </c>
      <c r="K150" s="132" t="str">
        <f t="shared" si="160"/>
        <v>4019/4020</v>
      </c>
      <c r="L150" s="24" t="str">
        <f>VLOOKUP(A150,'Trips&amp;Operators'!$C$1:$E$10000,3,FALSE)</f>
        <v>CHANDLER</v>
      </c>
      <c r="M150" s="6">
        <f t="shared" si="161"/>
        <v>3.0925925930205267E-2</v>
      </c>
      <c r="N150" s="7">
        <f t="shared" si="157"/>
        <v>44.533333339495584</v>
      </c>
      <c r="O150" s="7"/>
      <c r="P150" s="7"/>
      <c r="Q150" s="25"/>
      <c r="R150" s="25"/>
      <c r="S150" s="37">
        <f t="shared" si="162"/>
        <v>1</v>
      </c>
      <c r="T150" s="52" t="str">
        <f t="shared" si="163"/>
        <v>Southbound</v>
      </c>
      <c r="U150" s="12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21:54:26-0600',mode:absolute,to:'2016-08-28 00:40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0" s="54" t="str">
        <f t="shared" si="165"/>
        <v>N</v>
      </c>
      <c r="X150" s="120">
        <f t="shared" si="156"/>
        <v>1</v>
      </c>
      <c r="Y150" s="69">
        <f t="shared" si="166"/>
        <v>23.2973</v>
      </c>
      <c r="Z150" s="69">
        <f t="shared" si="167"/>
        <v>1.5599999999999999E-2</v>
      </c>
      <c r="AA150" s="69">
        <f t="shared" si="168"/>
        <v>23.281700000000001</v>
      </c>
      <c r="AB150" s="66" t="e">
        <f>VLOOKUP(A150,Enforcements!$C$7:$J$21,8,0)</f>
        <v>#N/A</v>
      </c>
      <c r="AC150" s="62" t="e">
        <f>VLOOKUP(A150,Enforcements!$C$7:$E$21,3,0)</f>
        <v>#N/A</v>
      </c>
      <c r="AD150" s="63" t="str">
        <f t="shared" si="169"/>
        <v>0234-27</v>
      </c>
      <c r="AE150" s="99" t="str">
        <f t="shared" si="158"/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AF150" s="96" t="str">
        <f t="shared" si="159"/>
        <v>"C:\Program Files (x86)\AstroGrep\AstroGrep.exe" /spath="%USERPROFILE%\AppData\Local\Temp\OnboardLogs" /stypes="*4019*20160828*" /stext=" 05:.+((SYSTEM_STATE.+slice.+state.+changed )|(ment ac)|(system.+state.+changed )|(\|lc)|(penalty)|(\[timeout)|(PRM\|1\|D)|(kpr)|(kdp))" /e /r /s</v>
      </c>
      <c r="AG150" s="1" t="str">
        <f t="shared" si="170"/>
        <v>EC</v>
      </c>
      <c r="AH150" s="100" t="str">
        <f t="shared" si="142"/>
        <v>"%USERPROFILE%\Documents\GitHub\eaglep3\Utilities\RefineRTDCRunTimes.py" --tripid 234-27 --locoid 4019 --swversion DE.1.0.7.0 --startMP 204:232973 --initTime 2016-08-27T22:54:26 --startdatetime 2016-08-27T22:56:23 --delay 1 --endMP 204:156 --enddatetime 2016-08-27T23:40:55 --enforcementcount 0 &gt;&gt;C:\Users\stu\Documents\GitHub\eaglep3-reporting\EC\2016-08-27-refined-times.txt</v>
      </c>
      <c r="AI150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{"issue":{"subject":"","project_id":79,"tracker_id":40,"status_id":1,"priority_id":2,"assigned_to_id":23,"start_date":"2016-08-27","description":"","custom_fields":[{"id":1,"name":"Subdivision","value":"EC"},{"id":4,"name":"Milepost","value":"23.2817"},{"id":17,"name":"Train ID","value":"234-27"},{"id":16,"name":"Locomotive ID","value":"4019"},{"id":130,"name":"Impact","value":""},{"id":150,"name":"Time of Event (Mountain Time)","value":"23:40:55"},{"id":151,"name":"Denver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644</v>
      </c>
      <c r="B151" s="7">
        <v>4031</v>
      </c>
      <c r="C151" s="24" t="s">
        <v>113</v>
      </c>
      <c r="D151" s="24" t="s">
        <v>178</v>
      </c>
      <c r="E151" s="15">
        <v>42609.93173611111</v>
      </c>
      <c r="F151" s="15">
        <v>42609.937824074077</v>
      </c>
      <c r="G151" s="7">
        <v>1</v>
      </c>
      <c r="H151" s="15" t="s">
        <v>271</v>
      </c>
      <c r="I151" s="15">
        <v>42609.964583333334</v>
      </c>
      <c r="J151" s="7">
        <v>0</v>
      </c>
      <c r="K151" s="132" t="str">
        <f t="shared" si="160"/>
        <v>4031/4032</v>
      </c>
      <c r="L151" s="24" t="str">
        <f>VLOOKUP(A151,'Trips&amp;Operators'!$C$1:$E$10000,3,FALSE)</f>
        <v>STURGEON</v>
      </c>
      <c r="M151" s="6">
        <f t="shared" si="161"/>
        <v>2.675925925723277E-2</v>
      </c>
      <c r="N151" s="7">
        <f t="shared" si="157"/>
        <v>38.533333330415189</v>
      </c>
      <c r="O151" s="7"/>
      <c r="P151" s="7"/>
      <c r="Q151" s="25"/>
      <c r="R151" s="25"/>
      <c r="S151" s="37">
        <f t="shared" si="162"/>
        <v>1</v>
      </c>
      <c r="T151" s="52" t="str">
        <f t="shared" si="163"/>
        <v>NorthBound</v>
      </c>
      <c r="U151" s="12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21:21:42-0600',mode:absolute,to:'2016-08-28 00:09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1" s="54" t="str">
        <f t="shared" si="165"/>
        <v>N</v>
      </c>
      <c r="X151" s="120">
        <f t="shared" si="156"/>
        <v>1</v>
      </c>
      <c r="Y151" s="69">
        <f t="shared" si="166"/>
        <v>4.7100000000000003E-2</v>
      </c>
      <c r="Z151" s="69">
        <f t="shared" si="167"/>
        <v>23.330200000000001</v>
      </c>
      <c r="AA151" s="69">
        <f t="shared" si="168"/>
        <v>23.283100000000001</v>
      </c>
      <c r="AB151" s="66" t="e">
        <f>VLOOKUP(A151,Enforcements!$C$7:$J$21,8,0)</f>
        <v>#N/A</v>
      </c>
      <c r="AC151" s="62" t="e">
        <f>VLOOKUP(A151,Enforcements!$C$7:$E$21,3,0)</f>
        <v>#N/A</v>
      </c>
      <c r="AD151" s="63" t="str">
        <f t="shared" si="169"/>
        <v>0235-27</v>
      </c>
      <c r="AE151" s="99" t="str">
        <f t="shared" si="158"/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AF151" s="96" t="str">
        <f t="shared" si="159"/>
        <v>"C:\Program Files (x86)\AstroGrep\AstroGrep.exe" /spath="%USERPROFILE%\AppData\Local\Temp\OnboardLogs" /stypes="*4031*20160828*" /stext=" 05:.+((SYSTEM_STATE.+slice.+state.+changed )|(ment ac)|(system.+state.+changed )|(\|lc)|(penalty)|(\[timeout)|(PRM\|1\|D)|(kpr)|(kdp))" /e /r /s</v>
      </c>
      <c r="AG151" s="1" t="str">
        <f t="shared" si="170"/>
        <v>EC</v>
      </c>
      <c r="AH151" s="100" t="str">
        <f t="shared" si="142"/>
        <v>"%USERPROFILE%\Documents\GitHub\eaglep3\Utilities\RefineRTDCRunTimes.py" --tripid 235-27 --locoid 4031 --swversion DE.1.0.7.0 --startMP 204:471 --initTime 2016-08-27T22:21:42 --startdatetime 2016-08-27T22:30:28 --delay 1 --endMP 204:233302 --enddatetime 2016-08-27T23:09:00 --enforcementcount 0 &gt;&gt;C:\Users\stu\Documents\GitHub\eaglep3-reporting\EC\2016-08-27-refined-times.txt</v>
      </c>
      <c r="AI151" s="149" t="str">
        <f t="shared" si="143"/>
        <v>echo {"issue":{"subject":"","project_id":79,"tracker_id":40,"status_id":1,"priority_id":2,"assigned_to_id":23,"start_date":"2016-08-27","description":"","custom_fields":[{"id":1,"name":"Subdivision","value":"EC"},{"id":4,"name":"Milepost","value":"23.2831"},{"id":17,"name":"Train ID","value":"235-27"},{"id":16,"name":"Locomotive ID","value":"4031"},{"id":130,"name":"Impact","value":""},{"id":150,"name":"Time of Event (Mountain Time)","value":"23:09:00"},{"id":151,"name":"Denver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645</v>
      </c>
      <c r="B152" s="7">
        <v>4032</v>
      </c>
      <c r="C152" s="24" t="s">
        <v>113</v>
      </c>
      <c r="D152" s="24" t="s">
        <v>353</v>
      </c>
      <c r="E152" s="15">
        <v>42609.968773148146</v>
      </c>
      <c r="F152" s="15">
        <v>42609.976712962962</v>
      </c>
      <c r="G152" s="7">
        <v>1</v>
      </c>
      <c r="H152" s="15" t="s">
        <v>646</v>
      </c>
      <c r="I152" s="15">
        <v>42610.003888888888</v>
      </c>
      <c r="J152" s="7">
        <v>0</v>
      </c>
      <c r="K152" s="132" t="str">
        <f t="shared" si="160"/>
        <v>4031/4032</v>
      </c>
      <c r="L152" s="24" t="str">
        <f>VLOOKUP(A152,'Trips&amp;Operators'!$C$1:$E$10000,3,FALSE)</f>
        <v>STURGEON</v>
      </c>
      <c r="M152" s="6">
        <f t="shared" si="161"/>
        <v>2.7175925926712807E-2</v>
      </c>
      <c r="N152" s="7">
        <f t="shared" si="157"/>
        <v>39.133333334466442</v>
      </c>
      <c r="O152" s="7"/>
      <c r="P152" s="7"/>
      <c r="Q152" s="25"/>
      <c r="R152" s="25"/>
      <c r="S152" s="37">
        <f t="shared" si="162"/>
        <v>1</v>
      </c>
      <c r="T152" s="52" t="str">
        <f t="shared" si="163"/>
        <v>Southbound</v>
      </c>
      <c r="U152" s="12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22:15:02-0600',mode:absolute,to:'2016-08-28 01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52" s="54" t="str">
        <f t="shared" si="165"/>
        <v>N</v>
      </c>
      <c r="X152" s="120">
        <f t="shared" si="156"/>
        <v>1</v>
      </c>
      <c r="Y152" s="69">
        <f t="shared" si="166"/>
        <v>23.2974</v>
      </c>
      <c r="Z152" s="69">
        <f t="shared" si="167"/>
        <v>1.78E-2</v>
      </c>
      <c r="AA152" s="69">
        <f t="shared" si="168"/>
        <v>23.279599999999999</v>
      </c>
      <c r="AB152" s="66" t="e">
        <f>VLOOKUP(A152,Enforcements!$C$7:$J$21,8,0)</f>
        <v>#N/A</v>
      </c>
      <c r="AC152" s="62" t="e">
        <f>VLOOKUP(A152,Enforcements!$C$7:$E$21,3,0)</f>
        <v>#N/A</v>
      </c>
      <c r="AD152" s="63" t="str">
        <f t="shared" si="169"/>
        <v>0236-27</v>
      </c>
      <c r="AE152" s="99" t="str">
        <f t="shared" si="158"/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AF152" s="96" t="str">
        <f t="shared" si="159"/>
        <v>"C:\Program Files (x86)\AstroGrep\AstroGrep.exe" /spath="%USERPROFILE%\AppData\Local\Temp\OnboardLogs" /stypes="*4032*20160828*" /stext=" 06:.+((SYSTEM_STATE.+slice.+state.+changed )|(ment ac)|(system.+state.+changed )|(\|lc)|(penalty)|(\[timeout)|(PRM\|1\|D)|(kpr)|(kdp))" /e /r /s</v>
      </c>
      <c r="AG152" s="1" t="str">
        <f t="shared" si="170"/>
        <v>EC</v>
      </c>
      <c r="AH152" s="100" t="str">
        <f t="shared" si="142"/>
        <v>"%USERPROFILE%\Documents\GitHub\eaglep3\Utilities\RefineRTDCRunTimes.py" --tripid 236-27 --locoid 4032 --swversion DE.1.0.7.0 --startMP 204:232974 --initTime 2016-08-27T23:15:02 --startdatetime 2016-08-27T23:26:28 --delay 1 --endMP 204:178 --enddatetime 2016-08-28T00:05:36 --enforcementcount 0 &gt;&gt;C:\Users\stu\Documents\GitHub\eaglep3-reporting\EC\2016-08-27-refined-times.txt</v>
      </c>
      <c r="AI152" s="149" t="str">
        <f t="shared" si="143"/>
        <v>echo {"issue":{"subject":"","project_id":79,"tracker_id":40,"status_id":1,"priority_id":2,"assigned_to_id":23,"start_date":"2016-08-28","description":"","custom_fields":[{"id":1,"name":"Subdivision","value":"EC"},{"id":4,"name":"Milepost","value":"23.2796"},{"id":17,"name":"Train ID","value":"236-27"},{"id":16,"name":"Locomotive ID","value":"4032"},{"id":130,"name":"Impact","value":""},{"id":150,"name":"Time of Event (Mountain Time)","value":"00:05:36"},{"id":151,"name":"Denver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647</v>
      </c>
      <c r="B153" s="7">
        <v>4029</v>
      </c>
      <c r="C153" s="24" t="s">
        <v>113</v>
      </c>
      <c r="D153" s="24" t="s">
        <v>595</v>
      </c>
      <c r="E153" s="15">
        <v>42609.94226851852</v>
      </c>
      <c r="F153" s="15">
        <v>42609.958680555559</v>
      </c>
      <c r="G153" s="7">
        <v>1</v>
      </c>
      <c r="H153" s="15" t="s">
        <v>210</v>
      </c>
      <c r="I153" s="15">
        <v>42609.98337962963</v>
      </c>
      <c r="J153" s="7">
        <v>0</v>
      </c>
      <c r="K153" s="132" t="str">
        <f t="shared" si="160"/>
        <v>4029/4030</v>
      </c>
      <c r="L153" s="24" t="str">
        <f>VLOOKUP(A153,'Trips&amp;Operators'!$C$1:$E$10000,3,FALSE)</f>
        <v>STAMBAUGH</v>
      </c>
      <c r="M153" s="6">
        <f t="shared" si="161"/>
        <v>2.4699074070667848E-2</v>
      </c>
      <c r="N153" s="7">
        <f t="shared" si="157"/>
        <v>35.566666661761701</v>
      </c>
      <c r="O153" s="7"/>
      <c r="P153" s="7"/>
      <c r="Q153" s="25"/>
      <c r="R153" s="25"/>
      <c r="S153" s="37">
        <f t="shared" si="162"/>
        <v>1</v>
      </c>
      <c r="T153" s="52" t="str">
        <f t="shared" si="163"/>
        <v>NorthBound</v>
      </c>
      <c r="U153" s="12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21:36:52-0600',mode:absolute,to:'2016-08-28 00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53" s="54" t="str">
        <f t="shared" si="165"/>
        <v>N</v>
      </c>
      <c r="X153" s="120">
        <f t="shared" ref="X153:X157" si="171">VALUE(LEFT(AD153,4))-VALUE(LEFT(AD152,4))</f>
        <v>1</v>
      </c>
      <c r="Y153" s="69">
        <f t="shared" si="166"/>
        <v>4.3299999999999998E-2</v>
      </c>
      <c r="Z153" s="69">
        <f t="shared" si="167"/>
        <v>23.332000000000001</v>
      </c>
      <c r="AA153" s="69">
        <f t="shared" si="168"/>
        <v>23.288700000000002</v>
      </c>
      <c r="AB153" s="66" t="e">
        <f>VLOOKUP(A153,Enforcements!$C$7:$J$21,8,0)</f>
        <v>#N/A</v>
      </c>
      <c r="AC153" s="62" t="e">
        <f>VLOOKUP(A153,Enforcements!$C$7:$E$21,3,0)</f>
        <v>#N/A</v>
      </c>
      <c r="AD153" s="63" t="str">
        <f t="shared" si="169"/>
        <v>0237-27</v>
      </c>
      <c r="AE153" s="99" t="str">
        <f t="shared" si="158"/>
        <v>aws s3 cp s3://rtdc.mdm.uploadarchive/RTDC4029/2016-08-27/ "%USERPROFILE%\AppData\Local\Temp\OnboardLogs"\RTDC4029\2016-08-27 --recursive &amp; "%USERPROFILE%\Documents\GitHub\mrs-test-scripts\Headless Mode &amp; Sideloading\WalkAndUnGZ.bat" "%USERPROFILE%\AppData\Local\Temp\OnboardLogs"\RTDC4029\2016-08-27 &amp; 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</v>
      </c>
      <c r="AF153" s="96" t="str">
        <f t="shared" si="159"/>
        <v>"C:\Program Files (x86)\AstroGrep\AstroGrep.exe" /spath="%USERPROFILE%\AppData\Local\Temp\OnboardLogs" /stypes="*4029*20160828*" /stext=" 05:.+((SYSTEM_STATE.+slice.+state.+changed )|(ment ac)|(system.+state.+changed )|(\|lc)|(penalty)|(\[timeout)|(PRM\|1\|D)|(kpr)|(kdp))" /e /r /s</v>
      </c>
      <c r="AG153" s="1" t="str">
        <f t="shared" si="170"/>
        <v>EC</v>
      </c>
      <c r="AH153" s="100" t="str">
        <f t="shared" ref="AH153:AH202" si="172">refinertdcruntimes&amp;" --tripid "&amp;A153&amp;" --locoid "&amp;B153&amp;" --swversion "&amp;C153&amp;" --startMP "&amp;D153&amp;" --initTime "&amp;TEXT(E153,"yyyy-mm-ddTHH:MM:SS")&amp;" --startdatetime "&amp;TEXT(F153,"yyyy-mm-ddTHH:MM:SS")&amp;" --delay "&amp;G153&amp;" --endMP "&amp;H153&amp;" --enddatetime "&amp;TEXT(I153,"yyyy-mm-ddTHH:MM:SS")&amp;" --enforcementcount "&amp;J153&amp;IF(outputrefinedruntimes," &gt;&gt;"&amp;RefinedRTDCRunTimesOutputFile,"")</f>
        <v>"%USERPROFILE%\Documents\GitHub\eaglep3\Utilities\RefineRTDCRunTimes.py" --tripid 237-27 --locoid 4029 --swversion DE.1.0.7.0 --startMP 204:433 --initTime 2016-08-27T22:36:52 --startdatetime 2016-08-27T23:00:30 --delay 1 --endMP 204:233320 --enddatetime 2016-08-27T23:36:04 --enforcementcount 0 &gt;&gt;C:\Users\stu\Documents\GitHub\eaglep3-reporting\EC\2016-08-27-refined-times.txt</v>
      </c>
      <c r="AI153" s="149" t="str">
        <f t="shared" ref="AI153:AI202" si="173">"echo {""issue"":{""subject"":"""&amp;R153&amp;""",""project_id"":79,""tracker_id"":40,""status_id"":"&amp;redmine_status&amp;",""priority_id"":"&amp;redmine_priority&amp;",""assigned_to_id"":"&amp;redmine_assignee&amp;",""start_date"":"""&amp;TEXT(I153,"YYYY-mm-dd")&amp;""",""description"":"""&amp;AJ153&amp;""",""custom_fields"":[{""id"":1,""name"":""Subdivision"",""value"":"""&amp;AG153&amp;"""},{""id"":4,""name"":""Milepost"",""value"":"""&amp;AA153&amp;"""},{""id"":17,""name"":""Train ID"",""value"":"""&amp;A153&amp;"""},{""id"":16,""name"":""Locomotive ID"",""value"":"""&amp;B153&amp;"""},{""id"":130,""name"":""Impact"",""value"":"""&amp;AK153&amp;"""},{""id"":150,""name"":""Time of Event (Mountain Time)"",""value"":"""&amp;TEXT(I153,"hh:mm:ss")&amp;"""},{""id"":151,""name"":""Denver Issue ID"",""value"":"""&amp;"""},{""id"":178,""name"":""Operational Impact"",""value"":"""&amp;redmine_op_impact&amp;"""},{""id"":179,""name"":""Denver Segment Assigned"",""value"":"""&amp;AL153&amp;"""}]}}"&amp;"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{"issue":{"subject":"","project_id":79,"tracker_id":40,"status_id":1,"priority_id":2,"assigned_to_id":23,"start_date":"2016-08-27","description":"","custom_fields":[{"id":1,"name":"Subdivision","value":"EC"},{"id":4,"name":"Milepost","value":"23.2887"},{"id":17,"name":"Train ID","value":"237-27"},{"id":16,"name":"Locomotive ID","value":"4029"},{"id":130,"name":"Impact","value":""},{"id":150,"name":"Time of Event (Mountain Time)","value":"23:36:04"},{"id":151,"name":"Denver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648</v>
      </c>
      <c r="B154" s="7">
        <v>4030</v>
      </c>
      <c r="C154" s="24" t="s">
        <v>113</v>
      </c>
      <c r="D154" s="24" t="s">
        <v>649</v>
      </c>
      <c r="E154" s="15">
        <v>42609.991631944446</v>
      </c>
      <c r="F154" s="15">
        <v>42609.999756944446</v>
      </c>
      <c r="G154" s="7">
        <v>2</v>
      </c>
      <c r="H154" s="15" t="s">
        <v>152</v>
      </c>
      <c r="I154" s="15">
        <v>42610.025254629632</v>
      </c>
      <c r="J154" s="7">
        <v>0</v>
      </c>
      <c r="K154" s="132" t="str">
        <f t="shared" si="160"/>
        <v>4029/4030</v>
      </c>
      <c r="L154" s="24" t="str">
        <f>VLOOKUP(A154,'Trips&amp;Operators'!$C$1:$E$10000,3,FALSE)</f>
        <v>STAMBAUGH</v>
      </c>
      <c r="M154" s="6">
        <f t="shared" si="161"/>
        <v>2.5497685186564922E-2</v>
      </c>
      <c r="N154" s="7">
        <f t="shared" si="157"/>
        <v>36.716666668653488</v>
      </c>
      <c r="O154" s="7"/>
      <c r="P154" s="7"/>
      <c r="Q154" s="25"/>
      <c r="R154" s="25"/>
      <c r="S154" s="37">
        <f t="shared" si="162"/>
        <v>1</v>
      </c>
      <c r="T154" s="52" t="str">
        <f t="shared" si="163"/>
        <v>Southbound</v>
      </c>
      <c r="U154" s="12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22:47:57-0600',mode:absolute,to:'2016-08-28 01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54" s="54" t="str">
        <f t="shared" si="165"/>
        <v>N</v>
      </c>
      <c r="X154" s="120">
        <f t="shared" si="171"/>
        <v>1</v>
      </c>
      <c r="Y154" s="69">
        <f t="shared" si="166"/>
        <v>23.302499999999998</v>
      </c>
      <c r="Z154" s="69">
        <f t="shared" si="167"/>
        <v>1.4999999999999999E-2</v>
      </c>
      <c r="AA154" s="69">
        <f t="shared" si="168"/>
        <v>23.287499999999998</v>
      </c>
      <c r="AB154" s="66" t="e">
        <f>VLOOKUP(A154,Enforcements!$C$7:$J$21,8,0)</f>
        <v>#N/A</v>
      </c>
      <c r="AC154" s="62" t="e">
        <f>VLOOKUP(A154,Enforcements!$C$7:$E$21,3,0)</f>
        <v>#N/A</v>
      </c>
      <c r="AD154" s="63" t="str">
        <f t="shared" si="169"/>
        <v>0238-27</v>
      </c>
      <c r="AE154" s="99" t="str">
        <f t="shared" si="158"/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AF154" s="96" t="str">
        <f t="shared" si="159"/>
        <v>"C:\Program Files (x86)\AstroGrep\AstroGrep.exe" /spath="%USERPROFILE%\AppData\Local\Temp\OnboardLogs" /stypes="*4030*20160828*" /stext=" 06:.+((SYSTEM_STATE.+slice.+state.+changed )|(ment ac)|(system.+state.+changed )|(\|lc)|(penalty)|(\[timeout)|(PRM\|1\|D)|(kpr)|(kdp))" /e /r /s</v>
      </c>
      <c r="AG154" s="1" t="str">
        <f t="shared" si="170"/>
        <v>EC</v>
      </c>
      <c r="AH154" s="100" t="str">
        <f t="shared" si="172"/>
        <v>"%USERPROFILE%\Documents\GitHub\eaglep3\Utilities\RefineRTDCRunTimes.py" --tripid 238-27 --locoid 4030 --swversion DE.1.0.7.0 --startMP 204:233025 --initTime 2016-08-27T23:47:57 --startdatetime 2016-08-27T23:59:39 --delay 2 --endMP 204:150 --enddatetime 2016-08-28T00:36:22 --enforcementcount 0 &gt;&gt;C:\Users\stu\Documents\GitHub\eaglep3-reporting\EC\2016-08-27-refined-times.txt</v>
      </c>
      <c r="AI154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{"issue":{"subject":"","project_id":79,"tracker_id":40,"status_id":1,"priority_id":2,"assigned_to_id":23,"start_date":"2016-08-28","description":"","custom_fields":[{"id":1,"name":"Subdivision","value":"EC"},{"id":4,"name":"Milepost","value":"23.2875"},{"id":17,"name":"Train ID","value":"238-27"},{"id":16,"name":"Locomotive ID","value":"4030"},{"id":130,"name":"Impact","value":""},{"id":150,"name":"Time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650</v>
      </c>
      <c r="B155" s="7">
        <v>4025</v>
      </c>
      <c r="C155" s="24" t="s">
        <v>113</v>
      </c>
      <c r="D155" s="24" t="s">
        <v>139</v>
      </c>
      <c r="E155" s="15">
        <v>42609.96802083333</v>
      </c>
      <c r="F155" s="15">
        <v>42609.97929398148</v>
      </c>
      <c r="G155" s="7">
        <v>2</v>
      </c>
      <c r="H155" s="15" t="s">
        <v>188</v>
      </c>
      <c r="I155" s="15">
        <v>42610.005937499998</v>
      </c>
      <c r="J155" s="7">
        <v>0</v>
      </c>
      <c r="K155" s="132" t="str">
        <f t="shared" si="160"/>
        <v>4025/4026</v>
      </c>
      <c r="L155" s="24" t="str">
        <f>VLOOKUP(A155,'Trips&amp;Operators'!$C$1:$E$10000,3,FALSE)</f>
        <v>HILLS</v>
      </c>
      <c r="M155" s="6">
        <f t="shared" si="161"/>
        <v>2.6643518518540077E-2</v>
      </c>
      <c r="N155" s="7">
        <f t="shared" si="157"/>
        <v>38.366666666697711</v>
      </c>
      <c r="O155" s="7"/>
      <c r="P155" s="7"/>
      <c r="Q155" s="25"/>
      <c r="R155" s="25"/>
      <c r="S155" s="37">
        <f t="shared" si="162"/>
        <v>1</v>
      </c>
      <c r="T155" s="52" t="str">
        <f t="shared" si="163"/>
        <v>NorthBound</v>
      </c>
      <c r="U155" s="12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22:13:57-0600',mode:absolute,to:'2016-08-28 01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155" s="54" t="str">
        <f t="shared" si="165"/>
        <v>N</v>
      </c>
      <c r="X155" s="120">
        <f t="shared" si="171"/>
        <v>1</v>
      </c>
      <c r="Y155" s="69">
        <f t="shared" si="166"/>
        <v>4.6699999999999998E-2</v>
      </c>
      <c r="Z155" s="69">
        <f t="shared" si="167"/>
        <v>23.3293</v>
      </c>
      <c r="AA155" s="69">
        <f t="shared" si="168"/>
        <v>23.282599999999999</v>
      </c>
      <c r="AB155" s="66">
        <f>VLOOKUP(A155,Enforcements!$C$7:$J$21,8,0)</f>
        <v>190834</v>
      </c>
      <c r="AC155" s="62" t="str">
        <f>VLOOKUP(A155,Enforcements!$C$7:$E$21,3,0)</f>
        <v>PERMANENT SPEED RESTRICTION</v>
      </c>
      <c r="AD155" s="63" t="str">
        <f t="shared" si="169"/>
        <v>0239-27</v>
      </c>
      <c r="AE155" s="99" t="str">
        <f t="shared" si="158"/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AF155" s="96" t="str">
        <f t="shared" si="159"/>
        <v>"C:\Program Files (x86)\AstroGrep\AstroGrep.exe" /spath="%USERPROFILE%\AppData\Local\Temp\OnboardLogs" /stypes="*4025*20160828*" /stext=" 06:.+((SYSTEM_STATE.+slice.+state.+changed )|(ment ac)|(system.+state.+changed )|(\|lc)|(penalty)|(\[timeout)|(PRM\|1\|D)|(kpr)|(kdp))" /e /r /s</v>
      </c>
      <c r="AG155" s="1" t="str">
        <f t="shared" si="170"/>
        <v>EC</v>
      </c>
      <c r="AH155" s="100" t="str">
        <f t="shared" si="172"/>
        <v>"%USERPROFILE%\Documents\GitHub\eaglep3\Utilities\RefineRTDCRunTimes.py" --tripid 239-27 --locoid 4025 --swversion DE.1.0.7.0 --startMP 204:467 --initTime 2016-08-27T23:13:57 --startdatetime 2016-08-27T23:30:11 --delay 2 --endMP 204:233293 --enddatetime 2016-08-28T00:08:33 --enforcementcount 0 &gt;&gt;C:\Users\stu\Documents\GitHub\eaglep3-reporting\EC\2016-08-27-refined-times.txt</v>
      </c>
      <c r="AI155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{"issue":{"subject":"","project_id":79,"tracker_id":40,"status_id":1,"priority_id":2,"assigned_to_id":23,"start_date":"2016-08-28","description":"","custom_fields":[{"id":1,"name":"Subdivision","value":"EC"},{"id":4,"name":"Milepost","value":"23.2826"},{"id":17,"name":"Train ID","value":"239-27"},{"id":16,"name":"Locomotive ID","value":"4025"},{"id":130,"name":"Impact","value":""},{"id":150,"name":"Time of Event (Mountain Time)","value":"00:08:33"},{"id":151,"name":"Denver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651</v>
      </c>
      <c r="B156" s="7">
        <v>4026</v>
      </c>
      <c r="C156" s="24" t="s">
        <v>113</v>
      </c>
      <c r="D156" s="24" t="s">
        <v>273</v>
      </c>
      <c r="E156" s="15">
        <v>42610.007893518516</v>
      </c>
      <c r="F156" s="15">
        <v>42610.018229166664</v>
      </c>
      <c r="G156" s="7">
        <v>1</v>
      </c>
      <c r="H156" s="15" t="s">
        <v>652</v>
      </c>
      <c r="I156" s="15">
        <v>42610.045787037037</v>
      </c>
      <c r="J156" s="7">
        <v>0</v>
      </c>
      <c r="K156" s="132" t="str">
        <f t="shared" si="160"/>
        <v>4025/4026</v>
      </c>
      <c r="L156" s="24" t="str">
        <f>VLOOKUP(A156,'Trips&amp;Operators'!$C$1:$E$10000,3,FALSE)</f>
        <v>HILLS</v>
      </c>
      <c r="M156" s="6">
        <f t="shared" si="161"/>
        <v>2.7557870373129845E-2</v>
      </c>
      <c r="N156" s="7">
        <f t="shared" si="157"/>
        <v>39.683333337306976</v>
      </c>
      <c r="O156" s="7"/>
      <c r="P156" s="7"/>
      <c r="Q156" s="25"/>
      <c r="R156" s="25"/>
      <c r="S156" s="37">
        <f t="shared" si="162"/>
        <v>1</v>
      </c>
      <c r="T156" s="52" t="str">
        <f t="shared" si="163"/>
        <v>Southbound</v>
      </c>
      <c r="U156" s="12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23:11:22-0600',mode:absolute,to:'2016-08-28 02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156" s="54" t="str">
        <f t="shared" si="165"/>
        <v>N</v>
      </c>
      <c r="X156" s="120">
        <f t="shared" si="171"/>
        <v>1</v>
      </c>
      <c r="Y156" s="69">
        <f t="shared" si="166"/>
        <v>23.299299999999999</v>
      </c>
      <c r="Z156" s="69">
        <f t="shared" si="167"/>
        <v>0.1179</v>
      </c>
      <c r="AA156" s="69">
        <f t="shared" si="168"/>
        <v>23.1814</v>
      </c>
      <c r="AB156" s="66" t="e">
        <f>VLOOKUP(A156,Enforcements!$C$7:$J$21,8,0)</f>
        <v>#N/A</v>
      </c>
      <c r="AC156" s="62" t="e">
        <f>VLOOKUP(A156,Enforcements!$C$7:$E$21,3,0)</f>
        <v>#N/A</v>
      </c>
      <c r="AD156" s="63" t="str">
        <f t="shared" si="169"/>
        <v>0240-27</v>
      </c>
      <c r="AE156" s="99" t="str">
        <f t="shared" si="158"/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156" s="96" t="str">
        <f t="shared" si="159"/>
        <v>"C:\Program Files (x86)\AstroGrep\AstroGrep.exe" /spath="%USERPROFILE%\AppData\Local\Temp\OnboardLogs" /stypes="*4026*20160828*" /stext=" 07:.+((SYSTEM_STATE.+slice.+state.+changed )|(ment ac)|(system.+state.+changed )|(\|lc)|(penalty)|(\[timeout)|(PRM\|1\|D)|(kpr)|(kdp))" /e /r /s</v>
      </c>
      <c r="AG156" s="1" t="str">
        <f t="shared" si="170"/>
        <v>EC</v>
      </c>
      <c r="AH156" s="100" t="str">
        <f t="shared" si="172"/>
        <v>"%USERPROFILE%\Documents\GitHub\eaglep3\Utilities\RefineRTDCRunTimes.py" --tripid 240-27 --locoid 4026 --swversion DE.1.0.7.0 --startMP 204:232993 --initTime 2016-08-28T00:11:22 --startdatetime 2016-08-28T00:26:15 --delay 1 --endMP 204:1179 --enddatetime 2016-08-28T01:05:56 --enforcementcount 0 &gt;&gt;C:\Users\stu\Documents\GitHub\eaglep3-reporting\EC\2016-08-27-refined-times.txt</v>
      </c>
      <c r="AI156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{"issue":{"subject":"","project_id":79,"tracker_id":40,"status_id":1,"priority_id":2,"assigned_to_id":23,"start_date":"2016-08-28","description":"","custom_fields":[{"id":1,"name":"Subdivision","value":"EC"},{"id":4,"name":"Milepost","value":"23.1814"},{"id":17,"name":"Train ID","value":"240-27"},{"id":16,"name":"Locomotive ID","value":"4026"},{"id":130,"name":"Impact","value":""},{"id":150,"name":"Time of Event (Mountain Time)","value":"01:05:56"},{"id":151,"name":"Denver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x14ac:dyDescent="0.25">
      <c r="A157" s="39" t="s">
        <v>653</v>
      </c>
      <c r="B157" s="7">
        <v>4020</v>
      </c>
      <c r="C157" s="24" t="s">
        <v>113</v>
      </c>
      <c r="D157" s="24" t="s">
        <v>154</v>
      </c>
      <c r="E157" s="15">
        <v>42609.995185185187</v>
      </c>
      <c r="F157" s="15">
        <v>42610.000173611108</v>
      </c>
      <c r="G157" s="7">
        <v>2</v>
      </c>
      <c r="H157" s="15" t="s">
        <v>278</v>
      </c>
      <c r="I157" s="15">
        <v>42610.026782407411</v>
      </c>
      <c r="J157" s="7">
        <v>0</v>
      </c>
      <c r="K157" s="132" t="str">
        <f t="shared" si="160"/>
        <v>4019/4020</v>
      </c>
      <c r="L157" s="24" t="str">
        <f>VLOOKUP(A157,'Trips&amp;Operators'!$C$1:$E$10000,3,FALSE)</f>
        <v>CHANDLER</v>
      </c>
      <c r="M157" s="6">
        <f t="shared" si="161"/>
        <v>2.6608796302753035E-2</v>
      </c>
      <c r="N157" s="7">
        <f t="shared" si="157"/>
        <v>38.31666667596437</v>
      </c>
      <c r="O157" s="7"/>
      <c r="P157" s="7"/>
      <c r="Q157" s="25"/>
      <c r="R157" s="25"/>
      <c r="S157" s="37">
        <f t="shared" si="162"/>
        <v>1</v>
      </c>
      <c r="T157" s="52" t="str">
        <f t="shared" si="163"/>
        <v>NorthBound</v>
      </c>
      <c r="U157" s="12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22:53:04-0600',mode:absolute,to:'2016-08-28 01:38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157" s="54" t="str">
        <f t="shared" si="165"/>
        <v>N</v>
      </c>
      <c r="X157" s="120">
        <f t="shared" si="171"/>
        <v>1</v>
      </c>
      <c r="Y157" s="69">
        <f t="shared" si="166"/>
        <v>4.5100000000000001E-2</v>
      </c>
      <c r="Z157" s="69">
        <f t="shared" si="167"/>
        <v>23.328199999999999</v>
      </c>
      <c r="AA157" s="69">
        <f t="shared" si="168"/>
        <v>23.283099999999997</v>
      </c>
      <c r="AB157" s="66" t="e">
        <f>VLOOKUP(A157,Enforcements!$C$7:$J$21,8,0)</f>
        <v>#N/A</v>
      </c>
      <c r="AC157" s="62" t="e">
        <f>VLOOKUP(A157,Enforcements!$C$7:$E$21,3,0)</f>
        <v>#N/A</v>
      </c>
      <c r="AD157" s="63" t="str">
        <f t="shared" si="169"/>
        <v>0241-27</v>
      </c>
      <c r="AE157" s="99" t="str">
        <f t="shared" si="158"/>
        <v>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 &amp; aws s3 cp s3://rtdc.mdm.uploadarchive/RTDC4020/2016-08-29/ "%USERPROFILE%\AppData\Local\Temp\OnboardLogs"\RTDC4020\2016-08-29 --recursive &amp; "%USERPROFILE%\Documents\GitHub\mrs-test-scripts\Headless Mode &amp; Sideloading\WalkAndUnGZ.bat" "%USERPROFILE%\AppData\Local\Temp\OnboardLogs"\RTDC4020\2016-08-29</v>
      </c>
      <c r="AF157" s="96" t="str">
        <f t="shared" si="159"/>
        <v>"C:\Program Files (x86)\AstroGrep\AstroGrep.exe" /spath="%USERPROFILE%\AppData\Local\Temp\OnboardLogs" /stypes="*4020*20160828*" /stext=" 06:.+((SYSTEM_STATE.+slice.+state.+changed )|(ment ac)|(system.+state.+changed )|(\|lc)|(penalty)|(\[timeout)|(PRM\|1\|D)|(kpr)|(kdp))" /e /r /s</v>
      </c>
      <c r="AG157" s="1" t="str">
        <f t="shared" si="170"/>
        <v>EC</v>
      </c>
      <c r="AH157" s="100" t="str">
        <f t="shared" si="172"/>
        <v>"%USERPROFILE%\Documents\GitHub\eaglep3\Utilities\RefineRTDCRunTimes.py" --tripid 241-27 --locoid 4020 --swversion DE.1.0.7.0 --startMP 204:451 --initTime 2016-08-27T23:53:04 --startdatetime 2016-08-28T00:00:15 --delay 2 --endMP 204:233282 --enddatetime 2016-08-28T00:38:34 --enforcementcount 0 &gt;&gt;C:\Users\stu\Documents\GitHub\eaglep3-reporting\EC\2016-08-27-refined-times.txt</v>
      </c>
      <c r="AI157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{"issue":{"subject":"","project_id":79,"tracker_id":40,"status_id":1,"priority_id":2,"assigned_to_id":23,"start_date":"2016-08-28","description":"","custom_fields":[{"id":1,"name":"Subdivision","value":"EC"},{"id":4,"name":"Milepost","value":"23.2831"},{"id":17,"name":"Train ID","value":"241-27"},{"id":16,"name":"Locomotive ID","value":"4020"},{"id":130,"name":"Impact","value":""},{"id":150,"name":"Time of Event (Mountain Time)","value":"00:38:34"},{"id":151,"name":"Denver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654</v>
      </c>
      <c r="B158" s="7">
        <v>4019</v>
      </c>
      <c r="C158" s="24" t="s">
        <v>113</v>
      </c>
      <c r="D158" s="24" t="s">
        <v>330</v>
      </c>
      <c r="E158" s="15">
        <v>42610.03806712963</v>
      </c>
      <c r="F158" s="15">
        <v>42610.039479166669</v>
      </c>
      <c r="G158" s="7">
        <v>1</v>
      </c>
      <c r="H158" s="15" t="s">
        <v>348</v>
      </c>
      <c r="I158" s="15">
        <v>42610.069386574076</v>
      </c>
      <c r="J158" s="7">
        <v>0</v>
      </c>
      <c r="K158" s="132" t="str">
        <f t="shared" si="160"/>
        <v>4019/4020</v>
      </c>
      <c r="L158" s="24" t="str">
        <f>VLOOKUP(A158,'Trips&amp;Operators'!$C$1:$E$10000,3,FALSE)</f>
        <v>CHANDLER</v>
      </c>
      <c r="M158" s="6">
        <f t="shared" si="161"/>
        <v>2.9907407406426501E-2</v>
      </c>
      <c r="N158" s="7">
        <f t="shared" si="157"/>
        <v>43.066666665254161</v>
      </c>
      <c r="O158" s="7"/>
      <c r="P158" s="7"/>
      <c r="Q158" s="25"/>
      <c r="R158" s="25"/>
      <c r="S158" s="37">
        <f t="shared" si="162"/>
        <v>1</v>
      </c>
      <c r="T158" s="52" t="str">
        <f t="shared" si="163"/>
        <v>Southbound</v>
      </c>
      <c r="U158" s="12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23:54:49-0600',mode:absolute,to:'2016-08-28 02:39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158" s="54" t="str">
        <f t="shared" si="165"/>
        <v>N</v>
      </c>
      <c r="X158" s="120">
        <f>VALUE(LEFT(AD158,4))-VALUE(LEFT(AD157,4))</f>
        <v>1</v>
      </c>
      <c r="Y158" s="69">
        <f t="shared" si="166"/>
        <v>23.296299999999999</v>
      </c>
      <c r="Z158" s="69">
        <f t="shared" si="167"/>
        <v>1.7399999999999999E-2</v>
      </c>
      <c r="AA158" s="69">
        <f t="shared" si="168"/>
        <v>23.2789</v>
      </c>
      <c r="AB158" s="66" t="e">
        <f>VLOOKUP(A158,Enforcements!$C$7:$J$21,8,0)</f>
        <v>#N/A</v>
      </c>
      <c r="AC158" s="62" t="e">
        <f>VLOOKUP(A158,Enforcements!$C$7:$E$21,3,0)</f>
        <v>#N/A</v>
      </c>
      <c r="AD158" s="63" t="str">
        <f t="shared" si="169"/>
        <v>0242-27</v>
      </c>
      <c r="AE158" s="99" t="str">
        <f t="shared" si="158"/>
        <v>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 &amp; aws s3 cp s3://rtdc.mdm.uploadarchive/RTDC4019/2016-08-29/ "%USERPROFILE%\AppData\Local\Temp\OnboardLogs"\RTDC4019\2016-08-29 --recursive &amp; "%USERPROFILE%\Documents\GitHub\mrs-test-scripts\Headless Mode &amp; Sideloading\WalkAndUnGZ.bat" "%USERPROFILE%\AppData\Local\Temp\OnboardLogs"\RTDC4019\2016-08-29</v>
      </c>
      <c r="AF158" s="96" t="str">
        <f t="shared" si="159"/>
        <v>"C:\Program Files (x86)\AstroGrep\AstroGrep.exe" /spath="%USERPROFILE%\AppData\Local\Temp\OnboardLogs" /stypes="*4019*20160828*" /stext=" 07:.+((SYSTEM_STATE.+slice.+state.+changed )|(ment ac)|(system.+state.+changed )|(\|lc)|(penalty)|(\[timeout)|(PRM\|1\|D)|(kpr)|(kdp))" /e /r /s</v>
      </c>
      <c r="AG158" s="1" t="str">
        <f t="shared" si="170"/>
        <v>EC</v>
      </c>
      <c r="AH158" s="100" t="str">
        <f t="shared" si="172"/>
        <v>"%USERPROFILE%\Documents\GitHub\eaglep3\Utilities\RefineRTDCRunTimes.py" --tripid 242-27 --locoid 4019 --swversion DE.1.0.7.0 --startMP 204:232963 --initTime 2016-08-28T00:54:49 --startdatetime 2016-08-28T00:56:51 --delay 1 --endMP 204:174 --enddatetime 2016-08-28T01:39:55 --enforcementcount 0 &gt;&gt;C:\Users\stu\Documents\GitHub\eaglep3-reporting\EC\2016-08-27-refined-times.txt</v>
      </c>
      <c r="AI158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{"issue":{"subject":"","project_id":79,"tracker_id":40,"status_id":1,"priority_id":2,"assigned_to_id":23,"start_date":"2016-08-28","description":"","custom_fields":[{"id":1,"name":"Subdivision","value":"EC"},{"id":4,"name":"Milepost","value":"23.2789"},{"id":17,"name":"Train ID","value":"242-27"},{"id":16,"name":"Locomotive ID","value":"4019"},{"id":130,"name":"Impact","value":""},{"id":150,"name":"Time of Event (Mountain Time)","value":"01:39:55"},{"id":151,"name":"Denver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x14ac:dyDescent="0.25">
      <c r="A159" s="39" t="s">
        <v>655</v>
      </c>
      <c r="B159" s="7">
        <v>4031</v>
      </c>
      <c r="C159" s="24" t="s">
        <v>113</v>
      </c>
      <c r="D159" s="24" t="s">
        <v>109</v>
      </c>
      <c r="E159" s="15">
        <v>42610.013738425929</v>
      </c>
      <c r="F159" s="15">
        <v>42610.021249999998</v>
      </c>
      <c r="G159" s="7">
        <v>1</v>
      </c>
      <c r="H159" s="15" t="s">
        <v>656</v>
      </c>
      <c r="I159" s="15">
        <v>42610.048182870371</v>
      </c>
      <c r="J159" s="7">
        <v>0</v>
      </c>
      <c r="K159" s="132" t="str">
        <f t="shared" si="160"/>
        <v>4031/4032</v>
      </c>
      <c r="L159" s="24" t="str">
        <f>VLOOKUP(A159,'Trips&amp;Operators'!$C$1:$E$10000,3,FALSE)</f>
        <v>STURGEON</v>
      </c>
      <c r="M159" s="6">
        <f t="shared" si="161"/>
        <v>2.6932870372547768E-2</v>
      </c>
      <c r="N159" s="7">
        <f t="shared" si="157"/>
        <v>38.783333336468786</v>
      </c>
      <c r="O159" s="7"/>
      <c r="P159" s="7"/>
      <c r="Q159" s="25"/>
      <c r="R159" s="25"/>
      <c r="S159" s="37">
        <f t="shared" si="162"/>
        <v>1</v>
      </c>
      <c r="T159" s="52" t="str">
        <f t="shared" si="163"/>
        <v>NorthBound</v>
      </c>
      <c r="U159" s="12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23:19:47-0600',mode:absolute,to:'2016-08-28 02:09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159" s="54" t="str">
        <f t="shared" si="165"/>
        <v>N</v>
      </c>
      <c r="X159" s="120">
        <f t="shared" ref="X159:X167" si="174">VALUE(LEFT(AD159,4))-VALUE(LEFT(AD158,4))</f>
        <v>1</v>
      </c>
      <c r="Y159" s="69">
        <f t="shared" si="166"/>
        <v>4.6199999999999998E-2</v>
      </c>
      <c r="Z159" s="69">
        <f t="shared" si="167"/>
        <v>23.328499999999998</v>
      </c>
      <c r="AA159" s="69">
        <f t="shared" si="168"/>
        <v>23.282299999999999</v>
      </c>
      <c r="AB159" s="66" t="e">
        <f>VLOOKUP(A159,Enforcements!$C$7:$J$21,8,0)</f>
        <v>#N/A</v>
      </c>
      <c r="AC159" s="62" t="e">
        <f>VLOOKUP(A159,Enforcements!$C$7:$E$21,3,0)</f>
        <v>#N/A</v>
      </c>
      <c r="AD159" s="63" t="str">
        <f t="shared" si="169"/>
        <v>0243-27</v>
      </c>
      <c r="AE159" s="99" t="str">
        <f t="shared" si="158"/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159" s="96" t="str">
        <f t="shared" si="159"/>
        <v>"C:\Program Files (x86)\AstroGrep\AstroGrep.exe" /spath="%USERPROFILE%\AppData\Local\Temp\OnboardLogs" /stypes="*4031*20160828*" /stext=" 07:.+((SYSTEM_STATE.+slice.+state.+changed )|(ment ac)|(system.+state.+changed )|(\|lc)|(penalty)|(\[timeout)|(PRM\|1\|D)|(kpr)|(kdp))" /e /r /s</v>
      </c>
      <c r="AG159" s="1" t="str">
        <f t="shared" si="170"/>
        <v>EC</v>
      </c>
      <c r="AH159" s="100" t="str">
        <f t="shared" si="172"/>
        <v>"%USERPROFILE%\Documents\GitHub\eaglep3\Utilities\RefineRTDCRunTimes.py" --tripid 243-27 --locoid 4031 --swversion DE.1.0.7.0 --startMP 204:462 --initTime 2016-08-28T00:19:47 --startdatetime 2016-08-28T00:30:36 --delay 1 --endMP 204:233285 --enddatetime 2016-08-28T01:09:23 --enforcementcount 0 &gt;&gt;C:\Users\stu\Documents\GitHub\eaglep3-reporting\EC\2016-08-27-refined-times.txt</v>
      </c>
      <c r="AI159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{"issue":{"subject":"","project_id":79,"tracker_id":40,"status_id":1,"priority_id":2,"assigned_to_id":23,"start_date":"2016-08-28","description":"","custom_fields":[{"id":1,"name":"Subdivision","value":"EC"},{"id":4,"name":"Milepost","value":"23.2823"},{"id":17,"name":"Train ID","value":"243-27"},{"id":16,"name":"Locomotive ID","value":"4031"},{"id":130,"name":"Impact","value":""},{"id":150,"name":"Time of Event (Mountain Time)","value":"01:09:23"},{"id":151,"name":"Denver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x14ac:dyDescent="0.25">
      <c r="A160" s="39" t="s">
        <v>657</v>
      </c>
      <c r="B160" s="7">
        <v>4032</v>
      </c>
      <c r="C160" s="24" t="s">
        <v>113</v>
      </c>
      <c r="D160" s="24" t="s">
        <v>353</v>
      </c>
      <c r="E160" s="15">
        <v>42610.053182870368</v>
      </c>
      <c r="F160" s="15">
        <v>42610.06</v>
      </c>
      <c r="G160" s="7">
        <v>2</v>
      </c>
      <c r="H160" s="15" t="s">
        <v>131</v>
      </c>
      <c r="I160" s="15">
        <v>42610.093958333331</v>
      </c>
      <c r="J160" s="7">
        <v>0</v>
      </c>
      <c r="K160" s="132" t="str">
        <f t="shared" si="160"/>
        <v>4031/4032</v>
      </c>
      <c r="L160" s="24" t="str">
        <f>VLOOKUP(A160,'Trips&amp;Operators'!$C$1:$E$10000,3,FALSE)</f>
        <v>STURGEON</v>
      </c>
      <c r="M160" s="6">
        <f t="shared" si="161"/>
        <v>3.3958333333430346E-2</v>
      </c>
      <c r="N160" s="7">
        <f t="shared" si="157"/>
        <v>48.900000000139698</v>
      </c>
      <c r="O160" s="7"/>
      <c r="P160" s="7"/>
      <c r="Q160" s="25"/>
      <c r="R160" s="25"/>
      <c r="S160" s="37">
        <f t="shared" si="162"/>
        <v>1</v>
      </c>
      <c r="T160" s="52" t="str">
        <f t="shared" si="163"/>
        <v>Southbound</v>
      </c>
      <c r="U160" s="12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https://search-rtdc-monitor-bjffxe2xuh6vdkpspy63sjmuny.us-east-1.es.amazonaws.com/_plugin/kibana/#/discover/Steve-Slow-Train-Analysis-(2080s-and-2083s)?_g=(refreshInterval:(display:Off,section:0,value:0),time:(from:'2016-08-28 00:16:35-0600',mode:absolute,to:'2016-08-28 03:15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W160" s="54" t="str">
        <f t="shared" si="165"/>
        <v>N</v>
      </c>
      <c r="X160" s="120">
        <f t="shared" si="174"/>
        <v>1</v>
      </c>
      <c r="Y160" s="69">
        <f t="shared" si="166"/>
        <v>23.2974</v>
      </c>
      <c r="Z160" s="69">
        <f t="shared" si="167"/>
        <v>1.5800000000000002E-2</v>
      </c>
      <c r="AA160" s="69">
        <f t="shared" si="168"/>
        <v>23.281600000000001</v>
      </c>
      <c r="AB160" s="66" t="e">
        <f>VLOOKUP(A160,Enforcements!$C$7:$J$21,8,0)</f>
        <v>#N/A</v>
      </c>
      <c r="AC160" s="62" t="e">
        <f>VLOOKUP(A160,Enforcements!$C$7:$E$21,3,0)</f>
        <v>#N/A</v>
      </c>
      <c r="AD160" s="63" t="str">
        <f t="shared" si="169"/>
        <v>0244-27</v>
      </c>
      <c r="AE160" s="99" t="str">
        <f t="shared" si="158"/>
        <v>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 &amp; aws s3 cp s3://rtdc.mdm.uploadarchive/RTDC4032/2016-08-29/ "%USERPROFILE%\AppData\Local\Temp\OnboardLogs"\RTDC4032\2016-08-29 --recursive &amp; "%USERPROFILE%\Documents\GitHub\mrs-test-scripts\Headless Mode &amp; Sideloading\WalkAndUnGZ.bat" "%USERPROFILE%\AppData\Local\Temp\OnboardLogs"\RTDC4032\2016-08-29</v>
      </c>
      <c r="AF160" s="96" t="str">
        <f t="shared" si="159"/>
        <v>"C:\Program Files (x86)\AstroGrep\AstroGrep.exe" /spath="%USERPROFILE%\AppData\Local\Temp\OnboardLogs" /stypes="*4032*20160828*" /stext=" 08:.+((SYSTEM_STATE.+slice.+state.+changed )|(ment ac)|(system.+state.+changed )|(\|lc)|(penalty)|(\[timeout)|(PRM\|1\|D)|(kpr)|(kdp))" /e /r /s</v>
      </c>
      <c r="AG160" s="1" t="str">
        <f t="shared" si="170"/>
        <v>EC</v>
      </c>
      <c r="AH160" s="100" t="str">
        <f t="shared" si="172"/>
        <v>"%USERPROFILE%\Documents\GitHub\eaglep3\Utilities\RefineRTDCRunTimes.py" --tripid 244-27 --locoid 4032 --swversion DE.1.0.7.0 --startMP 204:232974 --initTime 2016-08-28T01:16:35 --startdatetime 2016-08-28T01:26:24 --delay 2 --endMP 204:158 --enddatetime 2016-08-28T02:15:18 --enforcementcount 0 &gt;&gt;C:\Users\stu\Documents\GitHub\eaglep3-reporting\EC\2016-08-27-refined-times.txt</v>
      </c>
      <c r="AI160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{"issue":{"subject":"","project_id":79,"tracker_id":40,"status_id":1,"priority_id":2,"assigned_to_id":23,"start_date":"2016-08-28","description":"","custom_fields":[{"id":1,"name":"Subdivision","value":"EC"},{"id":4,"name":"Milepost","value":"23.2816"},{"id":17,"name":"Train ID","value":"244-27"},{"id":16,"name":"Locomotive ID","value":"4032"},{"id":130,"name":"Impact","value":""},{"id":150,"name":"Time of Event (Mountain Time)","value":"02:15:18"},{"id":151,"name":"Denver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x14ac:dyDescent="0.25">
      <c r="A161" s="39" t="s">
        <v>658</v>
      </c>
      <c r="B161" s="7">
        <v>4029</v>
      </c>
      <c r="C161" s="24" t="s">
        <v>113</v>
      </c>
      <c r="D161" s="24" t="s">
        <v>138</v>
      </c>
      <c r="E161" s="15">
        <v>42610.026643518519</v>
      </c>
      <c r="F161" s="15">
        <v>42610.042141203703</v>
      </c>
      <c r="G161" s="7">
        <v>1</v>
      </c>
      <c r="H161" s="15" t="s">
        <v>199</v>
      </c>
      <c r="I161" s="15">
        <v>42610.068136574075</v>
      </c>
      <c r="J161" s="7">
        <v>0</v>
      </c>
      <c r="K161" s="132" t="str">
        <f t="shared" si="160"/>
        <v>4029/4030</v>
      </c>
      <c r="L161" s="24" t="str">
        <f>VLOOKUP(A161,'Trips&amp;Operators'!$C$1:$E$10000,3,FALSE)</f>
        <v>STAMBAUGH</v>
      </c>
      <c r="M161" s="6">
        <f t="shared" si="161"/>
        <v>2.5995370371674653E-2</v>
      </c>
      <c r="N161" s="7">
        <f t="shared" si="157"/>
        <v>37.433333335211501</v>
      </c>
      <c r="O161" s="7"/>
      <c r="P161" s="7"/>
      <c r="Q161" s="25"/>
      <c r="R161" s="25"/>
      <c r="S161" s="37">
        <f t="shared" si="162"/>
        <v>1</v>
      </c>
      <c r="T161" s="52" t="str">
        <f t="shared" si="163"/>
        <v>NorthBound</v>
      </c>
      <c r="U161" s="12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23:38:22-0600',mode:absolute,to:'2016-08-28 02:38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4029%22')),sort:!(Time,asc))</v>
      </c>
      <c r="W161" s="54" t="str">
        <f t="shared" si="165"/>
        <v>N</v>
      </c>
      <c r="X161" s="120">
        <f t="shared" si="174"/>
        <v>1</v>
      </c>
      <c r="Y161" s="69">
        <f t="shared" si="166"/>
        <v>4.6899999999999997E-2</v>
      </c>
      <c r="Z161" s="69">
        <f t="shared" si="167"/>
        <v>23.332699999999999</v>
      </c>
      <c r="AA161" s="69">
        <f t="shared" si="168"/>
        <v>23.285799999999998</v>
      </c>
      <c r="AB161" s="66" t="e">
        <f>VLOOKUP(A161,Enforcements!$C$7:$J$21,8,0)</f>
        <v>#N/A</v>
      </c>
      <c r="AC161" s="62" t="e">
        <f>VLOOKUP(A161,Enforcements!$C$7:$E$21,3,0)</f>
        <v>#N/A</v>
      </c>
      <c r="AD161" s="63" t="str">
        <f t="shared" si="169"/>
        <v>0245-27</v>
      </c>
      <c r="AE161" s="99" t="str">
        <f t="shared" si="158"/>
        <v>aws s3 cp s3://rtdc.mdm.uploadarchive/RTDC4029/2016-08-28/ "%USERPROFILE%\AppData\Local\Temp\OnboardLogs"\RTDC4029\2016-08-28 --recursive &amp; "%USERPROFILE%\Documents\GitHub\mrs-test-scripts\Headless Mode &amp; Sideloading\WalkAndUnGZ.bat" "%USERPROFILE%\AppData\Local\Temp\OnboardLogs"\RTDC4029\2016-08-28 &amp; aws s3 cp s3://rtdc.mdm.uploadarchive/RTDC4029/2016-08-29/ "%USERPROFILE%\AppData\Local\Temp\OnboardLogs"\RTDC4029\2016-08-29 --recursive &amp; "%USERPROFILE%\Documents\GitHub\mrs-test-scripts\Headless Mode &amp; Sideloading\WalkAndUnGZ.bat" "%USERPROFILE%\AppData\Local\Temp\OnboardLogs"\RTDC4029\2016-08-29</v>
      </c>
      <c r="AF161" s="96" t="str">
        <f t="shared" si="159"/>
        <v>"C:\Program Files (x86)\AstroGrep\AstroGrep.exe" /spath="%USERPROFILE%\AppData\Local\Temp\OnboardLogs" /stypes="*4029*20160828*" /stext=" 07:.+((SYSTEM_STATE.+slice.+state.+changed )|(ment ac)|(system.+state.+changed )|(\|lc)|(penalty)|(\[timeout)|(PRM\|1\|D)|(kpr)|(kdp))" /e /r /s</v>
      </c>
      <c r="AG161" s="1" t="str">
        <f t="shared" si="170"/>
        <v>EC</v>
      </c>
      <c r="AH161" s="100" t="str">
        <f t="shared" si="172"/>
        <v>"%USERPROFILE%\Documents\GitHub\eaglep3\Utilities\RefineRTDCRunTimes.py" --tripid 245-27 --locoid 4029 --swversion DE.1.0.7.0 --startMP 204:469 --initTime 2016-08-28T00:38:22 --startdatetime 2016-08-28T01:00:41 --delay 1 --endMP 204:233327 --enddatetime 2016-08-28T01:38:07 --enforcementcount 0 &gt;&gt;C:\Users\stu\Documents\GitHub\eaglep3-reporting\EC\2016-08-27-refined-times.txt</v>
      </c>
      <c r="AI161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{"issue":{"subject":"","project_id":79,"tracker_id":40,"status_id":1,"priority_id":2,"assigned_to_id":23,"start_date":"2016-08-28","description":"","custom_fields":[{"id":1,"name":"Subdivision","value":"EC"},{"id":4,"name":"Milepost","value":"23.2858"},{"id":17,"name":"Train ID","value":"245-27"},{"id":16,"name":"Locomotive ID","value":"4029"},{"id":130,"name":"Impact","value":""},{"id":150,"name":"Time of Event (Mountain Time)","value":"01:38:07"},{"id":151,"name":"Denver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x14ac:dyDescent="0.25">
      <c r="A162" s="39" t="s">
        <v>659</v>
      </c>
      <c r="B162" s="7">
        <v>4030</v>
      </c>
      <c r="C162" s="24" t="s">
        <v>113</v>
      </c>
      <c r="D162" s="24" t="s">
        <v>272</v>
      </c>
      <c r="E162" s="15">
        <v>42610.074999999997</v>
      </c>
      <c r="F162" s="15">
        <v>42610.080995370372</v>
      </c>
      <c r="G162" s="7">
        <v>1</v>
      </c>
      <c r="H162" s="15" t="s">
        <v>197</v>
      </c>
      <c r="I162" s="15">
        <v>42610.106909722221</v>
      </c>
      <c r="J162" s="7">
        <v>0</v>
      </c>
      <c r="K162" s="132" t="str">
        <f t="shared" si="160"/>
        <v>4029/4030</v>
      </c>
      <c r="L162" s="24" t="str">
        <f>VLOOKUP(A162,'Trips&amp;Operators'!$C$1:$E$10000,3,FALSE)</f>
        <v>STAMBAUGH</v>
      </c>
      <c r="M162" s="6">
        <f t="shared" si="161"/>
        <v>2.5914351848769002E-2</v>
      </c>
      <c r="N162" s="7">
        <f t="shared" ref="N162:N193" si="175">24*60*SUM($M162:$M162)</f>
        <v>37.316666662227362</v>
      </c>
      <c r="O162" s="7"/>
      <c r="P162" s="7"/>
      <c r="Q162" s="25"/>
      <c r="R162" s="25"/>
      <c r="S162" s="37">
        <f t="shared" si="162"/>
        <v>1</v>
      </c>
      <c r="T162" s="52" t="str">
        <f t="shared" si="163"/>
        <v>Southbound</v>
      </c>
      <c r="U162" s="12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https://search-rtdc-monitor-bjffxe2xuh6vdkpspy63sjmuny.us-east-1.es.amazonaws.com/_plugin/kibana/#/discover/Steve-Slow-Train-Analysis-(2080s-and-2083s)?_g=(refreshInterval:(display:Off,section:0,value:0),time:(from:'2016-08-28 00:48:00-0600',mode:absolute,to:'2016-08-28 03:33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W162" s="54" t="str">
        <f t="shared" si="165"/>
        <v>N</v>
      </c>
      <c r="X162" s="120">
        <f t="shared" si="174"/>
        <v>1</v>
      </c>
      <c r="Y162" s="69">
        <f t="shared" si="166"/>
        <v>23.300999999999998</v>
      </c>
      <c r="Z162" s="69">
        <f t="shared" si="167"/>
        <v>1.6500000000000001E-2</v>
      </c>
      <c r="AA162" s="69">
        <f t="shared" si="168"/>
        <v>23.284499999999998</v>
      </c>
      <c r="AB162" s="66" t="e">
        <f>VLOOKUP(A162,Enforcements!$C$7:$J$21,8,0)</f>
        <v>#N/A</v>
      </c>
      <c r="AC162" s="62" t="e">
        <f>VLOOKUP(A162,Enforcements!$C$7:$E$21,3,0)</f>
        <v>#N/A</v>
      </c>
      <c r="AD162" s="63" t="str">
        <f t="shared" si="169"/>
        <v>0246-27</v>
      </c>
      <c r="AE162" s="99" t="str">
        <f t="shared" si="158"/>
        <v>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 &amp; aws s3 cp s3://rtdc.mdm.uploadarchive/RTDC4030/2016-08-29/ "%USERPROFILE%\AppData\Local\Temp\OnboardLogs"\RTDC4030\2016-08-29 --recursive &amp; "%USERPROFILE%\Documents\GitHub\mrs-test-scripts\Headless Mode &amp; Sideloading\WalkAndUnGZ.bat" "%USERPROFILE%\AppData\Local\Temp\OnboardLogs"\RTDC4030\2016-08-29</v>
      </c>
      <c r="AF162" s="96" t="str">
        <f t="shared" si="159"/>
        <v>"C:\Program Files (x86)\AstroGrep\AstroGrep.exe" /spath="%USERPROFILE%\AppData\Local\Temp\OnboardLogs" /stypes="*4030*20160828*" /stext=" 08:.+((SYSTEM_STATE.+slice.+state.+changed )|(ment ac)|(system.+state.+changed )|(\|lc)|(penalty)|(\[timeout)|(PRM\|1\|D)|(kpr)|(kdp))" /e /r /s</v>
      </c>
      <c r="AG162" s="1" t="str">
        <f t="shared" si="170"/>
        <v>EC</v>
      </c>
      <c r="AH162" s="100" t="str">
        <f t="shared" si="172"/>
        <v>"%USERPROFILE%\Documents\GitHub\eaglep3\Utilities\RefineRTDCRunTimes.py" --tripid 246-27 --locoid 4030 --swversion DE.1.0.7.0 --startMP 204:233010 --initTime 2016-08-28T01:48:00 --startdatetime 2016-08-28T01:56:38 --delay 1 --endMP 204:165 --enddatetime 2016-08-28T02:33:57 --enforcementcount 0 &gt;&gt;C:\Users\stu\Documents\GitHub\eaglep3-reporting\EC\2016-08-27-refined-times.txt</v>
      </c>
      <c r="AI162" s="149" t="str">
        <f t="shared" si="173"/>
        <v>echo {"issue":{"subject":"","project_id":79,"tracker_id":40,"status_id":1,"priority_id":2,"assigned_to_id":23,"start_date":"2016-08-28","description":"","custom_fields":[{"id":1,"name":"Subdivision","value":"EC"},{"id":4,"name":"Milepost","value":"23.2845"},{"id":17,"name":"Train ID","value":"246-27"},{"id":16,"name":"Locomotive ID","value":"4030"},{"id":130,"name":"Impact","value":""},{"id":150,"name":"Time of Event (Mountain Time)","value":"02:33:57"},{"id":151,"name":"Denver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x14ac:dyDescent="0.25">
      <c r="A163" s="39" t="s">
        <v>501</v>
      </c>
      <c r="B163" s="7">
        <v>4008</v>
      </c>
      <c r="C163" s="24" t="s">
        <v>113</v>
      </c>
      <c r="D163" s="24" t="s">
        <v>282</v>
      </c>
      <c r="E163" s="15">
        <v>42609.226990740739</v>
      </c>
      <c r="F163" s="15">
        <v>42609.235069444447</v>
      </c>
      <c r="G163" s="7">
        <v>1</v>
      </c>
      <c r="H163" s="15" t="s">
        <v>373</v>
      </c>
      <c r="I163" s="15">
        <v>42609.245949074073</v>
      </c>
      <c r="J163" s="7">
        <v>0</v>
      </c>
      <c r="K163" s="132" t="str">
        <f t="shared" si="160"/>
        <v>4007/4008</v>
      </c>
      <c r="L163" s="24" t="str">
        <f>VLOOKUP(A163,'Trips&amp;Operators'!$C$1:$E$10000,3,FALSE)</f>
        <v>YORK</v>
      </c>
      <c r="M163" s="6">
        <f t="shared" si="161"/>
        <v>1.0879629626288079E-2</v>
      </c>
      <c r="N163" s="7">
        <f t="shared" si="175"/>
        <v>15.666666661854833</v>
      </c>
      <c r="O163" s="7"/>
      <c r="P163" s="7"/>
      <c r="Q163" s="25"/>
      <c r="R163" s="25"/>
      <c r="S163" s="37">
        <f t="shared" si="162"/>
        <v>1</v>
      </c>
      <c r="T163" s="52" t="str">
        <f t="shared" si="163"/>
        <v>Southbound</v>
      </c>
      <c r="U163" s="12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04:26:52-0600',mode:absolute,to:'2016-08-27 06:54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3" s="54" t="str">
        <f t="shared" si="165"/>
        <v>N</v>
      </c>
      <c r="X163" s="120">
        <f t="shared" si="174"/>
        <v>1554</v>
      </c>
      <c r="Y163" s="69">
        <f t="shared" si="166"/>
        <v>5.8628</v>
      </c>
      <c r="Z163" s="69">
        <f t="shared" si="167"/>
        <v>8.7400000000000005E-2</v>
      </c>
      <c r="AA163" s="69">
        <f t="shared" si="168"/>
        <v>5.7754000000000003</v>
      </c>
      <c r="AB163" s="66" t="e">
        <f>VLOOKUP(A163,Enforcements!$C$7:$J$21,8,0)</f>
        <v>#N/A</v>
      </c>
      <c r="AC163" s="62" t="e">
        <f>VLOOKUP(A163,Enforcements!$C$7:$E$21,3,0)</f>
        <v>#N/A</v>
      </c>
      <c r="AD163" s="63" t="str">
        <f t="shared" si="169"/>
        <v>1800-27</v>
      </c>
      <c r="AE163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3" s="96" t="str">
        <f t="shared" si="159"/>
        <v>"C:\Program Files (x86)\AstroGrep\AstroGrep.exe" /spath="%USERPROFILE%\AppData\Local\Temp\OnboardLogs" /stypes="*4008*20160827*" /stext=" 11:.+((SYSTEM_STATE.+slice.+state.+changed )|(ment ac)|(system.+state.+changed )|(\|lc)|(penalty)|(\[timeout)|(PRM\|1\|D)|(kpr)|(kdp))" /e /r /s</v>
      </c>
      <c r="AG163" s="1" t="str">
        <f t="shared" si="170"/>
        <v>NW</v>
      </c>
      <c r="AH163" s="100" t="str">
        <f t="shared" si="172"/>
        <v>"%USERPROFILE%\Documents\GitHub\eaglep3\Utilities\RefineRTDCRunTimes.py" --tripid 1800-27 --locoid 4008 --swversion DE.1.0.7.0 --startMP 300:58628 --initTime 2016-08-27T05:26:52 --startdatetime 2016-08-27T05:38:30 --delay 1 --endMP 204:874 --enddatetime 2016-08-27T05:54:10 --enforcementcount 0 &gt;&gt;C:\Users\stu\Documents\GitHub\eaglep3-reporting\EC\2016-08-27-refined-times.txt</v>
      </c>
      <c r="AI163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{"issue":{"subject":"","project_id":79,"tracker_id":40,"status_id":1,"priority_id":2,"assigned_to_id":23,"start_date":"2016-08-27","description":"","custom_fields":[{"id":1,"name":"Subdivision","value":"NW"},{"id":4,"name":"Milepost","value":"5.7754"},{"id":17,"name":"Train ID","value":"1800-27"},{"id":16,"name":"Locomotive ID","value":"4008"},{"id":130,"name":"Impact","value":""},{"id":150,"name":"Time of Event (Mountain Time)","value":"05:54:10"},{"id":151,"name":"Denver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502</v>
      </c>
      <c r="B164" s="7">
        <v>4007</v>
      </c>
      <c r="C164" s="24" t="s">
        <v>113</v>
      </c>
      <c r="D164" s="24" t="s">
        <v>503</v>
      </c>
      <c r="E164" s="15">
        <v>42609.246979166666</v>
      </c>
      <c r="F164" s="15">
        <v>42609.264849537038</v>
      </c>
      <c r="G164" s="7">
        <v>1</v>
      </c>
      <c r="H164" s="15" t="s">
        <v>504</v>
      </c>
      <c r="I164" s="15">
        <v>42609.273888888885</v>
      </c>
      <c r="J164" s="7">
        <v>0</v>
      </c>
      <c r="K164" s="132" t="str">
        <f t="shared" si="160"/>
        <v>4007/4008</v>
      </c>
      <c r="L164" s="24" t="str">
        <f>VLOOKUP(A164,'Trips&amp;Operators'!$C$1:$E$10000,3,FALSE)</f>
        <v>YORK</v>
      </c>
      <c r="M164" s="6">
        <f t="shared" si="161"/>
        <v>9.0393518476048484E-3</v>
      </c>
      <c r="N164" s="7">
        <f t="shared" si="175"/>
        <v>13.016666660550982</v>
      </c>
      <c r="O164" s="7"/>
      <c r="P164" s="7"/>
      <c r="Q164" s="25"/>
      <c r="R164" s="25"/>
      <c r="S164" s="37">
        <f t="shared" si="162"/>
        <v>1</v>
      </c>
      <c r="T164" s="52" t="str">
        <f t="shared" si="163"/>
        <v>NorthBound</v>
      </c>
      <c r="U164" s="12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04:55:39-0600',mode:absolute,to:'2016-08-27 07:34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4" s="54" t="str">
        <f t="shared" si="165"/>
        <v>N</v>
      </c>
      <c r="X164" s="120">
        <f t="shared" si="174"/>
        <v>1</v>
      </c>
      <c r="Y164" s="69">
        <f t="shared" si="166"/>
        <v>0.1168</v>
      </c>
      <c r="Z164" s="69">
        <f t="shared" si="167"/>
        <v>5.8933</v>
      </c>
      <c r="AA164" s="69">
        <f t="shared" si="168"/>
        <v>5.7765000000000004</v>
      </c>
      <c r="AB164" s="66" t="e">
        <f>VLOOKUP(A164,Enforcements!$C$7:$J$21,8,0)</f>
        <v>#N/A</v>
      </c>
      <c r="AC164" s="62" t="e">
        <f>VLOOKUP(A164,Enforcements!$C$7:$E$21,3,0)</f>
        <v>#N/A</v>
      </c>
      <c r="AD164" s="63" t="str">
        <f t="shared" si="169"/>
        <v>1801-27</v>
      </c>
      <c r="AE164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64" s="96" t="str">
        <f t="shared" si="159"/>
        <v>"C:\Program Files (x86)\AstroGrep\AstroGrep.exe" /spath="%USERPROFILE%\AppData\Local\Temp\OnboardLogs" /stypes="*4007*20160827*" /stext=" 12:.+((SYSTEM_STATE.+slice.+state.+changed )|(ment ac)|(system.+state.+changed )|(\|lc)|(penalty)|(\[timeout)|(PRM\|1\|D)|(kpr)|(kdp))" /e /r /s</v>
      </c>
      <c r="AG164" s="1" t="str">
        <f t="shared" si="170"/>
        <v>NW</v>
      </c>
      <c r="AH164" s="100" t="str">
        <f t="shared" si="172"/>
        <v>"%USERPROFILE%\Documents\GitHub\eaglep3\Utilities\RefineRTDCRunTimes.py" --tripid 1801-27 --locoid 4007 --swversion DE.1.0.7.0 --startMP 204:1168 --initTime 2016-08-27T05:55:39 --startdatetime 2016-08-27T06:21:23 --delay 1 --endMP 300:58933 --enddatetime 2016-08-27T06:34:24 --enforcementcount 0 &gt;&gt;C:\Users\stu\Documents\GitHub\eaglep3-reporting\EC\2016-08-27-refined-times.txt</v>
      </c>
      <c r="AI164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{"issue":{"subject":"","project_id":79,"tracker_id":40,"status_id":1,"priority_id":2,"assigned_to_id":23,"start_date":"2016-08-27","description":"","custom_fields":[{"id":1,"name":"Subdivision","value":"NW"},{"id":4,"name":"Milepost","value":"5.7765"},{"id":17,"name":"Train ID","value":"1801-27"},{"id":16,"name":"Locomotive ID","value":"4007"},{"id":130,"name":"Impact","value":""},{"id":150,"name":"Time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505</v>
      </c>
      <c r="B165" s="7">
        <v>4008</v>
      </c>
      <c r="C165" s="24" t="s">
        <v>113</v>
      </c>
      <c r="D165" s="24" t="s">
        <v>506</v>
      </c>
      <c r="E165" s="15">
        <v>42609.275219907409</v>
      </c>
      <c r="F165" s="15">
        <v>42609.276493055557</v>
      </c>
      <c r="G165" s="7">
        <v>1</v>
      </c>
      <c r="H165" s="15" t="s">
        <v>507</v>
      </c>
      <c r="I165" s="15">
        <v>42609.287835648145</v>
      </c>
      <c r="J165" s="7">
        <v>0</v>
      </c>
      <c r="K165" s="132" t="str">
        <f t="shared" si="160"/>
        <v>4007/4008</v>
      </c>
      <c r="L165" s="24" t="str">
        <f>VLOOKUP(A165,'Trips&amp;Operators'!$C$1:$E$10000,3,FALSE)</f>
        <v>YORK</v>
      </c>
      <c r="M165" s="6">
        <f t="shared" si="161"/>
        <v>1.134259258833481E-2</v>
      </c>
      <c r="N165" s="7">
        <f t="shared" si="175"/>
        <v>16.333333327202126</v>
      </c>
      <c r="O165" s="7"/>
      <c r="P165" s="7"/>
      <c r="Q165" s="25"/>
      <c r="R165" s="25"/>
      <c r="S165" s="37">
        <f t="shared" si="162"/>
        <v>1</v>
      </c>
      <c r="T165" s="52" t="str">
        <f t="shared" si="163"/>
        <v>Southbound</v>
      </c>
      <c r="U165" s="12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05:36:19-0600',mode:absolute,to:'2016-08-27 07:54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5" s="54" t="str">
        <f t="shared" si="165"/>
        <v>N</v>
      </c>
      <c r="X165" s="120">
        <f t="shared" si="174"/>
        <v>1</v>
      </c>
      <c r="Y165" s="69">
        <f t="shared" si="166"/>
        <v>5.8619000000000003</v>
      </c>
      <c r="Z165" s="69">
        <f t="shared" si="167"/>
        <v>8.2000000000000003E-2</v>
      </c>
      <c r="AA165" s="69">
        <f t="shared" si="168"/>
        <v>5.7799000000000005</v>
      </c>
      <c r="AB165" s="66" t="e">
        <f>VLOOKUP(A165,Enforcements!$C$7:$J$21,8,0)</f>
        <v>#N/A</v>
      </c>
      <c r="AC165" s="62" t="e">
        <f>VLOOKUP(A165,Enforcements!$C$7:$E$21,3,0)</f>
        <v>#N/A</v>
      </c>
      <c r="AD165" s="63" t="str">
        <f t="shared" si="169"/>
        <v>1802-27</v>
      </c>
      <c r="AE165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5" s="96" t="str">
        <f t="shared" si="159"/>
        <v>"C:\Program Files (x86)\AstroGrep\AstroGrep.exe" /spath="%USERPROFILE%\AppData\Local\Temp\OnboardLogs" /stypes="*4008*20160827*" /stext=" 12:.+((SYSTEM_STATE.+slice.+state.+changed )|(ment ac)|(system.+state.+changed )|(\|lc)|(penalty)|(\[timeout)|(PRM\|1\|D)|(kpr)|(kdp))" /e /r /s</v>
      </c>
      <c r="AG165" s="1" t="str">
        <f t="shared" si="170"/>
        <v>NW</v>
      </c>
      <c r="AH165" s="100" t="str">
        <f t="shared" si="172"/>
        <v>"%USERPROFILE%\Documents\GitHub\eaglep3\Utilities\RefineRTDCRunTimes.py" --tripid 1802-27 --locoid 4008 --swversion DE.1.0.7.0 --startMP 300:58619 --initTime 2016-08-27T06:36:19 --startdatetime 2016-08-27T06:38:09 --delay 1 --endMP 204:820 --enddatetime 2016-08-27T06:54:29 --enforcementcount 0 &gt;&gt;C:\Users\stu\Documents\GitHub\eaglep3-reporting\EC\2016-08-27-refined-times.txt</v>
      </c>
      <c r="AI165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{"issue":{"subject":"","project_id":79,"tracker_id":40,"status_id":1,"priority_id":2,"assigned_to_id":23,"start_date":"2016-08-27","description":"","custom_fields":[{"id":1,"name":"Subdivision","value":"NW"},{"id":4,"name":"Milepost","value":"5.7799"},{"id":17,"name":"Train ID","value":"1802-27"},{"id":16,"name":"Locomotive ID","value":"4008"},{"id":130,"name":"Impact","value":""},{"id":150,"name":"Time of Event (Mountain Time)","value":"06:54:29"},{"id":151,"name":"Denver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x14ac:dyDescent="0.25">
      <c r="A166" s="39" t="s">
        <v>508</v>
      </c>
      <c r="B166" s="7">
        <v>4007</v>
      </c>
      <c r="C166" s="24" t="s">
        <v>113</v>
      </c>
      <c r="D166" s="24" t="s">
        <v>509</v>
      </c>
      <c r="E166" s="15">
        <v>42609.288888888892</v>
      </c>
      <c r="F166" s="15">
        <v>42609.306423611109</v>
      </c>
      <c r="G166" s="7">
        <v>1</v>
      </c>
      <c r="H166" s="15" t="s">
        <v>510</v>
      </c>
      <c r="I166" s="15">
        <v>42609.31521990741</v>
      </c>
      <c r="J166" s="7">
        <v>0</v>
      </c>
      <c r="K166" s="132" t="str">
        <f t="shared" si="160"/>
        <v>4007/4008</v>
      </c>
      <c r="L166" s="24" t="str">
        <f>VLOOKUP(A166,'Trips&amp;Operators'!$C$1:$E$10000,3,FALSE)</f>
        <v>YORK</v>
      </c>
      <c r="M166" s="6">
        <f t="shared" si="161"/>
        <v>8.7962963007157668E-3</v>
      </c>
      <c r="N166" s="7">
        <f t="shared" si="175"/>
        <v>12.666666673030704</v>
      </c>
      <c r="O166" s="7"/>
      <c r="P166" s="7"/>
      <c r="Q166" s="25"/>
      <c r="R166" s="25"/>
      <c r="S166" s="37">
        <f t="shared" si="162"/>
        <v>1</v>
      </c>
      <c r="T166" s="52" t="str">
        <f t="shared" si="163"/>
        <v>NorthBound</v>
      </c>
      <c r="U166" s="12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05:56:00-0600',mode:absolute,to:'2016-08-27 08:33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6" s="54" t="str">
        <f t="shared" si="165"/>
        <v>N</v>
      </c>
      <c r="X166" s="120">
        <f t="shared" si="174"/>
        <v>1</v>
      </c>
      <c r="Y166" s="69">
        <f t="shared" si="166"/>
        <v>0.1109</v>
      </c>
      <c r="Z166" s="69">
        <f t="shared" si="167"/>
        <v>5.8952</v>
      </c>
      <c r="AA166" s="69">
        <f t="shared" si="168"/>
        <v>5.7843</v>
      </c>
      <c r="AB166" s="66" t="e">
        <f>VLOOKUP(A166,Enforcements!$C$7:$J$21,8,0)</f>
        <v>#N/A</v>
      </c>
      <c r="AC166" s="62" t="e">
        <f>VLOOKUP(A166,Enforcements!$C$7:$E$21,3,0)</f>
        <v>#N/A</v>
      </c>
      <c r="AD166" s="63" t="str">
        <f t="shared" si="169"/>
        <v>1803-27</v>
      </c>
      <c r="AE166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66" s="96" t="str">
        <f t="shared" si="159"/>
        <v>"C:\Program Files (x86)\AstroGrep\AstroGrep.exe" /spath="%USERPROFILE%\AppData\Local\Temp\OnboardLogs" /stypes="*4007*20160827*" /stext=" 13:.+((SYSTEM_STATE.+slice.+state.+changed )|(ment ac)|(system.+state.+changed )|(\|lc)|(penalty)|(\[timeout)|(PRM\|1\|D)|(kpr)|(kdp))" /e /r /s</v>
      </c>
      <c r="AG166" s="1" t="str">
        <f t="shared" si="170"/>
        <v>NW</v>
      </c>
      <c r="AH166" s="100" t="str">
        <f t="shared" si="172"/>
        <v>"%USERPROFILE%\Documents\GitHub\eaglep3\Utilities\RefineRTDCRunTimes.py" --tripid 1803-27 --locoid 4007 --swversion DE.1.0.7.0 --startMP 204:1109 --initTime 2016-08-27T06:56:00 --startdatetime 2016-08-27T07:21:15 --delay 1 --endMP 300:58952 --enddatetime 2016-08-27T07:33:55 --enforcementcount 0 &gt;&gt;C:\Users\stu\Documents\GitHub\eaglep3-reporting\EC\2016-08-27-refined-times.txt</v>
      </c>
      <c r="AI166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{"issue":{"subject":"","project_id":79,"tracker_id":40,"status_id":1,"priority_id":2,"assigned_to_id":23,"start_date":"2016-08-27","description":"","custom_fields":[{"id":1,"name":"Subdivision","value":"NW"},{"id":4,"name":"Milepost","value":"5.7843"},{"id":17,"name":"Train ID","value":"1803-27"},{"id":16,"name":"Locomotive ID","value":"4007"},{"id":130,"name":"Impact","value":""},{"id":150,"name":"Time of Event (Mountain Time)","value":"07:33:55"},{"id":151,"name":"Denver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511</v>
      </c>
      <c r="B167" s="7">
        <v>4008</v>
      </c>
      <c r="C167" s="24" t="s">
        <v>113</v>
      </c>
      <c r="D167" s="24" t="s">
        <v>512</v>
      </c>
      <c r="E167" s="15">
        <v>42609.316643518519</v>
      </c>
      <c r="F167" s="15">
        <v>42609.317893518521</v>
      </c>
      <c r="G167" s="7">
        <v>1</v>
      </c>
      <c r="H167" s="15" t="s">
        <v>513</v>
      </c>
      <c r="I167" s="15">
        <v>42609.32917824074</v>
      </c>
      <c r="J167" s="7">
        <v>0</v>
      </c>
      <c r="K167" s="132" t="str">
        <f t="shared" si="160"/>
        <v>4007/4008</v>
      </c>
      <c r="L167" s="24" t="str">
        <f>VLOOKUP(A167,'Trips&amp;Operators'!$C$1:$E$10000,3,FALSE)</f>
        <v>YORK</v>
      </c>
      <c r="M167" s="6">
        <f t="shared" si="161"/>
        <v>1.1284722218988463E-2</v>
      </c>
      <c r="N167" s="7">
        <f t="shared" si="175"/>
        <v>16.249999995343387</v>
      </c>
      <c r="O167" s="7"/>
      <c r="P167" s="7"/>
      <c r="Q167" s="25"/>
      <c r="R167" s="25"/>
      <c r="S167" s="37">
        <f t="shared" si="162"/>
        <v>1</v>
      </c>
      <c r="T167" s="52" t="str">
        <f t="shared" si="163"/>
        <v>Southbound</v>
      </c>
      <c r="U167" s="12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06:35:58-0600',mode:absolute,to:'2016-08-27 08:54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7" s="54" t="str">
        <f t="shared" si="165"/>
        <v>N</v>
      </c>
      <c r="X167" s="120">
        <f t="shared" si="174"/>
        <v>1</v>
      </c>
      <c r="Y167" s="69">
        <f t="shared" si="166"/>
        <v>5.8638000000000003</v>
      </c>
      <c r="Z167" s="69">
        <f t="shared" si="167"/>
        <v>8.0299999999999996E-2</v>
      </c>
      <c r="AA167" s="69">
        <f t="shared" si="168"/>
        <v>5.7835000000000001</v>
      </c>
      <c r="AB167" s="66" t="e">
        <f>VLOOKUP(A167,Enforcements!$C$7:$J$21,8,0)</f>
        <v>#N/A</v>
      </c>
      <c r="AC167" s="62" t="e">
        <f>VLOOKUP(A167,Enforcements!$C$7:$E$21,3,0)</f>
        <v>#N/A</v>
      </c>
      <c r="AD167" s="63" t="str">
        <f t="shared" si="169"/>
        <v>1804-27</v>
      </c>
      <c r="AE167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7" s="96" t="str">
        <f t="shared" si="159"/>
        <v>"C:\Program Files (x86)\AstroGrep\AstroGrep.exe" /spath="%USERPROFILE%\AppData\Local\Temp\OnboardLogs" /stypes="*4008*20160827*" /stext=" 13:.+((SYSTEM_STATE.+slice.+state.+changed )|(ment ac)|(system.+state.+changed )|(\|lc)|(penalty)|(\[timeout)|(PRM\|1\|D)|(kpr)|(kdp))" /e /r /s</v>
      </c>
      <c r="AG167" s="1" t="str">
        <f t="shared" si="170"/>
        <v>NW</v>
      </c>
      <c r="AH167" s="100" t="str">
        <f t="shared" si="172"/>
        <v>"%USERPROFILE%\Documents\GitHub\eaglep3\Utilities\RefineRTDCRunTimes.py" --tripid 1804-27 --locoid 4008 --swversion DE.1.0.7.0 --startMP 300:58638 --initTime 2016-08-27T07:35:58 --startdatetime 2016-08-27T07:37:46 --delay 1 --endMP 204:803 --enddatetime 2016-08-27T07:54:01 --enforcementcount 0 &gt;&gt;C:\Users\stu\Documents\GitHub\eaglep3-reporting\EC\2016-08-27-refined-times.txt</v>
      </c>
      <c r="AI167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{"issue":{"subject":"","project_id":79,"tracker_id":40,"status_id":1,"priority_id":2,"assigned_to_id":23,"start_date":"2016-08-27","description":"","custom_fields":[{"id":1,"name":"Subdivision","value":"NW"},{"id":4,"name":"Milepost","value":"5.7835"},{"id":17,"name":"Train ID","value":"1804-27"},{"id":16,"name":"Locomotive ID","value":"4008"},{"id":130,"name":"Impact","value":""},{"id":150,"name":"Time of Event (Mountain Time)","value":"07:54:01"},{"id":151,"name":"Denver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514</v>
      </c>
      <c r="B168" s="7">
        <v>4007</v>
      </c>
      <c r="C168" s="24" t="s">
        <v>113</v>
      </c>
      <c r="D168" s="24" t="s">
        <v>350</v>
      </c>
      <c r="E168" s="15">
        <v>42609.330208333333</v>
      </c>
      <c r="F168" s="15">
        <v>42609.348229166666</v>
      </c>
      <c r="G168" s="7">
        <v>1</v>
      </c>
      <c r="H168" s="15" t="s">
        <v>515</v>
      </c>
      <c r="I168" s="15">
        <v>42609.357210648152</v>
      </c>
      <c r="J168" s="7">
        <v>0</v>
      </c>
      <c r="K168" s="132" t="str">
        <f t="shared" si="160"/>
        <v>4007/4008</v>
      </c>
      <c r="L168" s="24" t="str">
        <f>VLOOKUP(A168,'Trips&amp;Operators'!$C$1:$E$10000,3,FALSE)</f>
        <v>YORK</v>
      </c>
      <c r="M168" s="6">
        <f t="shared" si="161"/>
        <v>8.9814814855344594E-3</v>
      </c>
      <c r="N168" s="7">
        <f t="shared" si="175"/>
        <v>12.933333339169621</v>
      </c>
      <c r="O168" s="7"/>
      <c r="P168" s="7"/>
      <c r="Q168" s="25"/>
      <c r="R168" s="25"/>
      <c r="S168" s="37">
        <f t="shared" si="162"/>
        <v>1</v>
      </c>
      <c r="T168" s="52" t="str">
        <f t="shared" si="163"/>
        <v>NorthBound</v>
      </c>
      <c r="U168" s="12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06:55:30-0600',mode:absolute,to:'2016-08-27 09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68" s="54" t="str">
        <f t="shared" si="165"/>
        <v>N</v>
      </c>
      <c r="X168" s="120">
        <f t="shared" ref="X168:X173" si="176">VALUE(LEFT(AD168,4))-VALUE(LEFT(AD167,4))</f>
        <v>1</v>
      </c>
      <c r="Y168" s="69">
        <f t="shared" si="166"/>
        <v>0.10979999999999999</v>
      </c>
      <c r="Z168" s="69">
        <f t="shared" si="167"/>
        <v>5.8959999999999999</v>
      </c>
      <c r="AA168" s="69">
        <f t="shared" si="168"/>
        <v>5.7862</v>
      </c>
      <c r="AB168" s="66" t="e">
        <f>VLOOKUP(A168,Enforcements!$C$7:$J$21,8,0)</f>
        <v>#N/A</v>
      </c>
      <c r="AC168" s="62" t="e">
        <f>VLOOKUP(A168,Enforcements!$C$7:$E$21,3,0)</f>
        <v>#N/A</v>
      </c>
      <c r="AD168" s="63" t="str">
        <f t="shared" si="169"/>
        <v>1805-27</v>
      </c>
      <c r="AE168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68" s="96" t="str">
        <f t="shared" si="159"/>
        <v>"C:\Program Files (x86)\AstroGrep\AstroGrep.exe" /spath="%USERPROFILE%\AppData\Local\Temp\OnboardLogs" /stypes="*4007*20160827*" /stext=" 14:.+((SYSTEM_STATE.+slice.+state.+changed )|(ment ac)|(system.+state.+changed )|(\|lc)|(penalty)|(\[timeout)|(PRM\|1\|D)|(kpr)|(kdp))" /e /r /s</v>
      </c>
      <c r="AG168" s="1" t="str">
        <f t="shared" si="170"/>
        <v>NW</v>
      </c>
      <c r="AH168" s="100" t="str">
        <f t="shared" si="172"/>
        <v>"%USERPROFILE%\Documents\GitHub\eaglep3\Utilities\RefineRTDCRunTimes.py" --tripid 1805-27 --locoid 4007 --swversion DE.1.0.7.0 --startMP 204:1098 --initTime 2016-08-27T07:55:30 --startdatetime 2016-08-27T08:21:27 --delay 1 --endMP 300:58960 --enddatetime 2016-08-27T08:34:23 --enforcementcount 0 &gt;&gt;C:\Users\stu\Documents\GitHub\eaglep3-reporting\EC\2016-08-27-refined-times.txt</v>
      </c>
      <c r="AI168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{"issue":{"subject":"","project_id":79,"tracker_id":40,"status_id":1,"priority_id":2,"assigned_to_id":23,"start_date":"2016-08-27","description":"","custom_fields":[{"id":1,"name":"Subdivision","value":"NW"},{"id":4,"name":"Milepost","value":"5.7862"},{"id":17,"name":"Train ID","value":"1805-27"},{"id":16,"name":"Locomotive ID","value":"4007"},{"id":130,"name":"Impact","value":""},{"id":150,"name":"Time of Event (Mountain Time)","value":"08:34:23"},{"id":151,"name":"Denver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516</v>
      </c>
      <c r="B169" s="7">
        <v>4008</v>
      </c>
      <c r="C169" s="24" t="s">
        <v>113</v>
      </c>
      <c r="D169" s="24" t="s">
        <v>371</v>
      </c>
      <c r="E169" s="15">
        <v>42609.358657407407</v>
      </c>
      <c r="F169" s="15">
        <v>42609.359884259262</v>
      </c>
      <c r="G169" s="7">
        <v>1</v>
      </c>
      <c r="H169" s="15" t="s">
        <v>517</v>
      </c>
      <c r="I169" s="15">
        <v>42609.370787037034</v>
      </c>
      <c r="J169" s="7">
        <v>0</v>
      </c>
      <c r="K169" s="132" t="str">
        <f t="shared" si="160"/>
        <v>4007/4008</v>
      </c>
      <c r="L169" s="24" t="str">
        <f>VLOOKUP(A169,'Trips&amp;Operators'!$C$1:$E$10000,3,FALSE)</f>
        <v>YORK</v>
      </c>
      <c r="M169" s="6">
        <f t="shared" si="161"/>
        <v>1.0902777772571426E-2</v>
      </c>
      <c r="N169" s="7">
        <f t="shared" si="175"/>
        <v>15.699999992502853</v>
      </c>
      <c r="O169" s="7"/>
      <c r="P169" s="7"/>
      <c r="Q169" s="25"/>
      <c r="R169" s="25"/>
      <c r="S169" s="37">
        <f t="shared" si="162"/>
        <v>1</v>
      </c>
      <c r="T169" s="52" t="str">
        <f t="shared" si="163"/>
        <v>Southbound</v>
      </c>
      <c r="U169" s="12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07:36:28-0600',mode:absolute,to:'2016-08-27 09:53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69" s="54" t="str">
        <f t="shared" si="165"/>
        <v>N</v>
      </c>
      <c r="X169" s="120">
        <f t="shared" si="176"/>
        <v>1</v>
      </c>
      <c r="Y169" s="69">
        <f t="shared" si="166"/>
        <v>5.8635999999999999</v>
      </c>
      <c r="Z169" s="69">
        <f t="shared" si="167"/>
        <v>8.1100000000000005E-2</v>
      </c>
      <c r="AA169" s="69">
        <f t="shared" si="168"/>
        <v>5.7824999999999998</v>
      </c>
      <c r="AB169" s="66" t="e">
        <f>VLOOKUP(A169,Enforcements!$C$7:$J$21,8,0)</f>
        <v>#N/A</v>
      </c>
      <c r="AC169" s="62" t="e">
        <f>VLOOKUP(A169,Enforcements!$C$7:$E$21,3,0)</f>
        <v>#N/A</v>
      </c>
      <c r="AD169" s="63" t="str">
        <f t="shared" si="169"/>
        <v>1806-27</v>
      </c>
      <c r="AE169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69" s="96" t="str">
        <f t="shared" si="159"/>
        <v>"C:\Program Files (x86)\AstroGrep\AstroGrep.exe" /spath="%USERPROFILE%\AppData\Local\Temp\OnboardLogs" /stypes="*4008*20160827*" /stext=" 14:.+((SYSTEM_STATE.+slice.+state.+changed )|(ment ac)|(system.+state.+changed )|(\|lc)|(penalty)|(\[timeout)|(PRM\|1\|D)|(kpr)|(kdp))" /e /r /s</v>
      </c>
      <c r="AG169" s="1" t="str">
        <f t="shared" si="170"/>
        <v>NW</v>
      </c>
      <c r="AH169" s="100" t="str">
        <f t="shared" si="172"/>
        <v>"%USERPROFILE%\Documents\GitHub\eaglep3\Utilities\RefineRTDCRunTimes.py" --tripid 1806-27 --locoid 4008 --swversion DE.1.0.7.0 --startMP 300:58636 --initTime 2016-08-27T08:36:28 --startdatetime 2016-08-27T08:38:14 --delay 1 --endMP 204:811 --enddatetime 2016-08-27T08:53:56 --enforcementcount 0 &gt;&gt;C:\Users\stu\Documents\GitHub\eaglep3-reporting\EC\2016-08-27-refined-times.txt</v>
      </c>
      <c r="AI169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{"issue":{"subject":"","project_id":79,"tracker_id":40,"status_id":1,"priority_id":2,"assigned_to_id":23,"start_date":"2016-08-27","description":"","custom_fields":[{"id":1,"name":"Subdivision","value":"NW"},{"id":4,"name":"Milepost","value":"5.7825"},{"id":17,"name":"Train ID","value":"1806-27"},{"id":16,"name":"Locomotive ID","value":"4008"},{"id":130,"name":"Impact","value":""},{"id":150,"name":"Time of Event (Mountain Time)","value":"08:53:56"},{"id":151,"name":"Denver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518</v>
      </c>
      <c r="B170" s="7">
        <v>4007</v>
      </c>
      <c r="C170" s="24" t="s">
        <v>113</v>
      </c>
      <c r="D170" s="24" t="s">
        <v>509</v>
      </c>
      <c r="E170" s="15">
        <v>42609.37158564815</v>
      </c>
      <c r="F170" s="15">
        <v>42609.389988425923</v>
      </c>
      <c r="G170" s="7">
        <v>1</v>
      </c>
      <c r="H170" s="15" t="s">
        <v>519</v>
      </c>
      <c r="I170" s="15">
        <v>42609.398634259262</v>
      </c>
      <c r="J170" s="7">
        <v>0</v>
      </c>
      <c r="K170" s="132" t="str">
        <f t="shared" si="160"/>
        <v>4007/4008</v>
      </c>
      <c r="L170" s="24" t="str">
        <f>VLOOKUP(A170,'Trips&amp;Operators'!$C$1:$E$10000,3,FALSE)</f>
        <v>YORK</v>
      </c>
      <c r="M170" s="6">
        <f t="shared" si="161"/>
        <v>8.6458333389600739E-3</v>
      </c>
      <c r="N170" s="7">
        <f t="shared" si="175"/>
        <v>12.450000008102506</v>
      </c>
      <c r="O170" s="7"/>
      <c r="P170" s="7"/>
      <c r="Q170" s="25"/>
      <c r="R170" s="25"/>
      <c r="S170" s="37">
        <f t="shared" si="162"/>
        <v>1</v>
      </c>
      <c r="T170" s="52" t="str">
        <f t="shared" si="163"/>
        <v>NorthBound</v>
      </c>
      <c r="U170" s="12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07:55:05-0600',mode:absolute,to:'2016-08-27 10:34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0" s="54" t="str">
        <f t="shared" si="165"/>
        <v>N</v>
      </c>
      <c r="X170" s="120">
        <f t="shared" si="176"/>
        <v>1</v>
      </c>
      <c r="Y170" s="69">
        <f t="shared" si="166"/>
        <v>0.1109</v>
      </c>
      <c r="Z170" s="69">
        <f t="shared" si="167"/>
        <v>5.8944000000000001</v>
      </c>
      <c r="AA170" s="69">
        <f t="shared" si="168"/>
        <v>5.7835000000000001</v>
      </c>
      <c r="AB170" s="66" t="e">
        <f>VLOOKUP(A170,Enforcements!$C$7:$J$21,8,0)</f>
        <v>#N/A</v>
      </c>
      <c r="AC170" s="62" t="e">
        <f>VLOOKUP(A170,Enforcements!$C$7:$E$21,3,0)</f>
        <v>#N/A</v>
      </c>
      <c r="AD170" s="63" t="str">
        <f t="shared" si="169"/>
        <v>1807-27</v>
      </c>
      <c r="AE170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0" s="96" t="str">
        <f t="shared" si="159"/>
        <v>"C:\Program Files (x86)\AstroGrep\AstroGrep.exe" /spath="%USERPROFILE%\AppData\Local\Temp\OnboardLogs" /stypes="*4007*20160827*" /stext=" 15:.+((SYSTEM_STATE.+slice.+state.+changed )|(ment ac)|(system.+state.+changed )|(\|lc)|(penalty)|(\[timeout)|(PRM\|1\|D)|(kpr)|(kdp))" /e /r /s</v>
      </c>
      <c r="AG170" s="1" t="str">
        <f t="shared" si="170"/>
        <v>NW</v>
      </c>
      <c r="AH170" s="100" t="str">
        <f t="shared" si="172"/>
        <v>"%USERPROFILE%\Documents\GitHub\eaglep3\Utilities\RefineRTDCRunTimes.py" --tripid 1807-27 --locoid 4007 --swversion DE.1.0.7.0 --startMP 204:1109 --initTime 2016-08-27T08:55:05 --startdatetime 2016-08-27T09:21:35 --delay 1 --endMP 300:58944 --enddatetime 2016-08-27T09:34:02 --enforcementcount 0 &gt;&gt;C:\Users\stu\Documents\GitHub\eaglep3-reporting\EC\2016-08-27-refined-times.txt</v>
      </c>
      <c r="AI170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{"issue":{"subject":"","project_id":79,"tracker_id":40,"status_id":1,"priority_id":2,"assigned_to_id":23,"start_date":"2016-08-27","description":"","custom_fields":[{"id":1,"name":"Subdivision","value":"NW"},{"id":4,"name":"Milepost","value":"5.7835"},{"id":17,"name":"Train ID","value":"1807-27"},{"id":16,"name":"Locomotive ID","value":"4007"},{"id":130,"name":"Impact","value":""},{"id":150,"name":"Time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520</v>
      </c>
      <c r="B171" s="7">
        <v>4008</v>
      </c>
      <c r="C171" s="24" t="s">
        <v>113</v>
      </c>
      <c r="D171" s="24" t="s">
        <v>521</v>
      </c>
      <c r="E171" s="15">
        <v>42609.399699074071</v>
      </c>
      <c r="F171" s="15">
        <v>42609.401099537034</v>
      </c>
      <c r="G171" s="7">
        <v>1</v>
      </c>
      <c r="H171" s="15" t="s">
        <v>369</v>
      </c>
      <c r="I171" s="15">
        <v>42609.41238425926</v>
      </c>
      <c r="J171" s="7">
        <v>0</v>
      </c>
      <c r="K171" s="132" t="str">
        <f t="shared" si="160"/>
        <v>4007/4008</v>
      </c>
      <c r="L171" s="24" t="str">
        <f>VLOOKUP(A171,'Trips&amp;Operators'!$C$1:$E$10000,3,FALSE)</f>
        <v>YORK</v>
      </c>
      <c r="M171" s="6">
        <f t="shared" si="161"/>
        <v>1.1284722226264421E-2</v>
      </c>
      <c r="N171" s="7">
        <f t="shared" si="175"/>
        <v>16.250000005820766</v>
      </c>
      <c r="O171" s="7"/>
      <c r="P171" s="7"/>
      <c r="Q171" s="25"/>
      <c r="R171" s="25"/>
      <c r="S171" s="37">
        <f t="shared" si="162"/>
        <v>1</v>
      </c>
      <c r="T171" s="52" t="str">
        <f t="shared" si="163"/>
        <v>Southbound</v>
      </c>
      <c r="U171" s="12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08:35:34-0600',mode:absolute,to:'2016-08-27 10:53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1" s="54" t="str">
        <f t="shared" si="165"/>
        <v>N</v>
      </c>
      <c r="X171" s="120">
        <f t="shared" si="176"/>
        <v>1</v>
      </c>
      <c r="Y171" s="69">
        <f t="shared" si="166"/>
        <v>5.8630000000000004</v>
      </c>
      <c r="Z171" s="69">
        <f t="shared" si="167"/>
        <v>7.8899999999999998E-2</v>
      </c>
      <c r="AA171" s="69">
        <f t="shared" si="168"/>
        <v>5.7841000000000005</v>
      </c>
      <c r="AB171" s="66" t="e">
        <f>VLOOKUP(A171,Enforcements!$C$7:$J$21,8,0)</f>
        <v>#N/A</v>
      </c>
      <c r="AC171" s="62" t="e">
        <f>VLOOKUP(A171,Enforcements!$C$7:$E$21,3,0)</f>
        <v>#N/A</v>
      </c>
      <c r="AD171" s="63" t="str">
        <f t="shared" si="169"/>
        <v>1808-27</v>
      </c>
      <c r="AE171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1" s="96" t="str">
        <f t="shared" si="159"/>
        <v>"C:\Program Files (x86)\AstroGrep\AstroGrep.exe" /spath="%USERPROFILE%\AppData\Local\Temp\OnboardLogs" /stypes="*4008*20160827*" /stext=" 15:.+((SYSTEM_STATE.+slice.+state.+changed )|(ment ac)|(system.+state.+changed )|(\|lc)|(penalty)|(\[timeout)|(PRM\|1\|D)|(kpr)|(kdp))" /e /r /s</v>
      </c>
      <c r="AG171" s="1" t="str">
        <f t="shared" si="170"/>
        <v>NW</v>
      </c>
      <c r="AH171" s="100" t="str">
        <f t="shared" si="172"/>
        <v>"%USERPROFILE%\Documents\GitHub\eaglep3\Utilities\RefineRTDCRunTimes.py" --tripid 1808-27 --locoid 4008 --swversion DE.1.0.7.0 --startMP 300:58630 --initTime 2016-08-27T09:35:34 --startdatetime 2016-08-27T09:37:35 --delay 1 --endMP 204:789 --enddatetime 2016-08-27T09:53:50 --enforcementcount 0 &gt;&gt;C:\Users\stu\Documents\GitHub\eaglep3-reporting\EC\2016-08-27-refined-times.txt</v>
      </c>
      <c r="AI171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{"issue":{"subject":"","project_id":79,"tracker_id":40,"status_id":1,"priority_id":2,"assigned_to_id":23,"start_date":"2016-08-27","description":"","custom_fields":[{"id":1,"name":"Subdivision","value":"NW"},{"id":4,"name":"Milepost","value":"5.7841"},{"id":17,"name":"Train ID","value":"1808-27"},{"id":16,"name":"Locomotive ID","value":"4008"},{"id":130,"name":"Impact","value":""},{"id":150,"name":"Time of Event (Mountain Time)","value":"09:53:50"},{"id":151,"name":"Denver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522</v>
      </c>
      <c r="B172" s="7">
        <v>4007</v>
      </c>
      <c r="C172" s="24" t="s">
        <v>113</v>
      </c>
      <c r="D172" s="24" t="s">
        <v>523</v>
      </c>
      <c r="E172" s="15">
        <v>42609.413298611114</v>
      </c>
      <c r="F172" s="15">
        <v>42609.431493055556</v>
      </c>
      <c r="G172" s="7">
        <v>1</v>
      </c>
      <c r="H172" s="15" t="s">
        <v>287</v>
      </c>
      <c r="I172" s="15">
        <v>42609.440787037034</v>
      </c>
      <c r="J172" s="7">
        <v>0</v>
      </c>
      <c r="K172" s="132" t="str">
        <f t="shared" si="160"/>
        <v>4007/4008</v>
      </c>
      <c r="L172" s="24" t="str">
        <f>VLOOKUP(A172,'Trips&amp;Operators'!$C$1:$E$10000,3,FALSE)</f>
        <v>YORK</v>
      </c>
      <c r="M172" s="6">
        <f t="shared" si="161"/>
        <v>9.29398147854954E-3</v>
      </c>
      <c r="N172" s="7">
        <f t="shared" si="175"/>
        <v>13.383333329111338</v>
      </c>
      <c r="O172" s="7"/>
      <c r="P172" s="7"/>
      <c r="Q172" s="25"/>
      <c r="R172" s="25"/>
      <c r="S172" s="37">
        <f t="shared" si="162"/>
        <v>1</v>
      </c>
      <c r="T172" s="52" t="str">
        <f t="shared" si="163"/>
        <v>NorthBound</v>
      </c>
      <c r="U172" s="12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08:55:09-0600',mode:absolute,to:'2016-08-27 11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2" s="54" t="str">
        <f t="shared" si="165"/>
        <v>N</v>
      </c>
      <c r="X172" s="120">
        <f t="shared" si="176"/>
        <v>1</v>
      </c>
      <c r="Y172" s="69">
        <f t="shared" si="166"/>
        <v>0.1074</v>
      </c>
      <c r="Z172" s="69">
        <f t="shared" si="167"/>
        <v>5.8945999999999996</v>
      </c>
      <c r="AA172" s="69">
        <f t="shared" si="168"/>
        <v>5.7871999999999995</v>
      </c>
      <c r="AB172" s="66" t="e">
        <f>VLOOKUP(A172,Enforcements!$C$7:$J$21,8,0)</f>
        <v>#N/A</v>
      </c>
      <c r="AC172" s="62" t="e">
        <f>VLOOKUP(A172,Enforcements!$C$7:$E$21,3,0)</f>
        <v>#N/A</v>
      </c>
      <c r="AD172" s="63" t="str">
        <f t="shared" si="169"/>
        <v>1809-27</v>
      </c>
      <c r="AE172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2" s="96" t="str">
        <f t="shared" si="159"/>
        <v>"C:\Program Files (x86)\AstroGrep\AstroGrep.exe" /spath="%USERPROFILE%\AppData\Local\Temp\OnboardLogs" /stypes="*4007*20160827*" /stext=" 16:.+((SYSTEM_STATE.+slice.+state.+changed )|(ment ac)|(system.+state.+changed )|(\|lc)|(penalty)|(\[timeout)|(PRM\|1\|D)|(kpr)|(kdp))" /e /r /s</v>
      </c>
      <c r="AG172" s="1" t="str">
        <f t="shared" si="170"/>
        <v>NW</v>
      </c>
      <c r="AH172" s="100" t="str">
        <f t="shared" si="172"/>
        <v>"%USERPROFILE%\Documents\GitHub\eaglep3\Utilities\RefineRTDCRunTimes.py" --tripid 1809-27 --locoid 4007 --swversion DE.1.0.7.0 --startMP 204:1074 --initTime 2016-08-27T09:55:09 --startdatetime 2016-08-27T10:21:21 --delay 1 --endMP 300:58946 --enddatetime 2016-08-27T10:34:44 --enforcementcount 0 &gt;&gt;C:\Users\stu\Documents\GitHub\eaglep3-reporting\EC\2016-08-27-refined-times.txt</v>
      </c>
      <c r="AI172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{"issue":{"subject":"","project_id":79,"tracker_id":40,"status_id":1,"priority_id":2,"assigned_to_id":23,"start_date":"2016-08-27","description":"","custom_fields":[{"id":1,"name":"Subdivision","value":"NW"},{"id":4,"name":"Milepost","value":"5.7872"},{"id":17,"name":"Train ID","value":"1809-27"},{"id":16,"name":"Locomotive ID","value":"4007"},{"id":130,"name":"Impact","value":""},{"id":150,"name":"Time of Event (Mountain Time)","value":"10:34:44"},{"id":151,"name":"Denver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526</v>
      </c>
      <c r="B173" s="7">
        <v>4008</v>
      </c>
      <c r="C173" s="24" t="s">
        <v>113</v>
      </c>
      <c r="D173" s="24" t="s">
        <v>512</v>
      </c>
      <c r="E173" s="15">
        <v>42609.442025462966</v>
      </c>
      <c r="F173" s="15">
        <v>42609.443240740744</v>
      </c>
      <c r="G173" s="7">
        <v>0</v>
      </c>
      <c r="H173" s="15" t="s">
        <v>527</v>
      </c>
      <c r="I173" s="15">
        <v>42609.453981481478</v>
      </c>
      <c r="J173" s="7">
        <v>0</v>
      </c>
      <c r="K173" s="132" t="str">
        <f t="shared" si="160"/>
        <v>4007/4008</v>
      </c>
      <c r="L173" s="24" t="str">
        <f>VLOOKUP(A173,'Trips&amp;Operators'!$C$1:$E$10000,3,FALSE)</f>
        <v>YORK</v>
      </c>
      <c r="M173" s="6">
        <f t="shared" si="161"/>
        <v>1.0740740734036081E-2</v>
      </c>
      <c r="N173" s="7">
        <f t="shared" si="175"/>
        <v>15.466666657011956</v>
      </c>
      <c r="O173" s="7"/>
      <c r="P173" s="7"/>
      <c r="Q173" s="25"/>
      <c r="R173" s="25"/>
      <c r="S173" s="37">
        <f t="shared" si="162"/>
        <v>1</v>
      </c>
      <c r="T173" s="52" t="str">
        <f t="shared" si="163"/>
        <v>Southbound</v>
      </c>
      <c r="U173" s="12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09:36:31-0600',mode:absolute,to:'2016-08-27 11:53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3" s="54" t="str">
        <f t="shared" si="165"/>
        <v>N</v>
      </c>
      <c r="X173" s="120">
        <f t="shared" si="176"/>
        <v>1</v>
      </c>
      <c r="Y173" s="69">
        <f t="shared" si="166"/>
        <v>5.8638000000000003</v>
      </c>
      <c r="Z173" s="69">
        <f t="shared" si="167"/>
        <v>8.3099999999999993E-2</v>
      </c>
      <c r="AA173" s="69">
        <f t="shared" si="168"/>
        <v>5.7807000000000004</v>
      </c>
      <c r="AB173" s="66" t="e">
        <f>VLOOKUP(A173,Enforcements!$C$7:$J$21,8,0)</f>
        <v>#N/A</v>
      </c>
      <c r="AC173" s="62" t="e">
        <f>VLOOKUP(A173,Enforcements!$C$7:$E$21,3,0)</f>
        <v>#N/A</v>
      </c>
      <c r="AD173" s="63" t="str">
        <f t="shared" si="169"/>
        <v>1810-27</v>
      </c>
      <c r="AE173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3" s="96" t="str">
        <f t="shared" si="159"/>
        <v>"C:\Program Files (x86)\AstroGrep\AstroGrep.exe" /spath="%USERPROFILE%\AppData\Local\Temp\OnboardLogs" /stypes="*4008*20160827*" /stext=" 16:.+((SYSTEM_STATE.+slice.+state.+changed )|(ment ac)|(system.+state.+changed )|(\|lc)|(penalty)|(\[timeout)|(PRM\|1\|D)|(kpr)|(kdp))" /e /r /s</v>
      </c>
      <c r="AG173" s="1" t="str">
        <f t="shared" si="170"/>
        <v>NW</v>
      </c>
      <c r="AH173" s="100" t="str">
        <f t="shared" si="172"/>
        <v>"%USERPROFILE%\Documents\GitHub\eaglep3\Utilities\RefineRTDCRunTimes.py" --tripid 1810-27 --locoid 4008 --swversion DE.1.0.7.0 --startMP 300:58638 --initTime 2016-08-27T10:36:31 --startdatetime 2016-08-27T10:38:16 --delay 0 --endMP 204:831 --enddatetime 2016-08-27T10:53:44 --enforcementcount 0 &gt;&gt;C:\Users\stu\Documents\GitHub\eaglep3-reporting\EC\2016-08-27-refined-times.txt</v>
      </c>
      <c r="AI173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{"issue":{"subject":"","project_id":79,"tracker_id":40,"status_id":1,"priority_id":2,"assigned_to_id":23,"start_date":"2016-08-27","description":"","custom_fields":[{"id":1,"name":"Subdivision","value":"NW"},{"id":4,"name":"Milepost","value":"5.7807"},{"id":17,"name":"Train ID","value":"1810-27"},{"id":16,"name":"Locomotive ID","value":"4008"},{"id":130,"name":"Impact","value":""},{"id":150,"name":"Time of Event (Mountain Time)","value":"10:53:44"},{"id":151,"name":"Denver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528</v>
      </c>
      <c r="B174" s="7">
        <v>4007</v>
      </c>
      <c r="C174" s="24" t="s">
        <v>113</v>
      </c>
      <c r="D174" s="24" t="s">
        <v>372</v>
      </c>
      <c r="E174" s="15">
        <v>42609.454837962963</v>
      </c>
      <c r="F174" s="15">
        <v>42609.473402777781</v>
      </c>
      <c r="G174" s="7">
        <v>1</v>
      </c>
      <c r="H174" s="15" t="s">
        <v>287</v>
      </c>
      <c r="I174" s="15">
        <v>42609.482905092591</v>
      </c>
      <c r="J174" s="7">
        <v>0</v>
      </c>
      <c r="K174" s="132" t="str">
        <f t="shared" si="160"/>
        <v>4007/4008</v>
      </c>
      <c r="L174" s="24" t="str">
        <f>VLOOKUP(A174,'Trips&amp;Operators'!$C$1:$E$10000,3,FALSE)</f>
        <v>YORK</v>
      </c>
      <c r="M174" s="6">
        <f t="shared" si="161"/>
        <v>9.5023148096515797E-3</v>
      </c>
      <c r="N174" s="7">
        <f t="shared" si="175"/>
        <v>13.683333325898275</v>
      </c>
      <c r="O174" s="7"/>
      <c r="P174" s="7"/>
      <c r="Q174" s="25"/>
      <c r="R174" s="25"/>
      <c r="S174" s="37">
        <f t="shared" si="162"/>
        <v>1</v>
      </c>
      <c r="T174" s="52" t="str">
        <f t="shared" si="163"/>
        <v>NorthBound</v>
      </c>
      <c r="U174" s="12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09:54:58-0600',mode:absolute,to:'2016-08-27 12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4" s="54" t="str">
        <f t="shared" si="165"/>
        <v>N</v>
      </c>
      <c r="X174" s="120">
        <f t="shared" ref="X174:X179" si="177">VALUE(LEFT(AD174,4))-VALUE(LEFT(AD173,4))</f>
        <v>1</v>
      </c>
      <c r="Y174" s="69">
        <f t="shared" si="166"/>
        <v>0.1118</v>
      </c>
      <c r="Z174" s="69">
        <f t="shared" si="167"/>
        <v>5.8945999999999996</v>
      </c>
      <c r="AA174" s="69">
        <f t="shared" si="168"/>
        <v>5.7827999999999999</v>
      </c>
      <c r="AB174" s="66" t="e">
        <f>VLOOKUP(A174,Enforcements!$C$7:$J$21,8,0)</f>
        <v>#N/A</v>
      </c>
      <c r="AC174" s="62" t="e">
        <f>VLOOKUP(A174,Enforcements!$C$7:$E$21,3,0)</f>
        <v>#N/A</v>
      </c>
      <c r="AD174" s="63" t="str">
        <f t="shared" si="169"/>
        <v>1811-27</v>
      </c>
      <c r="AE174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4" s="96" t="str">
        <f t="shared" si="159"/>
        <v>"C:\Program Files (x86)\AstroGrep\AstroGrep.exe" /spath="%USERPROFILE%\AppData\Local\Temp\OnboardLogs" /stypes="*4007*20160827*" /stext=" 17:.+((SYSTEM_STATE.+slice.+state.+changed )|(ment ac)|(system.+state.+changed )|(\|lc)|(penalty)|(\[timeout)|(PRM\|1\|D)|(kpr)|(kdp))" /e /r /s</v>
      </c>
      <c r="AG174" s="1" t="str">
        <f t="shared" si="170"/>
        <v>NW</v>
      </c>
      <c r="AH174" s="100" t="str">
        <f t="shared" si="172"/>
        <v>"%USERPROFILE%\Documents\GitHub\eaglep3\Utilities\RefineRTDCRunTimes.py" --tripid 1811-27 --locoid 4007 --swversion DE.1.0.7.0 --startMP 204:1118 --initTime 2016-08-27T10:54:58 --startdatetime 2016-08-27T11:21:42 --delay 1 --endMP 300:58946 --enddatetime 2016-08-27T11:35:23 --enforcementcount 0 &gt;&gt;C:\Users\stu\Documents\GitHub\eaglep3-reporting\EC\2016-08-27-refined-times.txt</v>
      </c>
      <c r="AI174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{"issue":{"subject":"","project_id":79,"tracker_id":40,"status_id":1,"priority_id":2,"assigned_to_id":23,"start_date":"2016-08-27","description":"","custom_fields":[{"id":1,"name":"Subdivision","value":"NW"},{"id":4,"name":"Milepost","value":"5.7828"},{"id":17,"name":"Train ID","value":"1811-27"},{"id":16,"name":"Locomotive ID","value":"4007"},{"id":130,"name":"Impact","value":""},{"id":150,"name":"Time of Event (Mountain Time)","value":"11:35:23"},{"id":151,"name":"Denver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529</v>
      </c>
      <c r="B175" s="7">
        <v>4008</v>
      </c>
      <c r="C175" s="24" t="s">
        <v>113</v>
      </c>
      <c r="D175" s="24" t="s">
        <v>268</v>
      </c>
      <c r="E175" s="15">
        <v>42609.483715277776</v>
      </c>
      <c r="F175" s="15">
        <v>42609.485000000001</v>
      </c>
      <c r="G175" s="7">
        <v>1</v>
      </c>
      <c r="H175" s="15" t="s">
        <v>530</v>
      </c>
      <c r="I175" s="15">
        <v>42609.496215277781</v>
      </c>
      <c r="J175" s="7">
        <v>0</v>
      </c>
      <c r="K175" s="132" t="str">
        <f t="shared" si="160"/>
        <v>4007/4008</v>
      </c>
      <c r="L175" s="24" t="str">
        <f>VLOOKUP(A175,'Trips&amp;Operators'!$C$1:$E$10000,3,FALSE)</f>
        <v>YORK</v>
      </c>
      <c r="M175" s="6">
        <f t="shared" si="161"/>
        <v>1.1215277780138422E-2</v>
      </c>
      <c r="N175" s="7">
        <f t="shared" si="175"/>
        <v>16.150000003399327</v>
      </c>
      <c r="O175" s="7"/>
      <c r="P175" s="7"/>
      <c r="Q175" s="25"/>
      <c r="R175" s="25"/>
      <c r="S175" s="37">
        <f t="shared" si="162"/>
        <v>1</v>
      </c>
      <c r="T175" s="52" t="str">
        <f t="shared" si="163"/>
        <v>Southbound</v>
      </c>
      <c r="U175" s="12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10:36:33-0600',mode:absolute,to:'2016-08-27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5" s="54" t="str">
        <f t="shared" si="165"/>
        <v>N</v>
      </c>
      <c r="X175" s="120">
        <f t="shared" si="177"/>
        <v>1</v>
      </c>
      <c r="Y175" s="69">
        <f t="shared" si="166"/>
        <v>5.8625999999999996</v>
      </c>
      <c r="Z175" s="69">
        <f t="shared" si="167"/>
        <v>7.9399999999999998E-2</v>
      </c>
      <c r="AA175" s="69">
        <f t="shared" si="168"/>
        <v>5.7831999999999999</v>
      </c>
      <c r="AB175" s="66" t="e">
        <f>VLOOKUP(A175,Enforcements!$C$7:$J$21,8,0)</f>
        <v>#N/A</v>
      </c>
      <c r="AC175" s="62" t="e">
        <f>VLOOKUP(A175,Enforcements!$C$7:$E$21,3,0)</f>
        <v>#N/A</v>
      </c>
      <c r="AD175" s="63" t="str">
        <f t="shared" si="169"/>
        <v>1812-27</v>
      </c>
      <c r="AE175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5" s="96" t="str">
        <f t="shared" si="159"/>
        <v>"C:\Program Files (x86)\AstroGrep\AstroGrep.exe" /spath="%USERPROFILE%\AppData\Local\Temp\OnboardLogs" /stypes="*4008*20160827*" /stext=" 17:.+((SYSTEM_STATE.+slice.+state.+changed )|(ment ac)|(system.+state.+changed )|(\|lc)|(penalty)|(\[timeout)|(PRM\|1\|D)|(kpr)|(kdp))" /e /r /s</v>
      </c>
      <c r="AG175" s="1" t="str">
        <f t="shared" si="170"/>
        <v>NW</v>
      </c>
      <c r="AH175" s="100" t="str">
        <f t="shared" si="172"/>
        <v>"%USERPROFILE%\Documents\GitHub\eaglep3\Utilities\RefineRTDCRunTimes.py" --tripid 1812-27 --locoid 4008 --swversion DE.1.0.7.0 --startMP 300:58626 --initTime 2016-08-27T11:36:33 --startdatetime 2016-08-27T11:38:24 --delay 1 --endMP 204:794 --enddatetime 2016-08-27T11:54:33 --enforcementcount 0 &gt;&gt;C:\Users\stu\Documents\GitHub\eaglep3-reporting\EC\2016-08-27-refined-times.txt</v>
      </c>
      <c r="AI175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{"issue":{"subject":"","project_id":79,"tracker_id":40,"status_id":1,"priority_id":2,"assigned_to_id":23,"start_date":"2016-08-27","description":"","custom_fields":[{"id":1,"name":"Subdivision","value":"NW"},{"id":4,"name":"Milepost","value":"5.7832"},{"id":17,"name":"Train ID","value":"1812-27"},{"id":16,"name":"Locomotive ID","value":"4008"},{"id":130,"name":"Impact","value":""},{"id":150,"name":"Time of Event (Mountain Time)","value":"11:54:33"},{"id":151,"name":"Denver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531</v>
      </c>
      <c r="B176" s="7">
        <v>4007</v>
      </c>
      <c r="C176" s="24" t="s">
        <v>113</v>
      </c>
      <c r="D176" s="24" t="s">
        <v>368</v>
      </c>
      <c r="E176" s="15">
        <v>42609.49732638889</v>
      </c>
      <c r="F176" s="15">
        <v>42609.515011574076</v>
      </c>
      <c r="G176" s="7">
        <v>1</v>
      </c>
      <c r="H176" s="15" t="s">
        <v>519</v>
      </c>
      <c r="I176" s="15">
        <v>42609.523958333331</v>
      </c>
      <c r="J176" s="7">
        <v>0</v>
      </c>
      <c r="K176" s="132" t="str">
        <f t="shared" si="160"/>
        <v>4007/4008</v>
      </c>
      <c r="L176" s="24" t="str">
        <f>VLOOKUP(A176,'Trips&amp;Operators'!$C$1:$E$10000,3,FALSE)</f>
        <v>YORK</v>
      </c>
      <c r="M176" s="6">
        <f t="shared" si="161"/>
        <v>8.9467592551955022E-3</v>
      </c>
      <c r="N176" s="7">
        <f t="shared" si="175"/>
        <v>12.883333327481523</v>
      </c>
      <c r="O176" s="7"/>
      <c r="P176" s="7"/>
      <c r="Q176" s="25"/>
      <c r="R176" s="25"/>
      <c r="S176" s="37">
        <f t="shared" si="162"/>
        <v>1</v>
      </c>
      <c r="T176" s="52" t="str">
        <f t="shared" si="163"/>
        <v>NorthBound</v>
      </c>
      <c r="U176" s="12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10:56:09-0600',mode:absolute,to:'2016-08-27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6" s="54" t="str">
        <f t="shared" si="165"/>
        <v>N</v>
      </c>
      <c r="X176" s="120">
        <f t="shared" si="177"/>
        <v>1</v>
      </c>
      <c r="Y176" s="69">
        <f t="shared" si="166"/>
        <v>0.1095</v>
      </c>
      <c r="Z176" s="69">
        <f t="shared" si="167"/>
        <v>5.8944000000000001</v>
      </c>
      <c r="AA176" s="69">
        <f t="shared" si="168"/>
        <v>5.7849000000000004</v>
      </c>
      <c r="AB176" s="66" t="e">
        <f>VLOOKUP(A176,Enforcements!$C$7:$J$21,8,0)</f>
        <v>#N/A</v>
      </c>
      <c r="AC176" s="62" t="e">
        <f>VLOOKUP(A176,Enforcements!$C$7:$E$21,3,0)</f>
        <v>#N/A</v>
      </c>
      <c r="AD176" s="63" t="str">
        <f t="shared" si="169"/>
        <v>1813-27</v>
      </c>
      <c r="AE176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6" s="96" t="str">
        <f t="shared" si="159"/>
        <v>"C:\Program Files (x86)\AstroGrep\AstroGrep.exe" /spath="%USERPROFILE%\AppData\Local\Temp\OnboardLogs" /stypes="*4007*20160827*" /stext=" 18:.+((SYSTEM_STATE.+slice.+state.+changed )|(ment ac)|(system.+state.+changed )|(\|lc)|(penalty)|(\[timeout)|(PRM\|1\|D)|(kpr)|(kdp))" /e /r /s</v>
      </c>
      <c r="AG176" s="1" t="str">
        <f t="shared" si="170"/>
        <v>NW</v>
      </c>
      <c r="AH176" s="100" t="str">
        <f t="shared" si="172"/>
        <v>"%USERPROFILE%\Documents\GitHub\eaglep3\Utilities\RefineRTDCRunTimes.py" --tripid 1813-27 --locoid 4007 --swversion DE.1.0.7.0 --startMP 204:1095 --initTime 2016-08-27T11:56:09 --startdatetime 2016-08-27T12:21:37 --delay 1 --endMP 300:58944 --enddatetime 2016-08-27T12:34:30 --enforcementcount 0 &gt;&gt;C:\Users\stu\Documents\GitHub\eaglep3-reporting\EC\2016-08-27-refined-times.txt</v>
      </c>
      <c r="AI176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{"issue":{"subject":"","project_id":79,"tracker_id":40,"status_id":1,"priority_id":2,"assigned_to_id":23,"start_date":"2016-08-27","description":"","custom_fields":[{"id":1,"name":"Subdivision","value":"NW"},{"id":4,"name":"Milepost","value":"5.7849"},{"id":17,"name":"Train ID","value":"1813-27"},{"id":16,"name":"Locomotive ID","value":"4007"},{"id":130,"name":"Impact","value":""},{"id":150,"name":"Time of Event (Mountain Time)","value":"12:34:30"},{"id":151,"name":"Denver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532</v>
      </c>
      <c r="B177" s="7">
        <v>4008</v>
      </c>
      <c r="C177" s="24" t="s">
        <v>113</v>
      </c>
      <c r="D177" s="24" t="s">
        <v>533</v>
      </c>
      <c r="E177" s="15">
        <v>42609.525462962964</v>
      </c>
      <c r="F177" s="15">
        <v>42609.526747685188</v>
      </c>
      <c r="G177" s="7">
        <v>1</v>
      </c>
      <c r="H177" s="15" t="s">
        <v>534</v>
      </c>
      <c r="I177" s="15">
        <v>42609.537557870368</v>
      </c>
      <c r="J177" s="7">
        <v>0</v>
      </c>
      <c r="K177" s="132" t="str">
        <f t="shared" si="160"/>
        <v>4007/4008</v>
      </c>
      <c r="L177" s="24" t="str">
        <f>VLOOKUP(A177,'Trips&amp;Operators'!$C$1:$E$10000,3,FALSE)</f>
        <v>YORK</v>
      </c>
      <c r="M177" s="6">
        <f t="shared" si="161"/>
        <v>1.081018518016208E-2</v>
      </c>
      <c r="N177" s="7">
        <f t="shared" si="175"/>
        <v>15.566666659433395</v>
      </c>
      <c r="O177" s="7"/>
      <c r="P177" s="7"/>
      <c r="Q177" s="25"/>
      <c r="R177" s="25"/>
      <c r="S177" s="37">
        <f t="shared" si="162"/>
        <v>1</v>
      </c>
      <c r="T177" s="52" t="str">
        <f t="shared" si="163"/>
        <v>Southbound</v>
      </c>
      <c r="U177" s="12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11:36:40-0600',mode:absolute,to:'2016-08-27 13:54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7" s="54" t="str">
        <f t="shared" si="165"/>
        <v>N</v>
      </c>
      <c r="X177" s="120">
        <f t="shared" si="177"/>
        <v>1</v>
      </c>
      <c r="Y177" s="69">
        <f t="shared" si="166"/>
        <v>5.8624000000000001</v>
      </c>
      <c r="Z177" s="69">
        <f t="shared" si="167"/>
        <v>7.9699999999999993E-2</v>
      </c>
      <c r="AA177" s="69">
        <f t="shared" si="168"/>
        <v>5.7827000000000002</v>
      </c>
      <c r="AB177" s="66" t="e">
        <f>VLOOKUP(A177,Enforcements!$C$7:$J$21,8,0)</f>
        <v>#N/A</v>
      </c>
      <c r="AC177" s="62" t="e">
        <f>VLOOKUP(A177,Enforcements!$C$7:$E$21,3,0)</f>
        <v>#N/A</v>
      </c>
      <c r="AD177" s="63" t="str">
        <f t="shared" si="169"/>
        <v>1814-27</v>
      </c>
      <c r="AE177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7" s="96" t="str">
        <f t="shared" si="159"/>
        <v>"C:\Program Files (x86)\AstroGrep\AstroGrep.exe" /spath="%USERPROFILE%\AppData\Local\Temp\OnboardLogs" /stypes="*4008*20160827*" /stext=" 18:.+((SYSTEM_STATE.+slice.+state.+changed )|(ment ac)|(system.+state.+changed )|(\|lc)|(penalty)|(\[timeout)|(PRM\|1\|D)|(kpr)|(kdp))" /e /r /s</v>
      </c>
      <c r="AG177" s="1" t="str">
        <f t="shared" si="170"/>
        <v>NW</v>
      </c>
      <c r="AH177" s="100" t="str">
        <f t="shared" si="172"/>
        <v>"%USERPROFILE%\Documents\GitHub\eaglep3\Utilities\RefineRTDCRunTimes.py" --tripid 1814-27 --locoid 4008 --swversion DE.1.0.7.0 --startMP 300:58624 --initTime 2016-08-27T12:36:40 --startdatetime 2016-08-27T12:38:31 --delay 1 --endMP 204:797 --enddatetime 2016-08-27T12:54:05 --enforcementcount 0 &gt;&gt;C:\Users\stu\Documents\GitHub\eaglep3-reporting\EC\2016-08-27-refined-times.txt</v>
      </c>
      <c r="AI177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{"issue":{"subject":"","project_id":79,"tracker_id":40,"status_id":1,"priority_id":2,"assigned_to_id":23,"start_date":"2016-08-27","description":"","custom_fields":[{"id":1,"name":"Subdivision","value":"NW"},{"id":4,"name":"Milepost","value":"5.7827"},{"id":17,"name":"Train ID","value":"1814-27"},{"id":16,"name":"Locomotive ID","value":"4008"},{"id":130,"name":"Impact","value":""},{"id":150,"name":"Time of Event (Mountain Time)","value":"12:54:05"},{"id":151,"name":"Denver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535</v>
      </c>
      <c r="B178" s="7">
        <v>4007</v>
      </c>
      <c r="C178" s="24" t="s">
        <v>113</v>
      </c>
      <c r="D178" s="24" t="s">
        <v>536</v>
      </c>
      <c r="E178" s="15">
        <v>42609.538472222222</v>
      </c>
      <c r="F178" s="15">
        <v>42609.556423611109</v>
      </c>
      <c r="G178" s="7">
        <v>1</v>
      </c>
      <c r="H178" s="15" t="s">
        <v>537</v>
      </c>
      <c r="I178" s="15">
        <v>42609.565312500003</v>
      </c>
      <c r="J178" s="7">
        <v>0</v>
      </c>
      <c r="K178" s="132" t="str">
        <f t="shared" si="160"/>
        <v>4007/4008</v>
      </c>
      <c r="L178" s="24" t="str">
        <f>VLOOKUP(A178,'Trips&amp;Operators'!$C$1:$E$10000,3,FALSE)</f>
        <v>YORK</v>
      </c>
      <c r="M178" s="6">
        <f t="shared" si="161"/>
        <v>8.8888888931251131E-3</v>
      </c>
      <c r="N178" s="7">
        <f t="shared" si="175"/>
        <v>12.800000006100163</v>
      </c>
      <c r="O178" s="7"/>
      <c r="P178" s="7"/>
      <c r="Q178" s="25"/>
      <c r="R178" s="25"/>
      <c r="S178" s="37">
        <f t="shared" si="162"/>
        <v>1</v>
      </c>
      <c r="T178" s="52" t="str">
        <f t="shared" si="163"/>
        <v>NorthBound</v>
      </c>
      <c r="U178" s="12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11:55:24-0600',mode:absolute,to:'2016-08-27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78" s="54" t="str">
        <f t="shared" si="165"/>
        <v>N</v>
      </c>
      <c r="X178" s="120">
        <f t="shared" si="177"/>
        <v>1</v>
      </c>
      <c r="Y178" s="69">
        <f t="shared" si="166"/>
        <v>0.1084</v>
      </c>
      <c r="Z178" s="69">
        <f t="shared" si="167"/>
        <v>5.8940999999999999</v>
      </c>
      <c r="AA178" s="69">
        <f t="shared" si="168"/>
        <v>5.7857000000000003</v>
      </c>
      <c r="AB178" s="66" t="e">
        <f>VLOOKUP(A178,Enforcements!$C$7:$J$21,8,0)</f>
        <v>#N/A</v>
      </c>
      <c r="AC178" s="62" t="e">
        <f>VLOOKUP(A178,Enforcements!$C$7:$E$21,3,0)</f>
        <v>#N/A</v>
      </c>
      <c r="AD178" s="63" t="str">
        <f t="shared" si="169"/>
        <v>1815-27</v>
      </c>
      <c r="AE178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78" s="96" t="str">
        <f t="shared" si="159"/>
        <v>"C:\Program Files (x86)\AstroGrep\AstroGrep.exe" /spath="%USERPROFILE%\AppData\Local\Temp\OnboardLogs" /stypes="*4007*20160827*" /stext=" 19:.+((SYSTEM_STATE.+slice.+state.+changed )|(ment ac)|(system.+state.+changed )|(\|lc)|(penalty)|(\[timeout)|(PRM\|1\|D)|(kpr)|(kdp))" /e /r /s</v>
      </c>
      <c r="AG178" s="1" t="str">
        <f t="shared" si="170"/>
        <v>NW</v>
      </c>
      <c r="AH178" s="100" t="str">
        <f t="shared" si="172"/>
        <v>"%USERPROFILE%\Documents\GitHub\eaglep3\Utilities\RefineRTDCRunTimes.py" --tripid 1815-27 --locoid 4007 --swversion DE.1.0.7.0 --startMP 204:1084 --initTime 2016-08-27T12:55:24 --startdatetime 2016-08-27T13:21:15 --delay 1 --endMP 300:58941 --enddatetime 2016-08-27T13:34:03 --enforcementcount 0 &gt;&gt;C:\Users\stu\Documents\GitHub\eaglep3-reporting\EC\2016-08-27-refined-times.txt</v>
      </c>
      <c r="AI178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{"issue":{"subject":"","project_id":79,"tracker_id":40,"status_id":1,"priority_id":2,"assigned_to_id":23,"start_date":"2016-08-27","description":"","custom_fields":[{"id":1,"name":"Subdivision","value":"NW"},{"id":4,"name":"Milepost","value":"5.7857"},{"id":17,"name":"Train ID","value":"1815-27"},{"id":16,"name":"Locomotive ID","value":"4007"},{"id":130,"name":"Impact","value":""},{"id":150,"name":"Time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x14ac:dyDescent="0.25">
      <c r="A179" s="39" t="s">
        <v>538</v>
      </c>
      <c r="B179" s="7">
        <v>4008</v>
      </c>
      <c r="C179" s="24" t="s">
        <v>113</v>
      </c>
      <c r="D179" s="24" t="s">
        <v>533</v>
      </c>
      <c r="E179" s="15">
        <v>42609.566944444443</v>
      </c>
      <c r="F179" s="15">
        <v>42609.569351851853</v>
      </c>
      <c r="G179" s="7">
        <v>1</v>
      </c>
      <c r="H179" s="15" t="s">
        <v>539</v>
      </c>
      <c r="I179" s="15">
        <v>42609.582511574074</v>
      </c>
      <c r="J179" s="7">
        <v>0</v>
      </c>
      <c r="K179" s="132" t="str">
        <f t="shared" si="160"/>
        <v>4007/4008</v>
      </c>
      <c r="L179" s="24" t="str">
        <f>VLOOKUP(A179,'Trips&amp;Operators'!$C$1:$E$10000,3,FALSE)</f>
        <v>YORK</v>
      </c>
      <c r="M179" s="6">
        <f t="shared" si="161"/>
        <v>1.3159722220734693E-2</v>
      </c>
      <c r="N179" s="7">
        <f t="shared" si="175"/>
        <v>18.949999997857958</v>
      </c>
      <c r="O179" s="7"/>
      <c r="P179" s="7"/>
      <c r="Q179" s="25"/>
      <c r="R179" s="25"/>
      <c r="S179" s="37">
        <f t="shared" si="162"/>
        <v>1</v>
      </c>
      <c r="T179" s="52" t="str">
        <f t="shared" si="163"/>
        <v>Southbound</v>
      </c>
      <c r="U179" s="12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12:36:24-0600',mode:absolute,to:'2016-08-27 14:58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79" s="54" t="str">
        <f t="shared" si="165"/>
        <v>N</v>
      </c>
      <c r="X179" s="120">
        <f t="shared" si="177"/>
        <v>1</v>
      </c>
      <c r="Y179" s="69">
        <f t="shared" si="166"/>
        <v>5.8624000000000001</v>
      </c>
      <c r="Z179" s="69">
        <f t="shared" si="167"/>
        <v>8.7300000000000003E-2</v>
      </c>
      <c r="AA179" s="69">
        <f t="shared" si="168"/>
        <v>5.7751000000000001</v>
      </c>
      <c r="AB179" s="66" t="e">
        <f>VLOOKUP(A179,Enforcements!$C$7:$J$21,8,0)</f>
        <v>#N/A</v>
      </c>
      <c r="AC179" s="62" t="e">
        <f>VLOOKUP(A179,Enforcements!$C$7:$E$21,3,0)</f>
        <v>#N/A</v>
      </c>
      <c r="AD179" s="63" t="str">
        <f t="shared" si="169"/>
        <v>1816-27</v>
      </c>
      <c r="AE179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79" s="96" t="str">
        <f t="shared" si="159"/>
        <v>"C:\Program Files (x86)\AstroGrep\AstroGrep.exe" /spath="%USERPROFILE%\AppData\Local\Temp\OnboardLogs" /stypes="*4008*20160827*" /stext=" 19:.+((SYSTEM_STATE.+slice.+state.+changed )|(ment ac)|(system.+state.+changed )|(\|lc)|(penalty)|(\[timeout)|(PRM\|1\|D)|(kpr)|(kdp))" /e /r /s</v>
      </c>
      <c r="AG179" s="1" t="str">
        <f t="shared" si="170"/>
        <v>NW</v>
      </c>
      <c r="AH179" s="100" t="str">
        <f t="shared" si="172"/>
        <v>"%USERPROFILE%\Documents\GitHub\eaglep3\Utilities\RefineRTDCRunTimes.py" --tripid 1816-27 --locoid 4008 --swversion DE.1.0.7.0 --startMP 300:58624 --initTime 2016-08-27T13:36:24 --startdatetime 2016-08-27T13:39:52 --delay 1 --endMP 204:873 --enddatetime 2016-08-27T13:58:49 --enforcementcount 0 &gt;&gt;C:\Users\stu\Documents\GitHub\eaglep3-reporting\EC\2016-08-27-refined-times.txt</v>
      </c>
      <c r="AI179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{"issue":{"subject":"","project_id":79,"tracker_id":40,"status_id":1,"priority_id":2,"assigned_to_id":23,"start_date":"2016-08-27","description":"","custom_fields":[{"id":1,"name":"Subdivision","value":"NW"},{"id":4,"name":"Milepost","value":"5.7751"},{"id":17,"name":"Train ID","value":"1816-27"},{"id":16,"name":"Locomotive ID","value":"4008"},{"id":130,"name":"Impact","value":""},{"id":150,"name":"Time of Event (Mountain Time)","value":"13:58:49"},{"id":151,"name":"Denver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540</v>
      </c>
      <c r="B180" s="7">
        <v>4007</v>
      </c>
      <c r="C180" s="24" t="s">
        <v>113</v>
      </c>
      <c r="D180" s="24" t="s">
        <v>541</v>
      </c>
      <c r="E180" s="15">
        <v>42609.588252314818</v>
      </c>
      <c r="F180" s="15">
        <v>42609.598124999997</v>
      </c>
      <c r="G180" s="7">
        <v>2</v>
      </c>
      <c r="H180" s="15" t="s">
        <v>515</v>
      </c>
      <c r="I180" s="15">
        <v>42609.607766203706</v>
      </c>
      <c r="J180" s="7">
        <v>0</v>
      </c>
      <c r="K180" s="132" t="str">
        <f t="shared" si="160"/>
        <v>4007/4008</v>
      </c>
      <c r="L180" s="24" t="str">
        <f>VLOOKUP(A180,'Trips&amp;Operators'!$C$1:$E$10000,3,FALSE)</f>
        <v>DE LA ROSA</v>
      </c>
      <c r="M180" s="6">
        <f t="shared" si="161"/>
        <v>9.6412037091795355E-3</v>
      </c>
      <c r="N180" s="7">
        <f t="shared" si="175"/>
        <v>13.883333341218531</v>
      </c>
      <c r="O180" s="7"/>
      <c r="P180" s="7"/>
      <c r="Q180" s="25"/>
      <c r="R180" s="25"/>
      <c r="S180" s="37">
        <f t="shared" si="162"/>
        <v>1</v>
      </c>
      <c r="T180" s="52" t="str">
        <f t="shared" si="163"/>
        <v>NorthBound</v>
      </c>
      <c r="U180" s="12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6" t="str">
        <f t="shared" si="164"/>
        <v>https://search-rtdc-monitor-bjffxe2xuh6vdkpspy63sjmuny.us-east-1.es.amazonaws.com/_plugin/kibana/#/discover/Steve-Slow-Train-Analysis-(2080s-and-2083s)?_g=(refreshInterval:(display:Off,section:0,value:0),time:(from:'2016-08-27 13:07:05-0600',mode:absolute,to:'2016-08-27 15:35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0" s="54" t="str">
        <f t="shared" si="165"/>
        <v>N</v>
      </c>
      <c r="X180" s="120">
        <f t="shared" ref="X180:X190" si="178">VALUE(LEFT(AD180,4))-VALUE(LEFT(AD179,4))</f>
        <v>1</v>
      </c>
      <c r="Y180" s="69">
        <f t="shared" si="166"/>
        <v>0.1172</v>
      </c>
      <c r="Z180" s="69">
        <f t="shared" si="167"/>
        <v>5.8959999999999999</v>
      </c>
      <c r="AA180" s="69">
        <f t="shared" si="168"/>
        <v>5.7787999999999995</v>
      </c>
      <c r="AB180" s="66" t="e">
        <f>VLOOKUP(A180,Enforcements!$C$7:$J$21,8,0)</f>
        <v>#N/A</v>
      </c>
      <c r="AC180" s="62" t="e">
        <f>VLOOKUP(A180,Enforcements!$C$7:$E$21,3,0)</f>
        <v>#N/A</v>
      </c>
      <c r="AD180" s="63" t="str">
        <f t="shared" si="169"/>
        <v>1817-27</v>
      </c>
      <c r="AE180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0" s="96" t="str">
        <f t="shared" si="159"/>
        <v>"C:\Program Files (x86)\AstroGrep\AstroGrep.exe" /spath="%USERPROFILE%\AppData\Local\Temp\OnboardLogs" /stypes="*4007*20160827*" /stext=" 20:.+((SYSTEM_STATE.+slice.+state.+changed )|(ment ac)|(system.+state.+changed )|(\|lc)|(penalty)|(\[timeout)|(PRM\|1\|D)|(kpr)|(kdp))" /e /r /s</v>
      </c>
      <c r="AG180" s="1" t="str">
        <f t="shared" si="170"/>
        <v>NW</v>
      </c>
      <c r="AH180" s="100" t="str">
        <f t="shared" si="172"/>
        <v>"%USERPROFILE%\Documents\GitHub\eaglep3\Utilities\RefineRTDCRunTimes.py" --tripid 1817-27 --locoid 4007 --swversion DE.1.0.7.0 --startMP 204:1172 --initTime 2016-08-27T14:07:05 --startdatetime 2016-08-27T14:21:18 --delay 2 --endMP 300:58960 --enddatetime 2016-08-27T14:35:11 --enforcementcount 0 &gt;&gt;C:\Users\stu\Documents\GitHub\eaglep3-reporting\EC\2016-08-27-refined-times.txt</v>
      </c>
      <c r="AI180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{"issue":{"subject":"","project_id":79,"tracker_id":40,"status_id":1,"priority_id":2,"assigned_to_id":23,"start_date":"2016-08-27","description":"","custom_fields":[{"id":1,"name":"Subdivision","value":"NW"},{"id":4,"name":"Milepost","value":"5.7788"},{"id":17,"name":"Train ID","value":"1817-27"},{"id":16,"name":"Locomotive ID","value":"4007"},{"id":130,"name":"Impact","value":""},{"id":150,"name":"Time of Event (Mountain Time)","value":"14:35:11"},{"id":151,"name":"Denver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542</v>
      </c>
      <c r="B181" s="7">
        <v>4008</v>
      </c>
      <c r="C181" s="24" t="s">
        <v>113</v>
      </c>
      <c r="D181" s="24" t="s">
        <v>521</v>
      </c>
      <c r="E181" s="15">
        <v>42609.608900462961</v>
      </c>
      <c r="F181" s="15">
        <v>42609.610891203702</v>
      </c>
      <c r="G181" s="7">
        <v>1</v>
      </c>
      <c r="H181" s="15" t="s">
        <v>543</v>
      </c>
      <c r="I181" s="15">
        <v>42609.62122685185</v>
      </c>
      <c r="J181" s="7">
        <v>0</v>
      </c>
      <c r="K181" s="132" t="str">
        <f t="shared" ref="K181:K212" si="179">IF(ISEVEN(B181),(B181-1)&amp;"/"&amp;B181,B181&amp;"/"&amp;(B181+1))</f>
        <v>4007/4008</v>
      </c>
      <c r="L181" s="24" t="str">
        <f>VLOOKUP(A181,'Trips&amp;Operators'!$C$1:$E$10000,3,FALSE)</f>
        <v>DE LA ROSA</v>
      </c>
      <c r="M181" s="6">
        <f t="shared" ref="M181:M212" si="180">I181-F181</f>
        <v>1.0335648148611654E-2</v>
      </c>
      <c r="N181" s="7">
        <f t="shared" si="175"/>
        <v>14.883333334000781</v>
      </c>
      <c r="O181" s="7"/>
      <c r="P181" s="7"/>
      <c r="Q181" s="25"/>
      <c r="R181" s="25"/>
      <c r="S181" s="37">
        <f t="shared" ref="S181:S212" si="181">SUM(U181:U181)/IF(AG181="EC",12,1)</f>
        <v>1</v>
      </c>
      <c r="T181" s="52" t="str">
        <f t="shared" ref="T181:T212" si="182">IF(ISEVEN(LEFT(AD181,4)),"Southbound","NorthBound")</f>
        <v>Southbound</v>
      </c>
      <c r="U181" s="12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6" t="str">
        <f t="shared" ref="V181:V212" si="183"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https://search-rtdc-monitor-bjffxe2xuh6vdkpspy63sjmuny.us-east-1.es.amazonaws.com/_plugin/kibana/#/discover/Steve-Slow-Train-Analysis-(2080s-and-2083s)?_g=(refreshInterval:(display:Off,section:0,value:0),time:(from:'2016-08-27 13:36:49-0600',mode:absolute,to:'2016-08-27 15:54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1" s="54" t="str">
        <f t="shared" ref="W181:W212" si="184">IF(AA181&lt;IF(AG181="EC",23,5.65),"Y","N")</f>
        <v>N</v>
      </c>
      <c r="X181" s="120">
        <f t="shared" si="178"/>
        <v>1</v>
      </c>
      <c r="Y181" s="69">
        <f t="shared" ref="Y181:Y212" si="185">RIGHT(D181,LEN(D181)-4)/10000</f>
        <v>5.8630000000000004</v>
      </c>
      <c r="Z181" s="69">
        <f t="shared" ref="Z181:Z212" si="186">RIGHT(H181,LEN(H181)-4)/10000</f>
        <v>7.3300000000000004E-2</v>
      </c>
      <c r="AA181" s="69">
        <f t="shared" ref="AA181:AA212" si="187">ABS(Z181-Y181)</f>
        <v>5.7897000000000007</v>
      </c>
      <c r="AB181" s="66" t="e">
        <f>VLOOKUP(A181,Enforcements!$C$7:$J$21,8,0)</f>
        <v>#N/A</v>
      </c>
      <c r="AC181" s="62" t="e">
        <f>VLOOKUP(A181,Enforcements!$C$7:$E$21,3,0)</f>
        <v>#N/A</v>
      </c>
      <c r="AD181" s="63" t="str">
        <f t="shared" ref="AD181:AD212" si="188">IF(LEN(A181)=6,"0"&amp;A181,A181)</f>
        <v>1818-27</v>
      </c>
      <c r="AE181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1" s="96" t="str">
        <f t="shared" si="159"/>
        <v>"C:\Program Files (x86)\AstroGrep\AstroGrep.exe" /spath="%USERPROFILE%\AppData\Local\Temp\OnboardLogs" /stypes="*4008*20160827*" /stext=" 20:.+((SYSTEM_STATE.+slice.+state.+changed )|(ment ac)|(system.+state.+changed )|(\|lc)|(penalty)|(\[timeout)|(PRM\|1\|D)|(kpr)|(kdp))" /e /r /s</v>
      </c>
      <c r="AG181" s="1" t="str">
        <f t="shared" ref="AG181:AG212" si="189">IFERROR(IF(VALUE(LEFT(AD181,2))&lt;=2,"EC",IF(OR(VALUE(LEFT(AD181,2))=8,VALUE(LEFT(AD181,2))=18),"NW","Other")),"Other")</f>
        <v>NW</v>
      </c>
      <c r="AH181" s="100" t="str">
        <f t="shared" si="172"/>
        <v>"%USERPROFILE%\Documents\GitHub\eaglep3\Utilities\RefineRTDCRunTimes.py" --tripid 1818-27 --locoid 4008 --swversion DE.1.0.7.0 --startMP 300:58630 --initTime 2016-08-27T14:36:49 --startdatetime 2016-08-27T14:39:41 --delay 1 --endMP 204:733 --enddatetime 2016-08-27T14:54:34 --enforcementcount 0 &gt;&gt;C:\Users\stu\Documents\GitHub\eaglep3-reporting\EC\2016-08-27-refined-times.txt</v>
      </c>
      <c r="AI181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{"issue":{"subject":"","project_id":79,"tracker_id":40,"status_id":1,"priority_id":2,"assigned_to_id":23,"start_date":"2016-08-27","description":"","custom_fields":[{"id":1,"name":"Subdivision","value":"NW"},{"id":4,"name":"Milepost","value":"5.7897"},{"id":17,"name":"Train ID","value":"1818-27"},{"id":16,"name":"Locomotive ID","value":"4008"},{"id":130,"name":"Impact","value":""},{"id":150,"name":"Time of Event (Mountain Time)","value":"14:54:34"},{"id":151,"name":"Denver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544</v>
      </c>
      <c r="B182" s="7">
        <v>4007</v>
      </c>
      <c r="C182" s="24" t="s">
        <v>113</v>
      </c>
      <c r="D182" s="24" t="s">
        <v>545</v>
      </c>
      <c r="E182" s="15">
        <v>42609.636030092595</v>
      </c>
      <c r="F182" s="15">
        <v>42609.639814814815</v>
      </c>
      <c r="G182" s="7">
        <v>1</v>
      </c>
      <c r="H182" s="15" t="s">
        <v>537</v>
      </c>
      <c r="I182" s="15">
        <v>42609.649270833332</v>
      </c>
      <c r="J182" s="7">
        <v>0</v>
      </c>
      <c r="K182" s="132" t="str">
        <f t="shared" si="179"/>
        <v>4007/4008</v>
      </c>
      <c r="L182" s="24" t="str">
        <f>VLOOKUP(A182,'Trips&amp;Operators'!$C$1:$E$10000,3,FALSE)</f>
        <v>DE LA ROSA</v>
      </c>
      <c r="M182" s="6">
        <f t="shared" si="180"/>
        <v>9.4560185170848854E-3</v>
      </c>
      <c r="N182" s="7">
        <f t="shared" si="175"/>
        <v>13.616666664602235</v>
      </c>
      <c r="O182" s="7"/>
      <c r="P182" s="7"/>
      <c r="Q182" s="25"/>
      <c r="R182" s="25"/>
      <c r="S182" s="37">
        <f t="shared" si="181"/>
        <v>1</v>
      </c>
      <c r="T182" s="52" t="str">
        <f t="shared" si="182"/>
        <v>NorthBound</v>
      </c>
      <c r="U182" s="12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14:15:53-0600',mode:absolute,to:'2016-08-27 16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2" s="54" t="str">
        <f t="shared" si="184"/>
        <v>N</v>
      </c>
      <c r="X182" s="120">
        <f t="shared" si="178"/>
        <v>1</v>
      </c>
      <c r="Y182" s="69">
        <f t="shared" si="185"/>
        <v>0.10440000000000001</v>
      </c>
      <c r="Z182" s="69">
        <f t="shared" si="186"/>
        <v>5.8940999999999999</v>
      </c>
      <c r="AA182" s="69">
        <f t="shared" si="187"/>
        <v>5.7896999999999998</v>
      </c>
      <c r="AB182" s="66" t="e">
        <f>VLOOKUP(A182,Enforcements!$C$7:$J$21,8,0)</f>
        <v>#N/A</v>
      </c>
      <c r="AC182" s="62" t="e">
        <f>VLOOKUP(A182,Enforcements!$C$7:$E$21,3,0)</f>
        <v>#N/A</v>
      </c>
      <c r="AD182" s="63" t="str">
        <f t="shared" si="188"/>
        <v>1819-27</v>
      </c>
      <c r="AE182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2" s="96" t="str">
        <f t="shared" si="159"/>
        <v>"C:\Program Files (x86)\AstroGrep\AstroGrep.exe" /spath="%USERPROFILE%\AppData\Local\Temp\OnboardLogs" /stypes="*4007*20160827*" /stext=" 21:.+((SYSTEM_STATE.+slice.+state.+changed )|(ment ac)|(system.+state.+changed )|(\|lc)|(penalty)|(\[timeout)|(PRM\|1\|D)|(kpr)|(kdp))" /e /r /s</v>
      </c>
      <c r="AG182" s="1" t="str">
        <f t="shared" si="189"/>
        <v>NW</v>
      </c>
      <c r="AH182" s="100" t="str">
        <f t="shared" si="172"/>
        <v>"%USERPROFILE%\Documents\GitHub\eaglep3\Utilities\RefineRTDCRunTimes.py" --tripid 1819-27 --locoid 4007 --swversion DE.1.0.7.0 --startMP 204:1044 --initTime 2016-08-27T15:15:53 --startdatetime 2016-08-27T15:21:20 --delay 1 --endMP 300:58941 --enddatetime 2016-08-27T15:34:57 --enforcementcount 0 &gt;&gt;C:\Users\stu\Documents\GitHub\eaglep3-reporting\EC\2016-08-27-refined-times.txt</v>
      </c>
      <c r="AI182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{"issue":{"subject":"","project_id":79,"tracker_id":40,"status_id":1,"priority_id":2,"assigned_to_id":23,"start_date":"2016-08-27","description":"","custom_fields":[{"id":1,"name":"Subdivision","value":"NW"},{"id":4,"name":"Milepost","value":"5.7897"},{"id":17,"name":"Train ID","value":"1819-27"},{"id":16,"name":"Locomotive ID","value":"4007"},{"id":130,"name":"Impact","value":""},{"id":150,"name":"Time of Event (Mountain Time)","value":"15:34:57"},{"id":151,"name":"Denver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547</v>
      </c>
      <c r="B183" s="7">
        <v>4008</v>
      </c>
      <c r="C183" s="24" t="s">
        <v>113</v>
      </c>
      <c r="D183" s="24" t="s">
        <v>548</v>
      </c>
      <c r="E183" s="15">
        <v>42609.650324074071</v>
      </c>
      <c r="F183" s="15">
        <v>42609.652129629627</v>
      </c>
      <c r="G183" s="7">
        <v>1</v>
      </c>
      <c r="H183" s="15" t="s">
        <v>549</v>
      </c>
      <c r="I183" s="15">
        <v>42609.663113425922</v>
      </c>
      <c r="J183" s="7">
        <v>0</v>
      </c>
      <c r="K183" s="132" t="str">
        <f t="shared" si="179"/>
        <v>4007/4008</v>
      </c>
      <c r="L183" s="24" t="str">
        <f>VLOOKUP(A183,'Trips&amp;Operators'!$C$1:$E$10000,3,FALSE)</f>
        <v>DE LA ROSA</v>
      </c>
      <c r="M183" s="6">
        <f t="shared" si="180"/>
        <v>1.0983796295477077E-2</v>
      </c>
      <c r="N183" s="7">
        <f t="shared" si="175"/>
        <v>15.816666665486991</v>
      </c>
      <c r="O183" s="7"/>
      <c r="P183" s="7"/>
      <c r="Q183" s="25"/>
      <c r="R183" s="25"/>
      <c r="S183" s="37">
        <f t="shared" si="181"/>
        <v>1</v>
      </c>
      <c r="T183" s="52" t="str">
        <f t="shared" si="182"/>
        <v>Southbound</v>
      </c>
      <c r="U183" s="12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14:36:28-0600',mode:absolute,to:'2016-08-27 16:54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3" s="54" t="str">
        <f t="shared" si="184"/>
        <v>N</v>
      </c>
      <c r="X183" s="120">
        <f t="shared" si="178"/>
        <v>1</v>
      </c>
      <c r="Y183" s="69">
        <f t="shared" si="185"/>
        <v>5.8623000000000003</v>
      </c>
      <c r="Z183" s="69">
        <f t="shared" si="186"/>
        <v>6.9099999999999995E-2</v>
      </c>
      <c r="AA183" s="69">
        <f t="shared" si="187"/>
        <v>5.7932000000000006</v>
      </c>
      <c r="AB183" s="66" t="e">
        <f>VLOOKUP(A183,Enforcements!$C$7:$J$21,8,0)</f>
        <v>#N/A</v>
      </c>
      <c r="AC183" s="62" t="e">
        <f>VLOOKUP(A183,Enforcements!$C$7:$E$21,3,0)</f>
        <v>#N/A</v>
      </c>
      <c r="AD183" s="63" t="str">
        <f t="shared" si="188"/>
        <v>1820-27</v>
      </c>
      <c r="AE183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3" s="96" t="str">
        <f t="shared" si="159"/>
        <v>"C:\Program Files (x86)\AstroGrep\AstroGrep.exe" /spath="%USERPROFILE%\AppData\Local\Temp\OnboardLogs" /stypes="*4008*20160827*" /stext=" 21:.+((SYSTEM_STATE.+slice.+state.+changed )|(ment ac)|(system.+state.+changed )|(\|lc)|(penalty)|(\[timeout)|(PRM\|1\|D)|(kpr)|(kdp))" /e /r /s</v>
      </c>
      <c r="AG183" s="1" t="str">
        <f t="shared" si="189"/>
        <v>NW</v>
      </c>
      <c r="AH183" s="100" t="str">
        <f t="shared" si="172"/>
        <v>"%USERPROFILE%\Documents\GitHub\eaglep3\Utilities\RefineRTDCRunTimes.py" --tripid 1820-27 --locoid 4008 --swversion DE.1.0.7.0 --startMP 300:58623 --initTime 2016-08-27T15:36:28 --startdatetime 2016-08-27T15:39:04 --delay 1 --endMP 204:691 --enddatetime 2016-08-27T15:54:53 --enforcementcount 0 &gt;&gt;C:\Users\stu\Documents\GitHub\eaglep3-reporting\EC\2016-08-27-refined-times.txt</v>
      </c>
      <c r="AI183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{"issue":{"subject":"","project_id":79,"tracker_id":40,"status_id":1,"priority_id":2,"assigned_to_id":23,"start_date":"2016-08-27","description":"","custom_fields":[{"id":1,"name":"Subdivision","value":"NW"},{"id":4,"name":"Milepost","value":"5.7932"},{"id":17,"name":"Train ID","value":"1820-27"},{"id":16,"name":"Locomotive ID","value":"4008"},{"id":130,"name":"Impact","value":""},{"id":150,"name":"Time of Event (Mountain Time)","value":"15:54:53"},{"id":151,"name":"Denver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s="23" customFormat="1" x14ac:dyDescent="0.25">
      <c r="A184" s="39" t="s">
        <v>550</v>
      </c>
      <c r="B184" s="7">
        <v>4007</v>
      </c>
      <c r="C184" s="24" t="s">
        <v>113</v>
      </c>
      <c r="D184" s="24" t="s">
        <v>283</v>
      </c>
      <c r="E184" s="15">
        <v>42609.676608796297</v>
      </c>
      <c r="F184" s="15">
        <v>42609.681481481479</v>
      </c>
      <c r="G184" s="7">
        <v>1</v>
      </c>
      <c r="H184" s="15" t="s">
        <v>515</v>
      </c>
      <c r="I184" s="15">
        <v>42609.69085648148</v>
      </c>
      <c r="J184" s="7">
        <v>0</v>
      </c>
      <c r="K184" s="132" t="str">
        <f t="shared" si="179"/>
        <v>4007/4008</v>
      </c>
      <c r="L184" s="24" t="str">
        <f>VLOOKUP(A184,'Trips&amp;Operators'!$C$1:$E$10000,3,FALSE)</f>
        <v>DE LA ROSA</v>
      </c>
      <c r="M184" s="6">
        <f t="shared" si="180"/>
        <v>9.3750000014551915E-3</v>
      </c>
      <c r="N184" s="7">
        <f t="shared" si="175"/>
        <v>13.500000002095476</v>
      </c>
      <c r="O184" s="7"/>
      <c r="P184" s="7"/>
      <c r="Q184" s="25"/>
      <c r="R184" s="25"/>
      <c r="S184" s="37">
        <f t="shared" si="181"/>
        <v>1</v>
      </c>
      <c r="T184" s="52" t="str">
        <f t="shared" si="182"/>
        <v>NorthBound</v>
      </c>
      <c r="U184" s="12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15:14:19-0600',mode:absolute,to:'2016-08-27 17:34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4" s="54" t="str">
        <f t="shared" si="184"/>
        <v>N</v>
      </c>
      <c r="X184" s="120">
        <f t="shared" si="178"/>
        <v>1</v>
      </c>
      <c r="Y184" s="69">
        <f t="shared" si="185"/>
        <v>9.8799999999999999E-2</v>
      </c>
      <c r="Z184" s="69">
        <f t="shared" si="186"/>
        <v>5.8959999999999999</v>
      </c>
      <c r="AA184" s="69">
        <f t="shared" si="187"/>
        <v>5.7972000000000001</v>
      </c>
      <c r="AB184" s="66" t="e">
        <f>VLOOKUP(A184,Enforcements!$C$7:$J$21,8,0)</f>
        <v>#N/A</v>
      </c>
      <c r="AC184" s="62" t="e">
        <f>VLOOKUP(A184,Enforcements!$C$7:$E$21,3,0)</f>
        <v>#N/A</v>
      </c>
      <c r="AD184" s="63" t="str">
        <f t="shared" si="188"/>
        <v>1821-27</v>
      </c>
      <c r="AE184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4" s="96" t="str">
        <f t="shared" si="159"/>
        <v>"C:\Program Files (x86)\AstroGrep\AstroGrep.exe" /spath="%USERPROFILE%\AppData\Local\Temp\OnboardLogs" /stypes="*4007*20160827*" /stext=" 22:.+((SYSTEM_STATE.+slice.+state.+changed )|(ment ac)|(system.+state.+changed )|(\|lc)|(penalty)|(\[timeout)|(PRM\|1\|D)|(kpr)|(kdp))" /e /r /s</v>
      </c>
      <c r="AG184" s="1" t="str">
        <f t="shared" si="189"/>
        <v>NW</v>
      </c>
      <c r="AH184" s="100" t="str">
        <f t="shared" si="172"/>
        <v>"%USERPROFILE%\Documents\GitHub\eaglep3\Utilities\RefineRTDCRunTimes.py" --tripid 1821-27 --locoid 4007 --swversion DE.1.0.7.0 --startMP 204:988 --initTime 2016-08-27T16:14:19 --startdatetime 2016-08-27T16:21:20 --delay 1 --endMP 300:58960 --enddatetime 2016-08-27T16:34:50 --enforcementcount 0 &gt;&gt;C:\Users\stu\Documents\GitHub\eaglep3-reporting\EC\2016-08-27-refined-times.txt</v>
      </c>
      <c r="AI184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{"issue":{"subject":"","project_id":79,"tracker_id":40,"status_id":1,"priority_id":2,"assigned_to_id":23,"start_date":"2016-08-27","description":"","custom_fields":[{"id":1,"name":"Subdivision","value":"NW"},{"id":4,"name":"Milepost","value":"5.7972"},{"id":17,"name":"Train ID","value":"1821-27"},{"id":16,"name":"Locomotive ID","value":"4007"},{"id":130,"name":"Impact","value":""},{"id":150,"name":"Time of Event (Mountain Time)","value":"16:34:50"},{"id":151,"name":"Denver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551</v>
      </c>
      <c r="B185" s="7">
        <v>4008</v>
      </c>
      <c r="C185" s="24" t="s">
        <v>113</v>
      </c>
      <c r="D185" s="24" t="s">
        <v>512</v>
      </c>
      <c r="E185" s="15">
        <v>42609.691967592589</v>
      </c>
      <c r="F185" s="15">
        <v>42609.693657407406</v>
      </c>
      <c r="G185" s="7">
        <v>1</v>
      </c>
      <c r="H185" s="15" t="s">
        <v>552</v>
      </c>
      <c r="I185" s="15">
        <v>42609.70453703704</v>
      </c>
      <c r="J185" s="7">
        <v>0</v>
      </c>
      <c r="K185" s="132" t="str">
        <f t="shared" si="179"/>
        <v>4007/4008</v>
      </c>
      <c r="L185" s="24" t="str">
        <f>VLOOKUP(A185,'Trips&amp;Operators'!$C$1:$E$10000,3,FALSE)</f>
        <v>DE LA ROSA</v>
      </c>
      <c r="M185" s="6">
        <f t="shared" si="180"/>
        <v>1.0879629633564036E-2</v>
      </c>
      <c r="N185" s="7">
        <f t="shared" si="175"/>
        <v>15.666666672332212</v>
      </c>
      <c r="O185" s="7"/>
      <c r="P185" s="7"/>
      <c r="Q185" s="25"/>
      <c r="R185" s="25"/>
      <c r="S185" s="37">
        <f t="shared" si="181"/>
        <v>1</v>
      </c>
      <c r="T185" s="52" t="str">
        <f t="shared" si="182"/>
        <v>Southbound</v>
      </c>
      <c r="U185" s="12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15:36:26-0600',mode:absolute,to:'2016-08-27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5" s="54" t="str">
        <f t="shared" si="184"/>
        <v>N</v>
      </c>
      <c r="X185" s="120">
        <f t="shared" si="178"/>
        <v>1</v>
      </c>
      <c r="Y185" s="69">
        <f t="shared" si="185"/>
        <v>5.8638000000000003</v>
      </c>
      <c r="Z185" s="69">
        <f t="shared" si="186"/>
        <v>7.5200000000000003E-2</v>
      </c>
      <c r="AA185" s="69">
        <f t="shared" si="187"/>
        <v>5.7886000000000006</v>
      </c>
      <c r="AB185" s="66" t="e">
        <f>VLOOKUP(A185,Enforcements!$C$7:$J$21,8,0)</f>
        <v>#N/A</v>
      </c>
      <c r="AC185" s="62" t="e">
        <f>VLOOKUP(A185,Enforcements!$C$7:$E$21,3,0)</f>
        <v>#N/A</v>
      </c>
      <c r="AD185" s="63" t="str">
        <f t="shared" si="188"/>
        <v>1822-27</v>
      </c>
      <c r="AE185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5" s="96" t="str">
        <f t="shared" si="159"/>
        <v>"C:\Program Files (x86)\AstroGrep\AstroGrep.exe" /spath="%USERPROFILE%\AppData\Local\Temp\OnboardLogs" /stypes="*4008*20160827*" /stext=" 22:.+((SYSTEM_STATE.+slice.+state.+changed )|(ment ac)|(system.+state.+changed )|(\|lc)|(penalty)|(\[timeout)|(PRM\|1\|D)|(kpr)|(kdp))" /e /r /s</v>
      </c>
      <c r="AG185" s="1" t="str">
        <f t="shared" si="189"/>
        <v>NW</v>
      </c>
      <c r="AH185" s="100" t="str">
        <f t="shared" si="172"/>
        <v>"%USERPROFILE%\Documents\GitHub\eaglep3\Utilities\RefineRTDCRunTimes.py" --tripid 1822-27 --locoid 4008 --swversion DE.1.0.7.0 --startMP 300:58638 --initTime 2016-08-27T16:36:26 --startdatetime 2016-08-27T16:38:52 --delay 1 --endMP 204:752 --enddatetime 2016-08-27T16:54:32 --enforcementcount 0 &gt;&gt;C:\Users\stu\Documents\GitHub\eaglep3-reporting\EC\2016-08-27-refined-times.txt</v>
      </c>
      <c r="AI185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{"issue":{"subject":"","project_id":79,"tracker_id":40,"status_id":1,"priority_id":2,"assigned_to_id":23,"start_date":"2016-08-27","description":"","custom_fields":[{"id":1,"name":"Subdivision","value":"NW"},{"id":4,"name":"Milepost","value":"5.7886"},{"id":17,"name":"Train ID","value":"1822-27"},{"id":16,"name":"Locomotive ID","value":"4008"},{"id":130,"name":"Impact","value":""},{"id":150,"name":"Time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553</v>
      </c>
      <c r="B186" s="7">
        <v>4007</v>
      </c>
      <c r="C186" s="24" t="s">
        <v>113</v>
      </c>
      <c r="D186" s="24" t="s">
        <v>288</v>
      </c>
      <c r="E186" s="15">
        <v>42609.716400462959</v>
      </c>
      <c r="F186" s="15">
        <v>42609.723090277781</v>
      </c>
      <c r="G186" s="7">
        <v>4</v>
      </c>
      <c r="H186" s="15" t="s">
        <v>554</v>
      </c>
      <c r="I186" s="15">
        <v>42609.732627314814</v>
      </c>
      <c r="J186" s="7">
        <v>0</v>
      </c>
      <c r="K186" s="132" t="str">
        <f t="shared" si="179"/>
        <v>4007/4008</v>
      </c>
      <c r="L186" s="24" t="str">
        <f>VLOOKUP(A186,'Trips&amp;Operators'!$C$1:$E$10000,3,FALSE)</f>
        <v>DE LA ROSA</v>
      </c>
      <c r="M186" s="6">
        <f t="shared" si="180"/>
        <v>9.5370370327145793E-3</v>
      </c>
      <c r="N186" s="7">
        <f t="shared" si="175"/>
        <v>13.733333327108994</v>
      </c>
      <c r="O186" s="7"/>
      <c r="P186" s="7"/>
      <c r="Q186" s="25"/>
      <c r="R186" s="25"/>
      <c r="S186" s="37">
        <f t="shared" si="181"/>
        <v>1</v>
      </c>
      <c r="T186" s="52" t="str">
        <f t="shared" si="182"/>
        <v>NorthBound</v>
      </c>
      <c r="U186" s="12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16:11:37-0600',mode:absolute,to:'2016-08-27 18:34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6" s="54" t="str">
        <f t="shared" si="184"/>
        <v>N</v>
      </c>
      <c r="X186" s="120">
        <f t="shared" si="178"/>
        <v>1</v>
      </c>
      <c r="Y186" s="69">
        <f t="shared" si="185"/>
        <v>0.10390000000000001</v>
      </c>
      <c r="Z186" s="69">
        <f t="shared" si="186"/>
        <v>5.8954000000000004</v>
      </c>
      <c r="AA186" s="69">
        <f t="shared" si="187"/>
        <v>5.7915000000000001</v>
      </c>
      <c r="AB186" s="66" t="e">
        <f>VLOOKUP(A186,Enforcements!$C$7:$J$21,8,0)</f>
        <v>#N/A</v>
      </c>
      <c r="AC186" s="62" t="e">
        <f>VLOOKUP(A186,Enforcements!$C$7:$E$21,3,0)</f>
        <v>#N/A</v>
      </c>
      <c r="AD186" s="63" t="str">
        <f t="shared" si="188"/>
        <v>1823-27</v>
      </c>
      <c r="AE186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6" s="96" t="str">
        <f t="shared" si="159"/>
        <v>"C:\Program Files (x86)\AstroGrep\AstroGrep.exe" /spath="%USERPROFILE%\AppData\Local\Temp\OnboardLogs" /stypes="*4007*20160827*" /stext=" 23:.+((SYSTEM_STATE.+slice.+state.+changed )|(ment ac)|(system.+state.+changed )|(\|lc)|(penalty)|(\[timeout)|(PRM\|1\|D)|(kpr)|(kdp))" /e /r /s</v>
      </c>
      <c r="AG186" s="1" t="str">
        <f t="shared" si="189"/>
        <v>NW</v>
      </c>
      <c r="AH186" s="100" t="str">
        <f t="shared" si="172"/>
        <v>"%USERPROFILE%\Documents\GitHub\eaglep3\Utilities\RefineRTDCRunTimes.py" --tripid 1823-27 --locoid 4007 --swversion DE.1.0.7.0 --startMP 204:1039 --initTime 2016-08-27T17:11:37 --startdatetime 2016-08-27T17:21:15 --delay 4 --endMP 300:58954 --enddatetime 2016-08-27T17:34:59 --enforcementcount 0 &gt;&gt;C:\Users\stu\Documents\GitHub\eaglep3-reporting\EC\2016-08-27-refined-times.txt</v>
      </c>
      <c r="AI186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{"issue":{"subject":"","project_id":79,"tracker_id":40,"status_id":1,"priority_id":2,"assigned_to_id":23,"start_date":"2016-08-27","description":"","custom_fields":[{"id":1,"name":"Subdivision","value":"NW"},{"id":4,"name":"Milepost","value":"5.7915"},{"id":17,"name":"Train ID","value":"1823-27"},{"id":16,"name":"Locomotive ID","value":"4007"},{"id":130,"name":"Impact","value":""},{"id":150,"name":"Time of Event (Mountain Time)","value":"17:34:59"},{"id":151,"name":"Denver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555</v>
      </c>
      <c r="B187" s="7">
        <v>4008</v>
      </c>
      <c r="C187" s="24" t="s">
        <v>113</v>
      </c>
      <c r="D187" s="24" t="s">
        <v>286</v>
      </c>
      <c r="E187" s="15">
        <v>42609.733622685184</v>
      </c>
      <c r="F187" s="15">
        <v>42609.735069444447</v>
      </c>
      <c r="G187" s="7">
        <v>1</v>
      </c>
      <c r="H187" s="15" t="s">
        <v>556</v>
      </c>
      <c r="I187" s="15">
        <v>42609.74659722222</v>
      </c>
      <c r="J187" s="7">
        <v>0</v>
      </c>
      <c r="K187" s="132" t="str">
        <f t="shared" si="179"/>
        <v>4007/4008</v>
      </c>
      <c r="L187" s="24" t="str">
        <f>VLOOKUP(A187,'Trips&amp;Operators'!$C$1:$E$10000,3,FALSE)</f>
        <v>DE LA ROSA</v>
      </c>
      <c r="M187" s="6">
        <f t="shared" si="180"/>
        <v>1.1527777773153502E-2</v>
      </c>
      <c r="N187" s="7">
        <f t="shared" si="175"/>
        <v>16.599999993341044</v>
      </c>
      <c r="O187" s="7"/>
      <c r="P187" s="7"/>
      <c r="Q187" s="25"/>
      <c r="R187" s="25"/>
      <c r="S187" s="37">
        <f t="shared" si="181"/>
        <v>1</v>
      </c>
      <c r="T187" s="52" t="str">
        <f t="shared" si="182"/>
        <v>Southbound</v>
      </c>
      <c r="U187" s="12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16:36:25-0600',mode:absolute,to:'2016-08-27 18:55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7" s="54" t="str">
        <f t="shared" si="184"/>
        <v>N</v>
      </c>
      <c r="X187" s="120">
        <f t="shared" si="178"/>
        <v>1</v>
      </c>
      <c r="Y187" s="69">
        <f t="shared" si="185"/>
        <v>5.8632</v>
      </c>
      <c r="Z187" s="69">
        <f t="shared" si="186"/>
        <v>7.2400000000000006E-2</v>
      </c>
      <c r="AA187" s="69">
        <f t="shared" si="187"/>
        <v>5.7907999999999999</v>
      </c>
      <c r="AB187" s="66" t="e">
        <f>VLOOKUP(A187,Enforcements!$C$7:$J$21,8,0)</f>
        <v>#N/A</v>
      </c>
      <c r="AC187" s="62" t="e">
        <f>VLOOKUP(A187,Enforcements!$C$7:$E$21,3,0)</f>
        <v>#N/A</v>
      </c>
      <c r="AD187" s="63" t="str">
        <f t="shared" si="188"/>
        <v>1824-27</v>
      </c>
      <c r="AE187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7" s="96" t="str">
        <f t="shared" si="159"/>
        <v>"C:\Program Files (x86)\AstroGrep\AstroGrep.exe" /spath="%USERPROFILE%\AppData\Local\Temp\OnboardLogs" /stypes="*4008*20160827*" /stext=" 23:.+((SYSTEM_STATE.+slice.+state.+changed )|(ment ac)|(system.+state.+changed )|(\|lc)|(penalty)|(\[timeout)|(PRM\|1\|D)|(kpr)|(kdp))" /e /r /s</v>
      </c>
      <c r="AG187" s="1" t="str">
        <f t="shared" si="189"/>
        <v>NW</v>
      </c>
      <c r="AH187" s="100" t="str">
        <f t="shared" si="172"/>
        <v>"%USERPROFILE%\Documents\GitHub\eaglep3\Utilities\RefineRTDCRunTimes.py" --tripid 1824-27 --locoid 4008 --swversion DE.1.0.7.0 --startMP 300:58632 --initTime 2016-08-27T17:36:25 --startdatetime 2016-08-27T17:38:30 --delay 1 --endMP 204:724 --enddatetime 2016-08-27T17:55:06 --enforcementcount 0 &gt;&gt;C:\Users\stu\Documents\GitHub\eaglep3-reporting\EC\2016-08-27-refined-times.txt</v>
      </c>
      <c r="AI187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{"issue":{"subject":"","project_id":79,"tracker_id":40,"status_id":1,"priority_id":2,"assigned_to_id":23,"start_date":"2016-08-27","description":"","custom_fields":[{"id":1,"name":"Subdivision","value":"NW"},{"id":4,"name":"Milepost","value":"5.7908"},{"id":17,"name":"Train ID","value":"1824-27"},{"id":16,"name":"Locomotive ID","value":"4008"},{"id":130,"name":"Impact","value":""},{"id":150,"name":"Time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557</v>
      </c>
      <c r="B188" s="7">
        <v>4007</v>
      </c>
      <c r="C188" s="24" t="s">
        <v>113</v>
      </c>
      <c r="D188" s="24" t="s">
        <v>558</v>
      </c>
      <c r="E188" s="15">
        <v>42609.761805555558</v>
      </c>
      <c r="F188" s="15">
        <v>42609.764780092592</v>
      </c>
      <c r="G188" s="7">
        <v>1</v>
      </c>
      <c r="H188" s="15" t="s">
        <v>559</v>
      </c>
      <c r="I188" s="15">
        <v>42609.774363425924</v>
      </c>
      <c r="J188" s="7">
        <v>0</v>
      </c>
      <c r="K188" s="132" t="str">
        <f t="shared" si="179"/>
        <v>4007/4008</v>
      </c>
      <c r="L188" s="24" t="str">
        <f>VLOOKUP(A188,'Trips&amp;Operators'!$C$1:$E$10000,3,FALSE)</f>
        <v>DE LA ROSA</v>
      </c>
      <c r="M188" s="6">
        <f t="shared" si="180"/>
        <v>9.5833333325572312E-3</v>
      </c>
      <c r="N188" s="7">
        <f t="shared" si="175"/>
        <v>13.799999998882413</v>
      </c>
      <c r="O188" s="7"/>
      <c r="P188" s="7"/>
      <c r="Q188" s="25"/>
      <c r="R188" s="25"/>
      <c r="S188" s="37">
        <f t="shared" si="181"/>
        <v>1</v>
      </c>
      <c r="T188" s="52" t="str">
        <f t="shared" si="182"/>
        <v>NorthBound</v>
      </c>
      <c r="U188" s="12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17:17:00-0600',mode:absolute,to:'2016-08-27 19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88" s="54" t="str">
        <f t="shared" si="184"/>
        <v>N</v>
      </c>
      <c r="X188" s="120">
        <f t="shared" si="178"/>
        <v>1</v>
      </c>
      <c r="Y188" s="69">
        <f t="shared" si="185"/>
        <v>0.1013</v>
      </c>
      <c r="Z188" s="69">
        <f t="shared" si="186"/>
        <v>5.8943000000000003</v>
      </c>
      <c r="AA188" s="69">
        <f t="shared" si="187"/>
        <v>5.7930000000000001</v>
      </c>
      <c r="AB188" s="66" t="e">
        <f>VLOOKUP(A188,Enforcements!$C$7:$J$21,8,0)</f>
        <v>#N/A</v>
      </c>
      <c r="AC188" s="62" t="e">
        <f>VLOOKUP(A188,Enforcements!$C$7:$E$21,3,0)</f>
        <v>#N/A</v>
      </c>
      <c r="AD188" s="63" t="str">
        <f t="shared" si="188"/>
        <v>1825-27</v>
      </c>
      <c r="AE188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88" s="96" t="str">
        <f t="shared" si="159"/>
        <v>"C:\Program Files (x86)\AstroGrep\AstroGrep.exe" /spath="%USERPROFILE%\AppData\Local\Temp\OnboardLogs" /stypes="*4007*20160828*" /stext=" 00:.+((SYSTEM_STATE.+slice.+state.+changed )|(ment ac)|(system.+state.+changed )|(\|lc)|(penalty)|(\[timeout)|(PRM\|1\|D)|(kpr)|(kdp))" /e /r /s</v>
      </c>
      <c r="AG188" s="1" t="str">
        <f t="shared" si="189"/>
        <v>NW</v>
      </c>
      <c r="AH188" s="100" t="str">
        <f t="shared" si="172"/>
        <v>"%USERPROFILE%\Documents\GitHub\eaglep3\Utilities\RefineRTDCRunTimes.py" --tripid 1825-27 --locoid 4007 --swversion DE.1.0.7.0 --startMP 204:1013 --initTime 2016-08-27T18:17:00 --startdatetime 2016-08-27T18:21:17 --delay 1 --endMP 300:58943 --enddatetime 2016-08-27T18:35:05 --enforcementcount 0 &gt;&gt;C:\Users\stu\Documents\GitHub\eaglep3-reporting\EC\2016-08-27-refined-times.txt</v>
      </c>
      <c r="AI188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{"issue":{"subject":"","project_id":79,"tracker_id":40,"status_id":1,"priority_id":2,"assigned_to_id":23,"start_date":"2016-08-27","description":"","custom_fields":[{"id":1,"name":"Subdivision","value":"NW"},{"id":4,"name":"Milepost","value":"5.793"},{"id":17,"name":"Train ID","value":"1825-27"},{"id":16,"name":"Locomotive ID","value":"4007"},{"id":130,"name":"Impact","value":""},{"id":150,"name":"Time of Event (Mountain Time)","value":"18:35:05"},{"id":151,"name":"Denver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x14ac:dyDescent="0.25">
      <c r="A189" s="39" t="s">
        <v>560</v>
      </c>
      <c r="B189" s="7">
        <v>4008</v>
      </c>
      <c r="C189" s="24" t="s">
        <v>113</v>
      </c>
      <c r="D189" s="24" t="s">
        <v>521</v>
      </c>
      <c r="E189" s="15">
        <v>42609.775451388887</v>
      </c>
      <c r="F189" s="15">
        <v>42609.777754629627</v>
      </c>
      <c r="G189" s="7">
        <v>1</v>
      </c>
      <c r="H189" s="15" t="s">
        <v>561</v>
      </c>
      <c r="I189" s="15">
        <v>42609.789097222223</v>
      </c>
      <c r="J189" s="7">
        <v>0</v>
      </c>
      <c r="K189" s="132" t="str">
        <f t="shared" si="179"/>
        <v>4007/4008</v>
      </c>
      <c r="L189" s="24" t="str">
        <f>VLOOKUP(A189,'Trips&amp;Operators'!$C$1:$E$10000,3,FALSE)</f>
        <v>DE LA ROSA</v>
      </c>
      <c r="M189" s="6">
        <f t="shared" si="180"/>
        <v>1.1342592595610768E-2</v>
      </c>
      <c r="N189" s="7">
        <f t="shared" si="175"/>
        <v>16.333333337679505</v>
      </c>
      <c r="O189" s="7"/>
      <c r="P189" s="7"/>
      <c r="Q189" s="25"/>
      <c r="R189" s="25"/>
      <c r="S189" s="37">
        <f t="shared" si="181"/>
        <v>1</v>
      </c>
      <c r="T189" s="52" t="str">
        <f t="shared" si="182"/>
        <v>Southbound</v>
      </c>
      <c r="U189" s="12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17:36:39-0600',mode:absolute,to:'2016-08-27 19:56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89" s="54" t="str">
        <f t="shared" si="184"/>
        <v>N</v>
      </c>
      <c r="X189" s="120">
        <f t="shared" si="178"/>
        <v>1</v>
      </c>
      <c r="Y189" s="69">
        <f t="shared" si="185"/>
        <v>5.8630000000000004</v>
      </c>
      <c r="Z189" s="69">
        <f t="shared" si="186"/>
        <v>8.0399999999999999E-2</v>
      </c>
      <c r="AA189" s="69">
        <f t="shared" si="187"/>
        <v>5.7826000000000004</v>
      </c>
      <c r="AB189" s="66" t="e">
        <f>VLOOKUP(A189,Enforcements!$C$7:$J$21,8,0)</f>
        <v>#N/A</v>
      </c>
      <c r="AC189" s="62" t="e">
        <f>VLOOKUP(A189,Enforcements!$C$7:$E$21,3,0)</f>
        <v>#N/A</v>
      </c>
      <c r="AD189" s="63" t="str">
        <f t="shared" si="188"/>
        <v>1826-27</v>
      </c>
      <c r="AE189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89" s="96" t="str">
        <f t="shared" si="159"/>
        <v>"C:\Program Files (x86)\AstroGrep\AstroGrep.exe" /spath="%USERPROFILE%\AppData\Local\Temp\OnboardLogs" /stypes="*4008*20160828*" /stext=" 00:.+((SYSTEM_STATE.+slice.+state.+changed )|(ment ac)|(system.+state.+changed )|(\|lc)|(penalty)|(\[timeout)|(PRM\|1\|D)|(kpr)|(kdp))" /e /r /s</v>
      </c>
      <c r="AG189" s="1" t="str">
        <f t="shared" si="189"/>
        <v>NW</v>
      </c>
      <c r="AH189" s="100" t="str">
        <f t="shared" si="172"/>
        <v>"%USERPROFILE%\Documents\GitHub\eaglep3\Utilities\RefineRTDCRunTimes.py" --tripid 1826-27 --locoid 4008 --swversion DE.1.0.7.0 --startMP 300:58630 --initTime 2016-08-27T18:36:39 --startdatetime 2016-08-27T18:39:58 --delay 1 --endMP 204:804 --enddatetime 2016-08-27T18:56:18 --enforcementcount 0 &gt;&gt;C:\Users\stu\Documents\GitHub\eaglep3-reporting\EC\2016-08-27-refined-times.txt</v>
      </c>
      <c r="AI189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{"issue":{"subject":"","project_id":79,"tracker_id":40,"status_id":1,"priority_id":2,"assigned_to_id":23,"start_date":"2016-08-27","description":"","custom_fields":[{"id":1,"name":"Subdivision","value":"NW"},{"id":4,"name":"Milepost","value":"5.7826"},{"id":17,"name":"Train ID","value":"1826-27"},{"id":16,"name":"Locomotive ID","value":"4008"},{"id":130,"name":"Impact","value":""},{"id":150,"name":"Time of Event (Mountain Time)","value":"18:56:18"},{"id":151,"name":"Denver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562</v>
      </c>
      <c r="B190" s="7">
        <v>4007</v>
      </c>
      <c r="C190" s="24" t="s">
        <v>113</v>
      </c>
      <c r="D190" s="24" t="s">
        <v>563</v>
      </c>
      <c r="E190" s="15">
        <v>42609.802997685183</v>
      </c>
      <c r="F190" s="15">
        <v>42609.806458333333</v>
      </c>
      <c r="G190" s="7">
        <v>1</v>
      </c>
      <c r="H190" s="15" t="s">
        <v>285</v>
      </c>
      <c r="I190" s="15">
        <v>42609.817199074074</v>
      </c>
      <c r="J190" s="7">
        <v>0</v>
      </c>
      <c r="K190" s="132" t="str">
        <f t="shared" si="179"/>
        <v>4007/4008</v>
      </c>
      <c r="L190" s="24" t="str">
        <f>VLOOKUP(A190,'Trips&amp;Operators'!$C$1:$E$10000,3,FALSE)</f>
        <v>DE LA ROSA</v>
      </c>
      <c r="M190" s="6">
        <f t="shared" si="180"/>
        <v>1.0740740741312038E-2</v>
      </c>
      <c r="N190" s="7">
        <f t="shared" si="175"/>
        <v>15.466666667489335</v>
      </c>
      <c r="O190" s="7"/>
      <c r="P190" s="7"/>
      <c r="Q190" s="25"/>
      <c r="R190" s="25"/>
      <c r="S190" s="37">
        <f t="shared" si="181"/>
        <v>1</v>
      </c>
      <c r="T190" s="52" t="str">
        <f t="shared" si="182"/>
        <v>NorthBound</v>
      </c>
      <c r="U190" s="12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18:16:19-0600',mode:absolute,to:'2016-08-27 20:36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0" s="54" t="str">
        <f t="shared" si="184"/>
        <v>N</v>
      </c>
      <c r="X190" s="120">
        <f t="shared" si="178"/>
        <v>1</v>
      </c>
      <c r="Y190" s="69">
        <f t="shared" si="185"/>
        <v>0.109</v>
      </c>
      <c r="Z190" s="69">
        <f t="shared" si="186"/>
        <v>5.8949999999999996</v>
      </c>
      <c r="AA190" s="69">
        <f t="shared" si="187"/>
        <v>5.7859999999999996</v>
      </c>
      <c r="AB190" s="66" t="e">
        <f>VLOOKUP(A190,Enforcements!$C$7:$J$21,8,0)</f>
        <v>#N/A</v>
      </c>
      <c r="AC190" s="62" t="e">
        <f>VLOOKUP(A190,Enforcements!$C$7:$E$21,3,0)</f>
        <v>#N/A</v>
      </c>
      <c r="AD190" s="63" t="str">
        <f t="shared" si="188"/>
        <v>1827-27</v>
      </c>
      <c r="AE190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0" s="96" t="str">
        <f t="shared" si="159"/>
        <v>"C:\Program Files (x86)\AstroGrep\AstroGrep.exe" /spath="%USERPROFILE%\AppData\Local\Temp\OnboardLogs" /stypes="*4007*20160828*" /stext=" 01:.+((SYSTEM_STATE.+slice.+state.+changed )|(ment ac)|(system.+state.+changed )|(\|lc)|(penalty)|(\[timeout)|(PRM\|1\|D)|(kpr)|(kdp))" /e /r /s</v>
      </c>
      <c r="AG190" s="1" t="str">
        <f t="shared" si="189"/>
        <v>NW</v>
      </c>
      <c r="AH190" s="100" t="str">
        <f t="shared" si="172"/>
        <v>"%USERPROFILE%\Documents\GitHub\eaglep3\Utilities\RefineRTDCRunTimes.py" --tripid 1827-27 --locoid 4007 --swversion DE.1.0.7.0 --startMP 204:1090 --initTime 2016-08-27T19:16:19 --startdatetime 2016-08-27T19:21:18 --delay 1 --endMP 300:58950 --enddatetime 2016-08-27T19:36:46 --enforcementcount 0 &gt;&gt;C:\Users\stu\Documents\GitHub\eaglep3-reporting\EC\2016-08-27-refined-times.txt</v>
      </c>
      <c r="AI190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{"issue":{"subject":"","project_id":79,"tracker_id":40,"status_id":1,"priority_id":2,"assigned_to_id":23,"start_date":"2016-08-27","description":"","custom_fields":[{"id":1,"name":"Subdivision","value":"NW"},{"id":4,"name":"Milepost","value":"5.786"},{"id":17,"name":"Train ID","value":"1827-27"},{"id":16,"name":"Locomotive ID","value":"4007"},{"id":130,"name":"Impact","value":""},{"id":150,"name":"Time of Event (Mountain Time)","value":"19:36:46"},{"id":151,"name":"Denver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564</v>
      </c>
      <c r="B191" s="7">
        <v>4008</v>
      </c>
      <c r="C191" s="24" t="s">
        <v>113</v>
      </c>
      <c r="D191" s="24" t="s">
        <v>286</v>
      </c>
      <c r="E191" s="15">
        <v>42609.818252314813</v>
      </c>
      <c r="F191" s="15">
        <v>42609.820011574076</v>
      </c>
      <c r="G191" s="7">
        <v>1</v>
      </c>
      <c r="H191" s="15" t="s">
        <v>565</v>
      </c>
      <c r="I191" s="15">
        <v>42609.830937500003</v>
      </c>
      <c r="J191" s="7">
        <v>0</v>
      </c>
      <c r="K191" s="132" t="str">
        <f t="shared" si="179"/>
        <v>4007/4008</v>
      </c>
      <c r="L191" s="24" t="str">
        <f>VLOOKUP(A191,'Trips&amp;Operators'!$C$1:$E$10000,3,FALSE)</f>
        <v>DE LA ROSA</v>
      </c>
      <c r="M191" s="6">
        <f t="shared" si="180"/>
        <v>1.0925925926130731E-2</v>
      </c>
      <c r="N191" s="7">
        <f t="shared" si="175"/>
        <v>15.733333333628252</v>
      </c>
      <c r="O191" s="7"/>
      <c r="P191" s="7"/>
      <c r="Q191" s="25"/>
      <c r="R191" s="25"/>
      <c r="S191" s="37">
        <f t="shared" si="181"/>
        <v>1</v>
      </c>
      <c r="T191" s="52" t="str">
        <f t="shared" si="182"/>
        <v>Southbound</v>
      </c>
      <c r="U191" s="12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18:38:17-0600',mode:absolute,to:'2016-08-27 20:56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1" s="54" t="str">
        <f t="shared" si="184"/>
        <v>N</v>
      </c>
      <c r="X191" s="120">
        <f t="shared" ref="X191:X202" si="190">VALUE(LEFT(AD191,4))-VALUE(LEFT(AD190,4))</f>
        <v>1</v>
      </c>
      <c r="Y191" s="69">
        <f t="shared" si="185"/>
        <v>5.8632</v>
      </c>
      <c r="Z191" s="69">
        <f t="shared" si="186"/>
        <v>7.3099999999999998E-2</v>
      </c>
      <c r="AA191" s="69">
        <f t="shared" si="187"/>
        <v>5.7900999999999998</v>
      </c>
      <c r="AB191" s="66" t="e">
        <f>VLOOKUP(A191,Enforcements!$C$7:$J$21,8,0)</f>
        <v>#N/A</v>
      </c>
      <c r="AC191" s="62" t="e">
        <f>VLOOKUP(A191,Enforcements!$C$7:$E$21,3,0)</f>
        <v>#N/A</v>
      </c>
      <c r="AD191" s="63" t="str">
        <f t="shared" si="188"/>
        <v>1828-27</v>
      </c>
      <c r="AE191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91" s="96" t="str">
        <f t="shared" si="159"/>
        <v>"C:\Program Files (x86)\AstroGrep\AstroGrep.exe" /spath="%USERPROFILE%\AppData\Local\Temp\OnboardLogs" /stypes="*4008*20160828*" /stext=" 01:.+((SYSTEM_STATE.+slice.+state.+changed )|(ment ac)|(system.+state.+changed )|(\|lc)|(penalty)|(\[timeout)|(PRM\|1\|D)|(kpr)|(kdp))" /e /r /s</v>
      </c>
      <c r="AG191" s="1" t="str">
        <f t="shared" si="189"/>
        <v>NW</v>
      </c>
      <c r="AH191" s="100" t="str">
        <f t="shared" si="172"/>
        <v>"%USERPROFILE%\Documents\GitHub\eaglep3\Utilities\RefineRTDCRunTimes.py" --tripid 1828-27 --locoid 4008 --swversion DE.1.0.7.0 --startMP 300:58632 --initTime 2016-08-27T19:38:17 --startdatetime 2016-08-27T19:40:49 --delay 1 --endMP 204:731 --enddatetime 2016-08-27T19:56:33 --enforcementcount 0 &gt;&gt;C:\Users\stu\Documents\GitHub\eaglep3-reporting\EC\2016-08-27-refined-times.txt</v>
      </c>
      <c r="AI191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{"issue":{"subject":"","project_id":79,"tracker_id":40,"status_id":1,"priority_id":2,"assigned_to_id":23,"start_date":"2016-08-27","description":"","custom_fields":[{"id":1,"name":"Subdivision","value":"NW"},{"id":4,"name":"Milepost","value":"5.7901"},{"id":17,"name":"Train ID","value":"1828-27"},{"id":16,"name":"Locomotive ID","value":"4008"},{"id":130,"name":"Impact","value":""},{"id":150,"name":"Time of Event (Mountain Time)","value":"19:56:33"},{"id":151,"name":"Denver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x14ac:dyDescent="0.25">
      <c r="A192" s="39" t="s">
        <v>566</v>
      </c>
      <c r="B192" s="7">
        <v>4007</v>
      </c>
      <c r="C192" s="24" t="s">
        <v>113</v>
      </c>
      <c r="D192" s="24" t="s">
        <v>567</v>
      </c>
      <c r="E192" s="15">
        <v>42609.844814814816</v>
      </c>
      <c r="F192" s="15">
        <v>42609.848136574074</v>
      </c>
      <c r="G192" s="7">
        <v>1</v>
      </c>
      <c r="H192" s="15" t="s">
        <v>370</v>
      </c>
      <c r="I192" s="15">
        <v>42609.858182870368</v>
      </c>
      <c r="J192" s="7">
        <v>0</v>
      </c>
      <c r="K192" s="132" t="str">
        <f t="shared" si="179"/>
        <v>4007/4008</v>
      </c>
      <c r="L192" s="24" t="str">
        <f>VLOOKUP(A192,'Trips&amp;Operators'!$C$1:$E$10000,3,FALSE)</f>
        <v>DE LA ROSA</v>
      </c>
      <c r="M192" s="6">
        <f t="shared" si="180"/>
        <v>1.0046296294603962E-2</v>
      </c>
      <c r="N192" s="7">
        <f t="shared" si="175"/>
        <v>14.466666664229706</v>
      </c>
      <c r="O192" s="7"/>
      <c r="P192" s="7"/>
      <c r="Q192" s="25"/>
      <c r="R192" s="25"/>
      <c r="S192" s="37">
        <f t="shared" si="181"/>
        <v>1</v>
      </c>
      <c r="T192" s="52" t="str">
        <f t="shared" si="182"/>
        <v>NorthBound</v>
      </c>
      <c r="U192" s="12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19:16:32-0600',mode:absolute,to:'2016-08-27 21:35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2" s="54" t="str">
        <f t="shared" si="184"/>
        <v>N</v>
      </c>
      <c r="X192" s="120">
        <f t="shared" si="190"/>
        <v>1</v>
      </c>
      <c r="Y192" s="69">
        <f t="shared" si="185"/>
        <v>0.1009</v>
      </c>
      <c r="Z192" s="69">
        <f t="shared" si="186"/>
        <v>5.8956</v>
      </c>
      <c r="AA192" s="69">
        <f t="shared" si="187"/>
        <v>5.7946999999999997</v>
      </c>
      <c r="AB192" s="66" t="e">
        <f>VLOOKUP(A192,Enforcements!$C$7:$J$21,8,0)</f>
        <v>#N/A</v>
      </c>
      <c r="AC192" s="62" t="e">
        <f>VLOOKUP(A192,Enforcements!$C$7:$E$21,3,0)</f>
        <v>#N/A</v>
      </c>
      <c r="AD192" s="63" t="str">
        <f t="shared" si="188"/>
        <v>1829-27</v>
      </c>
      <c r="AE192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2" s="96" t="str">
        <f t="shared" si="159"/>
        <v>"C:\Program Files (x86)\AstroGrep\AstroGrep.exe" /spath="%USERPROFILE%\AppData\Local\Temp\OnboardLogs" /stypes="*4007*20160828*" /stext=" 02:.+((SYSTEM_STATE.+slice.+state.+changed )|(ment ac)|(system.+state.+changed )|(\|lc)|(penalty)|(\[timeout)|(PRM\|1\|D)|(kpr)|(kdp))" /e /r /s</v>
      </c>
      <c r="AG192" s="1" t="str">
        <f t="shared" si="189"/>
        <v>NW</v>
      </c>
      <c r="AH192" s="100" t="str">
        <f t="shared" si="172"/>
        <v>"%USERPROFILE%\Documents\GitHub\eaglep3\Utilities\RefineRTDCRunTimes.py" --tripid 1829-27 --locoid 4007 --swversion DE.1.0.7.0 --startMP 204:1009 --initTime 2016-08-27T20:16:32 --startdatetime 2016-08-27T20:21:19 --delay 1 --endMP 300:58956 --enddatetime 2016-08-27T20:35:47 --enforcementcount 0 &gt;&gt;C:\Users\stu\Documents\GitHub\eaglep3-reporting\EC\2016-08-27-refined-times.txt</v>
      </c>
      <c r="AI192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{"issue":{"subject":"","project_id":79,"tracker_id":40,"status_id":1,"priority_id":2,"assigned_to_id":23,"start_date":"2016-08-27","description":"","custom_fields":[{"id":1,"name":"Subdivision","value":"NW"},{"id":4,"name":"Milepost","value":"5.7947"},{"id":17,"name":"Train ID","value":"1829-27"},{"id":16,"name":"Locomotive ID","value":"4007"},{"id":130,"name":"Impact","value":""},{"id":150,"name":"Time of Event (Mountain Time)","value":"20:35:47"},{"id":151,"name":"Denver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x14ac:dyDescent="0.25">
      <c r="A193" s="39" t="s">
        <v>570</v>
      </c>
      <c r="B193" s="7">
        <v>4008</v>
      </c>
      <c r="C193" s="24" t="s">
        <v>113</v>
      </c>
      <c r="D193" s="24" t="s">
        <v>374</v>
      </c>
      <c r="E193" s="15">
        <v>42609.859259259261</v>
      </c>
      <c r="F193" s="15">
        <v>42609.860983796294</v>
      </c>
      <c r="G193" s="7">
        <v>1</v>
      </c>
      <c r="H193" s="15" t="s">
        <v>543</v>
      </c>
      <c r="I193" s="15">
        <v>42609.871354166666</v>
      </c>
      <c r="J193" s="7">
        <v>0</v>
      </c>
      <c r="K193" s="132" t="str">
        <f t="shared" si="179"/>
        <v>4007/4008</v>
      </c>
      <c r="L193" s="24" t="str">
        <f>VLOOKUP(A193,'Trips&amp;Operators'!$C$1:$E$10000,3,FALSE)</f>
        <v>DE LA ROSA</v>
      </c>
      <c r="M193" s="6">
        <f t="shared" si="180"/>
        <v>1.0370370371674653E-2</v>
      </c>
      <c r="N193" s="7">
        <f t="shared" si="175"/>
        <v>14.933333335211501</v>
      </c>
      <c r="O193" s="7"/>
      <c r="P193" s="7"/>
      <c r="Q193" s="25"/>
      <c r="R193" s="25"/>
      <c r="S193" s="37">
        <f t="shared" si="181"/>
        <v>1</v>
      </c>
      <c r="T193" s="52" t="str">
        <f t="shared" si="182"/>
        <v>Southbound</v>
      </c>
      <c r="U193" s="12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19:37:20-0600',mode:absolute,to:'2016-08-27 21:54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3" s="54" t="str">
        <f t="shared" si="184"/>
        <v>N</v>
      </c>
      <c r="X193" s="120">
        <f t="shared" si="190"/>
        <v>1</v>
      </c>
      <c r="Y193" s="69">
        <f t="shared" si="185"/>
        <v>5.8639999999999999</v>
      </c>
      <c r="Z193" s="69">
        <f t="shared" si="186"/>
        <v>7.3300000000000004E-2</v>
      </c>
      <c r="AA193" s="69">
        <f t="shared" si="187"/>
        <v>5.7907000000000002</v>
      </c>
      <c r="AB193" s="66" t="e">
        <f>VLOOKUP(A193,Enforcements!$C$7:$J$21,8,0)</f>
        <v>#N/A</v>
      </c>
      <c r="AC193" s="62" t="e">
        <f>VLOOKUP(A193,Enforcements!$C$7:$E$21,3,0)</f>
        <v>#N/A</v>
      </c>
      <c r="AD193" s="63" t="str">
        <f t="shared" si="188"/>
        <v>1830-27</v>
      </c>
      <c r="AE193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93" s="96" t="str">
        <f t="shared" si="159"/>
        <v>"C:\Program Files (x86)\AstroGrep\AstroGrep.exe" /spath="%USERPROFILE%\AppData\Local\Temp\OnboardLogs" /stypes="*4008*20160828*" /stext=" 02:.+((SYSTEM_STATE.+slice.+state.+changed )|(ment ac)|(system.+state.+changed )|(\|lc)|(penalty)|(\[timeout)|(PRM\|1\|D)|(kpr)|(kdp))" /e /r /s</v>
      </c>
      <c r="AG193" s="1" t="str">
        <f t="shared" si="189"/>
        <v>NW</v>
      </c>
      <c r="AH193" s="100" t="str">
        <f t="shared" si="172"/>
        <v>"%USERPROFILE%\Documents\GitHub\eaglep3\Utilities\RefineRTDCRunTimes.py" --tripid 1830-27 --locoid 4008 --swversion DE.1.0.7.0 --startMP 300:58640 --initTime 2016-08-27T20:37:20 --startdatetime 2016-08-27T20:39:49 --delay 1 --endMP 204:733 --enddatetime 2016-08-27T20:54:45 --enforcementcount 0 &gt;&gt;C:\Users\stu\Documents\GitHub\eaglep3-reporting\EC\2016-08-27-refined-times.txt</v>
      </c>
      <c r="AI193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{"issue":{"subject":"","project_id":79,"tracker_id":40,"status_id":1,"priority_id":2,"assigned_to_id":23,"start_date":"2016-08-27","description":"","custom_fields":[{"id":1,"name":"Subdivision","value":"NW"},{"id":4,"name":"Milepost","value":"5.7907"},{"id":17,"name":"Train ID","value":"1830-27"},{"id":16,"name":"Locomotive ID","value":"4008"},{"id":130,"name":"Impact","value":""},{"id":150,"name":"Time of Event (Mountain Time)","value":"20:54:45"},{"id":151,"name":"Denver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x14ac:dyDescent="0.25">
      <c r="A194" s="39" t="s">
        <v>571</v>
      </c>
      <c r="B194" s="7">
        <v>4007</v>
      </c>
      <c r="C194" s="24" t="s">
        <v>113</v>
      </c>
      <c r="D194" s="24" t="s">
        <v>572</v>
      </c>
      <c r="E194" s="15">
        <v>42609.886354166665</v>
      </c>
      <c r="F194" s="15">
        <v>42609.889803240738</v>
      </c>
      <c r="G194" s="7">
        <v>1</v>
      </c>
      <c r="H194" s="15" t="s">
        <v>515</v>
      </c>
      <c r="I194" s="15">
        <v>42609.899687500001</v>
      </c>
      <c r="J194" s="7">
        <v>0</v>
      </c>
      <c r="K194" s="132" t="str">
        <f t="shared" si="179"/>
        <v>4007/4008</v>
      </c>
      <c r="L194" s="24" t="str">
        <f>VLOOKUP(A194,'Trips&amp;Operators'!$C$1:$E$10000,3,FALSE)</f>
        <v>DE LA ROSA</v>
      </c>
      <c r="M194" s="6">
        <f t="shared" si="180"/>
        <v>9.8842592633445747E-3</v>
      </c>
      <c r="N194" s="7">
        <f t="shared" ref="N194:N225" si="191">24*60*SUM($M194:$M194)</f>
        <v>14.233333339216188</v>
      </c>
      <c r="O194" s="7"/>
      <c r="P194" s="7"/>
      <c r="Q194" s="25"/>
      <c r="R194" s="25"/>
      <c r="S194" s="37">
        <f t="shared" si="181"/>
        <v>1</v>
      </c>
      <c r="T194" s="52" t="str">
        <f t="shared" si="182"/>
        <v>NorthBound</v>
      </c>
      <c r="U194" s="12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20:16:21-0600',mode:absolute,to:'2016-08-27 22:35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4" s="54" t="str">
        <f t="shared" si="184"/>
        <v>N</v>
      </c>
      <c r="X194" s="120">
        <f t="shared" si="190"/>
        <v>1</v>
      </c>
      <c r="Y194" s="69">
        <f t="shared" si="185"/>
        <v>0.10059999999999999</v>
      </c>
      <c r="Z194" s="69">
        <f t="shared" si="186"/>
        <v>5.8959999999999999</v>
      </c>
      <c r="AA194" s="69">
        <f t="shared" si="187"/>
        <v>5.7953999999999999</v>
      </c>
      <c r="AB194" s="66" t="e">
        <f>VLOOKUP(A194,Enforcements!$C$7:$J$21,8,0)</f>
        <v>#N/A</v>
      </c>
      <c r="AC194" s="62" t="e">
        <f>VLOOKUP(A194,Enforcements!$C$7:$E$21,3,0)</f>
        <v>#N/A</v>
      </c>
      <c r="AD194" s="63" t="str">
        <f t="shared" si="188"/>
        <v>1831-27</v>
      </c>
      <c r="AE194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4" s="96" t="str">
        <f t="shared" si="159"/>
        <v>"C:\Program Files (x86)\AstroGrep\AstroGrep.exe" /spath="%USERPROFILE%\AppData\Local\Temp\OnboardLogs" /stypes="*4007*20160828*" /stext=" 03:.+((SYSTEM_STATE.+slice.+state.+changed )|(ment ac)|(system.+state.+changed )|(\|lc)|(penalty)|(\[timeout)|(PRM\|1\|D)|(kpr)|(kdp))" /e /r /s</v>
      </c>
      <c r="AG194" s="1" t="str">
        <f t="shared" si="189"/>
        <v>NW</v>
      </c>
      <c r="AH194" s="100" t="str">
        <f t="shared" si="172"/>
        <v>"%USERPROFILE%\Documents\GitHub\eaglep3\Utilities\RefineRTDCRunTimes.py" --tripid 1831-27 --locoid 4007 --swversion DE.1.0.7.0 --startMP 204:1006 --initTime 2016-08-27T21:16:21 --startdatetime 2016-08-27T21:21:19 --delay 1 --endMP 300:58960 --enddatetime 2016-08-27T21:35:33 --enforcementcount 0 &gt;&gt;C:\Users\stu\Documents\GitHub\eaglep3-reporting\EC\2016-08-27-refined-times.txt</v>
      </c>
      <c r="AI194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{"issue":{"subject":"","project_id":79,"tracker_id":40,"status_id":1,"priority_id":2,"assigned_to_id":23,"start_date":"2016-08-27","description":"","custom_fields":[{"id":1,"name":"Subdivision","value":"NW"},{"id":4,"name":"Milepost","value":"5.7954"},{"id":17,"name":"Train ID","value":"1831-27"},{"id":16,"name":"Locomotive ID","value":"4007"},{"id":130,"name":"Impact","value":""},{"id":150,"name":"Time of Event (Mountain Time)","value":"21:35:33"},{"id":151,"name":"Denver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x14ac:dyDescent="0.25">
      <c r="A195" s="39" t="s">
        <v>573</v>
      </c>
      <c r="B195" s="7">
        <v>4008</v>
      </c>
      <c r="C195" s="24" t="s">
        <v>113</v>
      </c>
      <c r="D195" s="24" t="s">
        <v>284</v>
      </c>
      <c r="E195" s="15">
        <v>42609.900601851848</v>
      </c>
      <c r="F195" s="15">
        <v>42609.902326388888</v>
      </c>
      <c r="G195" s="7">
        <v>2</v>
      </c>
      <c r="H195" s="15" t="s">
        <v>574</v>
      </c>
      <c r="I195" s="15">
        <v>42609.913055555553</v>
      </c>
      <c r="J195" s="7">
        <v>0</v>
      </c>
      <c r="K195" s="132" t="str">
        <f t="shared" si="179"/>
        <v>4007/4008</v>
      </c>
      <c r="L195" s="24" t="str">
        <f>VLOOKUP(A195,'Trips&amp;Operators'!$C$1:$E$10000,3,FALSE)</f>
        <v>DE LA ROSA</v>
      </c>
      <c r="M195" s="6">
        <f t="shared" si="180"/>
        <v>1.0729166664532386E-2</v>
      </c>
      <c r="N195" s="7">
        <f t="shared" si="191"/>
        <v>15.449999996926636</v>
      </c>
      <c r="O195" s="7"/>
      <c r="P195" s="7"/>
      <c r="Q195" s="25"/>
      <c r="R195" s="25"/>
      <c r="S195" s="37">
        <f t="shared" si="181"/>
        <v>1</v>
      </c>
      <c r="T195" s="52" t="str">
        <f t="shared" si="182"/>
        <v>Southbound</v>
      </c>
      <c r="U195" s="12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20:36:52-0600',mode:absolute,to:'2016-08-27 22:54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195" s="54" t="str">
        <f t="shared" si="184"/>
        <v>N</v>
      </c>
      <c r="X195" s="120">
        <f t="shared" si="190"/>
        <v>1</v>
      </c>
      <c r="Y195" s="69">
        <f t="shared" si="185"/>
        <v>5.8648999999999996</v>
      </c>
      <c r="Z195" s="69">
        <f t="shared" si="186"/>
        <v>7.6799999999999993E-2</v>
      </c>
      <c r="AA195" s="69">
        <f t="shared" si="187"/>
        <v>5.7880999999999991</v>
      </c>
      <c r="AB195" s="66" t="e">
        <f>VLOOKUP(A195,Enforcements!$C$7:$J$21,8,0)</f>
        <v>#N/A</v>
      </c>
      <c r="AC195" s="62" t="e">
        <f>VLOOKUP(A195,Enforcements!$C$7:$E$21,3,0)</f>
        <v>#N/A</v>
      </c>
      <c r="AD195" s="63" t="str">
        <f t="shared" si="188"/>
        <v>1832-27</v>
      </c>
      <c r="AE195" s="99" t="str">
        <f t="shared" si="158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195" s="96" t="str">
        <f t="shared" si="159"/>
        <v>"C:\Program Files (x86)\AstroGrep\AstroGrep.exe" /spath="%USERPROFILE%\AppData\Local\Temp\OnboardLogs" /stypes="*4008*20160828*" /stext=" 03:.+((SYSTEM_STATE.+slice.+state.+changed )|(ment ac)|(system.+state.+changed )|(\|lc)|(penalty)|(\[timeout)|(PRM\|1\|D)|(kpr)|(kdp))" /e /r /s</v>
      </c>
      <c r="AG195" s="1" t="str">
        <f t="shared" si="189"/>
        <v>NW</v>
      </c>
      <c r="AH195" s="100" t="str">
        <f t="shared" si="172"/>
        <v>"%USERPROFILE%\Documents\GitHub\eaglep3\Utilities\RefineRTDCRunTimes.py" --tripid 1832-27 --locoid 4008 --swversion DE.1.0.7.0 --startMP 300:58649 --initTime 2016-08-27T21:36:52 --startdatetime 2016-08-27T21:39:21 --delay 2 --endMP 204:768 --enddatetime 2016-08-27T21:54:48 --enforcementcount 0 &gt;&gt;C:\Users\stu\Documents\GitHub\eaglep3-reporting\EC\2016-08-27-refined-times.txt</v>
      </c>
      <c r="AI195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{"issue":{"subject":"","project_id":79,"tracker_id":40,"status_id":1,"priority_id":2,"assigned_to_id":23,"start_date":"2016-08-27","description":"","custom_fields":[{"id":1,"name":"Subdivision","value":"NW"},{"id":4,"name":"Milepost","value":"5.7881"},{"id":17,"name":"Train ID","value":"1832-27"},{"id":16,"name":"Locomotive ID","value":"4008"},{"id":130,"name":"Impact","value":""},{"id":150,"name":"Time of Event (Mountain Time)","value":"21:54:48"},{"id":151,"name":"Denver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x14ac:dyDescent="0.25">
      <c r="A196" s="39" t="s">
        <v>575</v>
      </c>
      <c r="B196" s="7">
        <v>4007</v>
      </c>
      <c r="C196" s="24" t="s">
        <v>113</v>
      </c>
      <c r="D196" s="24" t="s">
        <v>576</v>
      </c>
      <c r="E196" s="15">
        <v>42609.926550925928</v>
      </c>
      <c r="F196" s="15">
        <v>42609.931469907409</v>
      </c>
      <c r="G196" s="7">
        <v>1</v>
      </c>
      <c r="H196" s="15" t="s">
        <v>519</v>
      </c>
      <c r="I196" s="15">
        <v>42609.941018518519</v>
      </c>
      <c r="J196" s="7">
        <v>0</v>
      </c>
      <c r="K196" s="132" t="str">
        <f t="shared" si="179"/>
        <v>4007/4008</v>
      </c>
      <c r="L196" s="24" t="str">
        <f>VLOOKUP(A196,'Trips&amp;Operators'!$C$1:$E$10000,3,FALSE)</f>
        <v>DE LA ROSA</v>
      </c>
      <c r="M196" s="6">
        <f t="shared" si="180"/>
        <v>9.5486111094942316E-3</v>
      </c>
      <c r="N196" s="7">
        <f t="shared" si="191"/>
        <v>13.749999997671694</v>
      </c>
      <c r="O196" s="7"/>
      <c r="P196" s="7"/>
      <c r="Q196" s="25"/>
      <c r="R196" s="25"/>
      <c r="S196" s="37">
        <f t="shared" si="181"/>
        <v>1</v>
      </c>
      <c r="T196" s="52" t="str">
        <f t="shared" si="182"/>
        <v>NorthBound</v>
      </c>
      <c r="U196" s="12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21:14:14-0600',mode:absolute,to:'2016-08-27 23:35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W196" s="54" t="str">
        <f t="shared" si="184"/>
        <v>N</v>
      </c>
      <c r="X196" s="120">
        <f t="shared" si="190"/>
        <v>1</v>
      </c>
      <c r="Y196" s="69">
        <f t="shared" si="185"/>
        <v>0.1014</v>
      </c>
      <c r="Z196" s="69">
        <f t="shared" si="186"/>
        <v>5.8944000000000001</v>
      </c>
      <c r="AA196" s="69">
        <f t="shared" si="187"/>
        <v>5.7930000000000001</v>
      </c>
      <c r="AB196" s="66" t="e">
        <f>VLOOKUP(A196,Enforcements!$C$7:$J$21,8,0)</f>
        <v>#N/A</v>
      </c>
      <c r="AC196" s="62" t="e">
        <f>VLOOKUP(A196,Enforcements!$C$7:$E$21,3,0)</f>
        <v>#N/A</v>
      </c>
      <c r="AD196" s="63" t="str">
        <f t="shared" si="188"/>
        <v>1833-27</v>
      </c>
      <c r="AE196" s="99" t="str">
        <f t="shared" si="158"/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AF196" s="96" t="str">
        <f t="shared" si="159"/>
        <v>"C:\Program Files (x86)\AstroGrep\AstroGrep.exe" /spath="%USERPROFILE%\AppData\Local\Temp\OnboardLogs" /stypes="*4007*20160828*" /stext=" 04:.+((SYSTEM_STATE.+slice.+state.+changed )|(ment ac)|(system.+state.+changed )|(\|lc)|(penalty)|(\[timeout)|(PRM\|1\|D)|(kpr)|(kdp))" /e /r /s</v>
      </c>
      <c r="AG196" s="1" t="str">
        <f t="shared" si="189"/>
        <v>NW</v>
      </c>
      <c r="AH196" s="100" t="str">
        <f t="shared" si="172"/>
        <v>"%USERPROFILE%\Documents\GitHub\eaglep3\Utilities\RefineRTDCRunTimes.py" --tripid 1833-27 --locoid 4007 --swversion DE.1.0.7.0 --startMP 204:1014 --initTime 2016-08-27T22:14:14 --startdatetime 2016-08-27T22:21:19 --delay 1 --endMP 300:58944 --enddatetime 2016-08-27T22:35:04 --enforcementcount 0 &gt;&gt;C:\Users\stu\Documents\GitHub\eaglep3-reporting\EC\2016-08-27-refined-times.txt</v>
      </c>
      <c r="AI196" s="149" t="str">
        <f t="shared" si="173"/>
        <v>echo {"issue":{"subject":"","project_id":79,"tracker_id":40,"status_id":1,"priority_id":2,"assigned_to_id":23,"start_date":"2016-08-27","description":"","custom_fields":[{"id":1,"name":"Subdivision","value":"NW"},{"id":4,"name":"Milepost","value":"5.793"},{"id":17,"name":"Train ID","value":"1833-27"},{"id":16,"name":"Locomotive ID","value":"4007"},{"id":130,"name":"Impact","value":""},{"id":150,"name":"Time of Event (Mountain Time)","value":"22:35:04"},{"id":151,"name":"Denver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x14ac:dyDescent="0.25">
      <c r="A197" s="39" t="s">
        <v>311</v>
      </c>
      <c r="B197" s="7">
        <v>4014</v>
      </c>
      <c r="C197" s="24" t="s">
        <v>113</v>
      </c>
      <c r="D197" s="24" t="s">
        <v>355</v>
      </c>
      <c r="E197" s="15">
        <v>42608.785810185182</v>
      </c>
      <c r="F197" s="15">
        <v>42608.786840277775</v>
      </c>
      <c r="G197" s="7">
        <v>1</v>
      </c>
      <c r="H197" s="15" t="s">
        <v>280</v>
      </c>
      <c r="I197" s="15">
        <v>42608.811724537038</v>
      </c>
      <c r="J197" s="7">
        <v>0</v>
      </c>
      <c r="K197" s="132" t="str">
        <f t="shared" si="179"/>
        <v>4013/4014</v>
      </c>
      <c r="L197" s="24" t="e">
        <f>VLOOKUP(A197,'Trips&amp;Operators'!$C$1:$E$10000,3,FALSE)</f>
        <v>#N/A</v>
      </c>
      <c r="M197" s="6">
        <f t="shared" si="180"/>
        <v>2.4884259262762498E-2</v>
      </c>
      <c r="N197" s="7">
        <f t="shared" si="191"/>
        <v>35.833333338377997</v>
      </c>
      <c r="O197" s="7"/>
      <c r="P197" s="7"/>
      <c r="Q197" s="25"/>
      <c r="R197" s="25"/>
      <c r="S197" s="37">
        <f t="shared" si="181"/>
        <v>1</v>
      </c>
      <c r="T197" s="52" t="str">
        <f t="shared" si="182"/>
        <v>NorthBound</v>
      </c>
      <c r="U197" s="12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https://search-rtdc-monitor-bjffxe2xuh6vdkpspy63sjmuny.us-east-1.es.amazonaws.com/_plugin/kibana/#/discover/Steve-Slow-Train-Analysis-(2080s-and-2083s)?_g=(refreshInterval:(display:Off,section:0,value:0),time:(from:'2016-08-26 17:51:34-0600',mode:absolute,to:'2016-08-26 20:28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W197" s="54" t="str">
        <f t="shared" si="184"/>
        <v>Y</v>
      </c>
      <c r="X197" s="120">
        <f t="shared" si="190"/>
        <v>-1530</v>
      </c>
      <c r="Y197" s="69">
        <f t="shared" si="185"/>
        <v>4.8800000000000003E-2</v>
      </c>
      <c r="Z197" s="69">
        <f t="shared" si="186"/>
        <v>2.3304</v>
      </c>
      <c r="AA197" s="69">
        <f t="shared" si="187"/>
        <v>2.2816000000000001</v>
      </c>
      <c r="AB197" s="66" t="e">
        <f>VLOOKUP(A197,Enforcements!$C$7:$J$21,8,0)</f>
        <v>#N/A</v>
      </c>
      <c r="AC197" s="62" t="e">
        <f>VLOOKUP(A197,Enforcements!$C$7:$E$21,3,0)</f>
        <v>#N/A</v>
      </c>
      <c r="AD197" s="63" t="str">
        <f t="shared" si="188"/>
        <v>0303-26</v>
      </c>
      <c r="AE197" s="99" t="str">
        <f t="shared" si="158"/>
        <v>aws s3 cp s3://rtdc.mdm.uploadarchive/RTDC4014/2016-08-26/ "%USERPROFILE%\AppData\Local\Temp\OnboardLogs"\RTDC4014\2016-08-26 --recursive &amp; "%USERPROFILE%\Documents\GitHub\mrs-test-scripts\Headless Mode &amp; Sideloading\WalkAndUnGZ.bat" "%USERPROFILE%\AppData\Local\Temp\OnboardLogs"\RTDC4014\2016-08-26 &amp; 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</v>
      </c>
      <c r="AF197" s="96" t="str">
        <f t="shared" si="159"/>
        <v>"C:\Program Files (x86)\AstroGrep\AstroGrep.exe" /spath="%USERPROFILE%\AppData\Local\Temp\OnboardLogs" /stypes="*4014*20160827*" /stext=" 01:.+((SYSTEM_STATE.+slice.+state.+changed )|(ment ac)|(system.+state.+changed )|(\|lc)|(penalty)|(\[timeout)|(PRM\|1\|D)|(kpr)|(kdp))" /e /r /s</v>
      </c>
      <c r="AG197" s="1" t="str">
        <f t="shared" si="189"/>
        <v>Other</v>
      </c>
      <c r="AH197" s="100" t="str">
        <f t="shared" si="172"/>
        <v>"%USERPROFILE%\Documents\GitHub\eaglep3\Utilities\RefineRTDCRunTimes.py" --tripid 303-26 --locoid 4014 --swversion DE.1.0.7.0 --startMP 204:488 --initTime 2016-08-26T18:51:34 --startdatetime 2016-08-26T18:53:03 --delay 1 --endMP 300:23304 --enddatetime 2016-08-26T19:28:53 --enforcementcount 0 &gt;&gt;C:\Users\stu\Documents\GitHub\eaglep3-reporting\EC\2016-08-27-refined-times.txt</v>
      </c>
      <c r="AI197" s="149" t="str">
        <f t="shared" si="173"/>
        <v>echo {"issue":{"subject":"","project_id":79,"tracker_id":40,"status_id":1,"priority_id":2,"assigned_to_id":23,"start_date":"2016-08-26","description":"","custom_fields":[{"id":1,"name":"Subdivision","value":"Other"},{"id":4,"name":"Milepost","value":"2.2816"},{"id":17,"name":"Train ID","value":"303-26"},{"id":16,"name":"Locomotive ID","value":"4014"},{"id":130,"name":"Impact","value":""},{"id":150,"name":"Time of Event (Mountain Time)","value":"19:28:53"},{"id":151,"name":"Denver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660</v>
      </c>
      <c r="B198" s="7">
        <v>4042</v>
      </c>
      <c r="C198" s="24" t="s">
        <v>113</v>
      </c>
      <c r="D198" s="24" t="s">
        <v>340</v>
      </c>
      <c r="E198" s="15">
        <v>42609.776956018519</v>
      </c>
      <c r="F198" s="15">
        <v>25568.958333333332</v>
      </c>
      <c r="G198" s="7">
        <v>1</v>
      </c>
      <c r="H198" s="15" t="s">
        <v>661</v>
      </c>
      <c r="I198" s="15">
        <v>25568.958333333332</v>
      </c>
      <c r="J198" s="7">
        <v>0</v>
      </c>
      <c r="K198" s="132" t="str">
        <f t="shared" si="179"/>
        <v>4041/4042</v>
      </c>
      <c r="L198" s="24" t="str">
        <f>VLOOKUP(A198,'Trips&amp;Operators'!$C$1:$E$10000,3,FALSE)</f>
        <v>SHOOK</v>
      </c>
      <c r="M198" s="6">
        <f t="shared" si="180"/>
        <v>0</v>
      </c>
      <c r="N198" s="7">
        <f t="shared" si="191"/>
        <v>0</v>
      </c>
      <c r="O198" s="7"/>
      <c r="P198" s="7"/>
      <c r="Q198" s="25"/>
      <c r="R198" s="25"/>
      <c r="S198" s="37">
        <f t="shared" si="181"/>
        <v>1</v>
      </c>
      <c r="T198" s="52" t="str">
        <f t="shared" si="182"/>
        <v>NorthBound</v>
      </c>
      <c r="U198" s="12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17:38:49-0600',mode:absolute,to:'1970-01-01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8" s="54" t="str">
        <f t="shared" si="184"/>
        <v>Y</v>
      </c>
      <c r="X198" s="120">
        <f t="shared" si="190"/>
        <v>0</v>
      </c>
      <c r="Y198" s="69">
        <f t="shared" si="185"/>
        <v>4.7300000000000002E-2</v>
      </c>
      <c r="Z198" s="69">
        <f t="shared" si="186"/>
        <v>2.3296999999999999</v>
      </c>
      <c r="AA198" s="69">
        <f t="shared" si="187"/>
        <v>2.2824</v>
      </c>
      <c r="AB198" s="66" t="e">
        <f>VLOOKUP(A198,Enforcements!$C$7:$J$21,8,0)</f>
        <v>#N/A</v>
      </c>
      <c r="AC198" s="62" t="e">
        <f>VLOOKUP(A198,Enforcements!$C$7:$E$21,3,0)</f>
        <v>#N/A</v>
      </c>
      <c r="AD198" s="63" t="str">
        <f t="shared" si="188"/>
        <v>0303-27</v>
      </c>
      <c r="AE198" s="99" t="str">
        <f t="shared" si="158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198" s="96" t="str">
        <f t="shared" si="159"/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198" s="1" t="str">
        <f t="shared" si="189"/>
        <v>Other</v>
      </c>
      <c r="AH198" s="100" t="str">
        <f t="shared" si="172"/>
        <v>"%USERPROFILE%\Documents\GitHub\eaglep3\Utilities\RefineRTDCRunTimes.py" --tripid 303-27 --locoid 4042 --swversion DE.1.0.7.0 --startMP 204:473 --initTime 2016-08-27T18:38:49 --startdatetime 1969-12-31T23:00:00 --delay 1 --endMP 300:23297 --enddatetime 1969-12-31T23:00:00 --enforcementcount 0 &gt;&gt;C:\Users\stu\Documents\GitHub\eaglep3-reporting\EC\2016-08-27-refined-times.txt</v>
      </c>
      <c r="AI198" s="14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{"issue":{"subject":"","project_id":79,"tracker_id":40,"status_id":1,"priority_id":2,"assigned_to_id":23,"start_date":"1969-12-31","description":"","custom_fields":[{"id":1,"name":"Subdivision","value":"Other"},{"id":4,"name":"Milepost","value":"2.2824"},{"id":17,"name":"Train ID","value":"303-27"},{"id":16,"name":"Locomotive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660</v>
      </c>
      <c r="B199" s="7">
        <v>4042</v>
      </c>
      <c r="C199" s="24" t="s">
        <v>113</v>
      </c>
      <c r="D199" s="24" t="s">
        <v>340</v>
      </c>
      <c r="E199" s="15">
        <v>42609.776956018519</v>
      </c>
      <c r="F199" s="15">
        <v>25568.958333333332</v>
      </c>
      <c r="G199" s="7">
        <v>1</v>
      </c>
      <c r="H199" s="15" t="s">
        <v>661</v>
      </c>
      <c r="I199" s="15">
        <v>25568.958333333332</v>
      </c>
      <c r="J199" s="7">
        <v>0</v>
      </c>
      <c r="K199" s="132" t="str">
        <f t="shared" si="179"/>
        <v>4041/4042</v>
      </c>
      <c r="L199" s="24" t="str">
        <f>VLOOKUP(A199,'Trips&amp;Operators'!$C$1:$E$10000,3,FALSE)</f>
        <v>SHOOK</v>
      </c>
      <c r="M199" s="6">
        <f t="shared" si="180"/>
        <v>0</v>
      </c>
      <c r="N199" s="7">
        <f t="shared" si="191"/>
        <v>0</v>
      </c>
      <c r="O199" s="7"/>
      <c r="P199" s="7"/>
      <c r="Q199" s="25"/>
      <c r="R199" s="25"/>
      <c r="S199" s="37">
        <f t="shared" si="181"/>
        <v>1</v>
      </c>
      <c r="T199" s="52" t="str">
        <f t="shared" si="182"/>
        <v>NorthBound</v>
      </c>
      <c r="U199" s="12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17:38:49-0600',mode:absolute,to:'1970-01-01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199" s="54" t="str">
        <f t="shared" si="184"/>
        <v>Y</v>
      </c>
      <c r="X199" s="120">
        <f t="shared" si="190"/>
        <v>0</v>
      </c>
      <c r="Y199" s="69">
        <f t="shared" si="185"/>
        <v>4.7300000000000002E-2</v>
      </c>
      <c r="Z199" s="69">
        <f t="shared" si="186"/>
        <v>2.3296999999999999</v>
      </c>
      <c r="AA199" s="69">
        <f t="shared" si="187"/>
        <v>2.2824</v>
      </c>
      <c r="AB199" s="66" t="e">
        <f>VLOOKUP(A199,Enforcements!$C$7:$J$21,8,0)</f>
        <v>#N/A</v>
      </c>
      <c r="AC199" s="62" t="e">
        <f>VLOOKUP(A199,Enforcements!$C$7:$E$21,3,0)</f>
        <v>#N/A</v>
      </c>
      <c r="AD199" s="63" t="str">
        <f t="shared" si="188"/>
        <v>0303-27</v>
      </c>
      <c r="AE199" s="99" t="str">
        <f t="shared" si="158"/>
        <v>aws s3 cp s3://rtdc.mdm.uploadarchive/RTDC4042/1969-12-31/ "%USERPROFILE%\AppData\Local\Temp\OnboardLogs"\RTDC4042\1969-12-31 --recursive &amp; "%USERPROFILE%\Documents\GitHub\mrs-test-scripts\Headless Mode &amp; Sideloading\WalkAndUnGZ.bat" "%USERPROFILE%\AppData\Local\Temp\OnboardLogs"\RTDC4042\1969-12-31 &amp; aws s3 cp s3://rtdc.mdm.uploadarchive/RTDC4042/1970-01-01/ "%USERPROFILE%\AppData\Local\Temp\OnboardLogs"\RTDC4042\1970-01-01 --recursive &amp; "%USERPROFILE%\Documents\GitHub\mrs-test-scripts\Headless Mode &amp; Sideloading\WalkAndUnGZ.bat" "%USERPROFILE%\AppData\Local\Temp\OnboardLogs"\RTDC4042\1970-01-01</v>
      </c>
      <c r="AF199" s="96" t="str">
        <f t="shared" si="159"/>
        <v>"C:\Program Files (x86)\AstroGrep\AstroGrep.exe" /spath="%USERPROFILE%\AppData\Local\Temp\OnboardLogs" /stypes="*4042*19700101*" /stext=" 05:.+((SYSTEM_STATE.+slice.+state.+changed )|(ment ac)|(system.+state.+changed )|(\|lc)|(penalty)|(\[timeout)|(PRM\|1\|D)|(kpr)|(kdp))" /e /r /s</v>
      </c>
      <c r="AG199" s="1" t="str">
        <f t="shared" si="189"/>
        <v>Other</v>
      </c>
      <c r="AH199" s="100" t="str">
        <f t="shared" si="172"/>
        <v>"%USERPROFILE%\Documents\GitHub\eaglep3\Utilities\RefineRTDCRunTimes.py" --tripid 303-27 --locoid 4042 --swversion DE.1.0.7.0 --startMP 204:473 --initTime 2016-08-27T18:38:49 --startdatetime 1969-12-31T23:00:00 --delay 1 --endMP 300:23297 --enddatetime 1969-12-31T23:00:00 --enforcementcount 0 &gt;&gt;C:\Users\stu\Documents\GitHub\eaglep3-reporting\EC\2016-08-27-refined-times.txt</v>
      </c>
      <c r="AI199" s="14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{"issue":{"subject":"","project_id":79,"tracker_id":40,"status_id":1,"priority_id":2,"assigned_to_id":23,"start_date":"1969-12-31","description":"","custom_fields":[{"id":1,"name":"Subdivision","value":"Other"},{"id":4,"name":"Milepost","value":"2.2824"},{"id":17,"name":"Train ID","value":"303-27"},{"id":16,"name":"Locomotive ID","value":"4042"},{"id":130,"name":"Impact","value":""},{"id":150,"name":"Time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313</v>
      </c>
      <c r="B200" s="7">
        <v>4025</v>
      </c>
      <c r="C200" s="24" t="s">
        <v>113</v>
      </c>
      <c r="D200" s="24" t="s">
        <v>356</v>
      </c>
      <c r="E200" s="15">
        <v>42608.805092592593</v>
      </c>
      <c r="F200" s="15">
        <v>42608.806087962963</v>
      </c>
      <c r="G200" s="7">
        <v>1</v>
      </c>
      <c r="H200" s="15" t="s">
        <v>357</v>
      </c>
      <c r="I200" s="15">
        <v>42608.815972222219</v>
      </c>
      <c r="J200" s="7">
        <v>0</v>
      </c>
      <c r="K200" s="132" t="str">
        <f t="shared" si="179"/>
        <v>4025/4026</v>
      </c>
      <c r="L200" s="24" t="e">
        <f>VLOOKUP(A200,'Trips&amp;Operators'!$C$1:$E$10000,3,FALSE)</f>
        <v>#N/A</v>
      </c>
      <c r="M200" s="6">
        <f t="shared" si="180"/>
        <v>9.8842592560686171E-3</v>
      </c>
      <c r="N200" s="7">
        <f t="shared" si="191"/>
        <v>14.233333328738809</v>
      </c>
      <c r="O200" s="7"/>
      <c r="P200" s="7"/>
      <c r="Q200" s="25"/>
      <c r="R200" s="25"/>
      <c r="S200" s="37">
        <f t="shared" si="181"/>
        <v>1</v>
      </c>
      <c r="T200" s="52" t="str">
        <f t="shared" si="182"/>
        <v>NorthBound</v>
      </c>
      <c r="U200" s="12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https://search-rtdc-monitor-bjffxe2xuh6vdkpspy63sjmuny.us-east-1.es.amazonaws.com/_plugin/kibana/#/discover/Steve-Slow-Train-Analysis-(2080s-and-2083s)?_g=(refreshInterval:(display:Off,section:0,value:0),time:(from:'2016-08-26 18:19:20-0600',mode:absolute,to:'2016-08-26 20:35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00" s="54" t="str">
        <f t="shared" si="184"/>
        <v>Y</v>
      </c>
      <c r="X200" s="120">
        <f t="shared" si="190"/>
        <v>2</v>
      </c>
      <c r="Y200" s="69">
        <f t="shared" si="185"/>
        <v>0.1416</v>
      </c>
      <c r="Z200" s="69">
        <f t="shared" si="186"/>
        <v>2.331</v>
      </c>
      <c r="AA200" s="69">
        <f t="shared" si="187"/>
        <v>2.1894</v>
      </c>
      <c r="AB200" s="66" t="e">
        <f>VLOOKUP(A200,Enforcements!$C$7:$J$21,8,0)</f>
        <v>#N/A</v>
      </c>
      <c r="AC200" s="62" t="e">
        <f>VLOOKUP(A200,Enforcements!$C$7:$E$21,3,0)</f>
        <v>#N/A</v>
      </c>
      <c r="AD200" s="63" t="str">
        <f t="shared" si="188"/>
        <v>0305-26</v>
      </c>
      <c r="AE200" s="99" t="str">
        <f t="shared" si="158"/>
        <v>aws s3 cp s3://rtdc.mdm.uploadarchive/RTDC4025/2016-08-26/ "%USERPROFILE%\AppData\Local\Temp\OnboardLogs"\RTDC4025\2016-08-26 --recursive &amp; "%USERPROFILE%\Documents\GitHub\mrs-test-scripts\Headless Mode &amp; Sideloading\WalkAndUnGZ.bat" "%USERPROFILE%\AppData\Local\Temp\OnboardLogs"\RTDC4025\2016-08-26 &amp; 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</v>
      </c>
      <c r="AF200" s="96" t="str">
        <f t="shared" si="159"/>
        <v>"C:\Program Files (x86)\AstroGrep\AstroGrep.exe" /spath="%USERPROFILE%\AppData\Local\Temp\OnboardLogs" /stypes="*4025*20160827*" /stext=" 01:.+((SYSTEM_STATE.+slice.+state.+changed )|(ment ac)|(system.+state.+changed )|(\|lc)|(penalty)|(\[timeout)|(PRM\|1\|D)|(kpr)|(kdp))" /e /r /s</v>
      </c>
      <c r="AG200" s="1" t="str">
        <f t="shared" si="189"/>
        <v>Other</v>
      </c>
      <c r="AH200" s="100" t="str">
        <f t="shared" si="172"/>
        <v>"%USERPROFILE%\Documents\GitHub\eaglep3\Utilities\RefineRTDCRunTimes.py" --tripid 305-26 --locoid 4025 --swversion DE.1.0.7.0 --startMP 204:1416 --initTime 2016-08-26T19:19:20 --startdatetime 2016-08-26T19:20:46 --delay 1 --endMP 300:23310 --enddatetime 2016-08-26T19:35:00 --enforcementcount 0 &gt;&gt;C:\Users\stu\Documents\GitHub\eaglep3-reporting\EC\2016-08-27-refined-times.txt</v>
      </c>
      <c r="AI200" s="149" t="str">
        <f t="shared" si="173"/>
        <v>echo {"issue":{"subject":"","project_id":79,"tracker_id":40,"status_id":1,"priority_id":2,"assigned_to_id":23,"start_date":"2016-08-26","description":"","custom_fields":[{"id":1,"name":"Subdivision","value":"Other"},{"id":4,"name":"Milepost","value":"2.1894"},{"id":17,"name":"Train ID","value":"305-26"},{"id":16,"name":"Locomotive ID","value":"4025"},{"id":130,"name":"Impact","value":""},{"id":150,"name":"Time of Event (Mountain Time)","value":"19:35:00"},{"id":151,"name":"Denver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662</v>
      </c>
      <c r="B201" s="7">
        <v>4009</v>
      </c>
      <c r="C201" s="24" t="s">
        <v>113</v>
      </c>
      <c r="D201" s="24" t="s">
        <v>335</v>
      </c>
      <c r="E201" s="15">
        <v>42609.819988425923</v>
      </c>
      <c r="F201" s="15">
        <v>25568.958333333332</v>
      </c>
      <c r="G201" s="7">
        <v>1</v>
      </c>
      <c r="H201" s="15" t="s">
        <v>280</v>
      </c>
      <c r="I201" s="15">
        <v>25568.958333333332</v>
      </c>
      <c r="J201" s="7">
        <v>0</v>
      </c>
      <c r="K201" s="132" t="str">
        <f t="shared" si="179"/>
        <v>4009/4010</v>
      </c>
      <c r="L201" s="24" t="str">
        <f>VLOOKUP(A201,'Trips&amp;Operators'!$C$1:$E$10000,3,FALSE)</f>
        <v>WEBSTER</v>
      </c>
      <c r="M201" s="6">
        <f t="shared" si="180"/>
        <v>0</v>
      </c>
      <c r="N201" s="7">
        <f t="shared" si="191"/>
        <v>0</v>
      </c>
      <c r="O201" s="7"/>
      <c r="P201" s="7"/>
      <c r="Q201" s="25"/>
      <c r="R201" s="25"/>
      <c r="S201" s="37">
        <f t="shared" si="181"/>
        <v>1</v>
      </c>
      <c r="T201" s="52" t="str">
        <f t="shared" si="182"/>
        <v>NorthBound</v>
      </c>
      <c r="U201" s="12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18:40:47-0600',mode:absolute,to:'1970-01-01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1" s="54" t="str">
        <f t="shared" si="184"/>
        <v>Y</v>
      </c>
      <c r="X201" s="120">
        <f t="shared" si="190"/>
        <v>2</v>
      </c>
      <c r="Y201" s="69">
        <f t="shared" si="185"/>
        <v>4.58E-2</v>
      </c>
      <c r="Z201" s="69">
        <f t="shared" si="186"/>
        <v>2.3304</v>
      </c>
      <c r="AA201" s="69">
        <f t="shared" si="187"/>
        <v>2.2846000000000002</v>
      </c>
      <c r="AB201" s="66" t="e">
        <f>VLOOKUP(A201,Enforcements!$C$7:$J$21,8,0)</f>
        <v>#N/A</v>
      </c>
      <c r="AC201" s="62" t="e">
        <f>VLOOKUP(A201,Enforcements!$C$7:$E$21,3,0)</f>
        <v>#N/A</v>
      </c>
      <c r="AD201" s="63" t="str">
        <f t="shared" si="188"/>
        <v>0307-27</v>
      </c>
      <c r="AE201" s="99" t="str">
        <f t="shared" si="158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1" s="96" t="str">
        <f t="shared" si="159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1" s="1" t="str">
        <f t="shared" si="189"/>
        <v>Other</v>
      </c>
      <c r="AH201" s="100" t="str">
        <f t="shared" si="172"/>
        <v>"%USERPROFILE%\Documents\GitHub\eaglep3\Utilities\RefineRTDCRunTimes.py" --tripid 307-27 --locoid 4009 --swversion DE.1.0.7.0 --startMP 204:458 --initTime 2016-08-27T19:40:47 --startdatetime 1969-12-31T23:00:00 --delay 1 --endMP 300:23304 --enddatetime 1969-12-31T23:00:00 --enforcementcount 0 &gt;&gt;C:\Users\stu\Documents\GitHub\eaglep3-reporting\EC\2016-08-27-refined-times.txt</v>
      </c>
      <c r="AI201" s="14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{"issue":{"subject":"","project_id":79,"tracker_id":40,"status_id":1,"priority_id":2,"assigned_to_id":23,"start_date":"1969-12-31","description":"","custom_fields":[{"id":1,"name":"Subdivision","value":"Other"},{"id":4,"name":"Milepost","value":"2.2846"},{"id":17,"name":"Train ID","value":"307-27"},{"id":16,"name":"Locomotive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662</v>
      </c>
      <c r="B202" s="7">
        <v>4009</v>
      </c>
      <c r="C202" s="24" t="s">
        <v>113</v>
      </c>
      <c r="D202" s="24" t="s">
        <v>335</v>
      </c>
      <c r="E202" s="15">
        <v>42609.819988425923</v>
      </c>
      <c r="F202" s="15">
        <v>25568.958333333332</v>
      </c>
      <c r="G202" s="7">
        <v>1</v>
      </c>
      <c r="H202" s="15" t="s">
        <v>280</v>
      </c>
      <c r="I202" s="15">
        <v>25568.958333333332</v>
      </c>
      <c r="J202" s="7">
        <v>0</v>
      </c>
      <c r="K202" s="132" t="str">
        <f t="shared" si="179"/>
        <v>4009/4010</v>
      </c>
      <c r="L202" s="24" t="str">
        <f>VLOOKUP(A202,'Trips&amp;Operators'!$C$1:$E$10000,3,FALSE)</f>
        <v>WEBSTER</v>
      </c>
      <c r="M202" s="6">
        <f t="shared" si="180"/>
        <v>0</v>
      </c>
      <c r="N202" s="7">
        <f t="shared" si="191"/>
        <v>0</v>
      </c>
      <c r="O202" s="7"/>
      <c r="P202" s="7"/>
      <c r="Q202" s="25"/>
      <c r="R202" s="25"/>
      <c r="S202" s="37">
        <f t="shared" si="181"/>
        <v>1</v>
      </c>
      <c r="T202" s="52" t="str">
        <f t="shared" si="182"/>
        <v>NorthBound</v>
      </c>
      <c r="U202" s="12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18:40:47-0600',mode:absolute,to:'1970-01-01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W202" s="54" t="str">
        <f t="shared" si="184"/>
        <v>Y</v>
      </c>
      <c r="X202" s="120">
        <f t="shared" si="190"/>
        <v>0</v>
      </c>
      <c r="Y202" s="69">
        <f t="shared" si="185"/>
        <v>4.58E-2</v>
      </c>
      <c r="Z202" s="69">
        <f t="shared" si="186"/>
        <v>2.3304</v>
      </c>
      <c r="AA202" s="69">
        <f t="shared" si="187"/>
        <v>2.2846000000000002</v>
      </c>
      <c r="AB202" s="66" t="e">
        <f>VLOOKUP(A202,Enforcements!$C$7:$J$21,8,0)</f>
        <v>#N/A</v>
      </c>
      <c r="AC202" s="62" t="e">
        <f>VLOOKUP(A202,Enforcements!$C$7:$E$21,3,0)</f>
        <v>#N/A</v>
      </c>
      <c r="AD202" s="63" t="str">
        <f t="shared" si="188"/>
        <v>0307-27</v>
      </c>
      <c r="AE202" s="99" t="str">
        <f t="shared" si="158"/>
        <v>aws s3 cp s3://rtdc.mdm.uploadarchive/RTDC4009/1969-12-31/ "%USERPROFILE%\AppData\Local\Temp\OnboardLogs"\RTDC4009\1969-12-31 --recursive &amp; "%USERPROFILE%\Documents\GitHub\mrs-test-scripts\Headless Mode &amp; Sideloading\WalkAndUnGZ.bat" "%USERPROFILE%\AppData\Local\Temp\OnboardLogs"\RTDC4009\1969-12-31 &amp; aws s3 cp s3://rtdc.mdm.uploadarchive/RTDC4009/1970-01-01/ "%USERPROFILE%\AppData\Local\Temp\OnboardLogs"\RTDC4009\1970-01-01 --recursive &amp; "%USERPROFILE%\Documents\GitHub\mrs-test-scripts\Headless Mode &amp; Sideloading\WalkAndUnGZ.bat" "%USERPROFILE%\AppData\Local\Temp\OnboardLogs"\RTDC4009\1970-01-01</v>
      </c>
      <c r="AF202" s="96" t="str">
        <f t="shared" si="159"/>
        <v>"C:\Program Files (x86)\AstroGrep\AstroGrep.exe" /spath="%USERPROFILE%\AppData\Local\Temp\OnboardLogs" /stypes="*4009*19700101*" /stext=" 05:.+((SYSTEM_STATE.+slice.+state.+changed )|(ment ac)|(system.+state.+changed )|(\|lc)|(penalty)|(\[timeout)|(PRM\|1\|D)|(kpr)|(kdp))" /e /r /s</v>
      </c>
      <c r="AG202" s="1" t="str">
        <f t="shared" si="189"/>
        <v>Other</v>
      </c>
      <c r="AH202" s="100" t="str">
        <f t="shared" si="172"/>
        <v>"%USERPROFILE%\Documents\GitHub\eaglep3\Utilities\RefineRTDCRunTimes.py" --tripid 307-27 --locoid 4009 --swversion DE.1.0.7.0 --startMP 204:458 --initTime 2016-08-27T19:40:47 --startdatetime 1969-12-31T23:00:00 --delay 1 --endMP 300:23304 --enddatetime 1969-12-31T23:00:00 --enforcementcount 0 &gt;&gt;C:\Users\stu\Documents\GitHub\eaglep3-reporting\EC\2016-08-27-refined-times.txt</v>
      </c>
      <c r="AI202" s="149" t="str">
        <f t="shared" si="173"/>
        <v>echo {"issue":{"subject":"","project_id":79,"tracker_id":40,"status_id":1,"priority_id":2,"assigned_to_id":23,"start_date":"1969-12-31","description":"","custom_fields":[{"id":1,"name":"Subdivision","value":"Other"},{"id":4,"name":"Milepost","value":"2.2846"},{"id":17,"name":"Train ID","value":"307-27"},{"id":16,"name":"Locomotive ID","value":"4009"},{"id":130,"name":"Impact","value":""},{"id":150,"name":"Time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319</v>
      </c>
      <c r="B203" s="7">
        <v>4002</v>
      </c>
      <c r="C203" s="24" t="s">
        <v>113</v>
      </c>
      <c r="D203" s="24" t="s">
        <v>358</v>
      </c>
      <c r="E203" s="15">
        <v>42609.049791666665</v>
      </c>
      <c r="F203" s="15">
        <v>42609.050740740742</v>
      </c>
      <c r="G203" s="7">
        <v>1</v>
      </c>
      <c r="H203" s="15" t="s">
        <v>267</v>
      </c>
      <c r="I203" s="15">
        <v>42609.058206018519</v>
      </c>
      <c r="J203" s="7">
        <v>0</v>
      </c>
      <c r="K203" s="132" t="str">
        <f t="shared" si="179"/>
        <v>4001/4002</v>
      </c>
      <c r="L203" s="24" t="str">
        <f>VLOOKUP(A203,'Trips&amp;Operators'!$C$1:$E$10000,3,FALSE)</f>
        <v>YANAI</v>
      </c>
      <c r="M203" s="6">
        <f t="shared" si="180"/>
        <v>7.4652777766459621E-3</v>
      </c>
      <c r="N203" s="7">
        <f t="shared" si="191"/>
        <v>10.749999998370185</v>
      </c>
      <c r="O203" s="7"/>
      <c r="P203" s="7"/>
      <c r="Q203" s="25"/>
      <c r="R203" s="25"/>
      <c r="S203" s="37">
        <f t="shared" si="181"/>
        <v>1</v>
      </c>
      <c r="T203" s="52" t="str">
        <f t="shared" si="182"/>
        <v>NorthBound</v>
      </c>
      <c r="U203" s="12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00:11:42-0600',mode:absolute,to:'2016-08-27 02:23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4002%22')),sort:!(Time,asc))</v>
      </c>
      <c r="W203" s="54" t="str">
        <f t="shared" si="184"/>
        <v>Y</v>
      </c>
      <c r="X203" s="120">
        <f t="shared" ref="X203:X234" si="192">VALUE(LEFT(AD203,4))-VALUE(LEFT(AD202,4))</f>
        <v>2</v>
      </c>
      <c r="Y203" s="69">
        <f t="shared" si="185"/>
        <v>4.9700000000000001E-2</v>
      </c>
      <c r="Z203" s="69">
        <f t="shared" si="186"/>
        <v>2.3302</v>
      </c>
      <c r="AA203" s="69">
        <f t="shared" si="187"/>
        <v>2.2805</v>
      </c>
      <c r="AB203" s="66" t="e">
        <f>VLOOKUP(A203,Enforcements!$C$7:$J$21,8,0)</f>
        <v>#N/A</v>
      </c>
      <c r="AC203" s="62" t="e">
        <f>VLOOKUP(A203,Enforcements!$C$7:$E$21,3,0)</f>
        <v>#N/A</v>
      </c>
      <c r="AD203" s="63" t="str">
        <f t="shared" si="188"/>
        <v>0309-26</v>
      </c>
      <c r="AE203" s="99" t="str">
        <f t="shared" si="158"/>
        <v>aws s3 cp s3://rtdc.mdm.uploadarchive/RTDC4002/2016-08-27/ "%USERPROFILE%\AppData\Local\Temp\OnboardLogs"\RTDC4002\2016-08-27 --recursive &amp; "%USERPROFILE%\Documents\GitHub\mrs-test-scripts\Headless Mode &amp; Sideloading\WalkAndUnGZ.bat" "%USERPROFILE%\AppData\Local\Temp\OnboardLogs"\RTDC4002\2016-08-27 &amp; aws s3 cp s3://rtdc.mdm.uploadarchive/RTDC4002/2016-08-28/ "%USERPROFILE%\AppData\Local\Temp\OnboardLogs"\RTDC4002\2016-08-28 --recursive &amp; "%USERPROFILE%\Documents\GitHub\mrs-test-scripts\Headless Mode &amp; Sideloading\WalkAndUnGZ.bat" "%USERPROFILE%\AppData\Local\Temp\OnboardLogs"\RTDC4002\2016-08-28</v>
      </c>
      <c r="AF203" s="96" t="str">
        <f t="shared" si="159"/>
        <v>"C:\Program Files (x86)\AstroGrep\AstroGrep.exe" /spath="%USERPROFILE%\AppData\Local\Temp\OnboardLogs" /stypes="*4002*20160827*" /stext=" 07:.+((SYSTEM_STATE.+slice.+state.+changed )|(ment ac)|(system.+state.+changed )|(\|lc)|(penalty)|(\[timeout)|(PRM\|1\|D)|(kpr)|(kdp))" /e /r /s</v>
      </c>
      <c r="AG203" s="1" t="str">
        <f t="shared" si="189"/>
        <v>Other</v>
      </c>
      <c r="AH203" s="100" t="str">
        <f t="shared" ref="AH203:AH208" si="193">refinertdcruntimes&amp;" --tripid "&amp;A203&amp;" --locoid "&amp;B203&amp;" --swversion "&amp;C203&amp;" --startMP "&amp;D203&amp;" --initTime "&amp;TEXT(E203,"yyyy-mm-ddTHH:MM:SS")&amp;" --startdatetime "&amp;TEXT(F203,"yyyy-mm-ddTHH:MM:SS")&amp;" --delay "&amp;G203&amp;" --endMP "&amp;H203&amp;" --enddatetime "&amp;TEXT(I203,"yyyy-mm-ddTHH:MM:SS")&amp;" --enforcementcount "&amp;J203&amp;IF(outputrefinedruntimes," &gt;&gt;"&amp;RefinedRTDCRunTimesOutputFile,"")</f>
        <v>"%USERPROFILE%\Documents\GitHub\eaglep3\Utilities\RefineRTDCRunTimes.py" --tripid 309-26 --locoid 4002 --swversion DE.1.0.7.0 --startMP 204:497 --initTime 2016-08-27T01:11:42 --startdatetime 2016-08-27T01:13:04 --delay 1 --endMP 300:23302 --enddatetime 2016-08-27T01:23:49 --enforcementcount 0 &gt;&gt;C:\Users\stu\Documents\GitHub\eaglep3-reporting\EC\2016-08-27-refined-times.txt</v>
      </c>
      <c r="AI203" s="149" t="str">
        <f t="shared" ref="AI203:AI208" si="194">"echo {""issue"":{""subject"":"""&amp;R203&amp;""",""project_id"":79,""tracker_id"":40,""status_id"":"&amp;redmine_status&amp;",""priority_id"":"&amp;redmine_priority&amp;",""assigned_to_id"":"&amp;redmine_assignee&amp;",""start_date"":"""&amp;TEXT(I203,"YYYY-mm-dd")&amp;""",""description"":"""&amp;AJ203&amp;""",""custom_fields"":[{""id"":1,""name"":""Subdivision"",""value"":"""&amp;AG203&amp;"""},{""id"":4,""name"":""Milepost"",""value"":"""&amp;AA203&amp;"""},{""id"":17,""name"":""Train ID"",""value"":"""&amp;A203&amp;"""},{""id"":16,""name"":""Locomotive ID"",""value"":"""&amp;B203&amp;"""},{""id"":130,""name"":""Impact"",""value"":"""&amp;AK203&amp;"""},{""id"":150,""name"":""Time of Event (Mountain Time)"",""value"":"""&amp;TEXT(I203,"hh:mm:ss")&amp;"""},{""id"":151,""name"":""Denver Issue ID"",""value"":"""&amp;"""},{""id"":178,""name"":""Operational Impact"",""value"":"""&amp;redmine_op_impact&amp;"""},{""id"":179,""name"":""Denver Segment Assigned"",""value"":"""&amp;AL203&amp;"""}]}}"&amp;"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{"issue":{"subject":"","project_id":79,"tracker_id":40,"status_id":1,"priority_id":2,"assigned_to_id":23,"start_date":"2016-08-27","description":"","custom_fields":[{"id":1,"name":"Subdivision","value":"Other"},{"id":4,"name":"Milepost","value":"2.2805"},{"id":17,"name":"Train ID","value":"309-26"},{"id":16,"name":"Locomotive ID","value":"4002"},{"id":130,"name":"Impact","value":""},{"id":150,"name":"Time of Event (Mountain Time)","value":"01:23:49"},{"id":151,"name":"Denver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321</v>
      </c>
      <c r="B204" s="7">
        <v>4040</v>
      </c>
      <c r="C204" s="24" t="s">
        <v>113</v>
      </c>
      <c r="D204" s="24" t="s">
        <v>359</v>
      </c>
      <c r="E204" s="15">
        <v>42609.071203703701</v>
      </c>
      <c r="F204" s="15">
        <v>42609.071886574071</v>
      </c>
      <c r="G204" s="7">
        <v>0</v>
      </c>
      <c r="H204" s="15" t="s">
        <v>204</v>
      </c>
      <c r="I204" s="15">
        <v>42609.079016203701</v>
      </c>
      <c r="J204" s="7">
        <v>0</v>
      </c>
      <c r="K204" s="132" t="str">
        <f t="shared" si="179"/>
        <v>4039/4040</v>
      </c>
      <c r="L204" s="24" t="str">
        <f>VLOOKUP(A204,'Trips&amp;Operators'!$C$1:$E$10000,3,FALSE)</f>
        <v>CHANDLER</v>
      </c>
      <c r="M204" s="6">
        <f t="shared" si="180"/>
        <v>7.1296296300715767E-3</v>
      </c>
      <c r="N204" s="7">
        <f t="shared" si="191"/>
        <v>10.26666666730307</v>
      </c>
      <c r="O204" s="7"/>
      <c r="P204" s="7"/>
      <c r="Q204" s="25"/>
      <c r="R204" s="25"/>
      <c r="S204" s="37">
        <f t="shared" si="181"/>
        <v>1</v>
      </c>
      <c r="T204" s="52" t="str">
        <f t="shared" si="182"/>
        <v>NorthBound</v>
      </c>
      <c r="U204" s="12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00:42:32-0600',mode:absolute,to:'2016-08-27 02:53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4040%22')),sort:!(Time,asc))</v>
      </c>
      <c r="W204" s="54" t="str">
        <f t="shared" si="184"/>
        <v>Y</v>
      </c>
      <c r="X204" s="120">
        <f t="shared" si="192"/>
        <v>2</v>
      </c>
      <c r="Y204" s="69">
        <f t="shared" si="185"/>
        <v>4.9099999999999998E-2</v>
      </c>
      <c r="Z204" s="69">
        <f t="shared" si="186"/>
        <v>2.3306</v>
      </c>
      <c r="AA204" s="69">
        <f t="shared" si="187"/>
        <v>2.2814999999999999</v>
      </c>
      <c r="AB204" s="66" t="e">
        <f>VLOOKUP(A204,Enforcements!$C$7:$J$21,8,0)</f>
        <v>#N/A</v>
      </c>
      <c r="AC204" s="62" t="e">
        <f>VLOOKUP(A204,Enforcements!$C$7:$E$21,3,0)</f>
        <v>#N/A</v>
      </c>
      <c r="AD204" s="63" t="str">
        <f t="shared" si="188"/>
        <v>0311-26</v>
      </c>
      <c r="AE204" s="99" t="str">
        <f t="shared" si="158"/>
        <v>aws s3 cp s3://rtdc.mdm.uploadarchive/RTDC4040/2016-08-27/ "%USERPROFILE%\AppData\Local\Temp\OnboardLogs"\RTDC4040\2016-08-27 --recursive &amp; "%USERPROFILE%\Documents\GitHub\mrs-test-scripts\Headless Mode &amp; Sideloading\WalkAndUnGZ.bat" "%USERPROFILE%\AppData\Local\Temp\OnboardLogs"\RTDC4040\2016-08-27 &amp; aws s3 cp s3://rtdc.mdm.uploadarchive/RTDC4040/2016-08-28/ "%USERPROFILE%\AppData\Local\Temp\OnboardLogs"\RTDC4040\2016-08-28 --recursive &amp; "%USERPROFILE%\Documents\GitHub\mrs-test-scripts\Headless Mode &amp; Sideloading\WalkAndUnGZ.bat" "%USERPROFILE%\AppData\Local\Temp\OnboardLogs"\RTDC4040\2016-08-28</v>
      </c>
      <c r="AF204" s="96" t="str">
        <f t="shared" si="159"/>
        <v>"C:\Program Files (x86)\AstroGrep\AstroGrep.exe" /spath="%USERPROFILE%\AppData\Local\Temp\OnboardLogs" /stypes="*4040*20160827*" /stext=" 07:.+((SYSTEM_STATE.+slice.+state.+changed )|(ment ac)|(system.+state.+changed )|(\|lc)|(penalty)|(\[timeout)|(PRM\|1\|D)|(kpr)|(kdp))" /e /r /s</v>
      </c>
      <c r="AG204" s="1" t="str">
        <f t="shared" si="189"/>
        <v>Other</v>
      </c>
      <c r="AH204" s="100" t="str">
        <f t="shared" si="193"/>
        <v>"%USERPROFILE%\Documents\GitHub\eaglep3\Utilities\RefineRTDCRunTimes.py" --tripid 311-26 --locoid 4040 --swversion DE.1.0.7.0 --startMP 204:491 --initTime 2016-08-27T01:42:32 --startdatetime 2016-08-27T01:43:31 --delay 0 --endMP 300:23306 --enddatetime 2016-08-27T01:53:47 --enforcementcount 0 &gt;&gt;C:\Users\stu\Documents\GitHub\eaglep3-reporting\EC\2016-08-27-refined-times.txt</v>
      </c>
      <c r="AI204" s="149" t="str">
        <f t="shared" si="194"/>
        <v>echo {"issue":{"subject":"","project_id":79,"tracker_id":40,"status_id":1,"priority_id":2,"assigned_to_id":23,"start_date":"2016-08-27","description":"","custom_fields":[{"id":1,"name":"Subdivision","value":"Other"},{"id":4,"name":"Milepost","value":"2.2815"},{"id":17,"name":"Train ID","value":"311-26"},{"id":16,"name":"Locomotive ID","value":"4040"},{"id":130,"name":"Impact","value":""},{"id":150,"name":"Time of Event (Mountain Time)","value":"01:53:47"},{"id":151,"name":"Denver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663</v>
      </c>
      <c r="B205" s="7">
        <v>4020</v>
      </c>
      <c r="C205" s="24" t="s">
        <v>113</v>
      </c>
      <c r="D205" s="24" t="s">
        <v>467</v>
      </c>
      <c r="E205" s="15">
        <v>42610.072314814817</v>
      </c>
      <c r="F205" s="15">
        <v>25568.958333333332</v>
      </c>
      <c r="G205" s="7">
        <v>1</v>
      </c>
      <c r="H205" s="15" t="s">
        <v>364</v>
      </c>
      <c r="I205" s="15">
        <v>25568.958333333332</v>
      </c>
      <c r="J205" s="7">
        <v>0</v>
      </c>
      <c r="K205" s="132" t="str">
        <f t="shared" si="179"/>
        <v>4019/4020</v>
      </c>
      <c r="L205" s="24" t="str">
        <f>VLOOKUP(A205,'Trips&amp;Operators'!$C$1:$E$10000,3,FALSE)</f>
        <v>CHANDLER</v>
      </c>
      <c r="M205" s="6">
        <f t="shared" si="180"/>
        <v>0</v>
      </c>
      <c r="N205" s="7">
        <f t="shared" si="191"/>
        <v>0</v>
      </c>
      <c r="O205" s="7"/>
      <c r="P205" s="7"/>
      <c r="Q205" s="25"/>
      <c r="R205" s="25"/>
      <c r="S205" s="37">
        <f t="shared" si="181"/>
        <v>1</v>
      </c>
      <c r="T205" s="52" t="str">
        <f t="shared" si="182"/>
        <v>NorthBound</v>
      </c>
      <c r="U205" s="12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https://search-rtdc-monitor-bjffxe2xuh6vdkpspy63sjmuny.us-east-1.es.amazonaws.com/_plugin/kibana/#/discover/Steve-Slow-Train-Analysis-(2080s-and-2083s)?_g=(refreshInterval:(display:Off,section:0,value:0),time:(from:'2016-08-28 00:44:08-0600',mode:absolute,to:'1970-01-01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5" s="54" t="str">
        <f t="shared" si="184"/>
        <v>Y</v>
      </c>
      <c r="X205" s="120">
        <f t="shared" si="192"/>
        <v>0</v>
      </c>
      <c r="Y205" s="69">
        <f t="shared" si="185"/>
        <v>5.04E-2</v>
      </c>
      <c r="Z205" s="69">
        <f t="shared" si="186"/>
        <v>2.3298999999999999</v>
      </c>
      <c r="AA205" s="69">
        <f t="shared" si="187"/>
        <v>2.2794999999999996</v>
      </c>
      <c r="AB205" s="66" t="e">
        <f>VLOOKUP(A205,Enforcements!$C$7:$J$21,8,0)</f>
        <v>#N/A</v>
      </c>
      <c r="AC205" s="62" t="e">
        <f>VLOOKUP(A205,Enforcements!$C$7:$E$21,3,0)</f>
        <v>#N/A</v>
      </c>
      <c r="AD205" s="63" t="str">
        <f t="shared" si="188"/>
        <v>0311-27</v>
      </c>
      <c r="AE205" s="99" t="str">
        <f t="shared" ref="AE205:AE234" si="195">"aws s3 cp "&amp;s3_bucket&amp;"/RTDC"&amp;B205&amp;"/"&amp;TEXT(F205,"YYYY-MM-DD")&amp;"/ "&amp;search_path&amp;"\RTDC"&amp;B205&amp;"\"&amp;TEXT(F205,"YYYY-MM-DD")&amp;" --recursive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--recursive &amp; """&amp;walkandungz&amp;""" "&amp;search_path&amp;"\RTDC"&amp;B205&amp;"\"&amp;TEXT(F205+1,"YYYY-MM-DD")</f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5" s="96" t="str">
        <f t="shared" ref="AF205:AF234" si="196">astrogrep_path&amp;" /spath="&amp;search_path&amp;" /stypes=""*"&amp;B205&amp;"*"&amp;TEXT(I205-utc_offset/24,"YYYYMMDD")&amp;"*"" /stext="" "&amp;TEXT(I205-utc_offset/24,"HH")&amp;search_regexp&amp;""" /e /r /s"</f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5" s="1" t="str">
        <f t="shared" si="189"/>
        <v>Other</v>
      </c>
      <c r="AH205" s="100" t="str">
        <f t="shared" si="193"/>
        <v>"%USERPROFILE%\Documents\GitHub\eaglep3\Utilities\RefineRTDCRunTimes.py" --tripid 311-27 --locoid 4020 --swversion DE.1.0.7.0 --startMP 204:504 --initTime 2016-08-28T01:44:08 --startdatetime 1969-12-31T23:00:00 --delay 1 --endMP 300:23299 --enddatetime 1969-12-31T23:00:00 --enforcementcount 0 &gt;&gt;C:\Users\stu\Documents\GitHub\eaglep3-reporting\EC\2016-08-27-refined-times.txt</v>
      </c>
      <c r="AI205" s="149" t="str">
        <f t="shared" si="194"/>
        <v>echo {"issue":{"subject":"","project_id":79,"tracker_id":40,"status_id":1,"priority_id":2,"assigned_to_id":23,"start_date":"1969-12-31","description":"","custom_fields":[{"id":1,"name":"Subdivision","value":"Other"},{"id":4,"name":"Milepost","value":"2.2795"},{"id":17,"name":"Train ID","value":"311-27"},{"id":16,"name":"Locomotive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663</v>
      </c>
      <c r="B206" s="7">
        <v>4020</v>
      </c>
      <c r="C206" s="24" t="s">
        <v>113</v>
      </c>
      <c r="D206" s="24" t="s">
        <v>467</v>
      </c>
      <c r="E206" s="15">
        <v>42610.072314814817</v>
      </c>
      <c r="F206" s="15">
        <v>25568.958333333332</v>
      </c>
      <c r="G206" s="7">
        <v>1</v>
      </c>
      <c r="H206" s="15" t="s">
        <v>364</v>
      </c>
      <c r="I206" s="15">
        <v>25568.958333333332</v>
      </c>
      <c r="J206" s="7">
        <v>0</v>
      </c>
      <c r="K206" s="132" t="str">
        <f t="shared" si="179"/>
        <v>4019/4020</v>
      </c>
      <c r="L206" s="24" t="str">
        <f>VLOOKUP(A206,'Trips&amp;Operators'!$C$1:$E$10000,3,FALSE)</f>
        <v>CHANDLER</v>
      </c>
      <c r="M206" s="6">
        <f t="shared" si="180"/>
        <v>0</v>
      </c>
      <c r="N206" s="7">
        <f t="shared" si="191"/>
        <v>0</v>
      </c>
      <c r="O206" s="7"/>
      <c r="P206" s="7"/>
      <c r="Q206" s="25"/>
      <c r="R206" s="25"/>
      <c r="S206" s="37">
        <f t="shared" si="181"/>
        <v>1</v>
      </c>
      <c r="T206" s="52" t="str">
        <f t="shared" si="182"/>
        <v>NorthBound</v>
      </c>
      <c r="U206" s="12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https://search-rtdc-monitor-bjffxe2xuh6vdkpspy63sjmuny.us-east-1.es.amazonaws.com/_plugin/kibana/#/discover/Steve-Slow-Train-Analysis-(2080s-and-2083s)?_g=(refreshInterval:(display:Off,section:0,value:0),time:(from:'2016-08-28 00:44:08-0600',mode:absolute,to:'1970-01-01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06" s="54" t="str">
        <f t="shared" si="184"/>
        <v>Y</v>
      </c>
      <c r="X206" s="120">
        <f t="shared" si="192"/>
        <v>0</v>
      </c>
      <c r="Y206" s="69">
        <f t="shared" si="185"/>
        <v>5.04E-2</v>
      </c>
      <c r="Z206" s="69">
        <f t="shared" si="186"/>
        <v>2.3298999999999999</v>
      </c>
      <c r="AA206" s="69">
        <f t="shared" si="187"/>
        <v>2.2794999999999996</v>
      </c>
      <c r="AB206" s="66" t="e">
        <f>VLOOKUP(A206,Enforcements!$C$7:$J$21,8,0)</f>
        <v>#N/A</v>
      </c>
      <c r="AC206" s="62" t="e">
        <f>VLOOKUP(A206,Enforcements!$C$7:$E$21,3,0)</f>
        <v>#N/A</v>
      </c>
      <c r="AD206" s="63" t="str">
        <f t="shared" si="188"/>
        <v>0311-27</v>
      </c>
      <c r="AE206" s="99" t="str">
        <f t="shared" si="195"/>
        <v>aws s3 cp s3://rtdc.mdm.uploadarchive/RTDC4020/1969-12-31/ "%USERPROFILE%\AppData\Local\Temp\OnboardLogs"\RTDC4020\1969-12-31 --recursive &amp; "%USERPROFILE%\Documents\GitHub\mrs-test-scripts\Headless Mode &amp; Sideloading\WalkAndUnGZ.bat" "%USERPROFILE%\AppData\Local\Temp\OnboardLogs"\RTDC4020\1969-12-31 &amp; aws s3 cp s3://rtdc.mdm.uploadarchive/RTDC4020/1970-01-01/ "%USERPROFILE%\AppData\Local\Temp\OnboardLogs"\RTDC4020\1970-01-01 --recursive &amp; "%USERPROFILE%\Documents\GitHub\mrs-test-scripts\Headless Mode &amp; Sideloading\WalkAndUnGZ.bat" "%USERPROFILE%\AppData\Local\Temp\OnboardLogs"\RTDC4020\1970-01-01</v>
      </c>
      <c r="AF206" s="96" t="str">
        <f t="shared" si="196"/>
        <v>"C:\Program Files (x86)\AstroGrep\AstroGrep.exe" /spath="%USERPROFILE%\AppData\Local\Temp\OnboardLogs" /stypes="*4020*19700101*" /stext=" 05:.+((SYSTEM_STATE.+slice.+state.+changed )|(ment ac)|(system.+state.+changed )|(\|lc)|(penalty)|(\[timeout)|(PRM\|1\|D)|(kpr)|(kdp))" /e /r /s</v>
      </c>
      <c r="AG206" s="1" t="str">
        <f t="shared" si="189"/>
        <v>Other</v>
      </c>
      <c r="AH206" s="100" t="str">
        <f t="shared" si="193"/>
        <v>"%USERPROFILE%\Documents\GitHub\eaglep3\Utilities\RefineRTDCRunTimes.py" --tripid 311-27 --locoid 4020 --swversion DE.1.0.7.0 --startMP 204:504 --initTime 2016-08-28T01:44:08 --startdatetime 1969-12-31T23:00:00 --delay 1 --endMP 300:23299 --enddatetime 1969-12-31T23:00:00 --enforcementcount 0 &gt;&gt;C:\Users\stu\Documents\GitHub\eaglep3-reporting\EC\2016-08-27-refined-times.txt</v>
      </c>
      <c r="AI206" s="149" t="str">
        <f t="shared" si="194"/>
        <v>echo {"issue":{"subject":"","project_id":79,"tracker_id":40,"status_id":1,"priority_id":2,"assigned_to_id":23,"start_date":"1969-12-31","description":"","custom_fields":[{"id":1,"name":"Subdivision","value":"Other"},{"id":4,"name":"Milepost","value":"2.2795"},{"id":17,"name":"Train ID","value":"311-27"},{"id":16,"name":"Locomotive ID","value":"4020"},{"id":130,"name":"Impact","value":""},{"id":150,"name":"Time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323</v>
      </c>
      <c r="B207" s="7">
        <v>4027</v>
      </c>
      <c r="C207" s="24" t="s">
        <v>113</v>
      </c>
      <c r="D207" s="24" t="s">
        <v>133</v>
      </c>
      <c r="E207" s="15">
        <v>42609.10491898148</v>
      </c>
      <c r="F207" s="15">
        <v>42609.106990740744</v>
      </c>
      <c r="G207" s="7">
        <v>1</v>
      </c>
      <c r="H207" s="15" t="s">
        <v>204</v>
      </c>
      <c r="I207" s="15">
        <v>42609.113449074073</v>
      </c>
      <c r="J207" s="7">
        <v>0</v>
      </c>
      <c r="K207" s="132" t="str">
        <f t="shared" si="179"/>
        <v>4027/4028</v>
      </c>
      <c r="L207" s="24" t="str">
        <f>VLOOKUP(A207,'Trips&amp;Operators'!$C$1:$E$10000,3,FALSE)</f>
        <v>ARVIDSON</v>
      </c>
      <c r="M207" s="6">
        <f t="shared" si="180"/>
        <v>6.4583333296468481E-3</v>
      </c>
      <c r="N207" s="7">
        <f t="shared" si="191"/>
        <v>9.2999999946914613</v>
      </c>
      <c r="O207" s="7"/>
      <c r="P207" s="7"/>
      <c r="Q207" s="25"/>
      <c r="R207" s="25"/>
      <c r="S207" s="37">
        <f t="shared" si="181"/>
        <v>1</v>
      </c>
      <c r="T207" s="52" t="str">
        <f t="shared" si="182"/>
        <v>NorthBound</v>
      </c>
      <c r="U207" s="12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7" s="54" t="str">
        <f t="shared" si="184"/>
        <v>Y</v>
      </c>
      <c r="X207" s="120">
        <f t="shared" si="192"/>
        <v>2</v>
      </c>
      <c r="Y207" s="69">
        <f t="shared" si="185"/>
        <v>4.53E-2</v>
      </c>
      <c r="Z207" s="69">
        <f t="shared" si="186"/>
        <v>2.3306</v>
      </c>
      <c r="AA207" s="69">
        <f t="shared" si="187"/>
        <v>2.2852999999999999</v>
      </c>
      <c r="AB207" s="66" t="e">
        <f>VLOOKUP(A207,Enforcements!$C$7:$J$21,8,0)</f>
        <v>#N/A</v>
      </c>
      <c r="AC207" s="62" t="e">
        <f>VLOOKUP(A207,Enforcements!$C$7:$E$21,3,0)</f>
        <v>#N/A</v>
      </c>
      <c r="AD207" s="63" t="str">
        <f t="shared" si="188"/>
        <v>0313-26</v>
      </c>
      <c r="AE207" s="99" t="str">
        <f t="shared" si="195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07" s="96" t="str">
        <f t="shared" si="196"/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07" s="1" t="str">
        <f t="shared" si="189"/>
        <v>Other</v>
      </c>
      <c r="AH207" s="100" t="str">
        <f t="shared" si="193"/>
        <v>"%USERPROFILE%\Documents\GitHub\eaglep3\Utilities\RefineRTDCRunTimes.py" --tripid 313-26 --locoid 4027 --swversion DE.1.0.7.0 --startMP 204:453 --initTime 2016-08-27T02:31:05 --startdatetime 2016-08-27T02:34:04 --delay 1 --endMP 300:23306 --enddatetime 2016-08-27T02:43:22 --enforcementcount 0 &gt;&gt;C:\Users\stu\Documents\GitHub\eaglep3-reporting\EC\2016-08-27-refined-times.txt</v>
      </c>
      <c r="AI207" s="149" t="str">
        <f t="shared" si="194"/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323</v>
      </c>
      <c r="B208" s="7">
        <v>4027</v>
      </c>
      <c r="C208" s="24" t="s">
        <v>113</v>
      </c>
      <c r="D208" s="24" t="s">
        <v>133</v>
      </c>
      <c r="E208" s="15">
        <v>42609.10491898148</v>
      </c>
      <c r="F208" s="15">
        <v>42609.106990740744</v>
      </c>
      <c r="G208" s="7">
        <v>1</v>
      </c>
      <c r="H208" s="15" t="s">
        <v>204</v>
      </c>
      <c r="I208" s="15">
        <v>42609.113449074073</v>
      </c>
      <c r="J208" s="7">
        <v>0</v>
      </c>
      <c r="K208" s="132" t="str">
        <f t="shared" si="179"/>
        <v>4027/4028</v>
      </c>
      <c r="L208" s="24" t="str">
        <f>VLOOKUP(A208,'Trips&amp;Operators'!$C$1:$E$10000,3,FALSE)</f>
        <v>ARVIDSON</v>
      </c>
      <c r="M208" s="6">
        <f t="shared" si="180"/>
        <v>6.4583333296468481E-3</v>
      </c>
      <c r="N208" s="7">
        <f t="shared" si="191"/>
        <v>9.2999999946914613</v>
      </c>
      <c r="O208" s="7"/>
      <c r="P208" s="7"/>
      <c r="Q208" s="25"/>
      <c r="R208" s="25"/>
      <c r="S208" s="37">
        <f t="shared" si="181"/>
        <v>1</v>
      </c>
      <c r="T208" s="52" t="str">
        <f t="shared" si="182"/>
        <v>NorthBound</v>
      </c>
      <c r="U208" s="12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43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8" s="54" t="str">
        <f t="shared" si="184"/>
        <v>Y</v>
      </c>
      <c r="X208" s="120">
        <f t="shared" si="192"/>
        <v>0</v>
      </c>
      <c r="Y208" s="69">
        <f t="shared" si="185"/>
        <v>4.53E-2</v>
      </c>
      <c r="Z208" s="69">
        <f t="shared" si="186"/>
        <v>2.3306</v>
      </c>
      <c r="AA208" s="69">
        <f t="shared" si="187"/>
        <v>2.2852999999999999</v>
      </c>
      <c r="AB208" s="66" t="e">
        <f>VLOOKUP(A208,Enforcements!$C$7:$J$21,8,0)</f>
        <v>#N/A</v>
      </c>
      <c r="AC208" s="62" t="e">
        <f>VLOOKUP(A208,Enforcements!$C$7:$E$21,3,0)</f>
        <v>#N/A</v>
      </c>
      <c r="AD208" s="63" t="str">
        <f t="shared" si="188"/>
        <v>0313-26</v>
      </c>
      <c r="AE208" s="99" t="str">
        <f t="shared" si="195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08" s="96" t="str">
        <f t="shared" si="196"/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08" s="1" t="str">
        <f t="shared" si="189"/>
        <v>Other</v>
      </c>
      <c r="AH208" s="100" t="str">
        <f t="shared" si="193"/>
        <v>"%USERPROFILE%\Documents\GitHub\eaglep3\Utilities\RefineRTDCRunTimes.py" --tripid 313-26 --locoid 4027 --swversion DE.1.0.7.0 --startMP 204:453 --initTime 2016-08-27T02:31:05 --startdatetime 2016-08-27T02:34:04 --delay 1 --endMP 300:23306 --enddatetime 2016-08-27T02:43:22 --enforcementcount 0 &gt;&gt;C:\Users\stu\Documents\GitHub\eaglep3-reporting\EC\2016-08-27-refined-times.txt</v>
      </c>
      <c r="AI208" s="149" t="str">
        <f t="shared" si="194"/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323</v>
      </c>
      <c r="B209" s="7">
        <v>4027</v>
      </c>
      <c r="C209" s="24" t="s">
        <v>113</v>
      </c>
      <c r="D209" s="24" t="s">
        <v>133</v>
      </c>
      <c r="E209" s="15">
        <v>42609.10491898148</v>
      </c>
      <c r="F209" s="15">
        <v>42609.105925925927</v>
      </c>
      <c r="G209" s="7">
        <v>1</v>
      </c>
      <c r="H209" s="15" t="s">
        <v>204</v>
      </c>
      <c r="I209" s="15">
        <v>42609.115208333336</v>
      </c>
      <c r="J209" s="7">
        <v>0</v>
      </c>
      <c r="K209" s="132" t="str">
        <f t="shared" si="179"/>
        <v>4027/4028</v>
      </c>
      <c r="L209" s="24" t="str">
        <f>VLOOKUP(A209,'Trips&amp;Operators'!$C$1:$E$10000,3,FALSE)</f>
        <v>ARVIDSON</v>
      </c>
      <c r="M209" s="6">
        <f t="shared" si="180"/>
        <v>9.2824074090458453E-3</v>
      </c>
      <c r="N209" s="7">
        <f t="shared" si="191"/>
        <v>13.366666669026017</v>
      </c>
      <c r="O209" s="7"/>
      <c r="P209" s="7"/>
      <c r="Q209" s="25"/>
      <c r="R209" s="25"/>
      <c r="S209" s="37">
        <f t="shared" si="181"/>
        <v>1</v>
      </c>
      <c r="T209" s="52" t="str">
        <f t="shared" si="182"/>
        <v>NorthBound</v>
      </c>
      <c r="U209" s="12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https://search-rtdc-monitor-bjffxe2xuh6vdkpspy63sjmuny.us-east-1.es.amazonaws.com/_plugin/kibana/#/discover/Steve-Slow-Train-Analysis-(2080s-and-2083s)?_g=(refreshInterval:(display:Off,section:0,value:0),time:(from:'2016-08-27 01:31:05-0600',mode:absolute,to:'2016-08-27 03:45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4027%22')),sort:!(Time,asc))</v>
      </c>
      <c r="W209" s="54" t="str">
        <f t="shared" si="184"/>
        <v>Y</v>
      </c>
      <c r="X209" s="120">
        <f t="shared" si="192"/>
        <v>0</v>
      </c>
      <c r="Y209" s="69">
        <f t="shared" si="185"/>
        <v>4.53E-2</v>
      </c>
      <c r="Z209" s="69">
        <f t="shared" si="186"/>
        <v>2.3306</v>
      </c>
      <c r="AA209" s="69">
        <f t="shared" si="187"/>
        <v>2.2852999999999999</v>
      </c>
      <c r="AB209" s="66" t="e">
        <f>VLOOKUP(A209,Enforcements!$C$7:$J$21,8,0)</f>
        <v>#N/A</v>
      </c>
      <c r="AC209" s="62" t="e">
        <f>VLOOKUP(A209,Enforcements!$C$7:$E$21,3,0)</f>
        <v>#N/A</v>
      </c>
      <c r="AD209" s="63" t="str">
        <f t="shared" si="188"/>
        <v>0313-26</v>
      </c>
      <c r="AE209" s="99" t="str">
        <f t="shared" si="195"/>
        <v>aws s3 cp s3://rtdc.mdm.uploadarchive/RTDC4027/2016-08-27/ "%USERPROFILE%\AppData\Local\Temp\OnboardLogs"\RTDC4027\2016-08-27 --recursive &amp; "%USERPROFILE%\Documents\GitHub\mrs-test-scripts\Headless Mode &amp; Sideloading\WalkAndUnGZ.bat" "%USERPROFILE%\AppData\Local\Temp\OnboardLogs"\RTDC4027\2016-08-27 &amp; aws s3 cp s3://rtdc.mdm.uploadarchive/RTDC4027/2016-08-28/ "%USERPROFILE%\AppData\Local\Temp\OnboardLogs"\RTDC4027\2016-08-28 --recursive &amp; "%USERPROFILE%\Documents\GitHub\mrs-test-scripts\Headless Mode &amp; Sideloading\WalkAndUnGZ.bat" "%USERPROFILE%\AppData\Local\Temp\OnboardLogs"\RTDC4027\2016-08-28</v>
      </c>
      <c r="AF209" s="96" t="str">
        <f t="shared" si="196"/>
        <v>"C:\Program Files (x86)\AstroGrep\AstroGrep.exe" /spath="%USERPROFILE%\AppData\Local\Temp\OnboardLogs" /stypes="*4027*20160827*" /stext=" 08:.+((SYSTEM_STATE.+slice.+state.+changed )|(ment ac)|(system.+state.+changed )|(\|lc)|(penalty)|(\[timeout)|(PRM\|1\|D)|(kpr)|(kdp))" /e /r /s</v>
      </c>
      <c r="AG209" s="1" t="str">
        <f t="shared" si="189"/>
        <v>Other</v>
      </c>
      <c r="AH209" s="100" t="str">
        <f t="shared" ref="AH209:AH234" si="197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313-26 --locoid 4027 --swversion DE.1.0.7.0 --startMP 204:453 --initTime 2016-08-27T02:31:05 --startdatetime 2016-08-27T02:32:32 --delay 1 --endMP 300:23306 --enddatetime 2016-08-27T02:45:54 --enforcementcount 0 &gt;&gt;C:\Users\stu\Documents\GitHub\eaglep3-reporting\EC\2016-08-27-refined-times.txt</v>
      </c>
      <c r="AI209" s="149" t="str">
        <f t="shared" ref="AI209:AI234" si="198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AA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{"issue":{"subject":"","project_id":79,"tracker_id":40,"status_id":1,"priority_id":2,"assigned_to_id":23,"start_date":"2016-08-27","description":"","custom_fields":[{"id":1,"name":"Subdivision","value":"Other"},{"id":4,"name":"Milepost","value":"2.2853"},{"id":17,"name":"Train ID","value":"313-26"},{"id":16,"name":"Locomotive ID","value":"4027"},{"id":130,"name":"Impact","value":""},{"id":150,"name":"Time of Event (Mountain Time)","value":"02:45:54"},{"id":151,"name":"Denver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664</v>
      </c>
      <c r="B210" s="7">
        <v>4031</v>
      </c>
      <c r="C210" s="24" t="s">
        <v>113</v>
      </c>
      <c r="D210" s="24" t="s">
        <v>346</v>
      </c>
      <c r="E210" s="15">
        <v>42610.096250000002</v>
      </c>
      <c r="F210" s="15">
        <v>42610.09778935185</v>
      </c>
      <c r="G210" s="7">
        <v>1</v>
      </c>
      <c r="H210" s="15" t="s">
        <v>665</v>
      </c>
      <c r="I210" s="15">
        <v>42610.103831018518</v>
      </c>
      <c r="J210" s="7">
        <v>0</v>
      </c>
      <c r="K210" s="132" t="str">
        <f t="shared" si="179"/>
        <v>4031/4032</v>
      </c>
      <c r="L210" s="24" t="str">
        <f>VLOOKUP(A210,'Trips&amp;Operators'!$C$1:$E$10000,3,FALSE)</f>
        <v>STURGEON</v>
      </c>
      <c r="M210" s="6">
        <f t="shared" si="180"/>
        <v>6.0416666674427688E-3</v>
      </c>
      <c r="N210" s="7">
        <f t="shared" si="191"/>
        <v>8.7000000011175871</v>
      </c>
      <c r="O210" s="7"/>
      <c r="P210" s="7"/>
      <c r="Q210" s="25"/>
      <c r="R210" s="25"/>
      <c r="S210" s="37">
        <f t="shared" si="181"/>
        <v>1</v>
      </c>
      <c r="T210" s="52" t="str">
        <f t="shared" si="182"/>
        <v>NorthBound</v>
      </c>
      <c r="U210" s="12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https://search-rtdc-monitor-bjffxe2xuh6vdkpspy63sjmuny.us-east-1.es.amazonaws.com/_plugin/kibana/#/discover/Steve-Slow-Train-Analysis-(2080s-and-2083s)?_g=(refreshInterval:(display:Off,section:0,value:0),time:(from:'2016-08-28 01:18:36-0600',mode:absolute,to:'2016-08-28 03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0" s="54" t="str">
        <f t="shared" si="184"/>
        <v>Y</v>
      </c>
      <c r="X210" s="120">
        <f t="shared" si="192"/>
        <v>0</v>
      </c>
      <c r="Y210" s="69">
        <f t="shared" si="185"/>
        <v>4.82E-2</v>
      </c>
      <c r="Z210" s="69">
        <f t="shared" si="186"/>
        <v>2.3311999999999999</v>
      </c>
      <c r="AA210" s="69">
        <f t="shared" si="187"/>
        <v>2.2829999999999999</v>
      </c>
      <c r="AB210" s="66" t="e">
        <f>VLOOKUP(A210,Enforcements!$C$7:$J$21,8,0)</f>
        <v>#N/A</v>
      </c>
      <c r="AC210" s="62" t="e">
        <f>VLOOKUP(A210,Enforcements!$C$7:$E$21,3,0)</f>
        <v>#N/A</v>
      </c>
      <c r="AD210" s="63" t="str">
        <f t="shared" si="188"/>
        <v>0313-27</v>
      </c>
      <c r="AE210" s="99" t="str">
        <f t="shared" si="195"/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210" s="96" t="str">
        <f t="shared" si="196"/>
        <v>"C:\Program Files (x86)\AstroGrep\AstroGrep.exe" /spath="%USERPROFILE%\AppData\Local\Temp\OnboardLogs" /stypes="*4031*20160828*" /stext=" 08:.+((SYSTEM_STATE.+slice.+state.+changed )|(ment ac)|(system.+state.+changed )|(\|lc)|(penalty)|(\[timeout)|(PRM\|1\|D)|(kpr)|(kdp))" /e /r /s</v>
      </c>
      <c r="AG210" s="1" t="str">
        <f t="shared" si="189"/>
        <v>Other</v>
      </c>
      <c r="AH210" s="100" t="str">
        <f t="shared" si="197"/>
        <v>"%USERPROFILE%\Documents\GitHub\eaglep3\Utilities\RefineRTDCRunTimes.py" --tripid 313-27 --locoid 4031 --swversion DE.1.0.7.0 --startMP 204:482 --initTime 2016-08-28T02:18:36 --startdatetime 2016-08-28T02:20:49 --delay 1 --endMP 300:23312 --enddatetime 2016-08-28T02:29:31 --enforcementcount 0 &gt;&gt;C:\Users\stu\Documents\GitHub\eaglep3-reporting\EC\2016-08-27-refined-times.txt</v>
      </c>
      <c r="AI210" s="149" t="str">
        <f t="shared" si="198"/>
        <v>echo {"issue":{"subject":"","project_id":79,"tracker_id":40,"status_id":1,"priority_id":2,"assigned_to_id":23,"start_date":"2016-08-28","description":"","custom_fields":[{"id":1,"name":"Subdivision","value":"Other"},{"id":4,"name":"Milepost","value":"2.283"},{"id":17,"name":"Train ID","value":"313-27"},{"id":16,"name":"Locomotive ID","value":"4031"},{"id":130,"name":"Impact","value":""},{"id":150,"name":"Time of Event (Mountain Time)","value":"02:29:31"},{"id":151,"name":"Denver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664</v>
      </c>
      <c r="B211" s="7">
        <v>4031</v>
      </c>
      <c r="C211" s="24" t="s">
        <v>113</v>
      </c>
      <c r="D211" s="24" t="s">
        <v>346</v>
      </c>
      <c r="E211" s="15">
        <v>42610.096250000002</v>
      </c>
      <c r="F211" s="15">
        <v>42610.09778935185</v>
      </c>
      <c r="G211" s="7">
        <v>1</v>
      </c>
      <c r="H211" s="15" t="s">
        <v>665</v>
      </c>
      <c r="I211" s="15">
        <v>42610.103831018518</v>
      </c>
      <c r="J211" s="7">
        <v>0</v>
      </c>
      <c r="K211" s="132" t="str">
        <f t="shared" si="179"/>
        <v>4031/4032</v>
      </c>
      <c r="L211" s="24" t="str">
        <f>VLOOKUP(A211,'Trips&amp;Operators'!$C$1:$E$10000,3,FALSE)</f>
        <v>STURGEON</v>
      </c>
      <c r="M211" s="6">
        <f t="shared" si="180"/>
        <v>6.0416666674427688E-3</v>
      </c>
      <c r="N211" s="7">
        <f t="shared" si="191"/>
        <v>8.7000000011175871</v>
      </c>
      <c r="O211" s="7"/>
      <c r="P211" s="7"/>
      <c r="Q211" s="25"/>
      <c r="R211" s="25"/>
      <c r="S211" s="37">
        <f t="shared" si="181"/>
        <v>1</v>
      </c>
      <c r="T211" s="52" t="str">
        <f t="shared" si="182"/>
        <v>NorthBound</v>
      </c>
      <c r="U211" s="12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https://search-rtdc-monitor-bjffxe2xuh6vdkpspy63sjmuny.us-east-1.es.amazonaws.com/_plugin/kibana/#/discover/Steve-Slow-Train-Analysis-(2080s-and-2083s)?_g=(refreshInterval:(display:Off,section:0,value:0),time:(from:'2016-08-28 01:18:36-0600',mode:absolute,to:'2016-08-28 03:29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11" s="54" t="str">
        <f t="shared" si="184"/>
        <v>Y</v>
      </c>
      <c r="X211" s="120">
        <f t="shared" si="192"/>
        <v>0</v>
      </c>
      <c r="Y211" s="69">
        <f t="shared" si="185"/>
        <v>4.82E-2</v>
      </c>
      <c r="Z211" s="69">
        <f t="shared" si="186"/>
        <v>2.3311999999999999</v>
      </c>
      <c r="AA211" s="69">
        <f t="shared" si="187"/>
        <v>2.2829999999999999</v>
      </c>
      <c r="AB211" s="66" t="e">
        <f>VLOOKUP(A211,Enforcements!$C$7:$J$21,8,0)</f>
        <v>#N/A</v>
      </c>
      <c r="AC211" s="62" t="e">
        <f>VLOOKUP(A211,Enforcements!$C$7:$E$21,3,0)</f>
        <v>#N/A</v>
      </c>
      <c r="AD211" s="63" t="str">
        <f t="shared" si="188"/>
        <v>0313-27</v>
      </c>
      <c r="AE211" s="99" t="str">
        <f t="shared" si="195"/>
        <v>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 &amp; aws s3 cp s3://rtdc.mdm.uploadarchive/RTDC4031/2016-08-29/ "%USERPROFILE%\AppData\Local\Temp\OnboardLogs"\RTDC4031\2016-08-29 --recursive &amp; "%USERPROFILE%\Documents\GitHub\mrs-test-scripts\Headless Mode &amp; Sideloading\WalkAndUnGZ.bat" "%USERPROFILE%\AppData\Local\Temp\OnboardLogs"\RTDC4031\2016-08-29</v>
      </c>
      <c r="AF211" s="96" t="str">
        <f t="shared" si="196"/>
        <v>"C:\Program Files (x86)\AstroGrep\AstroGrep.exe" /spath="%USERPROFILE%\AppData\Local\Temp\OnboardLogs" /stypes="*4031*20160828*" /stext=" 08:.+((SYSTEM_STATE.+slice.+state.+changed )|(ment ac)|(system.+state.+changed )|(\|lc)|(penalty)|(\[timeout)|(PRM\|1\|D)|(kpr)|(kdp))" /e /r /s</v>
      </c>
      <c r="AG211" s="1" t="str">
        <f t="shared" si="189"/>
        <v>Other</v>
      </c>
      <c r="AH211" s="100" t="str">
        <f t="shared" si="197"/>
        <v>"%USERPROFILE%\Documents\GitHub\eaglep3\Utilities\RefineRTDCRunTimes.py" --tripid 313-27 --locoid 4031 --swversion DE.1.0.7.0 --startMP 204:482 --initTime 2016-08-28T02:18:36 --startdatetime 2016-08-28T02:20:49 --delay 1 --endMP 300:23312 --enddatetime 2016-08-28T02:29:31 --enforcementcount 0 &gt;&gt;C:\Users\stu\Documents\GitHub\eaglep3-reporting\EC\2016-08-27-refined-times.txt</v>
      </c>
      <c r="AI211" s="149" t="str">
        <f t="shared" si="198"/>
        <v>echo {"issue":{"subject":"","project_id":79,"tracker_id":40,"status_id":1,"priority_id":2,"assigned_to_id":23,"start_date":"2016-08-28","description":"","custom_fields":[{"id":1,"name":"Subdivision","value":"Other"},{"id":4,"name":"Milepost","value":"2.283"},{"id":17,"name":"Train ID","value":"313-27"},{"id":16,"name":"Locomotive ID","value":"4031"},{"id":130,"name":"Impact","value":""},{"id":150,"name":"Time of Event (Mountain Time)","value":"02:29:31"},{"id":151,"name":"Denver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281</v>
      </c>
      <c r="B212" s="7">
        <v>4042</v>
      </c>
      <c r="C212" s="24" t="s">
        <v>113</v>
      </c>
      <c r="D212" s="24" t="s">
        <v>178</v>
      </c>
      <c r="E212" s="15">
        <v>42608.093298611115</v>
      </c>
      <c r="F212" s="15">
        <v>42608.094050925924</v>
      </c>
      <c r="G212" s="7">
        <v>1</v>
      </c>
      <c r="H212" s="15" t="s">
        <v>280</v>
      </c>
      <c r="I212" s="15">
        <v>42608.103032407409</v>
      </c>
      <c r="J212" s="7">
        <v>0</v>
      </c>
      <c r="K212" s="132" t="str">
        <f t="shared" si="179"/>
        <v>4041/4042</v>
      </c>
      <c r="L212" s="24" t="e">
        <f>VLOOKUP(A212,'Trips&amp;Operators'!$C$1:$E$10000,3,FALSE)</f>
        <v>#N/A</v>
      </c>
      <c r="M212" s="6">
        <f t="shared" si="180"/>
        <v>8.9814814855344594E-3</v>
      </c>
      <c r="N212" s="7">
        <f t="shared" si="191"/>
        <v>12.933333339169621</v>
      </c>
      <c r="O212" s="7"/>
      <c r="P212" s="7"/>
      <c r="Q212" s="25"/>
      <c r="R212" s="25"/>
      <c r="S212" s="37">
        <f t="shared" si="181"/>
        <v>1</v>
      </c>
      <c r="T212" s="52" t="str">
        <f t="shared" si="182"/>
        <v>NorthBound</v>
      </c>
      <c r="U212" s="12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6" t="str">
        <f t="shared" si="183"/>
        <v>https://search-rtdc-monitor-bjffxe2xuh6vdkpspy63sjmuny.us-east-1.es.amazonaws.com/_plugin/kibana/#/discover/Steve-Slow-Train-Analysis-(2080s-and-2083s)?_g=(refreshInterval:(display:Off,section:0,value:0),time:(from:'2016-08-26 01:14:21-0600',mode:absolute,to:'2016-08-26 03:28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W212" s="54" t="str">
        <f t="shared" si="184"/>
        <v>Y</v>
      </c>
      <c r="X212" s="120">
        <f t="shared" si="192"/>
        <v>2</v>
      </c>
      <c r="Y212" s="69">
        <f t="shared" si="185"/>
        <v>4.7100000000000003E-2</v>
      </c>
      <c r="Z212" s="69">
        <f t="shared" si="186"/>
        <v>2.3304</v>
      </c>
      <c r="AA212" s="69">
        <f t="shared" si="187"/>
        <v>2.2833000000000001</v>
      </c>
      <c r="AB212" s="66" t="e">
        <f>VLOOKUP(A212,Enforcements!$C$7:$J$21,8,0)</f>
        <v>#N/A</v>
      </c>
      <c r="AC212" s="62" t="e">
        <f>VLOOKUP(A212,Enforcements!$C$7:$E$21,3,0)</f>
        <v>#N/A</v>
      </c>
      <c r="AD212" s="63" t="str">
        <f t="shared" si="188"/>
        <v>0315-25</v>
      </c>
      <c r="AE212" s="99" t="str">
        <f t="shared" si="195"/>
        <v>aws s3 cp s3://rtdc.mdm.uploadarchive/RTDC4042/2016-08-26/ "%USERPROFILE%\AppData\Local\Temp\OnboardLogs"\RTDC4042\2016-08-26 --recursive &amp; "%USERPROFILE%\Documents\GitHub\mrs-test-scripts\Headless Mode &amp; Sideloading\WalkAndUnGZ.bat" "%USERPROFILE%\AppData\Local\Temp\OnboardLogs"\RTDC4042\2016-08-26 &amp; 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</v>
      </c>
      <c r="AF212" s="96" t="str">
        <f t="shared" si="196"/>
        <v>"C:\Program Files (x86)\AstroGrep\AstroGrep.exe" /spath="%USERPROFILE%\AppData\Local\Temp\OnboardLogs" /stypes="*4042*20160826*" /stext=" 08:.+((SYSTEM_STATE.+slice.+state.+changed )|(ment ac)|(system.+state.+changed )|(\|lc)|(penalty)|(\[timeout)|(PRM\|1\|D)|(kpr)|(kdp))" /e /r /s</v>
      </c>
      <c r="AG212" s="1" t="str">
        <f t="shared" si="189"/>
        <v>Other</v>
      </c>
      <c r="AH212" s="100" t="str">
        <f t="shared" si="197"/>
        <v>"%USERPROFILE%\Documents\GitHub\eaglep3\Utilities\RefineRTDCRunTimes.py" --tripid 315-25 --locoid 4042 --swversion DE.1.0.7.0 --startMP 204:471 --initTime 2016-08-26T02:14:21 --startdatetime 2016-08-26T02:15:26 --delay 1 --endMP 300:23304 --enddatetime 2016-08-26T02:28:22 --enforcementcount 0 &gt;&gt;C:\Users\stu\Documents\GitHub\eaglep3-reporting\EC\2016-08-27-refined-times.txt</v>
      </c>
      <c r="AI212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{"issue":{"subject":"","project_id":79,"tracker_id":40,"status_id":1,"priority_id":2,"assigned_to_id":23,"start_date":"2016-08-26","description":"","custom_fields":[{"id":1,"name":"Subdivision","value":"Other"},{"id":4,"name":"Milepost","value":"2.2833"},{"id":17,"name":"Train ID","value":"315-25"},{"id":16,"name":"Locomotive ID","value":"4042"},{"id":130,"name":"Impact","value":""},{"id":150,"name":"Time of Event (Mountain Time)","value":"02:28:22"},{"id":151,"name":"Denver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666</v>
      </c>
      <c r="B213" s="7">
        <v>4003</v>
      </c>
      <c r="C213" s="24" t="s">
        <v>113</v>
      </c>
      <c r="D213" s="24" t="s">
        <v>125</v>
      </c>
      <c r="E213" s="15">
        <v>42609.114884259259</v>
      </c>
      <c r="F213" s="15">
        <v>25568.958333333332</v>
      </c>
      <c r="G213" s="7">
        <v>2</v>
      </c>
      <c r="H213" s="15" t="s">
        <v>357</v>
      </c>
      <c r="I213" s="15">
        <v>25568.958333333332</v>
      </c>
      <c r="J213" s="7">
        <v>0</v>
      </c>
      <c r="K213" s="132" t="str">
        <f t="shared" ref="K213:K234" si="199">IF(ISEVEN(B213),(B213-1)&amp;"/"&amp;B213,B213&amp;"/"&amp;(B213+1))</f>
        <v>4003/4004</v>
      </c>
      <c r="L213" s="24" t="str">
        <f>VLOOKUP(A213,'Trips&amp;Operators'!$C$1:$E$10000,3,FALSE)</f>
        <v>HAITHCOX</v>
      </c>
      <c r="M213" s="6">
        <f t="shared" ref="M213:M234" si="200">I213-F213</f>
        <v>0</v>
      </c>
      <c r="N213" s="7">
        <f t="shared" si="191"/>
        <v>0</v>
      </c>
      <c r="O213" s="7"/>
      <c r="P213" s="7"/>
      <c r="Q213" s="25"/>
      <c r="R213" s="25"/>
      <c r="S213" s="37">
        <f t="shared" ref="S213:S234" si="201">SUM(U213:U213)/IF(AG213="EC",12,1)</f>
        <v>1</v>
      </c>
      <c r="T213" s="52" t="str">
        <f t="shared" ref="T213:T234" si="202">IF(ISEVEN(LEFT(AD213,4)),"Southbound","NorthBound")</f>
        <v>NorthBound</v>
      </c>
      <c r="U213" s="12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6" t="str">
        <f t="shared" ref="V213:V234" si="203"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),filters:!(),index:'emp_*',interval:auto,query:"&amp;"(query_string:(analyze_wildcard:!t,query:'Message%5C%20ID:(2083%20OR%202080%20OR%201041%20OR%202003%20OR%201051)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https://search-rtdc-monitor-bjffxe2xuh6vdkpspy63sjmuny.us-east-1.es.amazonaws.com/_plugin/kibana/#/discover/Steve-Slow-Train-Analysis-(2080s-and-2083s)?_g=(refreshInterval:(display:Off,section:0,value:0),time:(from:'2016-08-27 01:45:26-0600',mode:absolute,to:'1970-01-01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3" s="54" t="str">
        <f t="shared" ref="W213:W234" si="204">IF(AA213&lt;IF(AG213="EC",23,5.65),"Y","N")</f>
        <v>Y</v>
      </c>
      <c r="X213" s="120">
        <f t="shared" si="192"/>
        <v>0</v>
      </c>
      <c r="Y213" s="69">
        <f t="shared" ref="Y213:Y234" si="205">RIGHT(D213,LEN(D213)-4)/10000</f>
        <v>4.5499999999999999E-2</v>
      </c>
      <c r="Z213" s="69">
        <f t="shared" ref="Z213:Z234" si="206">RIGHT(H213,LEN(H213)-4)/10000</f>
        <v>2.331</v>
      </c>
      <c r="AA213" s="69">
        <f t="shared" ref="AA213:AA244" si="207">ABS(Z213-Y213)</f>
        <v>2.2854999999999999</v>
      </c>
      <c r="AB213" s="66" t="e">
        <f>VLOOKUP(A213,Enforcements!$C$7:$J$21,8,0)</f>
        <v>#N/A</v>
      </c>
      <c r="AC213" s="62" t="e">
        <f>VLOOKUP(A213,Enforcements!$C$7:$E$21,3,0)</f>
        <v>#N/A</v>
      </c>
      <c r="AD213" s="63" t="str">
        <f t="shared" ref="AD213:AD234" si="208">IF(LEN(A213)=6,"0"&amp;A213,A213)</f>
        <v>0315-26</v>
      </c>
      <c r="AE213" s="99" t="str">
        <f t="shared" si="195"/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13" s="96" t="str">
        <f t="shared" si="196"/>
        <v>"C:\Program Files (x86)\AstroGrep\AstroGrep.exe" /spath="%USERPROFILE%\AppData\Local\Temp\OnboardLogs" /stypes="*4003*19700101*" /stext=" 05:.+((SYSTEM_STATE.+slice.+state.+changed )|(ment ac)|(system.+state.+changed )|(\|lc)|(penalty)|(\[timeout)|(PRM\|1\|D)|(kpr)|(kdp))" /e /r /s</v>
      </c>
      <c r="AG213" s="1" t="str">
        <f t="shared" ref="AG213:AG234" si="209">IFERROR(IF(VALUE(LEFT(AD213,2))&lt;=2,"EC",IF(OR(VALUE(LEFT(AD213,2))=8,VALUE(LEFT(AD213,2))=18),"NW","Other")),"Other")</f>
        <v>Other</v>
      </c>
      <c r="AH213" s="100" t="str">
        <f t="shared" si="197"/>
        <v>"%USERPROFILE%\Documents\GitHub\eaglep3\Utilities\RefineRTDCRunTimes.py" --tripid 315-26 --locoid 4003 --swversion DE.1.0.7.0 --startMP 204:455 --initTime 2016-08-27T02:45:26 --startdatetime 1969-12-31T23:00:00 --delay 2 --endMP 300:23310 --enddatetime 1969-12-31T23:00:00 --enforcementcount 0 &gt;&gt;C:\Users\stu\Documents\GitHub\eaglep3-reporting\EC\2016-08-27-refined-times.txt</v>
      </c>
      <c r="AI213" s="149" t="str">
        <f t="shared" si="198"/>
        <v>echo {"issue":{"subject":"","project_id":79,"tracker_id":40,"status_id":1,"priority_id":2,"assigned_to_id":23,"start_date":"1969-12-31","description":"","custom_fields":[{"id":1,"name":"Subdivision","value":"Other"},{"id":4,"name":"Milepost","value":"2.2855"},{"id":17,"name":"Train ID","value":"315-26"},{"id":16,"name":"Locomotive ID","value":"4003"},{"id":130,"name":"Impact","value":""},{"id":150,"name":"Time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666</v>
      </c>
      <c r="B214" s="7">
        <v>4003</v>
      </c>
      <c r="C214" s="24" t="s">
        <v>113</v>
      </c>
      <c r="D214" s="24" t="s">
        <v>125</v>
      </c>
      <c r="E214" s="15">
        <v>42609.114884259259</v>
      </c>
      <c r="F214" s="15">
        <v>25568.958333333332</v>
      </c>
      <c r="G214" s="7">
        <v>2</v>
      </c>
      <c r="H214" s="15" t="s">
        <v>357</v>
      </c>
      <c r="I214" s="15">
        <v>25568.958333333332</v>
      </c>
      <c r="J214" s="7">
        <v>0</v>
      </c>
      <c r="K214" s="132" t="str">
        <f t="shared" si="199"/>
        <v>4003/4004</v>
      </c>
      <c r="L214" s="24" t="str">
        <f>VLOOKUP(A214,'Trips&amp;Operators'!$C$1:$E$10000,3,FALSE)</f>
        <v>HAITHCOX</v>
      </c>
      <c r="M214" s="6">
        <f t="shared" si="200"/>
        <v>0</v>
      </c>
      <c r="N214" s="7">
        <f t="shared" si="191"/>
        <v>0</v>
      </c>
      <c r="O214" s="7"/>
      <c r="P214" s="7"/>
      <c r="Q214" s="25"/>
      <c r="R214" s="25"/>
      <c r="S214" s="37">
        <f t="shared" si="201"/>
        <v>1</v>
      </c>
      <c r="T214" s="52" t="str">
        <f t="shared" si="202"/>
        <v>NorthBound</v>
      </c>
      <c r="U214" s="12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01:45:26-0600',mode:absolute,to:'1970-01-01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4003%22')),sort:!(Time,asc))</v>
      </c>
      <c r="W214" s="54" t="str">
        <f t="shared" si="204"/>
        <v>Y</v>
      </c>
      <c r="X214" s="120">
        <f t="shared" si="192"/>
        <v>0</v>
      </c>
      <c r="Y214" s="69">
        <f t="shared" si="205"/>
        <v>4.5499999999999999E-2</v>
      </c>
      <c r="Z214" s="69">
        <f t="shared" si="206"/>
        <v>2.331</v>
      </c>
      <c r="AA214" s="69">
        <f t="shared" si="207"/>
        <v>2.2854999999999999</v>
      </c>
      <c r="AB214" s="66" t="e">
        <f>VLOOKUP(A214,Enforcements!$C$7:$J$21,8,0)</f>
        <v>#N/A</v>
      </c>
      <c r="AC214" s="62" t="e">
        <f>VLOOKUP(A214,Enforcements!$C$7:$E$21,3,0)</f>
        <v>#N/A</v>
      </c>
      <c r="AD214" s="63" t="str">
        <f t="shared" si="208"/>
        <v>0315-26</v>
      </c>
      <c r="AE214" s="99" t="str">
        <f t="shared" si="195"/>
        <v>aws s3 cp s3://rtdc.mdm.uploadarchive/RTDC4003/1969-12-31/ "%USERPROFILE%\AppData\Local\Temp\OnboardLogs"\RTDC4003\1969-12-31 --recursive &amp; "%USERPROFILE%\Documents\GitHub\mrs-test-scripts\Headless Mode &amp; Sideloading\WalkAndUnGZ.bat" "%USERPROFILE%\AppData\Local\Temp\OnboardLogs"\RTDC4003\1969-12-31 &amp; aws s3 cp s3://rtdc.mdm.uploadarchive/RTDC4003/1970-01-01/ "%USERPROFILE%\AppData\Local\Temp\OnboardLogs"\RTDC4003\1970-01-01 --recursive &amp; "%USERPROFILE%\Documents\GitHub\mrs-test-scripts\Headless Mode &amp; Sideloading\WalkAndUnGZ.bat" "%USERPROFILE%\AppData\Local\Temp\OnboardLogs"\RTDC4003\1970-01-01</v>
      </c>
      <c r="AF214" s="96" t="str">
        <f t="shared" si="196"/>
        <v>"C:\Program Files (x86)\AstroGrep\AstroGrep.exe" /spath="%USERPROFILE%\AppData\Local\Temp\OnboardLogs" /stypes="*4003*19700101*" /stext=" 05:.+((SYSTEM_STATE.+slice.+state.+changed )|(ment ac)|(system.+state.+changed )|(\|lc)|(penalty)|(\[timeout)|(PRM\|1\|D)|(kpr)|(kdp))" /e /r /s</v>
      </c>
      <c r="AG214" s="1" t="str">
        <f t="shared" si="209"/>
        <v>Other</v>
      </c>
      <c r="AH214" s="100" t="str">
        <f t="shared" si="197"/>
        <v>"%USERPROFILE%\Documents\GitHub\eaglep3\Utilities\RefineRTDCRunTimes.py" --tripid 315-26 --locoid 4003 --swversion DE.1.0.7.0 --startMP 204:455 --initTime 2016-08-27T02:45:26 --startdatetime 1969-12-31T23:00:00 --delay 2 --endMP 300:23310 --enddatetime 1969-12-31T23:00:00 --enforcementcount 0 &gt;&gt;C:\Users\stu\Documents\GitHub\eaglep3-reporting\EC\2016-08-27-refined-times.txt</v>
      </c>
      <c r="AI214" s="149" t="str">
        <f t="shared" si="198"/>
        <v>echo {"issue":{"subject":"","project_id":79,"tracker_id":40,"status_id":1,"priority_id":2,"assigned_to_id":23,"start_date":"1969-12-31","description":"","custom_fields":[{"id":1,"name":"Subdivision","value":"Other"},{"id":4,"name":"Milepost","value":"2.2855"},{"id":17,"name":"Train ID","value":"315-26"},{"id":16,"name":"Locomotive ID","value":"4003"},{"id":130,"name":"Impact","value":""},{"id":150,"name":"Time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304</v>
      </c>
      <c r="B215" s="7">
        <v>4020</v>
      </c>
      <c r="C215" s="24" t="s">
        <v>113</v>
      </c>
      <c r="D215" s="24" t="s">
        <v>375</v>
      </c>
      <c r="E215" s="15">
        <v>42608.353773148148</v>
      </c>
      <c r="F215" s="15">
        <v>42608.35460648148</v>
      </c>
      <c r="G215" s="7">
        <v>1</v>
      </c>
      <c r="H215" s="15" t="s">
        <v>376</v>
      </c>
      <c r="I215" s="15">
        <v>42608.363171296296</v>
      </c>
      <c r="J215" s="7">
        <v>0</v>
      </c>
      <c r="K215" s="132" t="str">
        <f t="shared" si="199"/>
        <v>4019/4020</v>
      </c>
      <c r="L215" s="24" t="e">
        <f>VLOOKUP(A215,'Trips&amp;Operators'!$C$1:$E$10000,3,FALSE)</f>
        <v>#N/A</v>
      </c>
      <c r="M215" s="6">
        <f t="shared" si="200"/>
        <v>8.5648148160544224E-3</v>
      </c>
      <c r="N215" s="7">
        <f t="shared" si="191"/>
        <v>12.333333335118368</v>
      </c>
      <c r="O215" s="7"/>
      <c r="P215" s="7"/>
      <c r="Q215" s="25"/>
      <c r="R215" s="25"/>
      <c r="S215" s="37">
        <f t="shared" si="201"/>
        <v>1</v>
      </c>
      <c r="T215" s="52" t="str">
        <f t="shared" si="202"/>
        <v>NorthBound</v>
      </c>
      <c r="U215" s="12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07:29:26-0600',mode:absolute,to:'2016-08-26 09:42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W215" s="54" t="str">
        <f t="shared" si="204"/>
        <v>Y</v>
      </c>
      <c r="X215" s="120">
        <f t="shared" si="192"/>
        <v>588</v>
      </c>
      <c r="Y215" s="69">
        <f t="shared" si="205"/>
        <v>0.1002</v>
      </c>
      <c r="Z215" s="69">
        <f t="shared" si="206"/>
        <v>2.4260000000000002</v>
      </c>
      <c r="AA215" s="69">
        <f t="shared" si="207"/>
        <v>2.3258000000000001</v>
      </c>
      <c r="AB215" s="66" t="e">
        <f>VLOOKUP(A215,Enforcements!$C$7:$J$21,8,0)</f>
        <v>#N/A</v>
      </c>
      <c r="AC215" s="62" t="e">
        <f>VLOOKUP(A215,Enforcements!$C$7:$E$21,3,0)</f>
        <v>#N/A</v>
      </c>
      <c r="AD215" s="63" t="str">
        <f t="shared" si="208"/>
        <v>0903-26</v>
      </c>
      <c r="AE215" s="99" t="str">
        <f t="shared" si="195"/>
        <v>aws s3 cp s3://rtdc.mdm.uploadarchive/RTDC4020/2016-08-26/ "%USERPROFILE%\AppData\Local\Temp\OnboardLogs"\RTDC4020\2016-08-26 --recursive &amp; "%USERPROFILE%\Documents\GitHub\mrs-test-scripts\Headless Mode &amp; Sideloading\WalkAndUnGZ.bat" "%USERPROFILE%\AppData\Local\Temp\OnboardLogs"\RTDC4020\2016-08-26 &amp; 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</v>
      </c>
      <c r="AF215" s="96" t="str">
        <f t="shared" si="196"/>
        <v>"C:\Program Files (x86)\AstroGrep\AstroGrep.exe" /spath="%USERPROFILE%\AppData\Local\Temp\OnboardLogs" /stypes="*4020*20160826*" /stext=" 14:.+((SYSTEM_STATE.+slice.+state.+changed )|(ment ac)|(system.+state.+changed )|(\|lc)|(penalty)|(\[timeout)|(PRM\|1\|D)|(kpr)|(kdp))" /e /r /s</v>
      </c>
      <c r="AG215" s="1" t="str">
        <f t="shared" si="209"/>
        <v>Other</v>
      </c>
      <c r="AH215" s="100" t="str">
        <f t="shared" si="197"/>
        <v>"%USERPROFILE%\Documents\GitHub\eaglep3\Utilities\RefineRTDCRunTimes.py" --tripid 903-26 --locoid 4020 --swversion DE.1.0.7.0 --startMP 204:1002 --initTime 2016-08-26T08:29:26 --startdatetime 2016-08-26T08:30:38 --delay 1 --endMP 300:24260 --enddatetime 2016-08-26T08:42:58 --enforcementcount 0 &gt;&gt;C:\Users\stu\Documents\GitHub\eaglep3-reporting\EC\2016-08-27-refined-times.txt</v>
      </c>
      <c r="AI215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{"issue":{"subject":"","project_id":79,"tracker_id":40,"status_id":1,"priority_id":2,"assigned_to_id":23,"start_date":"2016-08-26","description":"","custom_fields":[{"id":1,"name":"Subdivision","value":"Other"},{"id":4,"name":"Milepost","value":"2.3258"},{"id":17,"name":"Train ID","value":"903-26"},{"id":16,"name":"Locomotive ID","value":"4020"},{"id":130,"name":"Impact","value":""},{"id":150,"name":"Time of Event (Mountain Time)","value":"08:42:58"},{"id":151,"name":"Denver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306</v>
      </c>
      <c r="B216" s="7">
        <v>4019</v>
      </c>
      <c r="C216" s="24" t="s">
        <v>113</v>
      </c>
      <c r="D216" s="24" t="s">
        <v>377</v>
      </c>
      <c r="E216" s="15">
        <v>42608.63521990741</v>
      </c>
      <c r="F216" s="15">
        <v>42608.636608796296</v>
      </c>
      <c r="G216" s="7">
        <v>2</v>
      </c>
      <c r="H216" s="15" t="s">
        <v>378</v>
      </c>
      <c r="I216" s="15">
        <v>42608.63863425926</v>
      </c>
      <c r="J216" s="7">
        <v>0</v>
      </c>
      <c r="K216" s="132" t="str">
        <f t="shared" si="199"/>
        <v>4019/4020</v>
      </c>
      <c r="L216" s="24" t="e">
        <f>VLOOKUP(A216,'Trips&amp;Operators'!$C$1:$E$10000,3,FALSE)</f>
        <v>#N/A</v>
      </c>
      <c r="M216" s="6">
        <f t="shared" si="200"/>
        <v>2.0254629635019228E-3</v>
      </c>
      <c r="N216" s="7">
        <f t="shared" si="191"/>
        <v>2.9166666674427688</v>
      </c>
      <c r="O216" s="7"/>
      <c r="P216" s="7"/>
      <c r="Q216" s="25"/>
      <c r="R216" s="25"/>
      <c r="S216" s="37">
        <f t="shared" si="201"/>
        <v>0</v>
      </c>
      <c r="T216" s="52" t="str">
        <f t="shared" si="202"/>
        <v>Southbound</v>
      </c>
      <c r="U216" s="12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14:14:43-0600',mode:absolute,to:'2016-08-26 16:19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6" s="54" t="str">
        <f t="shared" si="204"/>
        <v>Y</v>
      </c>
      <c r="X216" s="120">
        <f t="shared" si="192"/>
        <v>1</v>
      </c>
      <c r="Y216" s="69">
        <f t="shared" si="205"/>
        <v>2.5442</v>
      </c>
      <c r="Z216" s="69">
        <f t="shared" si="206"/>
        <v>2.4401999999999999</v>
      </c>
      <c r="AA216" s="69">
        <f t="shared" si="207"/>
        <v>0.10400000000000009</v>
      </c>
      <c r="AB216" s="66" t="e">
        <f>VLOOKUP(A216,Enforcements!$C$7:$J$21,8,0)</f>
        <v>#N/A</v>
      </c>
      <c r="AC216" s="62" t="e">
        <f>VLOOKUP(A216,Enforcements!$C$7:$E$21,3,0)</f>
        <v>#N/A</v>
      </c>
      <c r="AD216" s="63" t="str">
        <f t="shared" si="208"/>
        <v>0904-26</v>
      </c>
      <c r="AE216" s="99" t="str">
        <f t="shared" si="195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16" s="96" t="str">
        <f t="shared" si="196"/>
        <v>"C:\Program Files (x86)\AstroGrep\AstroGrep.exe" /spath="%USERPROFILE%\AppData\Local\Temp\OnboardLogs" /stypes="*4019*20160826*" /stext=" 21:.+((SYSTEM_STATE.+slice.+state.+changed )|(ment ac)|(system.+state.+changed )|(\|lc)|(penalty)|(\[timeout)|(PRM\|1\|D)|(kpr)|(kdp))" /e /r /s</v>
      </c>
      <c r="AG216" s="1" t="str">
        <f t="shared" si="209"/>
        <v>Other</v>
      </c>
      <c r="AH216" s="100" t="str">
        <f t="shared" si="197"/>
        <v>"%USERPROFILE%\Documents\GitHub\eaglep3\Utilities\RefineRTDCRunTimes.py" --tripid 904-26 --locoid 4019 --swversion DE.1.0.7.0 --startMP 300:25442 --initTime 2016-08-26T15:14:43 --startdatetime 2016-08-26T15:16:43 --delay 2 --endMP 300:24402 --enddatetime 2016-08-26T15:19:38 --enforcementcount 0 &gt;&gt;C:\Users\stu\Documents\GitHub\eaglep3-reporting\EC\2016-08-27-refined-times.txt</v>
      </c>
      <c r="AI216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{"issue":{"subject":"","project_id":79,"tracker_id":40,"status_id":1,"priority_id":2,"assigned_to_id":23,"start_date":"2016-08-26","description":"","custom_fields":[{"id":1,"name":"Subdivision","value":"Other"},{"id":4,"name":"Milepost","value":"0.104"},{"id":17,"name":"Train ID","value":"904-26"},{"id":16,"name":"Locomotive ID","value":"4019"},{"id":130,"name":"Impact","value":""},{"id":150,"name":"Time of Event (Mountain Time)","value":"15:19:38"},{"id":151,"name":"Denver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312</v>
      </c>
      <c r="B217" s="7">
        <v>4019</v>
      </c>
      <c r="C217" s="24" t="s">
        <v>113</v>
      </c>
      <c r="D217" s="24" t="s">
        <v>379</v>
      </c>
      <c r="E217" s="15">
        <v>42608.797858796293</v>
      </c>
      <c r="F217" s="15">
        <v>42608.798657407409</v>
      </c>
      <c r="G217" s="7">
        <v>1</v>
      </c>
      <c r="H217" s="15" t="s">
        <v>380</v>
      </c>
      <c r="I217" s="15">
        <v>42608.80741898148</v>
      </c>
      <c r="J217" s="7">
        <v>0</v>
      </c>
      <c r="K217" s="132" t="str">
        <f t="shared" si="199"/>
        <v>4019/4020</v>
      </c>
      <c r="L217" s="24" t="e">
        <f>VLOOKUP(A217,'Trips&amp;Operators'!$C$1:$E$10000,3,FALSE)</f>
        <v>#N/A</v>
      </c>
      <c r="M217" s="6">
        <f t="shared" si="200"/>
        <v>8.7615740703768097E-3</v>
      </c>
      <c r="N217" s="7">
        <f t="shared" si="191"/>
        <v>12.616666661342606</v>
      </c>
      <c r="O217" s="7"/>
      <c r="P217" s="7"/>
      <c r="Q217" s="25"/>
      <c r="R217" s="25"/>
      <c r="S217" s="37">
        <f t="shared" si="201"/>
        <v>0</v>
      </c>
      <c r="T217" s="52" t="str">
        <f t="shared" si="202"/>
        <v>Southbound</v>
      </c>
      <c r="U217" s="12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18:08:55-0600',mode:absolute,to:'2016-08-26 20:22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W217" s="54" t="str">
        <f t="shared" si="204"/>
        <v>Y</v>
      </c>
      <c r="X217" s="120">
        <f t="shared" si="192"/>
        <v>2</v>
      </c>
      <c r="Y217" s="69">
        <f t="shared" si="205"/>
        <v>5.8634000000000004</v>
      </c>
      <c r="Z217" s="69">
        <f t="shared" si="206"/>
        <v>2.8786</v>
      </c>
      <c r="AA217" s="69">
        <f t="shared" si="207"/>
        <v>2.9848000000000003</v>
      </c>
      <c r="AB217" s="66" t="e">
        <f>VLOOKUP(A217,Enforcements!$C$7:$J$21,8,0)</f>
        <v>#N/A</v>
      </c>
      <c r="AC217" s="62" t="e">
        <f>VLOOKUP(A217,Enforcements!$C$7:$E$21,3,0)</f>
        <v>#N/A</v>
      </c>
      <c r="AD217" s="63" t="str">
        <f t="shared" si="208"/>
        <v>0906-26</v>
      </c>
      <c r="AE217" s="99" t="str">
        <f t="shared" si="195"/>
        <v>aws s3 cp s3://rtdc.mdm.uploadarchive/RTDC4019/2016-08-26/ "%USERPROFILE%\AppData\Local\Temp\OnboardLogs"\RTDC4019\2016-08-26 --recursive &amp; "%USERPROFILE%\Documents\GitHub\mrs-test-scripts\Headless Mode &amp; Sideloading\WalkAndUnGZ.bat" "%USERPROFILE%\AppData\Local\Temp\OnboardLogs"\RTDC4019\2016-08-26 &amp; 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</v>
      </c>
      <c r="AF217" s="96" t="str">
        <f t="shared" si="196"/>
        <v>"C:\Program Files (x86)\AstroGrep\AstroGrep.exe" /spath="%USERPROFILE%\AppData\Local\Temp\OnboardLogs" /stypes="*4019*20160827*" /stext=" 01:.+((SYSTEM_STATE.+slice.+state.+changed )|(ment ac)|(system.+state.+changed )|(\|lc)|(penalty)|(\[timeout)|(PRM\|1\|D)|(kpr)|(kdp))" /e /r /s</v>
      </c>
      <c r="AG217" s="1" t="str">
        <f t="shared" si="209"/>
        <v>Other</v>
      </c>
      <c r="AH217" s="100" t="str">
        <f t="shared" si="197"/>
        <v>"%USERPROFILE%\Documents\GitHub\eaglep3\Utilities\RefineRTDCRunTimes.py" --tripid 906-26 --locoid 4019 --swversion DE.1.0.7.0 --startMP 300:58634 --initTime 2016-08-26T19:08:55 --startdatetime 2016-08-26T19:10:04 --delay 1 --endMP 300:28786 --enddatetime 2016-08-26T19:22:41 --enforcementcount 0 &gt;&gt;C:\Users\stu\Documents\GitHub\eaglep3-reporting\EC\2016-08-27-refined-times.txt</v>
      </c>
      <c r="AI217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{"issue":{"subject":"","project_id":79,"tracker_id":40,"status_id":1,"priority_id":2,"assigned_to_id":23,"start_date":"2016-08-26","description":"","custom_fields":[{"id":1,"name":"Subdivision","value":"Other"},{"id":4,"name":"Milepost","value":"2.9848"},{"id":17,"name":"Train ID","value":"906-26"},{"id":16,"name":"Locomotive ID","value":"4019"},{"id":130,"name":"Impact","value":""},{"id":150,"name":"Time of Event (Mountain Time)","value":"19:22:41"},{"id":151,"name":"Denver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315</v>
      </c>
      <c r="B218" s="7">
        <v>4012</v>
      </c>
      <c r="C218" s="24" t="s">
        <v>113</v>
      </c>
      <c r="D218" s="24" t="s">
        <v>381</v>
      </c>
      <c r="E218" s="15">
        <v>42608.941828703704</v>
      </c>
      <c r="F218" s="15">
        <v>42608.942615740743</v>
      </c>
      <c r="G218" s="7">
        <v>1</v>
      </c>
      <c r="H218" s="15" t="s">
        <v>382</v>
      </c>
      <c r="I218" s="15">
        <v>42608.94803240741</v>
      </c>
      <c r="J218" s="7">
        <v>0</v>
      </c>
      <c r="K218" s="132" t="str">
        <f t="shared" si="199"/>
        <v>4011/4012</v>
      </c>
      <c r="L218" s="24" t="e">
        <f>VLOOKUP(A218,'Trips&amp;Operators'!$C$1:$E$10000,3,FALSE)</f>
        <v>#N/A</v>
      </c>
      <c r="M218" s="6">
        <f t="shared" si="200"/>
        <v>5.4166666668606922E-3</v>
      </c>
      <c r="N218" s="7">
        <f t="shared" si="191"/>
        <v>7.8000000002793968</v>
      </c>
      <c r="O218" s="7"/>
      <c r="P218" s="7"/>
      <c r="Q218" s="25"/>
      <c r="R218" s="25"/>
      <c r="S218" s="37">
        <f t="shared" si="201"/>
        <v>0</v>
      </c>
      <c r="T218" s="52" t="str">
        <f t="shared" si="202"/>
        <v>Southbound</v>
      </c>
      <c r="U218" s="12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21:36:14-0600',mode:absolute,to:'2016-08-26 23:45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18" s="54" t="str">
        <f t="shared" si="204"/>
        <v>Y</v>
      </c>
      <c r="X218" s="120">
        <f t="shared" si="192"/>
        <v>2</v>
      </c>
      <c r="Y218" s="69">
        <f t="shared" si="205"/>
        <v>5.8647</v>
      </c>
      <c r="Z218" s="69">
        <f t="shared" si="206"/>
        <v>2.1575000000000002</v>
      </c>
      <c r="AA218" s="69">
        <f t="shared" si="207"/>
        <v>3.7071999999999998</v>
      </c>
      <c r="AB218" s="66" t="e">
        <f>VLOOKUP(A218,Enforcements!$C$7:$J$21,8,0)</f>
        <v>#N/A</v>
      </c>
      <c r="AC218" s="62" t="e">
        <f>VLOOKUP(A218,Enforcements!$C$7:$E$21,3,0)</f>
        <v>#N/A</v>
      </c>
      <c r="AD218" s="63" t="str">
        <f t="shared" si="208"/>
        <v>0908-26</v>
      </c>
      <c r="AE218" s="99" t="str">
        <f t="shared" si="195"/>
        <v>aws s3 cp s3://rtdc.mdm.uploadarchive/RTDC4012/2016-08-26/ "%USERPROFILE%\AppData\Local\Temp\OnboardLogs"\RTDC4012\2016-08-26 --recursive &amp; "%USERPROFILE%\Documents\GitHub\mrs-test-scripts\Headless Mode &amp; Sideloading\WalkAndUnGZ.bat" "%USERPROFILE%\AppData\Local\Temp\OnboardLogs"\RTDC4012\2016-08-26 &amp; 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</v>
      </c>
      <c r="AF218" s="96" t="str">
        <f t="shared" si="196"/>
        <v>"C:\Program Files (x86)\AstroGrep\AstroGrep.exe" /spath="%USERPROFILE%\AppData\Local\Temp\OnboardLogs" /stypes="*4012*20160827*" /stext=" 04:.+((SYSTEM_STATE.+slice.+state.+changed )|(ment ac)|(system.+state.+changed )|(\|lc)|(penalty)|(\[timeout)|(PRM\|1\|D)|(kpr)|(kdp))" /e /r /s</v>
      </c>
      <c r="AG218" s="1" t="str">
        <f t="shared" si="209"/>
        <v>Other</v>
      </c>
      <c r="AH218" s="100" t="str">
        <f t="shared" si="197"/>
        <v>"%USERPROFILE%\Documents\GitHub\eaglep3\Utilities\RefineRTDCRunTimes.py" --tripid 908-26 --locoid 4012 --swversion DE.1.0.7.0 --startMP 300:58647 --initTime 2016-08-26T22:36:14 --startdatetime 2016-08-26T22:37:22 --delay 1 --endMP 300:21575 --enddatetime 2016-08-26T22:45:10 --enforcementcount 0 &gt;&gt;C:\Users\stu\Documents\GitHub\eaglep3-reporting\EC\2016-08-27-refined-times.txt</v>
      </c>
      <c r="AI218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{"issue":{"subject":"","project_id":79,"tracker_id":40,"status_id":1,"priority_id":2,"assigned_to_id":23,"start_date":"2016-08-26","description":"","custom_fields":[{"id":1,"name":"Subdivision","value":"Other"},{"id":4,"name":"Milepost","value":"3.7072"},{"id":17,"name":"Train ID","value":"908-26"},{"id":16,"name":"Locomotive ID","value":"4012"},{"id":130,"name":"Impact","value":""},{"id":150,"name":"Time of Event (Mountain Time)","value":"22:45:10"},{"id":151,"name":"Denver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585</v>
      </c>
      <c r="B219" s="7">
        <v>4008</v>
      </c>
      <c r="C219" s="24" t="s">
        <v>113</v>
      </c>
      <c r="D219" s="24" t="s">
        <v>268</v>
      </c>
      <c r="E219" s="15">
        <v>42609.942164351851</v>
      </c>
      <c r="F219" s="15">
        <v>42609.943865740737</v>
      </c>
      <c r="G219" s="7">
        <v>1</v>
      </c>
      <c r="H219" s="15" t="s">
        <v>586</v>
      </c>
      <c r="I219" s="15">
        <v>42609.948298611111</v>
      </c>
      <c r="J219" s="7">
        <v>0</v>
      </c>
      <c r="K219" s="132" t="str">
        <f t="shared" si="199"/>
        <v>4007/4008</v>
      </c>
      <c r="L219" s="24" t="str">
        <f>VLOOKUP(A219,'Trips&amp;Operators'!$C$1:$E$10000,3,FALSE)</f>
        <v>DE LA ROSA</v>
      </c>
      <c r="M219" s="6">
        <f t="shared" si="200"/>
        <v>4.432870373420883E-3</v>
      </c>
      <c r="N219" s="7">
        <f t="shared" si="191"/>
        <v>6.3833333377260715</v>
      </c>
      <c r="O219" s="7"/>
      <c r="P219" s="7"/>
      <c r="Q219" s="25"/>
      <c r="R219" s="25"/>
      <c r="S219" s="37">
        <f t="shared" si="201"/>
        <v>0</v>
      </c>
      <c r="T219" s="52" t="str">
        <f t="shared" si="202"/>
        <v>Southbound</v>
      </c>
      <c r="U219" s="12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21:36:43-0600',mode:absolute,to:'2016-08-27 23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19" s="54" t="str">
        <f t="shared" si="204"/>
        <v>Y</v>
      </c>
      <c r="X219" s="120">
        <f t="shared" si="192"/>
        <v>994</v>
      </c>
      <c r="Y219" s="69">
        <f t="shared" si="205"/>
        <v>5.8625999999999996</v>
      </c>
      <c r="Z219" s="69">
        <f t="shared" si="206"/>
        <v>2.1511</v>
      </c>
      <c r="AA219" s="69">
        <f t="shared" si="207"/>
        <v>3.7114999999999996</v>
      </c>
      <c r="AB219" s="66" t="e">
        <f>VLOOKUP(A219,Enforcements!$C$7:$J$21,8,0)</f>
        <v>#N/A</v>
      </c>
      <c r="AC219" s="62" t="e">
        <f>VLOOKUP(A219,Enforcements!$C$7:$E$21,3,0)</f>
        <v>#N/A</v>
      </c>
      <c r="AD219" s="63" t="str">
        <f t="shared" si="208"/>
        <v>1902-27</v>
      </c>
      <c r="AE219" s="99" t="str">
        <f t="shared" si="195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219" s="96" t="str">
        <f t="shared" si="196"/>
        <v>"C:\Program Files (x86)\AstroGrep\AstroGrep.exe" /spath="%USERPROFILE%\AppData\Local\Temp\OnboardLogs" /stypes="*4008*20160828*" /stext=" 04:.+((SYSTEM_STATE.+slice.+state.+changed )|(ment ac)|(system.+state.+changed )|(\|lc)|(penalty)|(\[timeout)|(PRM\|1\|D)|(kpr)|(kdp))" /e /r /s</v>
      </c>
      <c r="AG219" s="1" t="str">
        <f t="shared" si="209"/>
        <v>Other</v>
      </c>
      <c r="AH219" s="100" t="str">
        <f t="shared" si="197"/>
        <v>"%USERPROFILE%\Documents\GitHub\eaglep3\Utilities\RefineRTDCRunTimes.py" --tripid 1902-27 --locoid 4008 --swversion DE.1.0.7.0 --startMP 300:58626 --initTime 2016-08-27T22:36:43 --startdatetime 2016-08-27T22:39:10 --delay 1 --endMP 300:21511 --enddatetime 2016-08-27T22:45:33 --enforcementcount 0 &gt;&gt;C:\Users\stu\Documents\GitHub\eaglep3-reporting\EC\2016-08-27-refined-times.txt</v>
      </c>
      <c r="AI219" s="149" t="str">
        <f t="shared" si="198"/>
        <v>echo {"issue":{"subject":"","project_id":79,"tracker_id":40,"status_id":1,"priority_id":2,"assigned_to_id":23,"start_date":"2016-08-27","description":"","custom_fields":[{"id":1,"name":"Subdivision","value":"Other"},{"id":4,"name":"Milepost","value":"3.7115"},{"id":17,"name":"Train ID","value":"1902-27"},{"id":16,"name":"Locomotive ID","value":"4008"},{"id":130,"name":"Impact","value":""},{"id":150,"name":"Time of Event (Mountain Time)","value":"22:45:33"},{"id":151,"name":"Denver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585</v>
      </c>
      <c r="B220" s="7">
        <v>4008</v>
      </c>
      <c r="C220" s="24" t="s">
        <v>113</v>
      </c>
      <c r="D220" s="24" t="s">
        <v>268</v>
      </c>
      <c r="E220" s="15">
        <v>42609.942164351851</v>
      </c>
      <c r="F220" s="15">
        <v>42609.943865740737</v>
      </c>
      <c r="G220" s="7">
        <v>1</v>
      </c>
      <c r="H220" s="15" t="s">
        <v>586</v>
      </c>
      <c r="I220" s="15">
        <v>42609.948298611111</v>
      </c>
      <c r="J220" s="7">
        <v>0</v>
      </c>
      <c r="K220" s="132" t="str">
        <f t="shared" si="199"/>
        <v>4007/4008</v>
      </c>
      <c r="L220" s="24" t="str">
        <f>VLOOKUP(A220,'Trips&amp;Operators'!$C$1:$E$10000,3,FALSE)</f>
        <v>DE LA ROSA</v>
      </c>
      <c r="M220" s="6">
        <f t="shared" si="200"/>
        <v>4.432870373420883E-3</v>
      </c>
      <c r="N220" s="7">
        <f t="shared" si="191"/>
        <v>6.3833333377260715</v>
      </c>
      <c r="O220" s="7"/>
      <c r="P220" s="7"/>
      <c r="Q220" s="25"/>
      <c r="R220" s="25"/>
      <c r="S220" s="37">
        <f t="shared" si="201"/>
        <v>0</v>
      </c>
      <c r="T220" s="52" t="str">
        <f t="shared" si="202"/>
        <v>Southbound</v>
      </c>
      <c r="U220" s="12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21:36:43-0600',mode:absolute,to:'2016-08-27 23:45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W220" s="54" t="str">
        <f t="shared" si="204"/>
        <v>Y</v>
      </c>
      <c r="X220" s="120">
        <f t="shared" si="192"/>
        <v>0</v>
      </c>
      <c r="Y220" s="69">
        <f t="shared" si="205"/>
        <v>5.8625999999999996</v>
      </c>
      <c r="Z220" s="69">
        <f t="shared" si="206"/>
        <v>2.1511</v>
      </c>
      <c r="AA220" s="69">
        <f t="shared" si="207"/>
        <v>3.7114999999999996</v>
      </c>
      <c r="AB220" s="66" t="e">
        <f>VLOOKUP(A220,Enforcements!$C$7:$J$21,8,0)</f>
        <v>#N/A</v>
      </c>
      <c r="AC220" s="62" t="e">
        <f>VLOOKUP(A220,Enforcements!$C$7:$E$21,3,0)</f>
        <v>#N/A</v>
      </c>
      <c r="AD220" s="63" t="str">
        <f t="shared" si="208"/>
        <v>1902-27</v>
      </c>
      <c r="AE220" s="99" t="str">
        <f t="shared" si="195"/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AF220" s="96" t="str">
        <f t="shared" si="196"/>
        <v>"C:\Program Files (x86)\AstroGrep\AstroGrep.exe" /spath="%USERPROFILE%\AppData\Local\Temp\OnboardLogs" /stypes="*4008*20160828*" /stext=" 04:.+((SYSTEM_STATE.+slice.+state.+changed )|(ment ac)|(system.+state.+changed )|(\|lc)|(penalty)|(\[timeout)|(PRM\|1\|D)|(kpr)|(kdp))" /e /r /s</v>
      </c>
      <c r="AG220" s="1" t="str">
        <f t="shared" si="209"/>
        <v>Other</v>
      </c>
      <c r="AH220" s="100" t="str">
        <f t="shared" si="197"/>
        <v>"%USERPROFILE%\Documents\GitHub\eaglep3\Utilities\RefineRTDCRunTimes.py" --tripid 1902-27 --locoid 4008 --swversion DE.1.0.7.0 --startMP 300:58626 --initTime 2016-08-27T22:36:43 --startdatetime 2016-08-27T22:39:10 --delay 1 --endMP 300:21511 --enddatetime 2016-08-27T22:45:33 --enforcementcount 0 &gt;&gt;C:\Users\stu\Documents\GitHub\eaglep3-reporting\EC\2016-08-27-refined-times.txt</v>
      </c>
      <c r="AI220" s="149" t="str">
        <f t="shared" si="198"/>
        <v>echo {"issue":{"subject":"","project_id":79,"tracker_id":40,"status_id":1,"priority_id":2,"assigned_to_id":23,"start_date":"2016-08-27","description":"","custom_fields":[{"id":1,"name":"Subdivision","value":"Other"},{"id":4,"name":"Milepost","value":"3.7115"},{"id":17,"name":"Train ID","value":"1902-27"},{"id":16,"name":"Locomotive ID","value":"4008"},{"id":130,"name":"Impact","value":""},{"id":150,"name":"Time of Event (Mountain Time)","value":"22:45:33"},{"id":151,"name":"Denver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667</v>
      </c>
      <c r="B221" s="7">
        <v>4012</v>
      </c>
      <c r="C221" s="24" t="s">
        <v>113</v>
      </c>
      <c r="D221" s="24" t="s">
        <v>360</v>
      </c>
      <c r="E221" s="15">
        <v>42609.826331018521</v>
      </c>
      <c r="F221" s="15">
        <v>42609.835243055553</v>
      </c>
      <c r="G221" s="7">
        <v>11</v>
      </c>
      <c r="H221" s="15" t="s">
        <v>668</v>
      </c>
      <c r="I221" s="15">
        <v>42609.839479166665</v>
      </c>
      <c r="J221" s="7">
        <v>0</v>
      </c>
      <c r="K221" s="132" t="str">
        <f t="shared" si="199"/>
        <v>4011/4012</v>
      </c>
      <c r="L221" s="24" t="str">
        <f>VLOOKUP(A221,'Trips&amp;Operators'!$C$1:$E$10000,3,FALSE)</f>
        <v>YANAI</v>
      </c>
      <c r="M221" s="6">
        <f t="shared" si="200"/>
        <v>4.2361111118225381E-3</v>
      </c>
      <c r="N221" s="7">
        <f t="shared" si="191"/>
        <v>6.1000000010244548</v>
      </c>
      <c r="O221" s="7"/>
      <c r="P221" s="7"/>
      <c r="Q221" s="25"/>
      <c r="R221" s="25"/>
      <c r="S221" s="37">
        <f t="shared" si="201"/>
        <v>0</v>
      </c>
      <c r="T221" s="52" t="e">
        <f t="shared" si="202"/>
        <v>#VALUE!</v>
      </c>
      <c r="U221" s="12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18:49:55-0600',mode:absolute,to:'2016-08-27 21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21" s="54" t="str">
        <f t="shared" si="204"/>
        <v>Y</v>
      </c>
      <c r="X221" s="120" t="e">
        <f t="shared" si="192"/>
        <v>#VALUE!</v>
      </c>
      <c r="Y221" s="69">
        <f t="shared" si="205"/>
        <v>2.3346</v>
      </c>
      <c r="Z221" s="69">
        <f t="shared" si="206"/>
        <v>0.19470000000000001</v>
      </c>
      <c r="AA221" s="69">
        <f t="shared" si="207"/>
        <v>2.1398999999999999</v>
      </c>
      <c r="AB221" s="66" t="e">
        <f>VLOOKUP(A221,Enforcements!$C$7:$J$21,8,0)</f>
        <v>#N/A</v>
      </c>
      <c r="AC221" s="62" t="e">
        <f>VLOOKUP(A221,Enforcements!$C$7:$E$21,3,0)</f>
        <v>#N/A</v>
      </c>
      <c r="AD221" s="63" t="str">
        <f t="shared" si="208"/>
        <v>60-27</v>
      </c>
      <c r="AE221" s="99" t="str">
        <f t="shared" si="195"/>
        <v>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 &amp; aws s3 cp s3://rtdc.mdm.uploadarchive/RTDC4012/2016-08-28/ "%USERPROFILE%\AppData\Local\Temp\OnboardLogs"\RTDC4012\2016-08-28 --recursive &amp; "%USERPROFILE%\Documents\GitHub\mrs-test-scripts\Headless Mode &amp; Sideloading\WalkAndUnGZ.bat" "%USERPROFILE%\AppData\Local\Temp\OnboardLogs"\RTDC4012\2016-08-28</v>
      </c>
      <c r="AF221" s="96" t="str">
        <f t="shared" si="196"/>
        <v>"C:\Program Files (x86)\AstroGrep\AstroGrep.exe" /spath="%USERPROFILE%\AppData\Local\Temp\OnboardLogs" /stypes="*4012*20160828*" /stext=" 02:.+((SYSTEM_STATE.+slice.+state.+changed )|(ment ac)|(system.+state.+changed )|(\|lc)|(penalty)|(\[timeout)|(PRM\|1\|D)|(kpr)|(kdp))" /e /r /s</v>
      </c>
      <c r="AG221" s="1" t="str">
        <f t="shared" si="209"/>
        <v>Other</v>
      </c>
      <c r="AH221" s="100" t="str">
        <f t="shared" si="197"/>
        <v>"%USERPROFILE%\Documents\GitHub\eaglep3\Utilities\RefineRTDCRunTimes.py" --tripid 60-27 --locoid 4012 --swversion DE.1.0.7.0 --startMP 300:23346 --initTime 2016-08-27T19:49:55 --startdatetime 2016-08-27T20:02:45 --delay 11 --endMP 204:1947 --enddatetime 2016-08-27T20:08:51 --enforcementcount 0 &gt;&gt;C:\Users\stu\Documents\GitHub\eaglep3-reporting\EC\2016-08-27-refined-times.txt</v>
      </c>
      <c r="AI221" s="149" t="str">
        <f t="shared" si="198"/>
        <v>echo {"issue":{"subject":"","project_id":79,"tracker_id":40,"status_id":1,"priority_id":2,"assigned_to_id":23,"start_date":"2016-08-27","description":"","custom_fields":[{"id":1,"name":"Subdivision","value":"Other"},{"id":4,"name":"Milepost","value":"2.1399"},{"id":17,"name":"Train ID","value":"60-27"},{"id":16,"name":"Locomotive ID","value":"4012"},{"id":130,"name":"Impact","value":""},{"id":150,"name":"Time of Event (Mountain Time)","value":"20:08:51"},{"id":151,"name":"Denver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667</v>
      </c>
      <c r="B222" s="7">
        <v>4012</v>
      </c>
      <c r="C222" s="24" t="s">
        <v>113</v>
      </c>
      <c r="D222" s="24" t="s">
        <v>360</v>
      </c>
      <c r="E222" s="15">
        <v>42609.826331018521</v>
      </c>
      <c r="F222" s="15">
        <v>42609.835243055553</v>
      </c>
      <c r="G222" s="7">
        <v>11</v>
      </c>
      <c r="H222" s="15" t="s">
        <v>668</v>
      </c>
      <c r="I222" s="15">
        <v>42609.839479166665</v>
      </c>
      <c r="J222" s="7">
        <v>0</v>
      </c>
      <c r="K222" s="132" t="str">
        <f t="shared" si="199"/>
        <v>4011/4012</v>
      </c>
      <c r="L222" s="24" t="str">
        <f>VLOOKUP(A222,'Trips&amp;Operators'!$C$1:$E$10000,3,FALSE)</f>
        <v>YANAI</v>
      </c>
      <c r="M222" s="6">
        <f t="shared" si="200"/>
        <v>4.2361111118225381E-3</v>
      </c>
      <c r="N222" s="7">
        <f t="shared" si="191"/>
        <v>6.1000000010244548</v>
      </c>
      <c r="O222" s="7"/>
      <c r="P222" s="7"/>
      <c r="Q222" s="25"/>
      <c r="R222" s="25"/>
      <c r="S222" s="37">
        <f t="shared" si="201"/>
        <v>0</v>
      </c>
      <c r="T222" s="52" t="e">
        <f t="shared" si="202"/>
        <v>#VALUE!</v>
      </c>
      <c r="U222" s="12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18:49:55-0600',mode:absolute,to:'2016-08-27 21:08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4012%22')),sort:!(Time,asc))</v>
      </c>
      <c r="W222" s="54" t="str">
        <f t="shared" si="204"/>
        <v>Y</v>
      </c>
      <c r="X222" s="120" t="e">
        <f t="shared" si="192"/>
        <v>#VALUE!</v>
      </c>
      <c r="Y222" s="69">
        <f t="shared" si="205"/>
        <v>2.3346</v>
      </c>
      <c r="Z222" s="69">
        <f t="shared" si="206"/>
        <v>0.19470000000000001</v>
      </c>
      <c r="AA222" s="69">
        <f t="shared" si="207"/>
        <v>2.1398999999999999</v>
      </c>
      <c r="AB222" s="66" t="e">
        <f>VLOOKUP(A222,Enforcements!$C$7:$J$21,8,0)</f>
        <v>#N/A</v>
      </c>
      <c r="AC222" s="62" t="e">
        <f>VLOOKUP(A222,Enforcements!$C$7:$E$21,3,0)</f>
        <v>#N/A</v>
      </c>
      <c r="AD222" s="63" t="str">
        <f t="shared" si="208"/>
        <v>60-27</v>
      </c>
      <c r="AE222" s="99" t="str">
        <f t="shared" si="195"/>
        <v>aws s3 cp s3://rtdc.mdm.uploadarchive/RTDC4012/2016-08-27/ "%USERPROFILE%\AppData\Local\Temp\OnboardLogs"\RTDC4012\2016-08-27 --recursive &amp; "%USERPROFILE%\Documents\GitHub\mrs-test-scripts\Headless Mode &amp; Sideloading\WalkAndUnGZ.bat" "%USERPROFILE%\AppData\Local\Temp\OnboardLogs"\RTDC4012\2016-08-27 &amp; aws s3 cp s3://rtdc.mdm.uploadarchive/RTDC4012/2016-08-28/ "%USERPROFILE%\AppData\Local\Temp\OnboardLogs"\RTDC4012\2016-08-28 --recursive &amp; "%USERPROFILE%\Documents\GitHub\mrs-test-scripts\Headless Mode &amp; Sideloading\WalkAndUnGZ.bat" "%USERPROFILE%\AppData\Local\Temp\OnboardLogs"\RTDC4012\2016-08-28</v>
      </c>
      <c r="AF222" s="96" t="str">
        <f t="shared" si="196"/>
        <v>"C:\Program Files (x86)\AstroGrep\AstroGrep.exe" /spath="%USERPROFILE%\AppData\Local\Temp\OnboardLogs" /stypes="*4012*20160828*" /stext=" 02:.+((SYSTEM_STATE.+slice.+state.+changed )|(ment ac)|(system.+state.+changed )|(\|lc)|(penalty)|(\[timeout)|(PRM\|1\|D)|(kpr)|(kdp))" /e /r /s</v>
      </c>
      <c r="AG222" s="1" t="str">
        <f t="shared" si="209"/>
        <v>Other</v>
      </c>
      <c r="AH222" s="100" t="str">
        <f t="shared" si="197"/>
        <v>"%USERPROFILE%\Documents\GitHub\eaglep3\Utilities\RefineRTDCRunTimes.py" --tripid 60-27 --locoid 4012 --swversion DE.1.0.7.0 --startMP 300:23346 --initTime 2016-08-27T19:49:55 --startdatetime 2016-08-27T20:02:45 --delay 11 --endMP 204:1947 --enddatetime 2016-08-27T20:08:51 --enforcementcount 0 &gt;&gt;C:\Users\stu\Documents\GitHub\eaglep3-reporting\EC\2016-08-27-refined-times.txt</v>
      </c>
      <c r="AI222" s="149" t="str">
        <f t="shared" si="198"/>
        <v>echo {"issue":{"subject":"","project_id":79,"tracker_id":40,"status_id":1,"priority_id":2,"assigned_to_id":23,"start_date":"2016-08-27","description":"","custom_fields":[{"id":1,"name":"Subdivision","value":"Other"},{"id":4,"name":"Milepost","value":"2.1399"},{"id":17,"name":"Train ID","value":"60-27"},{"id":16,"name":"Locomotive ID","value":"4012"},{"id":130,"name":"Impact","value":""},{"id":150,"name":"Time of Event (Mountain Time)","value":"20:08:51"},{"id":151,"name":"Denver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669</v>
      </c>
      <c r="B223" s="7">
        <v>4038</v>
      </c>
      <c r="C223" s="24" t="s">
        <v>113</v>
      </c>
      <c r="D223" s="24" t="s">
        <v>438</v>
      </c>
      <c r="E223" s="15">
        <v>42609.594039351854</v>
      </c>
      <c r="F223" s="15">
        <v>25568.958333333332</v>
      </c>
      <c r="G223" s="7">
        <v>1</v>
      </c>
      <c r="H223" s="15" t="s">
        <v>670</v>
      </c>
      <c r="I223" s="15">
        <v>25568.958333333332</v>
      </c>
      <c r="J223" s="7">
        <v>0</v>
      </c>
      <c r="K223" s="132" t="str">
        <f t="shared" si="199"/>
        <v>4037/4038</v>
      </c>
      <c r="L223" s="24" t="str">
        <f>VLOOKUP(A223,'Trips&amp;Operators'!$C$1:$E$10000,3,FALSE)</f>
        <v>YANAI</v>
      </c>
      <c r="M223" s="6">
        <f t="shared" si="200"/>
        <v>0</v>
      </c>
      <c r="N223" s="7">
        <f t="shared" si="191"/>
        <v>0</v>
      </c>
      <c r="O223" s="7"/>
      <c r="P223" s="7"/>
      <c r="Q223" s="25"/>
      <c r="R223" s="25"/>
      <c r="S223" s="37">
        <f t="shared" si="201"/>
        <v>0</v>
      </c>
      <c r="T223" s="52" t="e">
        <f t="shared" si="202"/>
        <v>#VALUE!</v>
      </c>
      <c r="U223" s="12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13:15:25-0600',mode:absolute,to:'1970-01-01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23" s="54" t="str">
        <f t="shared" si="204"/>
        <v>Y</v>
      </c>
      <c r="X223" s="120" t="e">
        <f t="shared" si="192"/>
        <v>#VALUE!</v>
      </c>
      <c r="Y223" s="69">
        <f t="shared" si="205"/>
        <v>0.1515</v>
      </c>
      <c r="Z223" s="69">
        <f t="shared" si="206"/>
        <v>0.15129999999999999</v>
      </c>
      <c r="AA223" s="69">
        <f t="shared" si="207"/>
        <v>2.0000000000000573E-4</v>
      </c>
      <c r="AB223" s="66" t="e">
        <f>VLOOKUP(A223,Enforcements!$C$7:$J$21,8,0)</f>
        <v>#N/A</v>
      </c>
      <c r="AC223" s="62" t="e">
        <f>VLOOKUP(A223,Enforcements!$C$7:$E$21,3,0)</f>
        <v>#N/A</v>
      </c>
      <c r="AD223" s="63" t="str">
        <f t="shared" si="208"/>
        <v>61-27</v>
      </c>
      <c r="AE223" s="99" t="str">
        <f t="shared" si="195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23" s="96" t="str">
        <f t="shared" si="196"/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23" s="1" t="str">
        <f t="shared" si="209"/>
        <v>Other</v>
      </c>
      <c r="AH223" s="100" t="str">
        <f t="shared" si="197"/>
        <v>"%USERPROFILE%\Documents\GitHub\eaglep3\Utilities\RefineRTDCRunTimes.py" --tripid 61-27 --locoid 4038 --swversion DE.1.0.7.0 --startMP 204:1515 --initTime 2016-08-27T14:15:25 --startdatetime 1969-12-31T23:00:00 --delay 1 --endMP 204:1513 --enddatetime 1969-12-31T23:00:00 --enforcementcount 0 &gt;&gt;C:\Users\stu\Documents\GitHub\eaglep3-reporting\EC\2016-08-27-refined-times.txt</v>
      </c>
      <c r="AI223" s="149" t="str">
        <f t="shared" si="198"/>
        <v>echo {"issue":{"subject":"","project_id":79,"tracker_id":40,"status_id":1,"priority_id":2,"assigned_to_id":23,"start_date":"1969-12-31","description":"","custom_fields":[{"id":1,"name":"Subdivision","value":"Other"},{"id":4,"name":"Milepost","value":"0.000200000000000006"},{"id":17,"name":"Train ID","value":"61-27"},{"id":16,"name":"Locomotive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669</v>
      </c>
      <c r="B224" s="7">
        <v>4038</v>
      </c>
      <c r="C224" s="24" t="s">
        <v>113</v>
      </c>
      <c r="D224" s="24" t="s">
        <v>438</v>
      </c>
      <c r="E224" s="15">
        <v>42609.594039351854</v>
      </c>
      <c r="F224" s="15">
        <v>25568.958333333332</v>
      </c>
      <c r="G224" s="7">
        <v>1</v>
      </c>
      <c r="H224" s="15" t="s">
        <v>670</v>
      </c>
      <c r="I224" s="15">
        <v>25568.958333333332</v>
      </c>
      <c r="J224" s="7">
        <v>0</v>
      </c>
      <c r="K224" s="132" t="str">
        <f t="shared" si="199"/>
        <v>4037/4038</v>
      </c>
      <c r="L224" s="24" t="str">
        <f>VLOOKUP(A224,'Trips&amp;Operators'!$C$1:$E$10000,3,FALSE)</f>
        <v>YANAI</v>
      </c>
      <c r="M224" s="6">
        <f t="shared" si="200"/>
        <v>0</v>
      </c>
      <c r="N224" s="7">
        <f t="shared" si="191"/>
        <v>0</v>
      </c>
      <c r="O224" s="7"/>
      <c r="P224" s="7"/>
      <c r="Q224" s="25"/>
      <c r="R224" s="25"/>
      <c r="S224" s="37">
        <f t="shared" si="201"/>
        <v>0</v>
      </c>
      <c r="T224" s="52" t="e">
        <f t="shared" si="202"/>
        <v>#VALUE!</v>
      </c>
      <c r="U224" s="12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https://search-rtdc-monitor-bjffxe2xuh6vdkpspy63sjmuny.us-east-1.es.amazonaws.com/_plugin/kibana/#/discover/Steve-Slow-Train-Analysis-(2080s-and-2083s)?_g=(refreshInterval:(display:Off,section:0,value:0),time:(from:'2016-08-27 13:15:25-0600',mode:absolute,to:'1970-01-01 00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4038%22')),sort:!(Time,asc))</v>
      </c>
      <c r="W224" s="54" t="str">
        <f t="shared" si="204"/>
        <v>Y</v>
      </c>
      <c r="X224" s="120" t="e">
        <f t="shared" si="192"/>
        <v>#VALUE!</v>
      </c>
      <c r="Y224" s="69">
        <f t="shared" si="205"/>
        <v>0.1515</v>
      </c>
      <c r="Z224" s="69">
        <f t="shared" si="206"/>
        <v>0.15129999999999999</v>
      </c>
      <c r="AA224" s="69">
        <f t="shared" si="207"/>
        <v>2.0000000000000573E-4</v>
      </c>
      <c r="AB224" s="66" t="e">
        <f>VLOOKUP(A224,Enforcements!$C$7:$J$21,8,0)</f>
        <v>#N/A</v>
      </c>
      <c r="AC224" s="62" t="e">
        <f>VLOOKUP(A224,Enforcements!$C$7:$E$21,3,0)</f>
        <v>#N/A</v>
      </c>
      <c r="AD224" s="63" t="str">
        <f t="shared" si="208"/>
        <v>61-27</v>
      </c>
      <c r="AE224" s="99" t="str">
        <f t="shared" si="195"/>
        <v>aws s3 cp s3://rtdc.mdm.uploadarchive/RTDC4038/1969-12-31/ "%USERPROFILE%\AppData\Local\Temp\OnboardLogs"\RTDC4038\1969-12-31 --recursive &amp; "%USERPROFILE%\Documents\GitHub\mrs-test-scripts\Headless Mode &amp; Sideloading\WalkAndUnGZ.bat" "%USERPROFILE%\AppData\Local\Temp\OnboardLogs"\RTDC4038\1969-12-31 &amp; aws s3 cp s3://rtdc.mdm.uploadarchive/RTDC4038/1970-01-01/ "%USERPROFILE%\AppData\Local\Temp\OnboardLogs"\RTDC4038\1970-01-01 --recursive &amp; "%USERPROFILE%\Documents\GitHub\mrs-test-scripts\Headless Mode &amp; Sideloading\WalkAndUnGZ.bat" "%USERPROFILE%\AppData\Local\Temp\OnboardLogs"\RTDC4038\1970-01-01</v>
      </c>
      <c r="AF224" s="96" t="str">
        <f t="shared" si="196"/>
        <v>"C:\Program Files (x86)\AstroGrep\AstroGrep.exe" /spath="%USERPROFILE%\AppData\Local\Temp\OnboardLogs" /stypes="*4038*19700101*" /stext=" 05:.+((SYSTEM_STATE.+slice.+state.+changed )|(ment ac)|(system.+state.+changed )|(\|lc)|(penalty)|(\[timeout)|(PRM\|1\|D)|(kpr)|(kdp))" /e /r /s</v>
      </c>
      <c r="AG224" s="1" t="str">
        <f t="shared" si="209"/>
        <v>Other</v>
      </c>
      <c r="AH224" s="100" t="str">
        <f t="shared" si="197"/>
        <v>"%USERPROFILE%\Documents\GitHub\eaglep3\Utilities\RefineRTDCRunTimes.py" --tripid 61-27 --locoid 4038 --swversion DE.1.0.7.0 --startMP 204:1515 --initTime 2016-08-27T14:15:25 --startdatetime 1969-12-31T23:00:00 --delay 1 --endMP 204:1513 --enddatetime 1969-12-31T23:00:00 --enforcementcount 0 &gt;&gt;C:\Users\stu\Documents\GitHub\eaglep3-reporting\EC\2016-08-27-refined-times.txt</v>
      </c>
      <c r="AI224" s="149" t="str">
        <f t="shared" si="198"/>
        <v>echo {"issue":{"subject":"","project_id":79,"tracker_id":40,"status_id":1,"priority_id":2,"assigned_to_id":23,"start_date":"1969-12-31","description":"","custom_fields":[{"id":1,"name":"Subdivision","value":"Other"},{"id":4,"name":"Milepost","value":"0.000200000000000006"},{"id":17,"name":"Train ID","value":"61-27"},{"id":16,"name":"Locomotive ID","value":"4038"},{"id":130,"name":"Impact","value":""},{"id":150,"name":"Time of Event (Mountain Time)","value":"23:00:00"},{"id":151,"name":"Denver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308</v>
      </c>
      <c r="B225" s="7">
        <v>4043</v>
      </c>
      <c r="C225" s="24" t="s">
        <v>113</v>
      </c>
      <c r="D225" s="24" t="s">
        <v>360</v>
      </c>
      <c r="E225" s="15">
        <v>42608.739930555559</v>
      </c>
      <c r="F225" s="15">
        <v>42608.743576388886</v>
      </c>
      <c r="G225" s="7">
        <v>5</v>
      </c>
      <c r="H225" s="15" t="s">
        <v>361</v>
      </c>
      <c r="I225" s="15">
        <v>42608.751886574071</v>
      </c>
      <c r="J225" s="7">
        <v>0</v>
      </c>
      <c r="K225" s="132" t="str">
        <f t="shared" si="199"/>
        <v>4043/4044</v>
      </c>
      <c r="L225" s="24" t="e">
        <f>VLOOKUP(A225,'Trips&amp;Operators'!$C$1:$E$10000,3,FALSE)</f>
        <v>#N/A</v>
      </c>
      <c r="M225" s="6">
        <f t="shared" si="200"/>
        <v>8.3101851851097308E-3</v>
      </c>
      <c r="N225" s="7">
        <f t="shared" si="191"/>
        <v>11.966666666558012</v>
      </c>
      <c r="O225" s="7"/>
      <c r="P225" s="7"/>
      <c r="Q225" s="25"/>
      <c r="R225" s="25"/>
      <c r="S225" s="37">
        <f t="shared" si="201"/>
        <v>0</v>
      </c>
      <c r="T225" s="52" t="e">
        <f t="shared" si="202"/>
        <v>#VALUE!</v>
      </c>
      <c r="U225" s="12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16:45:30-0600',mode:absolute,to:'2016-08-26 19:02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4043%22')),sort:!(Time,asc))</v>
      </c>
      <c r="W225" s="54" t="str">
        <f t="shared" si="204"/>
        <v>Y</v>
      </c>
      <c r="X225" s="120" t="e">
        <f t="shared" si="192"/>
        <v>#VALUE!</v>
      </c>
      <c r="Y225" s="69">
        <f t="shared" si="205"/>
        <v>2.3346</v>
      </c>
      <c r="Z225" s="69">
        <f t="shared" si="206"/>
        <v>0.09</v>
      </c>
      <c r="AA225" s="69">
        <f t="shared" si="207"/>
        <v>2.2446000000000002</v>
      </c>
      <c r="AB225" s="66" t="e">
        <f>VLOOKUP(A225,Enforcements!$C$7:$J$21,8,0)</f>
        <v>#N/A</v>
      </c>
      <c r="AC225" s="62" t="e">
        <f>VLOOKUP(A225,Enforcements!$C$7:$E$21,3,0)</f>
        <v>#N/A</v>
      </c>
      <c r="AD225" s="63" t="str">
        <f t="shared" si="208"/>
        <v>62-26</v>
      </c>
      <c r="AE225" s="99" t="str">
        <f t="shared" si="195"/>
        <v>aws s3 cp s3://rtdc.mdm.uploadarchive/RTDC4043/2016-08-26/ "%USERPROFILE%\AppData\Local\Temp\OnboardLogs"\RTDC4043\2016-08-26 --recursive &amp; "%USERPROFILE%\Documents\GitHub\mrs-test-scripts\Headless Mode &amp; Sideloading\WalkAndUnGZ.bat" "%USERPROFILE%\AppData\Local\Temp\OnboardLogs"\RTDC4043\2016-08-26 &amp; aws s3 cp s3://rtdc.mdm.uploadarchive/RTDC4043/2016-08-27/ "%USERPROFILE%\AppData\Local\Temp\OnboardLogs"\RTDC4043\2016-08-27 --recursive &amp; "%USERPROFILE%\Documents\GitHub\mrs-test-scripts\Headless Mode &amp; Sideloading\WalkAndUnGZ.bat" "%USERPROFILE%\AppData\Local\Temp\OnboardLogs"\RTDC4043\2016-08-27</v>
      </c>
      <c r="AF225" s="96" t="str">
        <f t="shared" si="196"/>
        <v>"C:\Program Files (x86)\AstroGrep\AstroGrep.exe" /spath="%USERPROFILE%\AppData\Local\Temp\OnboardLogs" /stypes="*4043*20160827*" /stext=" 00:.+((SYSTEM_STATE.+slice.+state.+changed )|(ment ac)|(system.+state.+changed )|(\|lc)|(penalty)|(\[timeout)|(PRM\|1\|D)|(kpr)|(kdp))" /e /r /s</v>
      </c>
      <c r="AG225" s="1" t="str">
        <f t="shared" si="209"/>
        <v>Other</v>
      </c>
      <c r="AH225" s="100" t="str">
        <f t="shared" si="197"/>
        <v>"%USERPROFILE%\Documents\GitHub\eaglep3\Utilities\RefineRTDCRunTimes.py" --tripid 62-26 --locoid 4043 --swversion DE.1.0.7.0 --startMP 300:23346 --initTime 2016-08-26T17:45:30 --startdatetime 2016-08-26T17:50:45 --delay 5 --endMP 204:900 --enddatetime 2016-08-26T18:02:43 --enforcementcount 0 &gt;&gt;C:\Users\stu\Documents\GitHub\eaglep3-reporting\EC\2016-08-27-refined-times.txt</v>
      </c>
      <c r="AI225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{"issue":{"subject":"","project_id":79,"tracker_id":40,"status_id":1,"priority_id":2,"assigned_to_id":23,"start_date":"2016-08-26","description":"","custom_fields":[{"id":1,"name":"Subdivision","value":"Other"},{"id":4,"name":"Milepost","value":"2.2446"},{"id":17,"name":"Train ID","value":"62-26"},{"id":16,"name":"Locomotive ID","value":"4043"},{"id":130,"name":"Impact","value":""},{"id":150,"name":"Time of Event (Mountain Time)","value":"18:02:43"},{"id":151,"name":"Denver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671</v>
      </c>
      <c r="B226" s="7">
        <v>4025</v>
      </c>
      <c r="C226" s="24" t="s">
        <v>113</v>
      </c>
      <c r="D226" s="24" t="s">
        <v>672</v>
      </c>
      <c r="E226" s="15">
        <v>42610.053414351853</v>
      </c>
      <c r="F226" s="15">
        <v>42610.060208333336</v>
      </c>
      <c r="G226" s="7">
        <v>1</v>
      </c>
      <c r="H226" s="15" t="s">
        <v>673</v>
      </c>
      <c r="I226" s="15">
        <v>42610.085497685184</v>
      </c>
      <c r="J226" s="7">
        <v>0</v>
      </c>
      <c r="K226" s="132" t="str">
        <f t="shared" si="199"/>
        <v>4025/4026</v>
      </c>
      <c r="L226" s="24" t="str">
        <f>VLOOKUP(A226,'Trips&amp;Operators'!$C$1:$E$10000,3,FALSE)</f>
        <v>GOLIGHTLY</v>
      </c>
      <c r="M226" s="6">
        <f t="shared" si="200"/>
        <v>2.5289351848186925E-2</v>
      </c>
      <c r="N226" s="7">
        <f t="shared" ref="N226:N234" si="210">24*60*SUM($M226:$M226)</f>
        <v>36.416666661389172</v>
      </c>
      <c r="O226" s="7"/>
      <c r="P226" s="7"/>
      <c r="Q226" s="25"/>
      <c r="R226" s="25"/>
      <c r="S226" s="37">
        <f t="shared" si="201"/>
        <v>0</v>
      </c>
      <c r="T226" s="52" t="e">
        <f t="shared" si="202"/>
        <v>#VALUE!</v>
      </c>
      <c r="U226" s="12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https://search-rtdc-monitor-bjffxe2xuh6vdkpspy63sjmuny.us-east-1.es.amazonaws.com/_plugin/kibana/#/discover/Steve-Slow-Train-Analysis-(2080s-and-2083s)?_g=(refreshInterval:(display:Off,section:0,value:0),time:(from:'2016-08-28 00:16:55-0600',mode:absolute,to:'2016-08-28 03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26" s="54" t="str">
        <f t="shared" si="204"/>
        <v>N</v>
      </c>
      <c r="X226" s="120" t="e">
        <f t="shared" si="192"/>
        <v>#VALUE!</v>
      </c>
      <c r="Y226" s="69">
        <f t="shared" si="205"/>
        <v>0.14879999999999999</v>
      </c>
      <c r="Z226" s="69">
        <f t="shared" si="206"/>
        <v>23.328800000000001</v>
      </c>
      <c r="AA226" s="69">
        <f t="shared" si="207"/>
        <v>23.18</v>
      </c>
      <c r="AB226" s="66" t="e">
        <f>VLOOKUP(A226,Enforcements!$C$7:$J$21,8,0)</f>
        <v>#N/A</v>
      </c>
      <c r="AC226" s="62" t="e">
        <f>VLOOKUP(A226,Enforcements!$C$7:$E$21,3,0)</f>
        <v>#N/A</v>
      </c>
      <c r="AD226" s="63" t="str">
        <f t="shared" si="208"/>
        <v>63-27</v>
      </c>
      <c r="AE226" s="99" t="str">
        <f t="shared" si="195"/>
        <v>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 &amp; aws s3 cp s3://rtdc.mdm.uploadarchive/RTDC4025/2016-08-29/ "%USERPROFILE%\AppData\Local\Temp\OnboardLogs"\RTDC4025\2016-08-29 --recursive &amp; "%USERPROFILE%\Documents\GitHub\mrs-test-scripts\Headless Mode &amp; Sideloading\WalkAndUnGZ.bat" "%USERPROFILE%\AppData\Local\Temp\OnboardLogs"\RTDC4025\2016-08-29</v>
      </c>
      <c r="AF226" s="96" t="str">
        <f t="shared" si="196"/>
        <v>"C:\Program Files (x86)\AstroGrep\AstroGrep.exe" /spath="%USERPROFILE%\AppData\Local\Temp\OnboardLogs" /stypes="*4025*20160828*" /stext=" 08:.+((SYSTEM_STATE.+slice.+state.+changed )|(ment ac)|(system.+state.+changed )|(\|lc)|(penalty)|(\[timeout)|(PRM\|1\|D)|(kpr)|(kdp))" /e /r /s</v>
      </c>
      <c r="AG226" s="1" t="str">
        <f t="shared" si="209"/>
        <v>Other</v>
      </c>
      <c r="AH226" s="100" t="str">
        <f t="shared" si="197"/>
        <v>"%USERPROFILE%\Documents\GitHub\eaglep3\Utilities\RefineRTDCRunTimes.py" --tripid 63-27 --locoid 4025 --swversion DE.1.0.7.0 --startMP 204:1488 --initTime 2016-08-28T01:16:55 --startdatetime 2016-08-28T01:26:42 --delay 1 --endMP 204:233288 --enddatetime 2016-08-28T02:03:07 --enforcementcount 0 &gt;&gt;C:\Users\stu\Documents\GitHub\eaglep3-reporting\EC\2016-08-27-refined-times.txt</v>
      </c>
      <c r="AI226" s="149" t="str">
        <f t="shared" si="198"/>
        <v>echo {"issue":{"subject":"","project_id":79,"tracker_id":40,"status_id":1,"priority_id":2,"assigned_to_id":23,"start_date":"2016-08-28","description":"","custom_fields":[{"id":1,"name":"Subdivision","value":"Other"},{"id":4,"name":"Milepost","value":"23.18"},{"id":17,"name":"Train ID","value":"63-27"},{"id":16,"name":"Locomotive ID","value":"4025"},{"id":130,"name":"Impact","value":""},{"id":150,"name":"Time of Event (Mountain Time)","value":"02:03:07"},{"id":151,"name":"Denver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671</v>
      </c>
      <c r="B227" s="7">
        <v>4025</v>
      </c>
      <c r="C227" s="24" t="s">
        <v>113</v>
      </c>
      <c r="D227" s="24" t="s">
        <v>672</v>
      </c>
      <c r="E227" s="15">
        <v>42610.053414351853</v>
      </c>
      <c r="F227" s="15">
        <v>42610.060208333336</v>
      </c>
      <c r="G227" s="7">
        <v>1</v>
      </c>
      <c r="H227" s="15" t="s">
        <v>673</v>
      </c>
      <c r="I227" s="15">
        <v>42610.085497685184</v>
      </c>
      <c r="J227" s="7">
        <v>0</v>
      </c>
      <c r="K227" s="132" t="str">
        <f t="shared" si="199"/>
        <v>4025/4026</v>
      </c>
      <c r="L227" s="24" t="str">
        <f>VLOOKUP(A227,'Trips&amp;Operators'!$C$1:$E$10000,3,FALSE)</f>
        <v>GOLIGHTLY</v>
      </c>
      <c r="M227" s="6">
        <f t="shared" si="200"/>
        <v>2.5289351848186925E-2</v>
      </c>
      <c r="N227" s="7">
        <f t="shared" si="210"/>
        <v>36.416666661389172</v>
      </c>
      <c r="O227" s="7"/>
      <c r="P227" s="7"/>
      <c r="Q227" s="25"/>
      <c r="R227" s="25"/>
      <c r="S227" s="37">
        <f t="shared" si="201"/>
        <v>0</v>
      </c>
      <c r="T227" s="52" t="e">
        <f t="shared" si="202"/>
        <v>#VALUE!</v>
      </c>
      <c r="U227" s="12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https://search-rtdc-monitor-bjffxe2xuh6vdkpspy63sjmuny.us-east-1.es.amazonaws.com/_plugin/kibana/#/discover/Steve-Slow-Train-Analysis-(2080s-and-2083s)?_g=(refreshInterval:(display:Off,section:0,value:0),time:(from:'2016-08-28 00:16:55-0600',mode:absolute,to:'2016-08-28 03:03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W227" s="54" t="str">
        <f t="shared" si="204"/>
        <v>N</v>
      </c>
      <c r="X227" s="120" t="e">
        <f t="shared" si="192"/>
        <v>#VALUE!</v>
      </c>
      <c r="Y227" s="69">
        <f t="shared" si="205"/>
        <v>0.14879999999999999</v>
      </c>
      <c r="Z227" s="69">
        <f t="shared" si="206"/>
        <v>23.328800000000001</v>
      </c>
      <c r="AA227" s="69">
        <f t="shared" si="207"/>
        <v>23.18</v>
      </c>
      <c r="AB227" s="66" t="e">
        <f>VLOOKUP(A227,Enforcements!$C$7:$J$21,8,0)</f>
        <v>#N/A</v>
      </c>
      <c r="AC227" s="62" t="e">
        <f>VLOOKUP(A227,Enforcements!$C$7:$E$21,3,0)</f>
        <v>#N/A</v>
      </c>
      <c r="AD227" s="63" t="str">
        <f t="shared" si="208"/>
        <v>63-27</v>
      </c>
      <c r="AE227" s="99" t="str">
        <f t="shared" si="195"/>
        <v>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 &amp; aws s3 cp s3://rtdc.mdm.uploadarchive/RTDC4025/2016-08-29/ "%USERPROFILE%\AppData\Local\Temp\OnboardLogs"\RTDC4025\2016-08-29 --recursive &amp; "%USERPROFILE%\Documents\GitHub\mrs-test-scripts\Headless Mode &amp; Sideloading\WalkAndUnGZ.bat" "%USERPROFILE%\AppData\Local\Temp\OnboardLogs"\RTDC4025\2016-08-29</v>
      </c>
      <c r="AF227" s="96" t="str">
        <f t="shared" si="196"/>
        <v>"C:\Program Files (x86)\AstroGrep\AstroGrep.exe" /spath="%USERPROFILE%\AppData\Local\Temp\OnboardLogs" /stypes="*4025*20160828*" /stext=" 08:.+((SYSTEM_STATE.+slice.+state.+changed )|(ment ac)|(system.+state.+changed )|(\|lc)|(penalty)|(\[timeout)|(PRM\|1\|D)|(kpr)|(kdp))" /e /r /s</v>
      </c>
      <c r="AG227" s="1" t="str">
        <f t="shared" si="209"/>
        <v>Other</v>
      </c>
      <c r="AH227" s="100" t="str">
        <f t="shared" si="197"/>
        <v>"%USERPROFILE%\Documents\GitHub\eaglep3\Utilities\RefineRTDCRunTimes.py" --tripid 63-27 --locoid 4025 --swversion DE.1.0.7.0 --startMP 204:1488 --initTime 2016-08-28T01:16:55 --startdatetime 2016-08-28T01:26:42 --delay 1 --endMP 204:233288 --enddatetime 2016-08-28T02:03:07 --enforcementcount 0 &gt;&gt;C:\Users\stu\Documents\GitHub\eaglep3-reporting\EC\2016-08-27-refined-times.txt</v>
      </c>
      <c r="AI227" s="149" t="str">
        <f t="shared" si="198"/>
        <v>echo {"issue":{"subject":"","project_id":79,"tracker_id":40,"status_id":1,"priority_id":2,"assigned_to_id":23,"start_date":"2016-08-28","description":"","custom_fields":[{"id":1,"name":"Subdivision","value":"Other"},{"id":4,"name":"Milepost","value":"23.18"},{"id":17,"name":"Train ID","value":"63-27"},{"id":16,"name":"Locomotive ID","value":"4025"},{"id":130,"name":"Impact","value":""},{"id":150,"name":"Time of Event (Mountain Time)","value":"02:03:07"},{"id":151,"name":"Denver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310</v>
      </c>
      <c r="B228" s="7">
        <v>4004</v>
      </c>
      <c r="C228" s="24" t="s">
        <v>113</v>
      </c>
      <c r="D228" s="24" t="s">
        <v>362</v>
      </c>
      <c r="E228" s="15">
        <v>42608.833969907406</v>
      </c>
      <c r="F228" s="15">
        <v>42608.835694444446</v>
      </c>
      <c r="G228" s="7">
        <v>2</v>
      </c>
      <c r="H228" s="15" t="s">
        <v>153</v>
      </c>
      <c r="I228" s="15">
        <v>42608.842905092592</v>
      </c>
      <c r="J228" s="7">
        <v>0</v>
      </c>
      <c r="K228" s="132" t="str">
        <f t="shared" si="199"/>
        <v>4003/4004</v>
      </c>
      <c r="L228" s="24" t="e">
        <f>VLOOKUP(A228,'Trips&amp;Operators'!$C$1:$E$10000,3,FALSE)</f>
        <v>#N/A</v>
      </c>
      <c r="M228" s="6">
        <f t="shared" si="200"/>
        <v>7.2106481457012706E-3</v>
      </c>
      <c r="N228" s="7">
        <f t="shared" si="210"/>
        <v>10.38333332980983</v>
      </c>
      <c r="O228" s="7"/>
      <c r="P228" s="7"/>
      <c r="Q228" s="25"/>
      <c r="R228" s="25"/>
      <c r="S228" s="37">
        <f t="shared" si="201"/>
        <v>0</v>
      </c>
      <c r="T228" s="52" t="e">
        <f t="shared" si="202"/>
        <v>#VALUE!</v>
      </c>
      <c r="U228" s="126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19:00:55-0600',mode:absolute,to:'2016-08-26 21:13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4004%22')),sort:!(Time,asc))</v>
      </c>
      <c r="W228" s="54" t="str">
        <f t="shared" si="204"/>
        <v>Y</v>
      </c>
      <c r="X228" s="120" t="e">
        <f t="shared" si="192"/>
        <v>#VALUE!</v>
      </c>
      <c r="Y228" s="69">
        <f t="shared" si="205"/>
        <v>1.8891</v>
      </c>
      <c r="Z228" s="69">
        <f t="shared" si="206"/>
        <v>1.5599999999999999E-2</v>
      </c>
      <c r="AA228" s="69">
        <f t="shared" si="207"/>
        <v>1.8734999999999999</v>
      </c>
      <c r="AB228" s="66" t="e">
        <f>VLOOKUP(A228,Enforcements!$C$7:$J$21,8,0)</f>
        <v>#N/A</v>
      </c>
      <c r="AC228" s="62" t="e">
        <f>VLOOKUP(A228,Enforcements!$C$7:$E$21,3,0)</f>
        <v>#N/A</v>
      </c>
      <c r="AD228" s="63" t="str">
        <f t="shared" si="208"/>
        <v>64-26</v>
      </c>
      <c r="AE228" s="99" t="str">
        <f t="shared" si="195"/>
        <v>aws s3 cp s3://rtdc.mdm.uploadarchive/RTDC4004/2016-08-26/ "%USERPROFILE%\AppData\Local\Temp\OnboardLogs"\RTDC4004\2016-08-26 --recursive &amp; "%USERPROFILE%\Documents\GitHub\mrs-test-scripts\Headless Mode &amp; Sideloading\WalkAndUnGZ.bat" "%USERPROFILE%\AppData\Local\Temp\OnboardLogs"\RTDC4004\2016-08-26 &amp; aws s3 cp s3://rtdc.mdm.uploadarchive/RTDC4004/2016-08-27/ "%USERPROFILE%\AppData\Local\Temp\OnboardLogs"\RTDC4004\2016-08-27 --recursive &amp; "%USERPROFILE%\Documents\GitHub\mrs-test-scripts\Headless Mode &amp; Sideloading\WalkAndUnGZ.bat" "%USERPROFILE%\AppData\Local\Temp\OnboardLogs"\RTDC4004\2016-08-27</v>
      </c>
      <c r="AF228" s="96" t="str">
        <f t="shared" si="196"/>
        <v>"C:\Program Files (x86)\AstroGrep\AstroGrep.exe" /spath="%USERPROFILE%\AppData\Local\Temp\OnboardLogs" /stypes="*4004*20160827*" /stext=" 02:.+((SYSTEM_STATE.+slice.+state.+changed )|(ment ac)|(system.+state.+changed )|(\|lc)|(penalty)|(\[timeout)|(PRM\|1\|D)|(kpr)|(kdp))" /e /r /s</v>
      </c>
      <c r="AG228" s="1" t="str">
        <f t="shared" si="209"/>
        <v>Other</v>
      </c>
      <c r="AH228" s="100" t="str">
        <f t="shared" si="197"/>
        <v>"%USERPROFILE%\Documents\GitHub\eaglep3\Utilities\RefineRTDCRunTimes.py" --tripid 64-26 --locoid 4004 --swversion DE.1.0.7.0 --startMP 204:18891 --initTime 2016-08-26T20:00:55 --startdatetime 2016-08-26T20:03:24 --delay 2 --endMP 204:156 --enddatetime 2016-08-26T20:13:47 --enforcementcount 0 &gt;&gt;C:\Users\stu\Documents\GitHub\eaglep3-reporting\EC\2016-08-27-refined-times.txt</v>
      </c>
      <c r="AI228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{"issue":{"subject":"","project_id":79,"tracker_id":40,"status_id":1,"priority_id":2,"assigned_to_id":23,"start_date":"2016-08-26","description":"","custom_fields":[{"id":1,"name":"Subdivision","value":"Other"},{"id":4,"name":"Milepost","value":"1.8735"},{"id":17,"name":"Train ID","value":"64-26"},{"id":16,"name":"Locomotive ID","value":"4004"},{"id":130,"name":"Impact","value":""},{"id":150,"name":"Time of Event (Mountain Time)","value":"20:13:47"},{"id":151,"name":"Denver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674</v>
      </c>
      <c r="B229" s="7">
        <v>4026</v>
      </c>
      <c r="C229" s="24" t="s">
        <v>113</v>
      </c>
      <c r="D229" s="24" t="s">
        <v>675</v>
      </c>
      <c r="E229" s="15">
        <v>42610.087685185186</v>
      </c>
      <c r="F229" s="15">
        <v>42610.091168981482</v>
      </c>
      <c r="G229" s="7">
        <v>1</v>
      </c>
      <c r="H229" s="15" t="s">
        <v>132</v>
      </c>
      <c r="I229" s="15">
        <v>42610.119398148148</v>
      </c>
      <c r="J229" s="7">
        <v>0</v>
      </c>
      <c r="K229" s="132" t="str">
        <f t="shared" si="199"/>
        <v>4025/4026</v>
      </c>
      <c r="L229" s="24" t="str">
        <f>VLOOKUP(A229,'Trips&amp;Operators'!$C$1:$E$10000,3,FALSE)</f>
        <v>GOLIGHTLY</v>
      </c>
      <c r="M229" s="6">
        <f t="shared" si="200"/>
        <v>2.8229166666278616E-2</v>
      </c>
      <c r="N229" s="7">
        <f t="shared" si="210"/>
        <v>40.649999999441206</v>
      </c>
      <c r="O229" s="7"/>
      <c r="P229" s="7"/>
      <c r="Q229" s="25"/>
      <c r="R229" s="25"/>
      <c r="S229" s="37">
        <f t="shared" si="201"/>
        <v>0</v>
      </c>
      <c r="T229" s="52" t="e">
        <f t="shared" si="202"/>
        <v>#VALUE!</v>
      </c>
      <c r="U229" s="126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https://search-rtdc-monitor-bjffxe2xuh6vdkpspy63sjmuny.us-east-1.es.amazonaws.com/_plugin/kibana/#/discover/Steve-Slow-Train-Analysis-(2080s-and-2083s)?_g=(refreshInterval:(display:Off,section:0,value:0),time:(from:'2016-08-28 01:06:16-0600',mode:absolute,to:'2016-08-28 03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29" s="54" t="str">
        <f t="shared" si="204"/>
        <v>N</v>
      </c>
      <c r="X229" s="120" t="e">
        <f t="shared" si="192"/>
        <v>#VALUE!</v>
      </c>
      <c r="Y229" s="69">
        <f t="shared" si="205"/>
        <v>23.298999999999999</v>
      </c>
      <c r="Z229" s="69">
        <f t="shared" si="206"/>
        <v>1.47E-2</v>
      </c>
      <c r="AA229" s="69">
        <f t="shared" si="207"/>
        <v>23.284299999999998</v>
      </c>
      <c r="AB229" s="66" t="e">
        <f>VLOOKUP(A229,Enforcements!$C$7:$J$21,8,0)</f>
        <v>#N/A</v>
      </c>
      <c r="AC229" s="62" t="e">
        <f>VLOOKUP(A229,Enforcements!$C$7:$E$21,3,0)</f>
        <v>#N/A</v>
      </c>
      <c r="AD229" s="63" t="str">
        <f t="shared" si="208"/>
        <v>64-27</v>
      </c>
      <c r="AE229" s="99" t="str">
        <f t="shared" si="195"/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229" s="96" t="str">
        <f t="shared" si="196"/>
        <v>"C:\Program Files (x86)\AstroGrep\AstroGrep.exe" /spath="%USERPROFILE%\AppData\Local\Temp\OnboardLogs" /stypes="*4026*20160828*" /stext=" 08:.+((SYSTEM_STATE.+slice.+state.+changed )|(ment ac)|(system.+state.+changed )|(\|lc)|(penalty)|(\[timeout)|(PRM\|1\|D)|(kpr)|(kdp))" /e /r /s</v>
      </c>
      <c r="AG229" s="1" t="str">
        <f t="shared" si="209"/>
        <v>Other</v>
      </c>
      <c r="AH229" s="100" t="str">
        <f t="shared" si="197"/>
        <v>"%USERPROFILE%\Documents\GitHub\eaglep3\Utilities\RefineRTDCRunTimes.py" --tripid 64-27 --locoid 4026 --swversion DE.1.0.7.0 --startMP 204:232990 --initTime 2016-08-28T02:06:16 --startdatetime 2016-08-28T02:11:17 --delay 1 --endMP 204:147 --enddatetime 2016-08-28T02:51:56 --enforcementcount 0 &gt;&gt;C:\Users\stu\Documents\GitHub\eaglep3-reporting\EC\2016-08-27-refined-times.txt</v>
      </c>
      <c r="AI229" s="149" t="str">
        <f t="shared" si="198"/>
        <v>echo {"issue":{"subject":"","project_id":79,"tracker_id":40,"status_id":1,"priority_id":2,"assigned_to_id":23,"start_date":"2016-08-28","description":"","custom_fields":[{"id":1,"name":"Subdivision","value":"Other"},{"id":4,"name":"Milepost","value":"23.2843"},{"id":17,"name":"Train ID","value":"64-27"},{"id":16,"name":"Locomotive ID","value":"4026"},{"id":130,"name":"Impact","value":""},{"id":150,"name":"Time of Event (Mountain Time)","value":"02:51:56"},{"id":151,"name":"Denver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674</v>
      </c>
      <c r="B230" s="7">
        <v>4026</v>
      </c>
      <c r="C230" s="24" t="s">
        <v>113</v>
      </c>
      <c r="D230" s="24" t="s">
        <v>675</v>
      </c>
      <c r="E230" s="15">
        <v>42610.087685185186</v>
      </c>
      <c r="F230" s="15">
        <v>42610.091168981482</v>
      </c>
      <c r="G230" s="7">
        <v>1</v>
      </c>
      <c r="H230" s="15" t="s">
        <v>132</v>
      </c>
      <c r="I230" s="15">
        <v>42610.119398148148</v>
      </c>
      <c r="J230" s="7">
        <v>0</v>
      </c>
      <c r="K230" s="132" t="str">
        <f t="shared" si="199"/>
        <v>4025/4026</v>
      </c>
      <c r="L230" s="24" t="str">
        <f>VLOOKUP(A230,'Trips&amp;Operators'!$C$1:$E$10000,3,FALSE)</f>
        <v>GOLIGHTLY</v>
      </c>
      <c r="M230" s="6">
        <f t="shared" si="200"/>
        <v>2.8229166666278616E-2</v>
      </c>
      <c r="N230" s="7">
        <f t="shared" si="210"/>
        <v>40.649999999441206</v>
      </c>
      <c r="O230" s="7"/>
      <c r="P230" s="7"/>
      <c r="Q230" s="25"/>
      <c r="R230" s="25"/>
      <c r="S230" s="37">
        <f t="shared" si="201"/>
        <v>0</v>
      </c>
      <c r="T230" s="52" t="e">
        <f t="shared" si="202"/>
        <v>#VALUE!</v>
      </c>
      <c r="U230" s="126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https://search-rtdc-monitor-bjffxe2xuh6vdkpspy63sjmuny.us-east-1.es.amazonaws.com/_plugin/kibana/#/discover/Steve-Slow-Train-Analysis-(2080s-and-2083s)?_g=(refreshInterval:(display:Off,section:0,value:0),time:(from:'2016-08-28 01:06:16-0600',mode:absolute,to:'2016-08-28 03:51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W230" s="54" t="str">
        <f t="shared" si="204"/>
        <v>N</v>
      </c>
      <c r="X230" s="120" t="e">
        <f t="shared" si="192"/>
        <v>#VALUE!</v>
      </c>
      <c r="Y230" s="69">
        <f t="shared" si="205"/>
        <v>23.298999999999999</v>
      </c>
      <c r="Z230" s="69">
        <f t="shared" si="206"/>
        <v>1.47E-2</v>
      </c>
      <c r="AA230" s="69">
        <f t="shared" si="207"/>
        <v>23.284299999999998</v>
      </c>
      <c r="AB230" s="66" t="e">
        <f>VLOOKUP(A230,Enforcements!$C$7:$J$21,8,0)</f>
        <v>#N/A</v>
      </c>
      <c r="AC230" s="62" t="e">
        <f>VLOOKUP(A230,Enforcements!$C$7:$E$21,3,0)</f>
        <v>#N/A</v>
      </c>
      <c r="AD230" s="63" t="str">
        <f t="shared" si="208"/>
        <v>64-27</v>
      </c>
      <c r="AE230" s="99" t="str">
        <f t="shared" si="195"/>
        <v>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 &amp; aws s3 cp s3://rtdc.mdm.uploadarchive/RTDC4026/2016-08-29/ "%USERPROFILE%\AppData\Local\Temp\OnboardLogs"\RTDC4026\2016-08-29 --recursive &amp; "%USERPROFILE%\Documents\GitHub\mrs-test-scripts\Headless Mode &amp; Sideloading\WalkAndUnGZ.bat" "%USERPROFILE%\AppData\Local\Temp\OnboardLogs"\RTDC4026\2016-08-29</v>
      </c>
      <c r="AF230" s="96" t="str">
        <f t="shared" si="196"/>
        <v>"C:\Program Files (x86)\AstroGrep\AstroGrep.exe" /spath="%USERPROFILE%\AppData\Local\Temp\OnboardLogs" /stypes="*4026*20160828*" /stext=" 08:.+((SYSTEM_STATE.+slice.+state.+changed )|(ment ac)|(system.+state.+changed )|(\|lc)|(penalty)|(\[timeout)|(PRM\|1\|D)|(kpr)|(kdp))" /e /r /s</v>
      </c>
      <c r="AG230" s="1" t="str">
        <f t="shared" si="209"/>
        <v>Other</v>
      </c>
      <c r="AH230" s="100" t="str">
        <f t="shared" si="197"/>
        <v>"%USERPROFILE%\Documents\GitHub\eaglep3\Utilities\RefineRTDCRunTimes.py" --tripid 64-27 --locoid 4026 --swversion DE.1.0.7.0 --startMP 204:232990 --initTime 2016-08-28T02:06:16 --startdatetime 2016-08-28T02:11:17 --delay 1 --endMP 204:147 --enddatetime 2016-08-28T02:51:56 --enforcementcount 0 &gt;&gt;C:\Users\stu\Documents\GitHub\eaglep3-reporting\EC\2016-08-27-refined-times.txt</v>
      </c>
      <c r="AI230" s="149" t="str">
        <f t="shared" si="198"/>
        <v>echo {"issue":{"subject":"","project_id":79,"tracker_id":40,"status_id":1,"priority_id":2,"assigned_to_id":23,"start_date":"2016-08-28","description":"","custom_fields":[{"id":1,"name":"Subdivision","value":"Other"},{"id":4,"name":"Milepost","value":"23.2843"},{"id":17,"name":"Train ID","value":"64-27"},{"id":16,"name":"Locomotive ID","value":"4026"},{"id":130,"name":"Impact","value":""},{"id":150,"name":"Time of Event (Mountain Time)","value":"02:51:56"},{"id":151,"name":"Denver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307</v>
      </c>
      <c r="B231" s="7">
        <v>4031</v>
      </c>
      <c r="C231" s="24" t="s">
        <v>113</v>
      </c>
      <c r="D231" s="24" t="s">
        <v>363</v>
      </c>
      <c r="E231" s="15">
        <v>42608.643819444442</v>
      </c>
      <c r="F231" s="15">
        <v>42608.645567129628</v>
      </c>
      <c r="G231" s="7">
        <v>2</v>
      </c>
      <c r="H231" s="15" t="s">
        <v>364</v>
      </c>
      <c r="I231" s="15">
        <v>42608.65415509259</v>
      </c>
      <c r="J231" s="7">
        <v>0</v>
      </c>
      <c r="K231" s="132" t="str">
        <f t="shared" si="199"/>
        <v>4031/4032</v>
      </c>
      <c r="L231" s="24" t="e">
        <f>VLOOKUP(A231,'Trips&amp;Operators'!$C$1:$E$10000,3,FALSE)</f>
        <v>#N/A</v>
      </c>
      <c r="M231" s="6">
        <f t="shared" si="200"/>
        <v>8.5879629623377696E-3</v>
      </c>
      <c r="N231" s="7">
        <f t="shared" si="210"/>
        <v>12.366666665766388</v>
      </c>
      <c r="O231" s="7"/>
      <c r="P231" s="7"/>
      <c r="Q231" s="25"/>
      <c r="R231" s="25"/>
      <c r="S231" s="37">
        <f t="shared" si="201"/>
        <v>0</v>
      </c>
      <c r="T231" s="52" t="e">
        <f t="shared" si="202"/>
        <v>#VALUE!</v>
      </c>
      <c r="U231" s="126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14:27:06-0600',mode:absolute,to:'2016-08-26 16:41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W231" s="54" t="str">
        <f t="shared" si="204"/>
        <v>Y</v>
      </c>
      <c r="X231" s="120" t="e">
        <f t="shared" si="192"/>
        <v>#VALUE!</v>
      </c>
      <c r="Y231" s="69">
        <f t="shared" si="205"/>
        <v>5.2900000000000003E-2</v>
      </c>
      <c r="Z231" s="69">
        <f t="shared" si="206"/>
        <v>2.3298999999999999</v>
      </c>
      <c r="AA231" s="69">
        <f t="shared" si="207"/>
        <v>2.2769999999999997</v>
      </c>
      <c r="AB231" s="66" t="e">
        <f>VLOOKUP(A231,Enforcements!$C$7:$J$21,8,0)</f>
        <v>#N/A</v>
      </c>
      <c r="AC231" s="62" t="e">
        <f>VLOOKUP(A231,Enforcements!$C$7:$E$21,3,0)</f>
        <v>#N/A</v>
      </c>
      <c r="AD231" s="63" t="str">
        <f t="shared" si="208"/>
        <v>65-26</v>
      </c>
      <c r="AE231" s="99" t="str">
        <f t="shared" si="195"/>
        <v>aws s3 cp s3://rtdc.mdm.uploadarchive/RTDC4031/2016-08-26/ "%USERPROFILE%\AppData\Local\Temp\OnboardLogs"\RTDC4031\2016-08-26 --recursive &amp; "%USERPROFILE%\Documents\GitHub\mrs-test-scripts\Headless Mode &amp; Sideloading\WalkAndUnGZ.bat" "%USERPROFILE%\AppData\Local\Temp\OnboardLogs"\RTDC4031\2016-08-26 &amp; 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</v>
      </c>
      <c r="AF231" s="96" t="str">
        <f t="shared" si="196"/>
        <v>"C:\Program Files (x86)\AstroGrep\AstroGrep.exe" /spath="%USERPROFILE%\AppData\Local\Temp\OnboardLogs" /stypes="*4031*20160826*" /stext=" 21:.+((SYSTEM_STATE.+slice.+state.+changed )|(ment ac)|(system.+state.+changed )|(\|lc)|(penalty)|(\[timeout)|(PRM\|1\|D)|(kpr)|(kdp))" /e /r /s</v>
      </c>
      <c r="AG231" s="1" t="str">
        <f t="shared" si="209"/>
        <v>Other</v>
      </c>
      <c r="AH231" s="100" t="str">
        <f t="shared" si="197"/>
        <v>"%USERPROFILE%\Documents\GitHub\eaglep3\Utilities\RefineRTDCRunTimes.py" --tripid 65-26 --locoid 4031 --swversion DE.1.0.7.0 --startMP 204:529 --initTime 2016-08-26T15:27:06 --startdatetime 2016-08-26T15:29:37 --delay 2 --endMP 300:23299 --enddatetime 2016-08-26T15:41:59 --enforcementcount 0 &gt;&gt;C:\Users\stu\Documents\GitHub\eaglep3-reporting\EC\2016-08-27-refined-times.txt</v>
      </c>
      <c r="AI231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{"issue":{"subject":"","project_id":79,"tracker_id":40,"status_id":1,"priority_id":2,"assigned_to_id":23,"start_date":"2016-08-26","description":"","custom_fields":[{"id":1,"name":"Subdivision","value":"Other"},{"id":4,"name":"Milepost","value":"2.277"},{"id":17,"name":"Train ID","value":"65-26"},{"id":16,"name":"Locomotive ID","value":"4031"},{"id":130,"name":"Impact","value":""},{"id":150,"name":"Time of Event (Mountain Time)","value":"15:41:59"},{"id":151,"name":"Denver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314</v>
      </c>
      <c r="B232" s="7">
        <v>4044</v>
      </c>
      <c r="C232" s="24" t="s">
        <v>113</v>
      </c>
      <c r="D232" s="24" t="s">
        <v>365</v>
      </c>
      <c r="E232" s="15">
        <v>42608.894270833334</v>
      </c>
      <c r="F232" s="15">
        <v>42608.895162037035</v>
      </c>
      <c r="G232" s="7">
        <v>1</v>
      </c>
      <c r="H232" s="15" t="s">
        <v>149</v>
      </c>
      <c r="I232" s="15">
        <v>42608.918356481481</v>
      </c>
      <c r="J232" s="7">
        <v>0</v>
      </c>
      <c r="K232" s="132" t="str">
        <f t="shared" si="199"/>
        <v>4043/4044</v>
      </c>
      <c r="L232" s="24" t="e">
        <f>VLOOKUP(A232,'Trips&amp;Operators'!$C$1:$E$10000,3,FALSE)</f>
        <v>#N/A</v>
      </c>
      <c r="M232" s="6">
        <f t="shared" si="200"/>
        <v>2.3194444445834961E-2</v>
      </c>
      <c r="N232" s="7">
        <f t="shared" si="210"/>
        <v>33.400000002002344</v>
      </c>
      <c r="O232" s="7"/>
      <c r="P232" s="7"/>
      <c r="Q232" s="25"/>
      <c r="R232" s="25"/>
      <c r="S232" s="37">
        <f t="shared" si="201"/>
        <v>0</v>
      </c>
      <c r="T232" s="52" t="e">
        <f t="shared" si="202"/>
        <v>#VALUE!</v>
      </c>
      <c r="U232" s="126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20:27:45-0600',mode:absolute,to:'2016-08-26 23:02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32" s="54" t="str">
        <f t="shared" si="204"/>
        <v>N</v>
      </c>
      <c r="X232" s="120" t="e">
        <f t="shared" si="192"/>
        <v>#VALUE!</v>
      </c>
      <c r="Y232" s="69">
        <f t="shared" si="205"/>
        <v>1.9121999999999999</v>
      </c>
      <c r="Z232" s="69">
        <f t="shared" si="206"/>
        <v>23.33</v>
      </c>
      <c r="AA232" s="69">
        <f t="shared" si="207"/>
        <v>21.4178</v>
      </c>
      <c r="AB232" s="66" t="e">
        <f>VLOOKUP(A232,Enforcements!$C$7:$J$21,8,0)</f>
        <v>#N/A</v>
      </c>
      <c r="AC232" s="62" t="e">
        <f>VLOOKUP(A232,Enforcements!$C$7:$E$21,3,0)</f>
        <v>#N/A</v>
      </c>
      <c r="AD232" s="63" t="str">
        <f t="shared" si="208"/>
        <v>67-26</v>
      </c>
      <c r="AE232" s="99" t="str">
        <f t="shared" si="195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32" s="96" t="str">
        <f t="shared" si="196"/>
        <v>"C:\Program Files (x86)\AstroGrep\AstroGrep.exe" /spath="%USERPROFILE%\AppData\Local\Temp\OnboardLogs" /stypes="*4044*20160827*" /stext=" 04:.+((SYSTEM_STATE.+slice.+state.+changed )|(ment ac)|(system.+state.+changed )|(\|lc)|(penalty)|(\[timeout)|(PRM\|1\|D)|(kpr)|(kdp))" /e /r /s</v>
      </c>
      <c r="AG232" s="1" t="str">
        <f t="shared" si="209"/>
        <v>Other</v>
      </c>
      <c r="AH232" s="100" t="str">
        <f t="shared" si="197"/>
        <v>"%USERPROFILE%\Documents\GitHub\eaglep3\Utilities\RefineRTDCRunTimes.py" --tripid 67-26 --locoid 4044 --swversion DE.1.0.7.0 --startMP 204:19122 --initTime 2016-08-26T21:27:45 --startdatetime 2016-08-26T21:29:02 --delay 1 --endMP 204:233300 --enddatetime 2016-08-26T22:02:26 --enforcementcount 0 &gt;&gt;C:\Users\stu\Documents\GitHub\eaglep3-reporting\EC\2016-08-27-refined-times.txt</v>
      </c>
      <c r="AI232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{"issue":{"subject":"","project_id":79,"tracker_id":40,"status_id":1,"priority_id":2,"assigned_to_id":23,"start_date":"2016-08-26","description":"","custom_fields":[{"id":1,"name":"Subdivision","value":"Other"},{"id":4,"name":"Milepost","value":"21.4178"},{"id":17,"name":"Train ID","value":"67-26"},{"id":16,"name":"Locomotive ID","value":"4044"},{"id":130,"name":"Impact","value":""},{"id":150,"name":"Time of Event (Mountain Time)","value":"22:02:26"},{"id":151,"name":"Denver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314</v>
      </c>
      <c r="B233" s="7">
        <v>4044</v>
      </c>
      <c r="C233" s="24" t="s">
        <v>113</v>
      </c>
      <c r="D233" s="24" t="s">
        <v>331</v>
      </c>
      <c r="E233" s="15">
        <v>42608.889178240737</v>
      </c>
      <c r="F233" s="15">
        <v>42608.890208333331</v>
      </c>
      <c r="G233" s="7">
        <v>1</v>
      </c>
      <c r="H233" s="15" t="s">
        <v>352</v>
      </c>
      <c r="I233" s="15">
        <v>42608.892442129632</v>
      </c>
      <c r="J233" s="7">
        <v>0</v>
      </c>
      <c r="K233" s="132" t="str">
        <f t="shared" si="199"/>
        <v>4043/4044</v>
      </c>
      <c r="L233" s="24" t="e">
        <f>VLOOKUP(A233,'Trips&amp;Operators'!$C$1:$E$10000,3,FALSE)</f>
        <v>#N/A</v>
      </c>
      <c r="M233" s="6">
        <f t="shared" si="200"/>
        <v>2.2337963018799201E-3</v>
      </c>
      <c r="N233" s="7">
        <f t="shared" si="210"/>
        <v>3.2166666747070849</v>
      </c>
      <c r="O233" s="7"/>
      <c r="P233" s="7"/>
      <c r="Q233" s="25"/>
      <c r="R233" s="25"/>
      <c r="S233" s="37">
        <f t="shared" si="201"/>
        <v>0</v>
      </c>
      <c r="T233" s="52" t="e">
        <f t="shared" si="202"/>
        <v>#VALUE!</v>
      </c>
      <c r="U233" s="126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20:20:25-0600',mode:absolute,to:'2016-08-26 22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4044%22')),sort:!(Time,asc))</v>
      </c>
      <c r="W233" s="54" t="str">
        <f t="shared" si="204"/>
        <v>Y</v>
      </c>
      <c r="X233" s="120" t="e">
        <f t="shared" si="192"/>
        <v>#VALUE!</v>
      </c>
      <c r="Y233" s="69">
        <f t="shared" si="205"/>
        <v>7.7700000000000005E-2</v>
      </c>
      <c r="Z233" s="69">
        <f t="shared" si="206"/>
        <v>0.58879999999999999</v>
      </c>
      <c r="AA233" s="69">
        <f t="shared" si="207"/>
        <v>0.5111</v>
      </c>
      <c r="AB233" s="66" t="e">
        <f>VLOOKUP(A233,Enforcements!$C$7:$J$21,8,0)</f>
        <v>#N/A</v>
      </c>
      <c r="AC233" s="62" t="e">
        <f>VLOOKUP(A233,Enforcements!$C$7:$E$21,3,0)</f>
        <v>#N/A</v>
      </c>
      <c r="AD233" s="63" t="str">
        <f t="shared" si="208"/>
        <v>67-26</v>
      </c>
      <c r="AE233" s="99" t="str">
        <f t="shared" si="195"/>
        <v>aws s3 cp s3://rtdc.mdm.uploadarchive/RTDC4044/2016-08-26/ "%USERPROFILE%\AppData\Local\Temp\OnboardLogs"\RTDC4044\2016-08-26 --recursive &amp; "%USERPROFILE%\Documents\GitHub\mrs-test-scripts\Headless Mode &amp; Sideloading\WalkAndUnGZ.bat" "%USERPROFILE%\AppData\Local\Temp\OnboardLogs"\RTDC4044\2016-08-26 &amp; aws s3 cp s3://rtdc.mdm.uploadarchive/RTDC4044/2016-08-27/ "%USERPROFILE%\AppData\Local\Temp\OnboardLogs"\RTDC4044\2016-08-27 --recursive &amp; "%USERPROFILE%\Documents\GitHub\mrs-test-scripts\Headless Mode &amp; Sideloading\WalkAndUnGZ.bat" "%USERPROFILE%\AppData\Local\Temp\OnboardLogs"\RTDC4044\2016-08-27</v>
      </c>
      <c r="AF233" s="96" t="str">
        <f t="shared" si="196"/>
        <v>"C:\Program Files (x86)\AstroGrep\AstroGrep.exe" /spath="%USERPROFILE%\AppData\Local\Temp\OnboardLogs" /stypes="*4044*20160827*" /stext=" 03:.+((SYSTEM_STATE.+slice.+state.+changed )|(ment ac)|(system.+state.+changed )|(\|lc)|(penalty)|(\[timeout)|(PRM\|1\|D)|(kpr)|(kdp))" /e /r /s</v>
      </c>
      <c r="AG233" s="1" t="str">
        <f t="shared" si="209"/>
        <v>Other</v>
      </c>
      <c r="AH233" s="100" t="str">
        <f t="shared" si="197"/>
        <v>"%USERPROFILE%\Documents\GitHub\eaglep3\Utilities\RefineRTDCRunTimes.py" --tripid 67-26 --locoid 4044 --swversion DE.1.0.7.0 --startMP 204:777 --initTime 2016-08-26T21:20:25 --startdatetime 2016-08-26T21:21:54 --delay 1 --endMP 204:5888 --enddatetime 2016-08-26T21:25:07 --enforcementcount 0 &gt;&gt;C:\Users\stu\Documents\GitHub\eaglep3-reporting\EC\2016-08-27-refined-times.txt</v>
      </c>
      <c r="AI233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{"issue":{"subject":"","project_id":79,"tracker_id":40,"status_id":1,"priority_id":2,"assigned_to_id":23,"start_date":"2016-08-26","description":"","custom_fields":[{"id":1,"name":"Subdivision","value":"Other"},{"id":4,"name":"Milepost","value":"0.5111"},{"id":17,"name":"Train ID","value":"67-26"},{"id":16,"name":"Locomotive ID","value":"4044"},{"id":130,"name":"Impact","value":""},{"id":150,"name":"Time of Event (Mountain Time)","value":"21:25:07"},{"id":151,"name":"Denver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309</v>
      </c>
      <c r="B234" s="7">
        <v>4021</v>
      </c>
      <c r="C234" s="24" t="s">
        <v>113</v>
      </c>
      <c r="D234" s="24" t="s">
        <v>366</v>
      </c>
      <c r="E234" s="15">
        <v>42608.752164351848</v>
      </c>
      <c r="F234" s="15">
        <v>42608.754814814813</v>
      </c>
      <c r="G234" s="7">
        <v>3</v>
      </c>
      <c r="H234" s="15" t="s">
        <v>367</v>
      </c>
      <c r="I234" s="15">
        <v>42608.761574074073</v>
      </c>
      <c r="J234" s="7">
        <v>0</v>
      </c>
      <c r="K234" s="132" t="str">
        <f t="shared" si="199"/>
        <v>4021/4022</v>
      </c>
      <c r="L234" s="24" t="e">
        <f>VLOOKUP(A234,'Trips&amp;Operators'!$C$1:$E$10000,3,FALSE)</f>
        <v>#N/A</v>
      </c>
      <c r="M234" s="6">
        <f t="shared" si="200"/>
        <v>6.7592592604341917E-3</v>
      </c>
      <c r="N234" s="7">
        <f t="shared" si="210"/>
        <v>9.733333335025236</v>
      </c>
      <c r="O234" s="7"/>
      <c r="P234" s="7"/>
      <c r="Q234" s="25"/>
      <c r="R234" s="25"/>
      <c r="S234" s="37">
        <f t="shared" si="201"/>
        <v>0</v>
      </c>
      <c r="T234" s="52" t="e">
        <f t="shared" si="202"/>
        <v>#VALUE!</v>
      </c>
      <c r="U234" s="126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06" t="str">
        <f t="shared" si="203"/>
        <v>https://search-rtdc-monitor-bjffxe2xuh6vdkpspy63sjmuny.us-east-1.es.amazonaws.com/_plugin/kibana/#/discover/Steve-Slow-Train-Analysis-(2080s-and-2083s)?_g=(refreshInterval:(display:Off,section:0,value:0),time:(from:'2016-08-26 17:03:07-0600',mode:absolute,to:'2016-08-26 19:16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4021%22')),sort:!(Time,asc))</v>
      </c>
      <c r="W234" s="54" t="str">
        <f t="shared" si="204"/>
        <v>Y</v>
      </c>
      <c r="X234" s="120" t="e">
        <f t="shared" si="192"/>
        <v>#VALUE!</v>
      </c>
      <c r="Y234" s="69">
        <f t="shared" si="205"/>
        <v>2.3449</v>
      </c>
      <c r="Z234" s="69">
        <f t="shared" si="206"/>
        <v>1.3299999999999999E-2</v>
      </c>
      <c r="AA234" s="69">
        <f t="shared" si="207"/>
        <v>2.3315999999999999</v>
      </c>
      <c r="AB234" s="66" t="e">
        <f>VLOOKUP(A234,Enforcements!$C$7:$J$21,8,0)</f>
        <v>#N/A</v>
      </c>
      <c r="AC234" s="62" t="e">
        <f>VLOOKUP(A234,Enforcements!$C$7:$E$21,3,0)</f>
        <v>#N/A</v>
      </c>
      <c r="AD234" s="63" t="str">
        <f t="shared" si="208"/>
        <v>68-26</v>
      </c>
      <c r="AE234" s="99" t="str">
        <f t="shared" si="195"/>
        <v>aws s3 cp s3://rtdc.mdm.uploadarchive/RTDC4021/2016-08-26/ "%USERPROFILE%\AppData\Local\Temp\OnboardLogs"\RTDC4021\2016-08-26 --recursive &amp; "%USERPROFILE%\Documents\GitHub\mrs-test-scripts\Headless Mode &amp; Sideloading\WalkAndUnGZ.bat" "%USERPROFILE%\AppData\Local\Temp\OnboardLogs"\RTDC4021\2016-08-26 &amp; aws s3 cp s3://rtdc.mdm.uploadarchive/RTDC4021/2016-08-27/ "%USERPROFILE%\AppData\Local\Temp\OnboardLogs"\RTDC4021\2016-08-27 --recursive &amp; "%USERPROFILE%\Documents\GitHub\mrs-test-scripts\Headless Mode &amp; Sideloading\WalkAndUnGZ.bat" "%USERPROFILE%\AppData\Local\Temp\OnboardLogs"\RTDC4021\2016-08-27</v>
      </c>
      <c r="AF234" s="96" t="str">
        <f t="shared" si="196"/>
        <v>"C:\Program Files (x86)\AstroGrep\AstroGrep.exe" /spath="%USERPROFILE%\AppData\Local\Temp\OnboardLogs" /stypes="*4021*20160827*" /stext=" 00:.+((SYSTEM_STATE.+slice.+state.+changed )|(ment ac)|(system.+state.+changed )|(\|lc)|(penalty)|(\[timeout)|(PRM\|1\|D)|(kpr)|(kdp))" /e /r /s</v>
      </c>
      <c r="AG234" s="1" t="str">
        <f t="shared" si="209"/>
        <v>Other</v>
      </c>
      <c r="AH234" s="100" t="str">
        <f t="shared" si="197"/>
        <v>"%USERPROFILE%\Documents\GitHub\eaglep3\Utilities\RefineRTDCRunTimes.py" --tripid 68-26 --locoid 4021 --swversion DE.1.0.7.0 --startMP 300:23449 --initTime 2016-08-26T18:03:07 --startdatetime 2016-08-26T18:06:56 --delay 3 --endMP 204:133 --enddatetime 2016-08-26T18:16:40 --enforcementcount 0 &gt;&gt;C:\Users\stu\Documents\GitHub\eaglep3-reporting\EC\2016-08-27-refined-times.txt</v>
      </c>
      <c r="AI234" s="149" t="str">
        <f t="shared" si="198"/>
        <v>echo {"issue":{"subject":"","project_id":79,"tracker_id":40,"status_id":1,"priority_id":2,"assigned_to_id":23,"start_date":"2016-08-26","description":"","custom_fields":[{"id":1,"name":"Subdivision","value":"Other"},{"id":4,"name":"Milepost","value":"2.3316"},{"id":17,"name":"Train ID","value":"68-26"},{"id":16,"name":"Locomotive ID","value":"4021"},{"id":130,"name":"Impact","value":""},{"id":150,"name":"Time of Event (Mountain Time)","value":"18:16:40"},{"id":151,"name":"Denver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32"/>
      <c r="L235" s="24"/>
      <c r="M235" s="6"/>
      <c r="N235" s="7"/>
      <c r="O235" s="7"/>
      <c r="P235" s="7"/>
      <c r="Q235" s="25"/>
      <c r="R235" s="25"/>
      <c r="S235" s="37"/>
      <c r="T235" s="52"/>
      <c r="U235" s="126"/>
      <c r="V235" s="106"/>
      <c r="W235" s="54"/>
      <c r="X235" s="120"/>
      <c r="Y235" s="69"/>
      <c r="Z235" s="69"/>
      <c r="AA235" s="69"/>
      <c r="AB235" s="66"/>
      <c r="AC235" s="62"/>
      <c r="AD235" s="63"/>
      <c r="AE235" s="99"/>
      <c r="AF235" s="96"/>
      <c r="AG235" s="1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32"/>
      <c r="L236" s="24"/>
      <c r="M236" s="6"/>
      <c r="N236" s="7"/>
      <c r="O236" s="7"/>
      <c r="P236" s="7"/>
      <c r="Q236" s="25"/>
      <c r="R236" s="25"/>
      <c r="S236" s="37"/>
      <c r="T236" s="52"/>
      <c r="U236" s="126"/>
      <c r="V236" s="106"/>
      <c r="W236" s="54"/>
      <c r="X236" s="120"/>
      <c r="Y236" s="69"/>
      <c r="Z236" s="69"/>
      <c r="AA236" s="69"/>
      <c r="AB236" s="66"/>
      <c r="AC236" s="62"/>
      <c r="AD236" s="63"/>
      <c r="AE236" s="99"/>
      <c r="AF236" s="96"/>
      <c r="AG236" s="1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32"/>
      <c r="L237" s="24"/>
      <c r="M237" s="6"/>
      <c r="N237" s="7"/>
      <c r="O237" s="7"/>
      <c r="P237" s="7"/>
      <c r="Q237" s="25"/>
      <c r="R237" s="25"/>
      <c r="S237" s="37"/>
      <c r="T237" s="52"/>
      <c r="U237" s="126"/>
      <c r="V237" s="106"/>
      <c r="W237" s="54"/>
      <c r="X237" s="120"/>
      <c r="Y237" s="69"/>
      <c r="Z237" s="69"/>
      <c r="AA237" s="69"/>
      <c r="AB237" s="66"/>
      <c r="AC237" s="62"/>
      <c r="AD237" s="63"/>
      <c r="AE237" s="99"/>
      <c r="AF237" s="96"/>
      <c r="AG237" s="1"/>
    </row>
  </sheetData>
  <autoFilter ref="A12:AG237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259" operator="equal">
      <formula>"Y"</formula>
    </cfRule>
  </conditionalFormatting>
  <conditionalFormatting sqref="X13:X1048576">
    <cfRule type="cellIs" dxfId="7" priority="242" operator="greaterThan">
      <formula>1</formula>
    </cfRule>
  </conditionalFormatting>
  <conditionalFormatting sqref="X12:X1048576">
    <cfRule type="cellIs" dxfId="6" priority="239" operator="equal">
      <formula>0</formula>
    </cfRule>
  </conditionalFormatting>
  <conditionalFormatting sqref="A13:S237">
    <cfRule type="expression" dxfId="5" priority="235">
      <formula>$O13&gt;0</formula>
    </cfRule>
  </conditionalFormatting>
  <conditionalFormatting sqref="A13:S237">
    <cfRule type="expression" dxfId="4" priority="234">
      <formula>$P13&gt;0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33" id="{07B64F47-9FD1-48B1-84DC-90BBCF0B8697}">
            <xm:f>IF($AG13="EC",$N13&gt;Variables!$C$2,$N13&gt;Variables!$D$2)</xm:f>
            <x14:dxf>
              <fill>
                <patternFill>
                  <bgColor theme="5" tint="0.79998168889431442"/>
                </patternFill>
              </fill>
            </x14:dxf>
          </x14:cfRule>
          <xm:sqref>A13:S237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AK13:AK234</xm:sqref>
        </x14:dataValidation>
        <x14:dataValidation type="list" allowBlank="1" showInputMessage="1" showErrorMessage="1">
          <x14:formula1>
            <xm:f>'Redmine List Values'!$C$2:$C$13</xm:f>
          </x14:formula1>
          <xm:sqref>AL13:AL234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74"/>
  <sheetViews>
    <sheetView topLeftCell="A2" workbookViewId="0">
      <selection activeCell="N20" sqref="N20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9.85546875" customWidth="1"/>
    <col min="5" max="5" width="21" customWidth="1"/>
    <col min="6" max="6" width="7.7109375" style="2" customWidth="1"/>
    <col min="7" max="7" width="8.28515625" style="2" customWidth="1"/>
    <col min="8" max="8" width="9" style="2" customWidth="1"/>
    <col min="9" max="9" width="11.5703125" hidden="1" customWidth="1"/>
    <col min="10" max="10" width="10.85546875" style="2" customWidth="1"/>
    <col min="11" max="11" width="7.85546875" customWidth="1"/>
    <col min="12" max="12" width="11.85546875" style="30" customWidth="1"/>
    <col min="13" max="13" width="5.140625" style="114" customWidth="1"/>
    <col min="14" max="14" width="30.7109375" customWidth="1"/>
    <col min="15" max="15" width="5" hidden="1" customWidth="1"/>
    <col min="16" max="16" width="5.7109375" style="97" customWidth="1"/>
    <col min="17" max="17" width="5.7109375" style="109" customWidth="1"/>
    <col min="18" max="18" width="6" style="94" customWidth="1"/>
    <col min="19" max="19" width="5.28515625" customWidth="1"/>
    <col min="20" max="20" width="20" style="50" bestFit="1" customWidth="1"/>
    <col min="21" max="21" width="5.28515625" customWidth="1"/>
    <col min="22" max="22" width="6.7109375" customWidth="1"/>
  </cols>
  <sheetData>
    <row r="1" spans="1:26" s="23" customFormat="1" ht="15.75" hidden="1" thickBot="1" x14ac:dyDescent="0.3">
      <c r="A1" s="8"/>
      <c r="F1" s="2"/>
      <c r="G1" s="2"/>
      <c r="H1" s="2"/>
      <c r="J1" s="2"/>
      <c r="L1" s="30"/>
      <c r="M1" s="114"/>
      <c r="P1" s="97"/>
      <c r="Q1" s="109"/>
      <c r="R1" s="94"/>
      <c r="T1" s="50"/>
    </row>
    <row r="2" spans="1:26" s="23" customFormat="1" x14ac:dyDescent="0.25">
      <c r="A2" s="8"/>
      <c r="F2" s="2"/>
      <c r="G2" s="2"/>
      <c r="H2" s="2"/>
      <c r="J2" s="2"/>
      <c r="K2" s="133" t="s">
        <v>87</v>
      </c>
      <c r="L2" s="134"/>
      <c r="M2" s="135">
        <f>COUNTIF($M$7:$M$403,"=Y")</f>
        <v>1</v>
      </c>
      <c r="N2" s="136"/>
      <c r="P2" s="97"/>
      <c r="Q2" s="109"/>
      <c r="R2" s="94"/>
      <c r="T2" s="50"/>
    </row>
    <row r="3" spans="1:26" s="23" customFormat="1" ht="15.75" thickBot="1" x14ac:dyDescent="0.3">
      <c r="A3" s="8"/>
      <c r="F3" s="2"/>
      <c r="G3" s="2"/>
      <c r="H3" s="2"/>
      <c r="J3" s="2"/>
      <c r="K3" s="137" t="s">
        <v>88</v>
      </c>
      <c r="L3" s="138"/>
      <c r="M3" s="139">
        <f>COUNTA($M$7:$M$403)-M2</f>
        <v>39</v>
      </c>
      <c r="N3" s="136"/>
      <c r="P3" s="97"/>
      <c r="Q3" s="109"/>
      <c r="R3" s="94"/>
      <c r="T3" s="50"/>
    </row>
    <row r="4" spans="1:26" s="23" customFormat="1" x14ac:dyDescent="0.25">
      <c r="A4" s="8"/>
      <c r="F4" s="2"/>
      <c r="G4" s="2"/>
      <c r="H4" s="2"/>
      <c r="J4" s="2"/>
      <c r="L4" s="30"/>
      <c r="M4" s="114"/>
      <c r="P4" s="97"/>
      <c r="Q4" s="109"/>
      <c r="R4" s="94"/>
      <c r="T4" s="50"/>
    </row>
    <row r="5" spans="1:26" s="11" customFormat="1" ht="15" customHeight="1" x14ac:dyDescent="0.25">
      <c r="A5" s="163" t="str">
        <f>"Eagle P3 Braking Events - "&amp;TEXT(Variables!$A$2,"YYYY-mm-dd")</f>
        <v>Eagle P3 Braking Events - 2016-08-27</v>
      </c>
      <c r="B5" s="163"/>
      <c r="C5" s="163"/>
      <c r="D5" s="163"/>
      <c r="E5" s="163"/>
      <c r="F5" s="163"/>
      <c r="G5" s="163"/>
      <c r="H5" s="163"/>
      <c r="I5" s="163"/>
      <c r="J5" s="163"/>
      <c r="K5" s="163"/>
      <c r="L5" s="163"/>
      <c r="M5" s="163"/>
      <c r="N5" s="12"/>
      <c r="P5" s="107"/>
      <c r="Q5" s="110"/>
      <c r="R5" s="112"/>
      <c r="T5" s="51"/>
    </row>
    <row r="6" spans="1:26" s="162" customFormat="1" ht="69.75" customHeight="1" x14ac:dyDescent="0.2">
      <c r="A6" s="150" t="s">
        <v>38</v>
      </c>
      <c r="B6" s="151" t="s">
        <v>37</v>
      </c>
      <c r="C6" s="151" t="s">
        <v>36</v>
      </c>
      <c r="D6" s="151" t="s">
        <v>35</v>
      </c>
      <c r="E6" s="151" t="s">
        <v>34</v>
      </c>
      <c r="F6" s="152" t="s">
        <v>33</v>
      </c>
      <c r="G6" s="152" t="s">
        <v>32</v>
      </c>
      <c r="H6" s="152" t="s">
        <v>31</v>
      </c>
      <c r="I6" s="151" t="s">
        <v>30</v>
      </c>
      <c r="J6" s="152" t="s">
        <v>29</v>
      </c>
      <c r="K6" s="151" t="s">
        <v>28</v>
      </c>
      <c r="L6" s="153" t="s">
        <v>47</v>
      </c>
      <c r="M6" s="154" t="s">
        <v>27</v>
      </c>
      <c r="N6" s="151" t="s">
        <v>24</v>
      </c>
      <c r="O6" s="155"/>
      <c r="P6" s="156" t="s">
        <v>101</v>
      </c>
      <c r="Q6" s="157" t="s">
        <v>61</v>
      </c>
      <c r="R6" s="158" t="s">
        <v>100</v>
      </c>
      <c r="S6" s="151" t="s">
        <v>95</v>
      </c>
      <c r="T6" s="159" t="s">
        <v>96</v>
      </c>
      <c r="U6" s="155" t="s">
        <v>108</v>
      </c>
      <c r="V6" s="155" t="s">
        <v>110</v>
      </c>
      <c r="W6" s="160" t="s">
        <v>248</v>
      </c>
      <c r="X6" s="161" t="s">
        <v>249</v>
      </c>
      <c r="Y6" s="161" t="s">
        <v>221</v>
      </c>
      <c r="Z6" s="161" t="s">
        <v>250</v>
      </c>
    </row>
    <row r="7" spans="1:26" s="1" customFormat="1" x14ac:dyDescent="0.25">
      <c r="A7" s="38">
        <v>42609.672847222224</v>
      </c>
      <c r="B7" s="33" t="s">
        <v>289</v>
      </c>
      <c r="C7" s="33" t="s">
        <v>584</v>
      </c>
      <c r="D7" s="33" t="s">
        <v>111</v>
      </c>
      <c r="E7" s="33" t="s">
        <v>326</v>
      </c>
      <c r="F7" s="49">
        <v>0</v>
      </c>
      <c r="G7" s="49">
        <v>386</v>
      </c>
      <c r="H7" s="49">
        <v>42923</v>
      </c>
      <c r="I7" s="33" t="s">
        <v>325</v>
      </c>
      <c r="J7" s="49">
        <v>42961</v>
      </c>
      <c r="K7" s="33" t="s">
        <v>53</v>
      </c>
      <c r="L7" s="92" t="str">
        <f>VLOOKUP(C7,'Trips&amp;Operators'!$C$1:$E$9999,3,0)</f>
        <v>BARTLETT</v>
      </c>
      <c r="M7" s="131" t="s">
        <v>86</v>
      </c>
      <c r="N7" s="10" t="s">
        <v>383</v>
      </c>
      <c r="O7" s="33"/>
      <c r="P7" s="108" t="str">
        <f>VLOOKUP(C7,'Train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7" s="111" t="str">
        <f>VLOOKUP(C7,'Train Runs'!$A$13:$AE$10012,22,0)</f>
        <v>https://search-rtdc-monitor-bjffxe2xuh6vdkpspy63sjmuny.us-east-1.es.amazonaws.com/_plugin/kibana/#/discover/Steve-Slow-Train-Analysis-(2080s-and-2083s)?_g=(refreshInterval:(display:Off,section:0,value:0),time:(from:'2016-08-27 14:34:38-0600',mode:absolute,to:'2016-08-27 17:21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7" s="113" t="str">
        <f t="shared" ref="R7:R46" si="0">astrogrep_path&amp;" /spath="&amp;search_path&amp;" /stypes=""*"&amp;S7&amp;"*"&amp;TEXT(A7-utc_offset/24,"YYYYMMDD")&amp;LEFT(TEXT(A7-utc_offset/24,"HH"),1)&amp;"*""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/stypes="*4019*201608272*" /stext=" 22:.+((SYSTEM_STATE.+slice.+state.+changed )|(ment ac)|(system.+state.+changed )|(\|lc)|(penalty)|(\[timeout)|(PRM\|1\|D)|(kpr)|(kdp))" /e /r /s</v>
      </c>
      <c r="S7" s="9" t="str">
        <f t="shared" ref="S7:S46" si="1">MID(B7,13,4)</f>
        <v>4019</v>
      </c>
      <c r="T7" s="38">
        <f t="shared" ref="T7:T46" si="2">A7+6/24</f>
        <v>42609.922847222224</v>
      </c>
      <c r="U7" s="52" t="str">
        <f t="shared" ref="U7:U46" si="3">IF(VALUE(LEFT(IF(LEN(C7)=6,"0"&amp;C7,C7),2))&lt;=2,"EC",IF(OR(VALUE(LEFT(IF(LEN(C7)=6,"0"&amp;C7,C7),2))=8,VALUE(LEFT(IF(LEN(C7)=6,"0"&amp;C7,C7),2))=18),"NW","Other"))</f>
        <v>EC</v>
      </c>
      <c r="V7" s="52" t="str">
        <f t="shared" ref="V7:V46" si="4">IF(AND(E7="TRACK WARRANT AUTHORITY",G7&lt;10),"OMIT","KEEP")</f>
        <v>KEEP</v>
      </c>
      <c r="W7" s="149" t="str">
        <f t="shared" ref="W7:W46" si="5">"echo {""issue"":{""subject"":"""&amp;N7&amp;""",""project_id"":79,""tracker_id"":40,""status_id"":"&amp;redmine_status&amp;",""priority_id"":"&amp;redmine_priority&amp;",""assigned_to_id"":"&amp;redmine_assignee&amp;",""start_date"":"""&amp;TEXT(A7,"YYYY-mm-dd")&amp;""",""description"":"""&amp;X7&amp;""",""custom_fields"":[{""id"":1,""name"":""Subdivision"",""value"":"""&amp;U7&amp;"""},{""id"":4,""name"":""Milepost"",""value"":"""&amp;J7/10000&amp;"""},{""id"":17,""name"":""Train ID"",""value"":"""&amp;C7&amp;"""},{""id"":16,""name"":""Locomotive ID"",""value"":"""&amp;S7&amp;"""},{""id"":130,""name"":""Impact"",""value"":"""&amp;Y7&amp;"""},{""id"":150,""name"":""Time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Assigned"",""value"":"""&amp;Z7&amp;"""}]}}"&amp;"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arrival","project_id":79,"tracker_id":40,"status_id":1,"priority_id":2,"assigned_to_id":23,"start_date":"2016-08-27","description":"","custom_fields":[{"id":1,"name":"Subdivision","value":"EC"},{"id":4,"name":"Milepost","value":"4.2961"},{"id":17,"name":"Train ID","value":"190-27"},{"id":16,"name":"Locomotive ID","value":"4019"},{"id":130,"name":"Impact","value":""},{"id":150,"name":"Time of Event (Mountain Time)","value":"16:08:54"},{"id":151,"name":"Denver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7" s="55"/>
      <c r="Y7" s="55"/>
      <c r="Z7" s="55"/>
    </row>
    <row r="8" spans="1:26" s="1" customFormat="1" x14ac:dyDescent="0.25">
      <c r="A8" s="38">
        <v>42609.312048611115</v>
      </c>
      <c r="B8" s="33" t="s">
        <v>92</v>
      </c>
      <c r="C8" s="33" t="s">
        <v>411</v>
      </c>
      <c r="D8" s="33" t="s">
        <v>49</v>
      </c>
      <c r="E8" s="33" t="s">
        <v>326</v>
      </c>
      <c r="F8" s="49">
        <v>0</v>
      </c>
      <c r="G8" s="49">
        <v>146</v>
      </c>
      <c r="H8" s="49">
        <v>49425</v>
      </c>
      <c r="I8" s="33" t="s">
        <v>325</v>
      </c>
      <c r="J8" s="49">
        <v>48048</v>
      </c>
      <c r="K8" s="33" t="s">
        <v>53</v>
      </c>
      <c r="L8" s="92" t="str">
        <f>VLOOKUP(C8,'Trips&amp;Operators'!$C$1:$E$9999,3,0)</f>
        <v>STRICKLAND</v>
      </c>
      <c r="M8" s="131" t="s">
        <v>86</v>
      </c>
      <c r="N8" s="10" t="s">
        <v>710</v>
      </c>
      <c r="O8" s="33"/>
      <c r="P8" s="108" t="str">
        <f>VLOOKUP(C8,'Train Runs'!$A$13:$AE$10012,31,0)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Q8" s="111" t="str">
        <f>VLOOKUP(C8,'Train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05:28:55-0600',mode:absolute,to:'2016-08-27 08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8" s="113" t="str">
        <f t="shared" si="0"/>
        <v>"C:\Program Files (x86)\AstroGrep\AstroGrep.exe" /spath="%USERPROFILE%\AppData\Local\Temp\OnboardLogs" /stypes="*4030*201608271*" /stext=" 13:.+((SYSTEM_STATE.+slice.+state.+changed )|(ment ac)|(system.+state.+changed )|(\|lc)|(penalty)|(\[timeout)|(PRM\|1\|D)|(kpr)|(kdp))" /e /r /s</v>
      </c>
      <c r="S8" s="9" t="str">
        <f t="shared" si="1"/>
        <v>4030</v>
      </c>
      <c r="T8" s="38">
        <f t="shared" si="2"/>
        <v>42609.562048611115</v>
      </c>
      <c r="U8" s="52" t="str">
        <f t="shared" si="3"/>
        <v>EC</v>
      </c>
      <c r="V8" s="52" t="str">
        <f t="shared" si="4"/>
        <v>KEEP</v>
      </c>
      <c r="W8" s="149" t="str">
        <f t="shared" si="5"/>
        <v>echo {"issue":{"subject":"Form C","project_id":79,"tracker_id":40,"status_id":1,"priority_id":2,"assigned_to_id":23,"start_date":"2016-08-27","description":"","custom_fields":[{"id":1,"name":"Subdivision","value":"EC"},{"id":4,"name":"Milepost","value":"4.8048"},{"id":17,"name":"Train ID","value":"116-27"},{"id":16,"name":"Locomotive ID","value":"4030"},{"id":130,"name":"Impact","value":""},{"id":150,"name":"Time of Event (Mountain Time)","value":"07:29:21"},{"id":151,"name":"Denver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8" s="55"/>
      <c r="Y8" s="55"/>
      <c r="Z8" s="55"/>
    </row>
    <row r="9" spans="1:26" s="1" customFormat="1" x14ac:dyDescent="0.25">
      <c r="A9" s="38">
        <v>42609.321631944447</v>
      </c>
      <c r="B9" s="33" t="s">
        <v>144</v>
      </c>
      <c r="C9" s="33" t="s">
        <v>418</v>
      </c>
      <c r="D9" s="33" t="s">
        <v>49</v>
      </c>
      <c r="E9" s="33" t="s">
        <v>326</v>
      </c>
      <c r="F9" s="49">
        <v>0</v>
      </c>
      <c r="G9" s="49">
        <v>56</v>
      </c>
      <c r="H9" s="49">
        <v>48243</v>
      </c>
      <c r="I9" s="33" t="s">
        <v>325</v>
      </c>
      <c r="J9" s="49">
        <v>48048</v>
      </c>
      <c r="K9" s="33" t="s">
        <v>53</v>
      </c>
      <c r="L9" s="92" t="str">
        <f>VLOOKUP(C9,'Trips&amp;Operators'!$C$1:$E$9999,3,0)</f>
        <v>MALAVE</v>
      </c>
      <c r="M9" s="131" t="s">
        <v>86</v>
      </c>
      <c r="N9" s="10" t="s">
        <v>710</v>
      </c>
      <c r="O9" s="33"/>
      <c r="P9" s="108" t="str">
        <f>VLOOKUP(C9,'Train Runs'!$A$13:$AE$10012,31,0)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Q9" s="111" t="str">
        <f>VLOOKUP(C9,'Train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9" s="113" t="str">
        <f t="shared" si="0"/>
        <v>"C:\Program Files (x86)\AstroGrep\AstroGrep.exe" /spath="%USERPROFILE%\AppData\Local\Temp\OnboardLogs" /stypes="*4037*201608271*" /stext=" 13:.+((SYSTEM_STATE.+slice.+state.+changed )|(ment ac)|(system.+state.+changed )|(\|lc)|(penalty)|(\[timeout)|(PRM\|1\|D)|(kpr)|(kdp))" /e /r /s</v>
      </c>
      <c r="S9" s="9" t="str">
        <f t="shared" si="1"/>
        <v>4037</v>
      </c>
      <c r="T9" s="38">
        <f t="shared" si="2"/>
        <v>42609.571631944447</v>
      </c>
      <c r="U9" s="52" t="str">
        <f t="shared" si="3"/>
        <v>EC</v>
      </c>
      <c r="V9" s="52" t="str">
        <f t="shared" si="4"/>
        <v>KEEP</v>
      </c>
      <c r="W9" s="149" t="str">
        <f t="shared" si="5"/>
        <v>echo {"issue":{"subject":"Form C","project_id":79,"tracker_id":40,"status_id":1,"priority_id":2,"assigned_to_id":23,"start_date":"2016-08-27","description":"","custom_fields":[{"id":1,"name":"Subdivision","value":"EC"},{"id":4,"name":"Milepost","value":"4.8048"},{"id":17,"name":"Train ID","value":"118-27"},{"id":16,"name":"Locomotive ID","value":"4037"},{"id":130,"name":"Impact","value":""},{"id":150,"name":"Time of Event (Mountain Time)","value":"07:43:09"},{"id":151,"name":"Denver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9" s="55"/>
      <c r="Y9" s="55"/>
      <c r="Z9" s="55"/>
    </row>
    <row r="10" spans="1:26" s="1" customFormat="1" x14ac:dyDescent="0.25">
      <c r="A10" s="38">
        <v>42609.334328703706</v>
      </c>
      <c r="B10" s="33" t="s">
        <v>114</v>
      </c>
      <c r="C10" s="33" t="s">
        <v>435</v>
      </c>
      <c r="D10" s="33" t="s">
        <v>49</v>
      </c>
      <c r="E10" s="33" t="s">
        <v>326</v>
      </c>
      <c r="F10" s="49">
        <v>0</v>
      </c>
      <c r="G10" s="49">
        <v>299</v>
      </c>
      <c r="H10" s="49">
        <v>51489</v>
      </c>
      <c r="I10" s="33" t="s">
        <v>325</v>
      </c>
      <c r="J10" s="49">
        <v>53155</v>
      </c>
      <c r="K10" s="33" t="s">
        <v>52</v>
      </c>
      <c r="L10" s="92" t="str">
        <f>VLOOKUP(C10,'Trips&amp;Operators'!$C$1:$E$9999,3,0)</f>
        <v>MAELZER</v>
      </c>
      <c r="M10" s="131" t="s">
        <v>86</v>
      </c>
      <c r="N10" s="10" t="s">
        <v>710</v>
      </c>
      <c r="O10" s="33"/>
      <c r="P10" s="108" t="str">
        <f>VLOOKUP(C10,'Train Runs'!$A$13:$AE$10012,31,0)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Q10" s="111" t="str">
        <f>VLOOKUP(C10,'Train Runs'!$A$13:$AE$10012,22,0)</f>
        <v>https://search-rtdc-monitor-bjffxe2xuh6vdkpspy63sjmuny.us-east-1.es.amazonaws.com/_plugin/kibana/#/discover/Steve-Slow-Train-Analysis-(2080s-and-2083s)?_g=(refreshInterval:(display:Off,section:0,value:0),time:(from:'2016-08-27 06:37:57-0600',mode:absolute,to:'2016-08-27 09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10" s="113" t="str">
        <f t="shared" si="0"/>
        <v>"C:\Program Files (x86)\AstroGrep\AstroGrep.exe" /spath="%USERPROFILE%\AppData\Local\Temp\OnboardLogs" /stypes="*4031*201608271*" /stext=" 14:.+((SYSTEM_STATE.+slice.+state.+changed )|(ment ac)|(system.+state.+changed )|(\|lc)|(penalty)|(\[timeout)|(PRM\|1\|D)|(kpr)|(kdp))" /e /r /s</v>
      </c>
      <c r="S10" s="9" t="str">
        <f t="shared" si="1"/>
        <v>4031</v>
      </c>
      <c r="T10" s="38">
        <f t="shared" si="2"/>
        <v>42609.584328703706</v>
      </c>
      <c r="U10" s="52" t="str">
        <f t="shared" si="3"/>
        <v>EC</v>
      </c>
      <c r="V10" s="52" t="str">
        <f t="shared" si="4"/>
        <v>KEEP</v>
      </c>
      <c r="W10" s="149" t="str">
        <f t="shared" si="5"/>
        <v>echo {"issue":{"subject":"Form C","project_id":79,"tracker_id":40,"status_id":1,"priority_id":2,"assigned_to_id":23,"start_date":"2016-08-27","description":"","custom_fields":[{"id":1,"name":"Subdivision","value":"EC"},{"id":4,"name":"Milepost","value":"5.3155"},{"id":17,"name":"Train ID","value":"133-27"},{"id":16,"name":"Locomotive ID","value":"4031"},{"id":130,"name":"Impact","value":""},{"id":150,"name":"Time of Event (Mountain Time)","value":"08:01:26"},{"id":151,"name":"Denver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0" s="55"/>
      <c r="Y10" s="55"/>
      <c r="Z10" s="55"/>
    </row>
    <row r="11" spans="1:26" s="1" customFormat="1" x14ac:dyDescent="0.25">
      <c r="A11" s="38">
        <v>42609.309189814812</v>
      </c>
      <c r="B11" s="33" t="s">
        <v>92</v>
      </c>
      <c r="C11" s="33" t="s">
        <v>411</v>
      </c>
      <c r="D11" s="33" t="s">
        <v>49</v>
      </c>
      <c r="E11" s="33" t="s">
        <v>326</v>
      </c>
      <c r="F11" s="49">
        <v>0</v>
      </c>
      <c r="G11" s="49">
        <v>86</v>
      </c>
      <c r="H11" s="49">
        <v>58879</v>
      </c>
      <c r="I11" s="33" t="s">
        <v>325</v>
      </c>
      <c r="J11" s="49">
        <v>58301</v>
      </c>
      <c r="K11" s="33" t="s">
        <v>53</v>
      </c>
      <c r="L11" s="92" t="str">
        <f>VLOOKUP(C11,'Trips&amp;Operators'!$C$1:$E$9999,3,0)</f>
        <v>STRICKLAND</v>
      </c>
      <c r="M11" s="131" t="s">
        <v>86</v>
      </c>
      <c r="N11" s="10" t="s">
        <v>710</v>
      </c>
      <c r="O11" s="33"/>
      <c r="P11" s="108" t="str">
        <f>VLOOKUP(C11,'Train Runs'!$A$13:$AE$10012,31,0)</f>
        <v>aws s3 cp s3://rtdc.mdm.uploadarchive/RTDC4030/2016-08-27/ "%USERPROFILE%\AppData\Local\Temp\OnboardLogs"\RTDC4030\2016-08-27 --recursive &amp; "%USERPROFILE%\Documents\GitHub\mrs-test-scripts\Headless Mode &amp; Sideloading\WalkAndUnGZ.bat" "%USERPROFILE%\AppData\Local\Temp\OnboardLogs"\RTDC4030\2016-08-27 &amp; aws s3 cp s3://rtdc.mdm.uploadarchive/RTDC4030/2016-08-28/ "%USERPROFILE%\AppData\Local\Temp\OnboardLogs"\RTDC4030\2016-08-28 --recursive &amp; "%USERPROFILE%\Documents\GitHub\mrs-test-scripts\Headless Mode &amp; Sideloading\WalkAndUnGZ.bat" "%USERPROFILE%\AppData\Local\Temp\OnboardLogs"\RTDC4030\2016-08-28</v>
      </c>
      <c r="Q11" s="111" t="str">
        <f>VLOOKUP(C11,'Train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05:28:55-0600',mode:absolute,to:'2016-08-27 08:46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4030%22')),sort:!(Time,asc))</v>
      </c>
      <c r="R11" s="113" t="str">
        <f t="shared" si="0"/>
        <v>"C:\Program Files (x86)\AstroGrep\AstroGrep.exe" /spath="%USERPROFILE%\AppData\Local\Temp\OnboardLogs" /stypes="*4030*201608271*" /stext=" 13:.+((SYSTEM_STATE.+slice.+state.+changed )|(ment ac)|(system.+state.+changed )|(\|lc)|(penalty)|(\[timeout)|(PRM\|1\|D)|(kpr)|(kdp))" /e /r /s</v>
      </c>
      <c r="S11" s="9" t="str">
        <f t="shared" si="1"/>
        <v>4030</v>
      </c>
      <c r="T11" s="38">
        <f t="shared" si="2"/>
        <v>42609.559189814812</v>
      </c>
      <c r="U11" s="52" t="str">
        <f t="shared" si="3"/>
        <v>EC</v>
      </c>
      <c r="V11" s="52" t="str">
        <f t="shared" si="4"/>
        <v>KEEP</v>
      </c>
      <c r="W11" s="149" t="str">
        <f t="shared" si="5"/>
        <v>echo {"issue":{"subject":"Form C","project_id":79,"tracker_id":40,"status_id":1,"priority_id":2,"assigned_to_id":23,"start_date":"2016-08-27","description":"","custom_fields":[{"id":1,"name":"Subdivision","value":"EC"},{"id":4,"name":"Milepost","value":"5.8301"},{"id":17,"name":"Train ID","value":"116-27"},{"id":16,"name":"Locomotive ID","value":"4030"},{"id":130,"name":"Impact","value":""},{"id":150,"name":"Time of Event (Mountain Time)","value":"07:25:14"},{"id":151,"name":"Denver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1" s="55"/>
      <c r="Y11" s="55"/>
      <c r="Z11" s="55"/>
    </row>
    <row r="12" spans="1:26" s="1" customFormat="1" x14ac:dyDescent="0.25">
      <c r="A12" s="38">
        <v>42609.317800925928</v>
      </c>
      <c r="B12" s="33" t="s">
        <v>144</v>
      </c>
      <c r="C12" s="33" t="s">
        <v>418</v>
      </c>
      <c r="D12" s="33" t="s">
        <v>49</v>
      </c>
      <c r="E12" s="33" t="s">
        <v>326</v>
      </c>
      <c r="F12" s="49">
        <v>0</v>
      </c>
      <c r="G12" s="49">
        <v>33</v>
      </c>
      <c r="H12" s="49">
        <v>58361</v>
      </c>
      <c r="I12" s="33" t="s">
        <v>325</v>
      </c>
      <c r="J12" s="49">
        <v>58301</v>
      </c>
      <c r="K12" s="33" t="s">
        <v>53</v>
      </c>
      <c r="L12" s="92" t="str">
        <f>VLOOKUP(C12,'Trips&amp;Operators'!$C$1:$E$9999,3,0)</f>
        <v>MALAVE</v>
      </c>
      <c r="M12" s="131" t="s">
        <v>86</v>
      </c>
      <c r="N12" s="10" t="s">
        <v>710</v>
      </c>
      <c r="O12" s="33"/>
      <c r="P12" s="108" t="str">
        <f>VLOOKUP(C12,'Train Runs'!$A$13:$AE$10012,31,0)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Q12" s="111" t="str">
        <f>VLOOKUP(C12,'Train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12" s="113" t="str">
        <f t="shared" si="0"/>
        <v>"C:\Program Files (x86)\AstroGrep\AstroGrep.exe" /spath="%USERPROFILE%\AppData\Local\Temp\OnboardLogs" /stypes="*4037*201608271*" /stext=" 13:.+((SYSTEM_STATE.+slice.+state.+changed )|(ment ac)|(system.+state.+changed )|(\|lc)|(penalty)|(\[timeout)|(PRM\|1\|D)|(kpr)|(kdp))" /e /r /s</v>
      </c>
      <c r="S12" s="9" t="str">
        <f t="shared" si="1"/>
        <v>4037</v>
      </c>
      <c r="T12" s="38">
        <f t="shared" si="2"/>
        <v>42609.567800925928</v>
      </c>
      <c r="U12" s="52" t="str">
        <f t="shared" si="3"/>
        <v>EC</v>
      </c>
      <c r="V12" s="52" t="str">
        <f t="shared" si="4"/>
        <v>KEEP</v>
      </c>
      <c r="W12" s="149" t="str">
        <f t="shared" si="5"/>
        <v>echo {"issue":{"subject":"Form C","project_id":79,"tracker_id":40,"status_id":1,"priority_id":2,"assigned_to_id":23,"start_date":"2016-08-27","description":"","custom_fields":[{"id":1,"name":"Subdivision","value":"EC"},{"id":4,"name":"Milepost","value":"5.8301"},{"id":17,"name":"Train ID","value":"118-27"},{"id":16,"name":"Locomotive ID","value":"4037"},{"id":130,"name":"Impact","value":""},{"id":150,"name":"Time of Event (Mountain Time)","value":"07:37:38"},{"id":151,"name":"Denver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2" s="55"/>
      <c r="Y12" s="55"/>
      <c r="Z12" s="55"/>
    </row>
    <row r="13" spans="1:26" s="1" customFormat="1" x14ac:dyDescent="0.25">
      <c r="A13" s="38">
        <v>42609.292013888888</v>
      </c>
      <c r="B13" s="33" t="s">
        <v>253</v>
      </c>
      <c r="C13" s="33" t="s">
        <v>427</v>
      </c>
      <c r="D13" s="33" t="s">
        <v>49</v>
      </c>
      <c r="E13" s="33" t="s">
        <v>326</v>
      </c>
      <c r="F13" s="49">
        <v>0</v>
      </c>
      <c r="G13" s="49">
        <v>56</v>
      </c>
      <c r="H13" s="49">
        <v>58534</v>
      </c>
      <c r="I13" s="33" t="s">
        <v>325</v>
      </c>
      <c r="J13" s="49">
        <v>58783</v>
      </c>
      <c r="K13" s="33" t="s">
        <v>52</v>
      </c>
      <c r="L13" s="92" t="str">
        <f>VLOOKUP(C13,'Trips&amp;Operators'!$C$1:$E$9999,3,0)</f>
        <v>DAVIS</v>
      </c>
      <c r="M13" s="131" t="s">
        <v>86</v>
      </c>
      <c r="N13" s="10" t="s">
        <v>710</v>
      </c>
      <c r="O13" s="33"/>
      <c r="P13" s="108" t="str">
        <f>VLOOKUP(C13,'Train Runs'!$A$13:$AE$10012,31,0)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Q13" s="111" t="str">
        <f>VLOOKUP(C13,'Train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05:08:50-0600',mode:absolute,to:'2016-08-27 10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3" s="113" t="str">
        <f t="shared" si="0"/>
        <v>"C:\Program Files (x86)\AstroGrep\AstroGrep.exe" /spath="%USERPROFILE%\AppData\Local\Temp\OnboardLogs" /stypes="*4025*201608271*" /stext=" 13:.+((SYSTEM_STATE.+slice.+state.+changed )|(ment ac)|(system.+state.+changed )|(\|lc)|(penalty)|(\[timeout)|(PRM\|1\|D)|(kpr)|(kdp))" /e /r /s</v>
      </c>
      <c r="S13" s="9" t="str">
        <f t="shared" si="1"/>
        <v>4025</v>
      </c>
      <c r="T13" s="38">
        <f t="shared" si="2"/>
        <v>42609.542013888888</v>
      </c>
      <c r="U13" s="52" t="str">
        <f t="shared" si="3"/>
        <v>EC</v>
      </c>
      <c r="V13" s="52" t="str">
        <f t="shared" si="4"/>
        <v>KEEP</v>
      </c>
      <c r="W13" s="149" t="str">
        <f t="shared" si="5"/>
        <v>echo {"issue":{"subject":"Form C","project_id":79,"tracker_id":40,"status_id":1,"priority_id":2,"assigned_to_id":23,"start_date":"2016-08-27","description":"","custom_fields":[{"id":1,"name":"Subdivision","value":"EC"},{"id":4,"name":"Milepost","value":"5.8783"},{"id":17,"name":"Train ID","value":"121-27"},{"id":16,"name":"Locomotive ID","value":"4025"},{"id":130,"name":"Impact","value":""},{"id":150,"name":"Time of Event (Mountain Time)","value":"07:00:30"},{"id":151,"name":"Denver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3" s="55"/>
      <c r="Y13" s="55"/>
      <c r="Z13" s="55"/>
    </row>
    <row r="14" spans="1:26" s="1" customFormat="1" x14ac:dyDescent="0.25">
      <c r="A14" s="38">
        <v>42609.427118055559</v>
      </c>
      <c r="B14" s="33" t="s">
        <v>150</v>
      </c>
      <c r="C14" s="33" t="s">
        <v>462</v>
      </c>
      <c r="D14" s="33" t="s">
        <v>49</v>
      </c>
      <c r="E14" s="33" t="s">
        <v>326</v>
      </c>
      <c r="F14" s="49">
        <v>0</v>
      </c>
      <c r="G14" s="49">
        <v>179</v>
      </c>
      <c r="H14" s="49">
        <v>62960</v>
      </c>
      <c r="I14" s="33" t="s">
        <v>325</v>
      </c>
      <c r="J14" s="49">
        <v>63069</v>
      </c>
      <c r="K14" s="33" t="s">
        <v>52</v>
      </c>
      <c r="L14" s="92" t="str">
        <f>VLOOKUP(C14,'Trips&amp;Operators'!$C$1:$E$9999,3,0)</f>
        <v>STRICKLAND</v>
      </c>
      <c r="M14" s="131" t="s">
        <v>86</v>
      </c>
      <c r="N14" s="10" t="s">
        <v>383</v>
      </c>
      <c r="O14" s="33"/>
      <c r="P14" s="108" t="str">
        <f>VLOOKUP(C14,'Train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14" s="111" t="str">
        <f>VLOOKUP(C14,'Train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14" s="113" t="str">
        <f t="shared" si="0"/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14" s="9" t="str">
        <f t="shared" si="1"/>
        <v>4042</v>
      </c>
      <c r="T14" s="38">
        <f t="shared" si="2"/>
        <v>42609.677118055559</v>
      </c>
      <c r="U14" s="52" t="str">
        <f t="shared" si="3"/>
        <v>EC</v>
      </c>
      <c r="V14" s="52" t="str">
        <f t="shared" si="4"/>
        <v>KEEP</v>
      </c>
      <c r="W14" s="149" t="str">
        <f t="shared" si="5"/>
        <v>echo {"issue":{"subject":"Early arrival","project_id":79,"tracker_id":40,"status_id":1,"priority_id":2,"assigned_to_id":23,"start_date":"2016-08-27","description":"","custom_fields":[{"id":1,"name":"Subdivision","value":"EC"},{"id":4,"name":"Milepost","value":"6.3069"},{"id":17,"name":"Train ID","value":"151-27"},{"id":16,"name":"Locomotive ID","value":"4042"},{"id":130,"name":"Impact","value":""},{"id":150,"name":"Time of Event (Mountain Time)","value":"10:15:03"},{"id":151,"name":"Denver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4" s="55"/>
      <c r="Y14" s="55"/>
      <c r="Z14" s="55"/>
    </row>
    <row r="15" spans="1:26" s="1" customFormat="1" x14ac:dyDescent="0.25">
      <c r="A15" s="38">
        <v>42609.927314814813</v>
      </c>
      <c r="B15" s="33" t="s">
        <v>291</v>
      </c>
      <c r="C15" s="33" t="s">
        <v>642</v>
      </c>
      <c r="D15" s="33" t="s">
        <v>49</v>
      </c>
      <c r="E15" s="33" t="s">
        <v>326</v>
      </c>
      <c r="F15" s="49">
        <v>0</v>
      </c>
      <c r="G15" s="49">
        <v>279</v>
      </c>
      <c r="H15" s="49">
        <v>63033</v>
      </c>
      <c r="I15" s="33" t="s">
        <v>325</v>
      </c>
      <c r="J15" s="49">
        <v>63069</v>
      </c>
      <c r="K15" s="33" t="s">
        <v>52</v>
      </c>
      <c r="L15" s="92" t="str">
        <f>VLOOKUP(C15,'Trips&amp;Operators'!$C$1:$E$9999,3,0)</f>
        <v>CHANDLER</v>
      </c>
      <c r="M15" s="131" t="s">
        <v>86</v>
      </c>
      <c r="N15" s="10" t="s">
        <v>383</v>
      </c>
      <c r="O15" s="33"/>
      <c r="P15" s="108" t="str">
        <f>VLOOKUP(C15,'Train Runs'!$A$13:$AE$10012,31,0)</f>
        <v>aws s3 cp s3://rtdc.mdm.uploadarchive/RTDC4020/2016-08-27/ "%USERPROFILE%\AppData\Local\Temp\OnboardLogs"\RTDC4020\2016-08-27 --recursive &amp; "%USERPROFILE%\Documents\GitHub\mrs-test-scripts\Headless Mode &amp; Sideloading\WalkAndUnGZ.bat" "%USERPROFILE%\AppData\Local\Temp\OnboardLogs"\RTDC4020\2016-08-27 &amp; aws s3 cp s3://rtdc.mdm.uploadarchive/RTDC4020/2016-08-28/ "%USERPROFILE%\AppData\Local\Temp\OnboardLogs"\RTDC4020\2016-08-28 --recursive &amp; "%USERPROFILE%\Documents\GitHub\mrs-test-scripts\Headless Mode &amp; Sideloading\WalkAndUnGZ.bat" "%USERPROFILE%\AppData\Local\Temp\OnboardLogs"\RTDC4020\2016-08-28</v>
      </c>
      <c r="Q15" s="111" t="str">
        <f>VLOOKUP(C15,'Train Runs'!$A$13:$AE$10012,22,0)</f>
        <v>https://search-rtdc-monitor-bjffxe2xuh6vdkpspy63sjmuny.us-east-1.es.amazonaws.com/_plugin/kibana/#/discover/Steve-Slow-Train-Analysis-(2080s-and-2083s)?_g=(refreshInterval:(display:Off,section:0,value:0),time:(from:'2016-08-27 20:58:15-0600',mode:absolute,to:'2016-08-27 23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4020%22')),sort:!(Time,asc))</v>
      </c>
      <c r="R15" s="113" t="str">
        <f t="shared" si="0"/>
        <v>"C:\Program Files (x86)\AstroGrep\AstroGrep.exe" /spath="%USERPROFILE%\AppData\Local\Temp\OnboardLogs" /stypes="*4020*201608280*" /stext=" 04:.+((SYSTEM_STATE.+slice.+state.+changed )|(ment ac)|(system.+state.+changed )|(\|lc)|(penalty)|(\[timeout)|(PRM\|1\|D)|(kpr)|(kdp))" /e /r /s</v>
      </c>
      <c r="S15" s="9" t="str">
        <f t="shared" si="1"/>
        <v>4020</v>
      </c>
      <c r="T15" s="38">
        <f t="shared" si="2"/>
        <v>42610.177314814813</v>
      </c>
      <c r="U15" s="52" t="str">
        <f t="shared" si="3"/>
        <v>EC</v>
      </c>
      <c r="V15" s="52" t="str">
        <f t="shared" si="4"/>
        <v>KEEP</v>
      </c>
      <c r="W15" s="149" t="str">
        <f t="shared" si="5"/>
        <v>echo {"issue":{"subject":"Early arrival","project_id":79,"tracker_id":40,"status_id":1,"priority_id":2,"assigned_to_id":23,"start_date":"2016-08-27","description":"","custom_fields":[{"id":1,"name":"Subdivision","value":"EC"},{"id":4,"name":"Milepost","value":"6.3069"},{"id":17,"name":"Train ID","value":"233-27"},{"id":16,"name":"Locomotive ID","value":"4020"},{"id":130,"name":"Impact","value":""},{"id":150,"name":"Time of Event (Mountain Time)","value":"22:15:20"},{"id":151,"name":"Denver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5" s="55"/>
      <c r="Y15" s="55"/>
      <c r="Z15" s="55"/>
    </row>
    <row r="16" spans="1:26" s="1" customFormat="1" x14ac:dyDescent="0.25">
      <c r="A16" s="38">
        <v>42609.582407407404</v>
      </c>
      <c r="B16" s="33" t="s">
        <v>174</v>
      </c>
      <c r="C16" s="33" t="s">
        <v>489</v>
      </c>
      <c r="D16" s="33" t="s">
        <v>111</v>
      </c>
      <c r="E16" s="33" t="s">
        <v>326</v>
      </c>
      <c r="F16" s="49">
        <v>0</v>
      </c>
      <c r="G16" s="49">
        <v>261</v>
      </c>
      <c r="H16" s="49">
        <v>109116</v>
      </c>
      <c r="I16" s="33" t="s">
        <v>325</v>
      </c>
      <c r="J16" s="49">
        <v>109135</v>
      </c>
      <c r="K16" s="33" t="s">
        <v>53</v>
      </c>
      <c r="L16" s="92" t="str">
        <f>VLOOKUP(C16,'Trips&amp;Operators'!$C$1:$E$9999,3,0)</f>
        <v>STEWART</v>
      </c>
      <c r="M16" s="131" t="s">
        <v>86</v>
      </c>
      <c r="N16" s="10" t="s">
        <v>383</v>
      </c>
      <c r="O16" s="33"/>
      <c r="P16" s="108" t="str">
        <f>VLOOKUP(C16,'Train Runs'!$A$13:$AE$10012,31,0)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Q16" s="111" t="str">
        <f>VLOOKUP(C16,'Train Runs'!$A$13:$AE$10012,22,0)</f>
        <v>https://search-rtdc-monitor-bjffxe2xuh6vdkpspy63sjmuny.us-east-1.es.amazonaws.com/_plugin/kibana/#/discover/Steve-Slow-Train-Analysis-(2080s-and-2083s)?_g=(refreshInterval:(display:Off,section:0,value:0),time:(from:'2016-08-27 12:37:18-0600',mode:absolute,to:'2016-08-27 15:20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16" s="113" t="str">
        <f t="shared" si="0"/>
        <v>"C:\Program Files (x86)\AstroGrep\AstroGrep.exe" /spath="%USERPROFILE%\AppData\Local\Temp\OnboardLogs" /stypes="*4010*201608271*" /stext=" 19:.+((SYSTEM_STATE.+slice.+state.+changed )|(ment ac)|(system.+state.+changed )|(\|lc)|(penalty)|(\[timeout)|(PRM\|1\|D)|(kpr)|(kdp))" /e /r /s</v>
      </c>
      <c r="S16" s="9" t="str">
        <f t="shared" si="1"/>
        <v>4010</v>
      </c>
      <c r="T16" s="38">
        <f t="shared" si="2"/>
        <v>42609.832407407404</v>
      </c>
      <c r="U16" s="52" t="str">
        <f t="shared" si="3"/>
        <v>EC</v>
      </c>
      <c r="V16" s="52" t="str">
        <f t="shared" si="4"/>
        <v>KEEP</v>
      </c>
      <c r="W16" s="149" t="str">
        <f t="shared" si="5"/>
        <v>echo {"issue":{"subject":"Early arrival","project_id":79,"tracker_id":40,"status_id":1,"priority_id":2,"assigned_to_id":23,"start_date":"2016-08-27","description":"","custom_fields":[{"id":1,"name":"Subdivision","value":"EC"},{"id":4,"name":"Milepost","value":"10.9135"},{"id":17,"name":"Train ID","value":"174-27"},{"id":16,"name":"Locomotive ID","value":"4010"},{"id":130,"name":"Impact","value":""},{"id":150,"name":"Time of Event (Mountain Time)","value":"13:58:40"},{"id":151,"name":"Denver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6" s="55"/>
      <c r="Y16" s="55"/>
      <c r="Z16" s="55"/>
    </row>
    <row r="17" spans="1:26" s="1" customFormat="1" x14ac:dyDescent="0.25">
      <c r="A17" s="38">
        <v>42609.685810185183</v>
      </c>
      <c r="B17" s="33" t="s">
        <v>115</v>
      </c>
      <c r="C17" s="33" t="s">
        <v>589</v>
      </c>
      <c r="D17" s="33" t="s">
        <v>49</v>
      </c>
      <c r="E17" s="33" t="s">
        <v>56</v>
      </c>
      <c r="F17" s="49">
        <v>200</v>
      </c>
      <c r="G17" s="49">
        <v>291</v>
      </c>
      <c r="H17" s="49">
        <v>31463</v>
      </c>
      <c r="I17" s="33" t="s">
        <v>57</v>
      </c>
      <c r="J17" s="49">
        <v>30562</v>
      </c>
      <c r="K17" s="33" t="s">
        <v>53</v>
      </c>
      <c r="L17" s="92" t="str">
        <f>VLOOKUP(C17,'Trips&amp;Operators'!$C$1:$E$9999,3,0)</f>
        <v>MOSES</v>
      </c>
      <c r="M17" s="131" t="s">
        <v>86</v>
      </c>
      <c r="N17" s="10"/>
      <c r="O17" s="33"/>
      <c r="P17" s="108" t="str">
        <f>VLOOKUP(C17,'Train Runs'!$A$13:$AE$10012,31,0)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Q17" s="111" t="str">
        <f>VLOOKUP(C17,'Train Runs'!$A$13:$AE$10012,22,0)</f>
        <v>https://search-rtdc-monitor-bjffxe2xuh6vdkpspy63sjmuny.us-east-1.es.amazonaws.com/_plugin/kibana/#/discover/Steve-Slow-Train-Analysis-(2080s-and-2083s)?_g=(refreshInterval:(display:Off,section:0,value:0),time:(from:'2016-08-27 14:52:21-0600',mode:absolute,to:'2016-08-27 17:36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17" s="113" t="str">
        <f t="shared" si="0"/>
        <v>"C:\Program Files (x86)\AstroGrep\AstroGrep.exe" /spath="%USERPROFILE%\AppData\Local\Temp\OnboardLogs" /stypes="*4032*201608272*" /stext=" 22:.+((SYSTEM_STATE.+slice.+state.+changed )|(ment ac)|(system.+state.+changed )|(\|lc)|(penalty)|(\[timeout)|(PRM\|1\|D)|(kpr)|(kdp))" /e /r /s</v>
      </c>
      <c r="S17" s="9" t="str">
        <f t="shared" si="1"/>
        <v>4032</v>
      </c>
      <c r="T17" s="38">
        <f t="shared" si="2"/>
        <v>42609.935810185183</v>
      </c>
      <c r="U17" s="52" t="str">
        <f t="shared" si="3"/>
        <v>EC</v>
      </c>
      <c r="V17" s="52" t="str">
        <f t="shared" si="4"/>
        <v>KEEP</v>
      </c>
      <c r="W17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{"issue":{"subject":"","project_id":79,"tracker_id":40,"status_id":1,"priority_id":2,"assigned_to_id":23,"start_date":"2016-08-27","description":"","custom_fields":[{"id":1,"name":"Subdivision","value":"EC"},{"id":4,"name":"Milepost","value":"3.0562"},{"id":17,"name":"Train ID","value":"192-27"},{"id":16,"name":"Locomotive ID","value":"4032"},{"id":130,"name":"Impact","value":""},{"id":150,"name":"Time of Event (Mountain Time)","value":"16:27:34"},{"id":151,"name":"Denver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7" s="55"/>
      <c r="Y17" s="55"/>
      <c r="Z17" s="55"/>
    </row>
    <row r="18" spans="1:26" s="1" customFormat="1" x14ac:dyDescent="0.25">
      <c r="A18" s="38">
        <v>42609.538634259261</v>
      </c>
      <c r="B18" s="33" t="s">
        <v>112</v>
      </c>
      <c r="C18" s="33" t="s">
        <v>483</v>
      </c>
      <c r="D18" s="33" t="s">
        <v>49</v>
      </c>
      <c r="E18" s="33" t="s">
        <v>56</v>
      </c>
      <c r="F18" s="49">
        <v>600</v>
      </c>
      <c r="G18" s="49">
        <v>739</v>
      </c>
      <c r="H18" s="49">
        <v>181391</v>
      </c>
      <c r="I18" s="33" t="s">
        <v>57</v>
      </c>
      <c r="J18" s="49">
        <v>183829</v>
      </c>
      <c r="K18" s="33" t="s">
        <v>52</v>
      </c>
      <c r="L18" s="92" t="str">
        <f>VLOOKUP(C18,'Trips&amp;Operators'!$C$1:$E$9999,3,0)</f>
        <v>STORY</v>
      </c>
      <c r="M18" s="131" t="s">
        <v>86</v>
      </c>
      <c r="N18" s="10"/>
      <c r="O18" s="33"/>
      <c r="P18" s="108" t="str">
        <f>VLOOKUP(C18,'Train Runs'!$A$13:$AE$10012,31,0)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Q18" s="111" t="str">
        <f>VLOOKUP(C18,'Train Runs'!$A$13:$AE$10012,22,0)</f>
        <v>https://search-rtdc-monitor-bjffxe2xuh6vdkpspy63sjmuny.us-east-1.es.amazonaws.com/_plugin/kibana/#/discover/Steve-Slow-Train-Analysis-(2080s-and-2083s)?_g=(refreshInterval:(display:Off,section:0,value:0),time:(from:'2016-08-27 11:11:29-0600',mode:absolute,to:'2016-08-27 14:03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18" s="113" t="str">
        <f t="shared" si="0"/>
        <v>"C:\Program Files (x86)\AstroGrep\AstroGrep.exe" /spath="%USERPROFILE%\AppData\Local\Temp\OnboardLogs" /stypes="*4014*201608271*" /stext=" 18:.+((SYSTEM_STATE.+slice.+state.+changed )|(ment ac)|(system.+state.+changed )|(\|lc)|(penalty)|(\[timeout)|(PRM\|1\|D)|(kpr)|(kdp))" /e /r /s</v>
      </c>
      <c r="S18" s="9" t="str">
        <f t="shared" si="1"/>
        <v>4014</v>
      </c>
      <c r="T18" s="38">
        <f t="shared" si="2"/>
        <v>42609.788634259261</v>
      </c>
      <c r="U18" s="52" t="str">
        <f t="shared" si="3"/>
        <v>EC</v>
      </c>
      <c r="V18" s="52" t="str">
        <f t="shared" si="4"/>
        <v>KEEP</v>
      </c>
      <c r="W18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{"issue":{"subject":"","project_id":79,"tracker_id":40,"status_id":1,"priority_id":2,"assigned_to_id":23,"start_date":"2016-08-27","description":"","custom_fields":[{"id":1,"name":"Subdivision","value":"EC"},{"id":4,"name":"Milepost","value":"18.3829"},{"id":17,"name":"Train ID","value":"169-27"},{"id":16,"name":"Locomotive ID","value":"4014"},{"id":130,"name":"Impact","value":""},{"id":150,"name":"Time of Event (Mountain Time)","value":"12:55:38"},{"id":151,"name":"Denver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8" s="55"/>
      <c r="Y18" s="55"/>
      <c r="Z18" s="55"/>
    </row>
    <row r="19" spans="1:26" s="1" customFormat="1" x14ac:dyDescent="0.25">
      <c r="A19" s="38">
        <v>42610.001354166663</v>
      </c>
      <c r="B19" s="33" t="s">
        <v>253</v>
      </c>
      <c r="C19" s="33" t="s">
        <v>650</v>
      </c>
      <c r="D19" s="33" t="s">
        <v>49</v>
      </c>
      <c r="E19" s="33" t="s">
        <v>56</v>
      </c>
      <c r="F19" s="49">
        <v>450</v>
      </c>
      <c r="G19" s="49">
        <v>607</v>
      </c>
      <c r="H19" s="49">
        <v>187852</v>
      </c>
      <c r="I19" s="33" t="s">
        <v>57</v>
      </c>
      <c r="J19" s="49">
        <v>190834</v>
      </c>
      <c r="K19" s="33" t="s">
        <v>52</v>
      </c>
      <c r="L19" s="92" t="str">
        <f>VLOOKUP(C19,'Trips&amp;Operators'!$C$1:$E$9999,3,0)</f>
        <v>HILLS</v>
      </c>
      <c r="M19" s="131" t="s">
        <v>86</v>
      </c>
      <c r="N19" s="10"/>
      <c r="O19" s="33"/>
      <c r="P19" s="108" t="str">
        <f>VLOOKUP(C19,'Train Runs'!$A$13:$AE$10012,31,0)</f>
        <v>aws s3 cp s3://rtdc.mdm.uploadarchive/RTDC4025/2016-08-27/ "%USERPROFILE%\AppData\Local\Temp\OnboardLogs"\RTDC4025\2016-08-27 --recursive &amp; "%USERPROFILE%\Documents\GitHub\mrs-test-scripts\Headless Mode &amp; Sideloading\WalkAndUnGZ.bat" "%USERPROFILE%\AppData\Local\Temp\OnboardLogs"\RTDC4025\2016-08-27 &amp; aws s3 cp s3://rtdc.mdm.uploadarchive/RTDC4025/2016-08-28/ "%USERPROFILE%\AppData\Local\Temp\OnboardLogs"\RTDC4025\2016-08-28 --recursive &amp; "%USERPROFILE%\Documents\GitHub\mrs-test-scripts\Headless Mode &amp; Sideloading\WalkAndUnGZ.bat" "%USERPROFILE%\AppData\Local\Temp\OnboardLogs"\RTDC4025\2016-08-28</v>
      </c>
      <c r="Q19" s="111" t="str">
        <f>VLOOKUP(C19,'Train Runs'!$A$13:$AE$10012,22,0)</f>
        <v>https://search-rtdc-monitor-bjffxe2xuh6vdkpspy63sjmuny.us-east-1.es.amazonaws.com/_plugin/kibana/#/discover/Steve-Slow-Train-Analysis-(2080s-and-2083s)?_g=(refreshInterval:(display:Off,section:0,value:0),time:(from:'2016-08-27 22:13:57-0600',mode:absolute,to:'2016-08-28 01:08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4025%22')),sort:!(Time,asc))</v>
      </c>
      <c r="R19" s="113" t="str">
        <f t="shared" si="0"/>
        <v>"C:\Program Files (x86)\AstroGrep\AstroGrep.exe" /spath="%USERPROFILE%\AppData\Local\Temp\OnboardLogs" /stypes="*4025*201608280*" /stext=" 06:.+((SYSTEM_STATE.+slice.+state.+changed )|(ment ac)|(system.+state.+changed )|(\|lc)|(penalty)|(\[timeout)|(PRM\|1\|D)|(kpr)|(kdp))" /e /r /s</v>
      </c>
      <c r="S19" s="9" t="str">
        <f t="shared" si="1"/>
        <v>4025</v>
      </c>
      <c r="T19" s="38">
        <f t="shared" si="2"/>
        <v>42610.251354166663</v>
      </c>
      <c r="U19" s="52" t="str">
        <f t="shared" si="3"/>
        <v>EC</v>
      </c>
      <c r="V19" s="52" t="str">
        <f t="shared" si="4"/>
        <v>KEEP</v>
      </c>
      <c r="W19" s="149" t="str">
        <f t="shared" si="5"/>
        <v>echo {"issue":{"subject":"","project_id":79,"tracker_id":40,"status_id":1,"priority_id":2,"assigned_to_id":23,"start_date":"2016-08-28","description":"","custom_fields":[{"id":1,"name":"Subdivision","value":"EC"},{"id":4,"name":"Milepost","value":"19.0834"},{"id":17,"name":"Train ID","value":"239-27"},{"id":16,"name":"Locomotive ID","value":"4025"},{"id":130,"name":"Impact","value":""},{"id":150,"name":"Time of Event (Mountain Time)","value":"00:01:57"},{"id":151,"name":"Denver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19" s="55"/>
      <c r="Y19" s="55"/>
      <c r="Z19" s="55"/>
    </row>
    <row r="20" spans="1:26" s="1" customFormat="1" x14ac:dyDescent="0.25">
      <c r="A20" s="38">
        <v>42609.774537037039</v>
      </c>
      <c r="B20" s="33" t="s">
        <v>173</v>
      </c>
      <c r="C20" s="33" t="s">
        <v>621</v>
      </c>
      <c r="D20" s="33" t="s">
        <v>49</v>
      </c>
      <c r="E20" s="33" t="s">
        <v>56</v>
      </c>
      <c r="F20" s="49">
        <v>450</v>
      </c>
      <c r="G20" s="49">
        <v>661</v>
      </c>
      <c r="H20" s="49">
        <v>216627</v>
      </c>
      <c r="I20" s="33" t="s">
        <v>57</v>
      </c>
      <c r="J20" s="49">
        <v>218954</v>
      </c>
      <c r="K20" s="33" t="s">
        <v>52</v>
      </c>
      <c r="L20" s="92" t="str">
        <f>VLOOKUP(C20,'Trips&amp;Operators'!$C$1:$E$9999,3,0)</f>
        <v>WEBSTER</v>
      </c>
      <c r="M20" s="131" t="s">
        <v>86</v>
      </c>
      <c r="N20" s="10"/>
      <c r="O20" s="33"/>
      <c r="P20" s="108" t="str">
        <f>VLOOKUP(C20,'Train Runs'!$A$13:$AE$10012,31,0)</f>
        <v>aws s3 cp s3://rtdc.mdm.uploadarchive/RTDC4009/2016-08-27/ "%USERPROFILE%\AppData\Local\Temp\OnboardLogs"\RTDC4009\2016-08-27 --recursive &amp; "%USERPROFILE%\Documents\GitHub\mrs-test-scripts\Headless Mode &amp; Sideloading\WalkAndUnGZ.bat" "%USERPROFILE%\AppData\Local\Temp\OnboardLogs"\RTDC4009\2016-08-27 &amp; aws s3 cp s3://rtdc.mdm.uploadarchive/RTDC4009/2016-08-28/ "%USERPROFILE%\AppData\Local\Temp\OnboardLogs"\RTDC4009\2016-08-28 --recursive &amp; "%USERPROFILE%\Documents\GitHub\mrs-test-scripts\Headless Mode &amp; Sideloading\WalkAndUnGZ.bat" "%USERPROFILE%\AppData\Local\Temp\OnboardLogs"\RTDC4009\2016-08-28</v>
      </c>
      <c r="Q20" s="111" t="str">
        <f>VLOOKUP(C20,'Train Runs'!$A$13:$AE$10012,22,0)</f>
        <v>https://search-rtdc-monitor-bjffxe2xuh6vdkpspy63sjmuny.us-east-1.es.amazonaws.com/_plugin/kibana/#/discover/Steve-Slow-Train-Analysis-(2080s-and-2083s)?_g=(refreshInterval:(display:Off,section:0,value:0),time:(from:'2016-08-27 16:53:16-0600',mode:absolute,to:'2016-08-27 19:39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4009%22')),sort:!(Time,asc))</v>
      </c>
      <c r="R20" s="113" t="str">
        <f t="shared" si="0"/>
        <v>"C:\Program Files (x86)\AstroGrep\AstroGrep.exe" /spath="%USERPROFILE%\AppData\Local\Temp\OnboardLogs" /stypes="*4009*201608280*" /stext=" 00:.+((SYSTEM_STATE.+slice.+state.+changed )|(ment ac)|(system.+state.+changed )|(\|lc)|(penalty)|(\[timeout)|(PRM\|1\|D)|(kpr)|(kdp))" /e /r /s</v>
      </c>
      <c r="S20" s="9" t="str">
        <f t="shared" si="1"/>
        <v>4009</v>
      </c>
      <c r="T20" s="38">
        <f t="shared" si="2"/>
        <v>42610.024537037039</v>
      </c>
      <c r="U20" s="52" t="str">
        <f t="shared" si="3"/>
        <v>EC</v>
      </c>
      <c r="V20" s="52" t="str">
        <f t="shared" si="4"/>
        <v>KEEP</v>
      </c>
      <c r="W20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{"issue":{"subject":"","project_id":79,"tracker_id":40,"status_id":1,"priority_id":2,"assigned_to_id":23,"start_date":"2016-08-27","description":"","custom_fields":[{"id":1,"name":"Subdivision","value":"EC"},{"id":4,"name":"Milepost","value":"21.8954"},{"id":17,"name":"Train ID","value":"215-27"},{"id":16,"name":"Locomotive ID","value":"4009"},{"id":130,"name":"Impact","value":""},{"id":150,"name":"Time of Event (Mountain Time)","value":"18:35:20"},{"id":151,"name":"Denver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0" s="55"/>
      <c r="Y20" s="55"/>
      <c r="Z20" s="55"/>
    </row>
    <row r="21" spans="1:26" s="1" customFormat="1" x14ac:dyDescent="0.25">
      <c r="A21" s="38">
        <v>42609.404675925929</v>
      </c>
      <c r="B21" s="33" t="s">
        <v>254</v>
      </c>
      <c r="C21" s="33" t="s">
        <v>450</v>
      </c>
      <c r="D21" s="33" t="s">
        <v>49</v>
      </c>
      <c r="E21" s="33" t="s">
        <v>56</v>
      </c>
      <c r="F21" s="49">
        <v>150</v>
      </c>
      <c r="G21" s="49">
        <v>200</v>
      </c>
      <c r="H21" s="49">
        <v>229284</v>
      </c>
      <c r="I21" s="33" t="s">
        <v>57</v>
      </c>
      <c r="J21" s="49">
        <v>229055</v>
      </c>
      <c r="K21" s="33" t="s">
        <v>53</v>
      </c>
      <c r="L21" s="92" t="str">
        <f>VLOOKUP(C21,'Trips&amp;Operators'!$C$1:$E$9999,3,0)</f>
        <v>DAVIS</v>
      </c>
      <c r="M21" s="131" t="s">
        <v>86</v>
      </c>
      <c r="N21" s="10"/>
      <c r="O21" s="33"/>
      <c r="P21" s="108" t="str">
        <f>VLOOKUP(C21,'Train Runs'!$A$13:$AE$10012,31,0)</f>
        <v>aws s3 cp s3://rtdc.mdm.uploadarchive/RTDC4026/2016-08-27/ "%USERPROFILE%\AppData\Local\Temp\OnboardLogs"\RTDC4026\2016-08-27 --recursive &amp; "%USERPROFILE%\Documents\GitHub\mrs-test-scripts\Headless Mode &amp; Sideloading\WalkAndUnGZ.bat" "%USERPROFILE%\AppData\Local\Temp\OnboardLogs"\RTDC4026\2016-08-27 &amp; aws s3 cp s3://rtdc.mdm.uploadarchive/RTDC4026/2016-08-28/ "%USERPROFILE%\AppData\Local\Temp\OnboardLogs"\RTDC4026\2016-08-28 --recursive &amp; "%USERPROFILE%\Documents\GitHub\mrs-test-scripts\Headless Mode &amp; Sideloading\WalkAndUnGZ.bat" "%USERPROFILE%\AppData\Local\Temp\OnboardLogs"\RTDC4026\2016-08-28</v>
      </c>
      <c r="Q21" s="111" t="str">
        <f>VLOOKUP(C21,'Train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08:38:13-0600',mode:absolute,to:'2016-08-27 11:25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4026%22')),sort:!(Time,asc))</v>
      </c>
      <c r="R21" s="113" t="str">
        <f t="shared" si="0"/>
        <v>"C:\Program Files (x86)\AstroGrep\AstroGrep.exe" /spath="%USERPROFILE%\AppData\Local\Temp\OnboardLogs" /stypes="*4026*201608271*" /stext=" 15:.+((SYSTEM_STATE.+slice.+state.+changed )|(ment ac)|(system.+state.+changed )|(\|lc)|(penalty)|(\[timeout)|(PRM\|1\|D)|(kpr)|(kdp))" /e /r /s</v>
      </c>
      <c r="S21" s="9" t="str">
        <f t="shared" si="1"/>
        <v>4026</v>
      </c>
      <c r="T21" s="38">
        <f t="shared" si="2"/>
        <v>42609.654675925929</v>
      </c>
      <c r="U21" s="52" t="str">
        <f t="shared" si="3"/>
        <v>EC</v>
      </c>
      <c r="V21" s="52" t="str">
        <f t="shared" si="4"/>
        <v>KEEP</v>
      </c>
      <c r="W21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{"issue":{"subject":"","project_id":79,"tracker_id":40,"status_id":1,"priority_id":2,"assigned_to_id":23,"start_date":"2016-08-27","description":"","custom_fields":[{"id":1,"name":"Subdivision","value":"EC"},{"id":4,"name":"Milepost","value":"22.9055"},{"id":17,"name":"Train ID","value":"142-27"},{"id":16,"name":"Locomotive ID","value":"4026"},{"id":130,"name":"Impact","value":""},{"id":150,"name":"Time of Event (Mountain Time)","value":"09:42:44"},{"id":151,"name":"Denver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1" s="55"/>
      <c r="Y21" s="55"/>
      <c r="Z21" s="55"/>
    </row>
    <row r="22" spans="1:26" x14ac:dyDescent="0.25">
      <c r="A22" s="38">
        <v>42609.354189814818</v>
      </c>
      <c r="B22" s="33" t="s">
        <v>114</v>
      </c>
      <c r="C22" s="33" t="s">
        <v>435</v>
      </c>
      <c r="D22" s="33" t="s">
        <v>49</v>
      </c>
      <c r="E22" s="33" t="s">
        <v>56</v>
      </c>
      <c r="F22" s="49">
        <v>150</v>
      </c>
      <c r="G22" s="49">
        <v>310</v>
      </c>
      <c r="H22" s="49">
        <v>228836</v>
      </c>
      <c r="I22" s="33" t="s">
        <v>57</v>
      </c>
      <c r="J22" s="49">
        <v>230436</v>
      </c>
      <c r="K22" s="33" t="s">
        <v>52</v>
      </c>
      <c r="L22" s="92" t="str">
        <f>VLOOKUP(C22,'Trips&amp;Operators'!$C$1:$E$9999,3,0)</f>
        <v>MAELZER</v>
      </c>
      <c r="M22" s="131" t="s">
        <v>86</v>
      </c>
      <c r="N22" s="10"/>
      <c r="O22" s="33"/>
      <c r="P22" s="108" t="str">
        <f>VLOOKUP(C22,'Train Runs'!$A$13:$AE$10012,31,0)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Q22" s="111" t="str">
        <f>VLOOKUP(C22,'Train Runs'!$A$13:$AE$10012,22,0)</f>
        <v>https://search-rtdc-monitor-bjffxe2xuh6vdkpspy63sjmuny.us-east-1.es.amazonaws.com/_plugin/kibana/#/discover/Steve-Slow-Train-Analysis-(2080s-and-2083s)?_g=(refreshInterval:(display:Off,section:0,value:0),time:(from:'2016-08-27 06:37:57-0600',mode:absolute,to:'2016-08-27 09:32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22" s="113" t="str">
        <f t="shared" si="0"/>
        <v>"C:\Program Files (x86)\AstroGrep\AstroGrep.exe" /spath="%USERPROFILE%\AppData\Local\Temp\OnboardLogs" /stypes="*4031*201608271*" /stext=" 14:.+((SYSTEM_STATE.+slice.+state.+changed )|(ment ac)|(system.+state.+changed )|(\|lc)|(penalty)|(\[timeout)|(PRM\|1\|D)|(kpr)|(kdp))" /e /r /s</v>
      </c>
      <c r="S22" s="9" t="str">
        <f t="shared" si="1"/>
        <v>4031</v>
      </c>
      <c r="T22" s="38">
        <f t="shared" si="2"/>
        <v>42609.604189814818</v>
      </c>
      <c r="U22" s="52" t="str">
        <f t="shared" si="3"/>
        <v>EC</v>
      </c>
      <c r="V22" s="52" t="str">
        <f t="shared" si="4"/>
        <v>KEEP</v>
      </c>
      <c r="W22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{"issue":{"subject":"","project_id":79,"tracker_id":40,"status_id":1,"priority_id":2,"assigned_to_id":23,"start_date":"2016-08-27","description":"","custom_fields":[{"id":1,"name":"Subdivision","value":"EC"},{"id":4,"name":"Milepost","value":"23.0436"},{"id":17,"name":"Train ID","value":"133-27"},{"id":16,"name":"Locomotive ID","value":"4031"},{"id":130,"name":"Impact","value":""},{"id":150,"name":"Time of Event (Mountain Time)","value":"08:30:02"},{"id":151,"name":"Denver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2" s="55"/>
      <c r="Y22" s="55"/>
      <c r="Z22" s="55"/>
    </row>
    <row r="23" spans="1:26" x14ac:dyDescent="0.25">
      <c r="A23" s="38">
        <v>42609.265115740738</v>
      </c>
      <c r="B23" s="33" t="s">
        <v>112</v>
      </c>
      <c r="C23" s="33" t="s">
        <v>420</v>
      </c>
      <c r="D23" s="33" t="s">
        <v>111</v>
      </c>
      <c r="E23" s="33" t="s">
        <v>54</v>
      </c>
      <c r="F23" s="49">
        <v>200</v>
      </c>
      <c r="G23" s="49">
        <v>256</v>
      </c>
      <c r="H23" s="49">
        <v>65369</v>
      </c>
      <c r="I23" s="33" t="s">
        <v>55</v>
      </c>
      <c r="J23" s="49">
        <v>63995</v>
      </c>
      <c r="K23" s="33" t="s">
        <v>52</v>
      </c>
      <c r="L23" s="92" t="str">
        <f>VLOOKUP(C23,'Trips&amp;Operators'!$C$1:$E$9999,3,0)</f>
        <v>ACKERMAN</v>
      </c>
      <c r="M23" s="131" t="s">
        <v>86</v>
      </c>
      <c r="N23" s="10" t="s">
        <v>384</v>
      </c>
      <c r="O23" s="33"/>
      <c r="P23" s="108" t="str">
        <f>VLOOKUP(C23,'Train Runs'!$A$13:$AE$10012,31,0)</f>
        <v>aws s3 cp s3://rtdc.mdm.uploadarchive/RTDC4014/2016-08-27/ "%USERPROFILE%\AppData\Local\Temp\OnboardLogs"\RTDC4014\2016-08-27 --recursive &amp; "%USERPROFILE%\Documents\GitHub\mrs-test-scripts\Headless Mode &amp; Sideloading\WalkAndUnGZ.bat" "%USERPROFILE%\AppData\Local\Temp\OnboardLogs"\RTDC4014\2016-08-27 &amp; aws s3 cp s3://rtdc.mdm.uploadarchive/RTDC4014/2016-08-28/ "%USERPROFILE%\AppData\Local\Temp\OnboardLogs"\RTDC4014\2016-08-28 --recursive &amp; "%USERPROFILE%\Documents\GitHub\mrs-test-scripts\Headless Mode &amp; Sideloading\WalkAndUnGZ.bat" "%USERPROFILE%\AppData\Local\Temp\OnboardLogs"\RTDC4014\2016-08-28</v>
      </c>
      <c r="Q23" s="111" t="str">
        <f>VLOOKUP(C23,'Train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05:19:52-0600',mode:absolute,to:'2016-08-27 07:51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4014%22')),sort:!(Time,asc))</v>
      </c>
      <c r="R23" s="113" t="str">
        <f t="shared" si="0"/>
        <v>"C:\Program Files (x86)\AstroGrep\AstroGrep.exe" /spath="%USERPROFILE%\AppData\Local\Temp\OnboardLogs" /stypes="*4014*201608271*" /stext=" 12:.+((SYSTEM_STATE.+slice.+state.+changed )|(ment ac)|(system.+state.+changed )|(\|lc)|(penalty)|(\[timeout)|(PRM\|1\|D)|(kpr)|(kdp))" /e /r /s</v>
      </c>
      <c r="S23" s="9" t="str">
        <f t="shared" si="1"/>
        <v>4014</v>
      </c>
      <c r="T23" s="38">
        <f t="shared" si="2"/>
        <v>42609.515115740738</v>
      </c>
      <c r="U23" s="52" t="str">
        <f t="shared" si="3"/>
        <v>EC</v>
      </c>
      <c r="V23" s="52" t="str">
        <f t="shared" si="4"/>
        <v>KEEP</v>
      </c>
      <c r="W23" s="149" t="str">
        <f t="shared" si="5"/>
        <v>echo {"issue":{"subject":"Overspeed","project_id":79,"tracker_id":40,"status_id":1,"priority_id":2,"assigned_to_id":23,"start_date":"2016-08-27","description":"","custom_fields":[{"id":1,"name":"Subdivision","value":"EC"},{"id":4,"name":"Milepost","value":"6.3995"},{"id":17,"name":"Train ID","value":"119-27"},{"id":16,"name":"Locomotive ID","value":"4014"},{"id":130,"name":"Impact","value":""},{"id":150,"name":"Time of Event (Mountain Time)","value":"06:21:46"},{"id":151,"name":"Denver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3" s="55"/>
      <c r="Y23" s="55"/>
      <c r="Z23" s="55"/>
    </row>
    <row r="24" spans="1:26" x14ac:dyDescent="0.25">
      <c r="A24" s="38">
        <v>42609.284421296295</v>
      </c>
      <c r="B24" s="33" t="s">
        <v>289</v>
      </c>
      <c r="C24" s="33" t="s">
        <v>402</v>
      </c>
      <c r="D24" s="33" t="s">
        <v>49</v>
      </c>
      <c r="E24" s="33" t="s">
        <v>54</v>
      </c>
      <c r="F24" s="49">
        <v>0</v>
      </c>
      <c r="G24" s="49">
        <v>25</v>
      </c>
      <c r="H24" s="49">
        <v>64042</v>
      </c>
      <c r="I24" s="33" t="s">
        <v>55</v>
      </c>
      <c r="J24" s="49">
        <v>64008</v>
      </c>
      <c r="K24" s="33" t="s">
        <v>53</v>
      </c>
      <c r="L24" s="92" t="str">
        <f>VLOOKUP(C24,'Trips&amp;Operators'!$C$1:$E$9999,3,0)</f>
        <v>MAHAN</v>
      </c>
      <c r="M24" s="131" t="s">
        <v>327</v>
      </c>
      <c r="N24" s="10" t="s">
        <v>699</v>
      </c>
      <c r="O24" s="33"/>
      <c r="P24" s="108" t="str">
        <f>VLOOKUP(C24,'Train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24" s="111" t="str">
        <f>VLOOKUP(C24,'Train Runs'!$A$13:$AE$10012,22,0)</f>
        <v>https://search-rtdc-monitor-bjffxe2xuh6vdkpspy63sjmuny.us-east-1.es.amazonaws.com/_plugin/kibana/#/discover/Steve-Slow-Train-Analysis-(2080s-and-2083s)?_g=(refreshInterval:(display:Off,section:0,value:0),time:(from:'2016-08-27 04:43:52-0600',mode:absolute,to:'2016-08-27 07:49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24" s="113" t="str">
        <f t="shared" si="0"/>
        <v>"C:\Program Files (x86)\AstroGrep\AstroGrep.exe" /spath="%USERPROFILE%\AppData\Local\Temp\OnboardLogs" /stypes="*4019*201608271*" /stext=" 12:.+((SYSTEM_STATE.+slice.+state.+changed )|(ment ac)|(system.+state.+changed )|(\|lc)|(penalty)|(\[timeout)|(PRM\|1\|D)|(kpr)|(kdp))" /e /r /s</v>
      </c>
      <c r="S24" s="9" t="str">
        <f t="shared" si="1"/>
        <v>4019</v>
      </c>
      <c r="T24" s="38">
        <f t="shared" si="2"/>
        <v>42609.534421296295</v>
      </c>
      <c r="U24" s="52" t="str">
        <f t="shared" si="3"/>
        <v>EC</v>
      </c>
      <c r="V24" s="52" t="str">
        <f t="shared" si="4"/>
        <v>KEEP</v>
      </c>
      <c r="W24" s="149" t="str">
        <f t="shared" si="5"/>
        <v>echo {"issue":{"subject":"Central Park XING failure","project_id":79,"tracker_id":40,"status_id":1,"priority_id":2,"assigned_to_id":23,"start_date":"2016-08-27","description":"","custom_fields":[{"id":1,"name":"Subdivision","value":"EC"},{"id":4,"name":"Milepost","value":"6.4008"},{"id":17,"name":"Train ID","value":"112-27"},{"id":16,"name":"Locomotive ID","value":"4019"},{"id":130,"name":"Impact","value":""},{"id":150,"name":"Time of Event (Mountain Time)","value":"06:49:34"},{"id":151,"name":"Denver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4" s="55"/>
      <c r="Y24" s="55"/>
      <c r="Z24" s="55"/>
    </row>
    <row r="25" spans="1:26" ht="15" customHeight="1" x14ac:dyDescent="0.25">
      <c r="A25" s="38">
        <v>42609.745833333334</v>
      </c>
      <c r="B25" s="33" t="s">
        <v>115</v>
      </c>
      <c r="C25" s="33" t="s">
        <v>610</v>
      </c>
      <c r="D25" s="33" t="s">
        <v>49</v>
      </c>
      <c r="E25" s="33" t="s">
        <v>54</v>
      </c>
      <c r="F25" s="49">
        <v>0</v>
      </c>
      <c r="G25" s="49">
        <v>763</v>
      </c>
      <c r="H25" s="49">
        <v>133289</v>
      </c>
      <c r="I25" s="33" t="s">
        <v>55</v>
      </c>
      <c r="J25" s="49">
        <v>127587</v>
      </c>
      <c r="K25" s="33" t="s">
        <v>53</v>
      </c>
      <c r="L25" s="92" t="str">
        <f>VLOOKUP(C25,'Trips&amp;Operators'!$C$1:$E$9999,3,0)</f>
        <v>MOSES</v>
      </c>
      <c r="M25" s="131" t="s">
        <v>86</v>
      </c>
      <c r="N25" s="10" t="s">
        <v>707</v>
      </c>
      <c r="O25" s="33"/>
      <c r="P25" s="108" t="str">
        <f>VLOOKUP(C25,'Train Runs'!$A$13:$AE$10012,31,0)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Q25" s="111" t="str">
        <f>VLOOKUP(C25,'Train Runs'!$A$13:$AE$10012,22,0)</f>
        <v>https://search-rtdc-monitor-bjffxe2xuh6vdkpspy63sjmuny.us-east-1.es.amazonaws.com/_plugin/kibana/#/discover/Steve-Slow-Train-Analysis-(2080s-and-2083s)?_g=(refreshInterval:(display:Off,section:0,value:0),time:(from:'2016-08-27 16:37:49-0600',mode:absolute,to:'2016-08-27 19:22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25" s="113" t="str">
        <f t="shared" si="0"/>
        <v>"C:\Program Files (x86)\AstroGrep\AstroGrep.exe" /spath="%USERPROFILE%\AppData\Local\Temp\OnboardLogs" /stypes="*4032*201608272*" /stext=" 23:.+((SYSTEM_STATE.+slice.+state.+changed )|(ment ac)|(system.+state.+changed )|(\|lc)|(penalty)|(\[timeout)|(PRM\|1\|D)|(kpr)|(kdp))" /e /r /s</v>
      </c>
      <c r="S25" s="9" t="str">
        <f t="shared" si="1"/>
        <v>4032</v>
      </c>
      <c r="T25" s="38">
        <f t="shared" si="2"/>
        <v>42609.995833333334</v>
      </c>
      <c r="U25" s="52" t="str">
        <f t="shared" si="3"/>
        <v>EC</v>
      </c>
      <c r="V25" s="52" t="str">
        <f t="shared" si="4"/>
        <v>KEEP</v>
      </c>
      <c r="W25" s="149" t="str">
        <f t="shared" si="5"/>
        <v>echo {"issue":{"subject":"40th 4S STOP, cleared shortly","project_id":79,"tracker_id":40,"status_id":1,"priority_id":2,"assigned_to_id":23,"start_date":"2016-08-27","description":"","custom_fields":[{"id":1,"name":"Subdivision","value":"EC"},{"id":4,"name":"Milepost","value":"12.7587"},{"id":17,"name":"Train ID","value":"206-27"},{"id":16,"name":"Locomotive ID","value":"4032"},{"id":130,"name":"Impact","value":""},{"id":150,"name":"Time of Event (Mountain Time)","value":"17:54:00"},{"id":151,"name":"Denver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5" s="55"/>
      <c r="Y25" s="55"/>
      <c r="Z25" s="55"/>
    </row>
    <row r="26" spans="1:26" x14ac:dyDescent="0.25">
      <c r="A26" s="38">
        <v>42609.288738425923</v>
      </c>
      <c r="B26" s="33" t="s">
        <v>144</v>
      </c>
      <c r="C26" s="33" t="s">
        <v>418</v>
      </c>
      <c r="D26" s="33" t="s">
        <v>49</v>
      </c>
      <c r="E26" s="33" t="s">
        <v>54</v>
      </c>
      <c r="F26" s="49">
        <v>0</v>
      </c>
      <c r="G26" s="49">
        <v>701</v>
      </c>
      <c r="H26" s="49">
        <v>138470</v>
      </c>
      <c r="I26" s="33" t="s">
        <v>55</v>
      </c>
      <c r="J26" s="49">
        <v>133166</v>
      </c>
      <c r="K26" s="33" t="s">
        <v>53</v>
      </c>
      <c r="L26" s="92" t="str">
        <f>VLOOKUP(C26,'Trips&amp;Operators'!$C$1:$E$9999,3,0)</f>
        <v>MALAVE</v>
      </c>
      <c r="M26" s="131" t="s">
        <v>86</v>
      </c>
      <c r="N26" s="10" t="s">
        <v>709</v>
      </c>
      <c r="O26" s="33"/>
      <c r="P26" s="108" t="str">
        <f>VLOOKUP(C26,'Train Runs'!$A$13:$AE$10012,31,0)</f>
        <v>aws s3 cp s3://rtdc.mdm.uploadarchive/RTDC4037/2016-08-27/ "%USERPROFILE%\AppData\Local\Temp\OnboardLogs"\RTDC4037\2016-08-27 --recursive &amp; "%USERPROFILE%\Documents\GitHub\mrs-test-scripts\Headless Mode &amp; Sideloading\WalkAndUnGZ.bat" "%USERPROFILE%\AppData\Local\Temp\OnboardLogs"\RTDC4037\2016-08-27 &amp; aws s3 cp s3://rtdc.mdm.uploadarchive/RTDC4037/2016-08-28/ "%USERPROFILE%\AppData\Local\Temp\OnboardLogs"\RTDC4037\2016-08-28 --recursive &amp; "%USERPROFILE%\Documents\GitHub\mrs-test-scripts\Headless Mode &amp; Sideloading\WalkAndUnGZ.bat" "%USERPROFILE%\AppData\Local\Temp\OnboardLogs"\RTDC4037\2016-08-28</v>
      </c>
      <c r="Q26" s="111" t="str">
        <f>VLOOKUP(C26,'Train Runs'!$A$13:$AE$10012,22,0)</f>
        <v>https://search-rtdc-monitor-bjffxe2xuh6vdkpspy63sjmuny.us-east-1.es.amazonaws.com/_plugin/kibana/#/discover/Steve-Slow-Train-Analysis-(2080s-and-2083s)?_g=(refreshInterval:(display:Off,section:0,value:0),time:(from:'2016-08-27 05:39:57-0600',mode:absolute,to:'2016-08-27 08:59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4037%22')),sort:!(Time,asc))</v>
      </c>
      <c r="R26" s="113" t="str">
        <f t="shared" si="0"/>
        <v>"C:\Program Files (x86)\AstroGrep\AstroGrep.exe" /spath="%USERPROFILE%\AppData\Local\Temp\OnboardLogs" /stypes="*4037*201608271*" /stext=" 12:.+((SYSTEM_STATE.+slice.+state.+changed )|(ment ac)|(system.+state.+changed )|(\|lc)|(penalty)|(\[timeout)|(PRM\|1\|D)|(kpr)|(kdp))" /e /r /s</v>
      </c>
      <c r="S26" s="9" t="str">
        <f t="shared" si="1"/>
        <v>4037</v>
      </c>
      <c r="T26" s="38">
        <f t="shared" si="2"/>
        <v>42609.538738425923</v>
      </c>
      <c r="U26" s="52" t="str">
        <f t="shared" si="3"/>
        <v>EC</v>
      </c>
      <c r="V26" s="52" t="str">
        <f t="shared" si="4"/>
        <v>KEEP</v>
      </c>
      <c r="W26" s="149" t="str">
        <f t="shared" si="5"/>
        <v>echo {"issue":{"subject":"EC1332RH 133-1T 1S was STOP &amp; PROCEED, no issues found","project_id":79,"tracker_id":40,"status_id":1,"priority_id":2,"assigned_to_id":23,"start_date":"2016-08-27","description":"","custom_fields":[{"id":1,"name":"Subdivision","value":"EC"},{"id":4,"name":"Milepost","value":"13.3166"},{"id":17,"name":"Train ID","value":"118-27"},{"id":16,"name":"Locomotive ID","value":"4037"},{"id":130,"name":"Impact","value":""},{"id":150,"name":"Time of Event (Mountain Time)","value":"06:55:47"},{"id":151,"name":"Denver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6" s="55"/>
      <c r="Y26" s="55"/>
      <c r="Z26" s="55"/>
    </row>
    <row r="27" spans="1:26" x14ac:dyDescent="0.25">
      <c r="A27" s="38">
        <v>42609.438750000001</v>
      </c>
      <c r="B27" s="33" t="s">
        <v>150</v>
      </c>
      <c r="C27" s="33" t="s">
        <v>462</v>
      </c>
      <c r="D27" s="33" t="s">
        <v>49</v>
      </c>
      <c r="E27" s="33" t="s">
        <v>54</v>
      </c>
      <c r="F27" s="49">
        <v>0</v>
      </c>
      <c r="G27" s="49">
        <v>523</v>
      </c>
      <c r="H27" s="49">
        <v>150926</v>
      </c>
      <c r="I27" s="33" t="s">
        <v>55</v>
      </c>
      <c r="J27" s="49">
        <v>155600</v>
      </c>
      <c r="K27" s="33" t="s">
        <v>52</v>
      </c>
      <c r="L27" s="92" t="str">
        <f>VLOOKUP(C27,'Trips&amp;Operators'!$C$1:$E$9999,3,0)</f>
        <v>STRICKLAND</v>
      </c>
      <c r="M27" s="131" t="s">
        <v>86</v>
      </c>
      <c r="N27" s="10" t="s">
        <v>708</v>
      </c>
      <c r="O27" s="33"/>
      <c r="P27" s="108" t="str">
        <f>VLOOKUP(C27,'Train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27" s="111" t="str">
        <f>VLOOKUP(C27,'Train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27" s="113" t="str">
        <f t="shared" si="0"/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27" s="9" t="str">
        <f t="shared" si="1"/>
        <v>4042</v>
      </c>
      <c r="T27" s="38">
        <f t="shared" si="2"/>
        <v>42609.688750000001</v>
      </c>
      <c r="U27" s="52" t="str">
        <f t="shared" si="3"/>
        <v>EC</v>
      </c>
      <c r="V27" s="52" t="str">
        <f t="shared" si="4"/>
        <v>KEEP</v>
      </c>
      <c r="W27" s="149" t="str">
        <f t="shared" si="5"/>
        <v>echo {"issue":{"subject":"61st 2N STOP, cleared shortly","project_id":79,"tracker_id":40,"status_id":1,"priority_id":2,"assigned_to_id":23,"start_date":"2016-08-27","description":"","custom_fields":[{"id":1,"name":"Subdivision","value":"EC"},{"id":4,"name":"Milepost","value":"15.56"},{"id":17,"name":"Train ID","value":"151-27"},{"id":16,"name":"Locomotive ID","value":"4042"},{"id":130,"name":"Impact","value":""},{"id":150,"name":"Time of Event (Mountain Time)","value":"10:31:48"},{"id":151,"name":"Denver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7" s="55"/>
      <c r="Y27" s="55"/>
      <c r="Z27" s="55"/>
    </row>
    <row r="28" spans="1:26" x14ac:dyDescent="0.25">
      <c r="A28" s="38">
        <v>42609.424108796295</v>
      </c>
      <c r="B28" s="33" t="s">
        <v>90</v>
      </c>
      <c r="C28" s="33" t="s">
        <v>446</v>
      </c>
      <c r="D28" s="33" t="s">
        <v>49</v>
      </c>
      <c r="E28" s="33" t="s">
        <v>50</v>
      </c>
      <c r="F28" s="49">
        <v>0</v>
      </c>
      <c r="G28" s="49">
        <v>65</v>
      </c>
      <c r="H28" s="49">
        <v>214</v>
      </c>
      <c r="I28" s="33" t="s">
        <v>51</v>
      </c>
      <c r="J28" s="49">
        <v>1</v>
      </c>
      <c r="K28" s="33" t="s">
        <v>53</v>
      </c>
      <c r="L28" s="92" t="str">
        <f>VLOOKUP(C28,'Trips&amp;Operators'!$C$1:$E$9999,3,0)</f>
        <v>ACKERMAN</v>
      </c>
      <c r="M28" s="131" t="s">
        <v>86</v>
      </c>
      <c r="N28" s="10"/>
      <c r="O28" s="33"/>
      <c r="P28" s="108" t="str">
        <f>VLOOKUP(C28,'Train Runs'!$A$13:$AE$10012,31,0)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Q28" s="111" t="str">
        <f>VLOOKUP(C28,'Train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08:28:06-0600',mode:absolute,to:'2016-08-27 11:10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28" s="113" t="str">
        <f t="shared" si="0"/>
        <v>"C:\Program Files (x86)\AstroGrep\AstroGrep.exe" /spath="%USERPROFILE%\AppData\Local\Temp\OnboardLogs" /stypes="*4013*201608271*" /stext=" 16:.+((SYSTEM_STATE.+slice.+state.+changed )|(ment ac)|(system.+state.+changed )|(\|lc)|(penalty)|(\[timeout)|(PRM\|1\|D)|(kpr)|(kdp))" /e /r /s</v>
      </c>
      <c r="S28" s="9" t="str">
        <f t="shared" si="1"/>
        <v>4013</v>
      </c>
      <c r="T28" s="38">
        <f t="shared" si="2"/>
        <v>42609.674108796295</v>
      </c>
      <c r="U28" s="52" t="str">
        <f t="shared" si="3"/>
        <v>EC</v>
      </c>
      <c r="V28" s="52" t="str">
        <f t="shared" si="4"/>
        <v>KEEP</v>
      </c>
      <c r="W28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ID","value":"140-27"},{"id":16,"name":"Locomotive ID","value":"4013"},{"id":130,"name":"Impact","value":""},{"id":150,"name":"Time of Event (Mountain Time)","value":"10:10:43"},{"id":151,"name":"Denver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8" s="55"/>
      <c r="Y28" s="55"/>
      <c r="Z28" s="55"/>
    </row>
    <row r="29" spans="1:26" x14ac:dyDescent="0.25">
      <c r="A29" s="38">
        <v>42609.44263888889</v>
      </c>
      <c r="B29" s="33" t="s">
        <v>174</v>
      </c>
      <c r="C29" s="33" t="s">
        <v>452</v>
      </c>
      <c r="D29" s="33" t="s">
        <v>49</v>
      </c>
      <c r="E29" s="33" t="s">
        <v>50</v>
      </c>
      <c r="F29" s="49">
        <v>0</v>
      </c>
      <c r="G29" s="49">
        <v>46</v>
      </c>
      <c r="H29" s="49">
        <v>207</v>
      </c>
      <c r="I29" s="33" t="s">
        <v>51</v>
      </c>
      <c r="J29" s="49">
        <v>1</v>
      </c>
      <c r="K29" s="33" t="s">
        <v>53</v>
      </c>
      <c r="L29" s="92" t="str">
        <f>VLOOKUP(C29,'Trips&amp;Operators'!$C$1:$E$9999,3,0)</f>
        <v>KILLION</v>
      </c>
      <c r="M29" s="131" t="s">
        <v>86</v>
      </c>
      <c r="N29" s="10"/>
      <c r="O29" s="33"/>
      <c r="P29" s="108" t="str">
        <f>VLOOKUP(C29,'Train Runs'!$A$13:$AE$10012,31,0)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Q29" s="111" t="str">
        <f>VLOOKUP(C29,'Train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08:56:55-0600',mode:absolute,to:'2016-08-27 11:36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29" s="113" t="str">
        <f t="shared" si="0"/>
        <v>"C:\Program Files (x86)\AstroGrep\AstroGrep.exe" /spath="%USERPROFILE%\AppData\Local\Temp\OnboardLogs" /stypes="*4010*201608271*" /stext=" 16:.+((SYSTEM_STATE.+slice.+state.+changed )|(ment ac)|(system.+state.+changed )|(\|lc)|(penalty)|(\[timeout)|(PRM\|1\|D)|(kpr)|(kdp))" /e /r /s</v>
      </c>
      <c r="S29" s="9" t="str">
        <f t="shared" si="1"/>
        <v>4010</v>
      </c>
      <c r="T29" s="38">
        <f t="shared" si="2"/>
        <v>42609.69263888889</v>
      </c>
      <c r="U29" s="52" t="str">
        <f t="shared" si="3"/>
        <v>EC</v>
      </c>
      <c r="V29" s="52" t="str">
        <f t="shared" si="4"/>
        <v>KEEP</v>
      </c>
      <c r="W29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ID","value":"144-27"},{"id":16,"name":"Locomotive ID","value":"4010"},{"id":130,"name":"Impact","value":""},{"id":150,"name":"Time of Event (Mountain Time)","value":"10:37:24"},{"id":151,"name":"Denver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29" s="55"/>
      <c r="Y29" s="55"/>
      <c r="Z29" s="55"/>
    </row>
    <row r="30" spans="1:26" x14ac:dyDescent="0.25">
      <c r="A30" s="38">
        <v>42609.462465277778</v>
      </c>
      <c r="B30" s="33" t="s">
        <v>289</v>
      </c>
      <c r="C30" s="33" t="s">
        <v>456</v>
      </c>
      <c r="D30" s="33" t="s">
        <v>49</v>
      </c>
      <c r="E30" s="33" t="s">
        <v>50</v>
      </c>
      <c r="F30" s="49">
        <v>0</v>
      </c>
      <c r="G30" s="49">
        <v>70</v>
      </c>
      <c r="H30" s="49">
        <v>221</v>
      </c>
      <c r="I30" s="33" t="s">
        <v>51</v>
      </c>
      <c r="J30" s="49">
        <v>1</v>
      </c>
      <c r="K30" s="33" t="s">
        <v>53</v>
      </c>
      <c r="L30" s="92" t="str">
        <f>VLOOKUP(C30,'Trips&amp;Operators'!$C$1:$E$9999,3,0)</f>
        <v>MAHAN</v>
      </c>
      <c r="M30" s="131" t="s">
        <v>86</v>
      </c>
      <c r="N30" s="10"/>
      <c r="O30" s="33"/>
      <c r="P30" s="108" t="str">
        <f>VLOOKUP(C30,'Train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30" s="111" t="str">
        <f>VLOOKUP(C30,'Train Runs'!$A$13:$AE$10012,22,0)</f>
        <v>https://search-rtdc-monitor-bjffxe2xuh6vdkpspy63sjmuny.us-east-1.es.amazonaws.com/_plugin/kibana/#/discover/Steve-Slow-Train-Analysis-(2080s-and-2083s)?_g=(refreshInterval:(display:Off,section:0,value:0),time:(from:'2016-08-27 09:22:37-0600',mode:absolute,to:'2016-08-27 12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0" s="113" t="str">
        <f t="shared" si="0"/>
        <v>"C:\Program Files (x86)\AstroGrep\AstroGrep.exe" /spath="%USERPROFILE%\AppData\Local\Temp\OnboardLogs" /stypes="*4019*201608271*" /stext=" 17:.+((SYSTEM_STATE.+slice.+state.+changed )|(ment ac)|(system.+state.+changed )|(\|lc)|(penalty)|(\[timeout)|(PRM\|1\|D)|(kpr)|(kdp))" /e /r /s</v>
      </c>
      <c r="S30" s="9" t="str">
        <f t="shared" si="1"/>
        <v>4019</v>
      </c>
      <c r="T30" s="38">
        <f t="shared" si="2"/>
        <v>42609.712465277778</v>
      </c>
      <c r="U30" s="52" t="str">
        <f t="shared" si="3"/>
        <v>EC</v>
      </c>
      <c r="V30" s="52" t="str">
        <f t="shared" si="4"/>
        <v>KEEP</v>
      </c>
      <c r="W30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ID","value":"148-27"},{"id":16,"name":"Locomotive ID","value":"4019"},{"id":130,"name":"Impact","value":""},{"id":150,"name":"Time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0" s="55"/>
      <c r="Y30" s="55"/>
      <c r="Z30" s="55"/>
    </row>
    <row r="31" spans="1:26" x14ac:dyDescent="0.25">
      <c r="A31" s="38">
        <v>42609.524675925924</v>
      </c>
      <c r="B31" s="33" t="s">
        <v>174</v>
      </c>
      <c r="C31" s="33" t="s">
        <v>472</v>
      </c>
      <c r="D31" s="33" t="s">
        <v>49</v>
      </c>
      <c r="E31" s="33" t="s">
        <v>50</v>
      </c>
      <c r="F31" s="49">
        <v>0</v>
      </c>
      <c r="G31" s="49">
        <v>45</v>
      </c>
      <c r="H31" s="49">
        <v>183</v>
      </c>
      <c r="I31" s="33" t="s">
        <v>51</v>
      </c>
      <c r="J31" s="49">
        <v>1</v>
      </c>
      <c r="K31" s="33" t="s">
        <v>53</v>
      </c>
      <c r="L31" s="92" t="str">
        <f>VLOOKUP(C31,'Trips&amp;Operators'!$C$1:$E$9999,3,0)</f>
        <v>STEWART</v>
      </c>
      <c r="M31" s="131" t="s">
        <v>86</v>
      </c>
      <c r="N31" s="10"/>
      <c r="O31" s="33"/>
      <c r="P31" s="108" t="str">
        <f>VLOOKUP(C31,'Train Runs'!$A$13:$AE$10012,31,0)</f>
        <v>aws s3 cp s3://rtdc.mdm.uploadarchive/RTDC4010/2016-08-27/ "%USERPROFILE%\AppData\Local\Temp\OnboardLogs"\RTDC4010\2016-08-27 --recursive &amp; "%USERPROFILE%\Documents\GitHub\mrs-test-scripts\Headless Mode &amp; Sideloading\WalkAndUnGZ.bat" "%USERPROFILE%\AppData\Local\Temp\OnboardLogs"\RTDC4010\2016-08-27 &amp; aws s3 cp s3://rtdc.mdm.uploadarchive/RTDC4010/2016-08-28/ "%USERPROFILE%\AppData\Local\Temp\OnboardLogs"\RTDC4010\2016-08-28 --recursive &amp; "%USERPROFILE%\Documents\GitHub\mrs-test-scripts\Headless Mode &amp; Sideloading\WalkAndUnGZ.bat" "%USERPROFILE%\AppData\Local\Temp\OnboardLogs"\RTDC4010\2016-08-28</v>
      </c>
      <c r="Q31" s="111" t="str">
        <f>VLOOKUP(C31,'Train Runs'!$A$13:$AE$10012,22,0)</f>
        <v>https://search-rtdc-monitor-bjffxe2xuh6vdkpspy63sjmuny.us-east-1.es.amazonaws.com/_plugin/kibana/#/discover/Steve-Slow-Train-Analysis-(2080s-and-2083s)?_g=(refreshInterval:(display:Off,section:0,value:0),time:(from:'2016-08-27 10:54:48-0600',mode:absolute,to:'2016-08-27 13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4010%22')),sort:!(Time,asc))</v>
      </c>
      <c r="R31" s="113" t="str">
        <f t="shared" si="0"/>
        <v>"C:\Program Files (x86)\AstroGrep\AstroGrep.exe" /spath="%USERPROFILE%\AppData\Local\Temp\OnboardLogs" /stypes="*4010*201608271*" /stext=" 18:.+((SYSTEM_STATE.+slice.+state.+changed )|(ment ac)|(system.+state.+changed )|(\|lc)|(penalty)|(\[timeout)|(PRM\|1\|D)|(kpr)|(kdp))" /e /r /s</v>
      </c>
      <c r="S31" s="9" t="str">
        <f t="shared" si="1"/>
        <v>4010</v>
      </c>
      <c r="T31" s="38">
        <f t="shared" si="2"/>
        <v>42609.774675925924</v>
      </c>
      <c r="U31" s="52" t="str">
        <f t="shared" si="3"/>
        <v>EC</v>
      </c>
      <c r="V31" s="52" t="str">
        <f t="shared" si="4"/>
        <v>KEEP</v>
      </c>
      <c r="W31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ID","value":"160-27"},{"id":16,"name":"Locomotive ID","value":"4010"},{"id":130,"name":"Impact","value":""},{"id":150,"name":"Time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1" s="55"/>
      <c r="Y31" s="55"/>
      <c r="Z31" s="55"/>
    </row>
    <row r="32" spans="1:26" x14ac:dyDescent="0.25">
      <c r="A32" s="38">
        <v>42609.619328703702</v>
      </c>
      <c r="B32" s="33" t="s">
        <v>115</v>
      </c>
      <c r="C32" s="33" t="s">
        <v>495</v>
      </c>
      <c r="D32" s="33" t="s">
        <v>49</v>
      </c>
      <c r="E32" s="33" t="s">
        <v>50</v>
      </c>
      <c r="F32" s="49">
        <v>0</v>
      </c>
      <c r="G32" s="49">
        <v>59</v>
      </c>
      <c r="H32" s="49">
        <v>198</v>
      </c>
      <c r="I32" s="33" t="s">
        <v>51</v>
      </c>
      <c r="J32" s="49">
        <v>1</v>
      </c>
      <c r="K32" s="33" t="s">
        <v>53</v>
      </c>
      <c r="L32" s="92" t="str">
        <f>VLOOKUP(C32,'Trips&amp;Operators'!$C$1:$E$9999,3,0)</f>
        <v>MOSES</v>
      </c>
      <c r="M32" s="131" t="s">
        <v>86</v>
      </c>
      <c r="N32" s="10"/>
      <c r="O32" s="33"/>
      <c r="P32" s="108" t="str">
        <f>VLOOKUP(C32,'Train Runs'!$A$13:$AE$10012,31,0)</f>
        <v>aws s3 cp s3://rtdc.mdm.uploadarchive/RTDC4032/2016-08-27/ "%USERPROFILE%\AppData\Local\Temp\OnboardLogs"\RTDC4032\2016-08-27 --recursive &amp; "%USERPROFILE%\Documents\GitHub\mrs-test-scripts\Headless Mode &amp; Sideloading\WalkAndUnGZ.bat" "%USERPROFILE%\AppData\Local\Temp\OnboardLogs"\RTDC4032\2016-08-27 &amp; aws s3 cp s3://rtdc.mdm.uploadarchive/RTDC4032/2016-08-28/ "%USERPROFILE%\AppData\Local\Temp\OnboardLogs"\RTDC4032\2016-08-28 --recursive &amp; "%USERPROFILE%\Documents\GitHub\mrs-test-scripts\Headless Mode &amp; Sideloading\WalkAndUnGZ.bat" "%USERPROFILE%\AppData\Local\Temp\OnboardLogs"\RTDC4032\2016-08-28</v>
      </c>
      <c r="Q32" s="111" t="str">
        <f>VLOOKUP(C32,'Train Runs'!$A$13:$AE$10012,22,0)</f>
        <v>https://search-rtdc-monitor-bjffxe2xuh6vdkpspy63sjmuny.us-east-1.es.amazonaws.com/_plugin/kibana/#/discover/Steve-Slow-Train-Analysis-(2080s-and-2083s)?_g=(refreshInterval:(display:Off,section:0,value:0),time:(from:'2016-08-27 13:05:01-0600',mode:absolute,to:'2016-08-27 15:51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4032%22')),sort:!(Time,asc))</v>
      </c>
      <c r="R32" s="113" t="str">
        <f t="shared" si="0"/>
        <v>"C:\Program Files (x86)\AstroGrep\AstroGrep.exe" /spath="%USERPROFILE%\AppData\Local\Temp\OnboardLogs" /stypes="*4032*201608272*" /stext=" 20:.+((SYSTEM_STATE.+slice.+state.+changed )|(ment ac)|(system.+state.+changed )|(\|lc)|(penalty)|(\[timeout)|(PRM\|1\|D)|(kpr)|(kdp))" /e /r /s</v>
      </c>
      <c r="S32" s="9" t="str">
        <f t="shared" si="1"/>
        <v>4032</v>
      </c>
      <c r="T32" s="38">
        <f t="shared" si="2"/>
        <v>42609.869328703702</v>
      </c>
      <c r="U32" s="52" t="str">
        <f t="shared" si="3"/>
        <v>EC</v>
      </c>
      <c r="V32" s="52" t="str">
        <f t="shared" si="4"/>
        <v>KEEP</v>
      </c>
      <c r="W32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ID","value":"178-27"},{"id":16,"name":"Locomotive ID","value":"4032"},{"id":130,"name":"Impact","value":""},{"id":150,"name":"Time of Event (Mountain Time)","value":"14:51:50"},{"id":151,"name":"Denver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2" s="55"/>
      <c r="Y32" s="55"/>
      <c r="Z32" s="55"/>
    </row>
    <row r="33" spans="1:26" ht="15" customHeight="1" x14ac:dyDescent="0.25">
      <c r="A33" s="38">
        <v>42609.650717592594</v>
      </c>
      <c r="B33" s="33" t="s">
        <v>90</v>
      </c>
      <c r="C33" s="33" t="s">
        <v>577</v>
      </c>
      <c r="D33" s="33" t="s">
        <v>49</v>
      </c>
      <c r="E33" s="33" t="s">
        <v>50</v>
      </c>
      <c r="F33" s="49">
        <v>0</v>
      </c>
      <c r="G33" s="49">
        <v>50</v>
      </c>
      <c r="H33" s="49">
        <v>160</v>
      </c>
      <c r="I33" s="33" t="s">
        <v>51</v>
      </c>
      <c r="J33" s="49">
        <v>1</v>
      </c>
      <c r="K33" s="33" t="s">
        <v>53</v>
      </c>
      <c r="L33" s="92" t="str">
        <f>VLOOKUP(C33,'Trips&amp;Operators'!$C$1:$E$9999,3,0)</f>
        <v>STORY</v>
      </c>
      <c r="M33" s="131" t="s">
        <v>86</v>
      </c>
      <c r="N33" s="10"/>
      <c r="O33" s="33"/>
      <c r="P33" s="108" t="str">
        <f>VLOOKUP(C33,'Train Runs'!$A$13:$AE$10012,31,0)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Q33" s="111" t="str">
        <f>VLOOKUP(C33,'Train Runs'!$A$13:$AE$10012,22,0)</f>
        <v>https://search-rtdc-monitor-bjffxe2xuh6vdkpspy63sjmuny.us-east-1.es.amazonaws.com/_plugin/kibana/#/discover/Steve-Slow-Train-Analysis-(2080s-and-2083s)?_g=(refreshInterval:(display:Off,section:0,value:0),time:(from:'2016-08-27 13:46:53-0600',mode:absolute,to:'2016-08-27 16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3" s="113" t="str">
        <f t="shared" si="0"/>
        <v>"C:\Program Files (x86)\AstroGrep\AstroGrep.exe" /spath="%USERPROFILE%\AppData\Local\Temp\OnboardLogs" /stypes="*4013*201608272*" /stext=" 21:.+((SYSTEM_STATE.+slice.+state.+changed )|(ment ac)|(system.+state.+changed )|(\|lc)|(penalty)|(\[timeout)|(PRM\|1\|D)|(kpr)|(kdp))" /e /r /s</v>
      </c>
      <c r="S33" s="9" t="str">
        <f t="shared" si="1"/>
        <v>4013</v>
      </c>
      <c r="T33" s="38">
        <f t="shared" si="2"/>
        <v>42609.900717592594</v>
      </c>
      <c r="U33" s="52" t="str">
        <f t="shared" si="3"/>
        <v>EC</v>
      </c>
      <c r="V33" s="52" t="str">
        <f t="shared" si="4"/>
        <v>KEEP</v>
      </c>
      <c r="W33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ID","value":"184-27"},{"id":16,"name":"Locomotive ID","value":"4013"},{"id":130,"name":"Impact","value":""},{"id":150,"name":"Time of Event (Mountain Time)","value":"15:37:02"},{"id":151,"name":"Denver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3" s="55"/>
      <c r="Y33" s="55"/>
      <c r="Z33" s="55"/>
    </row>
    <row r="34" spans="1:26" x14ac:dyDescent="0.25">
      <c r="A34" s="38">
        <v>42609.754386574074</v>
      </c>
      <c r="B34" s="33" t="s">
        <v>289</v>
      </c>
      <c r="C34" s="33" t="s">
        <v>607</v>
      </c>
      <c r="D34" s="33" t="s">
        <v>49</v>
      </c>
      <c r="E34" s="33" t="s">
        <v>50</v>
      </c>
      <c r="F34" s="49">
        <v>0</v>
      </c>
      <c r="G34" s="49">
        <v>49</v>
      </c>
      <c r="H34" s="49">
        <v>192</v>
      </c>
      <c r="I34" s="33" t="s">
        <v>51</v>
      </c>
      <c r="J34" s="49">
        <v>1</v>
      </c>
      <c r="K34" s="33" t="s">
        <v>53</v>
      </c>
      <c r="L34" s="92" t="str">
        <f>VLOOKUP(C34,'Trips&amp;Operators'!$C$1:$E$9999,3,0)</f>
        <v>BARTLETT</v>
      </c>
      <c r="M34" s="131" t="s">
        <v>86</v>
      </c>
      <c r="N34" s="10"/>
      <c r="O34" s="33"/>
      <c r="P34" s="108" t="str">
        <f>VLOOKUP(C34,'Train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34" s="111" t="str">
        <f>VLOOKUP(C34,'Train Runs'!$A$13:$AE$10012,22,0)</f>
        <v>https://search-rtdc-monitor-bjffxe2xuh6vdkpspy63sjmuny.us-east-1.es.amazonaws.com/_plugin/kibana/#/discover/Steve-Slow-Train-Analysis-(2080s-and-2083s)?_g=(refreshInterval:(display:Off,section:0,value:0),time:(from:'2016-08-27 16:09:36-0600',mode:absolute,to:'2016-08-27 19:06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4" s="113" t="str">
        <f t="shared" si="0"/>
        <v>"C:\Program Files (x86)\AstroGrep\AstroGrep.exe" /spath="%USERPROFILE%\AppData\Local\Temp\OnboardLogs" /stypes="*4019*201608280*" /stext=" 00:.+((SYSTEM_STATE.+slice.+state.+changed )|(ment ac)|(system.+state.+changed )|(\|lc)|(penalty)|(\[timeout)|(PRM\|1\|D)|(kpr)|(kdp))" /e /r /s</v>
      </c>
      <c r="S34" s="9" t="str">
        <f t="shared" si="1"/>
        <v>4019</v>
      </c>
      <c r="T34" s="38">
        <f t="shared" si="2"/>
        <v>42610.004386574074</v>
      </c>
      <c r="U34" s="52" t="str">
        <f t="shared" si="3"/>
        <v>EC</v>
      </c>
      <c r="V34" s="52" t="str">
        <f t="shared" si="4"/>
        <v>KEEP</v>
      </c>
      <c r="W34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ID","value":"204-27"},{"id":16,"name":"Locomotive ID","value":"4019"},{"id":130,"name":"Impact","value":""},{"id":150,"name":"Time of Event (Mountain Time)","value":"18:06:19"},{"id":151,"name":"Denver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4" s="55"/>
      <c r="Y34" s="55"/>
      <c r="Z34" s="55"/>
    </row>
    <row r="35" spans="1:26" ht="15" customHeight="1" x14ac:dyDescent="0.25">
      <c r="A35" s="38">
        <v>42609.797013888892</v>
      </c>
      <c r="B35" s="33" t="s">
        <v>90</v>
      </c>
      <c r="C35" s="33" t="s">
        <v>618</v>
      </c>
      <c r="D35" s="33" t="s">
        <v>49</v>
      </c>
      <c r="E35" s="33" t="s">
        <v>50</v>
      </c>
      <c r="F35" s="49">
        <v>0</v>
      </c>
      <c r="G35" s="49">
        <v>50</v>
      </c>
      <c r="H35" s="49">
        <v>150</v>
      </c>
      <c r="I35" s="33" t="s">
        <v>51</v>
      </c>
      <c r="J35" s="49">
        <v>1</v>
      </c>
      <c r="K35" s="33" t="s">
        <v>53</v>
      </c>
      <c r="L35" s="92" t="str">
        <f>VLOOKUP(C35,'Trips&amp;Operators'!$C$1:$E$9999,3,0)</f>
        <v>STORY</v>
      </c>
      <c r="M35" s="131" t="s">
        <v>86</v>
      </c>
      <c r="N35" s="10"/>
      <c r="O35" s="33"/>
      <c r="P35" s="108" t="str">
        <f>VLOOKUP(C35,'Train Runs'!$A$13:$AE$10012,31,0)</f>
        <v>aws s3 cp s3://rtdc.mdm.uploadarchive/RTDC4013/2016-08-27/ "%USERPROFILE%\AppData\Local\Temp\OnboardLogs"\RTDC4013\2016-08-27 --recursive &amp; "%USERPROFILE%\Documents\GitHub\mrs-test-scripts\Headless Mode &amp; Sideloading\WalkAndUnGZ.bat" "%USERPROFILE%\AppData\Local\Temp\OnboardLogs"\RTDC4013\2016-08-27 &amp; aws s3 cp s3://rtdc.mdm.uploadarchive/RTDC4013/2016-08-28/ "%USERPROFILE%\AppData\Local\Temp\OnboardLogs"\RTDC4013\2016-08-28 --recursive &amp; "%USERPROFILE%\Documents\GitHub\mrs-test-scripts\Headless Mode &amp; Sideloading\WalkAndUnGZ.bat" "%USERPROFILE%\AppData\Local\Temp\OnboardLogs"\RTDC4013\2016-08-28</v>
      </c>
      <c r="Q35" s="111" t="str">
        <f>VLOOKUP(C35,'Train Runs'!$A$13:$AE$10012,22,0)</f>
        <v>https://search-rtdc-monitor-bjffxe2xuh6vdkpspy63sjmuny.us-east-1.es.amazonaws.com/_plugin/kibana/#/discover/Steve-Slow-Train-Analysis-(2080s-and-2083s)?_g=(refreshInterval:(display:Off,section:0,value:0),time:(from:'2016-08-27 17:16:00-0600',mode:absolute,to:'2016-08-27 20:07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4013%22')),sort:!(Time,asc))</v>
      </c>
      <c r="R35" s="113" t="str">
        <f t="shared" si="0"/>
        <v>"C:\Program Files (x86)\AstroGrep\AstroGrep.exe" /spath="%USERPROFILE%\AppData\Local\Temp\OnboardLogs" /stypes="*4013*201608280*" /stext=" 01:.+((SYSTEM_STATE.+slice.+state.+changed )|(ment ac)|(system.+state.+changed )|(\|lc)|(penalty)|(\[timeout)|(PRM\|1\|D)|(kpr)|(kdp))" /e /r /s</v>
      </c>
      <c r="S35" s="9" t="str">
        <f t="shared" si="1"/>
        <v>4013</v>
      </c>
      <c r="T35" s="38">
        <f t="shared" si="2"/>
        <v>42610.047013888892</v>
      </c>
      <c r="U35" s="52" t="str">
        <f t="shared" si="3"/>
        <v>EC</v>
      </c>
      <c r="V35" s="52" t="str">
        <f t="shared" si="4"/>
        <v>KEEP</v>
      </c>
      <c r="W35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ID","value":"212-27"},{"id":16,"name":"Locomotive ID","value":"4013"},{"id":130,"name":"Impact","value":""},{"id":150,"name":"Time of Event (Mountain Time)","value":"19:07:42"},{"id":151,"name":"Denver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5" s="55"/>
      <c r="Y35" s="55"/>
      <c r="Z35" s="55"/>
    </row>
    <row r="36" spans="1:26" x14ac:dyDescent="0.25">
      <c r="A36" s="38">
        <v>42609.900995370372</v>
      </c>
      <c r="B36" s="33" t="s">
        <v>289</v>
      </c>
      <c r="C36" s="33" t="s">
        <v>633</v>
      </c>
      <c r="D36" s="33" t="s">
        <v>49</v>
      </c>
      <c r="E36" s="33" t="s">
        <v>50</v>
      </c>
      <c r="F36" s="49">
        <v>0</v>
      </c>
      <c r="G36" s="49">
        <v>57</v>
      </c>
      <c r="H36" s="49">
        <v>212</v>
      </c>
      <c r="I36" s="33" t="s">
        <v>51</v>
      </c>
      <c r="J36" s="49">
        <v>1</v>
      </c>
      <c r="K36" s="33" t="s">
        <v>53</v>
      </c>
      <c r="L36" s="92" t="str">
        <f>VLOOKUP(C36,'Trips&amp;Operators'!$C$1:$E$9999,3,0)</f>
        <v>CHANDLER</v>
      </c>
      <c r="M36" s="131" t="s">
        <v>86</v>
      </c>
      <c r="N36" s="10"/>
      <c r="O36" s="33"/>
      <c r="P36" s="108" t="str">
        <f>VLOOKUP(C36,'Train Runs'!$A$13:$AE$10012,31,0)</f>
        <v>aws s3 cp s3://rtdc.mdm.uploadarchive/RTDC4019/2016-08-27/ "%USERPROFILE%\AppData\Local\Temp\OnboardLogs"\RTDC4019\2016-08-27 --recursive &amp; "%USERPROFILE%\Documents\GitHub\mrs-test-scripts\Headless Mode &amp; Sideloading\WalkAndUnGZ.bat" "%USERPROFILE%\AppData\Local\Temp\OnboardLogs"\RTDC4019\2016-08-27 &amp; aws s3 cp s3://rtdc.mdm.uploadarchive/RTDC4019/2016-08-28/ "%USERPROFILE%\AppData\Local\Temp\OnboardLogs"\RTDC4019\2016-08-28 --recursive &amp; "%USERPROFILE%\Documents\GitHub\mrs-test-scripts\Headless Mode &amp; Sideloading\WalkAndUnGZ.bat" "%USERPROFILE%\AppData\Local\Temp\OnboardLogs"\RTDC4019\2016-08-28</v>
      </c>
      <c r="Q36" s="111" t="str">
        <f>VLOOKUP(C36,'Train Runs'!$A$13:$AE$10012,22,0)</f>
        <v>https://search-rtdc-monitor-bjffxe2xuh6vdkpspy63sjmuny.us-east-1.es.amazonaws.com/_plugin/kibana/#/discover/Steve-Slow-Train-Analysis-(2080s-and-2083s)?_g=(refreshInterval:(display:Off,section:0,value:0),time:(from:'2016-08-27 19:52:41-0600',mode:absolute,to:'2016-08-27 22:37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4019%22')),sort:!(Time,asc))</v>
      </c>
      <c r="R36" s="113" t="str">
        <f t="shared" si="0"/>
        <v>"C:\Program Files (x86)\AstroGrep\AstroGrep.exe" /spath="%USERPROFILE%\AppData\Local\Temp\OnboardLogs" /stypes="*4019*201608280*" /stext=" 03:.+((SYSTEM_STATE.+slice.+state.+changed )|(ment ac)|(system.+state.+changed )|(\|lc)|(penalty)|(\[timeout)|(PRM\|1\|D)|(kpr)|(kdp))" /e /r /s</v>
      </c>
      <c r="S36" s="9" t="str">
        <f t="shared" si="1"/>
        <v>4019</v>
      </c>
      <c r="T36" s="38">
        <f t="shared" si="2"/>
        <v>42610.150995370372</v>
      </c>
      <c r="U36" s="52" t="str">
        <f t="shared" si="3"/>
        <v>EC</v>
      </c>
      <c r="V36" s="52" t="str">
        <f t="shared" si="4"/>
        <v>KEEP</v>
      </c>
      <c r="W36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{"issue":{"subject":"","project_id":79,"tracker_id":40,"status_id":1,"priority_id":2,"assigned_to_id":23,"start_date":"2016-08-27","description":"","custom_fields":[{"id":1,"name":"Subdivision","value":"EC"},{"id":4,"name":"Milepost","value":"0.0001"},{"id":17,"name":"Train ID","value":"226-27"},{"id":16,"name":"Locomotive ID","value":"4019"},{"id":130,"name":"Impact","value":""},{"id":150,"name":"Time of Event (Mountain Time)","value":"21:37:26"},{"id":151,"name":"Denver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6" s="55"/>
      <c r="Y36" s="55"/>
      <c r="Z36" s="55"/>
    </row>
    <row r="37" spans="1:26" x14ac:dyDescent="0.25">
      <c r="A37" s="38">
        <v>42609.366469907407</v>
      </c>
      <c r="B37" s="33" t="s">
        <v>150</v>
      </c>
      <c r="C37" s="33" t="s">
        <v>437</v>
      </c>
      <c r="D37" s="33" t="s">
        <v>49</v>
      </c>
      <c r="E37" s="33" t="s">
        <v>50</v>
      </c>
      <c r="F37" s="49">
        <v>0</v>
      </c>
      <c r="G37" s="49">
        <v>77</v>
      </c>
      <c r="H37" s="49">
        <v>233205</v>
      </c>
      <c r="I37" s="33" t="s">
        <v>51</v>
      </c>
      <c r="J37" s="49">
        <v>233491</v>
      </c>
      <c r="K37" s="33" t="s">
        <v>52</v>
      </c>
      <c r="L37" s="92" t="str">
        <f>VLOOKUP(C37,'Trips&amp;Operators'!$C$1:$E$9999,3,0)</f>
        <v>STRICKLAND</v>
      </c>
      <c r="M37" s="131" t="s">
        <v>86</v>
      </c>
      <c r="N37" s="10"/>
      <c r="O37" s="33"/>
      <c r="P37" s="108" t="str">
        <f>VLOOKUP(C37,'Train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37" s="111" t="str">
        <f>VLOOKUP(C37,'Train Runs'!$A$13:$AE$10012,22,0)</f>
        <v>https://search-rtdc-monitor-bjffxe2xuh6vdkpspy63sjmuny.us-east-1.es.amazonaws.com/_plugin/kibana/#/discover/Steve-Slow-Train-Analysis-(2080s-and-2083s)?_g=(refreshInterval:(display:Off,section:0,value:0),time:(from:'2016-08-27 06:57:20-0600',mode:absolute,to:'2016-08-27 09:47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7" s="113" t="str">
        <f t="shared" si="0"/>
        <v>"C:\Program Files (x86)\AstroGrep\AstroGrep.exe" /spath="%USERPROFILE%\AppData\Local\Temp\OnboardLogs" /stypes="*4042*201608271*" /stext=" 14:.+((SYSTEM_STATE.+slice.+state.+changed )|(ment ac)|(system.+state.+changed )|(\|lc)|(penalty)|(\[timeout)|(PRM\|1\|D)|(kpr)|(kdp))" /e /r /s</v>
      </c>
      <c r="S37" s="9" t="str">
        <f t="shared" si="1"/>
        <v>4042</v>
      </c>
      <c r="T37" s="38">
        <f t="shared" si="2"/>
        <v>42609.616469907407</v>
      </c>
      <c r="U37" s="52" t="str">
        <f t="shared" si="3"/>
        <v>EC</v>
      </c>
      <c r="V37" s="52" t="str">
        <f t="shared" si="4"/>
        <v>KEEP</v>
      </c>
      <c r="W37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{"issue":{"subject":"","project_id":79,"tracker_id":40,"status_id":1,"priority_id":2,"assigned_to_id":23,"start_date":"2016-08-27","description":"","custom_fields":[{"id":1,"name":"Subdivision","value":"EC"},{"id":4,"name":"Milepost","value":"23.3491"},{"id":17,"name":"Train ID","value":"135-27"},{"id":16,"name":"Locomotive ID","value":"4042"},{"id":130,"name":"Impact","value":""},{"id":150,"name":"Time of Event (Mountain Time)","value":"08:47:43"},{"id":151,"name":"Denver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7" s="55"/>
      <c r="Y37" s="55"/>
      <c r="Z37" s="55"/>
    </row>
    <row r="38" spans="1:26" x14ac:dyDescent="0.25">
      <c r="A38" s="38">
        <v>42609.432037037041</v>
      </c>
      <c r="B38" s="33" t="s">
        <v>114</v>
      </c>
      <c r="C38" s="33" t="s">
        <v>458</v>
      </c>
      <c r="D38" s="33" t="s">
        <v>49</v>
      </c>
      <c r="E38" s="33" t="s">
        <v>50</v>
      </c>
      <c r="F38" s="49">
        <v>0</v>
      </c>
      <c r="G38" s="49">
        <v>77</v>
      </c>
      <c r="H38" s="49">
        <v>233224</v>
      </c>
      <c r="I38" s="33" t="s">
        <v>51</v>
      </c>
      <c r="J38" s="49">
        <v>233491</v>
      </c>
      <c r="K38" s="33" t="s">
        <v>52</v>
      </c>
      <c r="L38" s="92" t="str">
        <f>VLOOKUP(C38,'Trips&amp;Operators'!$C$1:$E$9999,3,0)</f>
        <v>MAELZER</v>
      </c>
      <c r="M38" s="131" t="s">
        <v>86</v>
      </c>
      <c r="N38" s="10"/>
      <c r="O38" s="33"/>
      <c r="P38" s="108" t="str">
        <f>VLOOKUP(C38,'Train Runs'!$A$13:$AE$10012,31,0)</f>
        <v>aws s3 cp s3://rtdc.mdm.uploadarchive/RTDC4031/2016-08-27/ "%USERPROFILE%\AppData\Local\Temp\OnboardLogs"\RTDC4031\2016-08-27 --recursive &amp; "%USERPROFILE%\Documents\GitHub\mrs-test-scripts\Headless Mode &amp; Sideloading\WalkAndUnGZ.bat" "%USERPROFILE%\AppData\Local\Temp\OnboardLogs"\RTDC4031\2016-08-27 &amp; aws s3 cp s3://rtdc.mdm.uploadarchive/RTDC4031/2016-08-28/ "%USERPROFILE%\AppData\Local\Temp\OnboardLogs"\RTDC4031\2016-08-28 --recursive &amp; "%USERPROFILE%\Documents\GitHub\mrs-test-scripts\Headless Mode &amp; Sideloading\WalkAndUnGZ.bat" "%USERPROFILE%\AppData\Local\Temp\OnboardLogs"\RTDC4031\2016-08-28</v>
      </c>
      <c r="Q38" s="111" t="str">
        <f>VLOOKUP(C38,'Train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08:41:59-0600',mode:absolute,to:'2016-08-27 11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4031%22')),sort:!(Time,asc))</v>
      </c>
      <c r="R38" s="113" t="str">
        <f t="shared" si="0"/>
        <v>"C:\Program Files (x86)\AstroGrep\AstroGrep.exe" /spath="%USERPROFILE%\AppData\Local\Temp\OnboardLogs" /stypes="*4031*201608271*" /stext=" 16:.+((SYSTEM_STATE.+slice.+state.+changed )|(ment ac)|(system.+state.+changed )|(\|lc)|(penalty)|(\[timeout)|(PRM\|1\|D)|(kpr)|(kdp))" /e /r /s</v>
      </c>
      <c r="S38" s="9" t="str">
        <f t="shared" si="1"/>
        <v>4031</v>
      </c>
      <c r="T38" s="38">
        <f t="shared" si="2"/>
        <v>42609.682037037041</v>
      </c>
      <c r="U38" s="52" t="str">
        <f t="shared" si="3"/>
        <v>EC</v>
      </c>
      <c r="V38" s="52" t="str">
        <f t="shared" si="4"/>
        <v>KEEP</v>
      </c>
      <c r="W38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{"issue":{"subject":"","project_id":79,"tracker_id":40,"status_id":1,"priority_id":2,"assigned_to_id":23,"start_date":"2016-08-27","description":"","custom_fields":[{"id":1,"name":"Subdivision","value":"EC"},{"id":4,"name":"Milepost","value":"23.3491"},{"id":17,"name":"Train ID","value":"149-27"},{"id":16,"name":"Locomotive ID","value":"4031"},{"id":130,"name":"Impact","value":""},{"id":150,"name":"Time of Event (Mountain Time)","value":"10:22:08"},{"id":151,"name":"Denver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8" s="55"/>
      <c r="Y38" s="55"/>
      <c r="Z38" s="55"/>
    </row>
    <row r="39" spans="1:26" ht="15" customHeight="1" x14ac:dyDescent="0.25">
      <c r="A39" s="38">
        <v>42609.449884259258</v>
      </c>
      <c r="B39" s="33" t="s">
        <v>150</v>
      </c>
      <c r="C39" s="33" t="s">
        <v>462</v>
      </c>
      <c r="D39" s="33" t="s">
        <v>49</v>
      </c>
      <c r="E39" s="33" t="s">
        <v>50</v>
      </c>
      <c r="F39" s="49">
        <v>0</v>
      </c>
      <c r="G39" s="49">
        <v>131</v>
      </c>
      <c r="H39" s="49">
        <v>232721</v>
      </c>
      <c r="I39" s="33" t="s">
        <v>51</v>
      </c>
      <c r="J39" s="49">
        <v>233491</v>
      </c>
      <c r="K39" s="33" t="s">
        <v>52</v>
      </c>
      <c r="L39" s="92" t="str">
        <f>VLOOKUP(C39,'Trips&amp;Operators'!$C$1:$E$9999,3,0)</f>
        <v>STRICKLAND</v>
      </c>
      <c r="M39" s="131" t="s">
        <v>86</v>
      </c>
      <c r="N39" s="10"/>
      <c r="O39" s="33"/>
      <c r="P39" s="108" t="str">
        <f>VLOOKUP(C39,'Train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39" s="111" t="str">
        <f>VLOOKUP(C39,'Train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39" s="113" t="str">
        <f t="shared" si="0"/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39" s="9" t="str">
        <f t="shared" si="1"/>
        <v>4042</v>
      </c>
      <c r="T39" s="38">
        <f t="shared" si="2"/>
        <v>42609.699884259258</v>
      </c>
      <c r="U39" s="52" t="str">
        <f t="shared" si="3"/>
        <v>EC</v>
      </c>
      <c r="V39" s="52" t="str">
        <f t="shared" si="4"/>
        <v>KEEP</v>
      </c>
      <c r="W39" s="149" t="str">
        <f t="shared" si="5"/>
        <v>echo {"issue":{"subject":"","project_id":79,"tracker_id":40,"status_id":1,"priority_id":2,"assigned_to_id":23,"start_date":"2016-08-27","description":"","custom_fields":[{"id":1,"name":"Subdivision","value":"EC"},{"id":4,"name":"Milepost","value":"23.3491"},{"id":17,"name":"Train ID","value":"151-27"},{"id":16,"name":"Locomotive ID","value":"4042"},{"id":130,"name":"Impact","value":""},{"id":150,"name":"Time of Event (Mountain Time)","value":"10:47:50"},{"id":151,"name":"Denver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39" s="55"/>
      <c r="Y39" s="55"/>
      <c r="Z39" s="55"/>
    </row>
    <row r="40" spans="1:26" x14ac:dyDescent="0.25">
      <c r="A40" s="38">
        <v>42609.450381944444</v>
      </c>
      <c r="B40" s="33" t="s">
        <v>150</v>
      </c>
      <c r="C40" s="33" t="s">
        <v>462</v>
      </c>
      <c r="D40" s="33" t="s">
        <v>49</v>
      </c>
      <c r="E40" s="33" t="s">
        <v>50</v>
      </c>
      <c r="F40" s="49">
        <v>0</v>
      </c>
      <c r="G40" s="49">
        <v>73</v>
      </c>
      <c r="H40" s="49">
        <v>233140</v>
      </c>
      <c r="I40" s="33" t="s">
        <v>51</v>
      </c>
      <c r="J40" s="49">
        <v>233491</v>
      </c>
      <c r="K40" s="33" t="s">
        <v>52</v>
      </c>
      <c r="L40" s="92" t="str">
        <f>VLOOKUP(C40,'Trips&amp;Operators'!$C$1:$E$9999,3,0)</f>
        <v>STRICKLAND</v>
      </c>
      <c r="M40" s="131" t="s">
        <v>86</v>
      </c>
      <c r="N40" s="10"/>
      <c r="O40" s="33"/>
      <c r="P40" s="108" t="str">
        <f>VLOOKUP(C40,'Train Runs'!$A$13:$AE$10012,31,0)</f>
        <v>aws s3 cp s3://rtdc.mdm.uploadarchive/RTDC4042/2016-08-27/ "%USERPROFILE%\AppData\Local\Temp\OnboardLogs"\RTDC4042\2016-08-27 --recursive &amp; "%USERPROFILE%\Documents\GitHub\mrs-test-scripts\Headless Mode &amp; Sideloading\WalkAndUnGZ.bat" "%USERPROFILE%\AppData\Local\Temp\OnboardLogs"\RTDC4042\2016-08-27 &amp; aws s3 cp s3://rtdc.mdm.uploadarchive/RTDC4042/2016-08-28/ "%USERPROFILE%\AppData\Local\Temp\OnboardLogs"\RTDC4042\2016-08-28 --recursive &amp; "%USERPROFILE%\Documents\GitHub\mrs-test-scripts\Headless Mode &amp; Sideloading\WalkAndUnGZ.bat" "%USERPROFILE%\AppData\Local\Temp\OnboardLogs"\RTDC4042\2016-08-28</v>
      </c>
      <c r="Q40" s="111" t="str">
        <f>VLOOKUP(C40,'Train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08:56:26-0600',mode:absolute,to:'2016-08-27 11:47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4042%22')),sort:!(Time,asc))</v>
      </c>
      <c r="R40" s="113" t="str">
        <f t="shared" si="0"/>
        <v>"C:\Program Files (x86)\AstroGrep\AstroGrep.exe" /spath="%USERPROFILE%\AppData\Local\Temp\OnboardLogs" /stypes="*4042*201608271*" /stext=" 16:.+((SYSTEM_STATE.+slice.+state.+changed )|(ment ac)|(system.+state.+changed )|(\|lc)|(penalty)|(\[timeout)|(PRM\|1\|D)|(kpr)|(kdp))" /e /r /s</v>
      </c>
      <c r="S40" s="9" t="str">
        <f t="shared" si="1"/>
        <v>4042</v>
      </c>
      <c r="T40" s="38">
        <f t="shared" si="2"/>
        <v>42609.700381944444</v>
      </c>
      <c r="U40" s="52" t="str">
        <f t="shared" si="3"/>
        <v>EC</v>
      </c>
      <c r="V40" s="52" t="str">
        <f t="shared" si="4"/>
        <v>KEEP</v>
      </c>
      <c r="W40" s="149" t="str">
        <f t="shared" si="5"/>
        <v>echo {"issue":{"subject":"","project_id":79,"tracker_id":40,"status_id":1,"priority_id":2,"assigned_to_id":23,"start_date":"2016-08-27","description":"From 08-24-2016 13:14:05.327 until 13:28:22.128, 61st 2S should have been clear (controls sent to it the entire time was CLEAR). However, it cycled back and forth between PROCEED CAB and STOP. Any ideas why?","custom_fields":[{"id":1,"name":"Subdivision","value":"EC"},{"id":4,"name":"Milepost","value":"23.3491"},{"id":17,"name":"Train ID","value":"151-27"},{"id":16,"name":"Locomotive ID","value":"4042"},{"id":130,"name":"Impact","value":"Enforcement"},{"id":150,"name":"Time of Event (Mountain Time)","value":"10:48:33"},{"id":151,"name":"Denver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X40" s="55" t="s">
        <v>269</v>
      </c>
      <c r="Y40" s="55" t="s">
        <v>224</v>
      </c>
      <c r="Z40" s="55" t="s">
        <v>229</v>
      </c>
    </row>
    <row r="41" spans="1:26" x14ac:dyDescent="0.25">
      <c r="A41" s="38">
        <v>42609.494247685187</v>
      </c>
      <c r="B41" s="33" t="s">
        <v>169</v>
      </c>
      <c r="C41" s="33" t="s">
        <v>529</v>
      </c>
      <c r="D41" s="33" t="s">
        <v>49</v>
      </c>
      <c r="E41" s="33" t="s">
        <v>56</v>
      </c>
      <c r="F41" s="49">
        <v>200</v>
      </c>
      <c r="G41" s="49">
        <v>319</v>
      </c>
      <c r="H41" s="49">
        <v>7378</v>
      </c>
      <c r="I41" s="33" t="s">
        <v>57</v>
      </c>
      <c r="J41" s="49">
        <v>5782</v>
      </c>
      <c r="K41" s="33" t="s">
        <v>53</v>
      </c>
      <c r="L41" s="92" t="str">
        <f>VLOOKUP(C41,'Trips&amp;Operators'!$C$1:$E$9999,3,0)</f>
        <v>YORK</v>
      </c>
      <c r="M41" s="131" t="s">
        <v>86</v>
      </c>
      <c r="N41" s="10"/>
      <c r="O41" s="33"/>
      <c r="P41" s="108" t="str">
        <f>VLOOKUP(C41,'Train Runs'!$A$13:$AE$10012,31,0)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Q41" s="111" t="str">
        <f>VLOOKUP(C41,'Train Runs'!$A$13:$AE$10012,22,0)</f>
        <v>https://search-rtdc-monitor-bjffxe2xuh6vdkpspy63sjmuny.us-east-1.es.amazonaws.com/_plugin/kibana/#/discover/Steve-Slow-Train-Analysis-(2080s-and-2083s)?_g=(refreshInterval:(display:Off,section:0,value:0),time:(from:'2016-08-27 10:36:33-0600',mode:absolute,to:'2016-08-27 12:54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1" s="113" t="str">
        <f t="shared" si="0"/>
        <v>"C:\Program Files (x86)\AstroGrep\AstroGrep.exe" /spath="%USERPROFILE%\AppData\Local\Temp\OnboardLogs" /stypes="*4008*201608271*" /stext=" 17:.+((SYSTEM_STATE.+slice.+state.+changed )|(ment ac)|(system.+state.+changed )|(\|lc)|(penalty)|(\[timeout)|(PRM\|1\|D)|(kpr)|(kdp))" /e /r /s</v>
      </c>
      <c r="S41" s="9" t="str">
        <f t="shared" si="1"/>
        <v>4008</v>
      </c>
      <c r="T41" s="38">
        <f t="shared" si="2"/>
        <v>42609.744247685187</v>
      </c>
      <c r="U41" s="52" t="str">
        <f t="shared" si="3"/>
        <v>NW</v>
      </c>
      <c r="V41" s="52" t="str">
        <f t="shared" si="4"/>
        <v>KEEP</v>
      </c>
      <c r="W41" s="149" t="str">
        <f t="shared" si="5"/>
        <v>echo {"issue":{"subject":"","project_id":79,"tracker_id":40,"status_id":1,"priority_id":2,"assigned_to_id":23,"start_date":"2016-08-27","description":"","custom_fields":[{"id":1,"name":"Subdivision","value":"NW"},{"id":4,"name":"Milepost","value":"0.5782"},{"id":17,"name":"Train ID","value":"1812-27"},{"id":16,"name":"Locomotive ID","value":"4008"},{"id":130,"name":"Impact","value":""},{"id":150,"name":"Time of Event (Mountain Time)","value":"11:51:43"},{"id":151,"name":"Denver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1" s="55"/>
      <c r="Y41" s="55"/>
      <c r="Z41" s="55"/>
    </row>
    <row r="42" spans="1:26" x14ac:dyDescent="0.25">
      <c r="A42" s="38">
        <v>42609.437534722223</v>
      </c>
      <c r="B42" s="33" t="s">
        <v>186</v>
      </c>
      <c r="C42" s="33" t="s">
        <v>522</v>
      </c>
      <c r="D42" s="33" t="s">
        <v>111</v>
      </c>
      <c r="E42" s="33" t="s">
        <v>56</v>
      </c>
      <c r="F42" s="49">
        <v>400</v>
      </c>
      <c r="G42" s="49">
        <v>451</v>
      </c>
      <c r="H42" s="49">
        <v>43612</v>
      </c>
      <c r="I42" s="33" t="s">
        <v>57</v>
      </c>
      <c r="J42" s="49">
        <v>41797</v>
      </c>
      <c r="K42" s="33" t="s">
        <v>52</v>
      </c>
      <c r="L42" s="92" t="str">
        <f>VLOOKUP(C42,'Trips&amp;Operators'!$C$1:$E$9999,3,0)</f>
        <v>YORK</v>
      </c>
      <c r="M42" s="131" t="s">
        <v>86</v>
      </c>
      <c r="N42" s="10"/>
      <c r="O42" s="33"/>
      <c r="P42" s="108" t="str">
        <f>VLOOKUP(C42,'Train Runs'!$A$13:$AE$10012,31,0)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Q42" s="111" t="str">
        <f>VLOOKUP(C42,'Train Runs'!$A$13:$AE$10012,22,0)</f>
        <v>https://search-rtdc-monitor-bjffxe2xuh6vdkpspy63sjmuny.us-east-1.es.amazonaws.com/_plugin/kibana/#/discover/Steve-Slow-Train-Analysis-(2080s-and-2083s)?_g=(refreshInterval:(display:Off,section:0,value:0),time:(from:'2016-08-27 08:55:09-0600',mode:absolute,to:'2016-08-27 11:34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2" s="113" t="str">
        <f t="shared" si="0"/>
        <v>"C:\Program Files (x86)\AstroGrep\AstroGrep.exe" /spath="%USERPROFILE%\AppData\Local\Temp\OnboardLogs" /stypes="*4007*201608271*" /stext=" 16:.+((SYSTEM_STATE.+slice.+state.+changed )|(ment ac)|(system.+state.+changed )|(\|lc)|(penalty)|(\[timeout)|(PRM\|1\|D)|(kpr)|(kdp))" /e /r /s</v>
      </c>
      <c r="S42" s="9" t="str">
        <f t="shared" si="1"/>
        <v>4007</v>
      </c>
      <c r="T42" s="38">
        <f t="shared" si="2"/>
        <v>42609.687534722223</v>
      </c>
      <c r="U42" s="52" t="str">
        <f t="shared" si="3"/>
        <v>NW</v>
      </c>
      <c r="V42" s="52" t="str">
        <f t="shared" si="4"/>
        <v>KEEP</v>
      </c>
      <c r="W42" s="149" t="str">
        <f t="shared" si="5"/>
        <v>echo {"issue":{"subject":"","project_id":79,"tracker_id":40,"status_id":1,"priority_id":2,"assigned_to_id":23,"start_date":"2016-08-27","description":"","custom_fields":[{"id":1,"name":"Subdivision","value":"NW"},{"id":4,"name":"Milepost","value":"4.1797"},{"id":17,"name":"Train ID","value":"1809-27"},{"id":16,"name":"Locomotive ID","value":"4007"},{"id":130,"name":"Impact","value":""},{"id":150,"name":"Time of Event (Mountain Time)","value":"10:30:03"},{"id":151,"name":"Denver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2" s="55"/>
      <c r="Y42" s="55"/>
      <c r="Z42" s="55"/>
    </row>
    <row r="43" spans="1:26" x14ac:dyDescent="0.25">
      <c r="A43" s="38">
        <v>42609.522152777776</v>
      </c>
      <c r="B43" s="33" t="s">
        <v>186</v>
      </c>
      <c r="C43" s="33" t="s">
        <v>531</v>
      </c>
      <c r="D43" s="33" t="s">
        <v>49</v>
      </c>
      <c r="E43" s="33" t="s">
        <v>56</v>
      </c>
      <c r="F43" s="49">
        <v>150</v>
      </c>
      <c r="G43" s="49">
        <v>267</v>
      </c>
      <c r="H43" s="49">
        <v>56513</v>
      </c>
      <c r="I43" s="33" t="s">
        <v>57</v>
      </c>
      <c r="J43" s="49">
        <v>57008</v>
      </c>
      <c r="K43" s="33" t="s">
        <v>52</v>
      </c>
      <c r="L43" s="92" t="str">
        <f>VLOOKUP(C43,'Trips&amp;Operators'!$C$1:$E$9999,3,0)</f>
        <v>YORK</v>
      </c>
      <c r="M43" s="131" t="s">
        <v>86</v>
      </c>
      <c r="N43" s="10"/>
      <c r="O43" s="33"/>
      <c r="P43" s="108" t="str">
        <f>VLOOKUP(C43,'Train Runs'!$A$13:$AE$10012,31,0)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Q43" s="111" t="str">
        <f>VLOOKUP(C43,'Train Runs'!$A$13:$AE$10012,22,0)</f>
        <v>https://search-rtdc-monitor-bjffxe2xuh6vdkpspy63sjmuny.us-east-1.es.amazonaws.com/_plugin/kibana/#/discover/Steve-Slow-Train-Analysis-(2080s-and-2083s)?_g=(refreshInterval:(display:Off,section:0,value:0),time:(from:'2016-08-27 10:56:09-0600',mode:absolute,to:'2016-08-27 13:34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3" s="113" t="str">
        <f t="shared" si="0"/>
        <v>"C:\Program Files (x86)\AstroGrep\AstroGrep.exe" /spath="%USERPROFILE%\AppData\Local\Temp\OnboardLogs" /stypes="*4007*201608271*" /stext=" 18:.+((SYSTEM_STATE.+slice.+state.+changed )|(ment ac)|(system.+state.+changed )|(\|lc)|(penalty)|(\[timeout)|(PRM\|1\|D)|(kpr)|(kdp))" /e /r /s</v>
      </c>
      <c r="S43" s="9" t="str">
        <f t="shared" si="1"/>
        <v>4007</v>
      </c>
      <c r="T43" s="38">
        <f t="shared" si="2"/>
        <v>42609.772152777776</v>
      </c>
      <c r="U43" s="52" t="str">
        <f t="shared" si="3"/>
        <v>NW</v>
      </c>
      <c r="V43" s="52" t="str">
        <f t="shared" si="4"/>
        <v>KEEP</v>
      </c>
      <c r="W43" s="149" t="str">
        <f t="shared" si="5"/>
        <v>echo {"issue":{"subject":"","project_id":79,"tracker_id":40,"status_id":1,"priority_id":2,"assigned_to_id":23,"start_date":"2016-08-27","description":"","custom_fields":[{"id":1,"name":"Subdivision","value":"NW"},{"id":4,"name":"Milepost","value":"5.7008"},{"id":17,"name":"Train ID","value":"1813-27"},{"id":16,"name":"Locomotive ID","value":"4007"},{"id":130,"name":"Impact","value":""},{"id":150,"name":"Time of Event (Mountain Time)","value":"12:31:54"},{"id":151,"name":"Denver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3" s="55"/>
      <c r="Y43" s="55"/>
      <c r="Z43" s="55"/>
    </row>
    <row r="44" spans="1:26" x14ac:dyDescent="0.25">
      <c r="A44" s="38">
        <v>42609.70453703704</v>
      </c>
      <c r="B44" s="33" t="s">
        <v>169</v>
      </c>
      <c r="C44" s="33" t="s">
        <v>551</v>
      </c>
      <c r="D44" s="33" t="s">
        <v>49</v>
      </c>
      <c r="E44" s="33" t="s">
        <v>50</v>
      </c>
      <c r="F44" s="49">
        <v>0</v>
      </c>
      <c r="G44" s="49">
        <v>53</v>
      </c>
      <c r="H44" s="49">
        <v>766</v>
      </c>
      <c r="I44" s="33" t="s">
        <v>51</v>
      </c>
      <c r="J44" s="49">
        <v>575</v>
      </c>
      <c r="K44" s="33" t="s">
        <v>53</v>
      </c>
      <c r="L44" s="92" t="str">
        <f>VLOOKUP(C44,'Trips&amp;Operators'!$C$1:$E$9999,3,0)</f>
        <v>DE LA ROSA</v>
      </c>
      <c r="M44" s="131" t="s">
        <v>86</v>
      </c>
      <c r="N44" s="10"/>
      <c r="O44" s="33"/>
      <c r="P44" s="108" t="str">
        <f>VLOOKUP(C44,'Train Runs'!$A$13:$AE$10012,31,0)</f>
        <v>aws s3 cp s3://rtdc.mdm.uploadarchive/RTDC4008/2016-08-27/ "%USERPROFILE%\AppData\Local\Temp\OnboardLogs"\RTDC4008\2016-08-27 --recursive &amp; "%USERPROFILE%\Documents\GitHub\mrs-test-scripts\Headless Mode &amp; Sideloading\WalkAndUnGZ.bat" "%USERPROFILE%\AppData\Local\Temp\OnboardLogs"\RTDC4008\2016-08-27 &amp; aws s3 cp s3://rtdc.mdm.uploadarchive/RTDC4008/2016-08-28/ "%USERPROFILE%\AppData\Local\Temp\OnboardLogs"\RTDC4008\2016-08-28 --recursive &amp; "%USERPROFILE%\Documents\GitHub\mrs-test-scripts\Headless Mode &amp; Sideloading\WalkAndUnGZ.bat" "%USERPROFILE%\AppData\Local\Temp\OnboardLogs"\RTDC4008\2016-08-28</v>
      </c>
      <c r="Q44" s="111" t="str">
        <f>VLOOKUP(C44,'Train Runs'!$A$13:$AE$10012,22,0)</f>
        <v>https://search-rtdc-monitor-bjffxe2xuh6vdkpspy63sjmuny.us-east-1.es.amazonaws.com/_plugin/kibana/#/discover/Steve-Slow-Train-Analysis-(2080s-and-2083s)?_g=(refreshInterval:(display:Off,section:0,value:0),time:(from:'2016-08-27 15:36:26-0600',mode:absolute,to:'2016-08-27 17:54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4008%22')),sort:!(Time,asc))</v>
      </c>
      <c r="R44" s="113" t="str">
        <f t="shared" si="0"/>
        <v>"C:\Program Files (x86)\AstroGrep\AstroGrep.exe" /spath="%USERPROFILE%\AppData\Local\Temp\OnboardLogs" /stypes="*4008*201608272*" /stext=" 22:.+((SYSTEM_STATE.+slice.+state.+changed )|(ment ac)|(system.+state.+changed )|(\|lc)|(penalty)|(\[timeout)|(PRM\|1\|D)|(kpr)|(kdp))" /e /r /s</v>
      </c>
      <c r="S44" s="9" t="str">
        <f t="shared" si="1"/>
        <v>4008</v>
      </c>
      <c r="T44" s="38">
        <f t="shared" si="2"/>
        <v>42609.95453703704</v>
      </c>
      <c r="U44" s="52" t="str">
        <f t="shared" si="3"/>
        <v>NW</v>
      </c>
      <c r="V44" s="52" t="str">
        <f t="shared" si="4"/>
        <v>KEEP</v>
      </c>
      <c r="W44" s="149" t="str">
        <f t="shared" si="5"/>
        <v>echo {"issue":{"subject":"","project_id":79,"tracker_id":40,"status_id":1,"priority_id":2,"assigned_to_id":23,"start_date":"2016-08-27","description":"","custom_fields":[{"id":1,"name":"Subdivision","value":"NW"},{"id":4,"name":"Milepost","value":"0.0575"},{"id":17,"name":"Train ID","value":"1822-27"},{"id":16,"name":"Locomotive ID","value":"4008"},{"id":130,"name":"Impact","value":""},{"id":150,"name":"Time of Event (Mountain Time)","value":"16:54:32"},{"id":151,"name":"Denver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4" s="55"/>
      <c r="Y44" s="55"/>
      <c r="Z44" s="55"/>
    </row>
    <row r="45" spans="1:26" x14ac:dyDescent="0.25">
      <c r="A45" s="38">
        <v>42609.565312500003</v>
      </c>
      <c r="B45" s="33" t="s">
        <v>186</v>
      </c>
      <c r="C45" s="33" t="s">
        <v>535</v>
      </c>
      <c r="D45" s="33" t="s">
        <v>49</v>
      </c>
      <c r="E45" s="33" t="s">
        <v>50</v>
      </c>
      <c r="F45" s="49">
        <v>0</v>
      </c>
      <c r="G45" s="49">
        <v>47</v>
      </c>
      <c r="H45" s="49">
        <v>58939</v>
      </c>
      <c r="I45" s="33" t="s">
        <v>51</v>
      </c>
      <c r="J45" s="49">
        <v>59048</v>
      </c>
      <c r="K45" s="33" t="s">
        <v>52</v>
      </c>
      <c r="L45" s="92" t="str">
        <f>VLOOKUP(C45,'Trips&amp;Operators'!$C$1:$E$9999,3,0)</f>
        <v>YORK</v>
      </c>
      <c r="M45" s="131" t="s">
        <v>86</v>
      </c>
      <c r="N45" s="10"/>
      <c r="O45" s="33"/>
      <c r="P45" s="108" t="str">
        <f>VLOOKUP(C45,'Train Runs'!$A$13:$AE$10012,31,0)</f>
        <v>aws s3 cp s3://rtdc.mdm.uploadarchive/RTDC4007/2016-08-27/ "%USERPROFILE%\AppData\Local\Temp\OnboardLogs"\RTDC4007\2016-08-27 --recursive &amp; "%USERPROFILE%\Documents\GitHub\mrs-test-scripts\Headless Mode &amp; Sideloading\WalkAndUnGZ.bat" "%USERPROFILE%\AppData\Local\Temp\OnboardLogs"\RTDC4007\2016-08-27 &amp; aws s3 cp s3://rtdc.mdm.uploadarchive/RTDC4007/2016-08-28/ "%USERPROFILE%\AppData\Local\Temp\OnboardLogs"\RTDC4007\2016-08-28 --recursive &amp; "%USERPROFILE%\Documents\GitHub\mrs-test-scripts\Headless Mode &amp; Sideloading\WalkAndUnGZ.bat" "%USERPROFILE%\AppData\Local\Temp\OnboardLogs"\RTDC4007\2016-08-28</v>
      </c>
      <c r="Q45" s="111" t="str">
        <f>VLOOKUP(C45,'Train Runs'!$A$13:$AE$10012,22,0)</f>
        <v>https://search-rtdc-monitor-bjffxe2xuh6vdkpspy63sjmuny.us-east-1.es.amazonaws.com/_plugin/kibana/#/discover/Steve-Slow-Train-Analysis-(2080s-and-2083s)?_g=(refreshInterval:(display:Off,section:0,value:0),time:(from:'2016-08-27 11:55:24-0600',mode:absolute,to:'2016-08-27 14:34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),filters:!(),index:'emp_*',interval:auto,query:(query_string:(analyze_wildcard:!t,query:'Message%5C%20ID:(2083%20OR%202080%20OR%201041%20OR%202003%20OR%201051)%20AND%20%22rtdc.l.rtdc.4007%22')),sort:!(Time,asc))</v>
      </c>
      <c r="R45" s="113" t="str">
        <f t="shared" si="0"/>
        <v>"C:\Program Files (x86)\AstroGrep\AstroGrep.exe" /spath="%USERPROFILE%\AppData\Local\Temp\OnboardLogs" /stypes="*4007*201608271*" /stext=" 19:.+((SYSTEM_STATE.+slice.+state.+changed )|(ment ac)|(system.+state.+changed )|(\|lc)|(penalty)|(\[timeout)|(PRM\|1\|D)|(kpr)|(kdp))" /e /r /s</v>
      </c>
      <c r="S45" s="9" t="str">
        <f t="shared" si="1"/>
        <v>4007</v>
      </c>
      <c r="T45" s="38">
        <f t="shared" si="2"/>
        <v>42609.815312500003</v>
      </c>
      <c r="U45" s="52" t="str">
        <f t="shared" si="3"/>
        <v>NW</v>
      </c>
      <c r="V45" s="52" t="str">
        <f t="shared" si="4"/>
        <v>KEEP</v>
      </c>
      <c r="W45" s="149" t="str">
        <f t="shared" si="5"/>
        <v>echo {"issue":{"subject":"","project_id":79,"tracker_id":40,"status_id":1,"priority_id":2,"assigned_to_id":23,"start_date":"2016-08-27","description":"","custom_fields":[{"id":1,"name":"Subdivision","value":"NW"},{"id":4,"name":"Milepost","value":"5.9048"},{"id":17,"name":"Train ID","value":"1815-27"},{"id":16,"name":"Locomotive ID","value":"4007"},{"id":130,"name":"Impact","value":""},{"id":150,"name":"Time of Event (Mountain Time)","value":"13:34:03"},{"id":151,"name":"Denver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5" s="55"/>
      <c r="Y45" s="55"/>
      <c r="Z45" s="55"/>
    </row>
    <row r="46" spans="1:26" x14ac:dyDescent="0.25">
      <c r="A46" s="38">
        <v>42609.806701388887</v>
      </c>
      <c r="B46" s="33" t="s">
        <v>151</v>
      </c>
      <c r="C46" s="33" t="s">
        <v>676</v>
      </c>
      <c r="D46" s="33" t="s">
        <v>111</v>
      </c>
      <c r="E46" s="33" t="s">
        <v>324</v>
      </c>
      <c r="F46" s="49">
        <v>100</v>
      </c>
      <c r="G46" s="49">
        <v>153</v>
      </c>
      <c r="H46" s="49">
        <v>11619</v>
      </c>
      <c r="I46" s="33" t="s">
        <v>325</v>
      </c>
      <c r="J46" s="49">
        <v>10701</v>
      </c>
      <c r="K46" s="33" t="s">
        <v>52</v>
      </c>
      <c r="L46" s="92" t="str">
        <f>VLOOKUP(C46,'Trips&amp;Operators'!$C$1:$E$9999,3,0)</f>
        <v>YANAI</v>
      </c>
      <c r="M46" s="131" t="s">
        <v>86</v>
      </c>
      <c r="N46" s="10"/>
      <c r="O46" s="33"/>
      <c r="P46" s="108" t="e">
        <f>VLOOKUP(C46,'Train Runs'!$A$13:$AE$10012,31,0)</f>
        <v>#N/A</v>
      </c>
      <c r="Q46" s="111" t="e">
        <f>VLOOKUP(C46,'Train Runs'!$A$13:$AE$10012,22,0)</f>
        <v>#N/A</v>
      </c>
      <c r="R46" s="113" t="str">
        <f t="shared" si="0"/>
        <v>"C:\Program Files (x86)\AstroGrep\AstroGrep.exe" /spath="%USERPROFILE%\AppData\Local\Temp\OnboardLogs" /stypes="*4038*201608280*" /stext=" 01:.+((SYSTEM_STATE.+slice.+state.+changed )|(ment ac)|(system.+state.+changed )|(\|lc)|(penalty)|(\[timeout)|(PRM\|1\|D)|(kpr)|(kdp))" /e /r /s</v>
      </c>
      <c r="S46" s="9" t="str">
        <f t="shared" si="1"/>
        <v>4038</v>
      </c>
      <c r="T46" s="38">
        <f t="shared" si="2"/>
        <v>42610.056701388887</v>
      </c>
      <c r="U46" s="52" t="str">
        <f t="shared" si="3"/>
        <v>Other</v>
      </c>
      <c r="V46" s="52" t="str">
        <f t="shared" si="4"/>
        <v>KEEP</v>
      </c>
      <c r="W46" s="149" t="str">
        <f t="shared" si="5"/>
        <v>echo {"issue":{"subject":"","project_id":79,"tracker_id":40,"status_id":1,"priority_id":2,"assigned_to_id":23,"start_date":"2016-08-27","description":"","custom_fields":[{"id":1,"name":"Subdivision","value":"Other"},{"id":4,"name":"Milepost","value":"1.0701"},{"id":17,"name":"Train ID","value":"69-27"},{"id":16,"name":"Locomotive ID","value":"4038"},{"id":130,"name":"Impact","value":""},{"id":150,"name":"Time of Event (Mountain Time)","value":"19:21:39"},{"id":151,"name":"Denver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X46" s="55"/>
      <c r="Y46" s="55"/>
      <c r="Z46" s="55"/>
    </row>
    <row r="47" spans="1:26" x14ac:dyDescent="0.25">
      <c r="A47" s="38"/>
      <c r="B47" s="33"/>
      <c r="C47" s="33"/>
      <c r="D47" s="33"/>
      <c r="E47" s="33"/>
      <c r="F47" s="49"/>
      <c r="G47" s="49"/>
      <c r="H47" s="49"/>
      <c r="I47" s="33"/>
      <c r="J47" s="49"/>
      <c r="K47" s="33"/>
      <c r="L47" s="92"/>
      <c r="M47" s="131"/>
      <c r="N47" s="10"/>
      <c r="O47" s="33"/>
      <c r="P47" s="108"/>
      <c r="Q47" s="111"/>
      <c r="R47" s="113"/>
      <c r="S47" s="9"/>
      <c r="T47" s="38"/>
      <c r="U47" s="52"/>
      <c r="V47" s="52"/>
      <c r="W47" s="149"/>
      <c r="X47" s="55"/>
      <c r="Y47" s="55"/>
      <c r="Z47" s="55"/>
    </row>
    <row r="48" spans="1:26" x14ac:dyDescent="0.25">
      <c r="A48" s="38"/>
      <c r="B48" s="33"/>
      <c r="C48" s="33"/>
      <c r="D48" s="33"/>
      <c r="E48" s="33"/>
      <c r="F48" s="49"/>
      <c r="G48" s="49"/>
      <c r="H48" s="49"/>
      <c r="I48" s="33"/>
      <c r="J48" s="49"/>
      <c r="K48" s="33"/>
      <c r="L48" s="92"/>
      <c r="M48" s="131"/>
      <c r="N48" s="10"/>
      <c r="O48" s="33"/>
      <c r="P48" s="108"/>
      <c r="Q48" s="111"/>
      <c r="R48" s="113"/>
      <c r="S48" s="9"/>
      <c r="T48" s="38"/>
      <c r="U48" s="52"/>
      <c r="V48" s="52"/>
      <c r="W48" s="149"/>
      <c r="X48" s="55"/>
      <c r="Y48" s="55"/>
      <c r="Z48" s="55"/>
    </row>
    <row r="49" spans="1:26" x14ac:dyDescent="0.25">
      <c r="A49" s="38"/>
      <c r="B49" s="33"/>
      <c r="C49" s="33"/>
      <c r="D49" s="33"/>
      <c r="E49" s="33"/>
      <c r="F49" s="49"/>
      <c r="G49" s="49"/>
      <c r="H49" s="49"/>
      <c r="I49" s="33"/>
      <c r="J49" s="49"/>
      <c r="K49" s="33"/>
      <c r="L49" s="92"/>
      <c r="M49" s="131"/>
      <c r="N49" s="10"/>
      <c r="O49" s="33"/>
      <c r="P49" s="108"/>
      <c r="Q49" s="111"/>
      <c r="R49" s="113"/>
      <c r="S49" s="9"/>
      <c r="T49" s="38"/>
      <c r="U49" s="52"/>
      <c r="V49" s="52"/>
      <c r="W49" s="149"/>
      <c r="X49" s="55"/>
      <c r="Y49" s="55"/>
      <c r="Z49" s="55"/>
    </row>
    <row r="50" spans="1:26" x14ac:dyDescent="0.25">
      <c r="A50" s="38"/>
      <c r="B50" s="33"/>
      <c r="C50" s="33"/>
      <c r="D50" s="33"/>
      <c r="E50" s="33"/>
      <c r="F50" s="49"/>
      <c r="G50" s="49"/>
      <c r="H50" s="49"/>
      <c r="I50" s="33"/>
      <c r="J50" s="49"/>
      <c r="K50" s="33"/>
      <c r="L50" s="92"/>
      <c r="M50" s="131"/>
      <c r="N50" s="10"/>
      <c r="O50" s="33"/>
      <c r="P50" s="108"/>
      <c r="Q50" s="111"/>
      <c r="R50" s="113"/>
      <c r="S50" s="9"/>
      <c r="T50" s="38"/>
      <c r="U50" s="52"/>
      <c r="V50" s="52"/>
      <c r="W50" s="149"/>
      <c r="X50" s="55"/>
      <c r="Y50" s="55"/>
      <c r="Z50" s="55"/>
    </row>
    <row r="51" spans="1:26" x14ac:dyDescent="0.25">
      <c r="A51" s="38"/>
      <c r="B51" s="33"/>
      <c r="C51" s="33"/>
      <c r="D51" s="33"/>
      <c r="E51" s="33"/>
      <c r="F51" s="49"/>
      <c r="G51" s="49"/>
      <c r="H51" s="49"/>
      <c r="I51" s="33"/>
      <c r="J51" s="49"/>
      <c r="K51" s="33"/>
      <c r="L51" s="92"/>
      <c r="M51" s="131"/>
      <c r="N51" s="10"/>
      <c r="O51" s="33"/>
      <c r="P51" s="108"/>
      <c r="Q51" s="111"/>
      <c r="R51" s="113"/>
      <c r="S51" s="9"/>
      <c r="T51" s="38"/>
      <c r="U51" s="52"/>
      <c r="V51" s="52"/>
      <c r="W51" s="149"/>
      <c r="X51" s="55"/>
      <c r="Y51" s="55"/>
      <c r="Z51" s="55"/>
    </row>
    <row r="52" spans="1:26" x14ac:dyDescent="0.25">
      <c r="A52" s="38"/>
      <c r="B52" s="33"/>
      <c r="C52" s="33"/>
      <c r="D52" s="33"/>
      <c r="E52" s="33"/>
      <c r="F52" s="49"/>
      <c r="G52" s="49"/>
      <c r="H52" s="49"/>
      <c r="I52" s="33"/>
      <c r="J52" s="49"/>
      <c r="K52" s="33"/>
      <c r="L52" s="92"/>
      <c r="M52" s="131"/>
      <c r="N52" s="10"/>
      <c r="O52" s="33"/>
      <c r="P52" s="108"/>
      <c r="Q52" s="111"/>
      <c r="R52" s="113"/>
      <c r="S52" s="9"/>
      <c r="T52" s="38"/>
      <c r="U52" s="52"/>
      <c r="V52" s="52"/>
      <c r="W52" s="149"/>
      <c r="X52" s="55"/>
      <c r="Y52" s="55"/>
      <c r="Z52" s="55"/>
    </row>
    <row r="53" spans="1:26" x14ac:dyDescent="0.25">
      <c r="A53" s="38"/>
      <c r="B53" s="33"/>
      <c r="C53" s="33"/>
      <c r="D53" s="33"/>
      <c r="E53" s="33"/>
      <c r="F53" s="49"/>
      <c r="G53" s="49"/>
      <c r="H53" s="49"/>
      <c r="I53" s="33"/>
      <c r="J53" s="49"/>
      <c r="K53" s="33"/>
      <c r="L53" s="92"/>
      <c r="M53" s="131"/>
      <c r="N53" s="10"/>
      <c r="O53" s="33"/>
      <c r="P53" s="108"/>
      <c r="Q53" s="111"/>
      <c r="R53" s="113"/>
      <c r="S53" s="9"/>
      <c r="T53" s="38"/>
      <c r="U53" s="52"/>
      <c r="V53" s="52"/>
      <c r="W53" s="149"/>
      <c r="X53" s="55"/>
      <c r="Y53" s="55"/>
      <c r="Z53" s="55"/>
    </row>
    <row r="54" spans="1:26" x14ac:dyDescent="0.25">
      <c r="A54" s="38"/>
      <c r="B54" s="33"/>
      <c r="C54" s="33"/>
      <c r="D54" s="33"/>
      <c r="E54" s="33"/>
      <c r="F54" s="49"/>
      <c r="G54" s="49"/>
      <c r="H54" s="49"/>
      <c r="I54" s="33"/>
      <c r="J54" s="49"/>
      <c r="K54" s="33"/>
      <c r="L54" s="92"/>
      <c r="M54" s="131"/>
      <c r="N54" s="10"/>
      <c r="O54" s="33"/>
      <c r="P54" s="108"/>
      <c r="Q54" s="111"/>
      <c r="R54" s="113"/>
      <c r="S54" s="9"/>
      <c r="T54" s="38"/>
      <c r="U54" s="52"/>
      <c r="V54" s="52"/>
      <c r="W54" s="149"/>
      <c r="X54" s="55"/>
      <c r="Y54" s="55"/>
      <c r="Z54" s="55"/>
    </row>
    <row r="55" spans="1:26" x14ac:dyDescent="0.25">
      <c r="A55" s="38"/>
      <c r="B55" s="33"/>
      <c r="C55" s="33"/>
      <c r="D55" s="33"/>
      <c r="E55" s="33"/>
      <c r="F55" s="49"/>
      <c r="G55" s="49"/>
      <c r="H55" s="49"/>
      <c r="I55" s="33"/>
      <c r="J55" s="49"/>
      <c r="K55" s="33"/>
      <c r="L55" s="92"/>
      <c r="M55" s="131"/>
      <c r="N55" s="10"/>
      <c r="O55" s="33"/>
      <c r="P55" s="108"/>
      <c r="Q55" s="111"/>
      <c r="R55" s="113"/>
      <c r="S55" s="9"/>
      <c r="T55" s="38"/>
      <c r="U55" s="52"/>
      <c r="V55" s="52"/>
      <c r="W55" s="149"/>
      <c r="X55" s="55"/>
      <c r="Y55" s="55"/>
      <c r="Z55" s="55"/>
    </row>
    <row r="56" spans="1:26" x14ac:dyDescent="0.25">
      <c r="A56" s="38"/>
      <c r="B56" s="33"/>
      <c r="C56" s="33"/>
      <c r="D56" s="33"/>
      <c r="E56" s="33"/>
      <c r="F56" s="49"/>
      <c r="G56" s="49"/>
      <c r="H56" s="49"/>
      <c r="I56" s="33"/>
      <c r="J56" s="49"/>
      <c r="K56" s="33"/>
      <c r="L56" s="92"/>
      <c r="M56" s="131"/>
      <c r="N56" s="10"/>
      <c r="O56" s="33"/>
      <c r="P56" s="108"/>
      <c r="Q56" s="111"/>
      <c r="R56" s="113"/>
      <c r="S56" s="9"/>
      <c r="T56" s="38"/>
      <c r="U56" s="52"/>
      <c r="V56" s="52"/>
      <c r="W56" s="149"/>
      <c r="X56" s="55"/>
      <c r="Y56" s="55"/>
      <c r="Z56" s="55"/>
    </row>
    <row r="57" spans="1:26" x14ac:dyDescent="0.25">
      <c r="A57" s="38"/>
      <c r="B57" s="33"/>
      <c r="C57" s="33"/>
      <c r="D57" s="33"/>
      <c r="E57" s="33"/>
      <c r="F57" s="49"/>
      <c r="G57" s="49"/>
      <c r="H57" s="49"/>
      <c r="I57" s="33"/>
      <c r="J57" s="49"/>
      <c r="K57" s="33"/>
      <c r="L57" s="92"/>
      <c r="M57" s="131"/>
      <c r="N57" s="10"/>
      <c r="O57" s="33"/>
      <c r="P57" s="108"/>
      <c r="Q57" s="111"/>
      <c r="R57" s="113"/>
      <c r="S57" s="9"/>
      <c r="T57" s="38"/>
      <c r="U57" s="52"/>
      <c r="V57" s="52"/>
      <c r="W57" s="149"/>
      <c r="X57" s="55"/>
      <c r="Y57" s="55"/>
      <c r="Z57" s="55"/>
    </row>
    <row r="58" spans="1:26" x14ac:dyDescent="0.25">
      <c r="A58" s="38"/>
      <c r="B58" s="33"/>
      <c r="C58" s="33"/>
      <c r="D58" s="33"/>
      <c r="E58" s="33"/>
      <c r="F58" s="49"/>
      <c r="G58" s="49"/>
      <c r="H58" s="49"/>
      <c r="I58" s="33"/>
      <c r="J58" s="49"/>
      <c r="K58" s="33"/>
      <c r="L58" s="92"/>
      <c r="M58" s="131"/>
      <c r="N58" s="10"/>
      <c r="O58" s="33"/>
      <c r="P58" s="108"/>
      <c r="Q58" s="111"/>
      <c r="R58" s="113"/>
      <c r="S58" s="9"/>
      <c r="T58" s="38"/>
      <c r="U58" s="52"/>
      <c r="V58" s="52"/>
      <c r="W58" s="149"/>
      <c r="X58" s="55"/>
      <c r="Y58" s="55"/>
      <c r="Z58" s="55"/>
    </row>
    <row r="59" spans="1:26" x14ac:dyDescent="0.25">
      <c r="A59" s="38"/>
      <c r="B59" s="33"/>
      <c r="C59" s="33"/>
      <c r="D59" s="33"/>
      <c r="E59" s="33"/>
      <c r="F59" s="49"/>
      <c r="G59" s="49"/>
      <c r="H59" s="49"/>
      <c r="I59" s="33"/>
      <c r="J59" s="49"/>
      <c r="K59" s="33"/>
      <c r="L59" s="92"/>
      <c r="M59" s="131"/>
      <c r="N59" s="10"/>
      <c r="O59" s="33"/>
      <c r="P59" s="108"/>
      <c r="Q59" s="111"/>
      <c r="R59" s="113"/>
      <c r="S59" s="9"/>
      <c r="T59" s="38"/>
      <c r="U59" s="52"/>
      <c r="V59" s="52"/>
      <c r="W59" s="149"/>
      <c r="X59" s="55"/>
      <c r="Y59" s="55"/>
      <c r="Z59" s="55"/>
    </row>
    <row r="60" spans="1:26" x14ac:dyDescent="0.25">
      <c r="A60" s="38"/>
      <c r="B60" s="33"/>
      <c r="C60" s="33"/>
      <c r="D60" s="33"/>
      <c r="E60" s="33"/>
      <c r="F60" s="49"/>
      <c r="G60" s="49"/>
      <c r="H60" s="49"/>
      <c r="I60" s="33"/>
      <c r="J60" s="49"/>
      <c r="K60" s="33"/>
      <c r="L60" s="92"/>
      <c r="M60" s="131"/>
      <c r="N60" s="10"/>
      <c r="O60" s="33"/>
      <c r="P60" s="108"/>
      <c r="Q60" s="111"/>
      <c r="R60" s="113"/>
      <c r="S60" s="9"/>
      <c r="T60" s="38"/>
      <c r="U60" s="52"/>
      <c r="V60" s="52"/>
      <c r="W60" s="149"/>
      <c r="X60" s="55"/>
      <c r="Y60" s="55"/>
      <c r="Z60" s="55"/>
    </row>
    <row r="61" spans="1:26" x14ac:dyDescent="0.25">
      <c r="A61" s="38"/>
      <c r="B61" s="33"/>
      <c r="C61" s="33"/>
      <c r="D61" s="33"/>
      <c r="E61" s="33"/>
      <c r="F61" s="49"/>
      <c r="G61" s="49"/>
      <c r="H61" s="49"/>
      <c r="I61" s="33"/>
      <c r="J61" s="49"/>
      <c r="K61" s="33"/>
      <c r="L61" s="92"/>
      <c r="M61" s="131"/>
      <c r="N61" s="10"/>
      <c r="O61" s="33"/>
      <c r="P61" s="108"/>
      <c r="Q61" s="111"/>
      <c r="R61" s="113"/>
      <c r="S61" s="9"/>
      <c r="T61" s="38"/>
      <c r="U61" s="52"/>
      <c r="V61" s="52"/>
      <c r="W61" s="149"/>
      <c r="X61" s="55"/>
      <c r="Y61" s="55"/>
      <c r="Z61" s="55"/>
    </row>
    <row r="62" spans="1:26" x14ac:dyDescent="0.25">
      <c r="A62" s="38"/>
      <c r="B62" s="33"/>
      <c r="C62" s="33"/>
      <c r="D62" s="33"/>
      <c r="E62" s="33"/>
      <c r="F62" s="49"/>
      <c r="G62" s="49"/>
      <c r="H62" s="49"/>
      <c r="I62" s="33"/>
      <c r="J62" s="49"/>
      <c r="K62" s="33"/>
      <c r="L62" s="92"/>
      <c r="M62" s="131"/>
      <c r="N62" s="10"/>
      <c r="O62" s="33"/>
      <c r="P62" s="108"/>
      <c r="Q62" s="111"/>
      <c r="R62" s="113"/>
      <c r="S62" s="9"/>
      <c r="T62" s="38"/>
      <c r="U62" s="52"/>
      <c r="V62" s="52"/>
      <c r="W62" s="149"/>
      <c r="X62" s="55"/>
      <c r="Y62" s="55"/>
      <c r="Z62" s="55"/>
    </row>
    <row r="63" spans="1:26" x14ac:dyDescent="0.25">
      <c r="A63" s="38"/>
      <c r="B63" s="33"/>
      <c r="C63" s="33"/>
      <c r="D63" s="33"/>
      <c r="E63" s="33"/>
      <c r="F63" s="49"/>
      <c r="G63" s="49"/>
      <c r="H63" s="49"/>
      <c r="I63" s="33"/>
      <c r="J63" s="49"/>
      <c r="K63" s="33"/>
      <c r="L63" s="92"/>
      <c r="M63" s="131"/>
      <c r="N63" s="10"/>
      <c r="O63" s="33"/>
      <c r="P63" s="108"/>
      <c r="Q63" s="111"/>
      <c r="R63" s="113"/>
      <c r="S63" s="9"/>
      <c r="T63" s="38"/>
      <c r="U63" s="52"/>
      <c r="V63" s="52"/>
      <c r="W63" s="149"/>
      <c r="X63" s="55"/>
      <c r="Y63" s="55"/>
      <c r="Z63" s="55"/>
    </row>
    <row r="64" spans="1:26" x14ac:dyDescent="0.25">
      <c r="A64" s="38"/>
      <c r="B64" s="33"/>
      <c r="C64" s="33"/>
      <c r="D64" s="33"/>
      <c r="E64" s="33"/>
      <c r="F64" s="49"/>
      <c r="G64" s="49"/>
      <c r="H64" s="49"/>
      <c r="I64" s="33"/>
      <c r="J64" s="49"/>
      <c r="K64" s="33"/>
      <c r="L64" s="92"/>
      <c r="M64" s="131"/>
      <c r="N64" s="10"/>
      <c r="O64" s="33"/>
      <c r="P64" s="108"/>
      <c r="Q64" s="111"/>
      <c r="R64" s="113"/>
      <c r="S64" s="9"/>
      <c r="T64" s="38"/>
      <c r="U64" s="52"/>
      <c r="V64" s="52"/>
      <c r="W64" s="149"/>
      <c r="X64" s="55"/>
      <c r="Y64" s="55"/>
      <c r="Z64" s="55"/>
    </row>
    <row r="65" spans="1:26" x14ac:dyDescent="0.25">
      <c r="A65" s="38"/>
      <c r="B65" s="33"/>
      <c r="C65" s="33"/>
      <c r="D65" s="33"/>
      <c r="E65" s="33"/>
      <c r="F65" s="49"/>
      <c r="G65" s="49"/>
      <c r="H65" s="49"/>
      <c r="I65" s="33"/>
      <c r="J65" s="49"/>
      <c r="K65" s="33"/>
      <c r="L65" s="92"/>
      <c r="M65" s="131"/>
      <c r="N65" s="10"/>
      <c r="O65" s="33"/>
      <c r="P65" s="108"/>
      <c r="Q65" s="111"/>
      <c r="R65" s="113"/>
      <c r="S65" s="9"/>
      <c r="T65" s="38"/>
      <c r="U65" s="52"/>
      <c r="V65" s="52"/>
      <c r="W65" s="149"/>
      <c r="X65" s="55"/>
      <c r="Y65" s="55"/>
      <c r="Z65" s="55"/>
    </row>
    <row r="66" spans="1:26" x14ac:dyDescent="0.25">
      <c r="A66" s="38"/>
      <c r="B66" s="33"/>
      <c r="C66" s="33"/>
      <c r="D66" s="33"/>
      <c r="E66" s="33"/>
      <c r="F66" s="49"/>
      <c r="G66" s="49"/>
      <c r="H66" s="49"/>
      <c r="I66" s="33"/>
      <c r="J66" s="49"/>
      <c r="K66" s="33"/>
      <c r="L66" s="92"/>
      <c r="M66" s="131"/>
      <c r="N66" s="10"/>
      <c r="O66" s="33"/>
      <c r="P66" s="108"/>
      <c r="Q66" s="111"/>
      <c r="R66" s="113"/>
      <c r="S66" s="9"/>
      <c r="T66" s="38"/>
      <c r="U66" s="52"/>
      <c r="V66" s="52"/>
      <c r="W66" s="149"/>
      <c r="X66" s="55"/>
      <c r="Y66" s="55"/>
      <c r="Z66" s="55"/>
    </row>
    <row r="67" spans="1:26" x14ac:dyDescent="0.25">
      <c r="A67" s="38"/>
      <c r="B67" s="33"/>
      <c r="C67" s="33"/>
      <c r="D67" s="33"/>
      <c r="E67" s="33"/>
      <c r="F67" s="49"/>
      <c r="G67" s="49"/>
      <c r="H67" s="49"/>
      <c r="I67" s="33"/>
      <c r="J67" s="49"/>
      <c r="K67" s="33"/>
      <c r="L67" s="92"/>
      <c r="M67" s="131"/>
      <c r="N67" s="10"/>
      <c r="O67" s="33"/>
      <c r="P67" s="108"/>
      <c r="Q67" s="111"/>
      <c r="R67" s="113"/>
      <c r="S67" s="9"/>
      <c r="T67" s="38"/>
      <c r="U67" s="52"/>
      <c r="V67" s="52"/>
      <c r="W67" s="149"/>
      <c r="X67" s="55"/>
      <c r="Y67" s="55"/>
      <c r="Z67" s="55"/>
    </row>
    <row r="68" spans="1:26" x14ac:dyDescent="0.25">
      <c r="A68" s="38"/>
      <c r="B68" s="33"/>
      <c r="C68" s="33"/>
      <c r="D68" s="33"/>
      <c r="E68" s="33"/>
      <c r="F68" s="49"/>
      <c r="G68" s="49"/>
      <c r="H68" s="49"/>
      <c r="I68" s="33"/>
      <c r="J68" s="49"/>
      <c r="K68" s="33"/>
      <c r="L68" s="92"/>
      <c r="M68" s="131"/>
      <c r="N68" s="10"/>
      <c r="O68" s="33"/>
      <c r="P68" s="108"/>
      <c r="Q68" s="111"/>
      <c r="R68" s="113"/>
      <c r="S68" s="9"/>
      <c r="T68" s="38"/>
      <c r="U68" s="52"/>
      <c r="V68" s="52"/>
      <c r="W68" s="149"/>
      <c r="X68" s="55"/>
      <c r="Y68" s="55"/>
      <c r="Z68" s="55"/>
    </row>
    <row r="69" spans="1:26" x14ac:dyDescent="0.25">
      <c r="A69" s="38"/>
      <c r="B69" s="33"/>
      <c r="C69" s="33"/>
      <c r="D69" s="33"/>
      <c r="E69" s="33"/>
      <c r="F69" s="49"/>
      <c r="G69" s="49"/>
      <c r="H69" s="49"/>
      <c r="I69" s="33"/>
      <c r="J69" s="49"/>
      <c r="K69" s="33"/>
      <c r="L69" s="92"/>
      <c r="M69" s="131"/>
      <c r="N69" s="10"/>
      <c r="O69" s="33"/>
      <c r="P69" s="108"/>
      <c r="Q69" s="111"/>
      <c r="R69" s="113"/>
      <c r="S69" s="9"/>
      <c r="T69" s="38"/>
      <c r="U69" s="52"/>
      <c r="V69" s="52"/>
      <c r="W69" s="149"/>
      <c r="X69" s="55"/>
      <c r="Y69" s="55"/>
      <c r="Z69" s="55"/>
    </row>
    <row r="70" spans="1:26" x14ac:dyDescent="0.25">
      <c r="A70" s="38"/>
      <c r="B70" s="33"/>
      <c r="C70" s="33"/>
      <c r="D70" s="33"/>
      <c r="E70" s="33"/>
      <c r="F70" s="49"/>
      <c r="G70" s="49"/>
      <c r="H70" s="49"/>
      <c r="I70" s="33"/>
      <c r="J70" s="49"/>
      <c r="K70" s="33"/>
      <c r="L70" s="92"/>
      <c r="M70" s="131"/>
      <c r="N70" s="10"/>
      <c r="O70" s="33"/>
      <c r="P70" s="108"/>
      <c r="Q70" s="111"/>
      <c r="R70" s="113"/>
      <c r="S70" s="9"/>
      <c r="T70" s="38"/>
      <c r="U70" s="52"/>
      <c r="V70" s="52"/>
      <c r="W70" s="149"/>
      <c r="X70" s="55"/>
      <c r="Y70" s="55"/>
      <c r="Z70" s="55"/>
    </row>
    <row r="71" spans="1:26" x14ac:dyDescent="0.25">
      <c r="A71" s="38"/>
      <c r="B71" s="33"/>
      <c r="C71" s="33"/>
      <c r="D71" s="33"/>
      <c r="E71" s="33"/>
      <c r="F71" s="49"/>
      <c r="G71" s="49"/>
      <c r="H71" s="49"/>
      <c r="I71" s="33"/>
      <c r="J71" s="49"/>
      <c r="K71" s="33"/>
      <c r="L71" s="92"/>
      <c r="M71" s="131"/>
      <c r="N71" s="10"/>
      <c r="O71" s="33"/>
      <c r="P71" s="108"/>
      <c r="Q71" s="111"/>
      <c r="R71" s="113"/>
      <c r="S71" s="9"/>
      <c r="T71" s="38"/>
      <c r="U71" s="52"/>
      <c r="V71" s="52"/>
      <c r="W71" s="149"/>
      <c r="X71" s="55"/>
      <c r="Y71" s="55"/>
      <c r="Z71" s="55"/>
    </row>
    <row r="72" spans="1:26" x14ac:dyDescent="0.25">
      <c r="A72" s="38"/>
      <c r="B72" s="33"/>
      <c r="C72" s="33"/>
      <c r="D72" s="33"/>
      <c r="E72" s="33"/>
      <c r="F72" s="49"/>
      <c r="G72" s="49"/>
      <c r="H72" s="49"/>
      <c r="I72" s="33"/>
      <c r="J72" s="49"/>
      <c r="K72" s="33"/>
      <c r="L72" s="92"/>
      <c r="M72" s="131"/>
      <c r="N72" s="10"/>
      <c r="O72" s="33"/>
      <c r="P72" s="108"/>
      <c r="Q72" s="111"/>
      <c r="R72" s="113"/>
      <c r="S72" s="9"/>
      <c r="T72" s="38"/>
      <c r="U72" s="52"/>
      <c r="V72" s="52"/>
      <c r="W72" s="149"/>
      <c r="X72" s="55"/>
      <c r="Y72" s="55"/>
      <c r="Z72" s="55"/>
    </row>
    <row r="73" spans="1:26" x14ac:dyDescent="0.25">
      <c r="A73" s="38"/>
      <c r="B73" s="33"/>
      <c r="C73" s="33"/>
      <c r="D73" s="33"/>
      <c r="E73" s="33"/>
      <c r="F73" s="49"/>
      <c r="G73" s="49"/>
      <c r="H73" s="49"/>
      <c r="I73" s="33"/>
      <c r="J73" s="49"/>
      <c r="K73" s="33"/>
      <c r="L73" s="92"/>
      <c r="M73" s="131"/>
      <c r="N73" s="10"/>
      <c r="O73" s="33"/>
      <c r="P73" s="108"/>
      <c r="Q73" s="111"/>
      <c r="R73" s="113"/>
      <c r="S73" s="9"/>
      <c r="T73" s="38"/>
      <c r="U73" s="52"/>
      <c r="V73" s="52"/>
      <c r="W73" s="149"/>
      <c r="X73" s="55"/>
      <c r="Y73" s="55"/>
      <c r="Z73" s="55"/>
    </row>
    <row r="74" spans="1:26" x14ac:dyDescent="0.25">
      <c r="B74" s="23"/>
      <c r="C74" s="23"/>
      <c r="D74" s="23"/>
      <c r="E74" s="23"/>
      <c r="I74" s="23"/>
      <c r="K74" s="23"/>
    </row>
  </sheetData>
  <autoFilter ref="A6:Z61"/>
  <sortState ref="A7:V83">
    <sortCondition ref="U7:U83"/>
    <sortCondition ref="E7:E83"/>
    <sortCondition ref="J7:J83"/>
    <sortCondition ref="C7:C83"/>
    <sortCondition ref="F7:F83"/>
  </sortState>
  <mergeCells count="1">
    <mergeCell ref="A5:M5"/>
  </mergeCells>
  <conditionalFormatting sqref="M6:N6 P6 M7:M1048576">
    <cfRule type="cellIs" dxfId="2" priority="14" operator="equal">
      <formula>"Y"</formula>
    </cfRule>
  </conditionalFormatting>
  <conditionalFormatting sqref="A7:N73">
    <cfRule type="expression" dxfId="1" priority="7">
      <formula>$M7="Y"</formula>
    </cfRule>
  </conditionalFormatting>
  <conditionalFormatting sqref="M2:M3">
    <cfRule type="cellIs" dxfId="0" priority="5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13</xdr:col>
                    <xdr:colOff>352425</xdr:colOff>
                    <xdr:row>1</xdr:row>
                    <xdr:rowOff>28575</xdr:rowOff>
                  </from>
                  <to>
                    <xdr:col>13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Z7:Z53</xm:sqref>
        </x14:dataValidation>
        <x14:dataValidation type="list" allowBlank="1" showInputMessage="1" showErrorMessage="1">
          <x14:formula1>
            <xm:f>'Redmine List Values'!$A$2:$A$7</xm:f>
          </x14:formula1>
          <xm:sqref>Y7:Y53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6"/>
  <sheetViews>
    <sheetView workbookViewId="0">
      <selection activeCell="A3" sqref="A3:XFD4"/>
    </sheetView>
  </sheetViews>
  <sheetFormatPr defaultRowHeight="15" x14ac:dyDescent="0.25"/>
  <cols>
    <col min="1" max="1" width="9.140625" style="2" customWidth="1"/>
    <col min="2" max="2" width="8" style="130" bestFit="1" customWidth="1"/>
    <col min="3" max="3" width="9.85546875" style="121" bestFit="1" customWidth="1"/>
    <col min="4" max="4" width="45.140625" bestFit="1" customWidth="1"/>
    <col min="5" max="5" width="18.140625" customWidth="1"/>
    <col min="6" max="6" width="17" customWidth="1"/>
    <col min="7" max="7" width="14.140625" customWidth="1"/>
    <col min="8" max="9" width="9.140625" customWidth="1"/>
  </cols>
  <sheetData>
    <row r="1" spans="1:10" s="23" customFormat="1" x14ac:dyDescent="0.25">
      <c r="A1" s="164" t="str">
        <f>"Trips that did not appear in PTC Data "&amp;TEXT(Variables!$A$2,"YYYY-mm-dd")</f>
        <v>Trips that did not appear in PTC Data 2016-08-27</v>
      </c>
      <c r="B1" s="164"/>
      <c r="C1" s="164"/>
      <c r="D1" s="164"/>
      <c r="E1" s="164"/>
    </row>
    <row r="2" spans="1:10" s="26" customFormat="1" ht="45" x14ac:dyDescent="0.25">
      <c r="A2" s="140" t="s">
        <v>64</v>
      </c>
      <c r="B2" s="127" t="s">
        <v>65</v>
      </c>
      <c r="C2" s="128" t="s">
        <v>66</v>
      </c>
      <c r="D2" s="26" t="s">
        <v>62</v>
      </c>
      <c r="E2" s="26" t="s">
        <v>63</v>
      </c>
      <c r="F2" s="26" t="s">
        <v>67</v>
      </c>
      <c r="G2" s="31" t="s">
        <v>68</v>
      </c>
      <c r="H2" s="31" t="s">
        <v>121</v>
      </c>
    </row>
    <row r="3" spans="1:10" x14ac:dyDescent="0.25">
      <c r="B3" s="129"/>
      <c r="C3" s="129"/>
      <c r="D3" s="33"/>
      <c r="E3" s="24" t="e">
        <f>VLOOKUP(A3,'Trips&amp;Operators'!$C$2:$E$10000,3,FALSE)</f>
        <v>#N/A</v>
      </c>
      <c r="F3" s="24" t="e">
        <f>VLOOKUP(A3,'Trips&amp;Operators'!$C$1:$F$10000,4,FALSE)</f>
        <v>#N/A</v>
      </c>
      <c r="G3" s="32" t="e">
        <f>VLOOKUP(A3,'Trips&amp;Operators'!$C$1:$H$10000,5,FALSE)</f>
        <v>#N/A</v>
      </c>
      <c r="H3" s="52" t="str">
        <f t="shared" ref="H3:H9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A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3" s="23"/>
      <c r="J3" s="23"/>
    </row>
    <row r="4" spans="1:10" x14ac:dyDescent="0.25">
      <c r="B4" s="129"/>
      <c r="C4" s="129"/>
      <c r="D4" s="33"/>
      <c r="E4" s="24" t="e">
        <f>VLOOKUP(A4,'Trips&amp;Operators'!$C$2:$E$10000,3,FALSE)</f>
        <v>#N/A</v>
      </c>
      <c r="F4" s="24" t="e">
        <f>VLOOKUP(A4,'Trips&amp;Operators'!$C$1:$F$10000,4,FALSE)</f>
        <v>#N/A</v>
      </c>
      <c r="G4" s="32" t="e">
        <f>VLOOKUP(A4,'Trips&amp;Operators'!$C$1:$H$10000,5,FALSE)</f>
        <v>#N/A</v>
      </c>
      <c r="H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4" s="23"/>
      <c r="J4" s="23"/>
    </row>
    <row r="5" spans="1:10" x14ac:dyDescent="0.25">
      <c r="B5" s="129"/>
      <c r="C5" s="129"/>
      <c r="D5" s="33"/>
      <c r="E5" s="24" t="e">
        <f>VLOOKUP(A5,'Trips&amp;Operators'!$C$2:$E$10000,3,FALSE)</f>
        <v>#N/A</v>
      </c>
      <c r="F5" s="24" t="e">
        <f>VLOOKUP(A5,'Trips&amp;Operators'!$C$1:$F$10000,4,FALSE)</f>
        <v>#N/A</v>
      </c>
      <c r="G5" s="32" t="e">
        <f>VLOOKUP(A5,'Trips&amp;Operators'!$C$1:$H$10000,5,FALSE)</f>
        <v>#N/A</v>
      </c>
      <c r="H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5" s="23"/>
      <c r="J5" s="23"/>
    </row>
    <row r="6" spans="1:10" x14ac:dyDescent="0.25">
      <c r="B6" s="129"/>
      <c r="C6" s="129"/>
      <c r="D6" s="33"/>
      <c r="E6" s="24" t="e">
        <f>VLOOKUP(A6,'Trips&amp;Operators'!$C$2:$E$10000,3,FALSE)</f>
        <v>#N/A</v>
      </c>
      <c r="F6" s="24" t="e">
        <f>VLOOKUP(A6,'Trips&amp;Operators'!$C$1:$F$10000,4,FALSE)</f>
        <v>#N/A</v>
      </c>
      <c r="G6" s="32" t="e">
        <f>VLOOKUP(A6,'Trips&amp;Operators'!$C$1:$H$10000,5,FALSE)</f>
        <v>#N/A</v>
      </c>
      <c r="H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6" s="23"/>
      <c r="J6" s="23"/>
    </row>
    <row r="7" spans="1:10" x14ac:dyDescent="0.25">
      <c r="B7" s="129"/>
      <c r="C7" s="129"/>
      <c r="D7" s="33"/>
      <c r="E7" s="24" t="e">
        <f>VLOOKUP(A7,'Trips&amp;Operators'!$C$2:$E$10000,3,FALSE)</f>
        <v>#N/A</v>
      </c>
      <c r="F7" s="24" t="e">
        <f>VLOOKUP(A7,'Trips&amp;Operators'!$C$1:$F$10000,4,FALSE)</f>
        <v>#N/A</v>
      </c>
      <c r="G7" s="32" t="e">
        <f>VLOOKUP(A7,'Trips&amp;Operators'!$C$1:$H$10000,5,FALSE)</f>
        <v>#N/A</v>
      </c>
      <c r="H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7" s="23"/>
      <c r="J7" s="23"/>
    </row>
    <row r="8" spans="1:10" x14ac:dyDescent="0.25">
      <c r="B8" s="129"/>
      <c r="C8" s="129"/>
      <c r="D8" s="33"/>
      <c r="E8" s="24" t="e">
        <f>VLOOKUP(A8,'Trips&amp;Operators'!$C$2:$E$10000,3,FALSE)</f>
        <v>#N/A</v>
      </c>
      <c r="F8" s="24" t="e">
        <f>VLOOKUP(A8,'Trips&amp;Operators'!$C$1:$F$10000,4,FALSE)</f>
        <v>#N/A</v>
      </c>
      <c r="G8" s="32" t="e">
        <f>VLOOKUP(A8,'Trips&amp;Operators'!$C$1:$H$10000,5,FALSE)</f>
        <v>#N/A</v>
      </c>
      <c r="H8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8" s="23"/>
      <c r="J8" s="23"/>
    </row>
    <row r="9" spans="1:10" x14ac:dyDescent="0.25">
      <c r="B9" s="129"/>
      <c r="C9" s="129"/>
      <c r="D9" s="33"/>
      <c r="E9" s="24" t="e">
        <f>VLOOKUP(A9,'Trips&amp;Operators'!$C$2:$E$10000,3,FALSE)</f>
        <v>#N/A</v>
      </c>
      <c r="F9" s="24" t="e">
        <f>VLOOKUP(A9,'Trips&amp;Operators'!$C$1:$F$10000,4,FALSE)</f>
        <v>#N/A</v>
      </c>
      <c r="G9" s="32" t="e">
        <f>VLOOKUP(A9,'Trips&amp;Operators'!$C$1:$H$10000,5,FALSE)</f>
        <v>#N/A</v>
      </c>
      <c r="H9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22%22)),sort:!(Time,asc))</v>
      </c>
      <c r="I9" s="23"/>
      <c r="J9" s="23"/>
    </row>
    <row r="10" spans="1:10" x14ac:dyDescent="0.25">
      <c r="B10" s="114"/>
      <c r="C10" s="114"/>
      <c r="H10" s="23"/>
      <c r="I10" s="23"/>
      <c r="J10" s="23"/>
    </row>
    <row r="11" spans="1:10" x14ac:dyDescent="0.25">
      <c r="B11" s="114"/>
      <c r="C11" s="114"/>
      <c r="H11" s="23"/>
      <c r="I11" s="23"/>
      <c r="J11" s="23"/>
    </row>
    <row r="12" spans="1:10" x14ac:dyDescent="0.25">
      <c r="B12" s="114"/>
      <c r="C12" s="114"/>
      <c r="H12" s="23"/>
      <c r="I12" s="23"/>
      <c r="J12" s="23"/>
    </row>
    <row r="13" spans="1:10" x14ac:dyDescent="0.25">
      <c r="B13" s="114"/>
      <c r="C13" s="114"/>
      <c r="H13" s="23"/>
      <c r="I13" s="23"/>
      <c r="J13" s="23"/>
    </row>
    <row r="14" spans="1:10" x14ac:dyDescent="0.25">
      <c r="B14" s="114"/>
      <c r="C14" s="114"/>
      <c r="H14" s="23"/>
      <c r="I14" s="23"/>
      <c r="J14" s="23"/>
    </row>
    <row r="15" spans="1:10" x14ac:dyDescent="0.25">
      <c r="B15" s="114"/>
      <c r="C15" s="114"/>
      <c r="H15" s="23"/>
      <c r="I15" s="23"/>
      <c r="J15" s="23"/>
    </row>
    <row r="16" spans="1:10" x14ac:dyDescent="0.25">
      <c r="B16" s="114"/>
      <c r="C16" s="114"/>
      <c r="H16" s="23"/>
      <c r="I16" s="23"/>
      <c r="J16" s="23"/>
    </row>
    <row r="17" spans="2:10" x14ac:dyDescent="0.25">
      <c r="B17" s="114"/>
      <c r="C17" s="114"/>
      <c r="H17" s="23"/>
      <c r="I17" s="23"/>
      <c r="J17" s="23"/>
    </row>
    <row r="18" spans="2:10" x14ac:dyDescent="0.25">
      <c r="B18" s="114"/>
      <c r="C18" s="114"/>
      <c r="H18" s="23"/>
      <c r="I18" s="23"/>
      <c r="J18" s="23"/>
    </row>
    <row r="19" spans="2:10" x14ac:dyDescent="0.25">
      <c r="B19" s="114"/>
      <c r="C19" s="114"/>
      <c r="H19" s="23"/>
      <c r="I19" s="23"/>
      <c r="J19" s="23"/>
    </row>
    <row r="20" spans="2:10" x14ac:dyDescent="0.25">
      <c r="B20" s="114"/>
      <c r="C20" s="114"/>
      <c r="H20" s="23"/>
      <c r="I20" s="23"/>
      <c r="J20" s="23"/>
    </row>
    <row r="21" spans="2:10" x14ac:dyDescent="0.25">
      <c r="B21" s="114"/>
      <c r="C21" s="114"/>
      <c r="H21" s="23"/>
      <c r="I21" s="23"/>
      <c r="J21" s="23"/>
    </row>
    <row r="22" spans="2:10" x14ac:dyDescent="0.25">
      <c r="B22" s="114"/>
      <c r="C22" s="114"/>
      <c r="H22" s="23"/>
      <c r="I22" s="23"/>
      <c r="J22" s="23"/>
    </row>
    <row r="23" spans="2:10" x14ac:dyDescent="0.25">
      <c r="B23" s="114"/>
      <c r="C23" s="114"/>
      <c r="H23" s="23"/>
      <c r="I23" s="23"/>
      <c r="J23" s="23"/>
    </row>
    <row r="24" spans="2:10" x14ac:dyDescent="0.25">
      <c r="B24" s="114"/>
      <c r="C24" s="114"/>
      <c r="H24" s="23"/>
      <c r="I24" s="23"/>
      <c r="J24" s="23"/>
    </row>
    <row r="25" spans="2:10" x14ac:dyDescent="0.25">
      <c r="B25" s="114"/>
      <c r="C25" s="114"/>
      <c r="H25" s="23"/>
      <c r="I25" s="23"/>
      <c r="J25" s="23"/>
    </row>
    <row r="26" spans="2:10" x14ac:dyDescent="0.25">
      <c r="B26" s="114"/>
      <c r="C26" s="114"/>
      <c r="H26" s="23"/>
      <c r="I26" s="23"/>
      <c r="J26" s="23"/>
    </row>
    <row r="27" spans="2:10" x14ac:dyDescent="0.25">
      <c r="B27" s="114"/>
      <c r="C27" s="114"/>
      <c r="H27" s="23"/>
      <c r="I27" s="23"/>
      <c r="J27" s="23"/>
    </row>
    <row r="28" spans="2:10" x14ac:dyDescent="0.25">
      <c r="B28" s="114"/>
      <c r="C28" s="114"/>
      <c r="H28" s="23"/>
      <c r="I28" s="23"/>
      <c r="J28" s="23"/>
    </row>
    <row r="29" spans="2:10" x14ac:dyDescent="0.25">
      <c r="B29" s="114"/>
      <c r="C29" s="114"/>
      <c r="H29" s="23"/>
      <c r="I29" s="23"/>
      <c r="J29" s="23"/>
    </row>
    <row r="30" spans="2:10" x14ac:dyDescent="0.25">
      <c r="B30" s="114"/>
      <c r="C30" s="114"/>
      <c r="H30" s="23"/>
      <c r="I30" s="23"/>
      <c r="J30" s="23"/>
    </row>
    <row r="31" spans="2:10" x14ac:dyDescent="0.25">
      <c r="B31" s="114"/>
      <c r="C31" s="114"/>
      <c r="H31" s="23"/>
      <c r="I31" s="23"/>
      <c r="J31" s="23"/>
    </row>
    <row r="32" spans="2:10" x14ac:dyDescent="0.25">
      <c r="B32" s="114"/>
      <c r="C32" s="114"/>
      <c r="H32" s="23"/>
      <c r="I32" s="23"/>
      <c r="J32" s="23"/>
    </row>
    <row r="33" spans="2:10" x14ac:dyDescent="0.25">
      <c r="B33" s="114"/>
      <c r="C33" s="114"/>
      <c r="H33" s="23"/>
      <c r="I33" s="23"/>
      <c r="J33" s="23"/>
    </row>
    <row r="34" spans="2:10" x14ac:dyDescent="0.25">
      <c r="B34" s="114"/>
      <c r="C34" s="114"/>
      <c r="H34" s="23"/>
      <c r="I34" s="23"/>
      <c r="J34" s="23"/>
    </row>
    <row r="35" spans="2:10" x14ac:dyDescent="0.25">
      <c r="B35" s="114"/>
      <c r="C35" s="114"/>
      <c r="H35" s="23"/>
      <c r="I35" s="23"/>
      <c r="J35" s="23"/>
    </row>
    <row r="36" spans="2:10" x14ac:dyDescent="0.25">
      <c r="B36" s="114"/>
      <c r="C36" s="114"/>
      <c r="H36" s="23"/>
      <c r="I36" s="23"/>
      <c r="J36" s="23"/>
    </row>
    <row r="37" spans="2:10" x14ac:dyDescent="0.25">
      <c r="B37" s="114"/>
      <c r="C37" s="114"/>
      <c r="H37" s="23"/>
      <c r="I37" s="23"/>
      <c r="J37" s="23"/>
    </row>
    <row r="38" spans="2:10" x14ac:dyDescent="0.25">
      <c r="B38" s="114"/>
      <c r="C38" s="114"/>
      <c r="H38" s="23"/>
      <c r="I38" s="23"/>
      <c r="J38" s="23"/>
    </row>
    <row r="39" spans="2:10" x14ac:dyDescent="0.25">
      <c r="B39" s="114"/>
      <c r="C39" s="114"/>
      <c r="H39" s="23"/>
      <c r="I39" s="23"/>
      <c r="J39" s="23"/>
    </row>
    <row r="40" spans="2:10" x14ac:dyDescent="0.25">
      <c r="B40" s="114"/>
      <c r="C40" s="114"/>
      <c r="H40" s="23"/>
      <c r="I40" s="23"/>
      <c r="J40" s="23"/>
    </row>
    <row r="41" spans="2:10" x14ac:dyDescent="0.25">
      <c r="B41" s="114"/>
      <c r="C41" s="114"/>
      <c r="H41" s="23"/>
      <c r="I41" s="23"/>
      <c r="J41" s="23"/>
    </row>
    <row r="42" spans="2:10" x14ac:dyDescent="0.25">
      <c r="B42" s="114"/>
      <c r="C42" s="114"/>
      <c r="H42" s="23"/>
      <c r="I42" s="23"/>
      <c r="J42" s="23"/>
    </row>
    <row r="43" spans="2:10" x14ac:dyDescent="0.25">
      <c r="B43" s="114"/>
      <c r="C43" s="114"/>
      <c r="H43" s="23"/>
      <c r="I43" s="23"/>
      <c r="J43" s="23"/>
    </row>
    <row r="44" spans="2:10" x14ac:dyDescent="0.25">
      <c r="B44" s="114"/>
      <c r="C44" s="114"/>
      <c r="H44" s="23"/>
      <c r="I44" s="23"/>
      <c r="J44" s="23"/>
    </row>
    <row r="45" spans="2:10" x14ac:dyDescent="0.25">
      <c r="B45" s="114"/>
      <c r="C45" s="114"/>
      <c r="H45" s="23"/>
      <c r="I45" s="23"/>
      <c r="J45" s="23"/>
    </row>
    <row r="46" spans="2:10" x14ac:dyDescent="0.25">
      <c r="B46" s="114"/>
      <c r="C46" s="114"/>
      <c r="H46" s="23"/>
      <c r="I46" s="23"/>
      <c r="J46" s="23"/>
    </row>
    <row r="47" spans="2:10" x14ac:dyDescent="0.25">
      <c r="B47" s="114"/>
      <c r="C47" s="114"/>
      <c r="H47" s="23"/>
      <c r="I47" s="23"/>
      <c r="J47" s="23"/>
    </row>
    <row r="48" spans="2:10" x14ac:dyDescent="0.25">
      <c r="B48" s="114"/>
      <c r="C48" s="114"/>
      <c r="H48" s="23"/>
      <c r="I48" s="23"/>
      <c r="J48" s="23"/>
    </row>
    <row r="49" spans="2:10" x14ac:dyDescent="0.25">
      <c r="B49" s="114"/>
      <c r="C49" s="114"/>
      <c r="H49" s="23"/>
      <c r="I49" s="23"/>
      <c r="J49" s="23"/>
    </row>
    <row r="50" spans="2:10" x14ac:dyDescent="0.25">
      <c r="B50" s="114"/>
      <c r="C50" s="114"/>
      <c r="H50" s="23"/>
      <c r="I50" s="23"/>
      <c r="J50" s="23"/>
    </row>
    <row r="51" spans="2:10" x14ac:dyDescent="0.25">
      <c r="B51" s="114"/>
      <c r="C51" s="114"/>
      <c r="H51" s="23"/>
      <c r="I51" s="23"/>
      <c r="J51" s="23"/>
    </row>
    <row r="52" spans="2:10" x14ac:dyDescent="0.25">
      <c r="B52" s="114"/>
      <c r="C52" s="114"/>
      <c r="H52" s="23"/>
      <c r="I52" s="23"/>
      <c r="J52" s="23"/>
    </row>
    <row r="53" spans="2:10" x14ac:dyDescent="0.25">
      <c r="B53" s="114"/>
      <c r="C53" s="114"/>
      <c r="H53" s="23"/>
      <c r="I53" s="23"/>
      <c r="J53" s="23"/>
    </row>
    <row r="54" spans="2:10" x14ac:dyDescent="0.25">
      <c r="B54" s="114"/>
      <c r="C54" s="114"/>
      <c r="H54" s="23"/>
      <c r="I54" s="23"/>
      <c r="J54" s="23"/>
    </row>
    <row r="55" spans="2:10" x14ac:dyDescent="0.25">
      <c r="B55" s="114"/>
      <c r="C55" s="114"/>
      <c r="H55" s="23"/>
      <c r="I55" s="23"/>
      <c r="J55" s="23"/>
    </row>
    <row r="56" spans="2:10" x14ac:dyDescent="0.25">
      <c r="B56" s="114"/>
      <c r="C56" s="114"/>
      <c r="H56" s="23"/>
      <c r="I56" s="23"/>
      <c r="J56" s="23"/>
    </row>
    <row r="57" spans="2:10" x14ac:dyDescent="0.25">
      <c r="B57" s="114"/>
      <c r="C57" s="114"/>
      <c r="H57" s="23"/>
      <c r="I57" s="23"/>
      <c r="J57" s="23"/>
    </row>
    <row r="58" spans="2:10" x14ac:dyDescent="0.25">
      <c r="B58" s="114"/>
      <c r="C58" s="114"/>
      <c r="H58" s="23"/>
      <c r="I58" s="23"/>
      <c r="J58" s="23"/>
    </row>
    <row r="59" spans="2:10" x14ac:dyDescent="0.25">
      <c r="B59" s="114"/>
      <c r="C59" s="114"/>
      <c r="H59" s="23"/>
      <c r="I59" s="23"/>
      <c r="J59" s="23"/>
    </row>
    <row r="60" spans="2:10" x14ac:dyDescent="0.25">
      <c r="B60" s="114"/>
      <c r="C60" s="114"/>
      <c r="H60" s="23"/>
      <c r="I60" s="23"/>
      <c r="J60" s="23"/>
    </row>
    <row r="61" spans="2:10" x14ac:dyDescent="0.25">
      <c r="B61" s="114"/>
      <c r="C61" s="114"/>
      <c r="H61" s="23"/>
      <c r="I61" s="23"/>
      <c r="J61" s="23"/>
    </row>
    <row r="62" spans="2:10" x14ac:dyDescent="0.25">
      <c r="B62" s="114"/>
      <c r="C62" s="114"/>
      <c r="H62" s="23"/>
      <c r="I62" s="23"/>
      <c r="J62" s="23"/>
    </row>
    <row r="63" spans="2:10" x14ac:dyDescent="0.25">
      <c r="B63" s="114"/>
      <c r="C63" s="114"/>
      <c r="H63" s="23"/>
      <c r="I63" s="23"/>
      <c r="J63" s="23"/>
    </row>
    <row r="64" spans="2:10" x14ac:dyDescent="0.25">
      <c r="B64" s="114"/>
      <c r="C64" s="114"/>
      <c r="H64" s="23"/>
      <c r="I64" s="23"/>
      <c r="J64" s="23"/>
    </row>
    <row r="65" spans="2:10" x14ac:dyDescent="0.25">
      <c r="B65" s="114"/>
      <c r="C65" s="114"/>
      <c r="H65" s="23"/>
      <c r="I65" s="23"/>
      <c r="J65" s="23"/>
    </row>
    <row r="66" spans="2:10" x14ac:dyDescent="0.25">
      <c r="B66" s="114"/>
      <c r="C66" s="114"/>
      <c r="H66" s="23"/>
      <c r="I66" s="23"/>
      <c r="J66" s="23"/>
    </row>
    <row r="67" spans="2:10" x14ac:dyDescent="0.25">
      <c r="B67" s="114"/>
      <c r="C67" s="114"/>
      <c r="H67" s="23"/>
      <c r="I67" s="23"/>
      <c r="J67" s="23"/>
    </row>
    <row r="68" spans="2:10" x14ac:dyDescent="0.25">
      <c r="B68" s="114"/>
      <c r="C68" s="114"/>
      <c r="H68" s="23"/>
      <c r="I68" s="23"/>
      <c r="J68" s="23"/>
    </row>
    <row r="69" spans="2:10" x14ac:dyDescent="0.25">
      <c r="B69" s="114"/>
      <c r="C69" s="114"/>
      <c r="H69" s="23"/>
      <c r="I69" s="23"/>
      <c r="J69" s="23"/>
    </row>
    <row r="70" spans="2:10" x14ac:dyDescent="0.25">
      <c r="B70" s="114"/>
      <c r="C70" s="114"/>
      <c r="H70" s="23"/>
      <c r="I70" s="23"/>
      <c r="J70" s="23"/>
    </row>
    <row r="71" spans="2:10" x14ac:dyDescent="0.25">
      <c r="B71" s="114"/>
      <c r="C71" s="114"/>
      <c r="H71" s="23"/>
      <c r="I71" s="23"/>
      <c r="J71" s="23"/>
    </row>
    <row r="72" spans="2:10" x14ac:dyDescent="0.25">
      <c r="B72" s="114"/>
      <c r="C72" s="114"/>
      <c r="H72" s="23"/>
      <c r="I72" s="23"/>
      <c r="J72" s="23"/>
    </row>
    <row r="73" spans="2:10" x14ac:dyDescent="0.25">
      <c r="B73" s="114"/>
      <c r="C73" s="114"/>
      <c r="H73" s="23"/>
      <c r="I73" s="23"/>
      <c r="J73" s="23"/>
    </row>
    <row r="74" spans="2:10" x14ac:dyDescent="0.25">
      <c r="B74" s="114"/>
      <c r="C74" s="114"/>
      <c r="H74" s="23"/>
      <c r="I74" s="23"/>
      <c r="J74" s="23"/>
    </row>
    <row r="75" spans="2:10" x14ac:dyDescent="0.25">
      <c r="B75" s="114"/>
      <c r="C75" s="114"/>
      <c r="H75" s="23"/>
      <c r="I75" s="23"/>
      <c r="J75" s="23"/>
    </row>
    <row r="76" spans="2:10" x14ac:dyDescent="0.25">
      <c r="H76" s="23"/>
      <c r="I76" s="23"/>
      <c r="J76" s="23"/>
    </row>
  </sheetData>
  <autoFilter ref="A2:H2"/>
  <mergeCells count="1">
    <mergeCell ref="A1:E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>
        <v>42609.036296296297</v>
      </c>
      <c r="B1" s="23" t="s">
        <v>302</v>
      </c>
      <c r="C1" s="23" t="s">
        <v>318</v>
      </c>
      <c r="D1" s="23">
        <v>1800000</v>
      </c>
      <c r="E1" s="23" t="s">
        <v>176</v>
      </c>
      <c r="F1" s="23" t="str">
        <f>B1</f>
        <v>rtdc.l.rtdc.4039:itc</v>
      </c>
      <c r="G1" s="8">
        <f>A1</f>
        <v>42609.036296296297</v>
      </c>
    </row>
    <row r="2" spans="1:7" x14ac:dyDescent="0.25">
      <c r="A2" s="8">
        <v>42609.039699074077</v>
      </c>
      <c r="B2" s="23" t="s">
        <v>191</v>
      </c>
      <c r="C2" s="23" t="s">
        <v>317</v>
      </c>
      <c r="D2" s="23">
        <v>2090000</v>
      </c>
      <c r="E2" s="23" t="s">
        <v>205</v>
      </c>
      <c r="F2" s="23" t="str">
        <f t="shared" ref="F2:F65" si="0">B2</f>
        <v>rtdc.l.rtdc.4003:itc</v>
      </c>
      <c r="G2" s="8">
        <f t="shared" ref="G2:G65" si="1">A2</f>
        <v>42609.039699074077</v>
      </c>
    </row>
    <row r="3" spans="1:7" x14ac:dyDescent="0.25">
      <c r="A3" s="8">
        <v>42609.050162037034</v>
      </c>
      <c r="B3" s="23" t="s">
        <v>179</v>
      </c>
      <c r="C3" s="23" t="s">
        <v>319</v>
      </c>
      <c r="D3" s="23">
        <v>1230000</v>
      </c>
      <c r="E3" s="23" t="s">
        <v>170</v>
      </c>
      <c r="F3" s="23" t="str">
        <f t="shared" si="0"/>
        <v>rtdc.l.rtdc.4002:itc</v>
      </c>
      <c r="G3" s="8">
        <f t="shared" si="1"/>
        <v>42609.050162037034</v>
      </c>
    </row>
    <row r="4" spans="1:7" x14ac:dyDescent="0.25">
      <c r="A4" s="8">
        <v>42609.068136574075</v>
      </c>
      <c r="B4" s="23" t="s">
        <v>303</v>
      </c>
      <c r="C4" s="23" t="s">
        <v>320</v>
      </c>
      <c r="D4" s="23">
        <v>2260000</v>
      </c>
      <c r="E4" s="23" t="s">
        <v>216</v>
      </c>
      <c r="F4" s="23" t="str">
        <f t="shared" si="0"/>
        <v>rtdc.l.rtdc.4028:itc</v>
      </c>
      <c r="G4" s="8">
        <f t="shared" si="1"/>
        <v>42609.068136574075</v>
      </c>
    </row>
    <row r="5" spans="1:7" x14ac:dyDescent="0.25">
      <c r="A5" s="8">
        <v>42609.071516203701</v>
      </c>
      <c r="B5" s="23" t="s">
        <v>298</v>
      </c>
      <c r="C5" s="23" t="s">
        <v>321</v>
      </c>
      <c r="D5" s="23">
        <v>1800000</v>
      </c>
      <c r="E5" s="23" t="s">
        <v>176</v>
      </c>
      <c r="F5" s="23" t="str">
        <f t="shared" si="0"/>
        <v>rtdc.l.rtdc.4040:itc</v>
      </c>
      <c r="G5" s="8">
        <f t="shared" si="1"/>
        <v>42609.071516203701</v>
      </c>
    </row>
    <row r="6" spans="1:7" x14ac:dyDescent="0.25">
      <c r="A6" s="8">
        <v>42609.076782407406</v>
      </c>
      <c r="B6" s="23" t="s">
        <v>215</v>
      </c>
      <c r="C6" s="23" t="s">
        <v>322</v>
      </c>
      <c r="D6" s="23">
        <v>2090000</v>
      </c>
      <c r="E6" s="23" t="s">
        <v>205</v>
      </c>
      <c r="F6" s="23" t="str">
        <f t="shared" si="0"/>
        <v>rtdc.l.rtdc.4004:itc</v>
      </c>
      <c r="G6" s="8">
        <f t="shared" si="1"/>
        <v>42609.076782407406</v>
      </c>
    </row>
    <row r="7" spans="1:7" x14ac:dyDescent="0.25">
      <c r="A7" s="8">
        <v>42609.10533564815</v>
      </c>
      <c r="B7" s="23" t="s">
        <v>93</v>
      </c>
      <c r="C7" s="23" t="s">
        <v>323</v>
      </c>
      <c r="D7" s="23">
        <v>2260000</v>
      </c>
      <c r="E7" s="23" t="s">
        <v>216</v>
      </c>
      <c r="F7" s="23" t="str">
        <f t="shared" si="0"/>
        <v>rtdc.l.rtdc.4027:itc</v>
      </c>
      <c r="G7" s="8">
        <f t="shared" si="1"/>
        <v>42609.10533564815</v>
      </c>
    </row>
    <row r="8" spans="1:7" x14ac:dyDescent="0.25">
      <c r="A8" s="8">
        <v>42609.115428240744</v>
      </c>
      <c r="B8" s="23" t="s">
        <v>191</v>
      </c>
      <c r="C8" s="23" t="s">
        <v>666</v>
      </c>
      <c r="D8" s="23">
        <v>2090000</v>
      </c>
      <c r="E8" s="23" t="s">
        <v>205</v>
      </c>
      <c r="F8" s="23" t="str">
        <f t="shared" si="0"/>
        <v>rtdc.l.rtdc.4003:itc</v>
      </c>
      <c r="G8" s="8">
        <f t="shared" si="1"/>
        <v>42609.115428240744</v>
      </c>
    </row>
    <row r="9" spans="1:7" ht="15.75" thickBot="1" x14ac:dyDescent="0.3">
      <c r="A9" s="27">
        <v>42609.133414351854</v>
      </c>
      <c r="B9" s="23" t="s">
        <v>291</v>
      </c>
      <c r="C9" s="23" t="s">
        <v>385</v>
      </c>
      <c r="D9" s="23">
        <v>2010000</v>
      </c>
      <c r="E9" s="23" t="s">
        <v>251</v>
      </c>
      <c r="F9" s="23" t="str">
        <f t="shared" si="0"/>
        <v>rtdc.l.rtdc.4020:itc</v>
      </c>
      <c r="G9" s="8">
        <f t="shared" si="1"/>
        <v>42609.133414351854</v>
      </c>
    </row>
    <row r="10" spans="1:7" x14ac:dyDescent="0.25">
      <c r="A10" s="8">
        <v>42609.168067129627</v>
      </c>
      <c r="B10" s="23" t="s">
        <v>115</v>
      </c>
      <c r="C10" s="23" t="s">
        <v>386</v>
      </c>
      <c r="D10" s="23">
        <v>2010000</v>
      </c>
      <c r="E10" s="23" t="s">
        <v>251</v>
      </c>
      <c r="F10" s="23" t="str">
        <f t="shared" si="0"/>
        <v>rtdc.l.rtdc.4032:itc</v>
      </c>
      <c r="G10" s="8">
        <f t="shared" si="1"/>
        <v>42609.168067129627</v>
      </c>
    </row>
    <row r="11" spans="1:7" x14ac:dyDescent="0.25">
      <c r="A11" s="8">
        <v>42609.1715625</v>
      </c>
      <c r="B11" s="23" t="s">
        <v>112</v>
      </c>
      <c r="C11" s="23" t="s">
        <v>388</v>
      </c>
      <c r="D11" s="23">
        <v>1260000</v>
      </c>
      <c r="E11" s="23" t="s">
        <v>677</v>
      </c>
      <c r="F11" s="23" t="str">
        <f t="shared" si="0"/>
        <v>rtdc.l.rtdc.4014:itc</v>
      </c>
      <c r="G11" s="8">
        <f t="shared" si="1"/>
        <v>42609.1715625</v>
      </c>
    </row>
    <row r="12" spans="1:7" x14ac:dyDescent="0.25">
      <c r="A12" s="8">
        <v>42609.183912037035</v>
      </c>
      <c r="B12" s="23" t="s">
        <v>253</v>
      </c>
      <c r="C12" s="23" t="s">
        <v>393</v>
      </c>
      <c r="D12" s="23">
        <v>1990000</v>
      </c>
      <c r="E12" s="23" t="s">
        <v>299</v>
      </c>
      <c r="F12" s="23" t="str">
        <f t="shared" si="0"/>
        <v>rtdc.l.rtdc.4025:itc</v>
      </c>
      <c r="G12" s="8">
        <f t="shared" si="1"/>
        <v>42609.183912037035</v>
      </c>
    </row>
    <row r="13" spans="1:7" x14ac:dyDescent="0.25">
      <c r="A13" s="8">
        <v>42609.195</v>
      </c>
      <c r="B13" s="23" t="s">
        <v>173</v>
      </c>
      <c r="C13" s="23" t="s">
        <v>396</v>
      </c>
      <c r="D13" s="23">
        <v>2030000</v>
      </c>
      <c r="E13" s="23" t="s">
        <v>678</v>
      </c>
      <c r="F13" s="23" t="str">
        <f t="shared" si="0"/>
        <v>rtdc.l.rtdc.4009:itc</v>
      </c>
      <c r="G13" s="8">
        <f t="shared" si="1"/>
        <v>42609.195</v>
      </c>
    </row>
    <row r="14" spans="1:7" x14ac:dyDescent="0.25">
      <c r="A14" s="8">
        <v>42609.207094907404</v>
      </c>
      <c r="B14" s="23" t="s">
        <v>291</v>
      </c>
      <c r="C14" s="23" t="s">
        <v>400</v>
      </c>
      <c r="D14" s="23">
        <v>2280000</v>
      </c>
      <c r="E14" s="23" t="s">
        <v>252</v>
      </c>
      <c r="F14" s="23" t="str">
        <f t="shared" si="0"/>
        <v>rtdc.l.rtdc.4020:itc</v>
      </c>
      <c r="G14" s="8">
        <f t="shared" si="1"/>
        <v>42609.207094907404</v>
      </c>
    </row>
    <row r="15" spans="1:7" x14ac:dyDescent="0.25">
      <c r="A15" s="8">
        <v>42609.210173611114</v>
      </c>
      <c r="B15" s="23" t="s">
        <v>185</v>
      </c>
      <c r="C15" s="23" t="s">
        <v>391</v>
      </c>
      <c r="D15" s="23">
        <v>1260000</v>
      </c>
      <c r="E15" s="23" t="s">
        <v>677</v>
      </c>
      <c r="F15" s="23" t="str">
        <f t="shared" si="0"/>
        <v>rtdc.l.rtdc.4041:itc</v>
      </c>
      <c r="G15" s="8">
        <f t="shared" si="1"/>
        <v>42609.210173611114</v>
      </c>
    </row>
    <row r="16" spans="1:7" x14ac:dyDescent="0.25">
      <c r="A16" s="8">
        <v>42609.2109375</v>
      </c>
      <c r="B16" s="23" t="s">
        <v>185</v>
      </c>
      <c r="C16" s="23" t="s">
        <v>391</v>
      </c>
      <c r="D16" s="23">
        <v>1260000</v>
      </c>
      <c r="E16" s="23" t="s">
        <v>677</v>
      </c>
      <c r="F16" s="23" t="str">
        <f t="shared" si="0"/>
        <v>rtdc.l.rtdc.4041:itc</v>
      </c>
      <c r="G16" s="8">
        <f t="shared" si="1"/>
        <v>42609.2109375</v>
      </c>
    </row>
    <row r="17" spans="1:7" x14ac:dyDescent="0.25">
      <c r="A17" s="8">
        <v>42609.212083333332</v>
      </c>
      <c r="B17" s="23" t="s">
        <v>114</v>
      </c>
      <c r="C17" s="23" t="s">
        <v>406</v>
      </c>
      <c r="D17" s="23">
        <v>2010000</v>
      </c>
      <c r="E17" s="23" t="s">
        <v>251</v>
      </c>
      <c r="F17" s="23" t="str">
        <f t="shared" si="0"/>
        <v>rtdc.l.rtdc.4031:itc</v>
      </c>
      <c r="G17" s="8">
        <f t="shared" si="1"/>
        <v>42609.212083333332</v>
      </c>
    </row>
    <row r="18" spans="1:7" x14ac:dyDescent="0.25">
      <c r="A18" s="8">
        <v>42609.212152777778</v>
      </c>
      <c r="B18" s="23" t="s">
        <v>185</v>
      </c>
      <c r="C18" s="23" t="s">
        <v>391</v>
      </c>
      <c r="D18" s="23">
        <v>1260000</v>
      </c>
      <c r="E18" s="23" t="s">
        <v>677</v>
      </c>
      <c r="F18" s="23" t="str">
        <f t="shared" si="0"/>
        <v>rtdc.l.rtdc.4041:itc</v>
      </c>
      <c r="G18" s="8">
        <f t="shared" si="1"/>
        <v>42609.212152777778</v>
      </c>
    </row>
    <row r="19" spans="1:7" x14ac:dyDescent="0.25">
      <c r="A19" s="8">
        <v>42609.222048611111</v>
      </c>
      <c r="B19" s="23" t="s">
        <v>254</v>
      </c>
      <c r="C19" s="23" t="s">
        <v>395</v>
      </c>
      <c r="D19" s="23">
        <v>1990000</v>
      </c>
      <c r="E19" s="23" t="s">
        <v>299</v>
      </c>
      <c r="F19" s="23" t="str">
        <f t="shared" si="0"/>
        <v>rtdc.l.rtdc.4026:itc</v>
      </c>
      <c r="G19" s="8">
        <f t="shared" si="1"/>
        <v>42609.222048611111</v>
      </c>
    </row>
    <row r="20" spans="1:7" x14ac:dyDescent="0.25">
      <c r="A20" s="8">
        <v>42609.227500000001</v>
      </c>
      <c r="B20" s="23" t="s">
        <v>169</v>
      </c>
      <c r="C20" s="23" t="s">
        <v>501</v>
      </c>
      <c r="D20" s="23">
        <v>1830000</v>
      </c>
      <c r="E20" s="23" t="s">
        <v>679</v>
      </c>
      <c r="F20" s="23" t="str">
        <f t="shared" si="0"/>
        <v>rtdc.l.rtdc.4008:itc</v>
      </c>
      <c r="G20" s="8">
        <f t="shared" si="1"/>
        <v>42609.227500000001</v>
      </c>
    </row>
    <row r="21" spans="1:7" x14ac:dyDescent="0.25">
      <c r="A21" s="8">
        <v>42609.231851851851</v>
      </c>
      <c r="B21" s="23" t="s">
        <v>151</v>
      </c>
      <c r="C21" s="23" t="s">
        <v>413</v>
      </c>
      <c r="D21" s="23">
        <v>1310000</v>
      </c>
      <c r="E21" s="23" t="s">
        <v>300</v>
      </c>
      <c r="F21" s="23" t="str">
        <f t="shared" si="0"/>
        <v>rtdc.l.rtdc.4038:itc</v>
      </c>
      <c r="G21" s="8">
        <f t="shared" si="1"/>
        <v>42609.231851851851</v>
      </c>
    </row>
    <row r="22" spans="1:7" x14ac:dyDescent="0.25">
      <c r="A22" s="29">
        <v>42609.232824074075</v>
      </c>
      <c r="B22" s="23" t="s">
        <v>174</v>
      </c>
      <c r="C22" s="23" t="s">
        <v>397</v>
      </c>
      <c r="D22" s="23">
        <v>2030000</v>
      </c>
      <c r="E22" s="23" t="s">
        <v>678</v>
      </c>
      <c r="F22" s="23" t="str">
        <f t="shared" si="0"/>
        <v>rtdc.l.rtdc.4010:itc</v>
      </c>
      <c r="G22" s="8">
        <f t="shared" si="1"/>
        <v>42609.232824074075</v>
      </c>
    </row>
    <row r="23" spans="1:7" x14ac:dyDescent="0.25">
      <c r="A23" s="8">
        <v>42609.237615740742</v>
      </c>
      <c r="B23" s="23" t="s">
        <v>151</v>
      </c>
      <c r="C23" s="23" t="s">
        <v>413</v>
      </c>
      <c r="D23" s="23">
        <v>1310000</v>
      </c>
      <c r="E23" s="23" t="s">
        <v>300</v>
      </c>
      <c r="F23" s="23" t="str">
        <f t="shared" si="0"/>
        <v>rtdc.l.rtdc.4038:itc</v>
      </c>
      <c r="G23" s="8">
        <f t="shared" si="1"/>
        <v>42609.237615740742</v>
      </c>
    </row>
    <row r="24" spans="1:7" x14ac:dyDescent="0.25">
      <c r="A24" s="8">
        <v>42609.239861111113</v>
      </c>
      <c r="B24" s="23" t="s">
        <v>289</v>
      </c>
      <c r="C24" s="23" t="s">
        <v>402</v>
      </c>
      <c r="D24" s="23">
        <v>2280000</v>
      </c>
      <c r="E24" s="23" t="s">
        <v>252</v>
      </c>
      <c r="F24" s="23" t="str">
        <f t="shared" si="0"/>
        <v>rtdc.l.rtdc.4019:itc</v>
      </c>
      <c r="G24" s="8">
        <f t="shared" si="1"/>
        <v>42609.239861111113</v>
      </c>
    </row>
    <row r="25" spans="1:7" x14ac:dyDescent="0.25">
      <c r="A25" s="8">
        <v>42609.247418981482</v>
      </c>
      <c r="B25" s="23" t="s">
        <v>186</v>
      </c>
      <c r="C25" s="23" t="s">
        <v>502</v>
      </c>
      <c r="D25" s="23">
        <v>1830000</v>
      </c>
      <c r="E25" s="23" t="s">
        <v>679</v>
      </c>
      <c r="F25" s="23" t="str">
        <f t="shared" si="0"/>
        <v>rtdc.l.rtdc.4007:itc</v>
      </c>
      <c r="G25" s="8">
        <f t="shared" si="1"/>
        <v>42609.247418981482</v>
      </c>
    </row>
    <row r="26" spans="1:7" x14ac:dyDescent="0.25">
      <c r="A26" s="8">
        <v>42609.249652777777</v>
      </c>
      <c r="B26" s="23" t="s">
        <v>112</v>
      </c>
      <c r="C26" s="23" t="s">
        <v>420</v>
      </c>
      <c r="D26" s="23">
        <v>1260000</v>
      </c>
      <c r="E26" s="23" t="s">
        <v>677</v>
      </c>
      <c r="F26" s="23" t="str">
        <f t="shared" si="0"/>
        <v>rtdc.l.rtdc.4014:itc</v>
      </c>
      <c r="G26" s="8">
        <f t="shared" si="1"/>
        <v>42609.249652777777</v>
      </c>
    </row>
    <row r="27" spans="1:7" x14ac:dyDescent="0.25">
      <c r="A27" s="8">
        <v>42609.253761574073</v>
      </c>
      <c r="B27" s="23" t="s">
        <v>115</v>
      </c>
      <c r="C27" s="23" t="s">
        <v>409</v>
      </c>
      <c r="D27" s="23">
        <v>2010000</v>
      </c>
      <c r="E27" s="23" t="s">
        <v>251</v>
      </c>
      <c r="F27" s="23" t="str">
        <f t="shared" si="0"/>
        <v>rtdc.l.rtdc.4032:itc</v>
      </c>
      <c r="G27" s="8">
        <f t="shared" si="1"/>
        <v>42609.253761574073</v>
      </c>
    </row>
    <row r="28" spans="1:7" x14ac:dyDescent="0.25">
      <c r="A28" s="8">
        <v>42609.254525462966</v>
      </c>
      <c r="B28" s="23" t="s">
        <v>151</v>
      </c>
      <c r="C28" s="23" t="s">
        <v>413</v>
      </c>
      <c r="D28" s="23">
        <v>1310000</v>
      </c>
      <c r="E28" s="23" t="s">
        <v>300</v>
      </c>
      <c r="F28" s="23" t="str">
        <f t="shared" si="0"/>
        <v>rtdc.l.rtdc.4038:itc</v>
      </c>
      <c r="G28" s="8">
        <f t="shared" si="1"/>
        <v>42609.254525462966</v>
      </c>
    </row>
    <row r="29" spans="1:7" x14ac:dyDescent="0.25">
      <c r="A29" s="8">
        <v>42609.256539351853</v>
      </c>
      <c r="B29" s="23" t="s">
        <v>253</v>
      </c>
      <c r="C29" s="23" t="s">
        <v>427</v>
      </c>
      <c r="D29" s="23">
        <v>1990000</v>
      </c>
      <c r="E29" s="23" t="s">
        <v>299</v>
      </c>
      <c r="F29" s="23" t="str">
        <f t="shared" si="0"/>
        <v>rtdc.l.rtdc.4025:itc</v>
      </c>
      <c r="G29" s="8">
        <f t="shared" si="1"/>
        <v>42609.256539351853</v>
      </c>
    </row>
    <row r="30" spans="1:7" x14ac:dyDescent="0.25">
      <c r="A30" s="8">
        <v>42609.256655092591</v>
      </c>
      <c r="B30" s="23" t="s">
        <v>174</v>
      </c>
      <c r="C30" s="23" t="s">
        <v>397</v>
      </c>
      <c r="D30" s="23">
        <v>2030000</v>
      </c>
      <c r="E30" s="23" t="s">
        <v>678</v>
      </c>
      <c r="F30" s="23" t="str">
        <f t="shared" si="0"/>
        <v>rtdc.l.rtdc.4010:itc</v>
      </c>
      <c r="G30" s="8">
        <f t="shared" si="1"/>
        <v>42609.256655092591</v>
      </c>
    </row>
    <row r="31" spans="1:7" x14ac:dyDescent="0.25">
      <c r="A31" s="8">
        <v>42609.264143518521</v>
      </c>
      <c r="B31" s="23" t="s">
        <v>112</v>
      </c>
      <c r="C31" s="23" t="s">
        <v>420</v>
      </c>
      <c r="D31" s="23">
        <v>1260000</v>
      </c>
      <c r="E31" s="23" t="s">
        <v>677</v>
      </c>
      <c r="F31" s="23" t="str">
        <f t="shared" si="0"/>
        <v>rtdc.l.rtdc.4014:itc</v>
      </c>
      <c r="G31" s="8">
        <f t="shared" si="1"/>
        <v>42609.264143518521</v>
      </c>
    </row>
    <row r="32" spans="1:7" x14ac:dyDescent="0.25">
      <c r="A32" s="8">
        <v>42609.266516203701</v>
      </c>
      <c r="B32" s="23" t="s">
        <v>289</v>
      </c>
      <c r="C32" s="23" t="s">
        <v>402</v>
      </c>
      <c r="D32" s="23">
        <v>2280000</v>
      </c>
      <c r="E32" s="23" t="s">
        <v>252</v>
      </c>
      <c r="F32" s="23" t="str">
        <f t="shared" si="0"/>
        <v>rtdc.l.rtdc.4019:itc</v>
      </c>
      <c r="G32" s="8">
        <f t="shared" si="1"/>
        <v>42609.266516203701</v>
      </c>
    </row>
    <row r="33" spans="1:7" x14ac:dyDescent="0.25">
      <c r="A33" s="8">
        <v>42609.26798611111</v>
      </c>
      <c r="B33" s="23" t="s">
        <v>92</v>
      </c>
      <c r="C33" s="23" t="s">
        <v>411</v>
      </c>
      <c r="D33" s="23">
        <v>1760000</v>
      </c>
      <c r="E33" s="23" t="s">
        <v>301</v>
      </c>
      <c r="F33" s="23" t="str">
        <f t="shared" si="0"/>
        <v>rtdc.l.rtdc.4030:itc</v>
      </c>
      <c r="G33" s="8">
        <f t="shared" si="1"/>
        <v>42609.26798611111</v>
      </c>
    </row>
    <row r="34" spans="1:7" x14ac:dyDescent="0.25">
      <c r="A34" s="8">
        <v>42609.26971064815</v>
      </c>
      <c r="B34" s="23" t="s">
        <v>173</v>
      </c>
      <c r="C34" s="23" t="s">
        <v>430</v>
      </c>
      <c r="D34" s="23">
        <v>2030000</v>
      </c>
      <c r="E34" s="23" t="s">
        <v>678</v>
      </c>
      <c r="F34" s="23" t="str">
        <f t="shared" si="0"/>
        <v>rtdc.l.rtdc.4009:itc</v>
      </c>
      <c r="G34" s="8">
        <f t="shared" si="1"/>
        <v>42609.26971064815</v>
      </c>
    </row>
    <row r="35" spans="1:7" x14ac:dyDescent="0.25">
      <c r="A35" s="8">
        <v>42609.270462962966</v>
      </c>
      <c r="B35" s="23" t="s">
        <v>92</v>
      </c>
      <c r="C35" s="23" t="s">
        <v>411</v>
      </c>
      <c r="D35" s="23">
        <v>1760000</v>
      </c>
      <c r="E35" s="23" t="s">
        <v>301</v>
      </c>
      <c r="F35" s="23" t="str">
        <f t="shared" si="0"/>
        <v>rtdc.l.rtdc.4030:itc</v>
      </c>
      <c r="G35" s="8">
        <f t="shared" si="1"/>
        <v>42609.270462962966</v>
      </c>
    </row>
    <row r="36" spans="1:7" x14ac:dyDescent="0.25">
      <c r="A36" s="8">
        <v>42609.275543981479</v>
      </c>
      <c r="B36" s="23" t="s">
        <v>169</v>
      </c>
      <c r="C36" s="23" t="s">
        <v>505</v>
      </c>
      <c r="D36" s="23">
        <v>1830000</v>
      </c>
      <c r="E36" s="23" t="s">
        <v>679</v>
      </c>
      <c r="F36" s="23" t="str">
        <f t="shared" si="0"/>
        <v>rtdc.l.rtdc.4008:itc</v>
      </c>
      <c r="G36" s="8">
        <f t="shared" si="1"/>
        <v>42609.275543981479</v>
      </c>
    </row>
    <row r="37" spans="1:7" x14ac:dyDescent="0.25">
      <c r="A37" s="8">
        <v>42609.278229166666</v>
      </c>
      <c r="B37" s="23" t="s">
        <v>144</v>
      </c>
      <c r="C37" s="23" t="s">
        <v>418</v>
      </c>
      <c r="D37" s="23">
        <v>1310000</v>
      </c>
      <c r="E37" s="23" t="s">
        <v>300</v>
      </c>
      <c r="F37" s="23" t="str">
        <f t="shared" si="0"/>
        <v>rtdc.l.rtdc.4037:itc</v>
      </c>
      <c r="G37" s="8">
        <f t="shared" si="1"/>
        <v>42609.278229166666</v>
      </c>
    </row>
    <row r="38" spans="1:7" x14ac:dyDescent="0.25">
      <c r="A38" s="8">
        <v>42609.289247685185</v>
      </c>
      <c r="B38" s="23" t="s">
        <v>186</v>
      </c>
      <c r="C38" s="23" t="s">
        <v>508</v>
      </c>
      <c r="D38" s="23">
        <v>1830000</v>
      </c>
      <c r="E38" s="23" t="s">
        <v>679</v>
      </c>
      <c r="F38" s="23" t="str">
        <f t="shared" si="0"/>
        <v>rtdc.l.rtdc.4007:itc</v>
      </c>
      <c r="G38" s="8">
        <f t="shared" si="1"/>
        <v>42609.289247685185</v>
      </c>
    </row>
    <row r="39" spans="1:7" x14ac:dyDescent="0.25">
      <c r="A39" s="8">
        <v>42609.295439814814</v>
      </c>
      <c r="B39" s="23" t="s">
        <v>90</v>
      </c>
      <c r="C39" s="23" t="s">
        <v>425</v>
      </c>
      <c r="D39" s="23">
        <v>1260000</v>
      </c>
      <c r="E39" s="23" t="s">
        <v>677</v>
      </c>
      <c r="F39" s="23" t="str">
        <f t="shared" si="0"/>
        <v>rtdc.l.rtdc.4013:itc</v>
      </c>
      <c r="G39" s="8">
        <f t="shared" si="1"/>
        <v>42609.295439814814</v>
      </c>
    </row>
    <row r="40" spans="1:7" x14ac:dyDescent="0.25">
      <c r="A40" s="8">
        <v>42609.2966087963</v>
      </c>
      <c r="B40" s="28" t="s">
        <v>253</v>
      </c>
      <c r="C40" s="23" t="s">
        <v>427</v>
      </c>
      <c r="D40" s="23">
        <v>1990000</v>
      </c>
      <c r="E40" s="23" t="s">
        <v>299</v>
      </c>
      <c r="F40" s="23" t="str">
        <f t="shared" si="0"/>
        <v>rtdc.l.rtdc.4025:itc</v>
      </c>
      <c r="G40" s="8">
        <f t="shared" si="1"/>
        <v>42609.2966087963</v>
      </c>
    </row>
    <row r="41" spans="1:7" x14ac:dyDescent="0.25">
      <c r="A41" s="8">
        <v>42609.298055555555</v>
      </c>
      <c r="B41" s="23" t="s">
        <v>253</v>
      </c>
      <c r="C41" s="23" t="s">
        <v>427</v>
      </c>
      <c r="D41" s="23">
        <v>1990000</v>
      </c>
      <c r="E41" s="23" t="s">
        <v>299</v>
      </c>
      <c r="F41" s="23" t="str">
        <f t="shared" si="0"/>
        <v>rtdc.l.rtdc.4025:itc</v>
      </c>
      <c r="G41" s="8">
        <f t="shared" si="1"/>
        <v>42609.298055555555</v>
      </c>
    </row>
    <row r="42" spans="1:7" x14ac:dyDescent="0.25">
      <c r="A42" s="8">
        <v>42609.300138888888</v>
      </c>
      <c r="B42" s="23" t="s">
        <v>253</v>
      </c>
      <c r="C42" s="23" t="s">
        <v>427</v>
      </c>
      <c r="D42" s="23">
        <v>1990000</v>
      </c>
      <c r="E42" s="23" t="s">
        <v>299</v>
      </c>
      <c r="F42" s="23" t="str">
        <f t="shared" si="0"/>
        <v>rtdc.l.rtdc.4025:itc</v>
      </c>
      <c r="G42" s="8">
        <f t="shared" si="1"/>
        <v>42609.300138888888</v>
      </c>
    </row>
    <row r="43" spans="1:7" x14ac:dyDescent="0.25">
      <c r="A43" s="8">
        <v>42609.302789351852</v>
      </c>
      <c r="B43" s="23" t="s">
        <v>253</v>
      </c>
      <c r="C43" s="23" t="s">
        <v>427</v>
      </c>
      <c r="D43" s="23">
        <v>1990000</v>
      </c>
      <c r="E43" s="23" t="s">
        <v>299</v>
      </c>
      <c r="F43" s="23" t="str">
        <f t="shared" si="0"/>
        <v>rtdc.l.rtdc.4025:itc</v>
      </c>
      <c r="G43" s="8">
        <f t="shared" si="1"/>
        <v>42609.302789351852</v>
      </c>
    </row>
    <row r="44" spans="1:7" x14ac:dyDescent="0.25">
      <c r="A44" s="8">
        <v>42609.309490740743</v>
      </c>
      <c r="B44" s="23" t="s">
        <v>291</v>
      </c>
      <c r="C44" s="23" t="s">
        <v>433</v>
      </c>
      <c r="D44" s="23">
        <v>2280000</v>
      </c>
      <c r="E44" s="23" t="s">
        <v>252</v>
      </c>
      <c r="F44" s="23" t="str">
        <f t="shared" si="0"/>
        <v>rtdc.l.rtdc.4020:itc</v>
      </c>
      <c r="G44" s="8">
        <f t="shared" si="1"/>
        <v>42609.309490740743</v>
      </c>
    </row>
    <row r="45" spans="1:7" x14ac:dyDescent="0.25">
      <c r="A45" s="8">
        <v>42609.316979166666</v>
      </c>
      <c r="B45" s="23" t="s">
        <v>169</v>
      </c>
      <c r="C45" s="23" t="s">
        <v>511</v>
      </c>
      <c r="D45" s="23">
        <v>1830000</v>
      </c>
      <c r="E45" s="23" t="s">
        <v>679</v>
      </c>
      <c r="F45" s="23" t="str">
        <f t="shared" si="0"/>
        <v>rtdc.l.rtdc.4008:itc</v>
      </c>
      <c r="G45" s="8">
        <f t="shared" si="1"/>
        <v>42609.316979166666</v>
      </c>
    </row>
    <row r="46" spans="1:7" x14ac:dyDescent="0.25">
      <c r="A46" s="8">
        <v>42609.318379629629</v>
      </c>
      <c r="B46" s="23" t="s">
        <v>114</v>
      </c>
      <c r="C46" s="23" t="s">
        <v>435</v>
      </c>
      <c r="D46" s="23">
        <v>2010000</v>
      </c>
      <c r="E46" s="23" t="s">
        <v>251</v>
      </c>
      <c r="F46" s="23" t="str">
        <f t="shared" si="0"/>
        <v>rtdc.l.rtdc.4031:itc</v>
      </c>
      <c r="G46" s="8">
        <f t="shared" si="1"/>
        <v>42609.318379629629</v>
      </c>
    </row>
    <row r="47" spans="1:7" x14ac:dyDescent="0.25">
      <c r="A47" s="8">
        <v>42609.324050925927</v>
      </c>
      <c r="B47" s="23" t="s">
        <v>254</v>
      </c>
      <c r="C47" s="23" t="s">
        <v>429</v>
      </c>
      <c r="D47" s="23">
        <v>1990000</v>
      </c>
      <c r="E47" s="23" t="s">
        <v>299</v>
      </c>
      <c r="F47" s="23" t="str">
        <f t="shared" si="0"/>
        <v>rtdc.l.rtdc.4026:itc</v>
      </c>
      <c r="G47" s="8">
        <f t="shared" si="1"/>
        <v>42609.324050925927</v>
      </c>
    </row>
    <row r="48" spans="1:7" x14ac:dyDescent="0.25">
      <c r="A48" s="8">
        <v>42609.330567129633</v>
      </c>
      <c r="B48" s="23" t="s">
        <v>186</v>
      </c>
      <c r="C48" s="23" t="s">
        <v>514</v>
      </c>
      <c r="D48" s="23">
        <v>1830000</v>
      </c>
      <c r="E48" s="23" t="s">
        <v>679</v>
      </c>
      <c r="F48" s="23" t="str">
        <f t="shared" si="0"/>
        <v>rtdc.l.rtdc.4007:itc</v>
      </c>
      <c r="G48" s="8">
        <f t="shared" si="1"/>
        <v>42609.330567129633</v>
      </c>
    </row>
    <row r="49" spans="1:7" x14ac:dyDescent="0.25">
      <c r="A49" s="8">
        <v>42609.332546296297</v>
      </c>
      <c r="B49" s="23" t="s">
        <v>150</v>
      </c>
      <c r="C49" s="23" t="s">
        <v>437</v>
      </c>
      <c r="D49" s="23">
        <v>1760000</v>
      </c>
      <c r="E49" s="23" t="s">
        <v>301</v>
      </c>
      <c r="F49" s="23" t="str">
        <f t="shared" si="0"/>
        <v>rtdc.l.rtdc.4042:itc</v>
      </c>
      <c r="G49" s="8">
        <f t="shared" si="1"/>
        <v>42609.332546296297</v>
      </c>
    </row>
    <row r="50" spans="1:7" x14ac:dyDescent="0.25">
      <c r="A50" s="8">
        <v>42609.336319444446</v>
      </c>
      <c r="B50" s="23" t="s">
        <v>174</v>
      </c>
      <c r="C50" s="23" t="s">
        <v>431</v>
      </c>
      <c r="D50" s="23">
        <v>2030000</v>
      </c>
      <c r="E50" s="23" t="s">
        <v>678</v>
      </c>
      <c r="F50" s="23" t="str">
        <f t="shared" si="0"/>
        <v>rtdc.l.rtdc.4010:itc</v>
      </c>
      <c r="G50" s="8">
        <f t="shared" si="1"/>
        <v>42609.336319444446</v>
      </c>
    </row>
    <row r="51" spans="1:7" x14ac:dyDescent="0.25">
      <c r="A51" s="8">
        <v>42609.337361111109</v>
      </c>
      <c r="B51" s="23" t="s">
        <v>174</v>
      </c>
      <c r="C51" s="23" t="s">
        <v>431</v>
      </c>
      <c r="D51" s="23">
        <v>2030000</v>
      </c>
      <c r="E51" s="23" t="s">
        <v>678</v>
      </c>
      <c r="F51" s="23" t="str">
        <f t="shared" si="0"/>
        <v>rtdc.l.rtdc.4010:itc</v>
      </c>
      <c r="G51" s="8">
        <f t="shared" si="1"/>
        <v>42609.337361111109</v>
      </c>
    </row>
    <row r="52" spans="1:7" x14ac:dyDescent="0.25">
      <c r="A52" s="8">
        <v>42609.339432870373</v>
      </c>
      <c r="B52" s="23" t="s">
        <v>174</v>
      </c>
      <c r="C52" s="23" t="s">
        <v>431</v>
      </c>
      <c r="D52" s="23">
        <v>2030000</v>
      </c>
      <c r="E52" s="23" t="s">
        <v>678</v>
      </c>
      <c r="F52" s="23" t="str">
        <f t="shared" si="0"/>
        <v>rtdc.l.rtdc.4010:itc</v>
      </c>
      <c r="G52" s="8">
        <f t="shared" si="1"/>
        <v>42609.339432870373</v>
      </c>
    </row>
    <row r="53" spans="1:7" x14ac:dyDescent="0.25">
      <c r="A53" s="8">
        <v>42609.342280092591</v>
      </c>
      <c r="B53" s="23" t="s">
        <v>151</v>
      </c>
      <c r="C53" s="23" t="s">
        <v>442</v>
      </c>
      <c r="D53" s="23">
        <v>1310000</v>
      </c>
      <c r="E53" s="23" t="s">
        <v>300</v>
      </c>
      <c r="F53" s="23" t="str">
        <f t="shared" si="0"/>
        <v>rtdc.l.rtdc.4038:itc</v>
      </c>
      <c r="G53" s="8">
        <f t="shared" si="1"/>
        <v>42609.342280092591</v>
      </c>
    </row>
    <row r="54" spans="1:7" x14ac:dyDescent="0.25">
      <c r="A54" s="8">
        <v>42609.344236111108</v>
      </c>
      <c r="B54" s="23" t="s">
        <v>151</v>
      </c>
      <c r="C54" s="23" t="s">
        <v>442</v>
      </c>
      <c r="D54" s="23">
        <v>1310000</v>
      </c>
      <c r="E54" s="23" t="s">
        <v>300</v>
      </c>
      <c r="F54" s="23" t="str">
        <f t="shared" si="0"/>
        <v>rtdc.l.rtdc.4038:itc</v>
      </c>
      <c r="G54" s="8">
        <f t="shared" si="1"/>
        <v>42609.344236111108</v>
      </c>
    </row>
    <row r="55" spans="1:7" x14ac:dyDescent="0.25">
      <c r="A55" s="8">
        <v>42609.346747685187</v>
      </c>
      <c r="B55" s="23" t="s">
        <v>289</v>
      </c>
      <c r="C55" s="23" t="s">
        <v>434</v>
      </c>
      <c r="D55" s="23">
        <v>2280000</v>
      </c>
      <c r="E55" s="23" t="s">
        <v>252</v>
      </c>
      <c r="F55" s="23" t="str">
        <f t="shared" si="0"/>
        <v>rtdc.l.rtdc.4019:itc</v>
      </c>
      <c r="G55" s="8">
        <f t="shared" si="1"/>
        <v>42609.346747685187</v>
      </c>
    </row>
    <row r="56" spans="1:7" x14ac:dyDescent="0.25">
      <c r="A56" s="8">
        <v>42609.354074074072</v>
      </c>
      <c r="B56" s="23" t="s">
        <v>112</v>
      </c>
      <c r="C56" s="23" t="s">
        <v>444</v>
      </c>
      <c r="D56" s="23">
        <v>1260000</v>
      </c>
      <c r="E56" s="23" t="s">
        <v>677</v>
      </c>
      <c r="F56" s="23" t="str">
        <f t="shared" si="0"/>
        <v>rtdc.l.rtdc.4014:itc</v>
      </c>
      <c r="G56" s="8">
        <f t="shared" si="1"/>
        <v>42609.354074074072</v>
      </c>
    </row>
    <row r="57" spans="1:7" x14ac:dyDescent="0.25">
      <c r="A57" s="8">
        <v>42609.354942129627</v>
      </c>
      <c r="B57" s="23" t="s">
        <v>112</v>
      </c>
      <c r="C57" s="23" t="s">
        <v>444</v>
      </c>
      <c r="D57" s="23">
        <v>1260000</v>
      </c>
      <c r="E57" s="23" t="s">
        <v>677</v>
      </c>
      <c r="F57" s="23" t="str">
        <f t="shared" si="0"/>
        <v>rtdc.l.rtdc.4014:itc</v>
      </c>
      <c r="G57" s="8">
        <f t="shared" si="1"/>
        <v>42609.354942129627</v>
      </c>
    </row>
    <row r="58" spans="1:7" x14ac:dyDescent="0.25">
      <c r="A58" s="8">
        <v>42609.357615740744</v>
      </c>
      <c r="B58" s="23" t="s">
        <v>112</v>
      </c>
      <c r="C58" s="23" t="s">
        <v>444</v>
      </c>
      <c r="D58" s="23">
        <v>1260000</v>
      </c>
      <c r="E58" s="23" t="s">
        <v>677</v>
      </c>
      <c r="F58" s="23" t="str">
        <f t="shared" si="0"/>
        <v>rtdc.l.rtdc.4014:itc</v>
      </c>
      <c r="G58" s="8">
        <f t="shared" si="1"/>
        <v>42609.357615740744</v>
      </c>
    </row>
    <row r="59" spans="1:7" x14ac:dyDescent="0.25">
      <c r="A59" s="8">
        <v>42609.35900462963</v>
      </c>
      <c r="B59" s="23" t="s">
        <v>169</v>
      </c>
      <c r="C59" s="23" t="s">
        <v>516</v>
      </c>
      <c r="D59" s="23">
        <v>1830000</v>
      </c>
      <c r="E59" s="23" t="s">
        <v>679</v>
      </c>
      <c r="F59" s="23" t="str">
        <f t="shared" si="0"/>
        <v>rtdc.l.rtdc.4008:itc</v>
      </c>
      <c r="G59" s="8">
        <f t="shared" si="1"/>
        <v>42609.35900462963</v>
      </c>
    </row>
    <row r="60" spans="1:7" x14ac:dyDescent="0.25">
      <c r="A60" s="8">
        <v>42609.361932870372</v>
      </c>
      <c r="B60" s="23" t="s">
        <v>115</v>
      </c>
      <c r="C60" s="23" t="s">
        <v>436</v>
      </c>
      <c r="D60" s="23">
        <v>2010000</v>
      </c>
      <c r="E60" s="23" t="s">
        <v>251</v>
      </c>
      <c r="F60" s="23" t="str">
        <f t="shared" si="0"/>
        <v>rtdc.l.rtdc.4032:itc</v>
      </c>
      <c r="G60" s="8">
        <f t="shared" si="1"/>
        <v>42609.361932870372</v>
      </c>
    </row>
    <row r="61" spans="1:7" x14ac:dyDescent="0.25">
      <c r="A61" s="8">
        <v>42609.372013888889</v>
      </c>
      <c r="B61" s="23" t="s">
        <v>186</v>
      </c>
      <c r="C61" s="23" t="s">
        <v>518</v>
      </c>
      <c r="D61" s="23">
        <v>1830000</v>
      </c>
      <c r="E61" s="23" t="s">
        <v>679</v>
      </c>
      <c r="F61" s="23" t="str">
        <f t="shared" si="0"/>
        <v>rtdc.l.rtdc.4007:itc</v>
      </c>
      <c r="G61" s="8">
        <f t="shared" si="1"/>
        <v>42609.372013888889</v>
      </c>
    </row>
    <row r="62" spans="1:7" x14ac:dyDescent="0.25">
      <c r="A62" s="8">
        <v>42609.37327546296</v>
      </c>
      <c r="B62" s="23" t="s">
        <v>185</v>
      </c>
      <c r="C62" s="23" t="s">
        <v>440</v>
      </c>
      <c r="D62" s="23">
        <v>1760000</v>
      </c>
      <c r="E62" s="23" t="s">
        <v>301</v>
      </c>
      <c r="F62" s="23" t="str">
        <f t="shared" si="0"/>
        <v>rtdc.l.rtdc.4041:itc</v>
      </c>
      <c r="G62" s="8">
        <f t="shared" si="1"/>
        <v>42609.37327546296</v>
      </c>
    </row>
    <row r="63" spans="1:7" x14ac:dyDescent="0.25">
      <c r="A63" s="8">
        <v>42609.374826388892</v>
      </c>
      <c r="B63" s="23" t="s">
        <v>253</v>
      </c>
      <c r="C63" s="23" t="s">
        <v>448</v>
      </c>
      <c r="D63" s="23">
        <v>1990000</v>
      </c>
      <c r="E63" s="23" t="s">
        <v>299</v>
      </c>
      <c r="F63" s="23" t="str">
        <f t="shared" si="0"/>
        <v>rtdc.l.rtdc.4025:itc</v>
      </c>
      <c r="G63" s="8">
        <f t="shared" si="1"/>
        <v>42609.374826388892</v>
      </c>
    </row>
    <row r="64" spans="1:7" x14ac:dyDescent="0.25">
      <c r="A64" s="29">
        <v>42609.382303240738</v>
      </c>
      <c r="B64" s="23" t="s">
        <v>173</v>
      </c>
      <c r="C64" s="23" t="s">
        <v>451</v>
      </c>
      <c r="D64" s="23">
        <v>2030000</v>
      </c>
      <c r="E64" s="23" t="s">
        <v>678</v>
      </c>
      <c r="F64" s="23" t="str">
        <f t="shared" si="0"/>
        <v>rtdc.l.rtdc.4009:itc</v>
      </c>
      <c r="G64" s="8">
        <f t="shared" si="1"/>
        <v>42609.382303240738</v>
      </c>
    </row>
    <row r="65" spans="1:7" x14ac:dyDescent="0.25">
      <c r="A65" s="8">
        <v>42609.383645833332</v>
      </c>
      <c r="B65" s="23" t="s">
        <v>144</v>
      </c>
      <c r="C65" s="23" t="s">
        <v>443</v>
      </c>
      <c r="D65" s="23">
        <v>1310000</v>
      </c>
      <c r="E65" s="23" t="s">
        <v>300</v>
      </c>
      <c r="F65" s="23" t="str">
        <f t="shared" si="0"/>
        <v>rtdc.l.rtdc.4037:itc</v>
      </c>
      <c r="G65" s="8">
        <f t="shared" si="1"/>
        <v>42609.383645833332</v>
      </c>
    </row>
    <row r="66" spans="1:7" x14ac:dyDescent="0.25">
      <c r="A66" s="8">
        <v>42609.39502314815</v>
      </c>
      <c r="B66" s="23" t="s">
        <v>90</v>
      </c>
      <c r="C66" s="23" t="s">
        <v>446</v>
      </c>
      <c r="D66" s="23">
        <v>1260000</v>
      </c>
      <c r="E66" s="23" t="s">
        <v>677</v>
      </c>
      <c r="F66" s="23" t="str">
        <f t="shared" ref="F66:F129" si="2">B66</f>
        <v>rtdc.l.rtdc.4013:itc</v>
      </c>
      <c r="G66" s="8">
        <f t="shared" ref="G66:G129" si="3">A66</f>
        <v>42609.39502314815</v>
      </c>
    </row>
    <row r="67" spans="1:7" x14ac:dyDescent="0.25">
      <c r="A67" s="8">
        <v>42609.400034722225</v>
      </c>
      <c r="B67" s="23" t="s">
        <v>169</v>
      </c>
      <c r="C67" s="23" t="s">
        <v>520</v>
      </c>
      <c r="D67" s="23">
        <v>1830000</v>
      </c>
      <c r="E67" s="23" t="s">
        <v>679</v>
      </c>
      <c r="F67" s="23" t="str">
        <f t="shared" si="2"/>
        <v>rtdc.l.rtdc.4008:itc</v>
      </c>
      <c r="G67" s="8">
        <f t="shared" si="3"/>
        <v>42609.400034722225</v>
      </c>
    </row>
    <row r="68" spans="1:7" x14ac:dyDescent="0.25">
      <c r="A68" s="8">
        <v>42609.402094907404</v>
      </c>
      <c r="B68" s="23" t="s">
        <v>254</v>
      </c>
      <c r="C68" s="23" t="s">
        <v>450</v>
      </c>
      <c r="D68" s="23">
        <v>1990000</v>
      </c>
      <c r="E68" s="23" t="s">
        <v>299</v>
      </c>
      <c r="F68" s="23" t="str">
        <f t="shared" si="2"/>
        <v>rtdc.l.rtdc.4026:itc</v>
      </c>
      <c r="G68" s="8">
        <f t="shared" si="3"/>
        <v>42609.402094907404</v>
      </c>
    </row>
    <row r="69" spans="1:7" x14ac:dyDescent="0.25">
      <c r="A69" s="8">
        <v>42609.403356481482</v>
      </c>
      <c r="B69" s="23" t="s">
        <v>291</v>
      </c>
      <c r="C69" s="23" t="s">
        <v>454</v>
      </c>
      <c r="D69" s="23">
        <v>2280000</v>
      </c>
      <c r="E69" s="23" t="s">
        <v>252</v>
      </c>
      <c r="F69" s="23" t="str">
        <f t="shared" si="2"/>
        <v>rtdc.l.rtdc.4020:itc</v>
      </c>
      <c r="G69" s="8">
        <f t="shared" si="3"/>
        <v>42609.403356481482</v>
      </c>
    </row>
    <row r="70" spans="1:7" x14ac:dyDescent="0.25">
      <c r="A70" s="8">
        <v>42609.404513888891</v>
      </c>
      <c r="B70" s="23" t="s">
        <v>114</v>
      </c>
      <c r="C70" s="23" t="s">
        <v>458</v>
      </c>
      <c r="D70" s="23">
        <v>2010000</v>
      </c>
      <c r="E70" s="23" t="s">
        <v>251</v>
      </c>
      <c r="F70" s="23" t="str">
        <f t="shared" si="2"/>
        <v>rtdc.l.rtdc.4031:itc</v>
      </c>
      <c r="G70" s="8">
        <f t="shared" si="3"/>
        <v>42609.404513888891</v>
      </c>
    </row>
    <row r="71" spans="1:7" x14ac:dyDescent="0.25">
      <c r="A71" s="8">
        <v>42609.412905092591</v>
      </c>
      <c r="B71" s="23" t="s">
        <v>150</v>
      </c>
      <c r="C71" s="23" t="s">
        <v>462</v>
      </c>
      <c r="D71" s="23">
        <v>1760000</v>
      </c>
      <c r="E71" s="23" t="s">
        <v>301</v>
      </c>
      <c r="F71" s="23" t="str">
        <f t="shared" si="2"/>
        <v>rtdc.l.rtdc.4042:itc</v>
      </c>
      <c r="G71" s="8">
        <f t="shared" si="3"/>
        <v>42609.412905092591</v>
      </c>
    </row>
    <row r="72" spans="1:7" x14ac:dyDescent="0.25">
      <c r="A72" s="8">
        <v>42609.413634259261</v>
      </c>
      <c r="B72" s="23" t="s">
        <v>186</v>
      </c>
      <c r="C72" s="23" t="s">
        <v>522</v>
      </c>
      <c r="D72" s="23">
        <v>1830000</v>
      </c>
      <c r="E72" s="23" t="s">
        <v>679</v>
      </c>
      <c r="F72" s="23" t="str">
        <f t="shared" si="2"/>
        <v>rtdc.l.rtdc.4007:itc</v>
      </c>
      <c r="G72" s="8">
        <f t="shared" si="3"/>
        <v>42609.413634259261</v>
      </c>
    </row>
    <row r="73" spans="1:7" x14ac:dyDescent="0.25">
      <c r="A73" s="8">
        <v>42609.414699074077</v>
      </c>
      <c r="B73" s="23" t="s">
        <v>150</v>
      </c>
      <c r="C73" s="23" t="s">
        <v>462</v>
      </c>
      <c r="D73" s="23">
        <v>1760000</v>
      </c>
      <c r="E73" s="23" t="s">
        <v>301</v>
      </c>
      <c r="F73" s="23" t="str">
        <f t="shared" si="2"/>
        <v>rtdc.l.rtdc.4042:itc</v>
      </c>
      <c r="G73" s="8">
        <f t="shared" si="3"/>
        <v>42609.414699074077</v>
      </c>
    </row>
    <row r="74" spans="1:7" x14ac:dyDescent="0.25">
      <c r="A74" s="8">
        <v>42609.415138888886</v>
      </c>
      <c r="B74" s="23" t="s">
        <v>174</v>
      </c>
      <c r="C74" s="23" t="s">
        <v>452</v>
      </c>
      <c r="D74" s="23">
        <v>2030000</v>
      </c>
      <c r="E74" s="23" t="s">
        <v>678</v>
      </c>
      <c r="F74" s="23" t="str">
        <f t="shared" si="2"/>
        <v>rtdc.l.rtdc.4010:itc</v>
      </c>
      <c r="G74" s="8">
        <f t="shared" si="3"/>
        <v>42609.415138888886</v>
      </c>
    </row>
    <row r="75" spans="1:7" x14ac:dyDescent="0.25">
      <c r="A75" s="8">
        <v>42609.426238425927</v>
      </c>
      <c r="B75" s="23" t="s">
        <v>151</v>
      </c>
      <c r="C75" s="23" t="s">
        <v>680</v>
      </c>
      <c r="D75" s="23">
        <v>1310000</v>
      </c>
      <c r="E75" s="23" t="s">
        <v>300</v>
      </c>
      <c r="F75" s="23" t="str">
        <f t="shared" si="2"/>
        <v>rtdc.l.rtdc.4038:itc</v>
      </c>
      <c r="G75" s="8">
        <f t="shared" si="3"/>
        <v>42609.426238425927</v>
      </c>
    </row>
    <row r="76" spans="1:7" x14ac:dyDescent="0.25">
      <c r="A76" s="8">
        <v>42609.427407407406</v>
      </c>
      <c r="B76" s="23" t="s">
        <v>151</v>
      </c>
      <c r="C76" s="23" t="s">
        <v>680</v>
      </c>
      <c r="D76" s="23">
        <v>1310000</v>
      </c>
      <c r="E76" s="23" t="s">
        <v>300</v>
      </c>
      <c r="F76" s="23" t="str">
        <f t="shared" si="2"/>
        <v>rtdc.l.rtdc.4038:itc</v>
      </c>
      <c r="G76" s="8">
        <f t="shared" si="3"/>
        <v>42609.427407407406</v>
      </c>
    </row>
    <row r="77" spans="1:7" x14ac:dyDescent="0.25">
      <c r="A77" s="8">
        <v>42609.42827546296</v>
      </c>
      <c r="B77" s="23" t="s">
        <v>151</v>
      </c>
      <c r="C77" s="23" t="s">
        <v>680</v>
      </c>
      <c r="D77" s="23">
        <v>1310000</v>
      </c>
      <c r="E77" s="23" t="s">
        <v>300</v>
      </c>
      <c r="F77" s="23" t="str">
        <f t="shared" si="2"/>
        <v>rtdc.l.rtdc.4038:itc</v>
      </c>
      <c r="G77" s="8">
        <f t="shared" si="3"/>
        <v>42609.42827546296</v>
      </c>
    </row>
    <row r="78" spans="1:7" x14ac:dyDescent="0.25">
      <c r="A78" s="8">
        <v>42609.429178240738</v>
      </c>
      <c r="B78" s="23" t="s">
        <v>112</v>
      </c>
      <c r="C78" s="23" t="s">
        <v>466</v>
      </c>
      <c r="D78" s="23">
        <v>1740000</v>
      </c>
      <c r="E78" s="23" t="s">
        <v>681</v>
      </c>
      <c r="F78" s="23" t="str">
        <f t="shared" si="2"/>
        <v>rtdc.l.rtdc.4014:itc</v>
      </c>
      <c r="G78" s="8">
        <f t="shared" si="3"/>
        <v>42609.429178240738</v>
      </c>
    </row>
    <row r="79" spans="1:7" x14ac:dyDescent="0.25">
      <c r="A79" s="8">
        <v>42609.433067129627</v>
      </c>
      <c r="B79" s="23" t="s">
        <v>151</v>
      </c>
      <c r="C79" s="23" t="s">
        <v>680</v>
      </c>
      <c r="D79" s="23">
        <v>1310000</v>
      </c>
      <c r="E79" s="23" t="s">
        <v>300</v>
      </c>
      <c r="F79" s="23" t="str">
        <f t="shared" si="2"/>
        <v>rtdc.l.rtdc.4038:itc</v>
      </c>
      <c r="G79" s="8">
        <f t="shared" si="3"/>
        <v>42609.433067129627</v>
      </c>
    </row>
    <row r="80" spans="1:7" x14ac:dyDescent="0.25">
      <c r="A80" s="8">
        <v>42609.433078703703</v>
      </c>
      <c r="B80" s="23" t="s">
        <v>289</v>
      </c>
      <c r="C80" s="23" t="s">
        <v>456</v>
      </c>
      <c r="D80" s="23">
        <v>2280000</v>
      </c>
      <c r="E80" s="23" t="s">
        <v>252</v>
      </c>
      <c r="F80" s="23" t="str">
        <f t="shared" si="2"/>
        <v>rtdc.l.rtdc.4019:itc</v>
      </c>
      <c r="G80" s="8">
        <f t="shared" si="3"/>
        <v>42609.433078703703</v>
      </c>
    </row>
    <row r="81" spans="1:7" x14ac:dyDescent="0.25">
      <c r="A81" s="8">
        <v>42609.434490740743</v>
      </c>
      <c r="B81" s="23" t="s">
        <v>151</v>
      </c>
      <c r="C81" s="23" t="s">
        <v>680</v>
      </c>
      <c r="D81" s="23">
        <v>1310000</v>
      </c>
      <c r="E81" s="23" t="s">
        <v>300</v>
      </c>
      <c r="F81" s="23" t="str">
        <f t="shared" si="2"/>
        <v>rtdc.l.rtdc.4038:itc</v>
      </c>
      <c r="G81" s="8">
        <f t="shared" si="3"/>
        <v>42609.434490740743</v>
      </c>
    </row>
    <row r="82" spans="1:7" x14ac:dyDescent="0.25">
      <c r="A82" s="8">
        <v>42609.437291666669</v>
      </c>
      <c r="B82" s="23" t="s">
        <v>115</v>
      </c>
      <c r="C82" s="23" t="s">
        <v>460</v>
      </c>
      <c r="D82" s="23">
        <v>2010000</v>
      </c>
      <c r="E82" s="23" t="s">
        <v>251</v>
      </c>
      <c r="F82" s="23" t="str">
        <f t="shared" si="2"/>
        <v>rtdc.l.rtdc.4032:itc</v>
      </c>
      <c r="G82" s="8">
        <f t="shared" si="3"/>
        <v>42609.437291666669</v>
      </c>
    </row>
    <row r="83" spans="1:7" x14ac:dyDescent="0.25">
      <c r="A83" s="8">
        <v>42609.440648148149</v>
      </c>
      <c r="B83" s="23" t="s">
        <v>253</v>
      </c>
      <c r="C83" s="23" t="s">
        <v>469</v>
      </c>
      <c r="D83" s="23">
        <v>1990000</v>
      </c>
      <c r="E83" s="23" t="s">
        <v>299</v>
      </c>
      <c r="F83" s="23" t="str">
        <f t="shared" si="2"/>
        <v>rtdc.l.rtdc.4025:itc</v>
      </c>
      <c r="G83" s="8">
        <f t="shared" si="3"/>
        <v>42609.440648148149</v>
      </c>
    </row>
    <row r="84" spans="1:7" x14ac:dyDescent="0.25">
      <c r="A84" s="8">
        <v>42609.441111111111</v>
      </c>
      <c r="B84" s="23" t="s">
        <v>151</v>
      </c>
      <c r="C84" s="23" t="s">
        <v>680</v>
      </c>
      <c r="D84" s="23">
        <v>1310000</v>
      </c>
      <c r="E84" s="23" t="s">
        <v>300</v>
      </c>
      <c r="F84" s="23" t="str">
        <f t="shared" si="2"/>
        <v>rtdc.l.rtdc.4038:itc</v>
      </c>
      <c r="G84" s="8">
        <f t="shared" si="3"/>
        <v>42609.441111111111</v>
      </c>
    </row>
    <row r="85" spans="1:7" x14ac:dyDescent="0.25">
      <c r="A85" s="8">
        <v>42609.441828703704</v>
      </c>
      <c r="B85" s="23" t="s">
        <v>253</v>
      </c>
      <c r="C85" s="23" t="s">
        <v>469</v>
      </c>
      <c r="D85" s="23">
        <v>1990000</v>
      </c>
      <c r="E85" s="23" t="s">
        <v>299</v>
      </c>
      <c r="F85" s="23" t="str">
        <f t="shared" si="2"/>
        <v>rtdc.l.rtdc.4025:itc</v>
      </c>
      <c r="G85" s="8">
        <f t="shared" si="3"/>
        <v>42609.441828703704</v>
      </c>
    </row>
    <row r="86" spans="1:7" x14ac:dyDescent="0.25">
      <c r="A86" s="8">
        <v>42609.442372685182</v>
      </c>
      <c r="B86" s="23" t="s">
        <v>169</v>
      </c>
      <c r="C86" s="23" t="s">
        <v>526</v>
      </c>
      <c r="D86" s="23">
        <v>1830000</v>
      </c>
      <c r="E86" s="23" t="s">
        <v>679</v>
      </c>
      <c r="F86" s="23" t="str">
        <f t="shared" si="2"/>
        <v>rtdc.l.rtdc.4008:itc</v>
      </c>
      <c r="G86" s="8">
        <f t="shared" si="3"/>
        <v>42609.442372685182</v>
      </c>
    </row>
    <row r="87" spans="1:7" x14ac:dyDescent="0.25">
      <c r="A87" s="8">
        <v>42609.443437499998</v>
      </c>
      <c r="B87" s="23" t="s">
        <v>253</v>
      </c>
      <c r="C87" s="23" t="s">
        <v>469</v>
      </c>
      <c r="D87" s="23">
        <v>1990000</v>
      </c>
      <c r="E87" s="23" t="s">
        <v>299</v>
      </c>
      <c r="F87" s="23" t="str">
        <f t="shared" si="2"/>
        <v>rtdc.l.rtdc.4025:itc</v>
      </c>
      <c r="G87" s="8">
        <f t="shared" si="3"/>
        <v>42609.443437499998</v>
      </c>
    </row>
    <row r="88" spans="1:7" x14ac:dyDescent="0.25">
      <c r="A88" s="8">
        <v>42609.450949074075</v>
      </c>
      <c r="B88" s="23" t="s">
        <v>173</v>
      </c>
      <c r="C88" s="23" t="s">
        <v>471</v>
      </c>
      <c r="D88" s="23">
        <v>880000</v>
      </c>
      <c r="E88" s="23" t="s">
        <v>305</v>
      </c>
      <c r="F88" s="23" t="str">
        <f t="shared" si="2"/>
        <v>rtdc.l.rtdc.4009:itc</v>
      </c>
      <c r="G88" s="8">
        <f t="shared" si="3"/>
        <v>42609.450949074075</v>
      </c>
    </row>
    <row r="89" spans="1:7" x14ac:dyDescent="0.25">
      <c r="A89" s="8">
        <v>42609.453796296293</v>
      </c>
      <c r="B89" s="23" t="s">
        <v>185</v>
      </c>
      <c r="C89" s="23" t="s">
        <v>464</v>
      </c>
      <c r="D89" s="23">
        <v>1760000</v>
      </c>
      <c r="E89" s="23" t="s">
        <v>301</v>
      </c>
      <c r="F89" s="23" t="str">
        <f t="shared" si="2"/>
        <v>rtdc.l.rtdc.4041:itc</v>
      </c>
      <c r="G89" s="8">
        <f t="shared" si="3"/>
        <v>42609.453796296293</v>
      </c>
    </row>
    <row r="90" spans="1:7" x14ac:dyDescent="0.25">
      <c r="A90" s="8">
        <v>42609.455590277779</v>
      </c>
      <c r="B90" s="23" t="s">
        <v>186</v>
      </c>
      <c r="C90" s="23" t="s">
        <v>528</v>
      </c>
      <c r="D90" s="23">
        <v>1830000</v>
      </c>
      <c r="E90" s="23" t="s">
        <v>679</v>
      </c>
      <c r="F90" s="23" t="str">
        <f t="shared" si="2"/>
        <v>rtdc.l.rtdc.4007:itc</v>
      </c>
      <c r="G90" s="8">
        <f t="shared" si="3"/>
        <v>42609.455590277779</v>
      </c>
    </row>
    <row r="91" spans="1:7" x14ac:dyDescent="0.25">
      <c r="A91" s="8">
        <v>42609.465254629627</v>
      </c>
      <c r="B91" s="23" t="s">
        <v>291</v>
      </c>
      <c r="C91" s="23" t="s">
        <v>473</v>
      </c>
      <c r="D91" s="23">
        <v>1280000</v>
      </c>
      <c r="E91" s="23" t="s">
        <v>682</v>
      </c>
      <c r="F91" s="23" t="str">
        <f t="shared" si="2"/>
        <v>rtdc.l.rtdc.4020:itc</v>
      </c>
      <c r="G91" s="8">
        <f t="shared" si="3"/>
        <v>42609.465254629627</v>
      </c>
    </row>
    <row r="92" spans="1:7" x14ac:dyDescent="0.25">
      <c r="A92" s="8">
        <v>42609.469409722224</v>
      </c>
      <c r="B92" s="23" t="s">
        <v>144</v>
      </c>
      <c r="C92" s="23" t="s">
        <v>683</v>
      </c>
      <c r="D92" s="23">
        <v>1310000</v>
      </c>
      <c r="E92" s="23" t="s">
        <v>300</v>
      </c>
      <c r="F92" s="23" t="str">
        <f t="shared" si="2"/>
        <v>rtdc.l.rtdc.4037:itc</v>
      </c>
      <c r="G92" s="8">
        <f t="shared" si="3"/>
        <v>42609.469409722224</v>
      </c>
    </row>
    <row r="93" spans="1:7" x14ac:dyDescent="0.25">
      <c r="A93" s="8">
        <v>42609.474108796298</v>
      </c>
      <c r="B93" s="23" t="s">
        <v>90</v>
      </c>
      <c r="C93" s="23" t="s">
        <v>468</v>
      </c>
      <c r="D93" s="23">
        <v>1740000</v>
      </c>
      <c r="E93" s="23" t="s">
        <v>681</v>
      </c>
      <c r="F93" s="23" t="str">
        <f t="shared" si="2"/>
        <v>rtdc.l.rtdc.4013:itc</v>
      </c>
      <c r="G93" s="8">
        <f t="shared" si="3"/>
        <v>42609.474108796298</v>
      </c>
    </row>
    <row r="94" spans="1:7" x14ac:dyDescent="0.25">
      <c r="A94" s="8">
        <v>42609.475960648146</v>
      </c>
      <c r="B94" s="23" t="s">
        <v>114</v>
      </c>
      <c r="C94" s="23" t="s">
        <v>477</v>
      </c>
      <c r="D94" s="23">
        <v>2040000</v>
      </c>
      <c r="E94" s="23" t="s">
        <v>255</v>
      </c>
      <c r="F94" s="23" t="str">
        <f t="shared" si="2"/>
        <v>rtdc.l.rtdc.4031:itc</v>
      </c>
      <c r="G94" s="8">
        <f t="shared" si="3"/>
        <v>42609.475960648146</v>
      </c>
    </row>
    <row r="95" spans="1:7" x14ac:dyDescent="0.25">
      <c r="A95" s="8">
        <v>42609.484039351853</v>
      </c>
      <c r="B95" s="23" t="s">
        <v>169</v>
      </c>
      <c r="C95" s="23" t="s">
        <v>529</v>
      </c>
      <c r="D95" s="23">
        <v>1830000</v>
      </c>
      <c r="E95" s="23" t="s">
        <v>679</v>
      </c>
      <c r="F95" s="23" t="str">
        <f t="shared" si="2"/>
        <v>rtdc.l.rtdc.4008:itc</v>
      </c>
      <c r="G95" s="8">
        <f t="shared" si="3"/>
        <v>42609.484039351853</v>
      </c>
    </row>
    <row r="96" spans="1:7" x14ac:dyDescent="0.25">
      <c r="A96" s="8">
        <v>42609.484872685185</v>
      </c>
      <c r="B96" s="23" t="s">
        <v>254</v>
      </c>
      <c r="C96" s="23" t="s">
        <v>470</v>
      </c>
      <c r="D96" s="23">
        <v>1990000</v>
      </c>
      <c r="E96" s="23" t="s">
        <v>299</v>
      </c>
      <c r="F96" s="23" t="str">
        <f t="shared" si="2"/>
        <v>rtdc.l.rtdc.4026:itc</v>
      </c>
      <c r="G96" s="8">
        <f t="shared" si="3"/>
        <v>42609.484872685185</v>
      </c>
    </row>
    <row r="97" spans="1:7" x14ac:dyDescent="0.25">
      <c r="A97" s="8">
        <v>42609.488263888888</v>
      </c>
      <c r="B97" s="23" t="s">
        <v>150</v>
      </c>
      <c r="C97" s="23" t="s">
        <v>480</v>
      </c>
      <c r="D97" s="23">
        <v>2020000</v>
      </c>
      <c r="E97" s="23" t="s">
        <v>292</v>
      </c>
      <c r="F97" s="23" t="str">
        <f t="shared" si="2"/>
        <v>rtdc.l.rtdc.4042:itc</v>
      </c>
      <c r="G97" s="8">
        <f t="shared" si="3"/>
        <v>42609.488263888888</v>
      </c>
    </row>
    <row r="98" spans="1:7" x14ac:dyDescent="0.25">
      <c r="A98" s="8">
        <v>42609.497152777774</v>
      </c>
      <c r="B98" s="23" t="s">
        <v>174</v>
      </c>
      <c r="C98" s="23" t="s">
        <v>472</v>
      </c>
      <c r="D98" s="23">
        <v>880000</v>
      </c>
      <c r="E98" s="23" t="s">
        <v>305</v>
      </c>
      <c r="F98" s="23" t="str">
        <f t="shared" si="2"/>
        <v>rtdc.l.rtdc.4010:itc</v>
      </c>
      <c r="G98" s="8">
        <f t="shared" si="3"/>
        <v>42609.497152777774</v>
      </c>
    </row>
    <row r="99" spans="1:7" x14ac:dyDescent="0.25">
      <c r="A99" s="8">
        <v>42609.49728009259</v>
      </c>
      <c r="B99" s="23" t="s">
        <v>289</v>
      </c>
      <c r="C99" s="23" t="s">
        <v>476</v>
      </c>
      <c r="D99" s="23">
        <v>1280000</v>
      </c>
      <c r="E99" s="23" t="s">
        <v>682</v>
      </c>
      <c r="F99" s="23" t="str">
        <f t="shared" si="2"/>
        <v>rtdc.l.rtdc.4019:itc</v>
      </c>
      <c r="G99" s="8">
        <f t="shared" si="3"/>
        <v>42609.49728009259</v>
      </c>
    </row>
    <row r="100" spans="1:7" x14ac:dyDescent="0.25">
      <c r="A100" s="8">
        <v>42609.497650462959</v>
      </c>
      <c r="B100" s="23" t="s">
        <v>186</v>
      </c>
      <c r="C100" s="23" t="s">
        <v>531</v>
      </c>
      <c r="D100" s="23">
        <v>1830000</v>
      </c>
      <c r="E100" s="23" t="s">
        <v>679</v>
      </c>
      <c r="F100" s="23" t="str">
        <f t="shared" si="2"/>
        <v>rtdc.l.rtdc.4007:itc</v>
      </c>
      <c r="G100" s="8">
        <f t="shared" si="3"/>
        <v>42609.497650462959</v>
      </c>
    </row>
    <row r="101" spans="1:7" x14ac:dyDescent="0.25">
      <c r="A101" s="8">
        <v>42609.505798611113</v>
      </c>
      <c r="B101" s="23" t="s">
        <v>151</v>
      </c>
      <c r="C101" s="23" t="s">
        <v>684</v>
      </c>
      <c r="D101" s="23">
        <v>2270000</v>
      </c>
      <c r="E101" s="23" t="s">
        <v>293</v>
      </c>
      <c r="F101" s="23" t="str">
        <f t="shared" si="2"/>
        <v>rtdc.l.rtdc.4038:itc</v>
      </c>
      <c r="G101" s="8">
        <f t="shared" si="3"/>
        <v>42609.505798611113</v>
      </c>
    </row>
    <row r="102" spans="1:7" x14ac:dyDescent="0.25">
      <c r="A102" s="8">
        <v>42609.507175925923</v>
      </c>
      <c r="B102" s="23" t="s">
        <v>151</v>
      </c>
      <c r="C102" s="23" t="s">
        <v>684</v>
      </c>
      <c r="D102" s="23">
        <v>2270000</v>
      </c>
      <c r="E102" s="23" t="s">
        <v>293</v>
      </c>
      <c r="F102" s="23" t="str">
        <f t="shared" si="2"/>
        <v>rtdc.l.rtdc.4038:itc</v>
      </c>
      <c r="G102" s="8">
        <f t="shared" si="3"/>
        <v>42609.507175925923</v>
      </c>
    </row>
    <row r="103" spans="1:7" x14ac:dyDescent="0.25">
      <c r="A103" s="8">
        <v>42609.50818287037</v>
      </c>
      <c r="B103" s="23" t="s">
        <v>186</v>
      </c>
      <c r="C103" s="23" t="s">
        <v>531</v>
      </c>
      <c r="D103" s="23">
        <v>1830000</v>
      </c>
      <c r="E103" s="23" t="s">
        <v>679</v>
      </c>
      <c r="F103" s="23" t="str">
        <f t="shared" si="2"/>
        <v>rtdc.l.rtdc.4007:itc</v>
      </c>
      <c r="G103" s="8">
        <f t="shared" si="3"/>
        <v>42609.50818287037</v>
      </c>
    </row>
    <row r="104" spans="1:7" x14ac:dyDescent="0.25">
      <c r="A104" s="8">
        <v>42609.508391203701</v>
      </c>
      <c r="B104" s="23" t="s">
        <v>112</v>
      </c>
      <c r="C104" s="23" t="s">
        <v>483</v>
      </c>
      <c r="D104" s="23">
        <v>1740000</v>
      </c>
      <c r="E104" s="23" t="s">
        <v>681</v>
      </c>
      <c r="F104" s="23" t="str">
        <f t="shared" si="2"/>
        <v>rtdc.l.rtdc.4014:itc</v>
      </c>
      <c r="G104" s="8">
        <f t="shared" si="3"/>
        <v>42609.508391203701</v>
      </c>
    </row>
    <row r="105" spans="1:7" x14ac:dyDescent="0.25">
      <c r="A105" s="8">
        <v>42609.509456018517</v>
      </c>
      <c r="B105" s="23" t="s">
        <v>186</v>
      </c>
      <c r="C105" s="23" t="s">
        <v>531</v>
      </c>
      <c r="D105" s="23">
        <v>1830000</v>
      </c>
      <c r="E105" s="23" t="s">
        <v>679</v>
      </c>
      <c r="F105" s="23" t="str">
        <f t="shared" si="2"/>
        <v>rtdc.l.rtdc.4007:itc</v>
      </c>
      <c r="G105" s="8">
        <f t="shared" si="3"/>
        <v>42609.509456018517</v>
      </c>
    </row>
    <row r="106" spans="1:7" x14ac:dyDescent="0.25">
      <c r="A106" s="8">
        <v>42609.515231481484</v>
      </c>
      <c r="B106" s="23" t="s">
        <v>115</v>
      </c>
      <c r="C106" s="23" t="s">
        <v>478</v>
      </c>
      <c r="D106" s="23">
        <v>2040000</v>
      </c>
      <c r="E106" s="23" t="s">
        <v>255</v>
      </c>
      <c r="F106" s="23" t="str">
        <f t="shared" si="2"/>
        <v>rtdc.l.rtdc.4032:itc</v>
      </c>
      <c r="G106" s="8">
        <f t="shared" si="3"/>
        <v>42609.515231481484</v>
      </c>
    </row>
    <row r="107" spans="1:7" x14ac:dyDescent="0.25">
      <c r="A107" s="8">
        <v>42609.518449074072</v>
      </c>
      <c r="B107" s="23" t="s">
        <v>253</v>
      </c>
      <c r="C107" s="23" t="s">
        <v>486</v>
      </c>
      <c r="D107" s="23">
        <v>950000</v>
      </c>
      <c r="E107" s="23" t="s">
        <v>294</v>
      </c>
      <c r="F107" s="23" t="str">
        <f t="shared" si="2"/>
        <v>rtdc.l.rtdc.4025:itc</v>
      </c>
      <c r="G107" s="8">
        <f t="shared" si="3"/>
        <v>42609.518449074072</v>
      </c>
    </row>
    <row r="108" spans="1:7" x14ac:dyDescent="0.25">
      <c r="A108" s="8">
        <v>42609.523495370369</v>
      </c>
      <c r="B108" s="23" t="s">
        <v>185</v>
      </c>
      <c r="C108" s="23" t="s">
        <v>481</v>
      </c>
      <c r="D108" s="23">
        <v>2020000</v>
      </c>
      <c r="E108" s="23" t="s">
        <v>292</v>
      </c>
      <c r="F108" s="23" t="str">
        <f t="shared" si="2"/>
        <v>rtdc.l.rtdc.4041:itc</v>
      </c>
      <c r="G108" s="8">
        <f t="shared" si="3"/>
        <v>42609.523495370369</v>
      </c>
    </row>
    <row r="109" spans="1:7" x14ac:dyDescent="0.25">
      <c r="A109" s="8">
        <v>42609.525775462964</v>
      </c>
      <c r="B109" s="23" t="s">
        <v>169</v>
      </c>
      <c r="C109" s="23" t="s">
        <v>532</v>
      </c>
      <c r="D109" s="23">
        <v>1830000</v>
      </c>
      <c r="E109" s="23" t="s">
        <v>679</v>
      </c>
      <c r="F109" s="23" t="str">
        <f t="shared" si="2"/>
        <v>rtdc.l.rtdc.4008:itc</v>
      </c>
      <c r="G109" s="8">
        <f t="shared" si="3"/>
        <v>42609.525775462964</v>
      </c>
    </row>
    <row r="110" spans="1:7" x14ac:dyDescent="0.25">
      <c r="A110" s="8">
        <v>42609.52815972222</v>
      </c>
      <c r="B110" s="23" t="s">
        <v>173</v>
      </c>
      <c r="C110" s="23" t="s">
        <v>488</v>
      </c>
      <c r="D110" s="23">
        <v>880000</v>
      </c>
      <c r="E110" s="23" t="s">
        <v>305</v>
      </c>
      <c r="F110" s="23" t="str">
        <f t="shared" si="2"/>
        <v>rtdc.l.rtdc.4009:itc</v>
      </c>
      <c r="G110" s="8">
        <f t="shared" si="3"/>
        <v>42609.52815972222</v>
      </c>
    </row>
    <row r="111" spans="1:7" x14ac:dyDescent="0.25">
      <c r="A111" s="8">
        <v>42609.536990740744</v>
      </c>
      <c r="B111" s="23" t="s">
        <v>291</v>
      </c>
      <c r="C111" s="23" t="s">
        <v>490</v>
      </c>
      <c r="D111" s="23">
        <v>1280000</v>
      </c>
      <c r="E111" s="23" t="s">
        <v>682</v>
      </c>
      <c r="F111" s="23" t="str">
        <f t="shared" si="2"/>
        <v>rtdc.l.rtdc.4020:itc</v>
      </c>
      <c r="G111" s="8">
        <f t="shared" si="3"/>
        <v>42609.536990740744</v>
      </c>
    </row>
    <row r="112" spans="1:7" x14ac:dyDescent="0.25">
      <c r="A112" s="8">
        <v>42609.537847222222</v>
      </c>
      <c r="B112" s="23" t="s">
        <v>144</v>
      </c>
      <c r="C112" s="23" t="s">
        <v>685</v>
      </c>
      <c r="D112" s="23">
        <v>2270000</v>
      </c>
      <c r="E112" s="23" t="s">
        <v>293</v>
      </c>
      <c r="F112" s="23" t="str">
        <f t="shared" si="2"/>
        <v>rtdc.l.rtdc.4037:itc</v>
      </c>
      <c r="G112" s="8">
        <f t="shared" si="3"/>
        <v>42609.537847222222</v>
      </c>
    </row>
    <row r="113" spans="1:7" x14ac:dyDescent="0.25">
      <c r="A113" s="8">
        <v>42609.538831018515</v>
      </c>
      <c r="B113" s="23" t="s">
        <v>186</v>
      </c>
      <c r="C113" s="23" t="s">
        <v>535</v>
      </c>
      <c r="D113" s="23">
        <v>1830000</v>
      </c>
      <c r="E113" s="23" t="s">
        <v>679</v>
      </c>
      <c r="F113" s="23" t="str">
        <f t="shared" si="2"/>
        <v>rtdc.l.rtdc.4007:itc</v>
      </c>
      <c r="G113" s="8">
        <f t="shared" si="3"/>
        <v>42609.538831018515</v>
      </c>
    </row>
    <row r="114" spans="1:7" x14ac:dyDescent="0.25">
      <c r="A114" s="8">
        <v>42609.54550925926</v>
      </c>
      <c r="B114" s="23" t="s">
        <v>90</v>
      </c>
      <c r="C114" s="23" t="s">
        <v>484</v>
      </c>
      <c r="D114" s="23">
        <v>1740000</v>
      </c>
      <c r="E114" s="23" t="s">
        <v>681</v>
      </c>
      <c r="F114" s="23" t="str">
        <f t="shared" si="2"/>
        <v>rtdc.l.rtdc.4013:itc</v>
      </c>
      <c r="G114" s="8">
        <f t="shared" si="3"/>
        <v>42609.54550925926</v>
      </c>
    </row>
    <row r="115" spans="1:7" x14ac:dyDescent="0.25">
      <c r="A115" s="8">
        <v>42609.549490740741</v>
      </c>
      <c r="B115" s="23" t="s">
        <v>114</v>
      </c>
      <c r="C115" s="23" t="s">
        <v>492</v>
      </c>
      <c r="D115" s="23">
        <v>2040000</v>
      </c>
      <c r="E115" s="23" t="s">
        <v>255</v>
      </c>
      <c r="F115" s="23" t="str">
        <f t="shared" si="2"/>
        <v>rtdc.l.rtdc.4031:itc</v>
      </c>
      <c r="G115" s="8">
        <f t="shared" si="3"/>
        <v>42609.549490740741</v>
      </c>
    </row>
    <row r="116" spans="1:7" x14ac:dyDescent="0.25">
      <c r="A116" s="8">
        <v>42609.557453703703</v>
      </c>
      <c r="B116" s="23" t="s">
        <v>254</v>
      </c>
      <c r="C116" s="23" t="s">
        <v>487</v>
      </c>
      <c r="D116" s="23">
        <v>950000</v>
      </c>
      <c r="E116" s="23" t="s">
        <v>294</v>
      </c>
      <c r="F116" s="23" t="str">
        <f t="shared" si="2"/>
        <v>rtdc.l.rtdc.4026:itc</v>
      </c>
      <c r="G116" s="8">
        <f t="shared" si="3"/>
        <v>42609.557453703703</v>
      </c>
    </row>
    <row r="117" spans="1:7" x14ac:dyDescent="0.25">
      <c r="A117" s="8">
        <v>42609.557997685188</v>
      </c>
      <c r="B117" s="23" t="s">
        <v>150</v>
      </c>
      <c r="C117" s="23" t="s">
        <v>497</v>
      </c>
      <c r="D117" s="23">
        <v>2020000</v>
      </c>
      <c r="E117" s="23" t="s">
        <v>292</v>
      </c>
      <c r="F117" s="23" t="str">
        <f t="shared" si="2"/>
        <v>rtdc.l.rtdc.4042:itc</v>
      </c>
      <c r="G117" s="8">
        <f t="shared" si="3"/>
        <v>42609.557997685188</v>
      </c>
    </row>
    <row r="118" spans="1:7" x14ac:dyDescent="0.25">
      <c r="A118" s="8">
        <v>42609.567337962966</v>
      </c>
      <c r="B118" s="23" t="s">
        <v>169</v>
      </c>
      <c r="C118" s="23" t="s">
        <v>538</v>
      </c>
      <c r="D118" s="23">
        <v>1830000</v>
      </c>
      <c r="E118" s="23" t="s">
        <v>679</v>
      </c>
      <c r="F118" s="23" t="str">
        <f t="shared" si="2"/>
        <v>rtdc.l.rtdc.4008:itc</v>
      </c>
      <c r="G118" s="8">
        <f t="shared" si="3"/>
        <v>42609.567337962966</v>
      </c>
    </row>
    <row r="119" spans="1:7" x14ac:dyDescent="0.25">
      <c r="A119" s="8">
        <v>42609.568240740744</v>
      </c>
      <c r="B119" s="23" t="s">
        <v>174</v>
      </c>
      <c r="C119" s="23" t="s">
        <v>489</v>
      </c>
      <c r="D119" s="23">
        <v>880000</v>
      </c>
      <c r="E119" s="23" t="s">
        <v>305</v>
      </c>
      <c r="F119" s="23" t="str">
        <f t="shared" si="2"/>
        <v>rtdc.l.rtdc.4010:itc</v>
      </c>
      <c r="G119" s="8">
        <f t="shared" si="3"/>
        <v>42609.568240740744</v>
      </c>
    </row>
    <row r="120" spans="1:7" x14ac:dyDescent="0.25">
      <c r="A120" s="8">
        <v>42609.569618055553</v>
      </c>
      <c r="B120" s="23" t="s">
        <v>289</v>
      </c>
      <c r="C120" s="23" t="s">
        <v>491</v>
      </c>
      <c r="D120" s="23">
        <v>1280000</v>
      </c>
      <c r="E120" s="23" t="s">
        <v>682</v>
      </c>
      <c r="F120" s="23" t="str">
        <f t="shared" si="2"/>
        <v>rtdc.l.rtdc.4019:itc</v>
      </c>
      <c r="G120" s="8">
        <f t="shared" si="3"/>
        <v>42609.569618055553</v>
      </c>
    </row>
    <row r="121" spans="1:7" x14ac:dyDescent="0.25">
      <c r="A121" s="8">
        <v>42609.572951388887</v>
      </c>
      <c r="B121" s="23" t="s">
        <v>91</v>
      </c>
      <c r="C121" s="23" t="s">
        <v>524</v>
      </c>
      <c r="D121" s="23">
        <v>2270000</v>
      </c>
      <c r="E121" s="23" t="s">
        <v>293</v>
      </c>
      <c r="F121" s="23" t="str">
        <f t="shared" si="2"/>
        <v>rtdc.l.rtdc.4029:itc</v>
      </c>
      <c r="G121" s="8">
        <f t="shared" si="3"/>
        <v>42609.572951388887</v>
      </c>
    </row>
    <row r="122" spans="1:7" x14ac:dyDescent="0.25">
      <c r="A122" s="8">
        <v>42609.573738425926</v>
      </c>
      <c r="B122" s="28" t="s">
        <v>91</v>
      </c>
      <c r="C122" s="23" t="s">
        <v>524</v>
      </c>
      <c r="D122" s="23">
        <v>2270000</v>
      </c>
      <c r="E122" s="23" t="s">
        <v>293</v>
      </c>
      <c r="F122" s="23" t="str">
        <f t="shared" si="2"/>
        <v>rtdc.l.rtdc.4029:itc</v>
      </c>
      <c r="G122" s="8">
        <f t="shared" si="3"/>
        <v>42609.573738425926</v>
      </c>
    </row>
    <row r="123" spans="1:7" x14ac:dyDescent="0.25">
      <c r="A123" s="8">
        <v>42609.575011574074</v>
      </c>
      <c r="B123" s="23" t="s">
        <v>91</v>
      </c>
      <c r="C123" s="23" t="s">
        <v>524</v>
      </c>
      <c r="D123" s="23">
        <v>2270000</v>
      </c>
      <c r="E123" s="23" t="s">
        <v>293</v>
      </c>
      <c r="F123" s="23" t="str">
        <f t="shared" si="2"/>
        <v>rtdc.l.rtdc.4029:itc</v>
      </c>
      <c r="G123" s="8">
        <f t="shared" si="3"/>
        <v>42609.575011574074</v>
      </c>
    </row>
    <row r="124" spans="1:7" x14ac:dyDescent="0.25">
      <c r="A124" s="8">
        <v>42609.578252314815</v>
      </c>
      <c r="B124" s="23" t="s">
        <v>144</v>
      </c>
      <c r="C124" s="23" t="s">
        <v>686</v>
      </c>
      <c r="D124" s="23">
        <v>530000</v>
      </c>
      <c r="E124" s="23" t="s">
        <v>687</v>
      </c>
      <c r="F124" s="23" t="str">
        <f t="shared" si="2"/>
        <v>rtdc.l.rtdc.4037:itc</v>
      </c>
      <c r="G124" s="8">
        <f t="shared" si="3"/>
        <v>42609.578252314815</v>
      </c>
    </row>
    <row r="125" spans="1:7" x14ac:dyDescent="0.25">
      <c r="A125" s="8">
        <v>42609.579606481479</v>
      </c>
      <c r="B125" s="23" t="s">
        <v>151</v>
      </c>
      <c r="C125" s="23" t="s">
        <v>686</v>
      </c>
      <c r="D125" s="23">
        <v>530000</v>
      </c>
      <c r="E125" s="23" t="s">
        <v>687</v>
      </c>
      <c r="F125" s="23" t="str">
        <f t="shared" si="2"/>
        <v>rtdc.l.rtdc.4038:itc</v>
      </c>
      <c r="G125" s="8">
        <f t="shared" si="3"/>
        <v>42609.579606481479</v>
      </c>
    </row>
    <row r="126" spans="1:7" x14ac:dyDescent="0.25">
      <c r="A126" s="8">
        <v>42609.58021990741</v>
      </c>
      <c r="B126" s="23" t="s">
        <v>91</v>
      </c>
      <c r="C126" s="23" t="s">
        <v>524</v>
      </c>
      <c r="D126" s="23">
        <v>2270000</v>
      </c>
      <c r="E126" s="23" t="s">
        <v>293</v>
      </c>
      <c r="F126" s="23" t="str">
        <f t="shared" si="2"/>
        <v>rtdc.l.rtdc.4029:itc</v>
      </c>
      <c r="G126" s="8">
        <f t="shared" si="3"/>
        <v>42609.58021990741</v>
      </c>
    </row>
    <row r="127" spans="1:7" x14ac:dyDescent="0.25">
      <c r="A127" s="8">
        <v>42609.580601851849</v>
      </c>
      <c r="B127" s="23" t="s">
        <v>151</v>
      </c>
      <c r="C127" s="23" t="s">
        <v>686</v>
      </c>
      <c r="D127" s="23">
        <v>530000</v>
      </c>
      <c r="E127" s="23" t="s">
        <v>687</v>
      </c>
      <c r="F127" s="23" t="str">
        <f t="shared" si="2"/>
        <v>rtdc.l.rtdc.4038:itc</v>
      </c>
      <c r="G127" s="8">
        <f t="shared" si="3"/>
        <v>42609.580601851849</v>
      </c>
    </row>
    <row r="128" spans="1:7" x14ac:dyDescent="0.25">
      <c r="A128" s="8">
        <v>42609.580937500003</v>
      </c>
      <c r="B128" s="23" t="s">
        <v>112</v>
      </c>
      <c r="C128" s="23" t="s">
        <v>568</v>
      </c>
      <c r="D128" s="23">
        <v>1740000</v>
      </c>
      <c r="E128" s="23" t="s">
        <v>681</v>
      </c>
      <c r="F128" s="23" t="str">
        <f t="shared" si="2"/>
        <v>rtdc.l.rtdc.4014:itc</v>
      </c>
      <c r="G128" s="8">
        <f t="shared" si="3"/>
        <v>42609.580937500003</v>
      </c>
    </row>
    <row r="129" spans="1:7" x14ac:dyDescent="0.25">
      <c r="A129" s="8">
        <v>42609.582094907404</v>
      </c>
      <c r="B129" s="23" t="s">
        <v>151</v>
      </c>
      <c r="C129" s="23" t="s">
        <v>686</v>
      </c>
      <c r="D129" s="23">
        <v>530000</v>
      </c>
      <c r="E129" s="23" t="s">
        <v>687</v>
      </c>
      <c r="F129" s="23" t="str">
        <f t="shared" si="2"/>
        <v>rtdc.l.rtdc.4038:itc</v>
      </c>
      <c r="G129" s="8">
        <f t="shared" si="3"/>
        <v>42609.582094907404</v>
      </c>
    </row>
    <row r="130" spans="1:7" x14ac:dyDescent="0.25">
      <c r="A130" s="8">
        <v>42609.58730324074</v>
      </c>
      <c r="B130" s="23" t="s">
        <v>115</v>
      </c>
      <c r="C130" s="23" t="s">
        <v>495</v>
      </c>
      <c r="D130" s="23">
        <v>2040000</v>
      </c>
      <c r="E130" s="23" t="s">
        <v>255</v>
      </c>
      <c r="F130" s="23" t="str">
        <f t="shared" ref="F130:F193" si="4">B130</f>
        <v>rtdc.l.rtdc.4032:itc</v>
      </c>
      <c r="G130" s="8">
        <f t="shared" ref="G130:G193" si="5">A130</f>
        <v>42609.58730324074</v>
      </c>
    </row>
    <row r="131" spans="1:7" x14ac:dyDescent="0.25">
      <c r="A131" s="8">
        <v>42609.589537037034</v>
      </c>
      <c r="B131" s="23" t="s">
        <v>186</v>
      </c>
      <c r="C131" s="23" t="s">
        <v>540</v>
      </c>
      <c r="D131" s="23">
        <v>1780000</v>
      </c>
      <c r="E131" s="23" t="s">
        <v>688</v>
      </c>
      <c r="F131" s="23" t="str">
        <f t="shared" si="4"/>
        <v>rtdc.l.rtdc.4007:itc</v>
      </c>
      <c r="G131" s="8">
        <f t="shared" si="5"/>
        <v>42609.589537037034</v>
      </c>
    </row>
    <row r="132" spans="1:7" x14ac:dyDescent="0.25">
      <c r="A132" s="8">
        <v>42609.590312499997</v>
      </c>
      <c r="B132" s="23" t="s">
        <v>253</v>
      </c>
      <c r="C132" s="23" t="s">
        <v>578</v>
      </c>
      <c r="D132" s="23">
        <v>950000</v>
      </c>
      <c r="E132" s="23" t="s">
        <v>294</v>
      </c>
      <c r="F132" s="23" t="str">
        <f t="shared" si="4"/>
        <v>rtdc.l.rtdc.4025:itc</v>
      </c>
      <c r="G132" s="8">
        <f t="shared" si="5"/>
        <v>42609.590312499997</v>
      </c>
    </row>
    <row r="133" spans="1:7" x14ac:dyDescent="0.25">
      <c r="A133" s="8">
        <v>42609.594710648147</v>
      </c>
      <c r="B133" s="23" t="s">
        <v>151</v>
      </c>
      <c r="C133" s="23" t="s">
        <v>669</v>
      </c>
      <c r="D133" s="23">
        <v>1230000</v>
      </c>
      <c r="E133" s="23" t="s">
        <v>170</v>
      </c>
      <c r="F133" s="23" t="str">
        <f t="shared" si="4"/>
        <v>rtdc.l.rtdc.4038:itc</v>
      </c>
      <c r="G133" s="8">
        <f t="shared" si="5"/>
        <v>42609.594710648147</v>
      </c>
    </row>
    <row r="134" spans="1:7" x14ac:dyDescent="0.25">
      <c r="A134" s="8">
        <v>42609.596956018519</v>
      </c>
      <c r="B134" s="23" t="s">
        <v>185</v>
      </c>
      <c r="C134" s="23" t="s">
        <v>499</v>
      </c>
      <c r="D134" s="23">
        <v>2020000</v>
      </c>
      <c r="E134" s="23" t="s">
        <v>292</v>
      </c>
      <c r="F134" s="23" t="str">
        <f t="shared" si="4"/>
        <v>rtdc.l.rtdc.4041:itc</v>
      </c>
      <c r="G134" s="8">
        <f t="shared" si="5"/>
        <v>42609.596956018519</v>
      </c>
    </row>
    <row r="135" spans="1:7" x14ac:dyDescent="0.25">
      <c r="A135" s="8">
        <v>42609.602569444447</v>
      </c>
      <c r="B135" s="23" t="s">
        <v>173</v>
      </c>
      <c r="C135" s="23" t="s">
        <v>580</v>
      </c>
      <c r="D135" s="23">
        <v>880000</v>
      </c>
      <c r="E135" s="23" t="s">
        <v>305</v>
      </c>
      <c r="F135" s="23" t="str">
        <f t="shared" si="4"/>
        <v>rtdc.l.rtdc.4009:itc</v>
      </c>
      <c r="G135" s="8">
        <f t="shared" si="5"/>
        <v>42609.602569444447</v>
      </c>
    </row>
    <row r="136" spans="1:7" x14ac:dyDescent="0.25">
      <c r="A136" s="8">
        <v>42609.609027777777</v>
      </c>
      <c r="B136" s="23" t="s">
        <v>92</v>
      </c>
      <c r="C136" s="23" t="s">
        <v>546</v>
      </c>
      <c r="D136" s="23">
        <v>2270000</v>
      </c>
      <c r="E136" s="23" t="s">
        <v>293</v>
      </c>
      <c r="F136" s="23" t="str">
        <f t="shared" si="4"/>
        <v>rtdc.l.rtdc.4030:itc</v>
      </c>
      <c r="G136" s="8">
        <f t="shared" si="5"/>
        <v>42609.609027777777</v>
      </c>
    </row>
    <row r="137" spans="1:7" x14ac:dyDescent="0.25">
      <c r="A137" s="8">
        <v>42609.609606481485</v>
      </c>
      <c r="B137" s="23" t="s">
        <v>169</v>
      </c>
      <c r="C137" s="23" t="s">
        <v>542</v>
      </c>
      <c r="D137" s="23">
        <v>1780000</v>
      </c>
      <c r="E137" s="23" t="s">
        <v>688</v>
      </c>
      <c r="F137" s="23" t="str">
        <f t="shared" si="4"/>
        <v>rtdc.l.rtdc.4008:itc</v>
      </c>
      <c r="G137" s="8">
        <f t="shared" si="5"/>
        <v>42609.609606481485</v>
      </c>
    </row>
    <row r="138" spans="1:7" x14ac:dyDescent="0.25">
      <c r="A138" s="8">
        <v>42609.61109953704</v>
      </c>
      <c r="B138" s="23" t="s">
        <v>291</v>
      </c>
      <c r="C138" s="23" t="s">
        <v>582</v>
      </c>
      <c r="D138" s="23">
        <v>1280000</v>
      </c>
      <c r="E138" s="23" t="s">
        <v>682</v>
      </c>
      <c r="F138" s="23" t="str">
        <f t="shared" si="4"/>
        <v>rtdc.l.rtdc.4020:itc</v>
      </c>
      <c r="G138" s="8">
        <f t="shared" si="5"/>
        <v>42609.61109953704</v>
      </c>
    </row>
    <row r="139" spans="1:7" x14ac:dyDescent="0.25">
      <c r="A139" s="8">
        <v>42609.616377314815</v>
      </c>
      <c r="B139" s="23" t="s">
        <v>90</v>
      </c>
      <c r="C139" s="23" t="s">
        <v>577</v>
      </c>
      <c r="D139" s="23">
        <v>1740000</v>
      </c>
      <c r="E139" s="23" t="s">
        <v>681</v>
      </c>
      <c r="F139" s="23" t="str">
        <f t="shared" si="4"/>
        <v>rtdc.l.rtdc.4013:itc</v>
      </c>
      <c r="G139" s="8">
        <f t="shared" si="5"/>
        <v>42609.616377314815</v>
      </c>
    </row>
    <row r="140" spans="1:7" x14ac:dyDescent="0.25">
      <c r="A140" s="8">
        <v>42609.622939814813</v>
      </c>
      <c r="B140" s="23" t="s">
        <v>114</v>
      </c>
      <c r="C140" s="23" t="s">
        <v>587</v>
      </c>
      <c r="D140" s="23">
        <v>2040000</v>
      </c>
      <c r="E140" s="23" t="s">
        <v>255</v>
      </c>
      <c r="F140" s="23" t="str">
        <f t="shared" si="4"/>
        <v>rtdc.l.rtdc.4031:itc</v>
      </c>
      <c r="G140" s="8">
        <f t="shared" si="5"/>
        <v>42609.622939814813</v>
      </c>
    </row>
    <row r="141" spans="1:7" x14ac:dyDescent="0.25">
      <c r="A141" s="8">
        <v>42609.630682870367</v>
      </c>
      <c r="B141" s="23" t="s">
        <v>254</v>
      </c>
      <c r="C141" s="23" t="s">
        <v>579</v>
      </c>
      <c r="D141" s="23">
        <v>950000</v>
      </c>
      <c r="E141" s="23" t="s">
        <v>294</v>
      </c>
      <c r="F141" s="23" t="str">
        <f t="shared" si="4"/>
        <v>rtdc.l.rtdc.4026:itc</v>
      </c>
      <c r="G141" s="8">
        <f t="shared" si="5"/>
        <v>42609.630682870367</v>
      </c>
    </row>
    <row r="142" spans="1:7" x14ac:dyDescent="0.25">
      <c r="A142" s="8">
        <v>42609.631655092591</v>
      </c>
      <c r="B142" s="23" t="s">
        <v>150</v>
      </c>
      <c r="C142" s="23" t="s">
        <v>591</v>
      </c>
      <c r="D142" s="23">
        <v>2020000</v>
      </c>
      <c r="E142" s="23" t="s">
        <v>292</v>
      </c>
      <c r="F142" s="23" t="str">
        <f t="shared" si="4"/>
        <v>rtdc.l.rtdc.4042:itc</v>
      </c>
      <c r="G142" s="8">
        <f t="shared" si="5"/>
        <v>42609.631655092591</v>
      </c>
    </row>
    <row r="143" spans="1:7" x14ac:dyDescent="0.25">
      <c r="A143" s="8">
        <v>42609.636458333334</v>
      </c>
      <c r="B143" s="23" t="s">
        <v>186</v>
      </c>
      <c r="C143" s="23" t="s">
        <v>544</v>
      </c>
      <c r="D143" s="23">
        <v>1780000</v>
      </c>
      <c r="E143" s="23" t="s">
        <v>688</v>
      </c>
      <c r="F143" s="23" t="str">
        <f t="shared" si="4"/>
        <v>rtdc.l.rtdc.4007:itc</v>
      </c>
      <c r="G143" s="8">
        <f t="shared" si="5"/>
        <v>42609.636458333334</v>
      </c>
    </row>
    <row r="144" spans="1:7" x14ac:dyDescent="0.25">
      <c r="A144" s="8">
        <v>42609.637337962966</v>
      </c>
      <c r="B144" s="23" t="s">
        <v>174</v>
      </c>
      <c r="C144" s="23" t="s">
        <v>581</v>
      </c>
      <c r="D144" s="23">
        <v>880000</v>
      </c>
      <c r="E144" s="23" t="s">
        <v>305</v>
      </c>
      <c r="F144" s="23" t="str">
        <f t="shared" si="4"/>
        <v>rtdc.l.rtdc.4010:itc</v>
      </c>
      <c r="G144" s="8">
        <f t="shared" si="5"/>
        <v>42609.637337962966</v>
      </c>
    </row>
    <row r="145" spans="1:7" x14ac:dyDescent="0.25">
      <c r="A145" s="8">
        <v>42609.643009259256</v>
      </c>
      <c r="B145" s="23" t="s">
        <v>91</v>
      </c>
      <c r="C145" s="23" t="s">
        <v>594</v>
      </c>
      <c r="D145" s="23">
        <v>2270000</v>
      </c>
      <c r="E145" s="23" t="s">
        <v>293</v>
      </c>
      <c r="F145" s="23" t="str">
        <f t="shared" si="4"/>
        <v>rtdc.l.rtdc.4029:itc</v>
      </c>
      <c r="G145" s="8">
        <f t="shared" si="5"/>
        <v>42609.643009259256</v>
      </c>
    </row>
    <row r="146" spans="1:7" x14ac:dyDescent="0.25">
      <c r="A146" s="8">
        <v>42609.649548611109</v>
      </c>
      <c r="B146" s="23" t="s">
        <v>289</v>
      </c>
      <c r="C146" s="23" t="s">
        <v>584</v>
      </c>
      <c r="D146" s="23">
        <v>1280000</v>
      </c>
      <c r="E146" s="23" t="s">
        <v>682</v>
      </c>
      <c r="F146" s="23" t="str">
        <f t="shared" si="4"/>
        <v>rtdc.l.rtdc.4019:itc</v>
      </c>
      <c r="G146" s="8">
        <f t="shared" si="5"/>
        <v>42609.649548611109</v>
      </c>
    </row>
    <row r="147" spans="1:7" x14ac:dyDescent="0.25">
      <c r="A147" s="8">
        <v>42609.650775462964</v>
      </c>
      <c r="B147" s="23" t="s">
        <v>169</v>
      </c>
      <c r="C147" s="23" t="s">
        <v>547</v>
      </c>
      <c r="D147" s="23">
        <v>1780000</v>
      </c>
      <c r="E147" s="23" t="s">
        <v>688</v>
      </c>
      <c r="F147" s="23" t="str">
        <f t="shared" si="4"/>
        <v>rtdc.l.rtdc.4008:itc</v>
      </c>
      <c r="G147" s="8">
        <f t="shared" si="5"/>
        <v>42609.650775462964</v>
      </c>
    </row>
    <row r="148" spans="1:7" x14ac:dyDescent="0.25">
      <c r="A148" s="8">
        <v>42609.653495370374</v>
      </c>
      <c r="B148" s="23" t="s">
        <v>112</v>
      </c>
      <c r="C148" s="23" t="s">
        <v>597</v>
      </c>
      <c r="D148" s="23">
        <v>1740000</v>
      </c>
      <c r="E148" s="23" t="s">
        <v>681</v>
      </c>
      <c r="F148" s="23" t="str">
        <f t="shared" si="4"/>
        <v>rtdc.l.rtdc.4014:itc</v>
      </c>
      <c r="G148" s="8">
        <f t="shared" si="5"/>
        <v>42609.653495370374</v>
      </c>
    </row>
    <row r="149" spans="1:7" x14ac:dyDescent="0.25">
      <c r="A149" s="8">
        <v>42609.661886574075</v>
      </c>
      <c r="B149" s="23" t="s">
        <v>115</v>
      </c>
      <c r="C149" s="23" t="s">
        <v>589</v>
      </c>
      <c r="D149" s="23">
        <v>2040000</v>
      </c>
      <c r="E149" s="23" t="s">
        <v>255</v>
      </c>
      <c r="F149" s="23" t="str">
        <f t="shared" si="4"/>
        <v>rtdc.l.rtdc.4032:itc</v>
      </c>
      <c r="G149" s="8">
        <f t="shared" si="5"/>
        <v>42609.661886574075</v>
      </c>
    </row>
    <row r="150" spans="1:7" x14ac:dyDescent="0.25">
      <c r="A150" s="8">
        <v>42609.663449074076</v>
      </c>
      <c r="B150" s="23" t="s">
        <v>253</v>
      </c>
      <c r="C150" s="23" t="s">
        <v>599</v>
      </c>
      <c r="D150" s="23">
        <v>950000</v>
      </c>
      <c r="E150" s="23" t="s">
        <v>294</v>
      </c>
      <c r="F150" s="23" t="str">
        <f t="shared" si="4"/>
        <v>rtdc.l.rtdc.4025:itc</v>
      </c>
      <c r="G150" s="8">
        <f t="shared" si="5"/>
        <v>42609.663449074076</v>
      </c>
    </row>
    <row r="151" spans="1:7" x14ac:dyDescent="0.25">
      <c r="A151" s="8">
        <v>42609.668229166666</v>
      </c>
      <c r="B151" s="23" t="s">
        <v>185</v>
      </c>
      <c r="C151" s="23" t="s">
        <v>593</v>
      </c>
      <c r="D151" s="23">
        <v>2020000</v>
      </c>
      <c r="E151" s="23" t="s">
        <v>292</v>
      </c>
      <c r="F151" s="23" t="str">
        <f t="shared" si="4"/>
        <v>rtdc.l.rtdc.4041:itc</v>
      </c>
      <c r="G151" s="8">
        <f t="shared" si="5"/>
        <v>42609.668229166666</v>
      </c>
    </row>
    <row r="152" spans="1:7" x14ac:dyDescent="0.25">
      <c r="A152" s="8">
        <v>42609.675416666665</v>
      </c>
      <c r="B152" s="23" t="s">
        <v>173</v>
      </c>
      <c r="C152" s="23" t="s">
        <v>602</v>
      </c>
      <c r="D152" s="23">
        <v>880000</v>
      </c>
      <c r="E152" s="23" t="s">
        <v>305</v>
      </c>
      <c r="F152" s="23" t="str">
        <f t="shared" si="4"/>
        <v>rtdc.l.rtdc.4009:itc</v>
      </c>
      <c r="G152" s="8">
        <f t="shared" si="5"/>
        <v>42609.675416666665</v>
      </c>
    </row>
    <row r="153" spans="1:7" x14ac:dyDescent="0.25">
      <c r="A153" s="8">
        <v>42609.677303240744</v>
      </c>
      <c r="B153" s="23" t="s">
        <v>186</v>
      </c>
      <c r="C153" s="23" t="s">
        <v>550</v>
      </c>
      <c r="D153" s="23">
        <v>1780000</v>
      </c>
      <c r="E153" s="23" t="s">
        <v>688</v>
      </c>
      <c r="F153" s="23" t="str">
        <f t="shared" si="4"/>
        <v>rtdc.l.rtdc.4007:itc</v>
      </c>
      <c r="G153" s="8">
        <f t="shared" si="5"/>
        <v>42609.677303240744</v>
      </c>
    </row>
    <row r="154" spans="1:7" x14ac:dyDescent="0.25">
      <c r="A154" s="8">
        <v>42609.680335648147</v>
      </c>
      <c r="B154" s="23" t="s">
        <v>92</v>
      </c>
      <c r="C154" s="23" t="s">
        <v>596</v>
      </c>
      <c r="D154" s="23">
        <v>2270000</v>
      </c>
      <c r="E154" s="23" t="s">
        <v>293</v>
      </c>
      <c r="F154" s="23" t="str">
        <f t="shared" si="4"/>
        <v>rtdc.l.rtdc.4030:itc</v>
      </c>
      <c r="G154" s="8">
        <f t="shared" si="5"/>
        <v>42609.680335648147</v>
      </c>
    </row>
    <row r="155" spans="1:7" x14ac:dyDescent="0.25">
      <c r="A155" s="8">
        <v>42609.683935185189</v>
      </c>
      <c r="B155" s="23" t="s">
        <v>291</v>
      </c>
      <c r="C155" s="23" t="s">
        <v>606</v>
      </c>
      <c r="D155" s="23">
        <v>1280000</v>
      </c>
      <c r="E155" s="23" t="s">
        <v>682</v>
      </c>
      <c r="F155" s="23" t="str">
        <f t="shared" si="4"/>
        <v>rtdc.l.rtdc.4020:itc</v>
      </c>
      <c r="G155" s="8">
        <f t="shared" si="5"/>
        <v>42609.683935185189</v>
      </c>
    </row>
    <row r="156" spans="1:7" x14ac:dyDescent="0.25">
      <c r="A156" s="8">
        <v>42609.688784722224</v>
      </c>
      <c r="B156" s="23" t="s">
        <v>90</v>
      </c>
      <c r="C156" s="23" t="s">
        <v>598</v>
      </c>
      <c r="D156" s="23">
        <v>1740000</v>
      </c>
      <c r="E156" s="23" t="s">
        <v>681</v>
      </c>
      <c r="F156" s="23" t="str">
        <f t="shared" si="4"/>
        <v>rtdc.l.rtdc.4013:itc</v>
      </c>
      <c r="G156" s="8">
        <f t="shared" si="5"/>
        <v>42609.688784722224</v>
      </c>
    </row>
    <row r="157" spans="1:7" x14ac:dyDescent="0.25">
      <c r="A157" s="8">
        <v>42609.692326388889</v>
      </c>
      <c r="B157" s="23" t="s">
        <v>169</v>
      </c>
      <c r="C157" s="23" t="s">
        <v>551</v>
      </c>
      <c r="D157" s="23">
        <v>1780000</v>
      </c>
      <c r="E157" s="23" t="s">
        <v>688</v>
      </c>
      <c r="F157" s="23" t="str">
        <f t="shared" si="4"/>
        <v>rtdc.l.rtdc.4008:itc</v>
      </c>
      <c r="G157" s="8">
        <f t="shared" si="5"/>
        <v>42609.692326388889</v>
      </c>
    </row>
    <row r="158" spans="1:7" x14ac:dyDescent="0.25">
      <c r="A158" s="8">
        <v>42609.695601851854</v>
      </c>
      <c r="B158" s="23" t="s">
        <v>114</v>
      </c>
      <c r="C158" s="23" t="s">
        <v>608</v>
      </c>
      <c r="D158" s="23">
        <v>2040000</v>
      </c>
      <c r="E158" s="23" t="s">
        <v>255</v>
      </c>
      <c r="F158" s="23" t="str">
        <f t="shared" si="4"/>
        <v>rtdc.l.rtdc.4031:itc</v>
      </c>
      <c r="G158" s="8">
        <f t="shared" si="5"/>
        <v>42609.695601851854</v>
      </c>
    </row>
    <row r="159" spans="1:7" x14ac:dyDescent="0.25">
      <c r="A159" s="8">
        <v>42609.703101851854</v>
      </c>
      <c r="B159" s="23" t="s">
        <v>254</v>
      </c>
      <c r="C159" s="23" t="s">
        <v>601</v>
      </c>
      <c r="D159" s="23">
        <v>950000</v>
      </c>
      <c r="E159" s="23" t="s">
        <v>294</v>
      </c>
      <c r="F159" s="23" t="str">
        <f t="shared" si="4"/>
        <v>rtdc.l.rtdc.4026:itc</v>
      </c>
      <c r="G159" s="8">
        <f t="shared" si="5"/>
        <v>42609.703101851854</v>
      </c>
    </row>
    <row r="160" spans="1:7" x14ac:dyDescent="0.25">
      <c r="A160" s="8">
        <v>42609.703831018516</v>
      </c>
      <c r="B160" s="23" t="s">
        <v>150</v>
      </c>
      <c r="C160" s="23" t="s">
        <v>611</v>
      </c>
      <c r="D160" s="23">
        <v>2020000</v>
      </c>
      <c r="E160" s="23" t="s">
        <v>292</v>
      </c>
      <c r="F160" s="23" t="str">
        <f t="shared" si="4"/>
        <v>rtdc.l.rtdc.4042:itc</v>
      </c>
      <c r="G160" s="8">
        <f t="shared" si="5"/>
        <v>42609.703831018516</v>
      </c>
    </row>
    <row r="161" spans="1:7" x14ac:dyDescent="0.25">
      <c r="A161" s="8">
        <v>42609.714050925926</v>
      </c>
      <c r="B161" s="23" t="s">
        <v>174</v>
      </c>
      <c r="C161" s="23" t="s">
        <v>605</v>
      </c>
      <c r="D161" s="23">
        <v>880000</v>
      </c>
      <c r="E161" s="23" t="s">
        <v>305</v>
      </c>
      <c r="F161" s="23" t="str">
        <f t="shared" si="4"/>
        <v>rtdc.l.rtdc.4010:itc</v>
      </c>
      <c r="G161" s="8">
        <f t="shared" si="5"/>
        <v>42609.714050925926</v>
      </c>
    </row>
    <row r="162" spans="1:7" x14ac:dyDescent="0.25">
      <c r="A162" s="8">
        <v>42609.71534722222</v>
      </c>
      <c r="B162" s="23" t="s">
        <v>289</v>
      </c>
      <c r="C162" s="23" t="s">
        <v>607</v>
      </c>
      <c r="D162" s="23">
        <v>1280000</v>
      </c>
      <c r="E162" s="23" t="s">
        <v>682</v>
      </c>
      <c r="F162" s="23" t="str">
        <f t="shared" si="4"/>
        <v>rtdc.l.rtdc.4019:itc</v>
      </c>
      <c r="G162" s="8">
        <f t="shared" si="5"/>
        <v>42609.71534722222</v>
      </c>
    </row>
    <row r="163" spans="1:7" x14ac:dyDescent="0.25">
      <c r="A163" s="8">
        <v>42609.716064814813</v>
      </c>
      <c r="B163" s="23" t="s">
        <v>91</v>
      </c>
      <c r="C163" s="23" t="s">
        <v>614</v>
      </c>
      <c r="D163" s="23">
        <v>2270000</v>
      </c>
      <c r="E163" s="23" t="s">
        <v>293</v>
      </c>
      <c r="F163" s="23" t="str">
        <f t="shared" si="4"/>
        <v>rtdc.l.rtdc.4029:itc</v>
      </c>
      <c r="G163" s="8">
        <f t="shared" si="5"/>
        <v>42609.716064814813</v>
      </c>
    </row>
    <row r="164" spans="1:7" x14ac:dyDescent="0.25">
      <c r="A164" s="8">
        <v>42609.716886574075</v>
      </c>
      <c r="B164" s="23" t="s">
        <v>186</v>
      </c>
      <c r="C164" s="23" t="s">
        <v>553</v>
      </c>
      <c r="D164" s="23">
        <v>1780000</v>
      </c>
      <c r="E164" s="23" t="s">
        <v>688</v>
      </c>
      <c r="F164" s="23" t="str">
        <f t="shared" si="4"/>
        <v>rtdc.l.rtdc.4007:itc</v>
      </c>
      <c r="G164" s="8">
        <f t="shared" si="5"/>
        <v>42609.716886574075</v>
      </c>
    </row>
    <row r="165" spans="1:7" x14ac:dyDescent="0.25">
      <c r="A165" s="8">
        <v>42609.725601851853</v>
      </c>
      <c r="B165" s="23" t="s">
        <v>112</v>
      </c>
      <c r="C165" s="23" t="s">
        <v>617</v>
      </c>
      <c r="D165" s="23">
        <v>1740000</v>
      </c>
      <c r="E165" s="23" t="s">
        <v>681</v>
      </c>
      <c r="F165" s="23" t="str">
        <f t="shared" si="4"/>
        <v>rtdc.l.rtdc.4014:itc</v>
      </c>
      <c r="G165" s="8">
        <f t="shared" si="5"/>
        <v>42609.725601851853</v>
      </c>
    </row>
    <row r="166" spans="1:7" x14ac:dyDescent="0.25">
      <c r="A166" s="8">
        <v>42609.734039351853</v>
      </c>
      <c r="B166" s="23" t="s">
        <v>169</v>
      </c>
      <c r="C166" s="23" t="s">
        <v>555</v>
      </c>
      <c r="D166" s="23">
        <v>1780000</v>
      </c>
      <c r="E166" s="23" t="s">
        <v>688</v>
      </c>
      <c r="F166" s="23" t="str">
        <f t="shared" si="4"/>
        <v>rtdc.l.rtdc.4008:itc</v>
      </c>
      <c r="G166" s="8">
        <f t="shared" si="5"/>
        <v>42609.734039351853</v>
      </c>
    </row>
    <row r="167" spans="1:7" x14ac:dyDescent="0.25">
      <c r="A167" s="8">
        <v>42609.735196759262</v>
      </c>
      <c r="B167" s="23" t="s">
        <v>115</v>
      </c>
      <c r="C167" s="23" t="s">
        <v>610</v>
      </c>
      <c r="D167" s="23">
        <v>2040000</v>
      </c>
      <c r="E167" s="23" t="s">
        <v>255</v>
      </c>
      <c r="F167" s="23" t="str">
        <f t="shared" si="4"/>
        <v>rtdc.l.rtdc.4032:itc</v>
      </c>
      <c r="G167" s="8">
        <f t="shared" si="5"/>
        <v>42609.735196759262</v>
      </c>
    </row>
    <row r="168" spans="1:7" x14ac:dyDescent="0.25">
      <c r="A168" s="8">
        <v>42609.736689814818</v>
      </c>
      <c r="B168" s="23" t="s">
        <v>253</v>
      </c>
      <c r="C168" s="23" t="s">
        <v>619</v>
      </c>
      <c r="D168" s="23">
        <v>2220000</v>
      </c>
      <c r="E168" s="23" t="s">
        <v>689</v>
      </c>
      <c r="F168" s="23" t="str">
        <f t="shared" si="4"/>
        <v>rtdc.l.rtdc.4025:itc</v>
      </c>
      <c r="G168" s="8">
        <f t="shared" si="5"/>
        <v>42609.736689814818</v>
      </c>
    </row>
    <row r="169" spans="1:7" x14ac:dyDescent="0.25">
      <c r="A169" s="8">
        <v>42609.741168981483</v>
      </c>
      <c r="B169" s="23" t="s">
        <v>185</v>
      </c>
      <c r="C169" s="23" t="s">
        <v>612</v>
      </c>
      <c r="D169" s="23">
        <v>2020000</v>
      </c>
      <c r="E169" s="23" t="s">
        <v>292</v>
      </c>
      <c r="F169" s="23" t="str">
        <f t="shared" si="4"/>
        <v>rtdc.l.rtdc.4041:itc</v>
      </c>
      <c r="G169" s="8">
        <f t="shared" si="5"/>
        <v>42609.741168981483</v>
      </c>
    </row>
    <row r="170" spans="1:7" x14ac:dyDescent="0.25">
      <c r="A170" s="8">
        <v>42609.746099537035</v>
      </c>
      <c r="B170" s="23" t="s">
        <v>173</v>
      </c>
      <c r="C170" s="23" t="s">
        <v>621</v>
      </c>
      <c r="D170" s="23">
        <v>950000</v>
      </c>
      <c r="E170" s="23" t="s">
        <v>294</v>
      </c>
      <c r="F170" s="23" t="str">
        <f t="shared" si="4"/>
        <v>rtdc.l.rtdc.4009:itc</v>
      </c>
      <c r="G170" s="8">
        <f t="shared" si="5"/>
        <v>42609.746099537035</v>
      </c>
    </row>
    <row r="171" spans="1:7" x14ac:dyDescent="0.25">
      <c r="A171" s="8">
        <v>42609.750127314815</v>
      </c>
      <c r="B171" s="23" t="s">
        <v>92</v>
      </c>
      <c r="C171" s="23" t="s">
        <v>616</v>
      </c>
      <c r="D171" s="23">
        <v>2270000</v>
      </c>
      <c r="E171" s="23" t="s">
        <v>293</v>
      </c>
      <c r="F171" s="23" t="str">
        <f t="shared" si="4"/>
        <v>rtdc.l.rtdc.4030:itc</v>
      </c>
      <c r="G171" s="8">
        <f t="shared" si="5"/>
        <v>42609.750127314815</v>
      </c>
    </row>
    <row r="172" spans="1:7" x14ac:dyDescent="0.25">
      <c r="A172" s="8">
        <v>42609.759027777778</v>
      </c>
      <c r="B172" s="23" t="s">
        <v>291</v>
      </c>
      <c r="C172" s="23" t="s">
        <v>623</v>
      </c>
      <c r="D172" s="23">
        <v>1800000</v>
      </c>
      <c r="E172" s="23" t="s">
        <v>176</v>
      </c>
      <c r="F172" s="23" t="str">
        <f t="shared" si="4"/>
        <v>rtdc.l.rtdc.4020:itc</v>
      </c>
      <c r="G172" s="8">
        <f t="shared" si="5"/>
        <v>42609.759027777778</v>
      </c>
    </row>
    <row r="173" spans="1:7" x14ac:dyDescent="0.25">
      <c r="A173" s="8">
        <v>42609.761493055557</v>
      </c>
      <c r="B173" s="23" t="s">
        <v>90</v>
      </c>
      <c r="C173" s="23" t="s">
        <v>618</v>
      </c>
      <c r="D173" s="23">
        <v>1740000</v>
      </c>
      <c r="E173" s="23" t="s">
        <v>681</v>
      </c>
      <c r="F173" s="23" t="str">
        <f t="shared" si="4"/>
        <v>rtdc.l.rtdc.4013:itc</v>
      </c>
      <c r="G173" s="8">
        <f t="shared" si="5"/>
        <v>42609.761493055557</v>
      </c>
    </row>
    <row r="174" spans="1:7" x14ac:dyDescent="0.25">
      <c r="A174" s="8">
        <v>42609.762314814812</v>
      </c>
      <c r="B174" s="23" t="s">
        <v>186</v>
      </c>
      <c r="C174" s="23" t="s">
        <v>557</v>
      </c>
      <c r="D174" s="23">
        <v>1780000</v>
      </c>
      <c r="E174" s="23" t="s">
        <v>688</v>
      </c>
      <c r="F174" s="23" t="str">
        <f t="shared" si="4"/>
        <v>rtdc.l.rtdc.4007:itc</v>
      </c>
      <c r="G174" s="8">
        <f t="shared" si="5"/>
        <v>42609.762314814812</v>
      </c>
    </row>
    <row r="175" spans="1:7" x14ac:dyDescent="0.25">
      <c r="A175" s="8">
        <v>42609.76734953704</v>
      </c>
      <c r="B175" s="23" t="s">
        <v>254</v>
      </c>
      <c r="C175" s="23" t="s">
        <v>620</v>
      </c>
      <c r="D175" s="23">
        <v>2220000</v>
      </c>
      <c r="E175" s="23" t="s">
        <v>689</v>
      </c>
      <c r="F175" s="23" t="str">
        <f t="shared" si="4"/>
        <v>rtdc.l.rtdc.4026:itc</v>
      </c>
      <c r="G175" s="8">
        <f t="shared" si="5"/>
        <v>42609.76734953704</v>
      </c>
    </row>
    <row r="176" spans="1:7" x14ac:dyDescent="0.25">
      <c r="A176" s="8">
        <v>42609.770474537036</v>
      </c>
      <c r="B176" s="23" t="s">
        <v>114</v>
      </c>
      <c r="C176" s="23" t="s">
        <v>626</v>
      </c>
      <c r="D176" s="23">
        <v>1480000</v>
      </c>
      <c r="E176" s="23" t="s">
        <v>256</v>
      </c>
      <c r="F176" s="23" t="str">
        <f t="shared" si="4"/>
        <v>rtdc.l.rtdc.4031:itc</v>
      </c>
      <c r="G176" s="8">
        <f t="shared" si="5"/>
        <v>42609.770474537036</v>
      </c>
    </row>
    <row r="177" spans="1:7" x14ac:dyDescent="0.25">
      <c r="A177" s="8">
        <v>42609.776064814818</v>
      </c>
      <c r="B177" s="23" t="s">
        <v>169</v>
      </c>
      <c r="C177" s="23" t="s">
        <v>560</v>
      </c>
      <c r="D177" s="23">
        <v>1780000</v>
      </c>
      <c r="E177" s="23" t="s">
        <v>688</v>
      </c>
      <c r="F177" s="23" t="str">
        <f t="shared" si="4"/>
        <v>rtdc.l.rtdc.4008:itc</v>
      </c>
      <c r="G177" s="8">
        <f t="shared" si="5"/>
        <v>42609.776064814818</v>
      </c>
    </row>
    <row r="178" spans="1:7" x14ac:dyDescent="0.25">
      <c r="A178" s="8">
        <v>42609.777662037035</v>
      </c>
      <c r="B178" s="23" t="s">
        <v>150</v>
      </c>
      <c r="C178" s="23" t="s">
        <v>660</v>
      </c>
      <c r="D178" s="23">
        <v>2020000</v>
      </c>
      <c r="E178" s="23" t="s">
        <v>292</v>
      </c>
      <c r="F178" s="23" t="str">
        <f t="shared" si="4"/>
        <v>rtdc.l.rtdc.4042:itc</v>
      </c>
      <c r="G178" s="8">
        <f t="shared" si="5"/>
        <v>42609.777662037035</v>
      </c>
    </row>
    <row r="179" spans="1:7" x14ac:dyDescent="0.25">
      <c r="A179" s="8">
        <v>42609.786076388889</v>
      </c>
      <c r="B179" s="23" t="s">
        <v>174</v>
      </c>
      <c r="C179" s="23" t="s">
        <v>622</v>
      </c>
      <c r="D179" s="23">
        <v>950000</v>
      </c>
      <c r="E179" s="23" t="s">
        <v>294</v>
      </c>
      <c r="F179" s="23" t="str">
        <f t="shared" si="4"/>
        <v>rtdc.l.rtdc.4010:itc</v>
      </c>
      <c r="G179" s="8">
        <f t="shared" si="5"/>
        <v>42609.786076388889</v>
      </c>
    </row>
    <row r="180" spans="1:7" x14ac:dyDescent="0.25">
      <c r="A180" s="8">
        <v>42609.787858796299</v>
      </c>
      <c r="B180" s="23" t="s">
        <v>151</v>
      </c>
      <c r="C180" s="23" t="s">
        <v>676</v>
      </c>
      <c r="D180" s="23">
        <v>1230000</v>
      </c>
      <c r="E180" s="23" t="s">
        <v>170</v>
      </c>
      <c r="F180" s="23" t="str">
        <f t="shared" si="4"/>
        <v>rtdc.l.rtdc.4038:itc</v>
      </c>
      <c r="G180" s="8">
        <f t="shared" si="5"/>
        <v>42609.787858796299</v>
      </c>
    </row>
    <row r="181" spans="1:7" x14ac:dyDescent="0.25">
      <c r="A181" s="8">
        <v>42609.788229166668</v>
      </c>
      <c r="B181" s="23" t="s">
        <v>91</v>
      </c>
      <c r="C181" s="23" t="s">
        <v>628</v>
      </c>
      <c r="D181" s="23">
        <v>2000000</v>
      </c>
      <c r="E181" s="23" t="s">
        <v>143</v>
      </c>
      <c r="F181" s="23" t="str">
        <f t="shared" si="4"/>
        <v>rtdc.l.rtdc.4029:itc</v>
      </c>
      <c r="G181" s="8">
        <f t="shared" si="5"/>
        <v>42609.788229166668</v>
      </c>
    </row>
    <row r="182" spans="1:7" x14ac:dyDescent="0.25">
      <c r="A182" s="8">
        <v>42609.798587962963</v>
      </c>
      <c r="B182" s="23" t="s">
        <v>289</v>
      </c>
      <c r="C182" s="23" t="s">
        <v>625</v>
      </c>
      <c r="D182" s="23">
        <v>1800000</v>
      </c>
      <c r="E182" s="23" t="s">
        <v>176</v>
      </c>
      <c r="F182" s="23" t="str">
        <f t="shared" si="4"/>
        <v>rtdc.l.rtdc.4019:itc</v>
      </c>
      <c r="G182" s="8">
        <f t="shared" si="5"/>
        <v>42609.798587962963</v>
      </c>
    </row>
    <row r="183" spans="1:7" x14ac:dyDescent="0.25">
      <c r="A183" s="8">
        <v>42609.799421296295</v>
      </c>
      <c r="B183" s="23" t="s">
        <v>112</v>
      </c>
      <c r="C183" s="23" t="s">
        <v>690</v>
      </c>
      <c r="D183" s="23">
        <v>1740000</v>
      </c>
      <c r="E183" s="23" t="s">
        <v>681</v>
      </c>
      <c r="F183" s="23" t="str">
        <f t="shared" si="4"/>
        <v>rtdc.l.rtdc.4014:itc</v>
      </c>
      <c r="G183" s="8">
        <f t="shared" si="5"/>
        <v>42609.799421296295</v>
      </c>
    </row>
    <row r="184" spans="1:7" x14ac:dyDescent="0.25">
      <c r="A184" s="8">
        <v>42609.803518518522</v>
      </c>
      <c r="B184" s="23" t="s">
        <v>186</v>
      </c>
      <c r="C184" s="23" t="s">
        <v>562</v>
      </c>
      <c r="D184" s="23">
        <v>1780000</v>
      </c>
      <c r="E184" s="23" t="s">
        <v>688</v>
      </c>
      <c r="F184" s="23" t="str">
        <f t="shared" si="4"/>
        <v>rtdc.l.rtdc.4007:itc</v>
      </c>
      <c r="G184" s="8">
        <f t="shared" si="5"/>
        <v>42609.803518518522</v>
      </c>
    </row>
    <row r="185" spans="1:7" x14ac:dyDescent="0.25">
      <c r="A185" s="8">
        <v>42609.80673611111</v>
      </c>
      <c r="B185" s="23" t="s">
        <v>115</v>
      </c>
      <c r="C185" s="23" t="s">
        <v>627</v>
      </c>
      <c r="D185" s="23">
        <v>1480000</v>
      </c>
      <c r="E185" s="23" t="s">
        <v>256</v>
      </c>
      <c r="F185" s="23" t="str">
        <f t="shared" si="4"/>
        <v>rtdc.l.rtdc.4032:itc</v>
      </c>
      <c r="G185" s="8">
        <f t="shared" si="5"/>
        <v>42609.80673611111</v>
      </c>
    </row>
    <row r="186" spans="1:7" x14ac:dyDescent="0.25">
      <c r="A186" s="8">
        <v>42609.807800925926</v>
      </c>
      <c r="B186" s="23" t="s">
        <v>253</v>
      </c>
      <c r="C186" s="23" t="s">
        <v>630</v>
      </c>
      <c r="D186" s="23">
        <v>2220000</v>
      </c>
      <c r="E186" s="23" t="s">
        <v>689</v>
      </c>
      <c r="F186" s="23" t="str">
        <f t="shared" si="4"/>
        <v>rtdc.l.rtdc.4025:itc</v>
      </c>
      <c r="G186" s="8">
        <f t="shared" si="5"/>
        <v>42609.807800925926</v>
      </c>
    </row>
    <row r="187" spans="1:7" x14ac:dyDescent="0.25">
      <c r="A187" s="8">
        <v>42609.818807870368</v>
      </c>
      <c r="B187" s="23" t="s">
        <v>169</v>
      </c>
      <c r="C187" s="23" t="s">
        <v>564</v>
      </c>
      <c r="D187" s="23">
        <v>1780000</v>
      </c>
      <c r="E187" s="23" t="s">
        <v>688</v>
      </c>
      <c r="F187" s="23" t="str">
        <f t="shared" si="4"/>
        <v>rtdc.l.rtdc.4008:itc</v>
      </c>
      <c r="G187" s="8">
        <f t="shared" si="5"/>
        <v>42609.818807870368</v>
      </c>
    </row>
    <row r="188" spans="1:7" x14ac:dyDescent="0.25">
      <c r="A188" s="8">
        <v>42609.820347222223</v>
      </c>
      <c r="B188" s="23" t="s">
        <v>173</v>
      </c>
      <c r="C188" s="23" t="s">
        <v>662</v>
      </c>
      <c r="D188" s="23">
        <v>950000</v>
      </c>
      <c r="E188" s="23" t="s">
        <v>294</v>
      </c>
      <c r="F188" s="23" t="str">
        <f t="shared" si="4"/>
        <v>rtdc.l.rtdc.4009:itc</v>
      </c>
      <c r="G188" s="8">
        <f t="shared" si="5"/>
        <v>42609.820347222223</v>
      </c>
    </row>
    <row r="189" spans="1:7" x14ac:dyDescent="0.25">
      <c r="A189" s="8">
        <v>42609.822650462964</v>
      </c>
      <c r="B189" s="23" t="s">
        <v>290</v>
      </c>
      <c r="C189" s="23" t="s">
        <v>667</v>
      </c>
      <c r="D189" s="23">
        <v>1230000</v>
      </c>
      <c r="E189" s="23" t="s">
        <v>170</v>
      </c>
      <c r="F189" s="23" t="str">
        <f t="shared" si="4"/>
        <v>rtdc.l.rtdc.4012:itc</v>
      </c>
      <c r="G189" s="8">
        <f t="shared" si="5"/>
        <v>42609.822650462964</v>
      </c>
    </row>
    <row r="190" spans="1:7" x14ac:dyDescent="0.25">
      <c r="A190" s="8">
        <v>42609.826099537036</v>
      </c>
      <c r="B190" s="23" t="s">
        <v>92</v>
      </c>
      <c r="C190" s="23" t="s">
        <v>629</v>
      </c>
      <c r="D190" s="23">
        <v>2000000</v>
      </c>
      <c r="E190" s="23" t="s">
        <v>143</v>
      </c>
      <c r="F190" s="23" t="str">
        <f t="shared" si="4"/>
        <v>rtdc.l.rtdc.4030:itc</v>
      </c>
      <c r="G190" s="8">
        <f t="shared" si="5"/>
        <v>42609.826099537036</v>
      </c>
    </row>
    <row r="191" spans="1:7" x14ac:dyDescent="0.25">
      <c r="A191" s="8">
        <v>42609.827025462961</v>
      </c>
      <c r="B191" s="23" t="s">
        <v>290</v>
      </c>
      <c r="C191" s="23" t="s">
        <v>667</v>
      </c>
      <c r="D191" s="23">
        <v>1230000</v>
      </c>
      <c r="E191" s="23" t="s">
        <v>170</v>
      </c>
      <c r="F191" s="23" t="str">
        <f t="shared" si="4"/>
        <v>rtdc.l.rtdc.4012:itc</v>
      </c>
      <c r="G191" s="8">
        <f t="shared" si="5"/>
        <v>42609.827025462961</v>
      </c>
    </row>
    <row r="192" spans="1:7" x14ac:dyDescent="0.25">
      <c r="A192" s="8">
        <v>42609.83216435185</v>
      </c>
      <c r="B192" s="23" t="s">
        <v>291</v>
      </c>
      <c r="C192" s="23" t="s">
        <v>632</v>
      </c>
      <c r="D192" s="23">
        <v>1800000</v>
      </c>
      <c r="E192" s="23" t="s">
        <v>176</v>
      </c>
      <c r="F192" s="23" t="str">
        <f t="shared" si="4"/>
        <v>rtdc.l.rtdc.4020:itc</v>
      </c>
      <c r="G192" s="8">
        <f t="shared" si="5"/>
        <v>42609.83216435185</v>
      </c>
    </row>
    <row r="193" spans="1:7" x14ac:dyDescent="0.25">
      <c r="A193" s="8">
        <v>42609.839861111112</v>
      </c>
      <c r="B193" s="23" t="s">
        <v>254</v>
      </c>
      <c r="C193" s="23" t="s">
        <v>631</v>
      </c>
      <c r="D193" s="23">
        <v>2220000</v>
      </c>
      <c r="E193" s="23" t="s">
        <v>689</v>
      </c>
      <c r="F193" s="23" t="str">
        <f t="shared" si="4"/>
        <v>rtdc.l.rtdc.4026:itc</v>
      </c>
      <c r="G193" s="8">
        <f t="shared" si="5"/>
        <v>42609.839861111112</v>
      </c>
    </row>
    <row r="194" spans="1:7" x14ac:dyDescent="0.25">
      <c r="A194" s="8">
        <v>42609.845439814817</v>
      </c>
      <c r="B194" s="23" t="s">
        <v>186</v>
      </c>
      <c r="C194" s="23" t="s">
        <v>566</v>
      </c>
      <c r="D194" s="23">
        <v>1780000</v>
      </c>
      <c r="E194" s="23" t="s">
        <v>688</v>
      </c>
      <c r="F194" s="23" t="str">
        <f t="shared" ref="F194:F235" si="6">B194</f>
        <v>rtdc.l.rtdc.4007:itc</v>
      </c>
      <c r="G194" s="8">
        <f t="shared" ref="G194:G235" si="7">A194</f>
        <v>42609.845439814817</v>
      </c>
    </row>
    <row r="195" spans="1:7" x14ac:dyDescent="0.25">
      <c r="A195" s="8">
        <v>42609.849189814813</v>
      </c>
      <c r="B195" s="23" t="s">
        <v>114</v>
      </c>
      <c r="C195" s="23" t="s">
        <v>634</v>
      </c>
      <c r="D195" s="23">
        <v>1480000</v>
      </c>
      <c r="E195" s="23" t="s">
        <v>256</v>
      </c>
      <c r="F195" s="23" t="str">
        <f t="shared" si="6"/>
        <v>rtdc.l.rtdc.4031:itc</v>
      </c>
      <c r="G195" s="8">
        <f t="shared" si="7"/>
        <v>42609.849189814813</v>
      </c>
    </row>
    <row r="196" spans="1:7" x14ac:dyDescent="0.25">
      <c r="A196" s="8">
        <v>42609.859675925924</v>
      </c>
      <c r="B196" s="23" t="s">
        <v>169</v>
      </c>
      <c r="C196" s="23" t="s">
        <v>570</v>
      </c>
      <c r="D196" s="23">
        <v>1780000</v>
      </c>
      <c r="E196" s="23" t="s">
        <v>688</v>
      </c>
      <c r="F196" s="23" t="str">
        <f t="shared" si="6"/>
        <v>rtdc.l.rtdc.4008:itc</v>
      </c>
      <c r="G196" s="8">
        <f t="shared" si="7"/>
        <v>42609.859675925924</v>
      </c>
    </row>
    <row r="197" spans="1:7" x14ac:dyDescent="0.25">
      <c r="A197" s="8">
        <v>42609.869189814817</v>
      </c>
      <c r="B197" s="23" t="s">
        <v>91</v>
      </c>
      <c r="C197" s="23" t="s">
        <v>637</v>
      </c>
      <c r="D197" s="23">
        <v>2000000</v>
      </c>
      <c r="E197" s="23" t="s">
        <v>143</v>
      </c>
      <c r="F197" s="23" t="str">
        <f t="shared" si="6"/>
        <v>rtdc.l.rtdc.4029:itc</v>
      </c>
      <c r="G197" s="8">
        <f t="shared" si="7"/>
        <v>42609.869189814817</v>
      </c>
    </row>
    <row r="198" spans="1:7" x14ac:dyDescent="0.25">
      <c r="A198" s="8">
        <v>42609.870694444442</v>
      </c>
      <c r="B198" s="23" t="s">
        <v>289</v>
      </c>
      <c r="C198" s="23" t="s">
        <v>633</v>
      </c>
      <c r="D198" s="23">
        <v>1800000</v>
      </c>
      <c r="E198" s="23" t="s">
        <v>176</v>
      </c>
      <c r="F198" s="23" t="str">
        <f t="shared" si="6"/>
        <v>rtdc.l.rtdc.4019:itc</v>
      </c>
      <c r="G198" s="8">
        <f t="shared" si="7"/>
        <v>42609.870694444442</v>
      </c>
    </row>
    <row r="199" spans="1:7" x14ac:dyDescent="0.25">
      <c r="A199" s="8">
        <v>42609.881180555552</v>
      </c>
      <c r="B199" s="23" t="s">
        <v>253</v>
      </c>
      <c r="C199" s="23" t="s">
        <v>640</v>
      </c>
      <c r="D199" s="23">
        <v>2220000</v>
      </c>
      <c r="E199" s="23" t="s">
        <v>689</v>
      </c>
      <c r="F199" s="23" t="str">
        <f t="shared" si="6"/>
        <v>rtdc.l.rtdc.4025:itc</v>
      </c>
      <c r="G199" s="8">
        <f t="shared" si="7"/>
        <v>42609.881180555552</v>
      </c>
    </row>
    <row r="200" spans="1:7" x14ac:dyDescent="0.25">
      <c r="A200" s="8">
        <v>42609.886759259258</v>
      </c>
      <c r="B200" s="23" t="s">
        <v>186</v>
      </c>
      <c r="C200" s="23" t="s">
        <v>571</v>
      </c>
      <c r="D200" s="23">
        <v>1780000</v>
      </c>
      <c r="E200" s="23" t="s">
        <v>688</v>
      </c>
      <c r="F200" s="23" t="str">
        <f t="shared" si="6"/>
        <v>rtdc.l.rtdc.4007:itc</v>
      </c>
      <c r="G200" s="8">
        <f t="shared" si="7"/>
        <v>42609.886759259258</v>
      </c>
    </row>
    <row r="201" spans="1:7" x14ac:dyDescent="0.25">
      <c r="A201" s="8">
        <v>42609.887546296297</v>
      </c>
      <c r="B201" s="23" t="s">
        <v>115</v>
      </c>
      <c r="C201" s="23" t="s">
        <v>635</v>
      </c>
      <c r="D201" s="23">
        <v>1480000</v>
      </c>
      <c r="E201" s="23" t="s">
        <v>256</v>
      </c>
      <c r="F201" s="23" t="str">
        <f t="shared" si="6"/>
        <v>rtdc.l.rtdc.4032:itc</v>
      </c>
      <c r="G201" s="8">
        <f t="shared" si="7"/>
        <v>42609.887546296297</v>
      </c>
    </row>
    <row r="202" spans="1:7" x14ac:dyDescent="0.25">
      <c r="A202" s="29">
        <v>42609.901145833333</v>
      </c>
      <c r="B202" s="23" t="s">
        <v>169</v>
      </c>
      <c r="C202" s="23" t="s">
        <v>573</v>
      </c>
      <c r="D202" s="23">
        <v>1780000</v>
      </c>
      <c r="E202" s="23" t="s">
        <v>688</v>
      </c>
      <c r="F202" s="23" t="str">
        <f t="shared" si="6"/>
        <v>rtdc.l.rtdc.4008:itc</v>
      </c>
      <c r="G202" s="8">
        <f t="shared" si="7"/>
        <v>42609.901145833333</v>
      </c>
    </row>
    <row r="203" spans="1:7" x14ac:dyDescent="0.25">
      <c r="A203" s="8">
        <v>42609.904305555552</v>
      </c>
      <c r="B203" s="23" t="s">
        <v>92</v>
      </c>
      <c r="C203" s="23" t="s">
        <v>638</v>
      </c>
      <c r="D203" s="23">
        <v>2000000</v>
      </c>
      <c r="E203" s="23" t="s">
        <v>143</v>
      </c>
      <c r="F203" s="23" t="str">
        <f t="shared" si="6"/>
        <v>rtdc.l.rtdc.4030:itc</v>
      </c>
      <c r="G203" s="8">
        <f t="shared" si="7"/>
        <v>42609.904305555552</v>
      </c>
    </row>
    <row r="204" spans="1:7" x14ac:dyDescent="0.25">
      <c r="A204" s="8">
        <v>42609.915960648148</v>
      </c>
      <c r="B204" s="23" t="s">
        <v>291</v>
      </c>
      <c r="C204" s="23" t="s">
        <v>642</v>
      </c>
      <c r="D204" s="23">
        <v>1800000</v>
      </c>
      <c r="E204" s="23" t="s">
        <v>176</v>
      </c>
      <c r="F204" s="23" t="str">
        <f t="shared" si="6"/>
        <v>rtdc.l.rtdc.4020:itc</v>
      </c>
      <c r="G204" s="8">
        <f t="shared" si="7"/>
        <v>42609.915960648148</v>
      </c>
    </row>
    <row r="205" spans="1:7" x14ac:dyDescent="0.25">
      <c r="A205" s="8">
        <v>42609.925752314812</v>
      </c>
      <c r="B205" s="23" t="s">
        <v>254</v>
      </c>
      <c r="C205" s="23" t="s">
        <v>641</v>
      </c>
      <c r="D205" s="23">
        <v>2220000</v>
      </c>
      <c r="E205" s="23" t="s">
        <v>689</v>
      </c>
      <c r="F205" s="23" t="str">
        <f t="shared" si="6"/>
        <v>rtdc.l.rtdc.4026:itc</v>
      </c>
      <c r="G205" s="8">
        <f t="shared" si="7"/>
        <v>42609.925752314812</v>
      </c>
    </row>
    <row r="206" spans="1:7" x14ac:dyDescent="0.25">
      <c r="A206" s="8">
        <v>42609.927187499998</v>
      </c>
      <c r="B206" s="23" t="s">
        <v>186</v>
      </c>
      <c r="C206" s="23" t="s">
        <v>575</v>
      </c>
      <c r="D206" s="23">
        <v>1780000</v>
      </c>
      <c r="E206" s="23" t="s">
        <v>688</v>
      </c>
      <c r="F206" s="23" t="str">
        <f t="shared" si="6"/>
        <v>rtdc.l.rtdc.4007:itc</v>
      </c>
      <c r="G206" s="8">
        <f t="shared" si="7"/>
        <v>42609.927187499998</v>
      </c>
    </row>
    <row r="207" spans="1:7" x14ac:dyDescent="0.25">
      <c r="A207" s="8">
        <v>42609.932129629633</v>
      </c>
      <c r="B207" s="23" t="s">
        <v>114</v>
      </c>
      <c r="C207" s="23" t="s">
        <v>644</v>
      </c>
      <c r="D207" s="23">
        <v>1480000</v>
      </c>
      <c r="E207" s="23" t="s">
        <v>256</v>
      </c>
      <c r="F207" s="23" t="str">
        <f t="shared" si="6"/>
        <v>rtdc.l.rtdc.4031:itc</v>
      </c>
      <c r="G207" s="8">
        <f t="shared" si="7"/>
        <v>42609.932129629633</v>
      </c>
    </row>
    <row r="208" spans="1:7" x14ac:dyDescent="0.25">
      <c r="A208" s="8">
        <v>42609.942557870374</v>
      </c>
      <c r="B208" s="23" t="s">
        <v>169</v>
      </c>
      <c r="C208" s="23" t="s">
        <v>585</v>
      </c>
      <c r="D208" s="23">
        <v>1780000</v>
      </c>
      <c r="E208" s="23" t="s">
        <v>688</v>
      </c>
      <c r="F208" s="23" t="str">
        <f t="shared" si="6"/>
        <v>rtdc.l.rtdc.4008:itc</v>
      </c>
      <c r="G208" s="8">
        <f t="shared" si="7"/>
        <v>42609.942557870374</v>
      </c>
    </row>
    <row r="209" spans="1:7" x14ac:dyDescent="0.25">
      <c r="A209" s="8">
        <v>42609.942615740743</v>
      </c>
      <c r="B209" s="23" t="s">
        <v>91</v>
      </c>
      <c r="C209" s="23" t="s">
        <v>647</v>
      </c>
      <c r="D209" s="23">
        <v>2000000</v>
      </c>
      <c r="E209" s="23" t="s">
        <v>143</v>
      </c>
      <c r="F209" s="23" t="str">
        <f t="shared" si="6"/>
        <v>rtdc.l.rtdc.4029:itc</v>
      </c>
      <c r="G209" s="8">
        <f t="shared" si="7"/>
        <v>42609.942615740743</v>
      </c>
    </row>
    <row r="210" spans="1:7" x14ac:dyDescent="0.25">
      <c r="A210" s="8">
        <v>42609.954907407409</v>
      </c>
      <c r="B210" s="23" t="s">
        <v>289</v>
      </c>
      <c r="C210" s="23" t="s">
        <v>643</v>
      </c>
      <c r="D210" s="23">
        <v>1800000</v>
      </c>
      <c r="E210" s="23" t="s">
        <v>176</v>
      </c>
      <c r="F210" s="23" t="str">
        <f t="shared" si="6"/>
        <v>rtdc.l.rtdc.4019:itc</v>
      </c>
      <c r="G210" s="8">
        <f t="shared" si="7"/>
        <v>42609.954907407409</v>
      </c>
    </row>
    <row r="211" spans="1:7" x14ac:dyDescent="0.25">
      <c r="A211" s="8">
        <v>42609.968865740739</v>
      </c>
      <c r="B211" s="23" t="s">
        <v>253</v>
      </c>
      <c r="C211" s="23" t="s">
        <v>650</v>
      </c>
      <c r="D211" s="23">
        <v>2220000</v>
      </c>
      <c r="E211" s="23" t="s">
        <v>689</v>
      </c>
      <c r="F211" s="23" t="str">
        <f t="shared" si="6"/>
        <v>rtdc.l.rtdc.4025:itc</v>
      </c>
      <c r="G211" s="8">
        <f t="shared" si="7"/>
        <v>42609.968865740739</v>
      </c>
    </row>
    <row r="212" spans="1:7" x14ac:dyDescent="0.25">
      <c r="A212" s="8">
        <v>42609.969236111108</v>
      </c>
      <c r="B212" s="23" t="s">
        <v>115</v>
      </c>
      <c r="C212" s="23" t="s">
        <v>645</v>
      </c>
      <c r="D212" s="23">
        <v>1480000</v>
      </c>
      <c r="E212" s="23" t="s">
        <v>256</v>
      </c>
      <c r="F212" s="23" t="str">
        <f t="shared" si="6"/>
        <v>rtdc.l.rtdc.4032:itc</v>
      </c>
      <c r="G212" s="8">
        <f t="shared" si="7"/>
        <v>42609.969236111108</v>
      </c>
    </row>
    <row r="213" spans="1:7" x14ac:dyDescent="0.25">
      <c r="A213" s="8">
        <v>42609.992106481484</v>
      </c>
      <c r="B213" s="23" t="s">
        <v>92</v>
      </c>
      <c r="C213" s="23" t="s">
        <v>648</v>
      </c>
      <c r="D213" s="23">
        <v>2000000</v>
      </c>
      <c r="E213" s="23" t="s">
        <v>143</v>
      </c>
      <c r="F213" s="23" t="str">
        <f t="shared" si="6"/>
        <v>rtdc.l.rtdc.4030:itc</v>
      </c>
      <c r="G213" s="8">
        <f t="shared" si="7"/>
        <v>42609.992106481484</v>
      </c>
    </row>
    <row r="214" spans="1:7" x14ac:dyDescent="0.25">
      <c r="A214" s="8">
        <v>42609.996388888889</v>
      </c>
      <c r="B214" s="23" t="s">
        <v>291</v>
      </c>
      <c r="C214" s="23" t="s">
        <v>653</v>
      </c>
      <c r="D214" s="23">
        <v>1800000</v>
      </c>
      <c r="E214" s="23" t="s">
        <v>176</v>
      </c>
      <c r="F214" s="23" t="str">
        <f t="shared" si="6"/>
        <v>rtdc.l.rtdc.4020:itc</v>
      </c>
      <c r="G214" s="8">
        <f t="shared" si="7"/>
        <v>42609.996388888889</v>
      </c>
    </row>
    <row r="215" spans="1:7" x14ac:dyDescent="0.25">
      <c r="A215" s="8">
        <v>42609.998414351852</v>
      </c>
      <c r="B215" s="23" t="s">
        <v>92</v>
      </c>
      <c r="C215" s="23" t="s">
        <v>648</v>
      </c>
      <c r="D215" s="23">
        <v>2000000</v>
      </c>
      <c r="E215" s="23" t="s">
        <v>143</v>
      </c>
      <c r="F215" s="23" t="str">
        <f t="shared" si="6"/>
        <v>rtdc.l.rtdc.4030:itc</v>
      </c>
      <c r="G215" s="8">
        <f t="shared" si="7"/>
        <v>42609.998414351852</v>
      </c>
    </row>
    <row r="216" spans="1:7" x14ac:dyDescent="0.25">
      <c r="A216" s="8">
        <v>42610.008333333331</v>
      </c>
      <c r="B216" s="23" t="s">
        <v>254</v>
      </c>
      <c r="C216" s="23" t="s">
        <v>651</v>
      </c>
      <c r="D216" s="23">
        <v>2220000</v>
      </c>
      <c r="E216" s="23" t="s">
        <v>689</v>
      </c>
      <c r="F216" s="23" t="str">
        <f t="shared" si="6"/>
        <v>rtdc.l.rtdc.4026:itc</v>
      </c>
      <c r="G216" s="8">
        <f t="shared" si="7"/>
        <v>42610.008333333331</v>
      </c>
    </row>
    <row r="217" spans="1:7" x14ac:dyDescent="0.25">
      <c r="A217" s="8">
        <v>42610.014363425929</v>
      </c>
      <c r="B217" s="23" t="s">
        <v>114</v>
      </c>
      <c r="C217" s="23" t="s">
        <v>655</v>
      </c>
      <c r="D217" s="23">
        <v>1480000</v>
      </c>
      <c r="E217" s="23" t="s">
        <v>256</v>
      </c>
      <c r="F217" s="23" t="str">
        <f t="shared" si="6"/>
        <v>rtdc.l.rtdc.4031:itc</v>
      </c>
      <c r="G217" s="8">
        <f t="shared" si="7"/>
        <v>42610.014363425929</v>
      </c>
    </row>
    <row r="218" spans="1:7" x14ac:dyDescent="0.25">
      <c r="A218" s="8">
        <v>42610.027083333334</v>
      </c>
      <c r="B218" s="23" t="s">
        <v>91</v>
      </c>
      <c r="C218" s="23" t="s">
        <v>658</v>
      </c>
      <c r="D218" s="23">
        <v>2000000</v>
      </c>
      <c r="E218" s="23" t="s">
        <v>143</v>
      </c>
      <c r="F218" s="23" t="str">
        <f t="shared" si="6"/>
        <v>rtdc.l.rtdc.4029:itc</v>
      </c>
      <c r="G218" s="8">
        <f t="shared" si="7"/>
        <v>42610.027083333334</v>
      </c>
    </row>
    <row r="219" spans="1:7" x14ac:dyDescent="0.25">
      <c r="A219" s="8">
        <v>42610.038726851853</v>
      </c>
      <c r="B219" s="23" t="s">
        <v>289</v>
      </c>
      <c r="C219" s="23" t="s">
        <v>654</v>
      </c>
      <c r="D219" s="23">
        <v>1800000</v>
      </c>
      <c r="E219" s="23" t="s">
        <v>176</v>
      </c>
      <c r="F219" s="23" t="str">
        <f t="shared" si="6"/>
        <v>rtdc.l.rtdc.4019:itc</v>
      </c>
      <c r="G219" s="8">
        <f t="shared" si="7"/>
        <v>42610.038726851853</v>
      </c>
    </row>
    <row r="220" spans="1:7" x14ac:dyDescent="0.25">
      <c r="A220" s="8">
        <v>42610.053599537037</v>
      </c>
      <c r="B220" s="23" t="s">
        <v>115</v>
      </c>
      <c r="C220" s="23" t="s">
        <v>657</v>
      </c>
      <c r="D220" s="23">
        <v>1480000</v>
      </c>
      <c r="E220" s="23" t="s">
        <v>256</v>
      </c>
      <c r="F220" s="23" t="str">
        <f t="shared" si="6"/>
        <v>rtdc.l.rtdc.4032:itc</v>
      </c>
      <c r="G220" s="8">
        <f t="shared" si="7"/>
        <v>42610.053599537037</v>
      </c>
    </row>
    <row r="221" spans="1:7" x14ac:dyDescent="0.25">
      <c r="A221" s="8">
        <v>42610.054131944446</v>
      </c>
      <c r="B221" s="23" t="s">
        <v>253</v>
      </c>
      <c r="C221" s="23" t="s">
        <v>671</v>
      </c>
      <c r="D221" s="23">
        <v>1410000</v>
      </c>
      <c r="E221" s="23" t="s">
        <v>691</v>
      </c>
      <c r="F221" s="23" t="str">
        <f t="shared" si="6"/>
        <v>rtdc.l.rtdc.4025:itc</v>
      </c>
      <c r="G221" s="8">
        <f t="shared" si="7"/>
        <v>42610.054131944446</v>
      </c>
    </row>
    <row r="222" spans="1:7" x14ac:dyDescent="0.25">
      <c r="A222" s="8">
        <v>42610.072962962964</v>
      </c>
      <c r="B222" s="23" t="s">
        <v>291</v>
      </c>
      <c r="C222" s="23" t="s">
        <v>663</v>
      </c>
      <c r="D222" s="23">
        <v>1800000</v>
      </c>
      <c r="E222" s="23" t="s">
        <v>176</v>
      </c>
      <c r="F222" s="23" t="str">
        <f t="shared" si="6"/>
        <v>rtdc.l.rtdc.4020:itc</v>
      </c>
      <c r="G222" s="8">
        <f t="shared" si="7"/>
        <v>42610.072962962964</v>
      </c>
    </row>
    <row r="223" spans="1:7" x14ac:dyDescent="0.25">
      <c r="A223" s="8">
        <v>42610.075509259259</v>
      </c>
      <c r="B223" s="23" t="s">
        <v>92</v>
      </c>
      <c r="C223" s="23" t="s">
        <v>659</v>
      </c>
      <c r="D223" s="23">
        <v>2000000</v>
      </c>
      <c r="E223" s="23" t="s">
        <v>143</v>
      </c>
      <c r="F223" s="23" t="str">
        <f t="shared" si="6"/>
        <v>rtdc.l.rtdc.4030:itc</v>
      </c>
      <c r="G223" s="8">
        <f t="shared" si="7"/>
        <v>42610.075509259259</v>
      </c>
    </row>
    <row r="224" spans="1:7" x14ac:dyDescent="0.25">
      <c r="A224" s="8">
        <v>42610.088275462964</v>
      </c>
      <c r="B224" t="s">
        <v>254</v>
      </c>
      <c r="C224" t="s">
        <v>674</v>
      </c>
      <c r="D224">
        <v>1410000</v>
      </c>
      <c r="E224" t="s">
        <v>691</v>
      </c>
      <c r="F224" s="23" t="str">
        <f t="shared" si="6"/>
        <v>rtdc.l.rtdc.4026:itc</v>
      </c>
      <c r="G224" s="8">
        <f t="shared" si="7"/>
        <v>42610.088275462964</v>
      </c>
    </row>
    <row r="225" spans="1:7" x14ac:dyDescent="0.25">
      <c r="A225" s="8">
        <v>42610.096782407411</v>
      </c>
      <c r="B225" t="s">
        <v>114</v>
      </c>
      <c r="C225" t="s">
        <v>664</v>
      </c>
      <c r="D225">
        <v>1480000</v>
      </c>
      <c r="E225" t="s">
        <v>256</v>
      </c>
      <c r="F225" s="23" t="str">
        <f t="shared" si="6"/>
        <v>rtdc.l.rtdc.4031:itc</v>
      </c>
      <c r="G225" s="8">
        <f t="shared" si="7"/>
        <v>42610.096782407411</v>
      </c>
    </row>
    <row r="226" spans="1:7" x14ac:dyDescent="0.25">
      <c r="A226" s="8">
        <v>42610.108541666668</v>
      </c>
      <c r="B226" t="s">
        <v>91</v>
      </c>
      <c r="C226" t="s">
        <v>692</v>
      </c>
      <c r="D226">
        <v>2000000</v>
      </c>
      <c r="E226" t="s">
        <v>143</v>
      </c>
      <c r="F226" s="23" t="str">
        <f t="shared" si="6"/>
        <v>rtdc.l.rtdc.4029:itc</v>
      </c>
      <c r="G226" s="8">
        <f t="shared" si="7"/>
        <v>42610.108541666668</v>
      </c>
    </row>
    <row r="227" spans="1:7" x14ac:dyDescent="0.25">
      <c r="F227" s="23">
        <f t="shared" si="6"/>
        <v>0</v>
      </c>
      <c r="G227" s="8">
        <f t="shared" si="7"/>
        <v>0</v>
      </c>
    </row>
    <row r="228" spans="1:7" x14ac:dyDescent="0.25">
      <c r="F228" s="23">
        <f t="shared" si="6"/>
        <v>0</v>
      </c>
      <c r="G228" s="8">
        <f t="shared" si="7"/>
        <v>0</v>
      </c>
    </row>
    <row r="229" spans="1:7" x14ac:dyDescent="0.25">
      <c r="A229" s="8">
        <v>42609.014421296299</v>
      </c>
      <c r="B229" t="s">
        <v>180</v>
      </c>
      <c r="C229" t="s">
        <v>316</v>
      </c>
      <c r="D229">
        <v>1230000</v>
      </c>
      <c r="E229" t="s">
        <v>170</v>
      </c>
      <c r="F229" s="23" t="str">
        <f t="shared" si="6"/>
        <v>rtdc.l.rtdc.4001:itc</v>
      </c>
      <c r="G229" s="8">
        <f t="shared" si="7"/>
        <v>42609.014421296299</v>
      </c>
    </row>
    <row r="230" spans="1:7" x14ac:dyDescent="0.25">
      <c r="A230" s="8">
        <v>42609.025173611109</v>
      </c>
      <c r="B230" t="s">
        <v>191</v>
      </c>
      <c r="C230" t="s">
        <v>317</v>
      </c>
      <c r="D230">
        <v>2090000</v>
      </c>
      <c r="E230" t="s">
        <v>205</v>
      </c>
      <c r="F230" s="23" t="str">
        <f t="shared" si="6"/>
        <v>rtdc.l.rtdc.4003:itc</v>
      </c>
      <c r="G230" s="8">
        <f t="shared" si="7"/>
        <v>42609.025173611109</v>
      </c>
    </row>
    <row r="231" spans="1:7" x14ac:dyDescent="0.25">
      <c r="A231" s="8">
        <v>42609.036296296297</v>
      </c>
      <c r="B231" t="s">
        <v>302</v>
      </c>
      <c r="C231" t="s">
        <v>318</v>
      </c>
      <c r="D231">
        <v>1800000</v>
      </c>
      <c r="E231" t="s">
        <v>176</v>
      </c>
      <c r="F231" s="23" t="str">
        <f t="shared" si="6"/>
        <v>rtdc.l.rtdc.4039:itc</v>
      </c>
      <c r="G231" s="8">
        <f t="shared" si="7"/>
        <v>42609.036296296297</v>
      </c>
    </row>
    <row r="232" spans="1:7" x14ac:dyDescent="0.25">
      <c r="A232" s="8">
        <v>42609.039699074077</v>
      </c>
      <c r="B232" t="s">
        <v>191</v>
      </c>
      <c r="C232" t="s">
        <v>317</v>
      </c>
      <c r="D232">
        <v>2090000</v>
      </c>
      <c r="E232" t="s">
        <v>205</v>
      </c>
      <c r="F232" s="23" t="str">
        <f t="shared" si="6"/>
        <v>rtdc.l.rtdc.4003:itc</v>
      </c>
      <c r="G232" s="8">
        <f t="shared" si="7"/>
        <v>42609.039699074077</v>
      </c>
    </row>
    <row r="233" spans="1:7" x14ac:dyDescent="0.25">
      <c r="A233" s="8">
        <v>42609.050162037034</v>
      </c>
      <c r="B233" t="s">
        <v>179</v>
      </c>
      <c r="C233" t="s">
        <v>319</v>
      </c>
      <c r="D233">
        <v>1230000</v>
      </c>
      <c r="E233" t="s">
        <v>170</v>
      </c>
      <c r="F233" s="23" t="str">
        <f t="shared" si="6"/>
        <v>rtdc.l.rtdc.4002:itc</v>
      </c>
      <c r="G233" s="8">
        <f t="shared" si="7"/>
        <v>42609.050162037034</v>
      </c>
    </row>
    <row r="234" spans="1:7" x14ac:dyDescent="0.25">
      <c r="A234" s="8">
        <v>42609.068136574075</v>
      </c>
      <c r="B234" t="s">
        <v>303</v>
      </c>
      <c r="C234" t="s">
        <v>320</v>
      </c>
      <c r="D234">
        <v>2260000</v>
      </c>
      <c r="E234" t="s">
        <v>216</v>
      </c>
      <c r="F234" s="23" t="str">
        <f t="shared" si="6"/>
        <v>rtdc.l.rtdc.4028:itc</v>
      </c>
      <c r="G234" s="8">
        <f t="shared" si="7"/>
        <v>42609.068136574075</v>
      </c>
    </row>
    <row r="235" spans="1:7" x14ac:dyDescent="0.25">
      <c r="A235" s="8">
        <v>42609.071516203701</v>
      </c>
      <c r="B235" t="s">
        <v>298</v>
      </c>
      <c r="C235" t="s">
        <v>321</v>
      </c>
      <c r="D235">
        <v>1800000</v>
      </c>
      <c r="E235" t="s">
        <v>176</v>
      </c>
      <c r="F235" s="23" t="str">
        <f t="shared" si="6"/>
        <v>rtdc.l.rtdc.4040:itc</v>
      </c>
      <c r="G235" s="8">
        <f t="shared" si="7"/>
        <v>42609.071516203701</v>
      </c>
    </row>
    <row r="236" spans="1:7" x14ac:dyDescent="0.25">
      <c r="A236" s="8">
        <v>42609.076782407406</v>
      </c>
      <c r="B236" t="s">
        <v>215</v>
      </c>
      <c r="C236" t="s">
        <v>322</v>
      </c>
      <c r="D236">
        <v>2090000</v>
      </c>
      <c r="E236" t="s">
        <v>205</v>
      </c>
      <c r="F236" s="23" t="str">
        <f t="shared" ref="F236:F265" si="8">B236</f>
        <v>rtdc.l.rtdc.4004:itc</v>
      </c>
      <c r="G236" s="8">
        <f t="shared" ref="G236:G265" si="9">A236</f>
        <v>42609.076782407406</v>
      </c>
    </row>
    <row r="237" spans="1:7" x14ac:dyDescent="0.25">
      <c r="A237" s="8">
        <v>42609.10533564815</v>
      </c>
      <c r="B237" t="s">
        <v>93</v>
      </c>
      <c r="C237" t="s">
        <v>323</v>
      </c>
      <c r="D237">
        <v>2260000</v>
      </c>
      <c r="E237" t="s">
        <v>216</v>
      </c>
      <c r="F237" s="23" t="str">
        <f t="shared" si="8"/>
        <v>rtdc.l.rtdc.4027:itc</v>
      </c>
      <c r="G237" s="8">
        <f t="shared" si="9"/>
        <v>42609.10533564815</v>
      </c>
    </row>
    <row r="238" spans="1:7" x14ac:dyDescent="0.25">
      <c r="F238" s="23">
        <f t="shared" si="8"/>
        <v>0</v>
      </c>
      <c r="G238" s="8">
        <f t="shared" si="9"/>
        <v>0</v>
      </c>
    </row>
    <row r="239" spans="1:7" x14ac:dyDescent="0.25">
      <c r="A239" s="8">
        <v>42594.971458333333</v>
      </c>
      <c r="B239" t="s">
        <v>90</v>
      </c>
      <c r="C239" t="s">
        <v>157</v>
      </c>
      <c r="D239">
        <v>2100000</v>
      </c>
      <c r="E239" t="s">
        <v>137</v>
      </c>
      <c r="F239" s="23" t="str">
        <f t="shared" si="8"/>
        <v>rtdc.l.rtdc.4013:itc</v>
      </c>
      <c r="G239" s="8">
        <f t="shared" si="9"/>
        <v>42594.971458333333</v>
      </c>
    </row>
    <row r="240" spans="1:7" x14ac:dyDescent="0.25">
      <c r="A240" s="8">
        <v>42594.992303240739</v>
      </c>
      <c r="B240" t="s">
        <v>144</v>
      </c>
      <c r="C240" t="s">
        <v>158</v>
      </c>
      <c r="D240">
        <v>1300000</v>
      </c>
      <c r="E240" t="s">
        <v>140</v>
      </c>
      <c r="F240" s="23" t="str">
        <f t="shared" si="8"/>
        <v>rtdc.l.rtdc.4037:itc</v>
      </c>
      <c r="G240" s="8">
        <f t="shared" si="9"/>
        <v>42594.992303240739</v>
      </c>
    </row>
    <row r="241" spans="1:7" x14ac:dyDescent="0.25">
      <c r="A241" s="8">
        <v>42594.99628472222</v>
      </c>
      <c r="B241" t="s">
        <v>114</v>
      </c>
      <c r="C241" t="s">
        <v>160</v>
      </c>
      <c r="D241">
        <v>2000000</v>
      </c>
      <c r="E241" t="s">
        <v>143</v>
      </c>
      <c r="F241" s="23" t="str">
        <f t="shared" si="8"/>
        <v>rtdc.l.rtdc.4031:itc</v>
      </c>
      <c r="G241" s="8">
        <f t="shared" si="9"/>
        <v>42594.99628472222</v>
      </c>
    </row>
    <row r="242" spans="1:7" x14ac:dyDescent="0.25">
      <c r="A242" s="8">
        <v>42595.014097222222</v>
      </c>
      <c r="B242" t="s">
        <v>92</v>
      </c>
      <c r="C242" t="s">
        <v>159</v>
      </c>
      <c r="D242">
        <v>1230000</v>
      </c>
      <c r="E242" t="s">
        <v>170</v>
      </c>
      <c r="F242" s="23" t="str">
        <f t="shared" si="8"/>
        <v>rtdc.l.rtdc.4030:itc</v>
      </c>
      <c r="G242" s="8">
        <f t="shared" si="9"/>
        <v>42595.014097222222</v>
      </c>
    </row>
    <row r="243" spans="1:7" x14ac:dyDescent="0.25">
      <c r="A243" s="8">
        <v>42595.015775462962</v>
      </c>
      <c r="B243" t="s">
        <v>112</v>
      </c>
      <c r="C243" t="s">
        <v>162</v>
      </c>
      <c r="D243">
        <v>2100000</v>
      </c>
      <c r="E243" t="s">
        <v>137</v>
      </c>
      <c r="F243" s="23" t="str">
        <f t="shared" si="8"/>
        <v>rtdc.l.rtdc.4014:itc</v>
      </c>
      <c r="G243" s="8">
        <f t="shared" si="9"/>
        <v>42595.015775462962</v>
      </c>
    </row>
    <row r="244" spans="1:7" x14ac:dyDescent="0.25">
      <c r="A244" s="8">
        <v>42595.034780092596</v>
      </c>
      <c r="B244" t="s">
        <v>151</v>
      </c>
      <c r="C244" t="s">
        <v>164</v>
      </c>
      <c r="D244">
        <v>1300000</v>
      </c>
      <c r="E244" t="s">
        <v>140</v>
      </c>
      <c r="F244" s="23" t="str">
        <f t="shared" si="8"/>
        <v>rtdc.l.rtdc.4038:itc</v>
      </c>
      <c r="G244" s="8">
        <f t="shared" si="9"/>
        <v>42595.034780092596</v>
      </c>
    </row>
    <row r="245" spans="1:7" x14ac:dyDescent="0.25">
      <c r="A245" s="8">
        <v>42595.036539351851</v>
      </c>
      <c r="B245" t="s">
        <v>115</v>
      </c>
      <c r="C245" t="s">
        <v>161</v>
      </c>
      <c r="D245">
        <v>2000000</v>
      </c>
      <c r="E245" t="s">
        <v>143</v>
      </c>
      <c r="F245" s="23" t="str">
        <f t="shared" si="8"/>
        <v>rtdc.l.rtdc.4032:itc</v>
      </c>
      <c r="G245" s="8">
        <f t="shared" si="9"/>
        <v>42595.036539351851</v>
      </c>
    </row>
    <row r="246" spans="1:7" x14ac:dyDescent="0.25">
      <c r="A246" s="8">
        <v>42595.046134259261</v>
      </c>
      <c r="B246" t="s">
        <v>91</v>
      </c>
      <c r="C246" t="s">
        <v>166</v>
      </c>
      <c r="D246">
        <v>1230000</v>
      </c>
      <c r="E246" t="s">
        <v>170</v>
      </c>
      <c r="F246" s="23" t="str">
        <f t="shared" si="8"/>
        <v>rtdc.l.rtdc.4029:itc</v>
      </c>
      <c r="G246" s="8">
        <f t="shared" si="9"/>
        <v>42595.046134259261</v>
      </c>
    </row>
    <row r="247" spans="1:7" x14ac:dyDescent="0.25">
      <c r="A247" s="8">
        <v>42595.053819444445</v>
      </c>
      <c r="B247" t="s">
        <v>90</v>
      </c>
      <c r="C247" t="s">
        <v>163</v>
      </c>
      <c r="D247">
        <v>2100000</v>
      </c>
      <c r="E247" t="s">
        <v>137</v>
      </c>
      <c r="F247" s="23" t="str">
        <f t="shared" si="8"/>
        <v>rtdc.l.rtdc.4013:itc</v>
      </c>
      <c r="G247" s="8">
        <f t="shared" si="9"/>
        <v>42595.053819444445</v>
      </c>
    </row>
    <row r="248" spans="1:7" x14ac:dyDescent="0.25">
      <c r="A248" s="8">
        <v>42595.068229166667</v>
      </c>
      <c r="B248" t="s">
        <v>114</v>
      </c>
      <c r="C248" t="s">
        <v>167</v>
      </c>
      <c r="D248">
        <v>2000000</v>
      </c>
      <c r="E248" t="s">
        <v>143</v>
      </c>
      <c r="F248" s="23" t="str">
        <f t="shared" si="8"/>
        <v>rtdc.l.rtdc.4031:itc</v>
      </c>
      <c r="G248" s="8">
        <f t="shared" si="9"/>
        <v>42595.068229166667</v>
      </c>
    </row>
    <row r="249" spans="1:7" x14ac:dyDescent="0.25">
      <c r="A249" s="8">
        <v>42595.072916666664</v>
      </c>
      <c r="B249" t="s">
        <v>144</v>
      </c>
      <c r="C249" t="s">
        <v>165</v>
      </c>
      <c r="D249">
        <v>1300000</v>
      </c>
      <c r="E249" t="s">
        <v>140</v>
      </c>
      <c r="F249" s="23" t="str">
        <f t="shared" si="8"/>
        <v>rtdc.l.rtdc.4037:itc</v>
      </c>
      <c r="G249" s="8">
        <f t="shared" si="9"/>
        <v>42595.072916666664</v>
      </c>
    </row>
    <row r="250" spans="1:7" x14ac:dyDescent="0.25">
      <c r="A250" s="8">
        <v>42595.09070601852</v>
      </c>
      <c r="B250" t="s">
        <v>112</v>
      </c>
      <c r="C250" t="s">
        <v>171</v>
      </c>
      <c r="D250">
        <v>2100000</v>
      </c>
      <c r="E250" t="s">
        <v>137</v>
      </c>
      <c r="F250" s="23" t="str">
        <f t="shared" si="8"/>
        <v>rtdc.l.rtdc.4014:itc</v>
      </c>
      <c r="G250" s="8">
        <f t="shared" si="9"/>
        <v>42595.09070601852</v>
      </c>
    </row>
    <row r="251" spans="1:7" x14ac:dyDescent="0.25">
      <c r="A251" s="8">
        <v>42595.110555555555</v>
      </c>
      <c r="B251" t="s">
        <v>151</v>
      </c>
      <c r="C251" t="s">
        <v>168</v>
      </c>
      <c r="D251">
        <v>1300000</v>
      </c>
      <c r="E251" t="s">
        <v>140</v>
      </c>
      <c r="F251" s="23" t="str">
        <f t="shared" si="8"/>
        <v>rtdc.l.rtdc.4038:itc</v>
      </c>
      <c r="G251" s="8">
        <f t="shared" si="9"/>
        <v>42595.110555555555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F253" s="23">
        <f t="shared" si="8"/>
        <v>0</v>
      </c>
      <c r="G253" s="8">
        <f t="shared" si="9"/>
        <v>0</v>
      </c>
    </row>
    <row r="254" spans="1:7" x14ac:dyDescent="0.25">
      <c r="F254" s="23">
        <f t="shared" si="8"/>
        <v>0</v>
      </c>
      <c r="G254" s="8">
        <f t="shared" si="9"/>
        <v>0</v>
      </c>
    </row>
    <row r="255" spans="1:7" x14ac:dyDescent="0.25">
      <c r="F255" s="23">
        <f t="shared" si="8"/>
        <v>0</v>
      </c>
      <c r="G255" s="8">
        <f t="shared" si="9"/>
        <v>0</v>
      </c>
    </row>
    <row r="256" spans="1:7" x14ac:dyDescent="0.25">
      <c r="F256" s="23">
        <f t="shared" si="8"/>
        <v>0</v>
      </c>
      <c r="G256" s="8">
        <f t="shared" si="9"/>
        <v>0</v>
      </c>
    </row>
    <row r="257" spans="6:7" x14ac:dyDescent="0.25">
      <c r="F257" s="23">
        <f t="shared" si="8"/>
        <v>0</v>
      </c>
      <c r="G257" s="8">
        <f t="shared" si="9"/>
        <v>0</v>
      </c>
    </row>
    <row r="258" spans="6:7" x14ac:dyDescent="0.25">
      <c r="F258" s="23">
        <f t="shared" si="8"/>
        <v>0</v>
      </c>
      <c r="G258" s="8">
        <f t="shared" si="9"/>
        <v>0</v>
      </c>
    </row>
    <row r="259" spans="6:7" x14ac:dyDescent="0.25">
      <c r="F259" s="23">
        <f t="shared" si="8"/>
        <v>0</v>
      </c>
      <c r="G259" s="8">
        <f t="shared" si="9"/>
        <v>0</v>
      </c>
    </row>
    <row r="260" spans="6:7" x14ac:dyDescent="0.25">
      <c r="F260" s="23">
        <f t="shared" si="8"/>
        <v>0</v>
      </c>
      <c r="G260" s="8">
        <f t="shared" si="9"/>
        <v>0</v>
      </c>
    </row>
    <row r="261" spans="6:7" x14ac:dyDescent="0.25">
      <c r="F261" s="23">
        <f t="shared" si="8"/>
        <v>0</v>
      </c>
      <c r="G261" s="8">
        <f t="shared" si="9"/>
        <v>0</v>
      </c>
    </row>
    <row r="262" spans="6:7" x14ac:dyDescent="0.25">
      <c r="F262" s="23">
        <f t="shared" si="8"/>
        <v>0</v>
      </c>
      <c r="G262" s="8">
        <f t="shared" si="9"/>
        <v>0</v>
      </c>
    </row>
    <row r="263" spans="6:7" x14ac:dyDescent="0.25">
      <c r="F263" s="23">
        <f t="shared" si="8"/>
        <v>0</v>
      </c>
      <c r="G263" s="8">
        <f t="shared" si="9"/>
        <v>0</v>
      </c>
    </row>
    <row r="264" spans="6:7" x14ac:dyDescent="0.25">
      <c r="F264" s="23">
        <f t="shared" si="8"/>
        <v>0</v>
      </c>
      <c r="G264" s="8">
        <f t="shared" si="9"/>
        <v>0</v>
      </c>
    </row>
    <row r="265" spans="6:7" x14ac:dyDescent="0.25">
      <c r="F265" s="23">
        <f t="shared" si="8"/>
        <v>0</v>
      </c>
      <c r="G265" s="8">
        <f t="shared" si="9"/>
        <v>0</v>
      </c>
    </row>
    <row r="266" spans="6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6:7" x14ac:dyDescent="0.25">
      <c r="F267" s="23">
        <f t="shared" si="10"/>
        <v>0</v>
      </c>
      <c r="G267" s="8">
        <f t="shared" si="11"/>
        <v>0</v>
      </c>
    </row>
    <row r="268" spans="6:7" x14ac:dyDescent="0.25">
      <c r="F268" s="23">
        <f t="shared" si="10"/>
        <v>0</v>
      </c>
      <c r="G268" s="8">
        <f t="shared" si="11"/>
        <v>0</v>
      </c>
    </row>
    <row r="269" spans="6:7" x14ac:dyDescent="0.25">
      <c r="F269" s="23">
        <f t="shared" si="10"/>
        <v>0</v>
      </c>
      <c r="G269" s="8">
        <f t="shared" si="11"/>
        <v>0</v>
      </c>
    </row>
    <row r="270" spans="6:7" x14ac:dyDescent="0.25">
      <c r="F270" s="23">
        <f t="shared" si="10"/>
        <v>0</v>
      </c>
      <c r="G270" s="8">
        <f t="shared" si="11"/>
        <v>0</v>
      </c>
    </row>
    <row r="271" spans="6:7" x14ac:dyDescent="0.25">
      <c r="F271" s="23">
        <f t="shared" si="10"/>
        <v>0</v>
      </c>
      <c r="G271" s="8">
        <f t="shared" si="11"/>
        <v>0</v>
      </c>
    </row>
    <row r="272" spans="6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73" t="s">
        <v>116</v>
      </c>
      <c r="D1" s="74" t="s">
        <v>117</v>
      </c>
      <c r="J1" s="34" t="s">
        <v>118</v>
      </c>
      <c r="K1" s="34" t="s">
        <v>72</v>
      </c>
      <c r="L1" s="34" t="s">
        <v>73</v>
      </c>
      <c r="O1" s="77" t="s">
        <v>119</v>
      </c>
    </row>
    <row r="2" spans="1:16" ht="15.75" thickBot="1" x14ac:dyDescent="0.3">
      <c r="A2" s="14">
        <v>42609</v>
      </c>
      <c r="B2" s="4"/>
      <c r="C2" s="75">
        <v>50</v>
      </c>
      <c r="D2" s="76">
        <v>25</v>
      </c>
      <c r="F2" t="s">
        <v>145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70">
        <f t="shared" ref="M3:M14" si="0">AVERAGE(K3:L3)</f>
        <v>2.7201</v>
      </c>
      <c r="O3" t="s">
        <v>120</v>
      </c>
      <c r="P3" s="70">
        <f>AVERAGE(1.0714,1.1016)</f>
        <v>1.0865</v>
      </c>
    </row>
    <row r="4" spans="1:16" x14ac:dyDescent="0.25">
      <c r="F4" t="s">
        <v>59</v>
      </c>
      <c r="J4" s="35" t="s">
        <v>75</v>
      </c>
      <c r="K4" s="36">
        <v>3.0830000000000002</v>
      </c>
      <c r="L4" s="36">
        <v>3.097</v>
      </c>
      <c r="M4" s="70">
        <f t="shared" si="0"/>
        <v>3.09</v>
      </c>
    </row>
    <row r="5" spans="1:16" x14ac:dyDescent="0.25">
      <c r="J5" s="35" t="s">
        <v>76</v>
      </c>
      <c r="K5" s="36">
        <v>3.3136000000000001</v>
      </c>
      <c r="L5" s="36">
        <v>3.3256999999999999</v>
      </c>
      <c r="M5" s="70">
        <f t="shared" si="0"/>
        <v>3.3196500000000002</v>
      </c>
    </row>
    <row r="6" spans="1:16" x14ac:dyDescent="0.25">
      <c r="F6" t="s">
        <v>146</v>
      </c>
      <c r="J6" s="35" t="s">
        <v>77</v>
      </c>
      <c r="K6" s="36">
        <v>4.2778999999999998</v>
      </c>
      <c r="L6" s="36">
        <v>4.2961</v>
      </c>
      <c r="M6" s="70">
        <f t="shared" si="0"/>
        <v>4.2869999999999999</v>
      </c>
    </row>
    <row r="7" spans="1:16" x14ac:dyDescent="0.25">
      <c r="F7" t="s">
        <v>147</v>
      </c>
      <c r="J7" s="35" t="s">
        <v>78</v>
      </c>
      <c r="K7" s="36">
        <v>4.7865000000000002</v>
      </c>
      <c r="L7" s="36">
        <v>4.8048000000000002</v>
      </c>
      <c r="M7" s="70">
        <f t="shared" si="0"/>
        <v>4.7956500000000002</v>
      </c>
    </row>
    <row r="8" spans="1:16" x14ac:dyDescent="0.25">
      <c r="F8" t="s">
        <v>148</v>
      </c>
      <c r="J8" s="35" t="s">
        <v>79</v>
      </c>
      <c r="K8" s="36">
        <v>5.3155000000000001</v>
      </c>
      <c r="L8" s="36">
        <v>5.3277000000000001</v>
      </c>
      <c r="M8" s="7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7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7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7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7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7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7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97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98</v>
      </c>
      <c r="K19" s="36"/>
      <c r="L19" s="36"/>
      <c r="M19" s="70" t="s">
        <v>130</v>
      </c>
    </row>
    <row r="20" spans="10:13" x14ac:dyDescent="0.25">
      <c r="J20" t="s">
        <v>99</v>
      </c>
      <c r="M20" s="70" t="s">
        <v>181</v>
      </c>
    </row>
    <row r="21" spans="10:13" x14ac:dyDescent="0.25">
      <c r="J21" s="23" t="s">
        <v>102</v>
      </c>
      <c r="K21" s="23" t="s">
        <v>103</v>
      </c>
      <c r="M21" s="70" t="s">
        <v>103</v>
      </c>
    </row>
    <row r="22" spans="10:13" x14ac:dyDescent="0.25">
      <c r="J22" s="23" t="s">
        <v>104</v>
      </c>
      <c r="K22" s="23" t="s">
        <v>105</v>
      </c>
      <c r="M22" s="70" t="s">
        <v>129</v>
      </c>
    </row>
    <row r="23" spans="10:13" x14ac:dyDescent="0.25">
      <c r="J23" s="31" t="s">
        <v>107</v>
      </c>
      <c r="K23" s="23"/>
      <c r="M23" s="114">
        <v>-6</v>
      </c>
    </row>
    <row r="24" spans="10:13" x14ac:dyDescent="0.25">
      <c r="J24" s="23" t="s">
        <v>126</v>
      </c>
      <c r="K24" s="23"/>
      <c r="M24" s="70" t="s">
        <v>128</v>
      </c>
    </row>
    <row r="25" spans="10:13" x14ac:dyDescent="0.25">
      <c r="J25" t="s">
        <v>296</v>
      </c>
      <c r="M25" s="70" t="b">
        <v>1</v>
      </c>
    </row>
    <row r="26" spans="10:13" x14ac:dyDescent="0.25">
      <c r="J26" t="s">
        <v>297</v>
      </c>
      <c r="M26" s="70" t="str">
        <f>"C:\Users\stu\Documents\GitHub\eaglep3-reporting\EC\"&amp;TEXT(A2,"yyyy-mm-dd")&amp;"-refined-times.txt"</f>
        <v>C:\Users\stu\Documents\GitHub\eaglep3-reporting\EC\2016-08-27-refined-times.txt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3"/>
  <sheetViews>
    <sheetView workbookViewId="0"/>
  </sheetViews>
  <sheetFormatPr defaultRowHeight="15" x14ac:dyDescent="0.25"/>
  <cols>
    <col min="1" max="1" width="32.85546875" style="143" bestFit="1" customWidth="1"/>
    <col min="2" max="7" width="9.140625" style="143"/>
    <col min="8" max="8" width="17.7109375" style="143" bestFit="1" customWidth="1"/>
    <col min="9" max="9" width="9.140625" style="145"/>
    <col min="10" max="16384" width="9.140625" style="143"/>
  </cols>
  <sheetData>
    <row r="1" spans="1:11" x14ac:dyDescent="0.25">
      <c r="A1" s="142" t="s">
        <v>221</v>
      </c>
      <c r="B1" s="142" t="s">
        <v>222</v>
      </c>
      <c r="C1" s="143" t="s">
        <v>223</v>
      </c>
      <c r="H1" t="s">
        <v>217</v>
      </c>
      <c r="I1" s="144" t="s">
        <v>219</v>
      </c>
      <c r="J1"/>
    </row>
    <row r="2" spans="1:11" x14ac:dyDescent="0.25">
      <c r="A2" s="143" t="s">
        <v>224</v>
      </c>
      <c r="B2" s="143" t="s">
        <v>225</v>
      </c>
      <c r="C2" s="143" t="s">
        <v>226</v>
      </c>
      <c r="H2" t="s">
        <v>218</v>
      </c>
      <c r="I2" s="114" t="s">
        <v>220</v>
      </c>
      <c r="J2"/>
    </row>
    <row r="3" spans="1:11" x14ac:dyDescent="0.25">
      <c r="A3" s="143" t="s">
        <v>227</v>
      </c>
      <c r="B3" s="143" t="s">
        <v>228</v>
      </c>
      <c r="C3" s="143" t="s">
        <v>229</v>
      </c>
      <c r="H3" t="s">
        <v>244</v>
      </c>
      <c r="I3" s="114">
        <v>1</v>
      </c>
      <c r="J3"/>
      <c r="K3" s="70"/>
    </row>
    <row r="4" spans="1:11" x14ac:dyDescent="0.25">
      <c r="A4" s="143" t="s">
        <v>230</v>
      </c>
      <c r="C4" s="143" t="s">
        <v>231</v>
      </c>
      <c r="H4" t="s">
        <v>245</v>
      </c>
      <c r="I4" s="114">
        <v>2</v>
      </c>
      <c r="J4"/>
      <c r="K4" s="70"/>
    </row>
    <row r="5" spans="1:11" x14ac:dyDescent="0.25">
      <c r="A5" s="143" t="s">
        <v>232</v>
      </c>
      <c r="C5" s="143" t="s">
        <v>233</v>
      </c>
      <c r="H5" t="s">
        <v>246</v>
      </c>
      <c r="I5" s="114">
        <v>23</v>
      </c>
      <c r="J5"/>
      <c r="K5" s="70"/>
    </row>
    <row r="6" spans="1:11" x14ac:dyDescent="0.25">
      <c r="A6" s="143" t="s">
        <v>234</v>
      </c>
      <c r="C6" s="143" t="s">
        <v>235</v>
      </c>
      <c r="H6" s="146" t="s">
        <v>247</v>
      </c>
      <c r="I6" s="147" t="s">
        <v>225</v>
      </c>
    </row>
    <row r="7" spans="1:11" x14ac:dyDescent="0.25">
      <c r="A7" s="143" t="s">
        <v>236</v>
      </c>
      <c r="C7" s="143" t="s">
        <v>237</v>
      </c>
    </row>
    <row r="8" spans="1:11" x14ac:dyDescent="0.25">
      <c r="C8" s="143" t="s">
        <v>238</v>
      </c>
    </row>
    <row r="9" spans="1:11" x14ac:dyDescent="0.25">
      <c r="C9" s="143" t="s">
        <v>239</v>
      </c>
    </row>
    <row r="10" spans="1:11" x14ac:dyDescent="0.25">
      <c r="C10" s="143" t="s">
        <v>240</v>
      </c>
    </row>
    <row r="11" spans="1:11" x14ac:dyDescent="0.25">
      <c r="C11" s="143" t="s">
        <v>241</v>
      </c>
    </row>
    <row r="12" spans="1:11" x14ac:dyDescent="0.25">
      <c r="C12" s="143" t="s">
        <v>242</v>
      </c>
    </row>
    <row r="13" spans="1:11" x14ac:dyDescent="0.25">
      <c r="C13" s="143" t="s">
        <v>243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Train Runs</vt:lpstr>
      <vt:lpstr>Enforcements</vt:lpstr>
      <vt:lpstr>Missing Trips</vt:lpstr>
      <vt:lpstr>Trips&amp;Operators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2016-08-29T16:18:09Z</dcterms:modified>
</cp:coreProperties>
</file>