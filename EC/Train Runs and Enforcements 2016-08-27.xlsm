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  <sheet name="Redmine List Values" sheetId="7" r:id="rId6"/>
  </sheets>
  <externalReferences>
    <externalReference r:id="rId7"/>
    <externalReference r:id="rId8"/>
  </externalReferences>
  <definedNames>
    <definedName name="_xlnm._FilterDatabase" localSheetId="1" hidden="1">Enforcements!$A$6:$Z$61</definedName>
    <definedName name="_xlnm._FilterDatabase" localSheetId="2" hidden="1">'Missing Trips'!$A$2:$H$2</definedName>
    <definedName name="_xlnm._FilterDatabase" localSheetId="0" hidden="1">'Train Runs'!$A$12:$AG$237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Runs'!$A$12:$J$63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85" i="1" l="1"/>
  <c r="K83" i="1"/>
  <c r="L83" i="1"/>
  <c r="M83" i="1"/>
  <c r="V83" i="1"/>
  <c r="Y83" i="1"/>
  <c r="Z83" i="1"/>
  <c r="AA83" i="1" s="1"/>
  <c r="AB83" i="1"/>
  <c r="AC83" i="1"/>
  <c r="AD83" i="1"/>
  <c r="T83" i="1" s="1"/>
  <c r="AE83" i="1"/>
  <c r="AF83" i="1"/>
  <c r="AH83" i="1"/>
  <c r="K84" i="1"/>
  <c r="L84" i="1"/>
  <c r="M84" i="1"/>
  <c r="T84" i="1"/>
  <c r="V84" i="1"/>
  <c r="Y84" i="1"/>
  <c r="Z84" i="1"/>
  <c r="AB84" i="1"/>
  <c r="AC84" i="1"/>
  <c r="AD84" i="1"/>
  <c r="AE84" i="1"/>
  <c r="AF84" i="1"/>
  <c r="AG84" i="1"/>
  <c r="AH84" i="1"/>
  <c r="X29" i="1"/>
  <c r="X30" i="1"/>
  <c r="X31" i="1"/>
  <c r="X16" i="1"/>
  <c r="X18" i="1"/>
  <c r="X61" i="1"/>
  <c r="X62" i="1"/>
  <c r="X63" i="1"/>
  <c r="X64" i="1"/>
  <c r="X65" i="1"/>
  <c r="X66" i="1"/>
  <c r="X67" i="1"/>
  <c r="X69" i="1"/>
  <c r="X70" i="1"/>
  <c r="X71" i="1"/>
  <c r="X72" i="1"/>
  <c r="X73" i="1"/>
  <c r="X74" i="1"/>
  <c r="X75" i="1"/>
  <c r="K69" i="1"/>
  <c r="L69" i="1"/>
  <c r="M69" i="1"/>
  <c r="V69" i="1"/>
  <c r="Y69" i="1"/>
  <c r="Z69" i="1"/>
  <c r="AA69" i="1" s="1"/>
  <c r="AB69" i="1"/>
  <c r="AC69" i="1"/>
  <c r="AD69" i="1"/>
  <c r="T69" i="1" s="1"/>
  <c r="AE69" i="1"/>
  <c r="AF69" i="1"/>
  <c r="AH69" i="1"/>
  <c r="K70" i="1"/>
  <c r="L70" i="1"/>
  <c r="M70" i="1"/>
  <c r="T70" i="1"/>
  <c r="V70" i="1"/>
  <c r="Y70" i="1"/>
  <c r="Z70" i="1"/>
  <c r="AA70" i="1" s="1"/>
  <c r="AB70" i="1"/>
  <c r="AC70" i="1"/>
  <c r="AD70" i="1"/>
  <c r="AG70" i="1" s="1"/>
  <c r="AE70" i="1"/>
  <c r="AF70" i="1"/>
  <c r="AH70" i="1"/>
  <c r="K61" i="1"/>
  <c r="L61" i="1"/>
  <c r="M61" i="1"/>
  <c r="V61" i="1"/>
  <c r="Y61" i="1"/>
  <c r="Z61" i="1"/>
  <c r="AA61" i="1" s="1"/>
  <c r="AB61" i="1"/>
  <c r="AC61" i="1"/>
  <c r="AD61" i="1"/>
  <c r="T61" i="1" s="1"/>
  <c r="AE61" i="1"/>
  <c r="AF61" i="1"/>
  <c r="AH61" i="1"/>
  <c r="K62" i="1"/>
  <c r="L62" i="1"/>
  <c r="M62" i="1"/>
  <c r="V62" i="1"/>
  <c r="Y62" i="1"/>
  <c r="Z62" i="1"/>
  <c r="AA62" i="1" s="1"/>
  <c r="AB62" i="1"/>
  <c r="AC62" i="1"/>
  <c r="AD62" i="1"/>
  <c r="T62" i="1" s="1"/>
  <c r="AE62" i="1"/>
  <c r="AF62" i="1"/>
  <c r="AH62" i="1"/>
  <c r="K15" i="1"/>
  <c r="L15" i="1"/>
  <c r="M15" i="1"/>
  <c r="V15" i="1"/>
  <c r="Y15" i="1"/>
  <c r="Z15" i="1"/>
  <c r="AA15" i="1" s="1"/>
  <c r="AB15" i="1"/>
  <c r="AC15" i="1"/>
  <c r="AD15" i="1"/>
  <c r="T15" i="1" s="1"/>
  <c r="AE15" i="1"/>
  <c r="AF15" i="1"/>
  <c r="AH15" i="1"/>
  <c r="K16" i="1"/>
  <c r="L16" i="1"/>
  <c r="M16" i="1"/>
  <c r="V16" i="1"/>
  <c r="Y16" i="1"/>
  <c r="Z16" i="1"/>
  <c r="AA16" i="1" s="1"/>
  <c r="AB16" i="1"/>
  <c r="AC16" i="1"/>
  <c r="AD16" i="1"/>
  <c r="T16" i="1" s="1"/>
  <c r="AE16" i="1"/>
  <c r="AF16" i="1"/>
  <c r="AH16" i="1"/>
  <c r="K29" i="1"/>
  <c r="L29" i="1"/>
  <c r="M29" i="1"/>
  <c r="V29" i="1"/>
  <c r="Y29" i="1"/>
  <c r="Z29" i="1"/>
  <c r="AA29" i="1" s="1"/>
  <c r="AB29" i="1"/>
  <c r="AC29" i="1"/>
  <c r="AD29" i="1"/>
  <c r="T29" i="1" s="1"/>
  <c r="AE29" i="1"/>
  <c r="AF29" i="1"/>
  <c r="AH29" i="1"/>
  <c r="E3" i="6"/>
  <c r="F3" i="6"/>
  <c r="G3" i="6"/>
  <c r="H3" i="6"/>
  <c r="E4" i="6"/>
  <c r="F4" i="6"/>
  <c r="G4" i="6"/>
  <c r="H4" i="6"/>
  <c r="E5" i="6"/>
  <c r="F5" i="6"/>
  <c r="G5" i="6"/>
  <c r="H5" i="6"/>
  <c r="E6" i="6"/>
  <c r="F6" i="6"/>
  <c r="G6" i="6"/>
  <c r="H6" i="6"/>
  <c r="E7" i="6"/>
  <c r="F7" i="6"/>
  <c r="G7" i="6"/>
  <c r="H7" i="6"/>
  <c r="E8" i="6"/>
  <c r="F8" i="6"/>
  <c r="G8" i="6"/>
  <c r="H8" i="6"/>
  <c r="E9" i="6"/>
  <c r="F9" i="6"/>
  <c r="G9" i="6"/>
  <c r="H9" i="6"/>
  <c r="X194" i="1"/>
  <c r="X195" i="1"/>
  <c r="X196" i="1"/>
  <c r="X197" i="1"/>
  <c r="X198" i="1"/>
  <c r="X199" i="1"/>
  <c r="X200" i="1"/>
  <c r="X201" i="1"/>
  <c r="K43" i="1"/>
  <c r="L43" i="1"/>
  <c r="M43" i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V48" i="1"/>
  <c r="Y48" i="1"/>
  <c r="Z48" i="1"/>
  <c r="AB48" i="1"/>
  <c r="AC48" i="1"/>
  <c r="AD48" i="1"/>
  <c r="AG48" i="1" s="1"/>
  <c r="AE48" i="1"/>
  <c r="AF48" i="1"/>
  <c r="AH48" i="1"/>
  <c r="S24" i="3"/>
  <c r="R24" i="3" s="1"/>
  <c r="T24" i="3"/>
  <c r="U24" i="3"/>
  <c r="V24" i="3"/>
  <c r="S26" i="3"/>
  <c r="R26" i="3" s="1"/>
  <c r="T26" i="3"/>
  <c r="U26" i="3"/>
  <c r="V26" i="3"/>
  <c r="S13" i="3"/>
  <c r="R13" i="3" s="1"/>
  <c r="T13" i="3"/>
  <c r="U13" i="3"/>
  <c r="V13" i="3"/>
  <c r="S11" i="3"/>
  <c r="R11" i="3" s="1"/>
  <c r="T11" i="3"/>
  <c r="U11" i="3"/>
  <c r="V11" i="3"/>
  <c r="S8" i="3"/>
  <c r="R8" i="3" s="1"/>
  <c r="T8" i="3"/>
  <c r="U8" i="3"/>
  <c r="V8" i="3"/>
  <c r="S12" i="3"/>
  <c r="R12" i="3" s="1"/>
  <c r="T12" i="3"/>
  <c r="U12" i="3"/>
  <c r="V12" i="3"/>
  <c r="S9" i="3"/>
  <c r="R9" i="3" s="1"/>
  <c r="T9" i="3"/>
  <c r="U9" i="3"/>
  <c r="V9" i="3"/>
  <c r="S10" i="3"/>
  <c r="R10" i="3" s="1"/>
  <c r="T10" i="3"/>
  <c r="U10" i="3"/>
  <c r="V10" i="3"/>
  <c r="S22" i="3"/>
  <c r="R22" i="3" s="1"/>
  <c r="T22" i="3"/>
  <c r="U22" i="3"/>
  <c r="V22" i="3"/>
  <c r="S37" i="3"/>
  <c r="R37" i="3" s="1"/>
  <c r="T37" i="3"/>
  <c r="U37" i="3"/>
  <c r="V37" i="3"/>
  <c r="S21" i="3"/>
  <c r="R21" i="3" s="1"/>
  <c r="T21" i="3"/>
  <c r="U21" i="3"/>
  <c r="V21" i="3"/>
  <c r="S28" i="3"/>
  <c r="R28" i="3" s="1"/>
  <c r="T28" i="3"/>
  <c r="U28" i="3"/>
  <c r="V28" i="3"/>
  <c r="S14" i="3"/>
  <c r="R14" i="3" s="1"/>
  <c r="T14" i="3"/>
  <c r="U14" i="3"/>
  <c r="V14" i="3"/>
  <c r="S38" i="3"/>
  <c r="R38" i="3" s="1"/>
  <c r="T38" i="3"/>
  <c r="U38" i="3"/>
  <c r="V38" i="3"/>
  <c r="S42" i="3"/>
  <c r="R42" i="3" s="1"/>
  <c r="T42" i="3"/>
  <c r="U42" i="3"/>
  <c r="V42" i="3"/>
  <c r="S27" i="3"/>
  <c r="R27" i="3" s="1"/>
  <c r="T27" i="3"/>
  <c r="U27" i="3"/>
  <c r="V27" i="3"/>
  <c r="S29" i="3"/>
  <c r="R29" i="3" s="1"/>
  <c r="T29" i="3"/>
  <c r="U29" i="3"/>
  <c r="V29" i="3"/>
  <c r="S39" i="3"/>
  <c r="R39" i="3" s="1"/>
  <c r="T39" i="3"/>
  <c r="U39" i="3"/>
  <c r="V39" i="3"/>
  <c r="S40" i="3"/>
  <c r="R40" i="3" s="1"/>
  <c r="T40" i="3"/>
  <c r="U40" i="3"/>
  <c r="V40" i="3"/>
  <c r="S30" i="3"/>
  <c r="R30" i="3" s="1"/>
  <c r="T30" i="3"/>
  <c r="U30" i="3"/>
  <c r="V30" i="3"/>
  <c r="S41" i="3"/>
  <c r="R41" i="3" s="1"/>
  <c r="T41" i="3"/>
  <c r="U41" i="3"/>
  <c r="V41" i="3"/>
  <c r="S43" i="3"/>
  <c r="R43" i="3" s="1"/>
  <c r="T43" i="3"/>
  <c r="U43" i="3"/>
  <c r="V43" i="3"/>
  <c r="S31" i="3"/>
  <c r="R31" i="3" s="1"/>
  <c r="T31" i="3"/>
  <c r="U31" i="3"/>
  <c r="V31" i="3"/>
  <c r="S18" i="3"/>
  <c r="R18" i="3" s="1"/>
  <c r="T18" i="3"/>
  <c r="U18" i="3"/>
  <c r="V18" i="3"/>
  <c r="S45" i="3"/>
  <c r="R45" i="3" s="1"/>
  <c r="T45" i="3"/>
  <c r="U45" i="3"/>
  <c r="V45" i="3"/>
  <c r="S16" i="3"/>
  <c r="R16" i="3" s="1"/>
  <c r="T16" i="3"/>
  <c r="U16" i="3"/>
  <c r="V16" i="3"/>
  <c r="S32" i="3"/>
  <c r="R32" i="3" s="1"/>
  <c r="T32" i="3"/>
  <c r="U32" i="3"/>
  <c r="V32" i="3"/>
  <c r="S33" i="3"/>
  <c r="R33" i="3" s="1"/>
  <c r="T33" i="3"/>
  <c r="U33" i="3"/>
  <c r="V33" i="3"/>
  <c r="S7" i="3"/>
  <c r="R7" i="3" s="1"/>
  <c r="T7" i="3"/>
  <c r="U7" i="3"/>
  <c r="V7" i="3"/>
  <c r="S17" i="3"/>
  <c r="R17" i="3" s="1"/>
  <c r="T17" i="3"/>
  <c r="U17" i="3"/>
  <c r="V17" i="3"/>
  <c r="S44" i="3"/>
  <c r="R44" i="3" s="1"/>
  <c r="T44" i="3"/>
  <c r="U44" i="3"/>
  <c r="V44" i="3"/>
  <c r="S25" i="3"/>
  <c r="R25" i="3" s="1"/>
  <c r="T25" i="3"/>
  <c r="U25" i="3"/>
  <c r="V25" i="3"/>
  <c r="S34" i="3"/>
  <c r="R34" i="3" s="1"/>
  <c r="T34" i="3"/>
  <c r="U34" i="3"/>
  <c r="V34" i="3"/>
  <c r="S20" i="3"/>
  <c r="R20" i="3" s="1"/>
  <c r="T20" i="3"/>
  <c r="U20" i="3"/>
  <c r="V20" i="3"/>
  <c r="S35" i="3"/>
  <c r="R35" i="3" s="1"/>
  <c r="T35" i="3"/>
  <c r="U35" i="3"/>
  <c r="V35" i="3"/>
  <c r="P46" i="3"/>
  <c r="Q46" i="3"/>
  <c r="S46" i="3"/>
  <c r="R46" i="3" s="1"/>
  <c r="T46" i="3"/>
  <c r="U46" i="3"/>
  <c r="V46" i="3"/>
  <c r="S36" i="3"/>
  <c r="R36" i="3" s="1"/>
  <c r="T36" i="3"/>
  <c r="U36" i="3"/>
  <c r="V36" i="3"/>
  <c r="S15" i="3"/>
  <c r="R15" i="3" s="1"/>
  <c r="T15" i="3"/>
  <c r="U15" i="3"/>
  <c r="V15" i="3"/>
  <c r="S19" i="3"/>
  <c r="R19" i="3" s="1"/>
  <c r="T19" i="3"/>
  <c r="U19" i="3"/>
  <c r="V19" i="3"/>
  <c r="K14" i="1"/>
  <c r="L14" i="1"/>
  <c r="M14" i="1"/>
  <c r="N14" i="1" s="1"/>
  <c r="V14" i="1"/>
  <c r="Y14" i="1"/>
  <c r="Z14" i="1"/>
  <c r="AB14" i="1"/>
  <c r="AC14" i="1"/>
  <c r="AD14" i="1"/>
  <c r="AE14" i="1"/>
  <c r="AF14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V22" i="1"/>
  <c r="Y22" i="1"/>
  <c r="Z22" i="1"/>
  <c r="AB22" i="1"/>
  <c r="AC22" i="1"/>
  <c r="AD22" i="1"/>
  <c r="AE22" i="1"/>
  <c r="AF22" i="1"/>
  <c r="K23" i="1"/>
  <c r="L23" i="1"/>
  <c r="M23" i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V25" i="1"/>
  <c r="Q24" i="3" s="1"/>
  <c r="Y25" i="1"/>
  <c r="Z25" i="1"/>
  <c r="AB25" i="1"/>
  <c r="AC25" i="1"/>
  <c r="AD25" i="1"/>
  <c r="AG25" i="1" s="1"/>
  <c r="AE25" i="1"/>
  <c r="P24" i="3" s="1"/>
  <c r="AF25" i="1"/>
  <c r="K26" i="1"/>
  <c r="L26" i="1"/>
  <c r="M26" i="1"/>
  <c r="V26" i="1"/>
  <c r="Y26" i="1"/>
  <c r="Z26" i="1"/>
  <c r="AB26" i="1"/>
  <c r="AC26" i="1"/>
  <c r="AD26" i="1"/>
  <c r="AG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P28" i="1" s="1"/>
  <c r="V28" i="1"/>
  <c r="Y28" i="1"/>
  <c r="Z28" i="1"/>
  <c r="AB28" i="1"/>
  <c r="AC28" i="1"/>
  <c r="AD28" i="1"/>
  <c r="AE28" i="1"/>
  <c r="AF28" i="1"/>
  <c r="K30" i="1"/>
  <c r="L30" i="1"/>
  <c r="M30" i="1"/>
  <c r="N30" i="1" s="1"/>
  <c r="V30" i="1"/>
  <c r="Q11" i="3" s="1"/>
  <c r="Y30" i="1"/>
  <c r="Z30" i="1"/>
  <c r="AB30" i="1"/>
  <c r="AC30" i="1"/>
  <c r="AD30" i="1"/>
  <c r="T30" i="1" s="1"/>
  <c r="AE30" i="1"/>
  <c r="P8" i="3" s="1"/>
  <c r="AF30" i="1"/>
  <c r="K31" i="1"/>
  <c r="L31" i="1"/>
  <c r="M31" i="1"/>
  <c r="V31" i="1"/>
  <c r="Y31" i="1"/>
  <c r="Z31" i="1"/>
  <c r="AB31" i="1"/>
  <c r="AC31" i="1"/>
  <c r="AD31" i="1"/>
  <c r="AE31" i="1"/>
  <c r="AF31" i="1"/>
  <c r="K32" i="1"/>
  <c r="L32" i="1"/>
  <c r="M32" i="1"/>
  <c r="V32" i="1"/>
  <c r="Y32" i="1"/>
  <c r="Z32" i="1"/>
  <c r="AB32" i="1"/>
  <c r="AC32" i="1"/>
  <c r="AD32" i="1"/>
  <c r="T32" i="1" s="1"/>
  <c r="AE32" i="1"/>
  <c r="AF32" i="1"/>
  <c r="K33" i="1"/>
  <c r="L33" i="1"/>
  <c r="M33" i="1"/>
  <c r="N33" i="1" s="1"/>
  <c r="V33" i="1"/>
  <c r="Q26" i="3" s="1"/>
  <c r="Y33" i="1"/>
  <c r="Z33" i="1"/>
  <c r="AB33" i="1"/>
  <c r="AC33" i="1"/>
  <c r="AD33" i="1"/>
  <c r="AE33" i="1"/>
  <c r="P9" i="3" s="1"/>
  <c r="AF33" i="1"/>
  <c r="K34" i="1"/>
  <c r="L34" i="1"/>
  <c r="M34" i="1"/>
  <c r="V34" i="1"/>
  <c r="Y34" i="1"/>
  <c r="Z34" i="1"/>
  <c r="AB34" i="1"/>
  <c r="AC34" i="1"/>
  <c r="AD34" i="1"/>
  <c r="T34" i="1" s="1"/>
  <c r="AE34" i="1"/>
  <c r="AF34" i="1"/>
  <c r="K35" i="1"/>
  <c r="L35" i="1"/>
  <c r="M35" i="1"/>
  <c r="V35" i="1"/>
  <c r="Y35" i="1"/>
  <c r="Z35" i="1"/>
  <c r="AB35" i="1"/>
  <c r="AC35" i="1"/>
  <c r="AD35" i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P37" i="1" s="1"/>
  <c r="V37" i="1"/>
  <c r="Q13" i="3" s="1"/>
  <c r="Y37" i="1"/>
  <c r="Z37" i="1"/>
  <c r="AB37" i="1"/>
  <c r="AC37" i="1"/>
  <c r="AD37" i="1"/>
  <c r="AE37" i="1"/>
  <c r="P13" i="3" s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K49" i="1"/>
  <c r="L49" i="1"/>
  <c r="M49" i="1"/>
  <c r="N49" i="1" s="1"/>
  <c r="V49" i="1"/>
  <c r="Q10" i="3" s="1"/>
  <c r="Y49" i="1"/>
  <c r="Z49" i="1"/>
  <c r="AB49" i="1"/>
  <c r="AC49" i="1"/>
  <c r="AD49" i="1"/>
  <c r="T49" i="1" s="1"/>
  <c r="AE49" i="1"/>
  <c r="P22" i="3" s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Q37" i="3" s="1"/>
  <c r="Y51" i="1"/>
  <c r="Z51" i="1"/>
  <c r="AB51" i="1"/>
  <c r="AC51" i="1"/>
  <c r="AD51" i="1"/>
  <c r="AE51" i="1"/>
  <c r="P37" i="3" s="1"/>
  <c r="AF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Q28" i="3" s="1"/>
  <c r="Y56" i="1"/>
  <c r="Z56" i="1"/>
  <c r="AB56" i="1"/>
  <c r="AC56" i="1"/>
  <c r="AD56" i="1"/>
  <c r="AG56" i="1" s="1"/>
  <c r="AE56" i="1"/>
  <c r="P28" i="3" s="1"/>
  <c r="AF56" i="1"/>
  <c r="K57" i="1"/>
  <c r="L57" i="1"/>
  <c r="M57" i="1"/>
  <c r="P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Q21" i="3" s="1"/>
  <c r="Y58" i="1"/>
  <c r="Z58" i="1"/>
  <c r="AB58" i="1"/>
  <c r="AC58" i="1"/>
  <c r="AD58" i="1"/>
  <c r="AE58" i="1"/>
  <c r="P21" i="3" s="1"/>
  <c r="AF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K60" i="1"/>
  <c r="L60" i="1"/>
  <c r="M60" i="1"/>
  <c r="N60" i="1" s="1"/>
  <c r="V60" i="1"/>
  <c r="Q29" i="3" s="1"/>
  <c r="Y60" i="1"/>
  <c r="Z60" i="1"/>
  <c r="AB60" i="1"/>
  <c r="AC60" i="1"/>
  <c r="AD60" i="1"/>
  <c r="T60" i="1" s="1"/>
  <c r="AE60" i="1"/>
  <c r="P29" i="3" s="1"/>
  <c r="AF60" i="1"/>
  <c r="K63" i="1"/>
  <c r="L63" i="1"/>
  <c r="M63" i="1"/>
  <c r="P63" i="1" s="1"/>
  <c r="V63" i="1"/>
  <c r="Y63" i="1"/>
  <c r="Z63" i="1"/>
  <c r="AB63" i="1"/>
  <c r="AC63" i="1"/>
  <c r="AD63" i="1"/>
  <c r="AG63" i="1" s="1"/>
  <c r="AE63" i="1"/>
  <c r="AF63" i="1"/>
  <c r="K64" i="1"/>
  <c r="L64" i="1"/>
  <c r="M64" i="1"/>
  <c r="N64" i="1" s="1"/>
  <c r="V64" i="1"/>
  <c r="Q30" i="3" s="1"/>
  <c r="Y64" i="1"/>
  <c r="Z64" i="1"/>
  <c r="AB64" i="1"/>
  <c r="AC64" i="1"/>
  <c r="AD64" i="1"/>
  <c r="AE64" i="1"/>
  <c r="P30" i="3" s="1"/>
  <c r="AF64" i="1"/>
  <c r="K65" i="1"/>
  <c r="L65" i="1"/>
  <c r="M65" i="1"/>
  <c r="N65" i="1" s="1"/>
  <c r="V65" i="1"/>
  <c r="Q38" i="3" s="1"/>
  <c r="Y65" i="1"/>
  <c r="Z65" i="1"/>
  <c r="AB65" i="1"/>
  <c r="AC65" i="1"/>
  <c r="AD65" i="1"/>
  <c r="T65" i="1" s="1"/>
  <c r="AE65" i="1"/>
  <c r="P38" i="3" s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Q14" i="3" s="1"/>
  <c r="Y67" i="1"/>
  <c r="Z67" i="1"/>
  <c r="AB67" i="1"/>
  <c r="AC67" i="1"/>
  <c r="AD67" i="1"/>
  <c r="AG67" i="1" s="1"/>
  <c r="AE67" i="1"/>
  <c r="P27" i="3" s="1"/>
  <c r="AF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K76" i="1"/>
  <c r="L76" i="1"/>
  <c r="M76" i="1"/>
  <c r="N76" i="1" s="1"/>
  <c r="V76" i="1"/>
  <c r="Q31" i="3" s="1"/>
  <c r="Y76" i="1"/>
  <c r="Z76" i="1"/>
  <c r="AB76" i="1"/>
  <c r="AC76" i="1"/>
  <c r="AD76" i="1"/>
  <c r="AG76" i="1" s="1"/>
  <c r="AE76" i="1"/>
  <c r="P31" i="3" s="1"/>
  <c r="AF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K85" i="1"/>
  <c r="L85" i="1"/>
  <c r="M85" i="1"/>
  <c r="N85" i="1" s="1"/>
  <c r="V85" i="1"/>
  <c r="Q18" i="3" s="1"/>
  <c r="Y85" i="1"/>
  <c r="Z85" i="1"/>
  <c r="AB85" i="1"/>
  <c r="AC85" i="1"/>
  <c r="AD85" i="1"/>
  <c r="T85" i="1" s="1"/>
  <c r="AE85" i="1"/>
  <c r="P18" i="3" s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V90" i="1"/>
  <c r="Q16" i="3" s="1"/>
  <c r="Y90" i="1"/>
  <c r="Z90" i="1"/>
  <c r="AB90" i="1"/>
  <c r="AC90" i="1"/>
  <c r="AD90" i="1"/>
  <c r="T90" i="1" s="1"/>
  <c r="AE90" i="1"/>
  <c r="P16" i="3" s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K94" i="1"/>
  <c r="L94" i="1"/>
  <c r="M94" i="1"/>
  <c r="N94" i="1" s="1"/>
  <c r="V94" i="1"/>
  <c r="Q32" i="3" s="1"/>
  <c r="Y94" i="1"/>
  <c r="Z94" i="1"/>
  <c r="AB94" i="1"/>
  <c r="AC94" i="1"/>
  <c r="AD94" i="1"/>
  <c r="T94" i="1" s="1"/>
  <c r="AE94" i="1"/>
  <c r="P32" i="3" s="1"/>
  <c r="AF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K172" i="1"/>
  <c r="L172" i="1"/>
  <c r="M172" i="1"/>
  <c r="N172" i="1" s="1"/>
  <c r="V172" i="1"/>
  <c r="Q42" i="3" s="1"/>
  <c r="Y172" i="1"/>
  <c r="Z172" i="1"/>
  <c r="AB172" i="1"/>
  <c r="AC172" i="1"/>
  <c r="AD172" i="1"/>
  <c r="T172" i="1" s="1"/>
  <c r="AE172" i="1"/>
  <c r="P42" i="3" s="1"/>
  <c r="AF172" i="1"/>
  <c r="K97" i="1"/>
  <c r="L97" i="1"/>
  <c r="M97" i="1"/>
  <c r="P97" i="1" s="1"/>
  <c r="V97" i="1"/>
  <c r="Y97" i="1"/>
  <c r="Z97" i="1"/>
  <c r="AB97" i="1"/>
  <c r="AC97" i="1"/>
  <c r="AD97" i="1"/>
  <c r="AE97" i="1"/>
  <c r="AF97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Q41" i="3" s="1"/>
  <c r="Y175" i="1"/>
  <c r="Z175" i="1"/>
  <c r="AB175" i="1"/>
  <c r="AC175" i="1"/>
  <c r="AD175" i="1"/>
  <c r="T175" i="1" s="1"/>
  <c r="AE175" i="1"/>
  <c r="P41" i="3" s="1"/>
  <c r="AF175" i="1"/>
  <c r="K176" i="1"/>
  <c r="L176" i="1"/>
  <c r="M176" i="1"/>
  <c r="N176" i="1" s="1"/>
  <c r="V176" i="1"/>
  <c r="Q43" i="3" s="1"/>
  <c r="Y176" i="1"/>
  <c r="Z176" i="1"/>
  <c r="AB176" i="1"/>
  <c r="AC176" i="1"/>
  <c r="AD176" i="1"/>
  <c r="AG176" i="1" s="1"/>
  <c r="AE176" i="1"/>
  <c r="P43" i="3" s="1"/>
  <c r="AF176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K178" i="1"/>
  <c r="L178" i="1"/>
  <c r="M178" i="1"/>
  <c r="N178" i="1" s="1"/>
  <c r="V178" i="1"/>
  <c r="Q45" i="3" s="1"/>
  <c r="Y178" i="1"/>
  <c r="Z178" i="1"/>
  <c r="AB178" i="1"/>
  <c r="AC178" i="1"/>
  <c r="AD178" i="1"/>
  <c r="T178" i="1" s="1"/>
  <c r="AE178" i="1"/>
  <c r="P45" i="3" s="1"/>
  <c r="AF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K185" i="1"/>
  <c r="L185" i="1"/>
  <c r="M185" i="1"/>
  <c r="N185" i="1" s="1"/>
  <c r="V185" i="1"/>
  <c r="Q44" i="3" s="1"/>
  <c r="Y185" i="1"/>
  <c r="Z185" i="1"/>
  <c r="AB185" i="1"/>
  <c r="AC185" i="1"/>
  <c r="AD185" i="1"/>
  <c r="T185" i="1" s="1"/>
  <c r="AE185" i="1"/>
  <c r="P44" i="3" s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00" i="1"/>
  <c r="L100" i="1"/>
  <c r="M100" i="1"/>
  <c r="N100" i="1" s="1"/>
  <c r="V100" i="1"/>
  <c r="Q33" i="3" s="1"/>
  <c r="Y100" i="1"/>
  <c r="Z100" i="1"/>
  <c r="AB100" i="1"/>
  <c r="AC100" i="1"/>
  <c r="AD100" i="1"/>
  <c r="AE100" i="1"/>
  <c r="P33" i="3" s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K106" i="1"/>
  <c r="L106" i="1"/>
  <c r="M106" i="1"/>
  <c r="N106" i="1" s="1"/>
  <c r="V106" i="1"/>
  <c r="Q7" i="3" s="1"/>
  <c r="Y106" i="1"/>
  <c r="Z106" i="1"/>
  <c r="AB106" i="1"/>
  <c r="AC106" i="1"/>
  <c r="AD106" i="1"/>
  <c r="AG106" i="1" s="1"/>
  <c r="AE106" i="1"/>
  <c r="P7" i="3" s="1"/>
  <c r="AF10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K108" i="1"/>
  <c r="L108" i="1"/>
  <c r="M108" i="1"/>
  <c r="N108" i="1" s="1"/>
  <c r="V108" i="1"/>
  <c r="Q17" i="3" s="1"/>
  <c r="Y108" i="1"/>
  <c r="Z108" i="1"/>
  <c r="AB108" i="1"/>
  <c r="AC108" i="1"/>
  <c r="AD108" i="1"/>
  <c r="T108" i="1" s="1"/>
  <c r="AE108" i="1"/>
  <c r="P17" i="3" s="1"/>
  <c r="AF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Q34" i="3" s="1"/>
  <c r="Y120" i="1"/>
  <c r="Z120" i="1"/>
  <c r="AB120" i="1"/>
  <c r="AC120" i="1"/>
  <c r="AD120" i="1"/>
  <c r="AE120" i="1"/>
  <c r="P34" i="3" s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Q25" i="3" s="1"/>
  <c r="Y122" i="1"/>
  <c r="Z122" i="1"/>
  <c r="AB122" i="1"/>
  <c r="AC122" i="1"/>
  <c r="AD122" i="1"/>
  <c r="T122" i="1" s="1"/>
  <c r="AE122" i="1"/>
  <c r="P25" i="3" s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Q35" i="3" s="1"/>
  <c r="Y128" i="1"/>
  <c r="Z128" i="1"/>
  <c r="AB128" i="1"/>
  <c r="AC128" i="1"/>
  <c r="AD128" i="1"/>
  <c r="T128" i="1" s="1"/>
  <c r="AE128" i="1"/>
  <c r="P35" i="3" s="1"/>
  <c r="AF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Q20" i="3" s="1"/>
  <c r="Y131" i="1"/>
  <c r="Z131" i="1"/>
  <c r="AB131" i="1"/>
  <c r="AC131" i="1"/>
  <c r="AD131" i="1"/>
  <c r="T131" i="1" s="1"/>
  <c r="AE131" i="1"/>
  <c r="P20" i="3" s="1"/>
  <c r="AF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K142" i="1"/>
  <c r="L142" i="1"/>
  <c r="M142" i="1"/>
  <c r="N142" i="1" s="1"/>
  <c r="V142" i="1"/>
  <c r="Q36" i="3" s="1"/>
  <c r="Y142" i="1"/>
  <c r="Z142" i="1"/>
  <c r="AB142" i="1"/>
  <c r="AC142" i="1"/>
  <c r="AD142" i="1"/>
  <c r="AG142" i="1" s="1"/>
  <c r="AE142" i="1"/>
  <c r="P36" i="3" s="1"/>
  <c r="AF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N149" i="1" s="1"/>
  <c r="V149" i="1"/>
  <c r="Q15" i="3" s="1"/>
  <c r="Y149" i="1"/>
  <c r="Z149" i="1"/>
  <c r="AB149" i="1"/>
  <c r="AC149" i="1"/>
  <c r="AD149" i="1"/>
  <c r="T149" i="1" s="1"/>
  <c r="AE149" i="1"/>
  <c r="P15" i="3" s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V155" i="1"/>
  <c r="Q19" i="3" s="1"/>
  <c r="Y155" i="1"/>
  <c r="Z155" i="1"/>
  <c r="AB155" i="1"/>
  <c r="AC155" i="1"/>
  <c r="AD155" i="1"/>
  <c r="T155" i="1" s="1"/>
  <c r="AE155" i="1"/>
  <c r="P19" i="3" s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A84" i="1" l="1"/>
  <c r="W84" i="1" s="1"/>
  <c r="U84" i="1"/>
  <c r="S84" i="1" s="1"/>
  <c r="X84" i="1"/>
  <c r="AG83" i="1"/>
  <c r="X83" i="1"/>
  <c r="X15" i="1"/>
  <c r="AG16" i="1"/>
  <c r="W16" i="1" s="1"/>
  <c r="X17" i="1"/>
  <c r="W70" i="1"/>
  <c r="U70" i="1"/>
  <c r="S70" i="1" s="1"/>
  <c r="AG69" i="1"/>
  <c r="W69" i="1" s="1"/>
  <c r="AI70" i="1"/>
  <c r="AG62" i="1"/>
  <c r="U62" i="1" s="1"/>
  <c r="S62" i="1" s="1"/>
  <c r="AG61" i="1"/>
  <c r="AI16" i="1"/>
  <c r="U16" i="1"/>
  <c r="S16" i="1" s="1"/>
  <c r="AG15" i="1"/>
  <c r="AI15" i="1" s="1"/>
  <c r="AG29" i="1"/>
  <c r="AA43" i="1"/>
  <c r="AG43" i="1"/>
  <c r="W43" i="1" s="1"/>
  <c r="X202" i="1"/>
  <c r="X193" i="1"/>
  <c r="AA154" i="1"/>
  <c r="X192" i="1"/>
  <c r="X163" i="1"/>
  <c r="X51" i="1"/>
  <c r="X37" i="1"/>
  <c r="P34" i="1"/>
  <c r="P31" i="1"/>
  <c r="P25" i="1"/>
  <c r="P22" i="1"/>
  <c r="X191" i="1"/>
  <c r="X39" i="1"/>
  <c r="X164" i="1"/>
  <c r="X160" i="1"/>
  <c r="X177" i="1"/>
  <c r="X167" i="1"/>
  <c r="X159" i="1"/>
  <c r="X176" i="1"/>
  <c r="X53" i="1"/>
  <c r="X166" i="1"/>
  <c r="X162" i="1"/>
  <c r="X179" i="1"/>
  <c r="X175" i="1"/>
  <c r="X153" i="1"/>
  <c r="X38" i="1"/>
  <c r="AA22" i="1"/>
  <c r="AA48" i="1"/>
  <c r="AI48" i="1" s="1"/>
  <c r="AA47" i="1"/>
  <c r="AA46" i="1"/>
  <c r="AA45" i="1"/>
  <c r="AA44" i="1"/>
  <c r="W44" i="1" s="1"/>
  <c r="X49" i="1"/>
  <c r="X165" i="1"/>
  <c r="X178" i="1"/>
  <c r="X174" i="1"/>
  <c r="X156" i="1"/>
  <c r="X148" i="1"/>
  <c r="X42" i="1"/>
  <c r="X155" i="1"/>
  <c r="AG111" i="1"/>
  <c r="U111" i="1" s="1"/>
  <c r="S111" i="1" s="1"/>
  <c r="T164" i="1"/>
  <c r="AA36" i="1"/>
  <c r="AA23" i="1"/>
  <c r="X45" i="1"/>
  <c r="X154" i="1"/>
  <c r="X40" i="1"/>
  <c r="X157" i="1"/>
  <c r="W10" i="3"/>
  <c r="X47" i="1"/>
  <c r="X43" i="1"/>
  <c r="X41" i="1"/>
  <c r="AG59" i="1"/>
  <c r="U59" i="1" s="1"/>
  <c r="S59" i="1" s="1"/>
  <c r="Q9" i="3"/>
  <c r="X52" i="1"/>
  <c r="X48" i="1"/>
  <c r="X44" i="1"/>
  <c r="AA220" i="1"/>
  <c r="T148" i="1"/>
  <c r="AG123" i="1"/>
  <c r="AA170" i="1"/>
  <c r="AA90" i="1"/>
  <c r="AA87" i="1"/>
  <c r="W87" i="1" s="1"/>
  <c r="X54" i="1"/>
  <c r="X50" i="1"/>
  <c r="X46" i="1"/>
  <c r="T154" i="1"/>
  <c r="U154" i="1" s="1"/>
  <c r="S154" i="1" s="1"/>
  <c r="AA95" i="1"/>
  <c r="AI95" i="1" s="1"/>
  <c r="AA221" i="1"/>
  <c r="AA205" i="1"/>
  <c r="AA144" i="1"/>
  <c r="AA132" i="1"/>
  <c r="AG191" i="1"/>
  <c r="U191" i="1" s="1"/>
  <c r="S191" i="1" s="1"/>
  <c r="AA186" i="1"/>
  <c r="AA178" i="1"/>
  <c r="AA175" i="1"/>
  <c r="AA26" i="1"/>
  <c r="W26" i="1" s="1"/>
  <c r="X22" i="1"/>
  <c r="W30" i="3"/>
  <c r="W39" i="3"/>
  <c r="W29" i="3"/>
  <c r="AA230" i="1"/>
  <c r="AA214" i="1"/>
  <c r="AA165" i="1"/>
  <c r="AI165" i="1" s="1"/>
  <c r="T76" i="1"/>
  <c r="U76" i="1" s="1"/>
  <c r="S76" i="1" s="1"/>
  <c r="AA74" i="1"/>
  <c r="AA42" i="1"/>
  <c r="AA28" i="1"/>
  <c r="W45" i="3"/>
  <c r="Q22" i="3"/>
  <c r="T48" i="1"/>
  <c r="U48" i="1" s="1"/>
  <c r="S48" i="1" s="1"/>
  <c r="W18" i="3"/>
  <c r="W14" i="3"/>
  <c r="W8" i="3"/>
  <c r="W11" i="3"/>
  <c r="W22" i="3"/>
  <c r="W24" i="3"/>
  <c r="AG47" i="1"/>
  <c r="AG45" i="1"/>
  <c r="T44" i="1"/>
  <c r="U44" i="1" s="1"/>
  <c r="S44" i="1" s="1"/>
  <c r="W48" i="1"/>
  <c r="AG46" i="1"/>
  <c r="P12" i="3"/>
  <c r="W27" i="3"/>
  <c r="P14" i="3"/>
  <c r="P11" i="3"/>
  <c r="P39" i="3"/>
  <c r="P10" i="3"/>
  <c r="P26" i="3"/>
  <c r="W36" i="3"/>
  <c r="W46" i="3"/>
  <c r="W16" i="3"/>
  <c r="W25" i="3"/>
  <c r="W44" i="3"/>
  <c r="W31" i="3"/>
  <c r="W28" i="3"/>
  <c r="W19" i="3"/>
  <c r="W20" i="3"/>
  <c r="W34" i="3"/>
  <c r="W33" i="3"/>
  <c r="W41" i="3"/>
  <c r="W42" i="3"/>
  <c r="W37" i="3"/>
  <c r="W9" i="3"/>
  <c r="W26" i="3"/>
  <c r="AG85" i="1"/>
  <c r="AA80" i="1"/>
  <c r="Q40" i="3"/>
  <c r="Q27" i="3"/>
  <c r="Q8" i="3"/>
  <c r="X120" i="1"/>
  <c r="AG107" i="1"/>
  <c r="U107" i="1" s="1"/>
  <c r="S107" i="1" s="1"/>
  <c r="AA187" i="1"/>
  <c r="AG182" i="1"/>
  <c r="U182" i="1" s="1"/>
  <c r="S182" i="1" s="1"/>
  <c r="X182" i="1"/>
  <c r="X98" i="1"/>
  <c r="AG171" i="1"/>
  <c r="U171" i="1" s="1"/>
  <c r="S171" i="1" s="1"/>
  <c r="X171" i="1"/>
  <c r="T169" i="1"/>
  <c r="U169" i="1" s="1"/>
  <c r="S169" i="1" s="1"/>
  <c r="AG164" i="1"/>
  <c r="U164" i="1" s="1"/>
  <c r="S164" i="1" s="1"/>
  <c r="AA25" i="1"/>
  <c r="AI25" i="1" s="1"/>
  <c r="AG22" i="1"/>
  <c r="AG21" i="1"/>
  <c r="U21" i="1" s="1"/>
  <c r="S21" i="1" s="1"/>
  <c r="AA19" i="1"/>
  <c r="P40" i="3"/>
  <c r="AA180" i="1"/>
  <c r="W180" i="1" s="1"/>
  <c r="T224" i="1"/>
  <c r="U224" i="1" s="1"/>
  <c r="S224" i="1" s="1"/>
  <c r="AA222" i="1"/>
  <c r="AA202" i="1"/>
  <c r="T201" i="1"/>
  <c r="U201" i="1" s="1"/>
  <c r="S201" i="1" s="1"/>
  <c r="AA137" i="1"/>
  <c r="W137" i="1" s="1"/>
  <c r="AA179" i="1"/>
  <c r="AI179" i="1" s="1"/>
  <c r="AA85" i="1"/>
  <c r="AA67" i="1"/>
  <c r="W67" i="1" s="1"/>
  <c r="AA35" i="1"/>
  <c r="Q39" i="3"/>
  <c r="Q12" i="3"/>
  <c r="W32" i="3"/>
  <c r="W43" i="3"/>
  <c r="W40" i="3"/>
  <c r="W38" i="3"/>
  <c r="W21" i="3"/>
  <c r="W12" i="3"/>
  <c r="W13" i="3"/>
  <c r="W15" i="3"/>
  <c r="W35" i="3"/>
  <c r="W17" i="3"/>
  <c r="W7" i="3"/>
  <c r="T17" i="1"/>
  <c r="U17" i="1" s="1"/>
  <c r="S17" i="1" s="1"/>
  <c r="AA201" i="1"/>
  <c r="W201" i="1" s="1"/>
  <c r="AA198" i="1"/>
  <c r="AA160" i="1"/>
  <c r="AG150" i="1"/>
  <c r="U150" i="1" s="1"/>
  <c r="S150" i="1" s="1"/>
  <c r="AA146" i="1"/>
  <c r="AA142" i="1"/>
  <c r="W142" i="1" s="1"/>
  <c r="AA135" i="1"/>
  <c r="AI135" i="1" s="1"/>
  <c r="X133" i="1"/>
  <c r="AA121" i="1"/>
  <c r="W121" i="1" s="1"/>
  <c r="X109" i="1"/>
  <c r="AA108" i="1"/>
  <c r="AG104" i="1"/>
  <c r="U104" i="1" s="1"/>
  <c r="S104" i="1" s="1"/>
  <c r="AA102" i="1"/>
  <c r="AA191" i="1"/>
  <c r="AA185" i="1"/>
  <c r="X184" i="1"/>
  <c r="AG178" i="1"/>
  <c r="U178" i="1" s="1"/>
  <c r="S178" i="1" s="1"/>
  <c r="AA88" i="1"/>
  <c r="AA57" i="1"/>
  <c r="AA50" i="1"/>
  <c r="AA27" i="1"/>
  <c r="AG208" i="1"/>
  <c r="U208" i="1" s="1"/>
  <c r="S208" i="1" s="1"/>
  <c r="AA223" i="1"/>
  <c r="AA157" i="1"/>
  <c r="W157" i="1" s="1"/>
  <c r="T157" i="1"/>
  <c r="U157" i="1" s="1"/>
  <c r="S157" i="1" s="1"/>
  <c r="AA155" i="1"/>
  <c r="AA139" i="1"/>
  <c r="W139" i="1" s="1"/>
  <c r="AG124" i="1"/>
  <c r="U124" i="1" s="1"/>
  <c r="S124" i="1" s="1"/>
  <c r="X124" i="1"/>
  <c r="AG119" i="1"/>
  <c r="U119" i="1" s="1"/>
  <c r="S119" i="1" s="1"/>
  <c r="AA117" i="1"/>
  <c r="AA110" i="1"/>
  <c r="AA109" i="1"/>
  <c r="AI109" i="1" s="1"/>
  <c r="AA106" i="1"/>
  <c r="W106" i="1" s="1"/>
  <c r="AA195" i="1"/>
  <c r="W195" i="1" s="1"/>
  <c r="AA194" i="1"/>
  <c r="AA192" i="1"/>
  <c r="W192" i="1" s="1"/>
  <c r="AA182" i="1"/>
  <c r="AA94" i="1"/>
  <c r="AA82" i="1"/>
  <c r="AA77" i="1"/>
  <c r="W77" i="1" s="1"/>
  <c r="T72" i="1"/>
  <c r="AA63" i="1"/>
  <c r="W63" i="1" s="1"/>
  <c r="AA60" i="1"/>
  <c r="AA39" i="1"/>
  <c r="T25" i="1"/>
  <c r="U25" i="1" s="1"/>
  <c r="AA213" i="1"/>
  <c r="AA153" i="1"/>
  <c r="T132" i="1"/>
  <c r="X132" i="1"/>
  <c r="AG132" i="1"/>
  <c r="AA129" i="1"/>
  <c r="W129" i="1" s="1"/>
  <c r="X128" i="1"/>
  <c r="AG128" i="1"/>
  <c r="AG113" i="1"/>
  <c r="X113" i="1"/>
  <c r="AG229" i="1"/>
  <c r="T229" i="1"/>
  <c r="AG213" i="1"/>
  <c r="T213" i="1"/>
  <c r="T153" i="1"/>
  <c r="AG153" i="1"/>
  <c r="T227" i="1"/>
  <c r="U227" i="1" s="1"/>
  <c r="S227" i="1" s="1"/>
  <c r="T211" i="1"/>
  <c r="U211" i="1" s="1"/>
  <c r="S211" i="1" s="1"/>
  <c r="AG161" i="1"/>
  <c r="T161" i="1"/>
  <c r="AG125" i="1"/>
  <c r="X125" i="1"/>
  <c r="AA125" i="1"/>
  <c r="AA227" i="1"/>
  <c r="W227" i="1" s="1"/>
  <c r="AA211" i="1"/>
  <c r="W211" i="1" s="1"/>
  <c r="AG202" i="1"/>
  <c r="U202" i="1" s="1"/>
  <c r="S202" i="1" s="1"/>
  <c r="AA210" i="1"/>
  <c r="AA162" i="1"/>
  <c r="T143" i="1"/>
  <c r="X143" i="1"/>
  <c r="AG143" i="1"/>
  <c r="AA113" i="1"/>
  <c r="X112" i="1"/>
  <c r="AA140" i="1"/>
  <c r="AA136" i="1"/>
  <c r="AA116" i="1"/>
  <c r="AG194" i="1"/>
  <c r="AG193" i="1"/>
  <c r="U193" i="1" s="1"/>
  <c r="S193" i="1" s="1"/>
  <c r="AG190" i="1"/>
  <c r="AG181" i="1"/>
  <c r="U181" i="1" s="1"/>
  <c r="S181" i="1" s="1"/>
  <c r="X181" i="1"/>
  <c r="AA173" i="1"/>
  <c r="AI173" i="1" s="1"/>
  <c r="AG168" i="1"/>
  <c r="U168" i="1" s="1"/>
  <c r="S168" i="1" s="1"/>
  <c r="AG94" i="1"/>
  <c r="AA66" i="1"/>
  <c r="AA55" i="1"/>
  <c r="W55" i="1" s="1"/>
  <c r="AA40" i="1"/>
  <c r="AG34" i="1"/>
  <c r="AA229" i="1"/>
  <c r="AA226" i="1"/>
  <c r="AA207" i="1"/>
  <c r="AA161" i="1"/>
  <c r="AA159" i="1"/>
  <c r="AA158" i="1"/>
  <c r="AA156" i="1"/>
  <c r="AA152" i="1"/>
  <c r="AG140" i="1"/>
  <c r="U140" i="1" s="1"/>
  <c r="S140" i="1" s="1"/>
  <c r="X140" i="1"/>
  <c r="AA133" i="1"/>
  <c r="W133" i="1" s="1"/>
  <c r="AG131" i="1"/>
  <c r="U131" i="1" s="1"/>
  <c r="S131" i="1" s="1"/>
  <c r="AA124" i="1"/>
  <c r="AA123" i="1"/>
  <c r="AA120" i="1"/>
  <c r="AG112" i="1"/>
  <c r="U112" i="1" s="1"/>
  <c r="S112" i="1" s="1"/>
  <c r="AA111" i="1"/>
  <c r="AA105" i="1"/>
  <c r="AA99" i="1"/>
  <c r="AA188" i="1"/>
  <c r="W188" i="1" s="1"/>
  <c r="AA177" i="1"/>
  <c r="AA172" i="1"/>
  <c r="AA163" i="1"/>
  <c r="AA86" i="1"/>
  <c r="AG72" i="1"/>
  <c r="AG65" i="1"/>
  <c r="U65" i="1" s="1"/>
  <c r="S65" i="1" s="1"/>
  <c r="AA59" i="1"/>
  <c r="T41" i="1"/>
  <c r="U41" i="1" s="1"/>
  <c r="S41" i="1" s="1"/>
  <c r="AG39" i="1"/>
  <c r="U39" i="1" s="1"/>
  <c r="S39" i="1" s="1"/>
  <c r="AA37" i="1"/>
  <c r="AA31" i="1"/>
  <c r="AA17" i="1"/>
  <c r="W17" i="1" s="1"/>
  <c r="AA193" i="1"/>
  <c r="AA181" i="1"/>
  <c r="AA97" i="1"/>
  <c r="T87" i="1"/>
  <c r="U87" i="1" s="1"/>
  <c r="S87" i="1" s="1"/>
  <c r="AA81" i="1"/>
  <c r="W81" i="1" s="1"/>
  <c r="AA73" i="1"/>
  <c r="W73" i="1" s="1"/>
  <c r="AA64" i="1"/>
  <c r="AA54" i="1"/>
  <c r="AA41" i="1"/>
  <c r="W41" i="1" s="1"/>
  <c r="AA38" i="1"/>
  <c r="X35" i="1"/>
  <c r="AA34" i="1"/>
  <c r="AA33" i="1"/>
  <c r="AA32" i="1"/>
  <c r="X26" i="1"/>
  <c r="AA131" i="1"/>
  <c r="AA130" i="1"/>
  <c r="X129" i="1"/>
  <c r="T121" i="1"/>
  <c r="U121" i="1" s="1"/>
  <c r="S121" i="1" s="1"/>
  <c r="T120" i="1"/>
  <c r="X116" i="1"/>
  <c r="AG116" i="1"/>
  <c r="U116" i="1" s="1"/>
  <c r="S116" i="1" s="1"/>
  <c r="AA115" i="1"/>
  <c r="AA114" i="1"/>
  <c r="AG108" i="1"/>
  <c r="U108" i="1" s="1"/>
  <c r="S108" i="1" s="1"/>
  <c r="X108" i="1"/>
  <c r="T100" i="1"/>
  <c r="AG100" i="1"/>
  <c r="AG221" i="1"/>
  <c r="U221" i="1" s="1"/>
  <c r="S221" i="1" s="1"/>
  <c r="AG205" i="1"/>
  <c r="U205" i="1" s="1"/>
  <c r="S205" i="1" s="1"/>
  <c r="AG158" i="1"/>
  <c r="U158" i="1" s="1"/>
  <c r="S158" i="1" s="1"/>
  <c r="AG151" i="1"/>
  <c r="U151" i="1" s="1"/>
  <c r="S151" i="1" s="1"/>
  <c r="X151" i="1"/>
  <c r="AA148" i="1"/>
  <c r="AG147" i="1"/>
  <c r="U147" i="1" s="1"/>
  <c r="S147" i="1" s="1"/>
  <c r="X147" i="1"/>
  <c r="AA145" i="1"/>
  <c r="AG144" i="1"/>
  <c r="U144" i="1" s="1"/>
  <c r="S144" i="1" s="1"/>
  <c r="X144" i="1"/>
  <c r="AA138" i="1"/>
  <c r="X137" i="1"/>
  <c r="AG136" i="1"/>
  <c r="U136" i="1" s="1"/>
  <c r="S136" i="1" s="1"/>
  <c r="X136" i="1"/>
  <c r="T133" i="1"/>
  <c r="U133" i="1" s="1"/>
  <c r="S133" i="1" s="1"/>
  <c r="AA127" i="1"/>
  <c r="AA126" i="1"/>
  <c r="AG117" i="1"/>
  <c r="X117" i="1"/>
  <c r="T115" i="1"/>
  <c r="AG115" i="1"/>
  <c r="AG102" i="1"/>
  <c r="X102" i="1"/>
  <c r="AG226" i="1"/>
  <c r="AG210" i="1"/>
  <c r="AG198" i="1"/>
  <c r="U198" i="1" s="1"/>
  <c r="S198" i="1" s="1"/>
  <c r="AG160" i="1"/>
  <c r="AG156" i="1"/>
  <c r="U156" i="1" s="1"/>
  <c r="S156" i="1" s="1"/>
  <c r="AA150" i="1"/>
  <c r="AA149" i="1"/>
  <c r="AG148" i="1"/>
  <c r="AA143" i="1"/>
  <c r="AA134" i="1"/>
  <c r="T129" i="1"/>
  <c r="U129" i="1" s="1"/>
  <c r="S129" i="1" s="1"/>
  <c r="AA122" i="1"/>
  <c r="X121" i="1"/>
  <c r="AG120" i="1"/>
  <c r="W154" i="1"/>
  <c r="AA151" i="1"/>
  <c r="AA147" i="1"/>
  <c r="AA141" i="1"/>
  <c r="W141" i="1" s="1"/>
  <c r="T137" i="1"/>
  <c r="U137" i="1" s="1"/>
  <c r="S137" i="1" s="1"/>
  <c r="AA128" i="1"/>
  <c r="AG127" i="1"/>
  <c r="U127" i="1" s="1"/>
  <c r="S127" i="1" s="1"/>
  <c r="T125" i="1"/>
  <c r="AA119" i="1"/>
  <c r="T105" i="1"/>
  <c r="X105" i="1"/>
  <c r="AG105" i="1"/>
  <c r="T102" i="1"/>
  <c r="U102" i="1" s="1"/>
  <c r="S102" i="1" s="1"/>
  <c r="X101" i="1"/>
  <c r="T165" i="1"/>
  <c r="U165" i="1" s="1"/>
  <c r="S165" i="1" s="1"/>
  <c r="T77" i="1"/>
  <c r="U77" i="1" s="1"/>
  <c r="S77" i="1" s="1"/>
  <c r="T67" i="1"/>
  <c r="U67" i="1" s="1"/>
  <c r="S67" i="1" s="1"/>
  <c r="T31" i="1"/>
  <c r="AA18" i="1"/>
  <c r="W18" i="1" s="1"/>
  <c r="T18" i="1"/>
  <c r="U18" i="1" s="1"/>
  <c r="S18" i="1" s="1"/>
  <c r="T113" i="1"/>
  <c r="AA107" i="1"/>
  <c r="AA219" i="1"/>
  <c r="X106" i="1"/>
  <c r="AA101" i="1"/>
  <c r="T195" i="1"/>
  <c r="U195" i="1" s="1"/>
  <c r="S195" i="1" s="1"/>
  <c r="AA190" i="1"/>
  <c r="AA189" i="1"/>
  <c r="X188" i="1"/>
  <c r="AG187" i="1"/>
  <c r="AA183" i="1"/>
  <c r="AA98" i="1"/>
  <c r="W98" i="1" s="1"/>
  <c r="T98" i="1"/>
  <c r="U98" i="1" s="1"/>
  <c r="S98" i="1" s="1"/>
  <c r="AA176" i="1"/>
  <c r="W176" i="1" s="1"/>
  <c r="AG175" i="1"/>
  <c r="AG172" i="1"/>
  <c r="U172" i="1" s="1"/>
  <c r="S172" i="1" s="1"/>
  <c r="AA169" i="1"/>
  <c r="AI169" i="1" s="1"/>
  <c r="AA168" i="1"/>
  <c r="AG167" i="1"/>
  <c r="U167" i="1" s="1"/>
  <c r="S167" i="1" s="1"/>
  <c r="AA164" i="1"/>
  <c r="AA92" i="1"/>
  <c r="W92" i="1" s="1"/>
  <c r="AA91" i="1"/>
  <c r="W91" i="1" s="1"/>
  <c r="AG90" i="1"/>
  <c r="AG86" i="1"/>
  <c r="U86" i="1" s="1"/>
  <c r="S86" i="1" s="1"/>
  <c r="X86" i="1"/>
  <c r="X81" i="1"/>
  <c r="AG80" i="1"/>
  <c r="U80" i="1" s="1"/>
  <c r="S80" i="1" s="1"/>
  <c r="AA79" i="1"/>
  <c r="AA78" i="1"/>
  <c r="AA76" i="1"/>
  <c r="AG75" i="1"/>
  <c r="U75" i="1" s="1"/>
  <c r="S75" i="1" s="1"/>
  <c r="AA68" i="1"/>
  <c r="T66" i="1"/>
  <c r="AG60" i="1"/>
  <c r="X60" i="1"/>
  <c r="X57" i="1"/>
  <c r="AG54" i="1"/>
  <c r="U54" i="1" s="1"/>
  <c r="S54" i="1" s="1"/>
  <c r="AA52" i="1"/>
  <c r="W52" i="1" s="1"/>
  <c r="AA51" i="1"/>
  <c r="AG50" i="1"/>
  <c r="U50" i="1" s="1"/>
  <c r="S50" i="1" s="1"/>
  <c r="AG40" i="1"/>
  <c r="U40" i="1" s="1"/>
  <c r="S40" i="1" s="1"/>
  <c r="T35" i="1"/>
  <c r="AG31" i="1"/>
  <c r="AG30" i="1"/>
  <c r="U30" i="1" s="1"/>
  <c r="S30" i="1" s="1"/>
  <c r="T22" i="1"/>
  <c r="AA20" i="1"/>
  <c r="AA14" i="1"/>
  <c r="AA118" i="1"/>
  <c r="AA112" i="1"/>
  <c r="T109" i="1"/>
  <c r="U109" i="1" s="1"/>
  <c r="S109" i="1" s="1"/>
  <c r="AA104" i="1"/>
  <c r="AA103" i="1"/>
  <c r="AG101" i="1"/>
  <c r="U101" i="1" s="1"/>
  <c r="S101" i="1" s="1"/>
  <c r="T192" i="1"/>
  <c r="U192" i="1" s="1"/>
  <c r="S192" i="1" s="1"/>
  <c r="T184" i="1"/>
  <c r="T179" i="1"/>
  <c r="U179" i="1" s="1"/>
  <c r="S179" i="1" s="1"/>
  <c r="X168" i="1"/>
  <c r="X77" i="1"/>
  <c r="X76" i="1"/>
  <c r="T73" i="1"/>
  <c r="U73" i="1" s="1"/>
  <c r="S73" i="1" s="1"/>
  <c r="AG35" i="1"/>
  <c r="T26" i="1"/>
  <c r="U26" i="1" s="1"/>
  <c r="T106" i="1"/>
  <c r="U106" i="1" s="1"/>
  <c r="S106" i="1" s="1"/>
  <c r="AA100" i="1"/>
  <c r="AA196" i="1"/>
  <c r="T188" i="1"/>
  <c r="U188" i="1" s="1"/>
  <c r="S188" i="1" s="1"/>
  <c r="AA184" i="1"/>
  <c r="AA167" i="1"/>
  <c r="AA166" i="1"/>
  <c r="AA96" i="1"/>
  <c r="W96" i="1" s="1"/>
  <c r="AG89" i="1"/>
  <c r="U89" i="1" s="1"/>
  <c r="S89" i="1" s="1"/>
  <c r="X89" i="1"/>
  <c r="T81" i="1"/>
  <c r="U81" i="1" s="1"/>
  <c r="S81" i="1" s="1"/>
  <c r="AA75" i="1"/>
  <c r="AA72" i="1"/>
  <c r="AG71" i="1"/>
  <c r="U71" i="1" s="1"/>
  <c r="S71" i="1" s="1"/>
  <c r="AG66" i="1"/>
  <c r="T63" i="1"/>
  <c r="U63" i="1" s="1"/>
  <c r="S63" i="1" s="1"/>
  <c r="AA58" i="1"/>
  <c r="AG49" i="1"/>
  <c r="U49" i="1" s="1"/>
  <c r="S49" i="1" s="1"/>
  <c r="AA24" i="1"/>
  <c r="AI180" i="1"/>
  <c r="X221" i="1"/>
  <c r="X158" i="1"/>
  <c r="AG146" i="1"/>
  <c r="T142" i="1"/>
  <c r="U142" i="1" s="1"/>
  <c r="S142" i="1" s="1"/>
  <c r="X142" i="1"/>
  <c r="X141" i="1"/>
  <c r="X150" i="1"/>
  <c r="AG149" i="1"/>
  <c r="X146" i="1"/>
  <c r="AG145" i="1"/>
  <c r="T138" i="1"/>
  <c r="X138" i="1"/>
  <c r="AG138" i="1"/>
  <c r="AI138" i="1" s="1"/>
  <c r="T135" i="1"/>
  <c r="U135" i="1" s="1"/>
  <c r="S135" i="1" s="1"/>
  <c r="X135" i="1"/>
  <c r="AG223" i="1"/>
  <c r="AG207" i="1"/>
  <c r="AG162" i="1"/>
  <c r="AG159" i="1"/>
  <c r="AG155" i="1"/>
  <c r="AG152" i="1"/>
  <c r="X149" i="1"/>
  <c r="X145" i="1"/>
  <c r="T139" i="1"/>
  <c r="U139" i="1" s="1"/>
  <c r="S139" i="1" s="1"/>
  <c r="X139" i="1"/>
  <c r="T134" i="1"/>
  <c r="X134" i="1"/>
  <c r="AG134" i="1"/>
  <c r="AI201" i="1"/>
  <c r="X223" i="1"/>
  <c r="X207" i="1"/>
  <c r="X152" i="1"/>
  <c r="T141" i="1"/>
  <c r="U141" i="1" s="1"/>
  <c r="S141" i="1" s="1"/>
  <c r="X187" i="1"/>
  <c r="AG186" i="1"/>
  <c r="T180" i="1"/>
  <c r="U180" i="1" s="1"/>
  <c r="S180" i="1" s="1"/>
  <c r="X180" i="1"/>
  <c r="AG97" i="1"/>
  <c r="X97" i="1"/>
  <c r="T97" i="1"/>
  <c r="X131" i="1"/>
  <c r="AG130" i="1"/>
  <c r="X127" i="1"/>
  <c r="AG126" i="1"/>
  <c r="X123" i="1"/>
  <c r="AG122" i="1"/>
  <c r="AI154" i="1"/>
  <c r="X119" i="1"/>
  <c r="AG118" i="1"/>
  <c r="X115" i="1"/>
  <c r="AG114" i="1"/>
  <c r="X111" i="1"/>
  <c r="AG110" i="1"/>
  <c r="X107" i="1"/>
  <c r="AG219" i="1"/>
  <c r="X104" i="1"/>
  <c r="AG103" i="1"/>
  <c r="X100" i="1"/>
  <c r="AG196" i="1"/>
  <c r="AG99" i="1"/>
  <c r="X190" i="1"/>
  <c r="AG189" i="1"/>
  <c r="X186" i="1"/>
  <c r="AG185" i="1"/>
  <c r="T183" i="1"/>
  <c r="X183" i="1"/>
  <c r="AG183" i="1"/>
  <c r="X130" i="1"/>
  <c r="X126" i="1"/>
  <c r="X122" i="1"/>
  <c r="X118" i="1"/>
  <c r="X114" i="1"/>
  <c r="X110" i="1"/>
  <c r="X103" i="1"/>
  <c r="X99" i="1"/>
  <c r="X189" i="1"/>
  <c r="X185" i="1"/>
  <c r="AG184" i="1"/>
  <c r="AG174" i="1"/>
  <c r="T177" i="1"/>
  <c r="T170" i="1"/>
  <c r="X170" i="1"/>
  <c r="X169" i="1"/>
  <c r="AG166" i="1"/>
  <c r="T163" i="1"/>
  <c r="AG93" i="1"/>
  <c r="X93" i="1"/>
  <c r="T91" i="1"/>
  <c r="U91" i="1" s="1"/>
  <c r="S91" i="1" s="1"/>
  <c r="T88" i="1"/>
  <c r="X88" i="1"/>
  <c r="X87" i="1"/>
  <c r="AG82" i="1"/>
  <c r="T79" i="1"/>
  <c r="X79" i="1"/>
  <c r="T64" i="1"/>
  <c r="AG64" i="1"/>
  <c r="AA56" i="1"/>
  <c r="W56" i="1" s="1"/>
  <c r="AG53" i="1"/>
  <c r="AG177" i="1"/>
  <c r="T173" i="1"/>
  <c r="U173" i="1" s="1"/>
  <c r="S173" i="1" s="1"/>
  <c r="X173" i="1"/>
  <c r="X172" i="1"/>
  <c r="AA171" i="1"/>
  <c r="W171" i="1" s="1"/>
  <c r="AG170" i="1"/>
  <c r="AG163" i="1"/>
  <c r="T95" i="1"/>
  <c r="U95" i="1" s="1"/>
  <c r="S95" i="1" s="1"/>
  <c r="T92" i="1"/>
  <c r="U92" i="1" s="1"/>
  <c r="S92" i="1" s="1"/>
  <c r="X92" i="1"/>
  <c r="X91" i="1"/>
  <c r="X90" i="1"/>
  <c r="AA89" i="1"/>
  <c r="AG88" i="1"/>
  <c r="X80" i="1"/>
  <c r="AG79" i="1"/>
  <c r="T78" i="1"/>
  <c r="X78" i="1"/>
  <c r="AG78" i="1"/>
  <c r="AA71" i="1"/>
  <c r="T58" i="1"/>
  <c r="X58" i="1"/>
  <c r="AG58" i="1"/>
  <c r="T38" i="1"/>
  <c r="AG38" i="1"/>
  <c r="T176" i="1"/>
  <c r="U176" i="1" s="1"/>
  <c r="S176" i="1" s="1"/>
  <c r="AA174" i="1"/>
  <c r="T96" i="1"/>
  <c r="U96" i="1" s="1"/>
  <c r="S96" i="1" s="1"/>
  <c r="X96" i="1"/>
  <c r="X95" i="1"/>
  <c r="X94" i="1"/>
  <c r="AA93" i="1"/>
  <c r="T74" i="1"/>
  <c r="AG74" i="1"/>
  <c r="AA65" i="1"/>
  <c r="AG51" i="1"/>
  <c r="T51" i="1"/>
  <c r="T166" i="1"/>
  <c r="T82" i="1"/>
  <c r="X82" i="1"/>
  <c r="T68" i="1"/>
  <c r="X68" i="1"/>
  <c r="AG68" i="1"/>
  <c r="T36" i="1"/>
  <c r="X36" i="1"/>
  <c r="AG36" i="1"/>
  <c r="W36" i="1" s="1"/>
  <c r="T33" i="1"/>
  <c r="X33" i="1"/>
  <c r="AG33" i="1"/>
  <c r="X34" i="1"/>
  <c r="T24" i="1"/>
  <c r="X24" i="1"/>
  <c r="AG24" i="1"/>
  <c r="X25" i="1"/>
  <c r="X59" i="1"/>
  <c r="T57" i="1"/>
  <c r="T42" i="1"/>
  <c r="T37" i="1"/>
  <c r="AG57" i="1"/>
  <c r="T55" i="1"/>
  <c r="U55" i="1" s="1"/>
  <c r="S55" i="1" s="1"/>
  <c r="T52" i="1"/>
  <c r="U52" i="1" s="1"/>
  <c r="S52" i="1" s="1"/>
  <c r="AA49" i="1"/>
  <c r="AG42" i="1"/>
  <c r="AG37" i="1"/>
  <c r="T28" i="1"/>
  <c r="X28" i="1"/>
  <c r="AG28" i="1"/>
  <c r="T20" i="1"/>
  <c r="X20" i="1"/>
  <c r="AG20" i="1"/>
  <c r="X21" i="1"/>
  <c r="T14" i="1"/>
  <c r="AG14" i="1"/>
  <c r="T56" i="1"/>
  <c r="U56" i="1" s="1"/>
  <c r="S56" i="1" s="1"/>
  <c r="X56" i="1"/>
  <c r="X55" i="1"/>
  <c r="AA53" i="1"/>
  <c r="AA30" i="1"/>
  <c r="AA21" i="1"/>
  <c r="AG32" i="1"/>
  <c r="AG27" i="1"/>
  <c r="AG23" i="1"/>
  <c r="AG19" i="1"/>
  <c r="X32" i="1"/>
  <c r="X27" i="1"/>
  <c r="X23" i="1"/>
  <c r="X19" i="1"/>
  <c r="AA224" i="1"/>
  <c r="W224" i="1" s="1"/>
  <c r="AG214" i="1"/>
  <c r="U214" i="1" s="1"/>
  <c r="S214" i="1" s="1"/>
  <c r="AA208" i="1"/>
  <c r="AA206" i="1"/>
  <c r="AA199" i="1"/>
  <c r="AI199" i="1" s="1"/>
  <c r="T199" i="1"/>
  <c r="U199" i="1" s="1"/>
  <c r="S199" i="1" s="1"/>
  <c r="X224" i="1"/>
  <c r="AG222" i="1"/>
  <c r="X208" i="1"/>
  <c r="AG206" i="1"/>
  <c r="AG230" i="1"/>
  <c r="X222" i="1"/>
  <c r="AG220" i="1"/>
  <c r="L24" i="3"/>
  <c r="L26" i="3"/>
  <c r="L13" i="3"/>
  <c r="L11" i="3"/>
  <c r="L8" i="3"/>
  <c r="L12" i="3"/>
  <c r="L9" i="3"/>
  <c r="L10" i="3"/>
  <c r="L22" i="3"/>
  <c r="L37" i="3"/>
  <c r="L21" i="3"/>
  <c r="L28" i="3"/>
  <c r="L14" i="3"/>
  <c r="L38" i="3"/>
  <c r="L42" i="3"/>
  <c r="L27" i="3"/>
  <c r="L29" i="3"/>
  <c r="L39" i="3"/>
  <c r="L40" i="3"/>
  <c r="L30" i="3"/>
  <c r="L41" i="3"/>
  <c r="L43" i="3"/>
  <c r="L31" i="3"/>
  <c r="L18" i="3"/>
  <c r="L45" i="3"/>
  <c r="L16" i="3"/>
  <c r="L32" i="3"/>
  <c r="L33" i="3"/>
  <c r="L7" i="3"/>
  <c r="L17" i="3"/>
  <c r="L44" i="3"/>
  <c r="L25" i="3"/>
  <c r="L34" i="3"/>
  <c r="L20" i="3"/>
  <c r="L35" i="3"/>
  <c r="L46" i="3"/>
  <c r="L36" i="3"/>
  <c r="L15" i="3"/>
  <c r="L19" i="3"/>
  <c r="L23" i="3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X206" i="1" s="1"/>
  <c r="AE204" i="1"/>
  <c r="AF204" i="1"/>
  <c r="K209" i="1"/>
  <c r="L209" i="1"/>
  <c r="M209" i="1"/>
  <c r="N209" i="1" s="1"/>
  <c r="V209" i="1"/>
  <c r="Y209" i="1"/>
  <c r="Z209" i="1"/>
  <c r="AB209" i="1"/>
  <c r="AC209" i="1"/>
  <c r="AD209" i="1"/>
  <c r="X210" i="1" s="1"/>
  <c r="AE209" i="1"/>
  <c r="AF209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K225" i="1"/>
  <c r="L225" i="1"/>
  <c r="M225" i="1"/>
  <c r="N225" i="1" s="1"/>
  <c r="V225" i="1"/>
  <c r="Y225" i="1"/>
  <c r="Z225" i="1"/>
  <c r="AB225" i="1"/>
  <c r="AC225" i="1"/>
  <c r="AD225" i="1"/>
  <c r="X227" i="1" s="1"/>
  <c r="AE225" i="1"/>
  <c r="AF225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K13" i="1"/>
  <c r="L13" i="1"/>
  <c r="M13" i="1"/>
  <c r="N13" i="1" s="1"/>
  <c r="V13" i="1"/>
  <c r="Y13" i="1"/>
  <c r="Z13" i="1"/>
  <c r="AB13" i="1"/>
  <c r="AC13" i="1"/>
  <c r="AD13" i="1"/>
  <c r="AE13" i="1"/>
  <c r="AF13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S23" i="3"/>
  <c r="R23" i="3" s="1"/>
  <c r="T23" i="3"/>
  <c r="U23" i="3"/>
  <c r="V23" i="3"/>
  <c r="AI84" i="1" l="1"/>
  <c r="AI83" i="1"/>
  <c r="U83" i="1"/>
  <c r="S83" i="1" s="1"/>
  <c r="W83" i="1"/>
  <c r="U43" i="1"/>
  <c r="S43" i="1" s="1"/>
  <c r="U15" i="1"/>
  <c r="S15" i="1" s="1"/>
  <c r="AI69" i="1"/>
  <c r="U69" i="1"/>
  <c r="S69" i="1" s="1"/>
  <c r="AI62" i="1"/>
  <c r="W62" i="1"/>
  <c r="AI61" i="1"/>
  <c r="U61" i="1"/>
  <c r="S61" i="1" s="1"/>
  <c r="W15" i="1"/>
  <c r="W61" i="1"/>
  <c r="AI29" i="1"/>
  <c r="U29" i="1"/>
  <c r="S29" i="1" s="1"/>
  <c r="W29" i="1"/>
  <c r="AI43" i="1"/>
  <c r="AI55" i="1"/>
  <c r="AI155" i="1"/>
  <c r="U113" i="1"/>
  <c r="S113" i="1" s="1"/>
  <c r="W47" i="1"/>
  <c r="AI123" i="1"/>
  <c r="W46" i="1"/>
  <c r="AI132" i="1"/>
  <c r="W22" i="1"/>
  <c r="AI17" i="1"/>
  <c r="AI82" i="1"/>
  <c r="AI47" i="1"/>
  <c r="AI45" i="1"/>
  <c r="W132" i="1"/>
  <c r="W199" i="1"/>
  <c r="AI136" i="1"/>
  <c r="AI44" i="1"/>
  <c r="W222" i="1"/>
  <c r="AI114" i="1"/>
  <c r="W149" i="1"/>
  <c r="W100" i="1"/>
  <c r="U66" i="1"/>
  <c r="S66" i="1" s="1"/>
  <c r="U115" i="1"/>
  <c r="S115" i="1" s="1"/>
  <c r="U213" i="1"/>
  <c r="S213" i="1" s="1"/>
  <c r="W110" i="1"/>
  <c r="W118" i="1"/>
  <c r="W134" i="1"/>
  <c r="W60" i="1"/>
  <c r="W111" i="1"/>
  <c r="W153" i="1"/>
  <c r="AI126" i="1"/>
  <c r="AI140" i="1"/>
  <c r="W187" i="1"/>
  <c r="W173" i="1"/>
  <c r="AI194" i="1"/>
  <c r="AI39" i="1"/>
  <c r="AI139" i="1"/>
  <c r="AI158" i="1"/>
  <c r="S25" i="1"/>
  <c r="AI182" i="1"/>
  <c r="W183" i="1"/>
  <c r="W135" i="1"/>
  <c r="W33" i="1"/>
  <c r="AI130" i="1"/>
  <c r="AI186" i="1"/>
  <c r="AI202" i="1"/>
  <c r="W72" i="1"/>
  <c r="W124" i="1"/>
  <c r="W140" i="1"/>
  <c r="AI113" i="1"/>
  <c r="W178" i="1"/>
  <c r="W123" i="1"/>
  <c r="W165" i="1"/>
  <c r="U148" i="1"/>
  <c r="S148" i="1" s="1"/>
  <c r="W30" i="1"/>
  <c r="W39" i="1"/>
  <c r="AI142" i="1"/>
  <c r="U22" i="1"/>
  <c r="AI90" i="1"/>
  <c r="W102" i="1"/>
  <c r="AI170" i="1"/>
  <c r="W191" i="1"/>
  <c r="W94" i="1"/>
  <c r="T13" i="1"/>
  <c r="X13" i="1"/>
  <c r="AI162" i="1"/>
  <c r="U125" i="1"/>
  <c r="S125" i="1" s="1"/>
  <c r="W117" i="1"/>
  <c r="AI59" i="1"/>
  <c r="AI146" i="1"/>
  <c r="W74" i="1"/>
  <c r="AI38" i="1"/>
  <c r="U123" i="1"/>
  <c r="S123" i="1" s="1"/>
  <c r="U100" i="1"/>
  <c r="S100" i="1" s="1"/>
  <c r="W131" i="1"/>
  <c r="W34" i="1"/>
  <c r="W193" i="1"/>
  <c r="W125" i="1"/>
  <c r="W95" i="1"/>
  <c r="W21" i="1"/>
  <c r="W174" i="1"/>
  <c r="AI111" i="1"/>
  <c r="AI91" i="1"/>
  <c r="AI185" i="1"/>
  <c r="AI151" i="1"/>
  <c r="AI124" i="1"/>
  <c r="AI195" i="1"/>
  <c r="W152" i="1"/>
  <c r="W159" i="1"/>
  <c r="AI66" i="1"/>
  <c r="W31" i="1"/>
  <c r="W147" i="1"/>
  <c r="W143" i="1"/>
  <c r="W113" i="1"/>
  <c r="AI191" i="1"/>
  <c r="AI14" i="1"/>
  <c r="AI88" i="1"/>
  <c r="W90" i="1"/>
  <c r="W150" i="1"/>
  <c r="U47" i="1"/>
  <c r="S47" i="1" s="1"/>
  <c r="AI198" i="1"/>
  <c r="AI189" i="1"/>
  <c r="W109" i="1"/>
  <c r="AI164" i="1"/>
  <c r="W107" i="1"/>
  <c r="W226" i="1"/>
  <c r="W85" i="1"/>
  <c r="AI196" i="1"/>
  <c r="AI161" i="1"/>
  <c r="U229" i="1"/>
  <c r="S229" i="1" s="1"/>
  <c r="U45" i="1"/>
  <c r="S45" i="1" s="1"/>
  <c r="W45" i="1"/>
  <c r="U46" i="1"/>
  <c r="S46" i="1" s="1"/>
  <c r="AI46" i="1"/>
  <c r="AI71" i="1"/>
  <c r="W208" i="1"/>
  <c r="W49" i="1"/>
  <c r="AI68" i="1"/>
  <c r="AI58" i="1"/>
  <c r="AI101" i="1"/>
  <c r="AI72" i="1"/>
  <c r="W179" i="1"/>
  <c r="AI143" i="1"/>
  <c r="U85" i="1"/>
  <c r="S85" i="1" s="1"/>
  <c r="AI193" i="1"/>
  <c r="W75" i="1"/>
  <c r="W167" i="1"/>
  <c r="W104" i="1"/>
  <c r="W160" i="1"/>
  <c r="AI115" i="1"/>
  <c r="W163" i="1"/>
  <c r="AI128" i="1"/>
  <c r="W25" i="1"/>
  <c r="W184" i="1"/>
  <c r="W164" i="1"/>
  <c r="AI147" i="1"/>
  <c r="W59" i="1"/>
  <c r="AI102" i="1"/>
  <c r="W24" i="1"/>
  <c r="AI100" i="1"/>
  <c r="W71" i="1"/>
  <c r="AI79" i="1"/>
  <c r="AI85" i="1"/>
  <c r="U90" i="1"/>
  <c r="S90" i="1" s="1"/>
  <c r="W181" i="1"/>
  <c r="AI157" i="1"/>
  <c r="AI172" i="1"/>
  <c r="W145" i="1"/>
  <c r="U94" i="1"/>
  <c r="S94" i="1" s="1"/>
  <c r="W194" i="1"/>
  <c r="W202" i="1"/>
  <c r="W198" i="1"/>
  <c r="AI37" i="1"/>
  <c r="W50" i="1"/>
  <c r="W169" i="1"/>
  <c r="AI127" i="1"/>
  <c r="AI131" i="1"/>
  <c r="W219" i="1"/>
  <c r="U160" i="1"/>
  <c r="S160" i="1" s="1"/>
  <c r="U117" i="1"/>
  <c r="S117" i="1" s="1"/>
  <c r="U194" i="1"/>
  <c r="S194" i="1" s="1"/>
  <c r="W182" i="1"/>
  <c r="W112" i="1"/>
  <c r="W79" i="1"/>
  <c r="U31" i="1"/>
  <c r="U128" i="1"/>
  <c r="S128" i="1" s="1"/>
  <c r="W40" i="1"/>
  <c r="AI116" i="1"/>
  <c r="U143" i="1"/>
  <c r="S143" i="1" s="1"/>
  <c r="U161" i="1"/>
  <c r="S161" i="1" s="1"/>
  <c r="U132" i="1"/>
  <c r="S132" i="1" s="1"/>
  <c r="W78" i="1"/>
  <c r="AI117" i="1"/>
  <c r="AI176" i="1"/>
  <c r="W119" i="1"/>
  <c r="W210" i="1"/>
  <c r="AI148" i="1"/>
  <c r="W64" i="1"/>
  <c r="AI97" i="1"/>
  <c r="U72" i="1"/>
  <c r="S72" i="1" s="1"/>
  <c r="AI168" i="1"/>
  <c r="AI190" i="1"/>
  <c r="U153" i="1"/>
  <c r="S153" i="1" s="1"/>
  <c r="W151" i="1"/>
  <c r="U120" i="1"/>
  <c r="S120" i="1" s="1"/>
  <c r="W37" i="1"/>
  <c r="AI40" i="1"/>
  <c r="AI94" i="1"/>
  <c r="AI166" i="1"/>
  <c r="AI144" i="1"/>
  <c r="U210" i="1"/>
  <c r="S210" i="1" s="1"/>
  <c r="W144" i="1"/>
  <c r="W148" i="1"/>
  <c r="W156" i="1"/>
  <c r="W65" i="1"/>
  <c r="AI74" i="1"/>
  <c r="W89" i="1"/>
  <c r="AI53" i="1"/>
  <c r="AI107" i="1"/>
  <c r="AI174" i="1"/>
  <c r="AI150" i="1"/>
  <c r="U190" i="1"/>
  <c r="S190" i="1" s="1"/>
  <c r="U226" i="1"/>
  <c r="S226" i="1" s="1"/>
  <c r="W168" i="1"/>
  <c r="W108" i="1"/>
  <c r="W128" i="1"/>
  <c r="W229" i="1"/>
  <c r="AI75" i="1"/>
  <c r="W38" i="1"/>
  <c r="W97" i="1"/>
  <c r="AI118" i="1"/>
  <c r="AI134" i="1"/>
  <c r="AI86" i="1"/>
  <c r="W207" i="1"/>
  <c r="U35" i="1"/>
  <c r="W190" i="1"/>
  <c r="W105" i="1"/>
  <c r="W161" i="1"/>
  <c r="U34" i="1"/>
  <c r="AI34" i="1"/>
  <c r="W213" i="1"/>
  <c r="AG212" i="1"/>
  <c r="X213" i="1"/>
  <c r="AG200" i="1"/>
  <c r="AI24" i="1"/>
  <c r="AI33" i="1"/>
  <c r="AI65" i="1"/>
  <c r="AI183" i="1"/>
  <c r="W66" i="1"/>
  <c r="U187" i="1"/>
  <c r="S187" i="1" s="1"/>
  <c r="AI187" i="1"/>
  <c r="W86" i="1"/>
  <c r="AI21" i="1"/>
  <c r="W172" i="1"/>
  <c r="AI110" i="1"/>
  <c r="W116" i="1"/>
  <c r="W53" i="1"/>
  <c r="AI49" i="1"/>
  <c r="W166" i="1"/>
  <c r="X219" i="1"/>
  <c r="AI159" i="1"/>
  <c r="AI30" i="1"/>
  <c r="U175" i="1"/>
  <c r="S175" i="1" s="1"/>
  <c r="AI175" i="1"/>
  <c r="W101" i="1"/>
  <c r="W35" i="1"/>
  <c r="X230" i="1"/>
  <c r="X229" i="1"/>
  <c r="AI89" i="1"/>
  <c r="AI152" i="1"/>
  <c r="W76" i="1"/>
  <c r="AI76" i="1"/>
  <c r="AI54" i="1"/>
  <c r="W54" i="1"/>
  <c r="W127" i="1"/>
  <c r="W136" i="1"/>
  <c r="W158" i="1"/>
  <c r="X14" i="1"/>
  <c r="AI93" i="1"/>
  <c r="X226" i="1"/>
  <c r="X205" i="1"/>
  <c r="AI51" i="1"/>
  <c r="U60" i="1"/>
  <c r="S60" i="1" s="1"/>
  <c r="AI60" i="1"/>
  <c r="W80" i="1"/>
  <c r="U105" i="1"/>
  <c r="S105" i="1" s="1"/>
  <c r="AI105" i="1"/>
  <c r="AI80" i="1"/>
  <c r="W175" i="1"/>
  <c r="W120" i="1"/>
  <c r="AI98" i="1"/>
  <c r="W115" i="1"/>
  <c r="W221" i="1"/>
  <c r="W205" i="1"/>
  <c r="U51" i="1"/>
  <c r="S51" i="1" s="1"/>
  <c r="AI50" i="1"/>
  <c r="AI64" i="1"/>
  <c r="U82" i="1"/>
  <c r="S82" i="1" s="1"/>
  <c r="AI81" i="1"/>
  <c r="AI92" i="1"/>
  <c r="U93" i="1"/>
  <c r="S93" i="1" s="1"/>
  <c r="U138" i="1"/>
  <c r="S138" i="1" s="1"/>
  <c r="AI171" i="1"/>
  <c r="AI19" i="1"/>
  <c r="U20" i="1"/>
  <c r="S20" i="1" s="1"/>
  <c r="AI56" i="1"/>
  <c r="U57" i="1"/>
  <c r="S57" i="1" s="1"/>
  <c r="W20" i="1"/>
  <c r="U36" i="1"/>
  <c r="S36" i="1" s="1"/>
  <c r="AI35" i="1"/>
  <c r="AI87" i="1"/>
  <c r="U88" i="1"/>
  <c r="S88" i="1" s="1"/>
  <c r="AI112" i="1"/>
  <c r="U177" i="1"/>
  <c r="S177" i="1" s="1"/>
  <c r="AI63" i="1"/>
  <c r="U64" i="1"/>
  <c r="S64" i="1" s="1"/>
  <c r="W177" i="1"/>
  <c r="AI121" i="1"/>
  <c r="U185" i="1"/>
  <c r="S185" i="1" s="1"/>
  <c r="AI125" i="1"/>
  <c r="U189" i="1"/>
  <c r="S189" i="1" s="1"/>
  <c r="AI129" i="1"/>
  <c r="U99" i="1"/>
  <c r="S99" i="1" s="1"/>
  <c r="AI133" i="1"/>
  <c r="U196" i="1"/>
  <c r="S196" i="1" s="1"/>
  <c r="AI137" i="1"/>
  <c r="U103" i="1"/>
  <c r="S103" i="1" s="1"/>
  <c r="AI141" i="1"/>
  <c r="U219" i="1"/>
  <c r="S219" i="1" s="1"/>
  <c r="AI145" i="1"/>
  <c r="U110" i="1"/>
  <c r="S110" i="1" s="1"/>
  <c r="AI149" i="1"/>
  <c r="U114" i="1"/>
  <c r="S114" i="1" s="1"/>
  <c r="AI153" i="1"/>
  <c r="U118" i="1"/>
  <c r="S118" i="1" s="1"/>
  <c r="AI156" i="1"/>
  <c r="U122" i="1"/>
  <c r="S122" i="1" s="1"/>
  <c r="AI160" i="1"/>
  <c r="U126" i="1"/>
  <c r="S126" i="1" s="1"/>
  <c r="AI163" i="1"/>
  <c r="U130" i="1"/>
  <c r="S130" i="1" s="1"/>
  <c r="U97" i="1"/>
  <c r="S97" i="1" s="1"/>
  <c r="AI106" i="1"/>
  <c r="AI122" i="1"/>
  <c r="U186" i="1"/>
  <c r="S186" i="1" s="1"/>
  <c r="W114" i="1"/>
  <c r="AI167" i="1"/>
  <c r="U134" i="1"/>
  <c r="S134" i="1" s="1"/>
  <c r="U155" i="1"/>
  <c r="S155" i="1" s="1"/>
  <c r="AI188" i="1"/>
  <c r="U162" i="1"/>
  <c r="S162" i="1" s="1"/>
  <c r="U223" i="1"/>
  <c r="S223" i="1" s="1"/>
  <c r="W185" i="1"/>
  <c r="W126" i="1"/>
  <c r="W155" i="1"/>
  <c r="W223" i="1"/>
  <c r="W138" i="1"/>
  <c r="U23" i="1"/>
  <c r="AI22" i="1"/>
  <c r="W23" i="1"/>
  <c r="U27" i="1"/>
  <c r="S27" i="1" s="1"/>
  <c r="AI26" i="1"/>
  <c r="U14" i="1"/>
  <c r="S14" i="1" s="1"/>
  <c r="U32" i="1"/>
  <c r="AI31" i="1"/>
  <c r="W32" i="1"/>
  <c r="AI27" i="1"/>
  <c r="U28" i="1"/>
  <c r="S28" i="1" s="1"/>
  <c r="AI36" i="1"/>
  <c r="U37" i="1"/>
  <c r="S37" i="1" s="1"/>
  <c r="AI67" i="1"/>
  <c r="U68" i="1"/>
  <c r="S68" i="1" s="1"/>
  <c r="W68" i="1"/>
  <c r="U38" i="1"/>
  <c r="S38" i="1" s="1"/>
  <c r="W51" i="1"/>
  <c r="U19" i="1"/>
  <c r="S19" i="1" s="1"/>
  <c r="W19" i="1"/>
  <c r="AI18" i="1"/>
  <c r="U42" i="1"/>
  <c r="S42" i="1" s="1"/>
  <c r="AI41" i="1"/>
  <c r="W14" i="1"/>
  <c r="AI20" i="1"/>
  <c r="W28" i="1"/>
  <c r="AI23" i="1"/>
  <c r="U24" i="1"/>
  <c r="S24" i="1" s="1"/>
  <c r="AI32" i="1"/>
  <c r="U33" i="1"/>
  <c r="S33" i="1" s="1"/>
  <c r="AI42" i="1"/>
  <c r="AI73" i="1"/>
  <c r="U74" i="1"/>
  <c r="S74" i="1" s="1"/>
  <c r="W93" i="1"/>
  <c r="AI57" i="1"/>
  <c r="U58" i="1"/>
  <c r="S58" i="1" s="1"/>
  <c r="AI78" i="1"/>
  <c r="U79" i="1"/>
  <c r="S79" i="1" s="1"/>
  <c r="AI96" i="1"/>
  <c r="U163" i="1"/>
  <c r="S163" i="1" s="1"/>
  <c r="U170" i="1"/>
  <c r="S170" i="1" s="1"/>
  <c r="AI103" i="1"/>
  <c r="W42" i="1"/>
  <c r="U166" i="1"/>
  <c r="S166" i="1" s="1"/>
  <c r="AI99" i="1"/>
  <c r="W82" i="1"/>
  <c r="U184" i="1"/>
  <c r="S184" i="1" s="1"/>
  <c r="AI120" i="1"/>
  <c r="U183" i="1"/>
  <c r="S183" i="1" s="1"/>
  <c r="AI119" i="1"/>
  <c r="W170" i="1"/>
  <c r="W189" i="1"/>
  <c r="W122" i="1"/>
  <c r="W186" i="1"/>
  <c r="AI178" i="1"/>
  <c r="U146" i="1"/>
  <c r="S146" i="1" s="1"/>
  <c r="AI28" i="1"/>
  <c r="W57" i="1"/>
  <c r="W27" i="1"/>
  <c r="AI77" i="1"/>
  <c r="U78" i="1"/>
  <c r="S78" i="1" s="1"/>
  <c r="AI52" i="1"/>
  <c r="U53" i="1"/>
  <c r="S53" i="1" s="1"/>
  <c r="W58" i="1"/>
  <c r="W88" i="1"/>
  <c r="AI104" i="1"/>
  <c r="AI108" i="1"/>
  <c r="U174" i="1"/>
  <c r="S174" i="1" s="1"/>
  <c r="W196" i="1"/>
  <c r="W130" i="1"/>
  <c r="W103" i="1"/>
  <c r="U152" i="1"/>
  <c r="S152" i="1" s="1"/>
  <c r="AI184" i="1"/>
  <c r="U159" i="1"/>
  <c r="S159" i="1" s="1"/>
  <c r="AI192" i="1"/>
  <c r="U207" i="1"/>
  <c r="S207" i="1" s="1"/>
  <c r="AI177" i="1"/>
  <c r="U145" i="1"/>
  <c r="S145" i="1" s="1"/>
  <c r="AI181" i="1"/>
  <c r="U149" i="1"/>
  <c r="S149" i="1" s="1"/>
  <c r="W99" i="1"/>
  <c r="W162" i="1"/>
  <c r="W146" i="1"/>
  <c r="W214" i="1"/>
  <c r="T209" i="1"/>
  <c r="X211" i="1"/>
  <c r="X220" i="1"/>
  <c r="X214" i="1"/>
  <c r="U230" i="1"/>
  <c r="S230" i="1" s="1"/>
  <c r="U206" i="1"/>
  <c r="S206" i="1" s="1"/>
  <c r="U220" i="1"/>
  <c r="S220" i="1" s="1"/>
  <c r="W220" i="1"/>
  <c r="U222" i="1"/>
  <c r="S222" i="1" s="1"/>
  <c r="W206" i="1"/>
  <c r="W230" i="1"/>
  <c r="W23" i="3"/>
  <c r="AA217" i="1"/>
  <c r="AA225" i="1"/>
  <c r="AG209" i="1"/>
  <c r="T204" i="1"/>
  <c r="X209" i="1"/>
  <c r="AA218" i="1"/>
  <c r="W218" i="1" s="1"/>
  <c r="AA216" i="1"/>
  <c r="AA215" i="1"/>
  <c r="AA212" i="1"/>
  <c r="AA200" i="1"/>
  <c r="AA13" i="1"/>
  <c r="AA232" i="1"/>
  <c r="W232" i="1" s="1"/>
  <c r="AA231" i="1"/>
  <c r="AA197" i="1"/>
  <c r="X228" i="1"/>
  <c r="AA203" i="1"/>
  <c r="W203" i="1" s="1"/>
  <c r="X218" i="1"/>
  <c r="AG217" i="1"/>
  <c r="AG234" i="1"/>
  <c r="U234" i="1" s="1"/>
  <c r="S234" i="1" s="1"/>
  <c r="X234" i="1"/>
  <c r="AG231" i="1"/>
  <c r="U231" i="1" s="1"/>
  <c r="S231" i="1" s="1"/>
  <c r="AA204" i="1"/>
  <c r="T200" i="1"/>
  <c r="T197" i="1"/>
  <c r="T218" i="1"/>
  <c r="U218" i="1" s="1"/>
  <c r="S218" i="1" s="1"/>
  <c r="AA234" i="1"/>
  <c r="AA233" i="1"/>
  <c r="W233" i="1" s="1"/>
  <c r="AA209" i="1"/>
  <c r="AG204" i="1"/>
  <c r="X204" i="1"/>
  <c r="AG197" i="1"/>
  <c r="AI210" i="1"/>
  <c r="T216" i="1"/>
  <c r="X216" i="1"/>
  <c r="AG216" i="1"/>
  <c r="X217" i="1"/>
  <c r="T232" i="1"/>
  <c r="U232" i="1" s="1"/>
  <c r="S232" i="1" s="1"/>
  <c r="T225" i="1"/>
  <c r="X225" i="1"/>
  <c r="X212" i="1"/>
  <c r="T228" i="1"/>
  <c r="AG215" i="1"/>
  <c r="AI221" i="1"/>
  <c r="AG13" i="1"/>
  <c r="X215" i="1"/>
  <c r="T233" i="1"/>
  <c r="U233" i="1" s="1"/>
  <c r="S233" i="1" s="1"/>
  <c r="X233" i="1"/>
  <c r="X232" i="1"/>
  <c r="X231" i="1"/>
  <c r="AA228" i="1"/>
  <c r="AG225" i="1"/>
  <c r="AG228" i="1"/>
  <c r="T212" i="1"/>
  <c r="T203" i="1"/>
  <c r="U203" i="1" s="1"/>
  <c r="S203" i="1" s="1"/>
  <c r="X203" i="1"/>
  <c r="M26" i="5"/>
  <c r="S34" i="1" l="1"/>
  <c r="S22" i="1"/>
  <c r="S31" i="1"/>
  <c r="U200" i="1"/>
  <c r="S200" i="1" s="1"/>
  <c r="W200" i="1"/>
  <c r="W212" i="1"/>
  <c r="U212" i="1"/>
  <c r="S212" i="1" s="1"/>
  <c r="AI13" i="1"/>
  <c r="AI197" i="1"/>
  <c r="AH13" i="1"/>
  <c r="AH23" i="1"/>
  <c r="AH33" i="1"/>
  <c r="AH52" i="1"/>
  <c r="AH53" i="1"/>
  <c r="AH54" i="1"/>
  <c r="AH60" i="1"/>
  <c r="AH63" i="1"/>
  <c r="AH82" i="1"/>
  <c r="AH85" i="1"/>
  <c r="AH91" i="1"/>
  <c r="AH92" i="1"/>
  <c r="AH102" i="1"/>
  <c r="AH108" i="1"/>
  <c r="AH109" i="1"/>
  <c r="AH110" i="1"/>
  <c r="AH113" i="1"/>
  <c r="AH117" i="1"/>
  <c r="AH126" i="1"/>
  <c r="AH130" i="1"/>
  <c r="AH136" i="1"/>
  <c r="AH141" i="1"/>
  <c r="AH145" i="1"/>
  <c r="AH147" i="1"/>
  <c r="AH152" i="1"/>
  <c r="AH156" i="1"/>
  <c r="AH170" i="1"/>
  <c r="AH173" i="1"/>
  <c r="AH176" i="1"/>
  <c r="AH182" i="1"/>
  <c r="AH183" i="1"/>
  <c r="AH186" i="1"/>
  <c r="AH190" i="1"/>
  <c r="AH191" i="1"/>
  <c r="AH195" i="1"/>
  <c r="AH153" i="1"/>
  <c r="AH159" i="1"/>
  <c r="AH162" i="1"/>
  <c r="AH171" i="1"/>
  <c r="AH177" i="1"/>
  <c r="AH179" i="1"/>
  <c r="AH193" i="1"/>
  <c r="AH18" i="1"/>
  <c r="AH19" i="1"/>
  <c r="AH24" i="1"/>
  <c r="AH26" i="1"/>
  <c r="AH27" i="1"/>
  <c r="AH28" i="1"/>
  <c r="AH30" i="1"/>
  <c r="AH31" i="1"/>
  <c r="AH34" i="1"/>
  <c r="AH37" i="1"/>
  <c r="AH40" i="1"/>
  <c r="AH41" i="1"/>
  <c r="AH42" i="1"/>
  <c r="AH49" i="1"/>
  <c r="AH55" i="1"/>
  <c r="AH56" i="1"/>
  <c r="AH64" i="1"/>
  <c r="AH65" i="1"/>
  <c r="AH75" i="1"/>
  <c r="AH76" i="1"/>
  <c r="AH94" i="1"/>
  <c r="AH97" i="1"/>
  <c r="AH98" i="1"/>
  <c r="AH99" i="1"/>
  <c r="AH100" i="1"/>
  <c r="AH103" i="1"/>
  <c r="AH114" i="1"/>
  <c r="AH118" i="1"/>
  <c r="AH119" i="1"/>
  <c r="AH120" i="1"/>
  <c r="AH121" i="1"/>
  <c r="AH122" i="1"/>
  <c r="AH123" i="1"/>
  <c r="AH131" i="1"/>
  <c r="AH137" i="1"/>
  <c r="AH142" i="1"/>
  <c r="AH143" i="1"/>
  <c r="AH146" i="1"/>
  <c r="AH157" i="1"/>
  <c r="AH165" i="1"/>
  <c r="AH174" i="1"/>
  <c r="AH178" i="1"/>
  <c r="AH192" i="1"/>
  <c r="AH196" i="1"/>
  <c r="AH200" i="1"/>
  <c r="AH14" i="1"/>
  <c r="AH20" i="1"/>
  <c r="AH32" i="1"/>
  <c r="AH50" i="1"/>
  <c r="AH57" i="1"/>
  <c r="AH66" i="1"/>
  <c r="AH71" i="1"/>
  <c r="AH77" i="1"/>
  <c r="AH78" i="1"/>
  <c r="AH79" i="1"/>
  <c r="AH86" i="1"/>
  <c r="AH87" i="1"/>
  <c r="AH88" i="1"/>
  <c r="AH89" i="1"/>
  <c r="AH95" i="1"/>
  <c r="AH96" i="1"/>
  <c r="AH111" i="1"/>
  <c r="AH112" i="1"/>
  <c r="AH116" i="1"/>
  <c r="AH124" i="1"/>
  <c r="AH127" i="1"/>
  <c r="AH132" i="1"/>
  <c r="AH133" i="1"/>
  <c r="AH134" i="1"/>
  <c r="AH138" i="1"/>
  <c r="AH139" i="1"/>
  <c r="AH148" i="1"/>
  <c r="AH149" i="1"/>
  <c r="AH150" i="1"/>
  <c r="AH154" i="1"/>
  <c r="AH160" i="1"/>
  <c r="AH161" i="1"/>
  <c r="AH163" i="1"/>
  <c r="AH166" i="1"/>
  <c r="AH167" i="1"/>
  <c r="AH172" i="1"/>
  <c r="AH175" i="1"/>
  <c r="AH180" i="1"/>
  <c r="AH185" i="1"/>
  <c r="AH187" i="1"/>
  <c r="AH188" i="1"/>
  <c r="AH189" i="1"/>
  <c r="AH198" i="1"/>
  <c r="AH199" i="1"/>
  <c r="AH201" i="1"/>
  <c r="AH17" i="1"/>
  <c r="AH21" i="1"/>
  <c r="AH22" i="1"/>
  <c r="AH25" i="1"/>
  <c r="AH35" i="1"/>
  <c r="AH36" i="1"/>
  <c r="AH38" i="1"/>
  <c r="AH39" i="1"/>
  <c r="AH51" i="1"/>
  <c r="AH58" i="1"/>
  <c r="AH59" i="1"/>
  <c r="AH67" i="1"/>
  <c r="AH68" i="1"/>
  <c r="AH72" i="1"/>
  <c r="AH73" i="1"/>
  <c r="AH74" i="1"/>
  <c r="AH80" i="1"/>
  <c r="AH81" i="1"/>
  <c r="AH90" i="1"/>
  <c r="AH93" i="1"/>
  <c r="AH101" i="1"/>
  <c r="AH104" i="1"/>
  <c r="AH105" i="1"/>
  <c r="AH106" i="1"/>
  <c r="AH107" i="1"/>
  <c r="AH115" i="1"/>
  <c r="AH125" i="1"/>
  <c r="AH128" i="1"/>
  <c r="AH129" i="1"/>
  <c r="AH135" i="1"/>
  <c r="AH140" i="1"/>
  <c r="AH144" i="1"/>
  <c r="AH151" i="1"/>
  <c r="AH155" i="1"/>
  <c r="AH158" i="1"/>
  <c r="AH164" i="1"/>
  <c r="AH168" i="1"/>
  <c r="AH169" i="1"/>
  <c r="AH181" i="1"/>
  <c r="AH194" i="1"/>
  <c r="AH202" i="1"/>
  <c r="AH184" i="1"/>
  <c r="AH197" i="1"/>
  <c r="AI200" i="1"/>
  <c r="W217" i="1"/>
  <c r="U209" i="1"/>
  <c r="S209" i="1" s="1"/>
  <c r="AI217" i="1"/>
  <c r="U197" i="1"/>
  <c r="S197" i="1" s="1"/>
  <c r="AI218" i="1"/>
  <c r="U217" i="1"/>
  <c r="S217" i="1" s="1"/>
  <c r="AI206" i="1"/>
  <c r="AI233" i="1"/>
  <c r="W234" i="1"/>
  <c r="W204" i="1"/>
  <c r="AI229" i="1"/>
  <c r="AI205" i="1"/>
  <c r="AI225" i="1"/>
  <c r="AI222" i="1"/>
  <c r="AI230" i="1"/>
  <c r="AI209" i="1"/>
  <c r="U204" i="1"/>
  <c r="S204" i="1" s="1"/>
  <c r="AI214" i="1"/>
  <c r="AI234" i="1"/>
  <c r="AI220" i="1"/>
  <c r="W209" i="1"/>
  <c r="AH213" i="1"/>
  <c r="AH214" i="1"/>
  <c r="AH223" i="1"/>
  <c r="AH203" i="1"/>
  <c r="AH204" i="1"/>
  <c r="AH205" i="1"/>
  <c r="AH217" i="1"/>
  <c r="AH218" i="1"/>
  <c r="AH219" i="1"/>
  <c r="AH220" i="1"/>
  <c r="AH221" i="1"/>
  <c r="AH222" i="1"/>
  <c r="AH229" i="1"/>
  <c r="AH230" i="1"/>
  <c r="AH231" i="1"/>
  <c r="AH232" i="1"/>
  <c r="AH233" i="1"/>
  <c r="AH234" i="1"/>
  <c r="AH224" i="1"/>
  <c r="AH225" i="1"/>
  <c r="AH226" i="1"/>
  <c r="AH227" i="1"/>
  <c r="AH228" i="1"/>
  <c r="AH207" i="1"/>
  <c r="AH209" i="1"/>
  <c r="AH211" i="1"/>
  <c r="AH215" i="1"/>
  <c r="AH206" i="1"/>
  <c r="AH208" i="1"/>
  <c r="AH210" i="1"/>
  <c r="AH212" i="1"/>
  <c r="AH216" i="1"/>
  <c r="AI213" i="1"/>
  <c r="W13" i="1"/>
  <c r="W216" i="1"/>
  <c r="W197" i="1"/>
  <c r="AI226" i="1"/>
  <c r="W231" i="1"/>
  <c r="AI203" i="1"/>
  <c r="W228" i="1"/>
  <c r="AI211" i="1"/>
  <c r="U215" i="1"/>
  <c r="S215" i="1" s="1"/>
  <c r="AI231" i="1"/>
  <c r="AI224" i="1"/>
  <c r="AI228" i="1"/>
  <c r="AI204" i="1"/>
  <c r="AI208" i="1"/>
  <c r="AI216" i="1"/>
  <c r="U228" i="1"/>
  <c r="S228" i="1" s="1"/>
  <c r="W225" i="1"/>
  <c r="U225" i="1"/>
  <c r="S225" i="1" s="1"/>
  <c r="AI215" i="1"/>
  <c r="U13" i="1"/>
  <c r="S13" i="1" s="1"/>
  <c r="AI219" i="1"/>
  <c r="AI227" i="1"/>
  <c r="AI207" i="1"/>
  <c r="AI223" i="1"/>
  <c r="AI212" i="1"/>
  <c r="AI232" i="1"/>
  <c r="U216" i="1"/>
  <c r="S216" i="1" s="1"/>
  <c r="W215" i="1"/>
  <c r="Q23" i="3"/>
  <c r="P23" i="3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<sst xmlns="http://schemas.openxmlformats.org/spreadsheetml/2006/main" count="2112" uniqueCount="711">
  <si>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</si>
  <si>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</si>
  <si>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</si>
  <si>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</si>
  <si>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</si>
  <si>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</si>
  <si>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</si>
  <si>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</si>
  <si>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</si>
  <si>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</si>
  <si>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</si>
  <si>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</si>
  <si>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</si>
  <si>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</si>
  <si>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</si>
  <si>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</si>
  <si>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</si>
  <si>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</si>
  <si>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</si>
  <si>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</si>
  <si>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</si>
  <si>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</si>
  <si>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</si>
  <si>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</si>
  <si>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</si>
  <si>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</si>
  <si>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</si>
  <si>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</si>
  <si>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</si>
  <si>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</si>
  <si>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</si>
  <si>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</si>
  <si>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</si>
  <si>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</si>
  <si>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</si>
  <si>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</si>
  <si>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</si>
  <si>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</si>
  <si>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</si>
  <si>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</si>
  <si>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</si>
  <si>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</si>
  <si>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</si>
  <si>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</si>
  <si>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</si>
  <si>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</si>
  <si>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</si>
  <si>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</si>
  <si>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</si>
  <si>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</si>
  <si>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</si>
  <si>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</si>
  <si>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</si>
  <si>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</si>
  <si>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</si>
  <si>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</si>
  <si>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</si>
  <si>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</si>
  <si>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</si>
  <si>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</si>
  <si>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</si>
  <si>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</si>
  <si>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</si>
  <si>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</si>
  <si>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</si>
  <si>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</si>
  <si>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</si>
  <si>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</si>
  <si>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</si>
  <si>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</si>
  <si>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</si>
  <si>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</si>
  <si>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</si>
  <si>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</si>
  <si>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</si>
  <si>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</si>
  <si>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</si>
  <si>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</si>
  <si>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</si>
  <si>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</si>
  <si>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</si>
  <si>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</si>
  <si>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</si>
  <si>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</si>
  <si>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</si>
  <si>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</si>
  <si>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</si>
  <si>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</si>
  <si>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</si>
  <si>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</si>
  <si>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</si>
  <si>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</si>
  <si>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</si>
  <si>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</si>
  <si>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</si>
  <si>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</si>
  <si>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</si>
  <si>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</si>
  <si>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</si>
  <si>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</si>
  <si>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</si>
  <si>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</si>
  <si>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</si>
  <si>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</si>
  <si>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</si>
  <si>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</si>
  <si>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</si>
  <si>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</si>
  <si>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</si>
  <si>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</si>
  <si>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</si>
  <si>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</si>
  <si>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</si>
  <si>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</si>
  <si>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</si>
  <si>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</si>
  <si>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</si>
  <si>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</si>
  <si>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</si>
  <si>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</si>
  <si>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</si>
  <si>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</si>
  <si>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</si>
  <si>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</si>
  <si>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</si>
  <si>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</si>
  <si>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</si>
  <si>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</si>
  <si>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</si>
  <si>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</si>
  <si>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</si>
  <si>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</si>
  <si>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</si>
  <si>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</si>
  <si>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</si>
  <si>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</si>
  <si>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</si>
  <si>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</si>
  <si>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204:469</t>
  </si>
  <si>
    <t>204:467</t>
  </si>
  <si>
    <t>LEVIN</t>
  </si>
  <si>
    <t>204:457</t>
  </si>
  <si>
    <t>204:233310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</si>
  <si>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</si>
  <si>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</si>
  <si>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</si>
  <si>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</si>
  <si>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</si>
  <si>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</si>
  <si>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204:233300</t>
  </si>
  <si>
    <t>rtdc.l.rtdc.4042:itc</t>
  </si>
  <si>
    <t>rtdc.l.rtdc.4038:itc</t>
  </si>
  <si>
    <t>204:150</t>
  </si>
  <si>
    <t>204:156</t>
  </si>
  <si>
    <t>204:451</t>
  </si>
  <si>
    <t>204:233291</t>
  </si>
  <si>
    <t>204:154</t>
  </si>
  <si>
    <t>236-12</t>
  </si>
  <si>
    <t>238-12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</si>
  <si>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</si>
  <si>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</si>
  <si>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</si>
  <si>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</si>
  <si>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</si>
  <si>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</si>
  <si>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</si>
  <si>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</si>
  <si>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</si>
  <si>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</si>
  <si>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rtdc.l.rtdc.4008:itc</t>
  </si>
  <si>
    <t>YANAI</t>
  </si>
  <si>
    <t>313-12</t>
  </si>
  <si>
    <t>204:152</t>
  </si>
  <si>
    <t>rtdc.l.rtdc.4009:itc</t>
  </si>
  <si>
    <t>rtdc.l.rtdc.4010:itc</t>
  </si>
  <si>
    <t>204:141</t>
  </si>
  <si>
    <t>CHANDLER</t>
  </si>
  <si>
    <t>204:233314</t>
  </si>
  <si>
    <t>204:471</t>
  </si>
  <si>
    <t>rtdc.l.rtdc.4002:itc</t>
  </si>
  <si>
    <t>rtdc.l.rtdc.4001:itc</t>
  </si>
  <si>
    <t>:.+((SYSTEM_STATE.+slice.+state.+changed )|(ment ac)|(system.+state.+changed )|(\|lc)|(penalty)|(\[timeout)|(PRM\|1\|D)|(kpr)|(kdp))</t>
  </si>
  <si>
    <t>204:444</t>
  </si>
  <si>
    <t>204:145</t>
  </si>
  <si>
    <t>204:447</t>
  </si>
  <si>
    <t>rtdc.l.rtdc.4041:itc</t>
  </si>
  <si>
    <t>rtdc.l.rtdc.4007:itc</t>
  </si>
  <si>
    <t>204:160</t>
  </si>
  <si>
    <t>204:233293</t>
  </si>
  <si>
    <t>204:232975</t>
  </si>
  <si>
    <t>204:233298</t>
  </si>
  <si>
    <t>rtdc.l.rtdc.4003:itc</t>
  </si>
  <si>
    <t>204:460</t>
  </si>
  <si>
    <t>204:232992</t>
  </si>
  <si>
    <t>204:232986</t>
  </si>
  <si>
    <t>204:232978</t>
  </si>
  <si>
    <t>204:136</t>
  </si>
  <si>
    <t>204:165</t>
  </si>
  <si>
    <t>204:435</t>
  </si>
  <si>
    <t>204:233327</t>
  </si>
  <si>
    <t>204:233312</t>
  </si>
  <si>
    <t>204:233000</t>
  </si>
  <si>
    <t>204:139</t>
  </si>
  <si>
    <t>204:163</t>
  </si>
  <si>
    <t>300:23306</t>
  </si>
  <si>
    <t>HAITHCOX</t>
  </si>
  <si>
    <t>204:233368</t>
  </si>
  <si>
    <t>204:138</t>
  </si>
  <si>
    <t>204:233002</t>
  </si>
  <si>
    <t>204:233011</t>
  </si>
  <si>
    <t>204:233320</t>
  </si>
  <si>
    <t>204:134</t>
  </si>
  <si>
    <t>204:464</t>
  </si>
  <si>
    <t>204:232989</t>
  </si>
  <si>
    <t>204:478</t>
  </si>
  <si>
    <t>rtdc.l.rtdc.4004:itc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</si>
  <si>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</si>
  <si>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</si>
  <si>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</si>
  <si>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</si>
  <si>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</si>
  <si>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</si>
  <si>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</si>
  <si>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</si>
  <si>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</si>
  <si>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</si>
  <si>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</si>
  <si>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</si>
  <si>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</si>
  <si>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</si>
  <si>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</si>
  <si>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</si>
  <si>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</si>
  <si>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</si>
  <si>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</si>
  <si>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</si>
  <si>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</si>
  <si>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</si>
  <si>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</si>
  <si>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</si>
  <si>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</si>
  <si>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</si>
  <si>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</si>
  <si>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</si>
  <si>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</si>
  <si>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</si>
  <si>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</si>
  <si>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</si>
  <si>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</si>
  <si>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</si>
  <si>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</si>
  <si>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MAELZER</t>
  </si>
  <si>
    <t>MAHAN</t>
  </si>
  <si>
    <t>rtdc.l.rtdc.4025:itc</t>
  </si>
  <si>
    <t>rtdc.l.rtdc.4026:itc</t>
  </si>
  <si>
    <t>MOSES</t>
  </si>
  <si>
    <t>STURGEON</t>
  </si>
  <si>
    <t>204:130</t>
  </si>
  <si>
    <t>204:232980</t>
  </si>
  <si>
    <t>204:233307</t>
  </si>
  <si>
    <t>204:233332</t>
  </si>
  <si>
    <t>204:232977</t>
  </si>
  <si>
    <t>204:169</t>
  </si>
  <si>
    <t>204:132</t>
  </si>
  <si>
    <t>204:170</t>
  </si>
  <si>
    <t>204:440</t>
  </si>
  <si>
    <t>204:233286</t>
  </si>
  <si>
    <t>300:23302</t>
  </si>
  <si>
    <t>300:58626</t>
  </si>
  <si>
    <t>From 08-24-2016 13:14:05.327 until 13:28:22.128, 61st 2S should have been clear (controls sent to it the entire time was CLEAR). However, it cycled back and forth between PROCEED CAB and STOP. Any ideas why?</t>
  </si>
  <si>
    <t>204:422</t>
  </si>
  <si>
    <t>204:233302</t>
  </si>
  <si>
    <t>204:233010</t>
  </si>
  <si>
    <t>204:232993</t>
  </si>
  <si>
    <t>204:438</t>
  </si>
  <si>
    <t>204:232991</t>
  </si>
  <si>
    <t>204:233321</t>
  </si>
  <si>
    <t>204:233304</t>
  </si>
  <si>
    <t>204:233282</t>
  </si>
  <si>
    <t>204:233301</t>
  </si>
  <si>
    <t>300:23304</t>
  </si>
  <si>
    <t>315-25</t>
  </si>
  <si>
    <t>300:58628</t>
  </si>
  <si>
    <t>204:988</t>
  </si>
  <si>
    <t>300:58649</t>
  </si>
  <si>
    <t>300:58950</t>
  </si>
  <si>
    <t>300:58632</t>
  </si>
  <si>
    <t>300:58946</t>
  </si>
  <si>
    <t>204:1039</t>
  </si>
  <si>
    <t>rtdc.l.rtdc.4019:itc</t>
  </si>
  <si>
    <t>rtdc.l.rtdc.4012:itc</t>
  </si>
  <si>
    <t>rtdc.l.rtdc.4020:itc</t>
  </si>
  <si>
    <t>SHOOK</t>
  </si>
  <si>
    <t>BROWN</t>
  </si>
  <si>
    <t>WEBSTER</t>
  </si>
  <si>
    <t>Did not initialize</t>
  </si>
  <si>
    <t>Output Refined Run Times to File?</t>
  </si>
  <si>
    <t>RefinedRTDCRunTimesOutputFile</t>
  </si>
  <si>
    <t>rtdc.l.rtdc.4040:itc</t>
  </si>
  <si>
    <t>DAVIS</t>
  </si>
  <si>
    <t>MALAVE</t>
  </si>
  <si>
    <t>STRICKLAND</t>
  </si>
  <si>
    <t>rtdc.l.rtdc.4039:itc</t>
  </si>
  <si>
    <t>rtdc.l.rtdc.4028:itc</t>
  </si>
  <si>
    <t>903-26</t>
  </si>
  <si>
    <t>STEWART</t>
  </si>
  <si>
    <t>904-26</t>
  </si>
  <si>
    <t>65-26</t>
  </si>
  <si>
    <t>62-26</t>
  </si>
  <si>
    <t>68-26</t>
  </si>
  <si>
    <t>64-26</t>
  </si>
  <si>
    <t>303-26</t>
  </si>
  <si>
    <t>906-26</t>
  </si>
  <si>
    <t>305-26</t>
  </si>
  <si>
    <t>67-26</t>
  </si>
  <si>
    <t>908-26</t>
  </si>
  <si>
    <t>240-26</t>
  </si>
  <si>
    <t>245-26</t>
  </si>
  <si>
    <t>242-26</t>
  </si>
  <si>
    <t>309-26</t>
  </si>
  <si>
    <t>244-26</t>
  </si>
  <si>
    <t>311-26</t>
  </si>
  <si>
    <t>246-26</t>
  </si>
  <si>
    <t>313-26</t>
  </si>
  <si>
    <t>TEMPORARY SPEED RESTRICTION</t>
  </si>
  <si>
    <t>Bulletin (2)</t>
  </si>
  <si>
    <t>GRADE CROSSING</t>
  </si>
  <si>
    <t>Y</t>
  </si>
  <si>
    <t>204:726</t>
  </si>
  <si>
    <t>204:232982</t>
  </si>
  <si>
    <t>204:232963</t>
  </si>
  <si>
    <t>204:777</t>
  </si>
  <si>
    <t>204:232996</t>
  </si>
  <si>
    <t>204:232971</t>
  </si>
  <si>
    <t>204:232984</t>
  </si>
  <si>
    <t>204:458</t>
  </si>
  <si>
    <t>204:233281</t>
  </si>
  <si>
    <t>204:232970</t>
  </si>
  <si>
    <t>204:233319</t>
  </si>
  <si>
    <t>204:233309</t>
  </si>
  <si>
    <t>204:473</t>
  </si>
  <si>
    <t>204:233316</t>
  </si>
  <si>
    <t>204:233019</t>
  </si>
  <si>
    <t>204:233295</t>
  </si>
  <si>
    <t>204:232988</t>
  </si>
  <si>
    <t>204:123</t>
  </si>
  <si>
    <t>204:482</t>
  </si>
  <si>
    <t>204:232985</t>
  </si>
  <si>
    <t>204:174</t>
  </si>
  <si>
    <t>204:233351</t>
  </si>
  <si>
    <t>204:1098</t>
  </si>
  <si>
    <t>204:233299</t>
  </si>
  <si>
    <t>204:5888</t>
  </si>
  <si>
    <t>204:232974</t>
  </si>
  <si>
    <t>204:172</t>
  </si>
  <si>
    <t>204:488</t>
  </si>
  <si>
    <t>204:1416</t>
  </si>
  <si>
    <t>300:23310</t>
  </si>
  <si>
    <t>204:497</t>
  </si>
  <si>
    <t>204:491</t>
  </si>
  <si>
    <t>300:23346</t>
  </si>
  <si>
    <t>204:900</t>
  </si>
  <si>
    <t>204:18891</t>
  </si>
  <si>
    <t>204:529</t>
  </si>
  <si>
    <t>300:23299</t>
  </si>
  <si>
    <t>204:19122</t>
  </si>
  <si>
    <t>300:23449</t>
  </si>
  <si>
    <t>204:133</t>
  </si>
  <si>
    <t>204:1095</t>
  </si>
  <si>
    <t>204:789</t>
  </si>
  <si>
    <t>300:58956</t>
  </si>
  <si>
    <t>300:58636</t>
  </si>
  <si>
    <t>204:1118</t>
  </si>
  <si>
    <t>204:874</t>
  </si>
  <si>
    <t>300:58640</t>
  </si>
  <si>
    <t>204:1002</t>
  </si>
  <si>
    <t>300:24260</t>
  </si>
  <si>
    <t>300:25442</t>
  </si>
  <si>
    <t>300:24402</t>
  </si>
  <si>
    <t>300:58634</t>
  </si>
  <si>
    <t>300:28786</t>
  </si>
  <si>
    <t>300:58647</t>
  </si>
  <si>
    <t>300:21575</t>
  </si>
  <si>
    <t>Early arrival</t>
  </si>
  <si>
    <t>Overspeed</t>
  </si>
  <si>
    <t>101-27</t>
  </si>
  <si>
    <t>102-27</t>
  </si>
  <si>
    <t>204:232677</t>
  </si>
  <si>
    <t>105-27</t>
  </si>
  <si>
    <t>204:683</t>
  </si>
  <si>
    <t>204:233380</t>
  </si>
  <si>
    <t>106-27</t>
  </si>
  <si>
    <t>204:232751</t>
  </si>
  <si>
    <t>107-27</t>
  </si>
  <si>
    <t>204:233263</t>
  </si>
  <si>
    <t>108-27</t>
  </si>
  <si>
    <t>109-27</t>
  </si>
  <si>
    <t>110-27</t>
  </si>
  <si>
    <t>204:64125</t>
  </si>
  <si>
    <t>204:62272</t>
  </si>
  <si>
    <t>111-27</t>
  </si>
  <si>
    <t>204:728</t>
  </si>
  <si>
    <t>112-27</t>
  </si>
  <si>
    <t>204:70169</t>
  </si>
  <si>
    <t>204:64149</t>
  </si>
  <si>
    <t>204:64043</t>
  </si>
  <si>
    <t>113-27</t>
  </si>
  <si>
    <t>204:437</t>
  </si>
  <si>
    <t>204:233329</t>
  </si>
  <si>
    <t>114-27</t>
  </si>
  <si>
    <t>204:64157</t>
  </si>
  <si>
    <t>116-27</t>
  </si>
  <si>
    <t>204:232973</t>
  </si>
  <si>
    <t>117-27</t>
  </si>
  <si>
    <t>204:466</t>
  </si>
  <si>
    <t>204:55021</t>
  </si>
  <si>
    <t>204:64696</t>
  </si>
  <si>
    <t>204:233297</t>
  </si>
  <si>
    <t>118-27</t>
  </si>
  <si>
    <t>204:232972</t>
  </si>
  <si>
    <t>119-27</t>
  </si>
  <si>
    <t>204:64698</t>
  </si>
  <si>
    <t>204:233311</t>
  </si>
  <si>
    <t>204:783</t>
  </si>
  <si>
    <t>204:63550</t>
  </si>
  <si>
    <t>120-27</t>
  </si>
  <si>
    <t>204:333</t>
  </si>
  <si>
    <t>121-27</t>
  </si>
  <si>
    <t>204:58752</t>
  </si>
  <si>
    <t>122-27</t>
  </si>
  <si>
    <t>123-27</t>
  </si>
  <si>
    <t>124-27</t>
  </si>
  <si>
    <t>204:232983</t>
  </si>
  <si>
    <t>125-27</t>
  </si>
  <si>
    <t>126-27</t>
  </si>
  <si>
    <t>133-27</t>
  </si>
  <si>
    <t>134-27</t>
  </si>
  <si>
    <t>135-27</t>
  </si>
  <si>
    <t>204:1515</t>
  </si>
  <si>
    <t>204:233215</t>
  </si>
  <si>
    <t>136-27</t>
  </si>
  <si>
    <t>204:232890</t>
  </si>
  <si>
    <t>137-27</t>
  </si>
  <si>
    <t>138-27</t>
  </si>
  <si>
    <t>139-27</t>
  </si>
  <si>
    <t>204:639</t>
  </si>
  <si>
    <t>140-27</t>
  </si>
  <si>
    <t>204:194</t>
  </si>
  <si>
    <t>141-27</t>
  </si>
  <si>
    <t>204:19137</t>
  </si>
  <si>
    <t>142-27</t>
  </si>
  <si>
    <t>143-27</t>
  </si>
  <si>
    <t>144-27</t>
  </si>
  <si>
    <t>204:232979</t>
  </si>
  <si>
    <t>147-27</t>
  </si>
  <si>
    <t>204:19118</t>
  </si>
  <si>
    <t>148-27</t>
  </si>
  <si>
    <t>204:220</t>
  </si>
  <si>
    <t>149-27</t>
  </si>
  <si>
    <t>204:233259</t>
  </si>
  <si>
    <t>150-27</t>
  </si>
  <si>
    <t>204:232944</t>
  </si>
  <si>
    <t>151-27</t>
  </si>
  <si>
    <t>204:233200</t>
  </si>
  <si>
    <t>152-27</t>
  </si>
  <si>
    <t>204:232879</t>
  </si>
  <si>
    <t>155-27</t>
  </si>
  <si>
    <t>204:504</t>
  </si>
  <si>
    <t>156-27</t>
  </si>
  <si>
    <t>157-27</t>
  </si>
  <si>
    <t>158-27</t>
  </si>
  <si>
    <t>159-27</t>
  </si>
  <si>
    <t>160-27</t>
  </si>
  <si>
    <t>161-27</t>
  </si>
  <si>
    <t>204:500</t>
  </si>
  <si>
    <t>204:233305</t>
  </si>
  <si>
    <t>162-27</t>
  </si>
  <si>
    <t>163-27</t>
  </si>
  <si>
    <t>164-27</t>
  </si>
  <si>
    <t>204:233034</t>
  </si>
  <si>
    <t>165-27</t>
  </si>
  <si>
    <t>166-27</t>
  </si>
  <si>
    <t>204:233040</t>
  </si>
  <si>
    <t>169-27</t>
  </si>
  <si>
    <t>170-27</t>
  </si>
  <si>
    <t>204:127</t>
  </si>
  <si>
    <t>171-27</t>
  </si>
  <si>
    <t>172-27</t>
  </si>
  <si>
    <t>173-27</t>
  </si>
  <si>
    <t>174-27</t>
  </si>
  <si>
    <t>175-27</t>
  </si>
  <si>
    <t>176-27</t>
  </si>
  <si>
    <t>177-27</t>
  </si>
  <si>
    <t>204:475</t>
  </si>
  <si>
    <t>204:233359</t>
  </si>
  <si>
    <t>178-27</t>
  </si>
  <si>
    <t>204:167</t>
  </si>
  <si>
    <t>179-27</t>
  </si>
  <si>
    <t>204:233376</t>
  </si>
  <si>
    <t>180-27</t>
  </si>
  <si>
    <t>204:233053</t>
  </si>
  <si>
    <t>1800-27</t>
  </si>
  <si>
    <t>1801-27</t>
  </si>
  <si>
    <t>204:1168</t>
  </si>
  <si>
    <t>300:58933</t>
  </si>
  <si>
    <t>1802-27</t>
  </si>
  <si>
    <t>300:58619</t>
  </si>
  <si>
    <t>204:820</t>
  </si>
  <si>
    <t>1803-27</t>
  </si>
  <si>
    <t>204:1109</t>
  </si>
  <si>
    <t>300:58952</t>
  </si>
  <si>
    <t>1804-27</t>
  </si>
  <si>
    <t>300:58638</t>
  </si>
  <si>
    <t>204:803</t>
  </si>
  <si>
    <t>1805-27</t>
  </si>
  <si>
    <t>300:58960</t>
  </si>
  <si>
    <t>1806-27</t>
  </si>
  <si>
    <t>204:811</t>
  </si>
  <si>
    <t>1807-27</t>
  </si>
  <si>
    <t>300:58944</t>
  </si>
  <si>
    <t>1808-27</t>
  </si>
  <si>
    <t>300:58630</t>
  </si>
  <si>
    <t>1809-27</t>
  </si>
  <si>
    <t>204:1074</t>
  </si>
  <si>
    <t>181-27</t>
  </si>
  <si>
    <t>204:19134</t>
  </si>
  <si>
    <t>1810-27</t>
  </si>
  <si>
    <t>204:831</t>
  </si>
  <si>
    <t>1811-27</t>
  </si>
  <si>
    <t>1812-27</t>
  </si>
  <si>
    <t>204:794</t>
  </si>
  <si>
    <t>1813-27</t>
  </si>
  <si>
    <t>1814-27</t>
  </si>
  <si>
    <t>300:58624</t>
  </si>
  <si>
    <t>204:797</t>
  </si>
  <si>
    <t>1815-27</t>
  </si>
  <si>
    <t>204:1084</t>
  </si>
  <si>
    <t>300:58941</t>
  </si>
  <si>
    <t>1816-27</t>
  </si>
  <si>
    <t>204:873</t>
  </si>
  <si>
    <t>1817-27</t>
  </si>
  <si>
    <t>204:1172</t>
  </si>
  <si>
    <t>1818-27</t>
  </si>
  <si>
    <t>204:733</t>
  </si>
  <si>
    <t>1819-27</t>
  </si>
  <si>
    <t>204:1044</t>
  </si>
  <si>
    <t>182-27</t>
  </si>
  <si>
    <t>1820-27</t>
  </si>
  <si>
    <t>300:58623</t>
  </si>
  <si>
    <t>204:691</t>
  </si>
  <si>
    <t>1821-27</t>
  </si>
  <si>
    <t>1822-27</t>
  </si>
  <si>
    <t>204:752</t>
  </si>
  <si>
    <t>1823-27</t>
  </si>
  <si>
    <t>300:58954</t>
  </si>
  <si>
    <t>1824-27</t>
  </si>
  <si>
    <t>204:724</t>
  </si>
  <si>
    <t>1825-27</t>
  </si>
  <si>
    <t>204:1013</t>
  </si>
  <si>
    <t>300:58943</t>
  </si>
  <si>
    <t>1826-27</t>
  </si>
  <si>
    <t>204:804</t>
  </si>
  <si>
    <t>1827-27</t>
  </si>
  <si>
    <t>204:1090</t>
  </si>
  <si>
    <t>1828-27</t>
  </si>
  <si>
    <t>204:731</t>
  </si>
  <si>
    <t>1829-27</t>
  </si>
  <si>
    <t>204:1009</t>
  </si>
  <si>
    <t>183-27</t>
  </si>
  <si>
    <t>204:233317</t>
  </si>
  <si>
    <t>1830-27</t>
  </si>
  <si>
    <t>1831-27</t>
  </si>
  <si>
    <t>204:1006</t>
  </si>
  <si>
    <t>1832-27</t>
  </si>
  <si>
    <t>204:768</t>
  </si>
  <si>
    <t>1833-27</t>
  </si>
  <si>
    <t>204:1014</t>
  </si>
  <si>
    <t>184-27</t>
  </si>
  <si>
    <t>185-27</t>
  </si>
  <si>
    <t>186-27</t>
  </si>
  <si>
    <t>187-27</t>
  </si>
  <si>
    <t>188-27</t>
  </si>
  <si>
    <t>189-27</t>
  </si>
  <si>
    <t>204:233278</t>
  </si>
  <si>
    <t>190-27</t>
  </si>
  <si>
    <t>1902-27</t>
  </si>
  <si>
    <t>300:21511</t>
  </si>
  <si>
    <t>191-27</t>
  </si>
  <si>
    <t>204:495</t>
  </si>
  <si>
    <t>192-27</t>
  </si>
  <si>
    <t>204:232981</t>
  </si>
  <si>
    <t>193-27</t>
  </si>
  <si>
    <t>204:233336</t>
  </si>
  <si>
    <t>194-27</t>
  </si>
  <si>
    <t>195-27</t>
  </si>
  <si>
    <t>204:433</t>
  </si>
  <si>
    <t>196-27</t>
  </si>
  <si>
    <t>197-27</t>
  </si>
  <si>
    <t>198-27</t>
  </si>
  <si>
    <t>199-27</t>
  </si>
  <si>
    <t>204:420</t>
  </si>
  <si>
    <t>200-27</t>
  </si>
  <si>
    <t>201-27</t>
  </si>
  <si>
    <t>204:477</t>
  </si>
  <si>
    <t>204:233303</t>
  </si>
  <si>
    <t>202-27</t>
  </si>
  <si>
    <t>203-27</t>
  </si>
  <si>
    <t>204-27</t>
  </si>
  <si>
    <t>205-27</t>
  </si>
  <si>
    <t>204:233343</t>
  </si>
  <si>
    <t>206-27</t>
  </si>
  <si>
    <t>207-27</t>
  </si>
  <si>
    <t>208-27</t>
  </si>
  <si>
    <t>204:233042</t>
  </si>
  <si>
    <t>209-27</t>
  </si>
  <si>
    <t>204:233318</t>
  </si>
  <si>
    <t>210-27</t>
  </si>
  <si>
    <t>211-27</t>
  </si>
  <si>
    <t>212-27</t>
  </si>
  <si>
    <t>213-27</t>
  </si>
  <si>
    <t>214-27</t>
  </si>
  <si>
    <t>215-27</t>
  </si>
  <si>
    <t>216-27</t>
  </si>
  <si>
    <t>217-27</t>
  </si>
  <si>
    <t>204:520</t>
  </si>
  <si>
    <t>218-27</t>
  </si>
  <si>
    <t>219-27</t>
  </si>
  <si>
    <t>220-27</t>
  </si>
  <si>
    <t>221-27</t>
  </si>
  <si>
    <t>222-27</t>
  </si>
  <si>
    <t>223-27</t>
  </si>
  <si>
    <t>224-27</t>
  </si>
  <si>
    <t>225-27</t>
  </si>
  <si>
    <t>226-27</t>
  </si>
  <si>
    <t>227-27</t>
  </si>
  <si>
    <t>228-27</t>
  </si>
  <si>
    <t>204:232957</t>
  </si>
  <si>
    <t>229-27</t>
  </si>
  <si>
    <t>230-27</t>
  </si>
  <si>
    <t>204:233030</t>
  </si>
  <si>
    <t>231-27</t>
  </si>
  <si>
    <t>232-27</t>
  </si>
  <si>
    <t>233-27</t>
  </si>
  <si>
    <t>234-27</t>
  </si>
  <si>
    <t>235-27</t>
  </si>
  <si>
    <t>236-27</t>
  </si>
  <si>
    <t>204:178</t>
  </si>
  <si>
    <t>237-27</t>
  </si>
  <si>
    <t>238-27</t>
  </si>
  <si>
    <t>204:233025</t>
  </si>
  <si>
    <t>239-27</t>
  </si>
  <si>
    <t>240-27</t>
  </si>
  <si>
    <t>204:1179</t>
  </si>
  <si>
    <t>241-27</t>
  </si>
  <si>
    <t>242-27</t>
  </si>
  <si>
    <t>243-27</t>
  </si>
  <si>
    <t>204:233285</t>
  </si>
  <si>
    <t>244-27</t>
  </si>
  <si>
    <t>245-27</t>
  </si>
  <si>
    <t>246-27</t>
  </si>
  <si>
    <t>303-27</t>
  </si>
  <si>
    <t>300:23297</t>
  </si>
  <si>
    <t>307-27</t>
  </si>
  <si>
    <t>311-27</t>
  </si>
  <si>
    <t>313-27</t>
  </si>
  <si>
    <t>300:23312</t>
  </si>
  <si>
    <t>315-26</t>
  </si>
  <si>
    <t>60-27</t>
  </si>
  <si>
    <t>204:1947</t>
  </si>
  <si>
    <t>61-27</t>
  </si>
  <si>
    <t>204:1513</t>
  </si>
  <si>
    <t>63-27</t>
  </si>
  <si>
    <t>204:1488</t>
  </si>
  <si>
    <t>204:233288</t>
  </si>
  <si>
    <t>64-27</t>
  </si>
  <si>
    <t>204:232990</t>
  </si>
  <si>
    <t>69-27</t>
  </si>
  <si>
    <t>ACKERMAN</t>
  </si>
  <si>
    <t>KILLION</t>
  </si>
  <si>
    <t>YORK</t>
  </si>
  <si>
    <t>153-27</t>
  </si>
  <si>
    <t>STORY</t>
  </si>
  <si>
    <t>BARTLETT</t>
  </si>
  <si>
    <t>154-27</t>
  </si>
  <si>
    <t>167-27</t>
  </si>
  <si>
    <t>168-27</t>
  </si>
  <si>
    <t>50-27</t>
  </si>
  <si>
    <t>POLLOCK</t>
  </si>
  <si>
    <t>DE LA ROSA</t>
  </si>
  <si>
    <t>HILLS</t>
  </si>
  <si>
    <t>305-27</t>
  </si>
  <si>
    <t>GOLIGHTLY</t>
  </si>
  <si>
    <t>315-27</t>
  </si>
  <si>
    <t>127-27</t>
  </si>
  <si>
    <t>128-27</t>
  </si>
  <si>
    <t>129-27</t>
  </si>
  <si>
    <t>130-27</t>
  </si>
  <si>
    <t>131-27</t>
  </si>
  <si>
    <t>132-27</t>
  </si>
  <si>
    <t>Central Park XING failure</t>
  </si>
  <si>
    <t>103-27</t>
  </si>
  <si>
    <t>104-27</t>
  </si>
  <si>
    <t>115-27</t>
  </si>
  <si>
    <t>145-27</t>
  </si>
  <si>
    <t>146-27</t>
  </si>
  <si>
    <t>Trip ID wasn't available while init'ing at DUS</t>
  </si>
  <si>
    <t>Consist wasn't correctly populated while init'ing at DUS</t>
  </si>
  <si>
    <t>40th 4S STOP, cleared shortly</t>
  </si>
  <si>
    <t>61st 2N STOP, cleared shortly</t>
  </si>
  <si>
    <t>EC1332RH 133-1T 1S was STOP &amp; PROCEED, no issues found</t>
  </si>
  <si>
    <t>Form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</si>
</sst>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</cellStyleXfs>
  <cellXfs count="16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0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7"/>
  <sheetViews>
    <sheetView tabSelected="1" workbookViewId="0">
      <selection activeCell="Y163" sqref="Y163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4.710937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4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122</v>
      </c>
      <c r="J1" s="43"/>
      <c r="K1" s="30"/>
      <c r="L1" s="30"/>
      <c r="M1" s="42"/>
      <c r="N1" s="43"/>
      <c r="O1" s="2"/>
      <c r="P1" s="2"/>
      <c r="R1" s="40" t="s">
        <v>123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42609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42609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34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COUNTIFS($N$13:$N$9392,"&gt;0",$AG$13:$AG$9392,I1)</f>
        <v>122</v>
      </c>
      <c r="K5" s="46"/>
      <c r="L5" s="46"/>
      <c r="M5" s="47">
        <f>AVERAGEIFS($N$13:$N$9392,$AG$13:$AG$9392,I1)</f>
        <v>40.871174863690406</v>
      </c>
      <c r="N5" s="45">
        <f t="array" ref="N5">MIN(IF($AG$13:$AG$9392=I1,IF(ISNUMBER($N$13:$N$9392),IF($N$13:$N$9392&gt;0,$N$13:$N$9392))))</f>
        <v>34.983333338750526</v>
      </c>
      <c r="O5" s="3">
        <f t="array" ref="O5">MAX(IF($AG$13:$AG$9392=I1,IF(ISNUMBER($N$13:$N$9392),IF($N$13:$N$9392&gt;0,$N$13:$N$9392))))</f>
        <v>82.316666672704741</v>
      </c>
      <c r="P5" s="2"/>
      <c r="R5" s="87" t="s">
        <v>17</v>
      </c>
      <c r="S5" s="57">
        <f>COUNTIFS($N$13:$N$9392,"&gt;0",$AG$13:$AG$9392,R1)</f>
        <v>34</v>
      </c>
      <c r="T5" s="46"/>
      <c r="U5" s="124"/>
      <c r="V5" s="47">
        <f>AVERAGEIFS($N$13:$N$9392,$AG$13:$AG$9392,R1)</f>
        <v>14.76519607767627</v>
      </c>
      <c r="W5" s="45">
        <f t="array" ref="W5">MIN(IF($AG$13:$AG$9392=R1,IF(ISNUMBER($N$13:$N$9392),IF($N$13:$N$9392&gt;0,$N$13:$N$9392))))</f>
        <v>12.450000008102506</v>
      </c>
      <c r="X5" s="116">
        <f t="array" ref="X5">MAX(IF($AG$13:$AG$9392=R1,IF(ISNUMBER($N$13:$N$9392),IF($N$13:$N$9392&gt;0,$N$13:$N$9392))))</f>
        <v>18.949999997857958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COUNT($O$13:$O$152)</f>
        <v>0</v>
      </c>
      <c r="K6" s="46"/>
      <c r="L6" s="46"/>
      <c r="M6" s="47">
        <f>IFERROR(AVERAGE($O$13:$O$152),0)</f>
        <v>0</v>
      </c>
      <c r="N6" s="45">
        <f>MIN($O$13:$O$152)</f>
        <v>0</v>
      </c>
      <c r="O6" s="3">
        <f>MAX($O$13:$O$152)</f>
        <v>0</v>
      </c>
      <c r="P6" s="2"/>
      <c r="R6" s="88" t="s">
        <v>43</v>
      </c>
      <c r="S6" s="57">
        <f>COUNT($O$13:$O$152)</f>
        <v>0</v>
      </c>
      <c r="T6" s="46"/>
      <c r="U6" s="124"/>
      <c r="V6" s="47">
        <f>IFERROR(AVERAGE($O$13:$O$152),0)</f>
        <v>0</v>
      </c>
      <c r="W6" s="45">
        <f>MIN($O$13:$O$152)</f>
        <v>0</v>
      </c>
      <c r="X6" s="116">
        <f>MAX($O$13:$O$152)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COUNTIFS($P$13:$P$9392,"&gt;0",$AG$13:$AG$9392,I1)</f>
        <v>24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COUNTIFS($P$13:$P$9392,"&gt;0",$AG$13:$AG$9392,R1)</f>
        <v>0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122</v>
      </c>
      <c r="K8" s="46"/>
      <c r="L8" s="46"/>
      <c r="M8" s="47">
        <f>M5</f>
        <v>40.871174863690406</v>
      </c>
      <c r="N8" s="45">
        <f>N5</f>
        <v>34.983333338750526</v>
      </c>
      <c r="O8" s="3">
        <f>O5</f>
        <v>82.316666672704741</v>
      </c>
      <c r="P8" s="2"/>
      <c r="R8" s="87" t="s">
        <v>16</v>
      </c>
      <c r="S8" s="57">
        <f>S5</f>
        <v>34</v>
      </c>
      <c r="T8" s="46"/>
      <c r="U8" s="124"/>
      <c r="V8" s="47">
        <f>V5</f>
        <v>14.76519607767627</v>
      </c>
      <c r="W8" s="45">
        <f>W5</f>
        <v>12.450000008102506</v>
      </c>
      <c r="X8" s="116">
        <f>X5</f>
        <v>18.949999997857958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0.83561643835616439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63" t="str">
        <f>"Eagle P3 System Performance - "&amp;TEXT(Variables!A2,"yyyy-mm-dd")</f>
        <v>Eagle P3 System Performance - 2016-08-27</v>
      </c>
      <c r="B11" s="163"/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S11" s="72">
        <f>AVERAGE(S13:S96)</f>
        <v>0.796875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124</v>
      </c>
      <c r="AH12" s="101" t="s">
        <v>127</v>
      </c>
      <c r="AI12" s="148" t="s">
        <v>248</v>
      </c>
      <c r="AJ12" s="53" t="s">
        <v>249</v>
      </c>
      <c r="AK12" s="53" t="s">
        <v>221</v>
      </c>
      <c r="AL12" s="53" t="s">
        <v>250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385</v>
      </c>
      <c r="B13" s="7">
        <v>4020</v>
      </c>
      <c r="C13" s="24" t="s">
        <v>113</v>
      </c>
      <c r="D13" s="24" t="s">
        <v>328</v>
      </c>
      <c r="E13" s="15">
        <v>42609.132986111108</v>
      </c>
      <c r="F13" s="15">
        <v>42609.135625000003</v>
      </c>
      <c r="G13" s="7">
        <v>1</v>
      </c>
      <c r="H13" s="15" t="s">
        <v>341</v>
      </c>
      <c r="I13" s="15">
        <v>42609.16128472222</v>
      </c>
      <c r="J13" s="7">
        <v>0</v>
      </c>
      <c r="K13" s="132" t="str">
        <f>IF(ISEVEN(B13),(B13-1)&amp;"/"&amp;B13,B13&amp;"/"&amp;(B13+1))</f>
        <v>4019/4020</v>
      </c>
      <c r="L13" s="24" t="str">
        <f>VLOOKUP(A13,'Trips&amp;Operators'!$C$1:$E$10000,3,FALSE)</f>
        <v>MAELZER</v>
      </c>
      <c r="M13" s="6">
        <f>I13-F13</f>
        <v>2.565972221782431E-2</v>
      </c>
      <c r="N13" s="7">
        <f>24*60*SUM($M13:$M13)</f>
        <v>36.949999993667006</v>
      </c>
      <c r="O13" s="7"/>
      <c r="P13" s="7"/>
      <c r="Q13" s="25"/>
      <c r="R13" s="25"/>
      <c r="S13" s="37">
        <f>SUM(U13:U13)/IF(AG13="EC",12,1)</f>
        <v>1</v>
      </c>
      <c r="T13" s="52" t="str">
        <f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https://search-rtdc-monitor-bjffxe2xuh6vdkpspy63sjmuny.us-east-1.es.amazonaws.com/_plugin/kibana/#/discover/Steve-Slow-Train-Analysis-(2080s-and-2083s)?_g=(refreshInterval:(display:Off,section:0,value:0),time:(from:'2016-08-27 02:11:30-0600',mode:absolute,to:'2016-08-27 04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3" s="54" t="str">
        <f>IF(AA13&lt;IF(AG13="EC",23,5.65),"Y","N")</f>
        <v>N</v>
      </c>
      <c r="X13" s="120" t="e">
        <f>VALUE(LEFT(AD13,4))-VALUE(LEFT(AD12,4))</f>
        <v>#VALUE!</v>
      </c>
      <c r="Y13" s="69">
        <f>RIGHT(D13,LEN(D13)-4)/10000</f>
        <v>7.2599999999999998E-2</v>
      </c>
      <c r="Z13" s="69">
        <f>RIGHT(H13,LEN(H13)-4)/10000</f>
        <v>23.331600000000002</v>
      </c>
      <c r="AA13" s="69">
        <f>ABS(Z13-Y13)</f>
        <v>23.259</v>
      </c>
      <c r="AB13" s="66" t="e">
        <f>VLOOKUP(A13,Enforcements!$C$7:$J$21,8,0)</f>
        <v>#N/A</v>
      </c>
      <c r="AC13" s="62" t="e">
        <f>VLOOKUP(A13,Enforcements!$C$7:$E$21,3,0)</f>
        <v>#N/A</v>
      </c>
      <c r="AD13" s="63" t="str">
        <f>IF(LEN(A13)=6,"0"&amp;A13,A13)</f>
        <v>0101-27</v>
      </c>
      <c r="AE13" s="99" t="str">
        <f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13" s="96" t="str">
        <f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/stypes="*4020*20160827*" /stext=" 09:.+((SYSTEM_STATE.+slice.+state.+changed )|(ment ac)|(system.+state.+changed )|(\|lc)|(penalty)|(\[timeout)|(PRM\|1\|D)|(kpr)|(kdp))" /e /r /s</v>
      </c>
      <c r="AG13" s="1" t="str">
        <f>IFERROR(IF(VALUE(LEFT(AD13,2))&lt;=2,"EC",IF(OR(VALUE(LEFT(AD13,2))=8,VALUE(LEFT(AD13,2))=18),"NW","Other")),"Other")</f>
        <v>EC</v>
      </c>
      <c r="AH13" s="100" t="str">
        <f t="shared" ref="AH13:AH88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101-27 --locoid 4020 --swversion DE.1.0.7.0 --startMP 204:726 --initTime 2016-08-27T03:11:30 --startdatetime 2016-08-27T03:15:18 --delay 1 --endMP 204:233316 --enddatetime 2016-08-27T03:52:15 --enforcementcount 0 &gt;&gt;C:\Users\stu\Documents\GitHub\eaglep3-reporting\EC\2016-08-27-refined-times.txt</v>
      </c>
      <c r="AI13" s="149" t="str">
        <f t="shared" ref="AI13:AI88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{"issue":{"subject":"","project_id":79,"tracker_id":40,"status_id":1,"priority_id":2,"assigned_to_id":23,"start_date":"2016-08-27","description":"","custom_fields":[{"id":1,"name":"Subdivision","value":"EC"},{"id":4,"name":"Milepost","value":"23.259"},{"id":17,"name":"Train ID","value":"101-27"},{"id":16,"name":"Locomotive ID","value":"4020"},{"id":130,"name":"Impact","value":""},{"id":150,"name":"Time of Event (Mountain Time)","value":"03:52:15"},{"id":151,"name":"Denver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386</v>
      </c>
      <c r="B14" s="7">
        <v>4032</v>
      </c>
      <c r="C14" s="24" t="s">
        <v>113</v>
      </c>
      <c r="D14" s="24" t="s">
        <v>387</v>
      </c>
      <c r="E14" s="15">
        <v>42609.167581018519</v>
      </c>
      <c r="F14" s="15">
        <v>42609.174571759257</v>
      </c>
      <c r="G14" s="7">
        <v>1</v>
      </c>
      <c r="H14" s="15" t="s">
        <v>263</v>
      </c>
      <c r="I14" s="15">
        <v>42609.201770833337</v>
      </c>
      <c r="J14" s="7">
        <v>0</v>
      </c>
      <c r="K14" s="132" t="str">
        <f>IF(ISEVEN(B14),(B14-1)&amp;"/"&amp;B14,B14&amp;"/"&amp;(B14+1))</f>
        <v>4031/4032</v>
      </c>
      <c r="L14" s="24" t="str">
        <f>VLOOKUP(A14,'Trips&amp;Operators'!$C$1:$E$10000,3,FALSE)</f>
        <v>MAELZER</v>
      </c>
      <c r="M14" s="6">
        <f>I14-F14</f>
        <v>2.7199074080272112E-2</v>
      </c>
      <c r="N14" s="7">
        <f>24*60*SUM($M14:$M14)</f>
        <v>39.166666675591841</v>
      </c>
      <c r="O14" s="7"/>
      <c r="P14" s="7"/>
      <c r="Q14" s="25"/>
      <c r="R14" s="25"/>
      <c r="S14" s="37">
        <f>SUM(U14:U14)/IF(AG14="EC",12,1)</f>
        <v>1</v>
      </c>
      <c r="T14" s="52" t="str">
        <f>IF(ISEVEN(LEFT(AD14,4)),"Southbound","NorthBound")</f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https://search-rtdc-monitor-bjffxe2xuh6vdkpspy63sjmuny.us-east-1.es.amazonaws.com/_plugin/kibana/#/discover/Steve-Slow-Train-Analysis-(2080s-and-2083s)?_g=(refreshInterval:(display:Off,section:0,value:0),time:(from:'2016-08-27 03:01:19-0600',mode:absolute,to:'2016-08-27 05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4" s="54" t="str">
        <f>IF(AA14&lt;IF(AG14="EC",23,5.65),"Y","N")</f>
        <v>N</v>
      </c>
      <c r="X14" s="120">
        <f>VALUE(LEFT(AD14,4))-VALUE(LEFT(AD13,4))</f>
        <v>1</v>
      </c>
      <c r="Y14" s="69">
        <f>RIGHT(D14,LEN(D14)-4)/10000</f>
        <v>23.267700000000001</v>
      </c>
      <c r="Z14" s="69">
        <f>RIGHT(H14,LEN(H14)-4)/10000</f>
        <v>1.32E-2</v>
      </c>
      <c r="AA14" s="69">
        <f>ABS(Z14-Y14)</f>
        <v>23.2545</v>
      </c>
      <c r="AB14" s="66" t="e">
        <f>VLOOKUP(A14,Enforcements!$C$7:$J$21,8,0)</f>
        <v>#N/A</v>
      </c>
      <c r="AC14" s="62" t="e">
        <f>VLOOKUP(A14,Enforcements!$C$7:$E$21,3,0)</f>
        <v>#N/A</v>
      </c>
      <c r="AD14" s="63" t="str">
        <f>IF(LEN(A14)=6,"0"&amp;A14,A14)</f>
        <v>0102-27</v>
      </c>
      <c r="AE14" s="99" t="str">
        <f>"aws s3 cp "&amp;s3_bucket&amp;"/RTDC"&amp;B14&amp;"/"&amp;TEXT(F14,"YYYY-MM-DD")&amp;"/ "&amp;search_path&amp;"\RTDC"&amp;B14&amp;"\"&amp;TEXT(F14,"YYYY-MM-DD")&amp;" --recursive &amp; """&amp;walkandungz&amp;""" "&amp;search_path&amp;"\RTDC"&amp;B14&amp;"\"&amp;TEXT(F14,"YYYY-MM-DD")
&amp;" &amp; "&amp;"aws s3 cp "&amp;s3_bucket&amp;"/RTDC"&amp;B14&amp;"/"&amp;TEXT(F14+1,"YYYY-MM-DD")&amp;"/ "&amp;search_path&amp;"\RTDC"&amp;B14&amp;"\"&amp;TEXT(F14+1,"YYYY-MM-DD")&amp;" --recursive &amp; """&amp;walkandungz&amp;""" "&amp;search_path&amp;"\RTDC"&amp;B14&amp;"\"&amp;TEXT(F14+1,"YYYY-MM-DD")</f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14" s="96" t="str">
        <f>astrogrep_path&amp;" /spath="&amp;search_path&amp;" /stypes=""*"&amp;B14&amp;"*"&amp;TEXT(I14-utc_offset/24,"YYYYMMDD")&amp;"*"" /stext="" "&amp;TEXT(I14-utc_offset/24,"HH")&amp;search_regexp&amp;""" /e /r /s"</f>
        <v>"C:\Program Files (x86)\AstroGrep\AstroGrep.exe" /spath="%USERPROFILE%\AppData\Local\Temp\OnboardLogs" /stypes="*4032*20160827*" /stext=" 10:.+((SYSTEM_STATE.+slice.+state.+changed )|(ment ac)|(system.+state.+changed )|(\|lc)|(penalty)|(\[timeout)|(PRM\|1\|D)|(kpr)|(kdp))" /e /r /s</v>
      </c>
      <c r="AG14" s="1" t="str">
        <f>IFERROR(IF(VALUE(LEFT(AD14,2))&lt;=2,"EC",IF(OR(VALUE(LEFT(AD14,2))=8,VALUE(LEFT(AD14,2))=18),"NW","Other")),"Other")</f>
        <v>EC</v>
      </c>
      <c r="AH14" s="100" t="str">
        <f t="shared" si="0"/>
        <v>"%USERPROFILE%\Documents\GitHub\eaglep3\Utilities\RefineRTDCRunTimes.py" --tripid 102-27 --locoid 4032 --swversion DE.1.0.7.0 --startMP 204:232677 --initTime 2016-08-27T04:01:19 --startdatetime 2016-08-27T04:11:23 --delay 1 --endMP 204:132 --enddatetime 2016-08-27T04:50:33 --enforcementcount 0 &gt;&gt;C:\Users\stu\Documents\GitHub\eaglep3-reporting\EC\2016-08-27-refined-times.txt</v>
      </c>
      <c r="AI14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{"issue":{"subject":"","project_id":79,"tracker_id":40,"status_id":1,"priority_id":2,"assigned_to_id":23,"start_date":"2016-08-27","description":"","custom_fields":[{"id":1,"name":"Subdivision","value":"EC"},{"id":4,"name":"Milepost","value":"23.2545"},{"id":17,"name":"Train ID","value":"102-27"},{"id":16,"name":"Locomotive ID","value":"4032"},{"id":130,"name":"Impact","value":""},{"id":150,"name":"Time of Event (Mountain Time)","value":"04:50:33"},{"id":151,"name":"Denver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700</v>
      </c>
      <c r="B15" s="7"/>
      <c r="C15" s="24"/>
      <c r="D15" s="24"/>
      <c r="E15" s="15"/>
      <c r="F15" s="15"/>
      <c r="G15" s="7"/>
      <c r="H15" s="15"/>
      <c r="I15" s="15"/>
      <c r="J15" s="7">
        <v>0</v>
      </c>
      <c r="K15" s="132" t="str">
        <f t="shared" ref="K15:K16" si="2">IF(ISEVEN(B15),(B15-1)&amp;"/"&amp;B15,B15&amp;"/"&amp;(B15+1))</f>
        <v>-1/</v>
      </c>
      <c r="L15" s="24" t="e">
        <f>VLOOKUP(A15,'Trips&amp;Operators'!$C$1:$E$10000,3,FALSE)</f>
        <v>#N/A</v>
      </c>
      <c r="M15" s="6">
        <f t="shared" ref="M15:M16" si="3">I15-F15</f>
        <v>0</v>
      </c>
      <c r="N15" s="7"/>
      <c r="O15" s="7"/>
      <c r="P15" s="7">
        <v>1</v>
      </c>
      <c r="Q15" s="25"/>
      <c r="R15" s="25" t="s">
        <v>295</v>
      </c>
      <c r="S15" s="37">
        <f t="shared" ref="S15:S16" si="4">SUM(U15:U15)/IF(AG15="EC",12,1)</f>
        <v>0</v>
      </c>
      <c r="T15" s="52" t="str">
        <f t="shared" ref="T15:T16" si="5">IF(ISEVEN(LEFT(AD15,4)),"Southbound","NorthBound")</f>
        <v>NorthBound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106" t="e">
        <f t="shared" ref="V15:V16" si="6">"https://search-rtdc-monitor-bjffxe2xuh6vdkpspy63sjmuny.us-east-1.es.amazonaws.com/_plugin/kibana/#/discover/Steve-Slow-Train-Analysis-(2080s-and-2083s)?_g=(refreshInterval:(display:Off,section:0,value:0),time:(from:'"&amp;TEXT(E15-1/24,"yyyy-MM-DD hh:mm:ss")&amp;"-0600',mode:absolute,to:'"&amp;TEXT(I15+1/24,"yyyy-MM-DD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&amp;"%22')),sort:!(Time,asc))"</f>
        <v>#VALUE!</v>
      </c>
      <c r="W15" s="54" t="e">
        <f t="shared" ref="W15:W16" si="7">IF(AA15&lt;IF(AG15="EC",23,5.65),"Y","N")</f>
        <v>#VALUE!</v>
      </c>
      <c r="X15" s="120">
        <f t="shared" ref="X15:X18" si="8">VALUE(LEFT(AD15,4))-VALUE(LEFT(AD14,4))</f>
        <v>1</v>
      </c>
      <c r="Y15" s="69" t="e">
        <f t="shared" ref="Y15:Y16" si="9">RIGHT(D15,LEN(D15)-4)/10000</f>
        <v>#VALUE!</v>
      </c>
      <c r="Z15" s="69" t="e">
        <f t="shared" ref="Z15:Z16" si="10">RIGHT(H15,LEN(H15)-4)/10000</f>
        <v>#VALUE!</v>
      </c>
      <c r="AA15" s="69" t="e">
        <f t="shared" ref="AA15:AA16" si="11">ABS(Z15-Y15)</f>
        <v>#VALUE!</v>
      </c>
      <c r="AB15" s="66" t="e">
        <f>VLOOKUP(A15,Enforcements!$C$7:$J$21,8,0)</f>
        <v>#N/A</v>
      </c>
      <c r="AC15" s="62" t="e">
        <f>VLOOKUP(A15,Enforcements!$C$7:$E$21,3,0)</f>
        <v>#N/A</v>
      </c>
      <c r="AD15" s="63" t="str">
        <f t="shared" ref="AD15:AD16" si="12">IF(LEN(A15)=6,"0"&amp;A15,A15)</f>
        <v>0103-27</v>
      </c>
      <c r="AE15" s="99" t="str">
        <f>"aws s3 cp "&amp;s3_bucket&amp;"/RTDC"&amp;B15&amp;"/"&amp;TEXT(F15,"YYYY-MM-DD")&amp;"/ "&amp;search_path&amp;"\RTDC"&amp;B15&amp;"\"&amp;TEXT(F15,"YYYY-MM-DD")&amp;" --recursive &amp; """&amp;walkandungz&amp;""" "&amp;search_path&amp;"\RTDC"&amp;B15&amp;"\"&amp;TEXT(F15,"YYYY-MM-DD")
&amp;" &amp; "&amp;"aws s3 cp "&amp;s3_bucket&amp;"/RTDC"&amp;B15&amp;"/"&amp;TEXT(F15+1,"YYYY-MM-DD")&amp;"/ "&amp;search_path&amp;"\RTDC"&amp;B15&amp;"\"&amp;TEXT(F15+1,"YYYY-MM-DD")&amp;" --recursive &amp; """&amp;walkandungz&amp;""" "&amp;search_path&amp;"\RTDC"&amp;B15&amp;"\"&amp;TEXT(F15+1,"YYYY-MM-DD")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15" s="96" t="str">
        <f>astrogrep_path&amp;" /spath="&amp;search_path&amp;" /stypes=""*"&amp;B15&amp;"*"&amp;TEXT(I15-utc_offset/24,"YYYYMMDD")&amp;"*"" /stext="" "&amp;TEXT(I15-utc_offset/24,"HH")&amp;search_regexp&amp;""" /e /r /s"</f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15" s="1" t="str">
        <f t="shared" ref="AG15:AG16" si="13">IFERROR(IF(VALUE(LEFT(AD15,2))&lt;=2,"EC",IF(OR(VALUE(LEFT(AD15,2))=8,VALUE(LEFT(AD15,2))=18),"NW","Other")),"Other")</f>
        <v>EC</v>
      </c>
      <c r="AH15" s="100" t="str">
        <f t="shared" ref="AH15:AH16" si="14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103-27 --locoid  --swversion  --startMP  --initTime 1900-01-00T00:00:00 --startdatetime 1900-01-00T00:00:00 --delay  --endMP  --enddatetime 1900-01-00T00:00:00 --enforcementcount 0 &gt;&gt;C:\Users\stu\Documents\GitHub\eaglep3-reporting\EC\2016-08-27-refined-times.txt</v>
      </c>
      <c r="AI15" s="149" t="e">
        <f t="shared" ref="AI15:AI16" si="15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AA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#VALUE!</v>
      </c>
      <c r="AJ15" s="55"/>
      <c r="AK15" s="55"/>
      <c r="AL15" s="55"/>
    </row>
    <row r="16" spans="1:91" s="1" customFormat="1" x14ac:dyDescent="0.25">
      <c r="A16" s="39" t="s">
        <v>701</v>
      </c>
      <c r="B16" s="7"/>
      <c r="C16" s="24"/>
      <c r="D16" s="24"/>
      <c r="E16" s="15"/>
      <c r="F16" s="15"/>
      <c r="G16" s="7"/>
      <c r="H16" s="15"/>
      <c r="I16" s="15"/>
      <c r="J16" s="7">
        <v>0</v>
      </c>
      <c r="K16" s="132" t="str">
        <f t="shared" si="2"/>
        <v>-1/</v>
      </c>
      <c r="L16" s="24" t="e">
        <f>VLOOKUP(A16,'Trips&amp;Operators'!$C$1:$E$10000,3,FALSE)</f>
        <v>#N/A</v>
      </c>
      <c r="M16" s="6">
        <f t="shared" si="3"/>
        <v>0</v>
      </c>
      <c r="N16" s="7"/>
      <c r="O16" s="7"/>
      <c r="P16" s="7">
        <v>1</v>
      </c>
      <c r="Q16" s="25"/>
      <c r="R16" s="25" t="s">
        <v>295</v>
      </c>
      <c r="S16" s="37">
        <f t="shared" si="4"/>
        <v>0</v>
      </c>
      <c r="T16" s="52" t="str">
        <f t="shared" si="5"/>
        <v>Southbound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106" t="e">
        <f t="shared" si="6"/>
        <v>#VALUE!</v>
      </c>
      <c r="W16" s="54" t="e">
        <f t="shared" si="7"/>
        <v>#VALUE!</v>
      </c>
      <c r="X16" s="120">
        <f t="shared" si="8"/>
        <v>1</v>
      </c>
      <c r="Y16" s="69" t="e">
        <f t="shared" si="9"/>
        <v>#VALUE!</v>
      </c>
      <c r="Z16" s="69" t="e">
        <f t="shared" si="10"/>
        <v>#VALUE!</v>
      </c>
      <c r="AA16" s="69" t="e">
        <f t="shared" si="11"/>
        <v>#VALUE!</v>
      </c>
      <c r="AB16" s="66" t="e">
        <f>VLOOKUP(A16,Enforcements!$C$7:$J$21,8,0)</f>
        <v>#N/A</v>
      </c>
      <c r="AC16" s="62" t="e">
        <f>VLOOKUP(A16,Enforcements!$C$7:$E$21,3,0)</f>
        <v>#N/A</v>
      </c>
      <c r="AD16" s="63" t="str">
        <f t="shared" si="12"/>
        <v>0104-27</v>
      </c>
      <c r="AE16" s="99" t="str">
        <f>"aws s3 cp "&amp;s3_bucket&amp;"/RTDC"&amp;B16&amp;"/"&amp;TEXT(F16,"YYYY-MM-DD")&amp;"/ "&amp;search_path&amp;"\RTDC"&amp;B16&amp;"\"&amp;TEXT(F16,"YYYY-MM-DD")&amp;" --recursive &amp; """&amp;walkandungz&amp;""" "&amp;search_path&amp;"\RTDC"&amp;B16&amp;"\"&amp;TEXT(F16,"YYYY-MM-DD")
&amp;" &amp; "&amp;"aws s3 cp "&amp;s3_bucket&amp;"/RTDC"&amp;B16&amp;"/"&amp;TEXT(F16+1,"YYYY-MM-DD")&amp;"/ "&amp;search_path&amp;"\RTDC"&amp;B16&amp;"\"&amp;TEXT(F16+1,"YYYY-MM-DD")&amp;" --recursive &amp; """&amp;walkandungz&amp;""" "&amp;search_path&amp;"\RTDC"&amp;B16&amp;"\"&amp;TEXT(F16+1,"YYYY-MM-DD")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16" s="96" t="str">
        <f>astrogrep_path&amp;" /spath="&amp;search_path&amp;" /stypes=""*"&amp;B16&amp;"*"&amp;TEXT(I16-utc_offset/24,"YYYYMMDD")&amp;"*"" /stext="" "&amp;TEXT(I16-utc_offset/24,"HH")&amp;search_regexp&amp;""" /e /r /s"</f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16" s="1" t="str">
        <f t="shared" si="13"/>
        <v>EC</v>
      </c>
      <c r="AH16" s="100" t="str">
        <f t="shared" si="14"/>
        <v>"%USERPROFILE%\Documents\GitHub\eaglep3\Utilities\RefineRTDCRunTimes.py" --tripid 104-27 --locoid  --swversion  --startMP  --initTime 1900-01-00T00:00:00 --startdatetime 1900-01-00T00:00:00 --delay  --endMP  --enddatetime 1900-01-00T00:00:00 --enforcementcount 0 &gt;&gt;C:\Users\stu\Documents\GitHub\eaglep3-reporting\EC\2016-08-27-refined-times.txt</v>
      </c>
      <c r="AI16" s="149" t="e">
        <f t="shared" si="15"/>
        <v>#VALUE!</v>
      </c>
      <c r="AJ16" s="55"/>
      <c r="AK16" s="55"/>
      <c r="AL16" s="55"/>
    </row>
    <row r="17" spans="1:38" s="1" customFormat="1" x14ac:dyDescent="0.25">
      <c r="A17" s="39" t="s">
        <v>388</v>
      </c>
      <c r="B17" s="7">
        <v>4014</v>
      </c>
      <c r="C17" s="24" t="s">
        <v>113</v>
      </c>
      <c r="D17" s="24" t="s">
        <v>389</v>
      </c>
      <c r="E17" s="15">
        <v>42609.170844907407</v>
      </c>
      <c r="F17" s="15">
        <v>42609.177337962959</v>
      </c>
      <c r="G17" s="7">
        <v>1</v>
      </c>
      <c r="H17" s="15" t="s">
        <v>390</v>
      </c>
      <c r="I17" s="15">
        <v>42609.203564814816</v>
      </c>
      <c r="J17" s="7">
        <v>0</v>
      </c>
      <c r="K17" s="132" t="str">
        <f>IF(ISEVEN(B17),(B17-1)&amp;"/"&amp;B17,B17&amp;"/"&amp;(B17+1))</f>
        <v>4013/4014</v>
      </c>
      <c r="L17" s="24" t="str">
        <f>VLOOKUP(A17,'Trips&amp;Operators'!$C$1:$E$10000,3,FALSE)</f>
        <v>ACKERMAN</v>
      </c>
      <c r="M17" s="6">
        <f>I17-F17</f>
        <v>2.6226851856335998E-2</v>
      </c>
      <c r="N17" s="7">
        <f>24*60*SUM($M17:$M17)</f>
        <v>37.766666673123837</v>
      </c>
      <c r="O17" s="7"/>
      <c r="P17" s="7"/>
      <c r="Q17" s="25"/>
      <c r="R17" s="25"/>
      <c r="S17" s="37">
        <f>SUM(U17:U17)/IF(AG17="EC",12,1)</f>
        <v>1</v>
      </c>
      <c r="T17" s="52" t="str">
        <f>IF(ISEVEN(LEFT(AD17,4)),"Southbound","NorthBound")</f>
        <v>NorthBound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hh:mm:ss")&amp;"-0600',mode:absolute,to:'"&amp;TEXT(I17+1/24,"yyyy-MM-DD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https://search-rtdc-monitor-bjffxe2xuh6vdkpspy63sjmuny.us-east-1.es.amazonaws.com/_plugin/kibana/#/discover/Steve-Slow-Train-Analysis-(2080s-and-2083s)?_g=(refreshInterval:(display:Off,section:0,value:0),time:(from:'2016-08-27 03:06:01-0600',mode:absolute,to:'2016-08-27 05:53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" s="54" t="str">
        <f>IF(AA17&lt;IF(AG17="EC",23,5.65),"Y","N")</f>
        <v>N</v>
      </c>
      <c r="X17" s="120">
        <f t="shared" si="8"/>
        <v>1</v>
      </c>
      <c r="Y17" s="69">
        <f>RIGHT(D17,LEN(D17)-4)/10000</f>
        <v>6.83E-2</v>
      </c>
      <c r="Z17" s="69">
        <f>RIGHT(H17,LEN(H17)-4)/10000</f>
        <v>23.338000000000001</v>
      </c>
      <c r="AA17" s="69">
        <f>ABS(Z17-Y17)</f>
        <v>23.2697</v>
      </c>
      <c r="AB17" s="66" t="e">
        <f>VLOOKUP(A17,Enforcements!$C$7:$J$21,8,0)</f>
        <v>#N/A</v>
      </c>
      <c r="AC17" s="62" t="e">
        <f>VLOOKUP(A17,Enforcements!$C$7:$E$21,3,0)</f>
        <v>#N/A</v>
      </c>
      <c r="AD17" s="63" t="str">
        <f>IF(LEN(A17)=6,"0"&amp;A17,A17)</f>
        <v>0105-27</v>
      </c>
      <c r="AE17" s="99" t="str">
        <f>"aws s3 cp "&amp;s3_bucket&amp;"/RTDC"&amp;B17&amp;"/"&amp;TEXT(F17,"YYYY-MM-DD")&amp;"/ "&amp;search_path&amp;"\RTDC"&amp;B17&amp;"\"&amp;TEXT(F17,"YYYY-MM-DD")&amp;" --recursive &amp; """&amp;walkandungz&amp;""" "&amp;search_path&amp;"\RTDC"&amp;B17&amp;"\"&amp;TEXT(F17,"YYYY-MM-DD")
&amp;" &amp; "&amp;"aws s3 cp "&amp;s3_bucket&amp;"/RTDC"&amp;B17&amp;"/"&amp;TEXT(F17+1,"YYYY-MM-DD")&amp;"/ "&amp;search_path&amp;"\RTDC"&amp;B17&amp;"\"&amp;TEXT(F17+1,"YYYY-MM-DD")&amp;" --recursive &amp; """&amp;walkandungz&amp;""" "&amp;search_path&amp;"\RTDC"&amp;B17&amp;"\"&amp;TEXT(F17+1,"YYYY-MM-DD")</f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AF17" s="96" t="str">
        <f>astrogrep_path&amp;" /spath="&amp;search_path&amp;" /stypes=""*"&amp;B17&amp;"*"&amp;TEXT(I17-utc_offset/24,"YYYYMMDD")&amp;"*"" /stext="" "&amp;TEXT(I17-utc_offset/24,"HH")&amp;search_regexp&amp;""" /e /r /s"</f>
        <v>"C:\Program Files (x86)\AstroGrep\AstroGrep.exe" /spath="%USERPROFILE%\AppData\Local\Temp\OnboardLogs" /stypes="*4014*20160827*" /stext=" 10:.+((SYSTEM_STATE.+slice.+state.+changed )|(ment ac)|(system.+state.+changed )|(\|lc)|(penalty)|(\[timeout)|(PRM\|1\|D)|(kpr)|(kdp))" /e /r /s</v>
      </c>
      <c r="AG17" s="1" t="str">
        <f>IFERROR(IF(VALUE(LEFT(AD17,2))&lt;=2,"EC",IF(OR(VALUE(LEFT(AD17,2))=8,VALUE(LEFT(AD17,2))=18),"NW","Other")),"Other")</f>
        <v>EC</v>
      </c>
      <c r="AH17" s="100" t="str">
        <f t="shared" si="0"/>
        <v>"%USERPROFILE%\Documents\GitHub\eaglep3\Utilities\RefineRTDCRunTimes.py" --tripid 105-27 --locoid 4014 --swversion DE.1.0.7.0 --startMP 204:683 --initTime 2016-08-27T04:06:01 --startdatetime 2016-08-27T04:15:22 --delay 1 --endMP 204:233380 --enddatetime 2016-08-27T04:53:08 --enforcementcount 0 &gt;&gt;C:\Users\stu\Documents\GitHub\eaglep3-reporting\EC\2016-08-27-refined-times.txt</v>
      </c>
      <c r="AI17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{"issue":{"subject":"","project_id":79,"tracker_id":40,"status_id":1,"priority_id":2,"assigned_to_id":23,"start_date":"2016-08-27","description":"","custom_fields":[{"id":1,"name":"Subdivision","value":"EC"},{"id":4,"name":"Milepost","value":"23.2697"},{"id":17,"name":"Train ID","value":"105-27"},{"id":16,"name":"Locomotive ID","value":"4014"},{"id":130,"name":"Impact","value":""},{"id":150,"name":"Time of Event (Mountain Time)","value":"04:53:08"},{"id":151,"name":"Denver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391</v>
      </c>
      <c r="B18" s="7">
        <v>4041</v>
      </c>
      <c r="C18" s="24" t="s">
        <v>113</v>
      </c>
      <c r="D18" s="24" t="s">
        <v>392</v>
      </c>
      <c r="E18" s="15">
        <v>42609.211747685185</v>
      </c>
      <c r="F18" s="15">
        <v>42609.216226851851</v>
      </c>
      <c r="G18" s="7">
        <v>1</v>
      </c>
      <c r="H18" s="15" t="s">
        <v>136</v>
      </c>
      <c r="I18" s="15">
        <v>42609.24628472222</v>
      </c>
      <c r="J18" s="7">
        <v>0</v>
      </c>
      <c r="K18" s="132" t="str">
        <f>IF(ISEVEN(B18),(B18-1)&amp;"/"&amp;B18,B18&amp;"/"&amp;(B18+1))</f>
        <v>4041/4042</v>
      </c>
      <c r="L18" s="24" t="str">
        <f>VLOOKUP(A18,'Trips&amp;Operators'!$C$1:$E$10000,3,FALSE)</f>
        <v>ACKERMAN</v>
      </c>
      <c r="M18" s="6">
        <f>I18-F18</f>
        <v>3.0057870368182193E-2</v>
      </c>
      <c r="N18" s="7">
        <f>24*60*SUM($M18:$M18)</f>
        <v>43.283333330182359</v>
      </c>
      <c r="O18" s="7"/>
      <c r="P18" s="7"/>
      <c r="Q18" s="25"/>
      <c r="R18" s="25"/>
      <c r="S18" s="37">
        <f>SUM(U18:U18)/IF(AG18="EC",12,1)</f>
        <v>1</v>
      </c>
      <c r="T18" s="52" t="str">
        <f>IF(ISEVEN(LEFT(AD18,4)),"Southbound","NorthBound")</f>
        <v>Southbound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hh:mm:ss")&amp;"-0600',mode:absolute,to:'"&amp;TEXT(I18+1/24,"yyyy-MM-DD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https://search-rtdc-monitor-bjffxe2xuh6vdkpspy63sjmuny.us-east-1.es.amazonaws.com/_plugin/kibana/#/discover/Steve-Slow-Train-Analysis-(2080s-and-2083s)?_g=(refreshInterval:(display:Off,section:0,value:0),time:(from:'2016-08-27 04:04:55-0600',mode:absolute,to:'2016-08-27 06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" s="54" t="str">
        <f>IF(AA18&lt;IF(AG18="EC",23,5.65),"Y","N")</f>
        <v>N</v>
      </c>
      <c r="X18" s="120">
        <f t="shared" si="8"/>
        <v>1</v>
      </c>
      <c r="Y18" s="69">
        <f>RIGHT(D18,LEN(D18)-4)/10000</f>
        <v>23.275099999999998</v>
      </c>
      <c r="Z18" s="69">
        <f>RIGHT(H18,LEN(H18)-4)/10000</f>
        <v>1.49E-2</v>
      </c>
      <c r="AA18" s="69">
        <f>ABS(Z18-Y18)</f>
        <v>23.260199999999998</v>
      </c>
      <c r="AB18" s="66" t="e">
        <f>VLOOKUP(A18,Enforcements!$C$7:$J$21,8,0)</f>
        <v>#N/A</v>
      </c>
      <c r="AC18" s="62" t="e">
        <f>VLOOKUP(A18,Enforcements!$C$7:$E$21,3,0)</f>
        <v>#N/A</v>
      </c>
      <c r="AD18" s="63" t="str">
        <f>IF(LEN(A18)=6,"0"&amp;A18,A18)</f>
        <v>0106-27</v>
      </c>
      <c r="AE18" s="99" t="str">
        <f>"aws s3 cp "&amp;s3_bucket&amp;"/RTDC"&amp;B18&amp;"/"&amp;TEXT(F18,"YYYY-MM-DD")&amp;"/ "&amp;search_path&amp;"\RTDC"&amp;B18&amp;"\"&amp;TEXT(F18,"YYYY-MM-DD")&amp;" --recursive &amp; """&amp;walkandungz&amp;""" "&amp;search_path&amp;"\RTDC"&amp;B18&amp;"\"&amp;TEXT(F18,"YYYY-MM-DD")
&amp;" &amp; "&amp;"aws s3 cp "&amp;s3_bucket&amp;"/RTDC"&amp;B18&amp;"/"&amp;TEXT(F18+1,"YYYY-MM-DD")&amp;"/ "&amp;search_path&amp;"\RTDC"&amp;B18&amp;"\"&amp;TEXT(F18+1,"YYYY-MM-DD")&amp;" --recursive &amp; """&amp;walkandungz&amp;""" "&amp;search_path&amp;"\RTDC"&amp;B18&amp;"\"&amp;TEXT(F18+1,"YYYY-MM-DD")</f>
        <v>aws s3 cp s3://rtdc.mdm.uploadarchive/RTDC4041/2016-08-27/ "%USERPROFILE%\AppData\Local\Temp\OnboardLogs"\RTDC4041\2016-08-27 --recursive &amp; "%USERPROFILE%\Documents\GitHub\mrs-test-scripts\Headless Mode &amp; Sideloading\WalkAndUnGZ.bat" "%USERPROFILE%\AppData\Local\Temp\OnboardLogs"\RTDC4041\2016-08-27 &amp; 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</v>
      </c>
      <c r="AF18" s="96" t="str">
        <f>astrogrep_path&amp;" /spath="&amp;search_path&amp;" /stypes=""*"&amp;B18&amp;"*"&amp;TEXT(I18-utc_offset/24,"YYYYMMDD")&amp;"*"" /stext="" "&amp;TEXT(I18-utc_offset/24,"HH")&amp;search_regexp&amp;""" /e /r /s"</f>
        <v>"C:\Program Files (x86)\AstroGrep\AstroGrep.exe" /spath="%USERPROFILE%\AppData\Local\Temp\OnboardLogs" /stypes="*4041*20160827*" /stext=" 11:.+((SYSTEM_STATE.+slice.+state.+changed )|(ment ac)|(system.+state.+changed )|(\|lc)|(penalty)|(\[timeout)|(PRM\|1\|D)|(kpr)|(kdp))" /e /r /s</v>
      </c>
      <c r="AG18" s="1" t="str">
        <f>IFERROR(IF(VALUE(LEFT(AD18,2))&lt;=2,"EC",IF(OR(VALUE(LEFT(AD18,2))=8,VALUE(LEFT(AD18,2))=18),"NW","Other")),"Other")</f>
        <v>EC</v>
      </c>
      <c r="AH18" s="100" t="str">
        <f t="shared" si="0"/>
        <v>"%USERPROFILE%\Documents\GitHub\eaglep3\Utilities\RefineRTDCRunTimes.py" --tripid 106-27 --locoid 4041 --swversion DE.1.0.7.0 --startMP 204:232751 --initTime 2016-08-27T05:04:55 --startdatetime 2016-08-27T05:11:22 --delay 1 --endMP 204:149 --enddatetime 2016-08-27T05:54:39 --enforcementcount 0 &gt;&gt;C:\Users\stu\Documents\GitHub\eaglep3-reporting\EC\2016-08-27-refined-times.txt</v>
      </c>
      <c r="AI18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{"issue":{"subject":"","project_id":79,"tracker_id":40,"status_id":1,"priority_id":2,"assigned_to_id":23,"start_date":"2016-08-27","description":"","custom_fields":[{"id":1,"name":"Subdivision","value":"EC"},{"id":4,"name":"Milepost","value":"23.2602"},{"id":17,"name":"Train ID","value":"106-27"},{"id":16,"name":"Locomotive ID","value":"4041"},{"id":130,"name":"Impact","value":""},{"id":150,"name":"Time of Event (Mountain Time)","value":"05:54:39"},{"id":151,"name":"Denver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393</v>
      </c>
      <c r="B19" s="7">
        <v>4025</v>
      </c>
      <c r="C19" s="24" t="s">
        <v>113</v>
      </c>
      <c r="D19" s="24" t="s">
        <v>125</v>
      </c>
      <c r="E19" s="15">
        <v>42609.183113425926</v>
      </c>
      <c r="F19" s="15">
        <v>42609.187789351854</v>
      </c>
      <c r="G19" s="7">
        <v>2</v>
      </c>
      <c r="H19" s="15" t="s">
        <v>394</v>
      </c>
      <c r="I19" s="15">
        <v>42609.216307870367</v>
      </c>
      <c r="J19" s="7">
        <v>0</v>
      </c>
      <c r="K19" s="132" t="str">
        <f>IF(ISEVEN(B19),(B19-1)&amp;"/"&amp;B19,B19&amp;"/"&amp;(B19+1))</f>
        <v>4025/4026</v>
      </c>
      <c r="L19" s="24" t="str">
        <f>VLOOKUP(A19,'Trips&amp;Operators'!$C$1:$E$10000,3,FALSE)</f>
        <v>DAVIS</v>
      </c>
      <c r="M19" s="6">
        <f>I19-F19</f>
        <v>2.8518518513010349E-2</v>
      </c>
      <c r="N19" s="7">
        <f>24*60*SUM($M19:$M19)</f>
        <v>41.066666658734903</v>
      </c>
      <c r="O19" s="7"/>
      <c r="P19" s="7"/>
      <c r="Q19" s="25"/>
      <c r="R19" s="25"/>
      <c r="S19" s="37">
        <f>SUM(U19:U19)/IF(AG19="EC",12,1)</f>
        <v>1</v>
      </c>
      <c r="T19" s="52" t="str">
        <f>IF(ISEVEN(LEFT(AD19,4)),"Southbound","NorthBound")</f>
        <v>NorthBound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hh:mm:ss")&amp;"-0600',mode:absolute,to:'"&amp;TEXT(I19+1/24,"yyyy-MM-DD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https://search-rtdc-monitor-bjffxe2xuh6vdkpspy63sjmuny.us-east-1.es.amazonaws.com/_plugin/kibana/#/discover/Steve-Slow-Train-Analysis-(2080s-and-2083s)?_g=(refreshInterval:(display:Off,section:0,value:0),time:(from:'2016-08-27 03:23:41-0600',mode:absolute,to:'2016-08-27 06:11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9" s="54" t="str">
        <f>IF(AA19&lt;IF(AG19="EC",23,5.65),"Y","N")</f>
        <v>N</v>
      </c>
      <c r="X19" s="120">
        <f>VALUE(LEFT(AD19,4))-VALUE(LEFT(AD18,4))</f>
        <v>1</v>
      </c>
      <c r="Y19" s="69">
        <f>RIGHT(D19,LEN(D19)-4)/10000</f>
        <v>4.5499999999999999E-2</v>
      </c>
      <c r="Z19" s="69">
        <f>RIGHT(H19,LEN(H19)-4)/10000</f>
        <v>23.3263</v>
      </c>
      <c r="AA19" s="69">
        <f>ABS(Z19-Y19)</f>
        <v>23.280799999999999</v>
      </c>
      <c r="AB19" s="66" t="e">
        <f>VLOOKUP(A19,Enforcements!$C$7:$J$21,8,0)</f>
        <v>#N/A</v>
      </c>
      <c r="AC19" s="62" t="e">
        <f>VLOOKUP(A19,Enforcements!$C$7:$E$21,3,0)</f>
        <v>#N/A</v>
      </c>
      <c r="AD19" s="63" t="str">
        <f>IF(LEN(A19)=6,"0"&amp;A19,A19)</f>
        <v>0107-27</v>
      </c>
      <c r="AE19" s="99" t="str">
        <f>"aws s3 cp "&amp;s3_bucket&amp;"/RTDC"&amp;B19&amp;"/"&amp;TEXT(F19,"YYYY-MM-DD")&amp;"/ "&amp;search_path&amp;"\RTDC"&amp;B19&amp;"\"&amp;TEXT(F19,"YYYY-MM-DD")&amp;" --recursive &amp; """&amp;walkandungz&amp;""" "&amp;search_path&amp;"\RTDC"&amp;B19&amp;"\"&amp;TEXT(F19,"YYYY-MM-DD")
&amp;" &amp; "&amp;"aws s3 cp "&amp;s3_bucket&amp;"/RTDC"&amp;B19&amp;"/"&amp;TEXT(F19+1,"YYYY-MM-DD")&amp;"/ "&amp;search_path&amp;"\RTDC"&amp;B19&amp;"\"&amp;TEXT(F19+1,"YYYY-MM-DD")&amp;" --recursive &amp; """&amp;walkandungz&amp;""" "&amp;search_path&amp;"\RTDC"&amp;B19&amp;"\"&amp;TEXT(F19+1,"YYYY-MM-DD")</f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19" s="96" t="str">
        <f>astrogrep_path&amp;" /spath="&amp;search_path&amp;" /stypes=""*"&amp;B19&amp;"*"&amp;TEXT(I19-utc_offset/24,"YYYYMMDD")&amp;"*"" /stext="" "&amp;TEXT(I19-utc_offset/24,"HH")&amp;search_regexp&amp;""" /e /r /s"</f>
        <v>"C:\Program Files (x86)\AstroGrep\AstroGrep.exe" /spath="%USERPROFILE%\AppData\Local\Temp\OnboardLogs" /stypes="*4025*20160827*" /stext=" 11:.+((SYSTEM_STATE.+slice.+state.+changed )|(ment ac)|(system.+state.+changed )|(\|lc)|(penalty)|(\[timeout)|(PRM\|1\|D)|(kpr)|(kdp))" /e /r /s</v>
      </c>
      <c r="AG19" s="1" t="str">
        <f>IFERROR(IF(VALUE(LEFT(AD19,2))&lt;=2,"EC",IF(OR(VALUE(LEFT(AD19,2))=8,VALUE(LEFT(AD19,2))=18),"NW","Other")),"Other")</f>
        <v>EC</v>
      </c>
      <c r="AH19" s="100" t="str">
        <f t="shared" si="0"/>
        <v>"%USERPROFILE%\Documents\GitHub\eaglep3\Utilities\RefineRTDCRunTimes.py" --tripid 107-27 --locoid 4025 --swversion DE.1.0.7.0 --startMP 204:455 --initTime 2016-08-27T04:23:41 --startdatetime 2016-08-27T04:30:25 --delay 2 --endMP 204:233263 --enddatetime 2016-08-27T05:11:29 --enforcementcount 0 &gt;&gt;C:\Users\stu\Documents\GitHub\eaglep3-reporting\EC\2016-08-27-refined-times.txt</v>
      </c>
      <c r="AI19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{"issue":{"subject":"","project_id":79,"tracker_id":40,"status_id":1,"priority_id":2,"assigned_to_id":23,"start_date":"2016-08-27","description":"","custom_fields":[{"id":1,"name":"Subdivision","value":"EC"},{"id":4,"name":"Milepost","value":"23.2808"},{"id":17,"name":"Train ID","value":"107-27"},{"id":16,"name":"Locomotive ID","value":"4025"},{"id":130,"name":"Impact","value":""},{"id":150,"name":"Time of Event (Mountain Time)","value":"05:11:29"},{"id":151,"name":"Denver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395</v>
      </c>
      <c r="B20" s="7">
        <v>4026</v>
      </c>
      <c r="C20" s="24" t="s">
        <v>113</v>
      </c>
      <c r="D20" s="24" t="s">
        <v>261</v>
      </c>
      <c r="E20" s="15">
        <v>42609.221331018518</v>
      </c>
      <c r="F20" s="15">
        <v>42609.226550925923</v>
      </c>
      <c r="G20" s="7">
        <v>1</v>
      </c>
      <c r="H20" s="15" t="s">
        <v>183</v>
      </c>
      <c r="I20" s="15">
        <v>42609.254837962966</v>
      </c>
      <c r="J20" s="7">
        <v>0</v>
      </c>
      <c r="K20" s="132" t="str">
        <f>IF(ISEVEN(B20),(B20-1)&amp;"/"&amp;B20,B20&amp;"/"&amp;(B20+1))</f>
        <v>4025/4026</v>
      </c>
      <c r="L20" s="24" t="str">
        <f>VLOOKUP(A20,'Trips&amp;Operators'!$C$1:$E$10000,3,FALSE)</f>
        <v>DAVIS</v>
      </c>
      <c r="M20" s="6">
        <f>I20-F20</f>
        <v>2.828703704290092E-2</v>
      </c>
      <c r="N20" s="7">
        <f>24*60*SUM($M20:$M20)</f>
        <v>40.733333341777325</v>
      </c>
      <c r="O20" s="7"/>
      <c r="P20" s="7"/>
      <c r="Q20" s="25"/>
      <c r="R20" s="25"/>
      <c r="S20" s="37">
        <f>SUM(U20:U20)/IF(AG20="EC",12,1)</f>
        <v>1</v>
      </c>
      <c r="T20" s="52" t="str">
        <f>IF(ISEVEN(LEFT(AD20,4)),"Southbound","NorthBound")</f>
        <v>Southbound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hh:mm:ss")&amp;"-0600',mode:absolute,to:'"&amp;TEXT(I20+1/24,"yyyy-MM-DD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https://search-rtdc-monitor-bjffxe2xuh6vdkpspy63sjmuny.us-east-1.es.amazonaws.com/_plugin/kibana/#/discover/Steve-Slow-Train-Analysis-(2080s-and-2083s)?_g=(refreshInterval:(display:Off,section:0,value:0),time:(from:'2016-08-27 04:18:43-0600',mode:absolute,to:'2016-08-27 07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0" s="54" t="str">
        <f>IF(AA20&lt;IF(AG20="EC",23,5.65),"Y","N")</f>
        <v>N</v>
      </c>
      <c r="X20" s="120">
        <f>VALUE(LEFT(AD20,4))-VALUE(LEFT(AD19,4))</f>
        <v>1</v>
      </c>
      <c r="Y20" s="69">
        <f>RIGHT(D20,LEN(D20)-4)/10000</f>
        <v>23.297699999999999</v>
      </c>
      <c r="Z20" s="69">
        <f>RIGHT(H20,LEN(H20)-4)/10000</f>
        <v>1.4500000000000001E-2</v>
      </c>
      <c r="AA20" s="69">
        <f>ABS(Z20-Y20)</f>
        <v>23.283199999999997</v>
      </c>
      <c r="AB20" s="66" t="e">
        <f>VLOOKUP(A20,Enforcements!$C$7:$J$21,8,0)</f>
        <v>#N/A</v>
      </c>
      <c r="AC20" s="62" t="e">
        <f>VLOOKUP(A20,Enforcements!$C$7:$E$21,3,0)</f>
        <v>#N/A</v>
      </c>
      <c r="AD20" s="63" t="str">
        <f>IF(LEN(A20)=6,"0"&amp;A20,A20)</f>
        <v>0108-27</v>
      </c>
      <c r="AE20" s="99" t="str">
        <f>"aws s3 cp "&amp;s3_bucket&amp;"/RTDC"&amp;B20&amp;"/"&amp;TEXT(F20,"YYYY-MM-DD")&amp;"/ "&amp;search_path&amp;"\RTDC"&amp;B20&amp;"\"&amp;TEXT(F20,"YYYY-MM-DD")&amp;" --recursive &amp; """&amp;walkandungz&amp;""" "&amp;search_path&amp;"\RTDC"&amp;B20&amp;"\"&amp;TEXT(F20,"YYYY-MM-DD")
&amp;" &amp; "&amp;"aws s3 cp "&amp;s3_bucket&amp;"/RTDC"&amp;B20&amp;"/"&amp;TEXT(F20+1,"YYYY-MM-DD")&amp;"/ "&amp;search_path&amp;"\RTDC"&amp;B20&amp;"\"&amp;TEXT(F20+1,"YYYY-MM-DD")&amp;" --recursive &amp; """&amp;walkandungz&amp;""" "&amp;search_path&amp;"\RTDC"&amp;B20&amp;"\"&amp;TEXT(F20+1,"YYYY-MM-DD")</f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20" s="96" t="str">
        <f>astrogrep_path&amp;" /spath="&amp;search_path&amp;" /stypes=""*"&amp;B20&amp;"*"&amp;TEXT(I20-utc_offset/24,"YYYYMMDD")&amp;"*"" /stext="" "&amp;TEXT(I20-utc_offset/24,"HH")&amp;search_regexp&amp;""" /e /r /s"</f>
        <v>"C:\Program Files (x86)\AstroGrep\AstroGrep.exe" /spath="%USERPROFILE%\AppData\Local\Temp\OnboardLogs" /stypes="*4026*20160827*" /stext=" 12:.+((SYSTEM_STATE.+slice.+state.+changed )|(ment ac)|(system.+state.+changed )|(\|lc)|(penalty)|(\[timeout)|(PRM\|1\|D)|(kpr)|(kdp))" /e /r /s</v>
      </c>
      <c r="AG20" s="1" t="str">
        <f>IFERROR(IF(VALUE(LEFT(AD20,2))&lt;=2,"EC",IF(OR(VALUE(LEFT(AD20,2))=8,VALUE(LEFT(AD20,2))=18),"NW","Other")),"Other")</f>
        <v>EC</v>
      </c>
      <c r="AH20" s="100" t="str">
        <f t="shared" si="0"/>
        <v>"%USERPROFILE%\Documents\GitHub\eaglep3\Utilities\RefineRTDCRunTimes.py" --tripid 108-27 --locoid 4026 --swversion DE.1.0.7.0 --startMP 204:232977 --initTime 2016-08-27T05:18:43 --startdatetime 2016-08-27T05:26:14 --delay 1 --endMP 204:145 --enddatetime 2016-08-27T06:06:58 --enforcementcount 0 &gt;&gt;C:\Users\stu\Documents\GitHub\eaglep3-reporting\EC\2016-08-27-refined-times.txt</v>
      </c>
      <c r="AI20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{"issue":{"subject":"","project_id":79,"tracker_id":40,"status_id":1,"priority_id":2,"assigned_to_id":23,"start_date":"2016-08-27","description":"","custom_fields":[{"id":1,"name":"Subdivision","value":"EC"},{"id":4,"name":"Milepost","value":"23.2832"},{"id":17,"name":"Train ID","value":"108-27"},{"id":16,"name":"Locomotive ID","value":"4026"},{"id":130,"name":"Impact","value":""},{"id":150,"name":"Time of Event (Mountain Time)","value":"06:06:58"},{"id":151,"name":"Denver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396</v>
      </c>
      <c r="B21" s="7">
        <v>4009</v>
      </c>
      <c r="C21" s="24" t="s">
        <v>113</v>
      </c>
      <c r="D21" s="24" t="s">
        <v>340</v>
      </c>
      <c r="E21" s="15">
        <v>42609.194432870368</v>
      </c>
      <c r="F21" s="15">
        <v>42609.19866898148</v>
      </c>
      <c r="G21" s="7">
        <v>1</v>
      </c>
      <c r="H21" s="15" t="s">
        <v>200</v>
      </c>
      <c r="I21" s="15">
        <v>42609.226875</v>
      </c>
      <c r="J21" s="7">
        <v>0</v>
      </c>
      <c r="K21" s="132" t="str">
        <f>IF(ISEVEN(B21),(B21-1)&amp;"/"&amp;B21,B21&amp;"/"&amp;(B21+1))</f>
        <v>4009/4010</v>
      </c>
      <c r="L21" s="24" t="str">
        <f>VLOOKUP(A21,'Trips&amp;Operators'!$C$1:$E$10000,3,FALSE)</f>
        <v>KILLION</v>
      </c>
      <c r="M21" s="6">
        <f>I21-F21</f>
        <v>2.8206018519995268E-2</v>
      </c>
      <c r="N21" s="7">
        <f>24*60*SUM($M21:$M21)</f>
        <v>40.616666668793187</v>
      </c>
      <c r="O21" s="7"/>
      <c r="P21" s="7"/>
      <c r="Q21" s="25"/>
      <c r="R21" s="25"/>
      <c r="S21" s="37">
        <f>SUM(U21:U21)/IF(AG21="EC",12,1)</f>
        <v>1</v>
      </c>
      <c r="T21" s="52" t="str">
        <f>IF(ISEVEN(LEFT(AD21,4)),"Southbound","NorthBound")</f>
        <v>NorthBound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hh:mm:ss")&amp;"-0600',mode:absolute,to:'"&amp;TEXT(I21+1/24,"yyyy-MM-DD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https://search-rtdc-monitor-bjffxe2xuh6vdkpspy63sjmuny.us-east-1.es.amazonaws.com/_plugin/kibana/#/discover/Steve-Slow-Train-Analysis-(2080s-and-2083s)?_g=(refreshInterval:(display:Off,section:0,value:0),time:(from:'2016-08-27 03:39:59-0600',mode:absolute,to:'2016-08-27 06:26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1" s="54" t="str">
        <f>IF(AA21&lt;IF(AG21="EC",23,5.65),"Y","N")</f>
        <v>N</v>
      </c>
      <c r="X21" s="120">
        <f>VALUE(LEFT(AD21,4))-VALUE(LEFT(AD20,4))</f>
        <v>1</v>
      </c>
      <c r="Y21" s="69">
        <f>RIGHT(D21,LEN(D21)-4)/10000</f>
        <v>4.7300000000000002E-2</v>
      </c>
      <c r="Z21" s="69">
        <f>RIGHT(H21,LEN(H21)-4)/10000</f>
        <v>23.331199999999999</v>
      </c>
      <c r="AA21" s="69">
        <f>ABS(Z21-Y21)</f>
        <v>23.283899999999999</v>
      </c>
      <c r="AB21" s="66" t="e">
        <f>VLOOKUP(A21,Enforcements!$C$7:$J$21,8,0)</f>
        <v>#N/A</v>
      </c>
      <c r="AC21" s="62" t="e">
        <f>VLOOKUP(A21,Enforcements!$C$7:$E$21,3,0)</f>
        <v>#N/A</v>
      </c>
      <c r="AD21" s="63" t="str">
        <f>IF(LEN(A21)=6,"0"&amp;A21,A21)</f>
        <v>0109-27</v>
      </c>
      <c r="AE21" s="99" t="str">
        <f>"aws s3 cp "&amp;s3_bucket&amp;"/RTDC"&amp;B21&amp;"/"&amp;TEXT(F21,"YYYY-MM-DD")&amp;"/ "&amp;search_path&amp;"\RTDC"&amp;B21&amp;"\"&amp;TEXT(F21,"YYYY-MM-DD")&amp;" --recursive &amp; """&amp;walkandungz&amp;""" "&amp;search_path&amp;"\RTDC"&amp;B21&amp;"\"&amp;TEXT(F21,"YYYY-MM-DD")
&amp;" &amp; "&amp;"aws s3 cp "&amp;s3_bucket&amp;"/RTDC"&amp;B21&amp;"/"&amp;TEXT(F21+1,"YYYY-MM-DD")&amp;"/ "&amp;search_path&amp;"\RTDC"&amp;B21&amp;"\"&amp;TEXT(F21+1,"YYYY-MM-DD")&amp;" --recursive &amp; """&amp;walkandungz&amp;""" "&amp;search_path&amp;"\RTDC"&amp;B21&amp;"\"&amp;TEXT(F21+1,"YYYY-MM-DD")</f>
        <v>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 &amp; 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</v>
      </c>
      <c r="AF21" s="96" t="str">
        <f>astrogrep_path&amp;" /spath="&amp;search_path&amp;" /stypes=""*"&amp;B21&amp;"*"&amp;TEXT(I21-utc_offset/24,"YYYYMMDD")&amp;"*"" /stext="" "&amp;TEXT(I21-utc_offset/24,"HH")&amp;search_regexp&amp;""" /e /r /s"</f>
        <v>"C:\Program Files (x86)\AstroGrep\AstroGrep.exe" /spath="%USERPROFILE%\AppData\Local\Temp\OnboardLogs" /stypes="*4009*20160827*" /stext=" 11:.+((SYSTEM_STATE.+slice.+state.+changed )|(ment ac)|(system.+state.+changed )|(\|lc)|(penalty)|(\[timeout)|(PRM\|1\|D)|(kpr)|(kdp))" /e /r /s</v>
      </c>
      <c r="AG21" s="1" t="str">
        <f>IFERROR(IF(VALUE(LEFT(AD21,2))&lt;=2,"EC",IF(OR(VALUE(LEFT(AD21,2))=8,VALUE(LEFT(AD21,2))=18),"NW","Other")),"Other")</f>
        <v>EC</v>
      </c>
      <c r="AH21" s="100" t="str">
        <f t="shared" si="0"/>
        <v>"%USERPROFILE%\Documents\GitHub\eaglep3\Utilities\RefineRTDCRunTimes.py" --tripid 109-27 --locoid 4009 --swversion DE.1.0.7.0 --startMP 204:473 --initTime 2016-08-27T04:39:59 --startdatetime 2016-08-27T04:46:05 --delay 1 --endMP 204:233312 --enddatetime 2016-08-27T05:26:42 --enforcementcount 0 &gt;&gt;C:\Users\stu\Documents\GitHub\eaglep3-reporting\EC\2016-08-27-refined-times.txt</v>
      </c>
      <c r="AI21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{"issue":{"subject":"","project_id":79,"tracker_id":40,"status_id":1,"priority_id":2,"assigned_to_id":23,"start_date":"2016-08-27","description":"","custom_fields":[{"id":1,"name":"Subdivision","value":"EC"},{"id":4,"name":"Milepost","value":"23.2839"},{"id":17,"name":"Train ID","value":"109-27"},{"id":16,"name":"Locomotive ID","value":"4009"},{"id":130,"name":"Impact","value":""},{"id":150,"name":"Time of Event (Mountain Time)","value":"05:26:42"},{"id":151,"name":"Denver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397</v>
      </c>
      <c r="B22" s="7">
        <v>4010</v>
      </c>
      <c r="C22" s="24" t="s">
        <v>113</v>
      </c>
      <c r="D22" s="24" t="s">
        <v>353</v>
      </c>
      <c r="E22" s="15">
        <v>42609.232268518521</v>
      </c>
      <c r="F22" s="15">
        <v>42609.257407407407</v>
      </c>
      <c r="G22" s="7">
        <v>1</v>
      </c>
      <c r="H22" s="15" t="s">
        <v>398</v>
      </c>
      <c r="I22" s="15">
        <v>42609.267685185187</v>
      </c>
      <c r="J22" s="7">
        <v>0</v>
      </c>
      <c r="K22" s="132" t="str">
        <f>IF(ISEVEN(B22),(B22-1)&amp;"/"&amp;B22,B22&amp;"/"&amp;(B22+1))</f>
        <v>4009/4010</v>
      </c>
      <c r="L22" s="24" t="str">
        <f>VLOOKUP(A22,'Trips&amp;Operators'!$C$1:$E$10000,3,FALSE)</f>
        <v>KILLION</v>
      </c>
      <c r="M22" s="6">
        <f>I22-F22</f>
        <v>1.0277777779265307E-2</v>
      </c>
      <c r="N22" s="7"/>
      <c r="O22" s="7"/>
      <c r="P22" s="7">
        <f>24*60*SUM($M22:$M23)</f>
        <v>29.600000004284084</v>
      </c>
      <c r="Q22" s="25"/>
      <c r="R22" s="25" t="s">
        <v>699</v>
      </c>
      <c r="S22" s="37">
        <f>SUM(U22:U23)/IF(AG22="EC",12,1)</f>
        <v>0.91666666666666663</v>
      </c>
      <c r="T22" s="52" t="str">
        <f>IF(ISEVEN(LEFT(AD22,4)),"Southbound","NorthBound")</f>
        <v>Southbound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3</v>
      </c>
      <c r="V22" s="106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hh:mm:ss")&amp;"-0600',mode:absolute,to:'"&amp;TEXT(I22+1/24,"yyyy-MM-DD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https://search-rtdc-monitor-bjffxe2xuh6vdkpspy63sjmuny.us-east-1.es.amazonaws.com/_plugin/kibana/#/discover/Steve-Slow-Train-Analysis-(2080s-and-2083s)?_g=(refreshInterval:(display:Off,section:0,value:0),time:(from:'2016-08-27 04:34:28-0600',mode:absolute,to:'2016-08-27 07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2" s="54" t="str">
        <f>IF(AA22&lt;IF(AG22="EC",23,5.65),"Y","N")</f>
        <v>Y</v>
      </c>
      <c r="X22" s="120">
        <f>VALUE(LEFT(AD22,4))-VALUE(LEFT(AD21,4))</f>
        <v>1</v>
      </c>
      <c r="Y22" s="69">
        <f>RIGHT(D22,LEN(D22)-4)/10000</f>
        <v>23.2974</v>
      </c>
      <c r="Z22" s="69">
        <f>RIGHT(H22,LEN(H22)-4)/10000</f>
        <v>6.4124999999999996</v>
      </c>
      <c r="AA22" s="69">
        <f>ABS(Z22-Y22)</f>
        <v>16.884900000000002</v>
      </c>
      <c r="AB22" s="66" t="e">
        <f>VLOOKUP(A22,Enforcements!$C$7:$J$21,8,0)</f>
        <v>#N/A</v>
      </c>
      <c r="AC22" s="62" t="e">
        <f>VLOOKUP(A22,Enforcements!$C$7:$E$21,3,0)</f>
        <v>#N/A</v>
      </c>
      <c r="AD22" s="63" t="str">
        <f>IF(LEN(A22)=6,"0"&amp;A22,A22)</f>
        <v>0110-27</v>
      </c>
      <c r="AE22" s="99" t="str">
        <f>"aws s3 cp "&amp;s3_bucket&amp;"/RTDC"&amp;B22&amp;"/"&amp;TEXT(F22,"YYYY-MM-DD")&amp;"/ "&amp;search_path&amp;"\RTDC"&amp;B22&amp;"\"&amp;TEXT(F22,"YYYY-MM-DD")&amp;" --recursive &amp; """&amp;walkandungz&amp;""" "&amp;search_path&amp;"\RTDC"&amp;B22&amp;"\"&amp;TEXT(F22,"YYYY-MM-DD")
&amp;" &amp; "&amp;"aws s3 cp "&amp;s3_bucket&amp;"/RTDC"&amp;B22&amp;"/"&amp;TEXT(F22+1,"YYYY-MM-DD")&amp;"/ "&amp;search_path&amp;"\RTDC"&amp;B22&amp;"\"&amp;TEXT(F22+1,"YYYY-MM-DD")&amp;" --recursive &amp; """&amp;walkandungz&amp;""" "&amp;search_path&amp;"\RTDC"&amp;B22&amp;"\"&amp;TEXT(F22+1,"YYYY-MM-DD")</f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AF22" s="96" t="str">
        <f>astrogrep_path&amp;" /spath="&amp;search_path&amp;" /stypes=""*"&amp;B22&amp;"*"&amp;TEXT(I22-utc_offset/24,"YYYYMMDD")&amp;"*"" /stext="" "&amp;TEXT(I22-utc_offset/24,"HH")&amp;search_regexp&amp;""" /e /r /s"</f>
        <v>"C:\Program Files (x86)\AstroGrep\AstroGrep.exe" /spath="%USERPROFILE%\AppData\Local\Temp\OnboardLogs" /stypes="*4010*20160827*" /stext=" 12:.+((SYSTEM_STATE.+slice.+state.+changed )|(ment ac)|(system.+state.+changed )|(\|lc)|(penalty)|(\[timeout)|(PRM\|1\|D)|(kpr)|(kdp))" /e /r /s</v>
      </c>
      <c r="AG22" s="1" t="str">
        <f>IFERROR(IF(VALUE(LEFT(AD22,2))&lt;=2,"EC",IF(OR(VALUE(LEFT(AD22,2))=8,VALUE(LEFT(AD22,2))=18),"NW","Other")),"Other")</f>
        <v>EC</v>
      </c>
      <c r="AH22" s="100" t="str">
        <f t="shared" si="0"/>
        <v>"%USERPROFILE%\Documents\GitHub\eaglep3\Utilities\RefineRTDCRunTimes.py" --tripid 110-27 --locoid 4010 --swversion DE.1.0.7.0 --startMP 204:232974 --initTime 2016-08-27T05:34:28 --startdatetime 2016-08-27T06:10:40 --delay 1 --endMP 204:64125 --enddatetime 2016-08-27T06:25:28 --enforcementcount 0 &gt;&gt;C:\Users\stu\Documents\GitHub\eaglep3-reporting\EC\2016-08-27-refined-times.txt</v>
      </c>
      <c r="AI22" s="149" t="str">
        <f t="shared" si="1"/>
        <v>echo {"issue":{"subject":"Central Park XING failure","project_id":79,"tracker_id":40,"status_id":1,"priority_id":2,"assigned_to_id":23,"start_date":"2016-08-27","description":"","custom_fields":[{"id":1,"name":"Subdivision","value":"EC"},{"id":4,"name":"Milepost","value":"16.8849"},{"id":17,"name":"Train ID","value":"110-27"},{"id":16,"name":"Locomotive ID","value":"4010"},{"id":130,"name":"Impact","value":""},{"id":150,"name":"Time of Event (Mountain Time)","value":"06:25:28"},{"id":151,"name":"Denver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397</v>
      </c>
      <c r="B23" s="7">
        <v>4010</v>
      </c>
      <c r="C23" s="24" t="s">
        <v>113</v>
      </c>
      <c r="D23" s="24" t="s">
        <v>399</v>
      </c>
      <c r="E23" s="15">
        <v>42609.255601851852</v>
      </c>
      <c r="F23" s="15">
        <v>42609.257407407407</v>
      </c>
      <c r="G23" s="7">
        <v>2</v>
      </c>
      <c r="H23" s="15" t="s">
        <v>172</v>
      </c>
      <c r="I23" s="15">
        <v>42609.267685185187</v>
      </c>
      <c r="J23" s="7">
        <v>0</v>
      </c>
      <c r="K23" s="132" t="str">
        <f>IF(ISEVEN(B23),(B23-1)&amp;"/"&amp;B23,B23&amp;"/"&amp;(B23+1))</f>
        <v>4009/4010</v>
      </c>
      <c r="L23" s="24" t="str">
        <f>VLOOKUP(A23,'Trips&amp;Operators'!$C$1:$E$10000,3,FALSE)</f>
        <v>KILLION</v>
      </c>
      <c r="M23" s="6">
        <f>I23-F23</f>
        <v>1.0277777779265307E-2</v>
      </c>
      <c r="N23" s="7"/>
      <c r="O23" s="7"/>
      <c r="P23" s="7"/>
      <c r="Q23" s="25"/>
      <c r="R23" s="25"/>
      <c r="S23" s="37"/>
      <c r="T23" s="52" t="str">
        <f>IF(ISEVEN(LEFT(AD23,4)),"Southbound","NorthBound")</f>
        <v>Southbound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8</v>
      </c>
      <c r="V23" s="106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hh:mm:ss")&amp;"-0600',mode:absolute,to:'"&amp;TEXT(I23+1/24,"yyyy-MM-DD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https://search-rtdc-monitor-bjffxe2xuh6vdkpspy63sjmuny.us-east-1.es.amazonaws.com/_plugin/kibana/#/discover/Steve-Slow-Train-Analysis-(2080s-and-2083s)?_g=(refreshInterval:(display:Off,section:0,value:0),time:(from:'2016-08-27 05:08:04-0600',mode:absolute,to:'2016-08-27 07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3" s="54" t="str">
        <f>IF(AA23&lt;IF(AG23="EC",23,5.65),"Y","N")</f>
        <v>Y</v>
      </c>
      <c r="X23" s="120">
        <f>VALUE(LEFT(AD23,4))-VALUE(LEFT(AD22,4))</f>
        <v>0</v>
      </c>
      <c r="Y23" s="69">
        <f>RIGHT(D23,LEN(D23)-4)/10000</f>
        <v>6.2271999999999998</v>
      </c>
      <c r="Z23" s="69">
        <f>RIGHT(H23,LEN(H23)-4)/10000</f>
        <v>1.52E-2</v>
      </c>
      <c r="AA23" s="69">
        <f>ABS(Z23-Y23)</f>
        <v>6.2119999999999997</v>
      </c>
      <c r="AB23" s="66" t="e">
        <f>VLOOKUP(A23,Enforcements!$C$7:$J$21,8,0)</f>
        <v>#N/A</v>
      </c>
      <c r="AC23" s="62" t="e">
        <f>VLOOKUP(A23,Enforcements!$C$7:$E$21,3,0)</f>
        <v>#N/A</v>
      </c>
      <c r="AD23" s="63" t="str">
        <f>IF(LEN(A23)=6,"0"&amp;A23,A23)</f>
        <v>0110-27</v>
      </c>
      <c r="AE23" s="99" t="str">
        <f>"aws s3 cp "&amp;s3_bucket&amp;"/RTDC"&amp;B23&amp;"/"&amp;TEXT(F23,"YYYY-MM-DD")&amp;"/ "&amp;search_path&amp;"\RTDC"&amp;B23&amp;"\"&amp;TEXT(F23,"YYYY-MM-DD")&amp;" --recursive &amp; """&amp;walkandungz&amp;""" "&amp;search_path&amp;"\RTDC"&amp;B23&amp;"\"&amp;TEXT(F23,"YYYY-MM-DD")
&amp;" &amp; "&amp;"aws s3 cp "&amp;s3_bucket&amp;"/RTDC"&amp;B23&amp;"/"&amp;TEXT(F23+1,"YYYY-MM-DD")&amp;"/ "&amp;search_path&amp;"\RTDC"&amp;B23&amp;"\"&amp;TEXT(F23+1,"YYYY-MM-DD")&amp;" --recursive &amp; """&amp;walkandungz&amp;""" "&amp;search_path&amp;"\RTDC"&amp;B23&amp;"\"&amp;TEXT(F23+1,"YYYY-MM-DD")</f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AF23" s="96" t="str">
        <f>astrogrep_path&amp;" /spath="&amp;search_path&amp;" /stypes=""*"&amp;B23&amp;"*"&amp;TEXT(I23-utc_offset/24,"YYYYMMDD")&amp;"*"" /stext="" "&amp;TEXT(I23-utc_offset/24,"HH")&amp;search_regexp&amp;""" /e /r /s"</f>
        <v>"C:\Program Files (x86)\AstroGrep\AstroGrep.exe" /spath="%USERPROFILE%\AppData\Local\Temp\OnboardLogs" /stypes="*4010*20160827*" /stext=" 12:.+((SYSTEM_STATE.+slice.+state.+changed )|(ment ac)|(system.+state.+changed )|(\|lc)|(penalty)|(\[timeout)|(PRM\|1\|D)|(kpr)|(kdp))" /e /r /s</v>
      </c>
      <c r="AG23" s="1" t="str">
        <f>IFERROR(IF(VALUE(LEFT(AD23,2))&lt;=2,"EC",IF(OR(VALUE(LEFT(AD23,2))=8,VALUE(LEFT(AD23,2))=18),"NW","Other")),"Other")</f>
        <v>EC</v>
      </c>
      <c r="AH23" s="100" t="str">
        <f t="shared" si="0"/>
        <v>"%USERPROFILE%\Documents\GitHub\eaglep3\Utilities\RefineRTDCRunTimes.py" --tripid 110-27 --locoid 4010 --swversion DE.1.0.7.0 --startMP 204:62272 --initTime 2016-08-27T06:08:04 --startdatetime 2016-08-27T06:10:40 --delay 2 --endMP 204:152 --enddatetime 2016-08-27T06:25:28 --enforcementcount 0 &gt;&gt;C:\Users\stu\Documents\GitHub\eaglep3-reporting\EC\2016-08-27-refined-times.txt</v>
      </c>
      <c r="AI23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{"issue":{"subject":"","project_id":79,"tracker_id":40,"status_id":1,"priority_id":2,"assigned_to_id":23,"start_date":"2016-08-27","description":"","custom_fields":[{"id":1,"name":"Subdivision","value":"EC"},{"id":4,"name":"Milepost","value":"6.212"},{"id":17,"name":"Train ID","value":"110-27"},{"id":16,"name":"Locomotive ID","value":"4010"},{"id":130,"name":"Impact","value":""},{"id":150,"name":"Time of Event (Mountain Time)","value":"06:25:28"},{"id":151,"name":"Denver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400</v>
      </c>
      <c r="B24" s="7">
        <v>4020</v>
      </c>
      <c r="C24" s="24" t="s">
        <v>113</v>
      </c>
      <c r="D24" s="24" t="s">
        <v>401</v>
      </c>
      <c r="E24" s="15">
        <v>42609.206342592595</v>
      </c>
      <c r="F24" s="15">
        <v>42609.208703703705</v>
      </c>
      <c r="G24" s="7">
        <v>1</v>
      </c>
      <c r="H24" s="15" t="s">
        <v>343</v>
      </c>
      <c r="I24" s="15">
        <v>42609.234201388892</v>
      </c>
      <c r="J24" s="7">
        <v>0</v>
      </c>
      <c r="K24" s="132" t="str">
        <f>IF(ISEVEN(B24),(B24-1)&amp;"/"&amp;B24,B24&amp;"/"&amp;(B24+1))</f>
        <v>4019/4020</v>
      </c>
      <c r="L24" s="24" t="str">
        <f>VLOOKUP(A24,'Trips&amp;Operators'!$C$1:$E$10000,3,FALSE)</f>
        <v>MAHAN</v>
      </c>
      <c r="M24" s="6">
        <f>I24-F24</f>
        <v>2.5497685186564922E-2</v>
      </c>
      <c r="N24" s="7">
        <f>24*60*SUM($M24:$M24)</f>
        <v>36.716666668653488</v>
      </c>
      <c r="O24" s="7"/>
      <c r="P24" s="7"/>
      <c r="Q24" s="25"/>
      <c r="R24" s="25"/>
      <c r="S24" s="37">
        <f>SUM(U24:U24)/IF(AG24="EC",12,1)</f>
        <v>1</v>
      </c>
      <c r="T24" s="52" t="str">
        <f>IF(ISEVEN(LEFT(AD24,4)),"Southbound","NorthBound")</f>
        <v>NorthBound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hh:mm:ss")&amp;"-0600',mode:absolute,to:'"&amp;TEXT(I24+1/24,"yyyy-MM-DD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https://search-rtdc-monitor-bjffxe2xuh6vdkpspy63sjmuny.us-east-1.es.amazonaws.com/_plugin/kibana/#/discover/Steve-Slow-Train-Analysis-(2080s-and-2083s)?_g=(refreshInterval:(display:Off,section:0,value:0),time:(from:'2016-08-27 03:57:08-0600',mode:absolute,to:'2016-08-27 06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4" s="54" t="str">
        <f>IF(AA24&lt;IF(AG24="EC",23,5.65),"Y","N")</f>
        <v>N</v>
      </c>
      <c r="X24" s="120">
        <f>VALUE(LEFT(AD24,4))-VALUE(LEFT(AD23,4))</f>
        <v>1</v>
      </c>
      <c r="Y24" s="69">
        <f>RIGHT(D24,LEN(D24)-4)/10000</f>
        <v>7.2800000000000004E-2</v>
      </c>
      <c r="Z24" s="69">
        <f>RIGHT(H24,LEN(H24)-4)/10000</f>
        <v>23.329499999999999</v>
      </c>
      <c r="AA24" s="69">
        <f>ABS(Z24-Y24)</f>
        <v>23.256699999999999</v>
      </c>
      <c r="AB24" s="66" t="e">
        <f>VLOOKUP(A24,Enforcements!$C$7:$J$21,8,0)</f>
        <v>#N/A</v>
      </c>
      <c r="AC24" s="62" t="e">
        <f>VLOOKUP(A24,Enforcements!$C$7:$E$21,3,0)</f>
        <v>#N/A</v>
      </c>
      <c r="AD24" s="63" t="str">
        <f>IF(LEN(A24)=6,"0"&amp;A24,A24)</f>
        <v>0111-27</v>
      </c>
      <c r="AE24" s="99" t="str">
        <f>"aws s3 cp "&amp;s3_bucket&amp;"/RTDC"&amp;B24&amp;"/"&amp;TEXT(F24,"YYYY-MM-DD")&amp;"/ "&amp;search_path&amp;"\RTDC"&amp;B24&amp;"\"&amp;TEXT(F24,"YYYY-MM-DD")&amp;" --recursive &amp; """&amp;walkandungz&amp;""" "&amp;search_path&amp;"\RTDC"&amp;B24&amp;"\"&amp;TEXT(F24,"YYYY-MM-DD")
&amp;" &amp; "&amp;"aws s3 cp "&amp;s3_bucket&amp;"/RTDC"&amp;B24&amp;"/"&amp;TEXT(F24+1,"YYYY-MM-DD")&amp;"/ "&amp;search_path&amp;"\RTDC"&amp;B24&amp;"\"&amp;TEXT(F24+1,"YYYY-MM-DD")&amp;" --recursive &amp; """&amp;walkandungz&amp;""" "&amp;search_path&amp;"\RTDC"&amp;B24&amp;"\"&amp;TEXT(F24+1,"YYYY-MM-DD")</f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24" s="96" t="str">
        <f>astrogrep_path&amp;" /spath="&amp;search_path&amp;" /stypes=""*"&amp;B24&amp;"*"&amp;TEXT(I24-utc_offset/24,"YYYYMMDD")&amp;"*"" /stext="" "&amp;TEXT(I24-utc_offset/24,"HH")&amp;search_regexp&amp;""" /e /r /s"</f>
        <v>"C:\Program Files (x86)\AstroGrep\AstroGrep.exe" /spath="%USERPROFILE%\AppData\Local\Temp\OnboardLogs" /stypes="*4020*20160827*" /stext=" 11:.+((SYSTEM_STATE.+slice.+state.+changed )|(ment ac)|(system.+state.+changed )|(\|lc)|(penalty)|(\[timeout)|(PRM\|1\|D)|(kpr)|(kdp))" /e /r /s</v>
      </c>
      <c r="AG24" s="1" t="str">
        <f>IFERROR(IF(VALUE(LEFT(AD24,2))&lt;=2,"EC",IF(OR(VALUE(LEFT(AD24,2))=8,VALUE(LEFT(AD24,2))=18),"NW","Other")),"Other")</f>
        <v>EC</v>
      </c>
      <c r="AH24" s="100" t="str">
        <f t="shared" si="0"/>
        <v>"%USERPROFILE%\Documents\GitHub\eaglep3\Utilities\RefineRTDCRunTimes.py" --tripid 111-27 --locoid 4020 --swversion DE.1.0.7.0 --startMP 204:728 --initTime 2016-08-27T04:57:08 --startdatetime 2016-08-27T05:00:32 --delay 1 --endMP 204:233295 --enddatetime 2016-08-27T05:37:15 --enforcementcount 0 &gt;&gt;C:\Users\stu\Documents\GitHub\eaglep3-reporting\EC\2016-08-27-refined-times.txt</v>
      </c>
      <c r="AI24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{"issue":{"subject":"","project_id":79,"tracker_id":40,"status_id":1,"priority_id":2,"assigned_to_id":23,"start_date":"2016-08-27","description":"","custom_fields":[{"id":1,"name":"Subdivision","value":"EC"},{"id":4,"name":"Milepost","value":"23.2567"},{"id":17,"name":"Train ID","value":"111-27"},{"id":16,"name":"Locomotive ID","value":"4020"},{"id":130,"name":"Impact","value":""},{"id":150,"name":"Time of Event (Mountain Time)","value":"05:37:15"},{"id":151,"name":"Denver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402</v>
      </c>
      <c r="B25" s="7">
        <v>4019</v>
      </c>
      <c r="C25" s="24" t="s">
        <v>113</v>
      </c>
      <c r="D25" s="24" t="s">
        <v>334</v>
      </c>
      <c r="E25" s="15">
        <v>42609.238796296297</v>
      </c>
      <c r="F25" s="15">
        <v>42609.28429398148</v>
      </c>
      <c r="G25" s="7">
        <v>2</v>
      </c>
      <c r="H25" s="15" t="s">
        <v>403</v>
      </c>
      <c r="I25" s="15">
        <v>42609.284432870372</v>
      </c>
      <c r="J25" s="7">
        <v>0</v>
      </c>
      <c r="K25" s="132" t="str">
        <f>IF(ISEVEN(B25),(B25-1)&amp;"/"&amp;B25,B25&amp;"/"&amp;(B25+1))</f>
        <v>4019/4020</v>
      </c>
      <c r="L25" s="24" t="str">
        <f>VLOOKUP(A25,'Trips&amp;Operators'!$C$1:$E$10000,3,FALSE)</f>
        <v>MAHAN</v>
      </c>
      <c r="M25" s="6">
        <f>I25-F25</f>
        <v>1.3888889225199819E-4</v>
      </c>
      <c r="N25" s="7"/>
      <c r="O25" s="7"/>
      <c r="P25" s="7">
        <f>24*60*SUM($M25:$M26)</f>
        <v>0.40000000968575478</v>
      </c>
      <c r="Q25" s="25"/>
      <c r="R25" s="25" t="s">
        <v>699</v>
      </c>
      <c r="S25" s="37">
        <f>SUM(U25:U26)/IF(AG25="EC",12,1)</f>
        <v>0.25</v>
      </c>
      <c r="T25" s="52" t="str">
        <f>IF(ISEVEN(LEFT(AD25,4)),"Southbound","NorthBound")</f>
        <v>Southbound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3</v>
      </c>
      <c r="V25" s="106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hh:mm:ss")&amp;"-0600',mode:absolute,to:'"&amp;TEXT(I25+1/24,"yyyy-MM-DD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https://search-rtdc-monitor-bjffxe2xuh6vdkpspy63sjmuny.us-east-1.es.amazonaws.com/_plugin/kibana/#/discover/Steve-Slow-Train-Analysis-(2080s-and-2083s)?_g=(refreshInterval:(display:Off,section:0,value:0),time:(from:'2016-08-27 04:43:52-0600',mode:absolute,to:'2016-08-27 07:49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5" s="54" t="str">
        <f>IF(AA25&lt;IF(AG25="EC",23,5.65),"Y","N")</f>
        <v>Y</v>
      </c>
      <c r="X25" s="120">
        <f>VALUE(LEFT(AD25,4))-VALUE(LEFT(AD24,4))</f>
        <v>1</v>
      </c>
      <c r="Y25" s="69">
        <f>RIGHT(D25,LEN(D25)-4)/10000</f>
        <v>23.298400000000001</v>
      </c>
      <c r="Z25" s="69">
        <f>RIGHT(H25,LEN(H25)-4)/10000</f>
        <v>7.0168999999999997</v>
      </c>
      <c r="AA25" s="69">
        <f>ABS(Z25-Y25)</f>
        <v>16.281500000000001</v>
      </c>
      <c r="AB25" s="66" t="e">
        <f>VLOOKUP(A25,Enforcements!$C$7:$J$21,8,0)</f>
        <v>#N/A</v>
      </c>
      <c r="AC25" s="62" t="e">
        <f>VLOOKUP(A25,Enforcements!$C$7:$E$21,3,0)</f>
        <v>#N/A</v>
      </c>
      <c r="AD25" s="63" t="str">
        <f>IF(LEN(A25)=6,"0"&amp;A25,A25)</f>
        <v>0112-27</v>
      </c>
      <c r="AE25" s="99" t="str">
        <f>"aws s3 cp "&amp;s3_bucket&amp;"/RTDC"&amp;B25&amp;"/"&amp;TEXT(F25,"YYYY-MM-DD")&amp;"/ "&amp;search_path&amp;"\RTDC"&amp;B25&amp;"\"&amp;TEXT(F25,"YYYY-MM-DD")&amp;" --recursive &amp; """&amp;walkandungz&amp;""" "&amp;search_path&amp;"\RTDC"&amp;B25&amp;"\"&amp;TEXT(F25,"YYYY-MM-DD")
&amp;" &amp; "&amp;"aws s3 cp "&amp;s3_bucket&amp;"/RTDC"&amp;B25&amp;"/"&amp;TEXT(F25+1,"YYYY-MM-DD")&amp;"/ "&amp;search_path&amp;"\RTDC"&amp;B25&amp;"\"&amp;TEXT(F25+1,"YYYY-MM-DD")&amp;" --recursive &amp; """&amp;walkandungz&amp;""" "&amp;search_path&amp;"\RTDC"&amp;B25&amp;"\"&amp;TEXT(F25+1,"YYYY-MM-DD")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25" s="96" t="str">
        <f>astrogrep_path&amp;" /spath="&amp;search_path&amp;" /stypes=""*"&amp;B25&amp;"*"&amp;TEXT(I25-utc_offset/24,"YYYYMMDD")&amp;"*"" /stext="" "&amp;TEXT(I25-utc_offset/24,"HH")&amp;search_regexp&amp;""" /e /r /s"</f>
        <v>"C:\Program Files (x86)\AstroGrep\AstroGrep.exe" /spath="%USERPROFILE%\AppData\Local\Temp\OnboardLogs" /stypes="*4019*20160827*" /stext=" 12:.+((SYSTEM_STATE.+slice.+state.+changed )|(ment ac)|(system.+state.+changed )|(\|lc)|(penalty)|(\[timeout)|(PRM\|1\|D)|(kpr)|(kdp))" /e /r /s</v>
      </c>
      <c r="AG25" s="1" t="str">
        <f>IFERROR(IF(VALUE(LEFT(AD25,2))&lt;=2,"EC",IF(OR(VALUE(LEFT(AD25,2))=8,VALUE(LEFT(AD25,2))=18),"NW","Other")),"Other")</f>
        <v>EC</v>
      </c>
      <c r="AH25" s="100" t="str">
        <f t="shared" si="0"/>
        <v>"%USERPROFILE%\Documents\GitHub\eaglep3\Utilities\RefineRTDCRunTimes.py" --tripid 112-27 --locoid 4019 --swversion DE.1.0.7.0 --startMP 204:232984 --initTime 2016-08-27T05:43:52 --startdatetime 2016-08-27T06:49:23 --delay 2 --endMP 204:70169 --enddatetime 2016-08-27T06:49:35 --enforcementcount 0 &gt;&gt;C:\Users\stu\Documents\GitHub\eaglep3-reporting\EC\2016-08-27-refined-times.txt</v>
      </c>
      <c r="AI25" s="149" t="str">
        <f t="shared" si="1"/>
        <v>echo {"issue":{"subject":"Central Park XING failure","project_id":79,"tracker_id":40,"status_id":1,"priority_id":2,"assigned_to_id":23,"start_date":"2016-08-27","description":"","custom_fields":[{"id":1,"name":"Subdivision","value":"EC"},{"id":4,"name":"Milepost","value":"16.2815"},{"id":17,"name":"Train ID","value":"112-27"},{"id":16,"name":"Locomotive ID","value":"4019"},{"id":130,"name":"Impact","value":""},{"id":150,"name":"Time of Event (Mountain Time)","value":"06:49:35"},{"id":151,"name":"Denver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402</v>
      </c>
      <c r="B26" s="7">
        <v>4019</v>
      </c>
      <c r="C26" s="24" t="s">
        <v>113</v>
      </c>
      <c r="D26" s="24" t="s">
        <v>404</v>
      </c>
      <c r="E26" s="15">
        <v>42609.26635416667</v>
      </c>
      <c r="F26" s="15">
        <v>42609.28429398148</v>
      </c>
      <c r="G26" s="7">
        <v>0</v>
      </c>
      <c r="H26" s="15" t="s">
        <v>405</v>
      </c>
      <c r="I26" s="15">
        <v>42609.284432870372</v>
      </c>
      <c r="J26" s="7">
        <v>0</v>
      </c>
      <c r="K26" s="132" t="str">
        <f>IF(ISEVEN(B26),(B26-1)&amp;"/"&amp;B26,B26&amp;"/"&amp;(B26+1))</f>
        <v>4019/4020</v>
      </c>
      <c r="L26" s="24" t="str">
        <f>VLOOKUP(A26,'Trips&amp;Operators'!$C$1:$E$10000,3,FALSE)</f>
        <v>MAHAN</v>
      </c>
      <c r="M26" s="6">
        <f>I26-F26</f>
        <v>1.3888889225199819E-4</v>
      </c>
      <c r="N26" s="7"/>
      <c r="O26" s="7"/>
      <c r="P26" s="7"/>
      <c r="Q26" s="25"/>
      <c r="R26" s="25"/>
      <c r="S26" s="37"/>
      <c r="T26" s="52" t="str">
        <f>IF(ISEVEN(LEFT(AD26,4)),"Southbound","NorthBound")</f>
        <v>Southbound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106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hh:mm:ss")&amp;"-0600',mode:absolute,to:'"&amp;TEXT(I26+1/24,"yyyy-MM-DD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https://search-rtdc-monitor-bjffxe2xuh6vdkpspy63sjmuny.us-east-1.es.amazonaws.com/_plugin/kibana/#/discover/Steve-Slow-Train-Analysis-(2080s-and-2083s)?_g=(refreshInterval:(display:Off,section:0,value:0),time:(from:'2016-08-27 05:23:33-0600',mode:absolute,to:'2016-08-27 07:49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6" s="54" t="str">
        <f>IF(AA26&lt;IF(AG26="EC",23,5.65),"Y","N")</f>
        <v>Y</v>
      </c>
      <c r="X26" s="120">
        <f>VALUE(LEFT(AD26,4))-VALUE(LEFT(AD25,4))</f>
        <v>0</v>
      </c>
      <c r="Y26" s="69">
        <f>RIGHT(D26,LEN(D26)-4)/10000</f>
        <v>6.4149000000000003</v>
      </c>
      <c r="Z26" s="69">
        <f>RIGHT(H26,LEN(H26)-4)/10000</f>
        <v>6.4043000000000001</v>
      </c>
      <c r="AA26" s="69">
        <f>ABS(Z26-Y26)</f>
        <v>1.0600000000000165E-2</v>
      </c>
      <c r="AB26" s="66" t="e">
        <f>VLOOKUP(A26,Enforcements!$C$7:$J$21,8,0)</f>
        <v>#N/A</v>
      </c>
      <c r="AC26" s="62" t="e">
        <f>VLOOKUP(A26,Enforcements!$C$7:$E$21,3,0)</f>
        <v>#N/A</v>
      </c>
      <c r="AD26" s="63" t="str">
        <f>IF(LEN(A26)=6,"0"&amp;A26,A26)</f>
        <v>0112-27</v>
      </c>
      <c r="AE26" s="99" t="str">
        <f>"aws s3 cp "&amp;s3_bucket&amp;"/RTDC"&amp;B26&amp;"/"&amp;TEXT(F26,"YYYY-MM-DD")&amp;"/ "&amp;search_path&amp;"\RTDC"&amp;B26&amp;"\"&amp;TEXT(F26,"YYYY-MM-DD")&amp;" --recursive &amp; """&amp;walkandungz&amp;""" "&amp;search_path&amp;"\RTDC"&amp;B26&amp;"\"&amp;TEXT(F26,"YYYY-MM-DD")
&amp;" &amp; "&amp;"aws s3 cp "&amp;s3_bucket&amp;"/RTDC"&amp;B26&amp;"/"&amp;TEXT(F26+1,"YYYY-MM-DD")&amp;"/ "&amp;search_path&amp;"\RTDC"&amp;B26&amp;"\"&amp;TEXT(F26+1,"YYYY-MM-DD")&amp;" --recursive &amp; """&amp;walkandungz&amp;""" "&amp;search_path&amp;"\RTDC"&amp;B26&amp;"\"&amp;TEXT(F26+1,"YYYY-MM-DD")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26" s="96" t="str">
        <f>astrogrep_path&amp;" /spath="&amp;search_path&amp;" /stypes=""*"&amp;B26&amp;"*"&amp;TEXT(I26-utc_offset/24,"YYYYMMDD")&amp;"*"" /stext="" "&amp;TEXT(I26-utc_offset/24,"HH")&amp;search_regexp&amp;""" /e /r /s"</f>
        <v>"C:\Program Files (x86)\AstroGrep\AstroGrep.exe" /spath="%USERPROFILE%\AppData\Local\Temp\OnboardLogs" /stypes="*4019*20160827*" /stext=" 12:.+((SYSTEM_STATE.+slice.+state.+changed )|(ment ac)|(system.+state.+changed )|(\|lc)|(penalty)|(\[timeout)|(PRM\|1\|D)|(kpr)|(kdp))" /e /r /s</v>
      </c>
      <c r="AG26" s="1" t="str">
        <f>IFERROR(IF(VALUE(LEFT(AD26,2))&lt;=2,"EC",IF(OR(VALUE(LEFT(AD26,2))=8,VALUE(LEFT(AD26,2))=18),"NW","Other")),"Other")</f>
        <v>EC</v>
      </c>
      <c r="AH26" s="100" t="str">
        <f t="shared" si="0"/>
        <v>"%USERPROFILE%\Documents\GitHub\eaglep3\Utilities\RefineRTDCRunTimes.py" --tripid 112-27 --locoid 4019 --swversion DE.1.0.7.0 --startMP 204:64149 --initTime 2016-08-27T06:23:33 --startdatetime 2016-08-27T06:49:23 --delay 0 --endMP 204:64043 --enddatetime 2016-08-27T06:49:35 --enforcementcount 0 &gt;&gt;C:\Users\stu\Documents\GitHub\eaglep3-reporting\EC\2016-08-27-refined-times.txt</v>
      </c>
      <c r="AI26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0.0106000000000002"},{"id":17,"name":"Train ID","value":"112-27"},{"id":16,"name":"Locomotive ID","value":"4019"},{"id":130,"name":"Impact","value":""},{"id":150,"name":"Time of Event (Mountain Time)","value":"06:49:35"},{"id":151,"name":"Denver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406</v>
      </c>
      <c r="B27" s="7">
        <v>4031</v>
      </c>
      <c r="C27" s="24" t="s">
        <v>113</v>
      </c>
      <c r="D27" s="24" t="s">
        <v>407</v>
      </c>
      <c r="E27" s="15">
        <v>42609.211608796293</v>
      </c>
      <c r="F27" s="15">
        <v>42609.2190625</v>
      </c>
      <c r="G27" s="7">
        <v>1</v>
      </c>
      <c r="H27" s="15" t="s">
        <v>408</v>
      </c>
      <c r="I27" s="15">
        <v>42609.244490740741</v>
      </c>
      <c r="J27" s="7">
        <v>0</v>
      </c>
      <c r="K27" s="132" t="str">
        <f>IF(ISEVEN(B27),(B27-1)&amp;"/"&amp;B27,B27&amp;"/"&amp;(B27+1))</f>
        <v>4031/4032</v>
      </c>
      <c r="L27" s="24" t="str">
        <f>VLOOKUP(A27,'Trips&amp;Operators'!$C$1:$E$10000,3,FALSE)</f>
        <v>MAELZER</v>
      </c>
      <c r="M27" s="6">
        <f>I27-F27</f>
        <v>2.5428240740438923E-2</v>
      </c>
      <c r="N27" s="7">
        <f>24*60*SUM($M27:$M27)</f>
        <v>36.616666666232049</v>
      </c>
      <c r="O27" s="7"/>
      <c r="P27" s="7"/>
      <c r="Q27" s="25"/>
      <c r="R27" s="25"/>
      <c r="S27" s="37">
        <f>SUM(U27:U27)/IF(AG27="EC",12,1)</f>
        <v>1</v>
      </c>
      <c r="T27" s="52" t="str">
        <f>IF(ISEVEN(LEFT(AD27,4)),"Southbound","NorthBound")</f>
        <v>NorthBound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hh:mm:ss")&amp;"-0600',mode:absolute,to:'"&amp;TEXT(I27+1/24,"yyyy-MM-DD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https://search-rtdc-monitor-bjffxe2xuh6vdkpspy63sjmuny.us-east-1.es.amazonaws.com/_plugin/kibana/#/discover/Steve-Slow-Train-Analysis-(2080s-and-2083s)?_g=(refreshInterval:(display:Off,section:0,value:0),time:(from:'2016-08-27 04:04:43-0600',mode:absolute,to:'2016-08-27 06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7" s="54" t="str">
        <f>IF(AA27&lt;IF(AG27="EC",23,5.65),"Y","N")</f>
        <v>N</v>
      </c>
      <c r="X27" s="120">
        <f>VALUE(LEFT(AD27,4))-VALUE(LEFT(AD26,4))</f>
        <v>1</v>
      </c>
      <c r="Y27" s="69">
        <f>RIGHT(D27,LEN(D27)-4)/10000</f>
        <v>4.3700000000000003E-2</v>
      </c>
      <c r="Z27" s="69">
        <f>RIGHT(H27,LEN(H27)-4)/10000</f>
        <v>23.332899999999999</v>
      </c>
      <c r="AA27" s="69">
        <f>ABS(Z27-Y27)</f>
        <v>23.289199999999997</v>
      </c>
      <c r="AB27" s="66" t="e">
        <f>VLOOKUP(A27,Enforcements!$C$7:$J$21,8,0)</f>
        <v>#N/A</v>
      </c>
      <c r="AC27" s="62" t="e">
        <f>VLOOKUP(A27,Enforcements!$C$7:$E$21,3,0)</f>
        <v>#N/A</v>
      </c>
      <c r="AD27" s="63" t="str">
        <f>IF(LEN(A27)=6,"0"&amp;A27,A27)</f>
        <v>0113-27</v>
      </c>
      <c r="AE27" s="99" t="str">
        <f>"aws s3 cp "&amp;s3_bucket&amp;"/RTDC"&amp;B27&amp;"/"&amp;TEXT(F27,"YYYY-MM-DD")&amp;"/ "&amp;search_path&amp;"\RTDC"&amp;B27&amp;"\"&amp;TEXT(F27,"YYYY-MM-DD")&amp;" --recursive &amp; """&amp;walkandungz&amp;""" "&amp;search_path&amp;"\RTDC"&amp;B27&amp;"\"&amp;TEXT(F27,"YYYY-MM-DD")
&amp;" &amp; "&amp;"aws s3 cp "&amp;s3_bucket&amp;"/RTDC"&amp;B27&amp;"/"&amp;TEXT(F27+1,"YYYY-MM-DD")&amp;"/ "&amp;search_path&amp;"\RTDC"&amp;B27&amp;"\"&amp;TEXT(F27+1,"YYYY-MM-DD")&amp;" --recursive &amp; """&amp;walkandungz&amp;""" "&amp;search_path&amp;"\RTDC"&amp;B27&amp;"\"&amp;TEXT(F27+1,"YYYY-MM-DD")</f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27" s="96" t="str">
        <f>astrogrep_path&amp;" /spath="&amp;search_path&amp;" /stypes=""*"&amp;B27&amp;"*"&amp;TEXT(I27-utc_offset/24,"YYYYMMDD")&amp;"*"" /stext="" "&amp;TEXT(I27-utc_offset/24,"HH")&amp;search_regexp&amp;""" /e /r /s"</f>
        <v>"C:\Program Files (x86)\AstroGrep\AstroGrep.exe" /spath="%USERPROFILE%\AppData\Local\Temp\OnboardLogs" /stypes="*4031*20160827*" /stext=" 11:.+((SYSTEM_STATE.+slice.+state.+changed )|(ment ac)|(system.+state.+changed )|(\|lc)|(penalty)|(\[timeout)|(PRM\|1\|D)|(kpr)|(kdp))" /e /r /s</v>
      </c>
      <c r="AG27" s="1" t="str">
        <f>IFERROR(IF(VALUE(LEFT(AD27,2))&lt;=2,"EC",IF(OR(VALUE(LEFT(AD27,2))=8,VALUE(LEFT(AD27,2))=18),"NW","Other")),"Other")</f>
        <v>EC</v>
      </c>
      <c r="AH27" s="100" t="str">
        <f t="shared" si="0"/>
        <v>"%USERPROFILE%\Documents\GitHub\eaglep3\Utilities\RefineRTDCRunTimes.py" --tripid 113-27 --locoid 4031 --swversion DE.1.0.7.0 --startMP 204:437 --initTime 2016-08-27T05:04:43 --startdatetime 2016-08-27T05:15:27 --delay 1 --endMP 204:233329 --enddatetime 2016-08-27T05:52:04 --enforcementcount 0 &gt;&gt;C:\Users\stu\Documents\GitHub\eaglep3-reporting\EC\2016-08-27-refined-times.txt</v>
      </c>
      <c r="AI27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{"issue":{"subject":"","project_id":79,"tracker_id":40,"status_id":1,"priority_id":2,"assigned_to_id":23,"start_date":"2016-08-27","description":"","custom_fields":[{"id":1,"name":"Subdivision","value":"EC"},{"id":4,"name":"Milepost","value":"23.2892"},{"id":17,"name":"Train ID","value":"113-27"},{"id":16,"name":"Locomotive ID","value":"4031"},{"id":130,"name":"Impact","value":""},{"id":150,"name":"Time of Event (Mountain Time)","value":"05:52:04"},{"id":151,"name":"Denver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409</v>
      </c>
      <c r="B28" s="7">
        <v>4032</v>
      </c>
      <c r="C28" s="24" t="s">
        <v>113</v>
      </c>
      <c r="D28" s="24" t="s">
        <v>347</v>
      </c>
      <c r="E28" s="15">
        <v>42609.253437500003</v>
      </c>
      <c r="F28" s="15">
        <v>42609.257905092592</v>
      </c>
      <c r="G28" s="7">
        <v>1</v>
      </c>
      <c r="H28" s="15" t="s">
        <v>410</v>
      </c>
      <c r="I28" s="15">
        <v>42609.294861111113</v>
      </c>
      <c r="J28" s="7">
        <v>0</v>
      </c>
      <c r="K28" s="132" t="str">
        <f>IF(ISEVEN(B28),(B28-1)&amp;"/"&amp;B28,B28&amp;"/"&amp;(B28+1))</f>
        <v>4031/4032</v>
      </c>
      <c r="L28" s="24" t="str">
        <f>VLOOKUP(A28,'Trips&amp;Operators'!$C$1:$E$10000,3,FALSE)</f>
        <v>MAELZER</v>
      </c>
      <c r="M28" s="6">
        <f>I28-F28</f>
        <v>3.6956018520868383E-2</v>
      </c>
      <c r="N28" s="7"/>
      <c r="O28" s="7"/>
      <c r="P28" s="7">
        <f>24*60*SUM($M28:$M28)</f>
        <v>53.216666670050472</v>
      </c>
      <c r="Q28" s="25"/>
      <c r="R28" s="25" t="s">
        <v>699</v>
      </c>
      <c r="S28" s="37">
        <f>SUM(U28:U28)/IF(AG28="EC",12,1)</f>
        <v>0.25</v>
      </c>
      <c r="T28" s="52" t="str">
        <f>IF(ISEVEN(LEFT(AD28,4)),"Southbound","NorthBound")</f>
        <v>Southbound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3</v>
      </c>
      <c r="V28" s="106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hh:mm:ss")&amp;"-0600',mode:absolute,to:'"&amp;TEXT(I28+1/24,"yyyy-MM-DD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https://search-rtdc-monitor-bjffxe2xuh6vdkpspy63sjmuny.us-east-1.es.amazonaws.com/_plugin/kibana/#/discover/Steve-Slow-Train-Analysis-(2080s-and-2083s)?_g=(refreshInterval:(display:Off,section:0,value:0),time:(from:'2016-08-27 05:04:57-0600',mode:absolute,to:'2016-08-27 08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28" s="54" t="str">
        <f>IF(AA28&lt;IF(AG28="EC",23,5.65),"Y","N")</f>
        <v>Y</v>
      </c>
      <c r="X28" s="120">
        <f>VALUE(LEFT(AD28,4))-VALUE(LEFT(AD27,4))</f>
        <v>1</v>
      </c>
      <c r="Y28" s="69">
        <f>RIGHT(D28,LEN(D28)-4)/10000</f>
        <v>23.298500000000001</v>
      </c>
      <c r="Z28" s="69">
        <f>RIGHT(H28,LEN(H28)-4)/10000</f>
        <v>6.4157000000000002</v>
      </c>
      <c r="AA28" s="69">
        <f>ABS(Z28-Y28)</f>
        <v>16.8828</v>
      </c>
      <c r="AB28" s="66" t="e">
        <f>VLOOKUP(A28,Enforcements!$C$7:$J$21,8,0)</f>
        <v>#N/A</v>
      </c>
      <c r="AC28" s="62" t="e">
        <f>VLOOKUP(A28,Enforcements!$C$7:$E$21,3,0)</f>
        <v>#N/A</v>
      </c>
      <c r="AD28" s="63" t="str">
        <f>IF(LEN(A28)=6,"0"&amp;A28,A28)</f>
        <v>0114-27</v>
      </c>
      <c r="AE28" s="99" t="str">
        <f>"aws s3 cp "&amp;s3_bucket&amp;"/RTDC"&amp;B28&amp;"/"&amp;TEXT(F28,"YYYY-MM-DD")&amp;"/ "&amp;search_path&amp;"\RTDC"&amp;B28&amp;"\"&amp;TEXT(F28,"YYYY-MM-DD")&amp;" --recursive &amp; """&amp;walkandungz&amp;""" "&amp;search_path&amp;"\RTDC"&amp;B28&amp;"\"&amp;TEXT(F28,"YYYY-MM-DD")
&amp;" &amp; "&amp;"aws s3 cp "&amp;s3_bucket&amp;"/RTDC"&amp;B28&amp;"/"&amp;TEXT(F28+1,"YYYY-MM-DD")&amp;"/ "&amp;search_path&amp;"\RTDC"&amp;B28&amp;"\"&amp;TEXT(F28+1,"YYYY-MM-DD")&amp;" --recursive &amp; """&amp;walkandungz&amp;""" "&amp;search_path&amp;"\RTDC"&amp;B28&amp;"\"&amp;TEXT(F28+1,"YYYY-MM-DD")</f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28" s="96" t="str">
        <f>astrogrep_path&amp;" /spath="&amp;search_path&amp;" /stypes=""*"&amp;B28&amp;"*"&amp;TEXT(I28-utc_offset/24,"YYYYMMDD")&amp;"*"" /stext="" "&amp;TEXT(I28-utc_offset/24,"HH")&amp;search_regexp&amp;""" /e /r /s"</f>
        <v>"C:\Program Files (x86)\AstroGrep\AstroGrep.exe" /spath="%USERPROFILE%\AppData\Local\Temp\OnboardLogs" /stypes="*4032*20160827*" /stext=" 13:.+((SYSTEM_STATE.+slice.+state.+changed )|(ment ac)|(system.+state.+changed )|(\|lc)|(penalty)|(\[timeout)|(PRM\|1\|D)|(kpr)|(kdp))" /e /r /s</v>
      </c>
      <c r="AG28" s="1" t="str">
        <f>IFERROR(IF(VALUE(LEFT(AD28,2))&lt;=2,"EC",IF(OR(VALUE(LEFT(AD28,2))=8,VALUE(LEFT(AD28,2))=18),"NW","Other")),"Other")</f>
        <v>EC</v>
      </c>
      <c r="AH28" s="100" t="str">
        <f t="shared" si="0"/>
        <v>"%USERPROFILE%\Documents\GitHub\eaglep3\Utilities\RefineRTDCRunTimes.py" --tripid 114-27 --locoid 4032 --swversion DE.1.0.7.0 --startMP 204:232985 --initTime 2016-08-27T06:04:57 --startdatetime 2016-08-27T06:11:23 --delay 1 --endMP 204:64157 --enddatetime 2016-08-27T07:04:36 --enforcementcount 0 &gt;&gt;C:\Users\stu\Documents\GitHub\eaglep3-reporting\EC\2016-08-27-refined-times.txt</v>
      </c>
      <c r="AI28" s="149" t="str">
        <f t="shared" si="1"/>
        <v>echo {"issue":{"subject":"Central Park XING failure","project_id":79,"tracker_id":40,"status_id":1,"priority_id":2,"assigned_to_id":23,"start_date":"2016-08-27","description":"","custom_fields":[{"id":1,"name":"Subdivision","value":"EC"},{"id":4,"name":"Milepost","value":"16.8828"},{"id":17,"name":"Train ID","value":"114-27"},{"id":16,"name":"Locomotive ID","value":"4032"},{"id":130,"name":"Impact","value":""},{"id":150,"name":"Time of Event (Mountain Time)","value":"07:04:36"},{"id":151,"name":"Denver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702</v>
      </c>
      <c r="B29" s="7"/>
      <c r="C29" s="24"/>
      <c r="D29" s="24"/>
      <c r="E29" s="15"/>
      <c r="F29" s="15"/>
      <c r="G29" s="7"/>
      <c r="H29" s="15"/>
      <c r="I29" s="15"/>
      <c r="J29" s="7">
        <v>0</v>
      </c>
      <c r="K29" s="132" t="str">
        <f>IF(ISEVEN(B29),(B29-1)&amp;"/"&amp;B29,B29&amp;"/"&amp;(B29+1))</f>
        <v>-1/</v>
      </c>
      <c r="L29" s="24" t="e">
        <f>VLOOKUP(A29,'Trips&amp;Operators'!$C$1:$E$10000,3,FALSE)</f>
        <v>#N/A</v>
      </c>
      <c r="M29" s="6">
        <f>I29-F29</f>
        <v>0</v>
      </c>
      <c r="N29" s="7"/>
      <c r="O29" s="7"/>
      <c r="P29" s="7">
        <v>1</v>
      </c>
      <c r="Q29" s="25"/>
      <c r="R29" s="25" t="s">
        <v>295</v>
      </c>
      <c r="S29" s="37">
        <f>SUM(U29:U29)/IF(AG29="EC",12,1)</f>
        <v>0</v>
      </c>
      <c r="T29" s="52" t="str">
        <f>IF(ISEVEN(LEFT(AD29,4)),"Southbound","NorthBound")</f>
        <v>NorthBound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106" t="e">
        <f>"https://search-rtdc-monitor-bjffxe2xuh6vdkpspy63sjmuny.us-east-1.es.amazonaws.com/_plugin/kibana/#/discover/Steve-Slow-Train-Analysis-(2080s-and-2083s)?_g=(refreshInterval:(display:Off,section:0,value:0),time:(from:'"&amp;TEXT(E29-1/24,"yyyy-MM-DD hh:mm:ss")&amp;"-0600',mode:absolute,to:'"&amp;TEXT(I29+1/24,"yyyy-MM-DD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29&amp;"%22')),sort:!(Time,asc))"</f>
        <v>#VALUE!</v>
      </c>
      <c r="W29" s="54" t="e">
        <f>IF(AA29&lt;IF(AG29="EC",23,5.65),"Y","N")</f>
        <v>#VALUE!</v>
      </c>
      <c r="X29" s="120">
        <f t="shared" ref="X29:X31" si="16">VALUE(LEFT(AD29,4))-VALUE(LEFT(AD28,4))</f>
        <v>1</v>
      </c>
      <c r="Y29" s="69" t="e">
        <f>RIGHT(D29,LEN(D29)-4)/10000</f>
        <v>#VALUE!</v>
      </c>
      <c r="Z29" s="69" t="e">
        <f>RIGHT(H29,LEN(H29)-4)/10000</f>
        <v>#VALUE!</v>
      </c>
      <c r="AA29" s="69" t="e">
        <f>ABS(Z29-Y29)</f>
        <v>#VALUE!</v>
      </c>
      <c r="AB29" s="66" t="e">
        <f>VLOOKUP(A29,Enforcements!$C$7:$J$21,8,0)</f>
        <v>#N/A</v>
      </c>
      <c r="AC29" s="62" t="e">
        <f>VLOOKUP(A29,Enforcements!$C$7:$E$21,3,0)</f>
        <v>#N/A</v>
      </c>
      <c r="AD29" s="63" t="str">
        <f>IF(LEN(A29)=6,"0"&amp;A29,A29)</f>
        <v>0115-27</v>
      </c>
      <c r="AE29" s="99" t="str">
        <f>"aws s3 cp "&amp;s3_bucket&amp;"/RTDC"&amp;B29&amp;"/"&amp;TEXT(F29,"YYYY-MM-DD")&amp;"/ "&amp;search_path&amp;"\RTDC"&amp;B29&amp;"\"&amp;TEXT(F29,"YYYY-MM-DD")&amp;" --recursive &amp; """&amp;walkandungz&amp;""" "&amp;search_path&amp;"\RTDC"&amp;B29&amp;"\"&amp;TEXT(F29,"YYYY-MM-DD")
&amp;" &amp; "&amp;"aws s3 cp "&amp;s3_bucket&amp;"/RTDC"&amp;B29&amp;"/"&amp;TEXT(F29+1,"YYYY-MM-DD")&amp;"/ "&amp;search_path&amp;"\RTDC"&amp;B29&amp;"\"&amp;TEXT(F29+1,"YYYY-MM-DD")&amp;" --recursive &amp; """&amp;walkandungz&amp;""" "&amp;search_path&amp;"\RTDC"&amp;B29&amp;"\"&amp;TEXT(F29+1,"YYYY-MM-DD")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29" s="96" t="str">
        <f>astrogrep_path&amp;" /spath="&amp;search_path&amp;" /stypes=""*"&amp;B29&amp;"*"&amp;TEXT(I29-utc_offset/24,"YYYYMMDD")&amp;"*"" /stext="" "&amp;TEXT(I29-utc_offset/24,"HH")&amp;search_regexp&amp;""" /e /r /s"</f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29" s="1" t="str">
        <f>IFERROR(IF(VALUE(LEFT(AD29,2))&lt;=2,"EC",IF(OR(VALUE(LEFT(AD29,2))=8,VALUE(LEFT(AD29,2))=18),"NW","Other")),"Other")</f>
        <v>EC</v>
      </c>
      <c r="AH29" s="100" t="str">
        <f t="shared" ref="AH29" si="17">refinertdcruntimes&amp;" --tripid "&amp;A29&amp;" --locoid "&amp;B29&amp;" --swversion "&amp;C29&amp;" --startMP "&amp;D29&amp;" --initTime "&amp;TEXT(E29,"yyyy-mm-ddTHH:MM:SS")&amp;" --startdatetime "&amp;TEXT(F29,"yyyy-mm-ddTHH:MM:SS")&amp;" --delay "&amp;G29&amp;" --endMP "&amp;H29&amp;" --enddatetime "&amp;TEXT(I29,"yyyy-mm-ddTHH:MM:SS")&amp;" --enforcementcount "&amp;J29&amp;IF(outputrefinedruntimes," &gt;&gt;"&amp;RefinedRTDCRunTimesOutputFile,"")</f>
        <v>"%USERPROFILE%\Documents\GitHub\eaglep3\Utilities\RefineRTDCRunTimes.py" --tripid 115-27 --locoid  --swversion  --startMP  --initTime 1900-01-00T00:00:00 --startdatetime 1900-01-00T00:00:00 --delay  --endMP  --enddatetime 1900-01-00T00:00:00 --enforcementcount 0 &gt;&gt;C:\Users\stu\Documents\GitHub\eaglep3-reporting\EC\2016-08-27-refined-times.txt</v>
      </c>
      <c r="AI29" s="149" t="e">
        <f t="shared" ref="AI29" si="18">"echo {""issue"":{""subject"":"""&amp;R29&amp;""",""project_id"":79,""tracker_id"":40,""status_id"":"&amp;redmine_status&amp;",""priority_id"":"&amp;redmine_priority&amp;",""assigned_to_id"":"&amp;redmine_assignee&amp;",""start_date"":"""&amp;TEXT(I29,"YYYY-mm-dd")&amp;""",""description"":"""&amp;AJ29&amp;""",""custom_fields"":[{""id"":1,""name"":""Subdivision"",""value"":"""&amp;AG29&amp;"""},{""id"":4,""name"":""Milepost"",""value"":"""&amp;AA29&amp;"""},{""id"":17,""name"":""Train ID"",""value"":"""&amp;A29&amp;"""},{""id"":16,""name"":""Locomotive ID"",""value"":"""&amp;B29&amp;"""},{""id"":130,""name"":""Impact"",""value"":"""&amp;AK29&amp;"""},{""id"":150,""name"":""Time of Event (Mountain Time)"",""value"":"""&amp;TEXT(I29,"hh:mm:ss")&amp;"""},{""id"":151,""name"":""Denver Issue ID"",""value"":"""&amp;"""},{""id"":178,""name"":""Operational Impact"",""value"":"""&amp;redmine_op_impact&amp;"""},{""id"":179,""name"":""Denver Segment Assigned"",""value"":"""&amp;AL29&amp;"""}]}}"&amp;" | curl -X POST -H ""Content-Type: application/json"" -H ""X-Redmine-API-Key: "&amp;redm_api_key&amp;""" "&amp;redm_url&amp;" --data @-"</f>
        <v>#VALUE!</v>
      </c>
      <c r="AJ29" s="55"/>
      <c r="AK29" s="55"/>
      <c r="AL29" s="55"/>
    </row>
    <row r="30" spans="1:38" s="1" customFormat="1" x14ac:dyDescent="0.25">
      <c r="A30" s="39" t="s">
        <v>411</v>
      </c>
      <c r="B30" s="7">
        <v>4030</v>
      </c>
      <c r="C30" s="24" t="s">
        <v>113</v>
      </c>
      <c r="D30" s="24" t="s">
        <v>412</v>
      </c>
      <c r="E30" s="15">
        <v>42609.27008101852</v>
      </c>
      <c r="F30" s="15">
        <v>42609.271562499998</v>
      </c>
      <c r="G30" s="7">
        <v>1</v>
      </c>
      <c r="H30" s="15" t="s">
        <v>172</v>
      </c>
      <c r="I30" s="15">
        <v>42609.323796296296</v>
      </c>
      <c r="J30" s="7">
        <v>0</v>
      </c>
      <c r="K30" s="132" t="str">
        <f>IF(ISEVEN(B30),(B30-1)&amp;"/"&amp;B30,B30&amp;"/"&amp;(B30+1))</f>
        <v>4029/4030</v>
      </c>
      <c r="L30" s="24" t="str">
        <f>VLOOKUP(A30,'Trips&amp;Operators'!$C$1:$E$10000,3,FALSE)</f>
        <v>STRICKLAND</v>
      </c>
      <c r="M30" s="6">
        <f>I30-F30</f>
        <v>5.2233796297514345E-2</v>
      </c>
      <c r="N30" s="7">
        <f>24*60*SUM($M30:$M30)</f>
        <v>75.216666668420658</v>
      </c>
      <c r="O30" s="7"/>
      <c r="P30" s="7"/>
      <c r="Q30" s="25"/>
      <c r="R30" s="25"/>
      <c r="S30" s="37">
        <f>SUM(U30:U30)/IF(AG30="EC",12,1)</f>
        <v>1</v>
      </c>
      <c r="T30" s="52" t="str">
        <f>IF(ISEVEN(LEFT(AD30,4)),"Southbound","NorthBound")</f>
        <v>Southbound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hh:mm:ss")&amp;"-0600',mode:absolute,to:'"&amp;TEXT(I30+1/24,"yyyy-MM-DD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https://search-rtdc-monitor-bjffxe2xuh6vdkpspy63sjmuny.us-east-1.es.amazonaws.com/_plugin/kibana/#/discover/Steve-Slow-Train-Analysis-(2080s-and-2083s)?_g=(refreshInterval:(display:Off,section:0,value:0),time:(from:'2016-08-27 05:28:55-0600',mode:absolute,to:'2016-08-27 08:46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30" s="54" t="str">
        <f>IF(AA30&lt;IF(AG30="EC",23,5.65),"Y","N")</f>
        <v>N</v>
      </c>
      <c r="X30" s="120">
        <f t="shared" si="16"/>
        <v>1</v>
      </c>
      <c r="Y30" s="69">
        <f>RIGHT(D30,LEN(D30)-4)/10000</f>
        <v>23.2973</v>
      </c>
      <c r="Z30" s="69">
        <f>RIGHT(H30,LEN(H30)-4)/10000</f>
        <v>1.52E-2</v>
      </c>
      <c r="AA30" s="69">
        <f>ABS(Z30-Y30)</f>
        <v>23.2821</v>
      </c>
      <c r="AB30" s="66">
        <f>VLOOKUP(A30,Enforcements!$C$7:$J$21,8,0)</f>
        <v>48048</v>
      </c>
      <c r="AC30" s="62" t="str">
        <f>VLOOKUP(A30,Enforcements!$C$7:$E$21,3,0)</f>
        <v>GRADE CROSSING</v>
      </c>
      <c r="AD30" s="63" t="str">
        <f>IF(LEN(A30)=6,"0"&amp;A30,A30)</f>
        <v>0116-27</v>
      </c>
      <c r="AE30" s="99" t="str">
        <f>"aws s3 cp "&amp;s3_bucket&amp;"/RTDC"&amp;B30&amp;"/"&amp;TEXT(F30,"YYYY-MM-DD")&amp;"/ "&amp;search_path&amp;"\RTDC"&amp;B30&amp;"\"&amp;TEXT(F30,"YYYY-MM-DD")&amp;" --recursive &amp; """&amp;walkandungz&amp;""" "&amp;search_path&amp;"\RTDC"&amp;B30&amp;"\"&amp;TEXT(F30,"YYYY-MM-DD")
&amp;" &amp; "&amp;"aws s3 cp "&amp;s3_bucket&amp;"/RTDC"&amp;B30&amp;"/"&amp;TEXT(F30+1,"YYYY-MM-DD")&amp;"/ "&amp;search_path&amp;"\RTDC"&amp;B30&amp;"\"&amp;TEXT(F30+1,"YYYY-MM-DD")&amp;" --recursive &amp; """&amp;walkandungz&amp;""" "&amp;search_path&amp;"\RTDC"&amp;B30&amp;"\"&amp;TEXT(F30+1,"YYYY-MM-DD")</f>
        <v>aws s3 cp s3://rtdc.mdm.uploadarchive/RTDC4030/2016-08-27/ "%USERPROFILE%\AppData\Local\Temp\OnboardLogs"\RTDC4030\2016-08-27 --recursive &amp; "%USERPROFILE%\Documents\GitHub\mrs-test-scripts\Headless Mode &amp; Sideloading\WalkAndUnGZ.bat" "%USERPROFILE%\AppData\Local\Temp\OnboardLogs"\RTDC4030\2016-08-27 &amp; 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</v>
      </c>
      <c r="AF30" s="96" t="str">
        <f>astrogrep_path&amp;" /spath="&amp;search_path&amp;" /stypes=""*"&amp;B30&amp;"*"&amp;TEXT(I30-utc_offset/24,"YYYYMMDD")&amp;"*"" /stext="" "&amp;TEXT(I30-utc_offset/24,"HH")&amp;search_regexp&amp;""" /e /r /s"</f>
        <v>"C:\Program Files (x86)\AstroGrep\AstroGrep.exe" /spath="%USERPROFILE%\AppData\Local\Temp\OnboardLogs" /stypes="*4030*20160827*" /stext=" 13:.+((SYSTEM_STATE.+slice.+state.+changed )|(ment ac)|(system.+state.+changed )|(\|lc)|(penalty)|(\[timeout)|(PRM\|1\|D)|(kpr)|(kdp))" /e /r /s</v>
      </c>
      <c r="AG30" s="1" t="str">
        <f>IFERROR(IF(VALUE(LEFT(AD30,2))&lt;=2,"EC",IF(OR(VALUE(LEFT(AD30,2))=8,VALUE(LEFT(AD30,2))=18),"NW","Other")),"Other")</f>
        <v>EC</v>
      </c>
      <c r="AH30" s="100" t="str">
        <f t="shared" si="0"/>
        <v>"%USERPROFILE%\Documents\GitHub\eaglep3\Utilities\RefineRTDCRunTimes.py" --tripid 116-27 --locoid 4030 --swversion DE.1.0.7.0 --startMP 204:232973 --initTime 2016-08-27T06:28:55 --startdatetime 2016-08-27T06:31:03 --delay 1 --endMP 204:152 --enddatetime 2016-08-27T07:46:16 --enforcementcount 0 &gt;&gt;C:\Users\stu\Documents\GitHub\eaglep3-reporting\EC\2016-08-27-refined-times.txt</v>
      </c>
      <c r="AI30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{"issue":{"subject":"","project_id":79,"tracker_id":40,"status_id":1,"priority_id":2,"assigned_to_id":23,"start_date":"2016-08-27","description":"","custom_fields":[{"id":1,"name":"Subdivision","value":"EC"},{"id":4,"name":"Milepost","value":"23.2821"},{"id":17,"name":"Train ID","value":"116-27"},{"id":16,"name":"Locomotive ID","value":"4030"},{"id":130,"name":"Impact","value":""},{"id":150,"name":"Time of Event (Mountain Time)","value":"07:46:16"},{"id":151,"name":"Denver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413</v>
      </c>
      <c r="B31" s="7">
        <v>4038</v>
      </c>
      <c r="C31" s="24" t="s">
        <v>113</v>
      </c>
      <c r="D31" s="24" t="s">
        <v>414</v>
      </c>
      <c r="E31" s="15">
        <v>42609.237280092595</v>
      </c>
      <c r="F31" s="15">
        <v>42609.255243055559</v>
      </c>
      <c r="G31" s="7">
        <v>1</v>
      </c>
      <c r="H31" s="15" t="s">
        <v>415</v>
      </c>
      <c r="I31" s="15">
        <v>42609.275034722225</v>
      </c>
      <c r="J31" s="7">
        <v>0</v>
      </c>
      <c r="K31" s="132" t="str">
        <f>IF(ISEVEN(B31),(B31-1)&amp;"/"&amp;B31,B31&amp;"/"&amp;(B31+1))</f>
        <v>4037/4038</v>
      </c>
      <c r="L31" s="24" t="str">
        <f>VLOOKUP(A31,'Trips&amp;Operators'!$C$1:$E$10000,3,FALSE)</f>
        <v>MALAVE</v>
      </c>
      <c r="M31" s="6">
        <f>I31-F31</f>
        <v>1.9791666665696539E-2</v>
      </c>
      <c r="N31" s="7"/>
      <c r="O31" s="7"/>
      <c r="P31" s="7">
        <f>24*60*SUM($M31:$M32)</f>
        <v>56.999999997206032</v>
      </c>
      <c r="Q31" s="25"/>
      <c r="R31" s="25" t="s">
        <v>699</v>
      </c>
      <c r="S31" s="37">
        <f>SUM(U31:U32)/IF(AG31="EC",12,1)</f>
        <v>0.75</v>
      </c>
      <c r="T31" s="52" t="str">
        <f>IF(ISEVEN(LEFT(AD31,4)),"Southbound","NorthBound")</f>
        <v>NorthBound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6</v>
      </c>
      <c r="V31" s="106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hh:mm:ss")&amp;"-0600',mode:absolute,to:'"&amp;TEXT(I31+1/24,"yyyy-MM-DD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https://search-rtdc-monitor-bjffxe2xuh6vdkpspy63sjmuny.us-east-1.es.amazonaws.com/_plugin/kibana/#/discover/Steve-Slow-Train-Analysis-(2080s-and-2083s)?_g=(refreshInterval:(display:Off,section:0,value:0),time:(from:'2016-08-27 04:41:41-0600',mode:absolute,to:'2016-08-27 07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31" s="54" t="str">
        <f>IF(AA31&lt;IF(AG31="EC",23,5.65),"Y","N")</f>
        <v>Y</v>
      </c>
      <c r="X31" s="120">
        <f t="shared" si="16"/>
        <v>1</v>
      </c>
      <c r="Y31" s="69">
        <f>RIGHT(D31,LEN(D31)-4)/10000</f>
        <v>4.6600000000000003E-2</v>
      </c>
      <c r="Z31" s="69">
        <f>RIGHT(H31,LEN(H31)-4)/10000</f>
        <v>5.5021000000000004</v>
      </c>
      <c r="AA31" s="69">
        <f>ABS(Z31-Y31)</f>
        <v>5.4555000000000007</v>
      </c>
      <c r="AB31" s="66" t="e">
        <f>VLOOKUP(A31,Enforcements!$C$7:$J$21,8,0)</f>
        <v>#N/A</v>
      </c>
      <c r="AC31" s="62" t="e">
        <f>VLOOKUP(A31,Enforcements!$C$7:$E$21,3,0)</f>
        <v>#N/A</v>
      </c>
      <c r="AD31" s="63" t="str">
        <f>IF(LEN(A31)=6,"0"&amp;A31,A31)</f>
        <v>0117-27</v>
      </c>
      <c r="AE31" s="99" t="str">
        <f>"aws s3 cp "&amp;s3_bucket&amp;"/RTDC"&amp;B31&amp;"/"&amp;TEXT(F31,"YYYY-MM-DD")&amp;"/ "&amp;search_path&amp;"\RTDC"&amp;B31&amp;"\"&amp;TEXT(F31,"YYYY-MM-DD")&amp;" --recursive &amp; """&amp;walkandungz&amp;""" "&amp;search_path&amp;"\RTDC"&amp;B31&amp;"\"&amp;TEXT(F31,"YYYY-MM-DD")
&amp;" &amp; "&amp;"aws s3 cp "&amp;s3_bucket&amp;"/RTDC"&amp;B31&amp;"/"&amp;TEXT(F31+1,"YYYY-MM-DD")&amp;"/ "&amp;search_path&amp;"\RTDC"&amp;B31&amp;"\"&amp;TEXT(F31+1,"YYYY-MM-DD")&amp;" --recursive &amp; """&amp;walkandungz&amp;""" "&amp;search_path&amp;"\RTDC"&amp;B31&amp;"\"&amp;TEXT(F31+1,"YYYY-MM-DD")</f>
        <v>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 &amp; aws s3 cp s3://rtdc.mdm.uploadarchive/RTDC4038/2016-08-28/ "%USERPROFILE%\AppData\Local\Temp\OnboardLogs"\RTDC4038\2016-08-28 --recursive &amp; "%USERPROFILE%\Documents\GitHub\mrs-test-scripts\Headless Mode &amp; Sideloading\WalkAndUnGZ.bat" "%USERPROFILE%\AppData\Local\Temp\OnboardLogs"\RTDC4038\2016-08-28</v>
      </c>
      <c r="AF31" s="96" t="str">
        <f>astrogrep_path&amp;" /spath="&amp;search_path&amp;" /stypes=""*"&amp;B31&amp;"*"&amp;TEXT(I31-utc_offset/24,"YYYYMMDD")&amp;"*"" /stext="" "&amp;TEXT(I31-utc_offset/24,"HH")&amp;search_regexp&amp;""" /e /r /s"</f>
        <v>"C:\Program Files (x86)\AstroGrep\AstroGrep.exe" /spath="%USERPROFILE%\AppData\Local\Temp\OnboardLogs" /stypes="*4038*20160827*" /stext=" 12:.+((SYSTEM_STATE.+slice.+state.+changed )|(ment ac)|(system.+state.+changed )|(\|lc)|(penalty)|(\[timeout)|(PRM\|1\|D)|(kpr)|(kdp))" /e /r /s</v>
      </c>
      <c r="AG31" s="1" t="str">
        <f>IFERROR(IF(VALUE(LEFT(AD31,2))&lt;=2,"EC",IF(OR(VALUE(LEFT(AD31,2))=8,VALUE(LEFT(AD31,2))=18),"NW","Other")),"Other")</f>
        <v>EC</v>
      </c>
      <c r="AH31" s="100" t="str">
        <f t="shared" si="0"/>
        <v>"%USERPROFILE%\Documents\GitHub\eaglep3\Utilities\RefineRTDCRunTimes.py" --tripid 117-27 --locoid 4038 --swversion DE.1.0.7.0 --startMP 204:466 --initTime 2016-08-27T05:41:41 --startdatetime 2016-08-27T06:07:33 --delay 1 --endMP 204:55021 --enddatetime 2016-08-27T06:36:03 --enforcementcount 0 &gt;&gt;C:\Users\stu\Documents\GitHub\eaglep3-reporting\EC\2016-08-27-refined-times.txt</v>
      </c>
      <c r="AI31" s="149" t="str">
        <f t="shared" si="1"/>
        <v>echo {"issue":{"subject":"Central Park XING failure","project_id":79,"tracker_id":40,"status_id":1,"priority_id":2,"assigned_to_id":23,"start_date":"2016-08-27","description":"","custom_fields":[{"id":1,"name":"Subdivision","value":"EC"},{"id":4,"name":"Milepost","value":"5.4555"},{"id":17,"name":"Train ID","value":"117-27"},{"id":16,"name":"Locomotive ID","value":"4038"},{"id":130,"name":"Impact","value":""},{"id":150,"name":"Time of Event (Mountain Time)","value":"06:36:03"},{"id":151,"name":"Denver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ht="16.5" customHeight="1" x14ac:dyDescent="0.25">
      <c r="A32" s="39" t="s">
        <v>413</v>
      </c>
      <c r="B32" s="7">
        <v>4038</v>
      </c>
      <c r="C32" s="24" t="s">
        <v>113</v>
      </c>
      <c r="D32" s="24" t="s">
        <v>416</v>
      </c>
      <c r="E32" s="15">
        <v>42609.254247685189</v>
      </c>
      <c r="F32" s="15">
        <v>42609.255243055559</v>
      </c>
      <c r="G32" s="7">
        <v>1</v>
      </c>
      <c r="H32" s="15" t="s">
        <v>417</v>
      </c>
      <c r="I32" s="15">
        <v>42609.275034722225</v>
      </c>
      <c r="J32" s="7">
        <v>0</v>
      </c>
      <c r="K32" s="132" t="str">
        <f>IF(ISEVEN(B32),(B32-1)&amp;"/"&amp;B32,B32&amp;"/"&amp;(B32+1))</f>
        <v>4037/4038</v>
      </c>
      <c r="L32" s="24" t="str">
        <f>VLOOKUP(A32,'Trips&amp;Operators'!$C$1:$E$10000,3,FALSE)</f>
        <v>MALAVE</v>
      </c>
      <c r="M32" s="6">
        <f>I32-F32</f>
        <v>1.9791666665696539E-2</v>
      </c>
      <c r="N32" s="7"/>
      <c r="O32" s="7"/>
      <c r="P32" s="7"/>
      <c r="Q32" s="25"/>
      <c r="R32" s="25"/>
      <c r="S32" s="37"/>
      <c r="T32" s="52" t="str">
        <f>IF(ISEVEN(LEFT(AD32,4)),"Southbound","NorthBound")</f>
        <v>NorthBound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3</v>
      </c>
      <c r="V32" s="106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hh:mm:ss")&amp;"-0600',mode:absolute,to:'"&amp;TEXT(I32+1/24,"yyyy-MM-DD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https://search-rtdc-monitor-bjffxe2xuh6vdkpspy63sjmuny.us-east-1.es.amazonaws.com/_plugin/kibana/#/discover/Steve-Slow-Train-Analysis-(2080s-and-2083s)?_g=(refreshInterval:(display:Off,section:0,value:0),time:(from:'2016-08-27 05:06:07-0600',mode:absolute,to:'2016-08-27 07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32" s="54" t="str">
        <f>IF(AA32&lt;IF(AG32="EC",23,5.65),"Y","N")</f>
        <v>Y</v>
      </c>
      <c r="X32" s="120">
        <f>VALUE(LEFT(AD32,4))-VALUE(LEFT(AD31,4))</f>
        <v>0</v>
      </c>
      <c r="Y32" s="69">
        <f>RIGHT(D32,LEN(D32)-4)/10000</f>
        <v>6.4695999999999998</v>
      </c>
      <c r="Z32" s="69">
        <f>RIGHT(H32,LEN(H32)-4)/10000</f>
        <v>23.329699999999999</v>
      </c>
      <c r="AA32" s="69">
        <f>ABS(Z32-Y32)</f>
        <v>16.860099999999999</v>
      </c>
      <c r="AB32" s="66" t="e">
        <f>VLOOKUP(A32,Enforcements!$C$7:$J$21,8,0)</f>
        <v>#N/A</v>
      </c>
      <c r="AC32" s="62" t="e">
        <f>VLOOKUP(A32,Enforcements!$C$7:$E$21,3,0)</f>
        <v>#N/A</v>
      </c>
      <c r="AD32" s="63" t="str">
        <f>IF(LEN(A32)=6,"0"&amp;A32,A32)</f>
        <v>0117-27</v>
      </c>
      <c r="AE32" s="99" t="str">
        <f>"aws s3 cp "&amp;s3_bucket&amp;"/RTDC"&amp;B32&amp;"/"&amp;TEXT(F32,"YYYY-MM-DD")&amp;"/ "&amp;search_path&amp;"\RTDC"&amp;B32&amp;"\"&amp;TEXT(F32,"YYYY-MM-DD")&amp;" --recursive &amp; """&amp;walkandungz&amp;""" "&amp;search_path&amp;"\RTDC"&amp;B32&amp;"\"&amp;TEXT(F32,"YYYY-MM-DD")
&amp;" &amp; "&amp;"aws s3 cp "&amp;s3_bucket&amp;"/RTDC"&amp;B32&amp;"/"&amp;TEXT(F32+1,"YYYY-MM-DD")&amp;"/ "&amp;search_path&amp;"\RTDC"&amp;B32&amp;"\"&amp;TEXT(F32+1,"YYYY-MM-DD")&amp;" --recursive &amp; """&amp;walkandungz&amp;""" "&amp;search_path&amp;"\RTDC"&amp;B32&amp;"\"&amp;TEXT(F32+1,"YYYY-MM-DD")</f>
        <v>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 &amp; aws s3 cp s3://rtdc.mdm.uploadarchive/RTDC4038/2016-08-28/ "%USERPROFILE%\AppData\Local\Temp\OnboardLogs"\RTDC4038\2016-08-28 --recursive &amp; "%USERPROFILE%\Documents\GitHub\mrs-test-scripts\Headless Mode &amp; Sideloading\WalkAndUnGZ.bat" "%USERPROFILE%\AppData\Local\Temp\OnboardLogs"\RTDC4038\2016-08-28</v>
      </c>
      <c r="AF32" s="96" t="str">
        <f>astrogrep_path&amp;" /spath="&amp;search_path&amp;" /stypes=""*"&amp;B32&amp;"*"&amp;TEXT(I32-utc_offset/24,"YYYYMMDD")&amp;"*"" /stext="" "&amp;TEXT(I32-utc_offset/24,"HH")&amp;search_regexp&amp;""" /e /r /s"</f>
        <v>"C:\Program Files (x86)\AstroGrep\AstroGrep.exe" /spath="%USERPROFILE%\AppData\Local\Temp\OnboardLogs" /stypes="*4038*20160827*" /stext=" 12:.+((SYSTEM_STATE.+slice.+state.+changed )|(ment ac)|(system.+state.+changed )|(\|lc)|(penalty)|(\[timeout)|(PRM\|1\|D)|(kpr)|(kdp))" /e /r /s</v>
      </c>
      <c r="AG32" s="1" t="str">
        <f>IFERROR(IF(VALUE(LEFT(AD32,2))&lt;=2,"EC",IF(OR(VALUE(LEFT(AD32,2))=8,VALUE(LEFT(AD32,2))=18),"NW","Other")),"Other")</f>
        <v>EC</v>
      </c>
      <c r="AH32" s="100" t="str">
        <f t="shared" si="0"/>
        <v>"%USERPROFILE%\Documents\GitHub\eaglep3\Utilities\RefineRTDCRunTimes.py" --tripid 117-27 --locoid 4038 --swversion DE.1.0.7.0 --startMP 204:64696 --initTime 2016-08-27T06:06:07 --startdatetime 2016-08-27T06:07:33 --delay 1 --endMP 204:233297 --enddatetime 2016-08-27T06:36:03 --enforcementcount 0 &gt;&gt;C:\Users\stu\Documents\GitHub\eaglep3-reporting\EC\2016-08-27-refined-times.txt</v>
      </c>
      <c r="AI32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{"issue":{"subject":"","project_id":79,"tracker_id":40,"status_id":1,"priority_id":2,"assigned_to_id":23,"start_date":"2016-08-27","description":"","custom_fields":[{"id":1,"name":"Subdivision","value":"EC"},{"id":4,"name":"Milepost","value":"16.8601"},{"id":17,"name":"Train ID","value":"117-27"},{"id":16,"name":"Locomotive ID","value":"4038"},{"id":130,"name":"Impact","value":""},{"id":150,"name":"Time of Event (Mountain Time)","value":"06:36:03"},{"id":151,"name":"Denver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418</v>
      </c>
      <c r="B33" s="7">
        <v>4037</v>
      </c>
      <c r="C33" s="24" t="s">
        <v>113</v>
      </c>
      <c r="D33" s="24" t="s">
        <v>419</v>
      </c>
      <c r="E33" s="15">
        <v>42609.277743055558</v>
      </c>
      <c r="F33" s="15">
        <v>42609.279849537037</v>
      </c>
      <c r="G33" s="7">
        <v>2</v>
      </c>
      <c r="H33" s="15" t="s">
        <v>152</v>
      </c>
      <c r="I33" s="15">
        <v>42609.33320601852</v>
      </c>
      <c r="J33" s="7">
        <v>0</v>
      </c>
      <c r="K33" s="132" t="str">
        <f>IF(ISEVEN(B33),(B33-1)&amp;"/"&amp;B33,B33&amp;"/"&amp;(B33+1))</f>
        <v>4037/4038</v>
      </c>
      <c r="L33" s="24" t="str">
        <f>VLOOKUP(A33,'Trips&amp;Operators'!$C$1:$E$10000,3,FALSE)</f>
        <v>MALAVE</v>
      </c>
      <c r="M33" s="6">
        <f>I33-F33</f>
        <v>5.3356481483206153E-2</v>
      </c>
      <c r="N33" s="7">
        <f>24*60*SUM($M33:$M33)</f>
        <v>76.83333333581686</v>
      </c>
      <c r="O33" s="7"/>
      <c r="P33" s="7"/>
      <c r="Q33" s="25"/>
      <c r="R33" s="25"/>
      <c r="S33" s="37">
        <f>SUM(U33:U33)/IF(AG33="EC",12,1)</f>
        <v>1</v>
      </c>
      <c r="T33" s="52" t="str">
        <f>IF(ISEVEN(LEFT(AD33,4)),"Southbound","NorthBound")</f>
        <v>Southbound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hh:mm:ss")&amp;"-0600',mode:absolute,to:'"&amp;TEXT(I33+1/24,"yyyy-MM-DD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https://search-rtdc-monitor-bjffxe2xuh6vdkpspy63sjmuny.us-east-1.es.amazonaws.com/_plugin/kibana/#/discover/Steve-Slow-Train-Analysis-(2080s-and-2083s)?_g=(refreshInterval:(display:Off,section:0,value:0),time:(from:'2016-08-27 05:39:57-0600',mode:absolute,to:'2016-08-27 08:59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33" s="54" t="str">
        <f>IF(AA33&lt;IF(AG33="EC",23,5.65),"Y","N")</f>
        <v>N</v>
      </c>
      <c r="X33" s="120">
        <f>VALUE(LEFT(AD33,4))-VALUE(LEFT(AD32,4))</f>
        <v>1</v>
      </c>
      <c r="Y33" s="69">
        <f>RIGHT(D33,LEN(D33)-4)/10000</f>
        <v>23.2972</v>
      </c>
      <c r="Z33" s="69">
        <f>RIGHT(H33,LEN(H33)-4)/10000</f>
        <v>1.4999999999999999E-2</v>
      </c>
      <c r="AA33" s="69">
        <f>ABS(Z33-Y33)</f>
        <v>23.2822</v>
      </c>
      <c r="AB33" s="66">
        <f>VLOOKUP(A33,Enforcements!$C$7:$J$21,8,0)</f>
        <v>48048</v>
      </c>
      <c r="AC33" s="62" t="str">
        <f>VLOOKUP(A33,Enforcements!$C$7:$E$21,3,0)</f>
        <v>GRADE CROSSING</v>
      </c>
      <c r="AD33" s="63" t="str">
        <f>IF(LEN(A33)=6,"0"&amp;A33,A33)</f>
        <v>0118-27</v>
      </c>
      <c r="AE33" s="99" t="str">
        <f>"aws s3 cp "&amp;s3_bucket&amp;"/RTDC"&amp;B33&amp;"/"&amp;TEXT(F33,"YYYY-MM-DD")&amp;"/ "&amp;search_path&amp;"\RTDC"&amp;B33&amp;"\"&amp;TEXT(F33,"YYYY-MM-DD")&amp;" --recursive &amp; """&amp;walkandungz&amp;""" "&amp;search_path&amp;"\RTDC"&amp;B33&amp;"\"&amp;TEXT(F33,"YYYY-MM-DD")
&amp;" &amp; "&amp;"aws s3 cp "&amp;s3_bucket&amp;"/RTDC"&amp;B33&amp;"/"&amp;TEXT(F33+1,"YYYY-MM-DD")&amp;"/ "&amp;search_path&amp;"\RTDC"&amp;B33&amp;"\"&amp;TEXT(F33+1,"YYYY-MM-DD")&amp;" --recursive &amp; """&amp;walkandungz&amp;""" "&amp;search_path&amp;"\RTDC"&amp;B33&amp;"\"&amp;TEXT(F33+1,"YYYY-MM-DD")</f>
        <v>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 &amp; 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</v>
      </c>
      <c r="AF33" s="96" t="str">
        <f>astrogrep_path&amp;" /spath="&amp;search_path&amp;" /stypes=""*"&amp;B33&amp;"*"&amp;TEXT(I33-utc_offset/24,"YYYYMMDD")&amp;"*"" /stext="" "&amp;TEXT(I33-utc_offset/24,"HH")&amp;search_regexp&amp;""" /e /r /s"</f>
        <v>"C:\Program Files (x86)\AstroGrep\AstroGrep.exe" /spath="%USERPROFILE%\AppData\Local\Temp\OnboardLogs" /stypes="*4037*20160827*" /stext=" 13:.+((SYSTEM_STATE.+slice.+state.+changed )|(ment ac)|(system.+state.+changed )|(\|lc)|(penalty)|(\[timeout)|(PRM\|1\|D)|(kpr)|(kdp))" /e /r /s</v>
      </c>
      <c r="AG33" s="1" t="str">
        <f>IFERROR(IF(VALUE(LEFT(AD33,2))&lt;=2,"EC",IF(OR(VALUE(LEFT(AD33,2))=8,VALUE(LEFT(AD33,2))=18),"NW","Other")),"Other")</f>
        <v>EC</v>
      </c>
      <c r="AH33" s="100" t="str">
        <f t="shared" si="0"/>
        <v>"%USERPROFILE%\Documents\GitHub\eaglep3\Utilities\RefineRTDCRunTimes.py" --tripid 118-27 --locoid 4037 --swversion DE.1.0.7.0 --startMP 204:232972 --initTime 2016-08-27T06:39:57 --startdatetime 2016-08-27T06:42:59 --delay 2 --endMP 204:150 --enddatetime 2016-08-27T07:59:49 --enforcementcount 0 &gt;&gt;C:\Users\stu\Documents\GitHub\eaglep3-reporting\EC\2016-08-27-refined-times.txt</v>
      </c>
      <c r="AI33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{"issue":{"subject":"","project_id":79,"tracker_id":40,"status_id":1,"priority_id":2,"assigned_to_id":23,"start_date":"2016-08-27","description":"","custom_fields":[{"id":1,"name":"Subdivision","value":"EC"},{"id":4,"name":"Milepost","value":"23.2822"},{"id":17,"name":"Train ID","value":"118-27"},{"id":16,"name":"Locomotive ID","value":"4037"},{"id":130,"name":"Impact","value":""},{"id":150,"name":"Time of Event (Mountain Time)","value":"07:59:49"},{"id":151,"name":"Denver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31" customFormat="1" x14ac:dyDescent="0.25">
      <c r="A34" s="39" t="s">
        <v>420</v>
      </c>
      <c r="B34" s="7">
        <v>4014</v>
      </c>
      <c r="C34" s="24" t="s">
        <v>113</v>
      </c>
      <c r="D34" s="24" t="s">
        <v>421</v>
      </c>
      <c r="E34" s="15">
        <v>42609.263796296298</v>
      </c>
      <c r="F34" s="15">
        <v>42609.264918981484</v>
      </c>
      <c r="G34" s="7">
        <v>1</v>
      </c>
      <c r="H34" s="15" t="s">
        <v>422</v>
      </c>
      <c r="I34" s="15">
        <v>42609.285509259258</v>
      </c>
      <c r="J34" s="7">
        <v>0</v>
      </c>
      <c r="K34" s="132" t="str">
        <f>IF(ISEVEN(B34),(B34-1)&amp;"/"&amp;B34,B34&amp;"/"&amp;(B34+1))</f>
        <v>4013/4014</v>
      </c>
      <c r="L34" s="24" t="str">
        <f>VLOOKUP(A34,'Trips&amp;Operators'!$C$1:$E$10000,3,FALSE)</f>
        <v>ACKERMAN</v>
      </c>
      <c r="M34" s="6">
        <f>I34-F34</f>
        <v>2.0590277774317656E-2</v>
      </c>
      <c r="N34" s="7"/>
      <c r="O34" s="7"/>
      <c r="P34" s="7">
        <f>24*60*SUM($M34:$M35)</f>
        <v>59.299999990034848</v>
      </c>
      <c r="Q34" s="25"/>
      <c r="R34" s="25" t="s">
        <v>699</v>
      </c>
      <c r="S34" s="37">
        <f>SUM(U34:U35)/IF(AG34="EC",12,1)</f>
        <v>1</v>
      </c>
      <c r="T34" s="52" t="str">
        <f>IF(ISEVEN(LEFT(AD34,4)),"Southbound","NorthBound")</f>
        <v>NorthBound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3</v>
      </c>
      <c r="V34" s="106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hh:mm:ss")&amp;"-0600',mode:absolute,to:'"&amp;TEXT(I34+1/24,"yyyy-MM-DD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https://search-rtdc-monitor-bjffxe2xuh6vdkpspy63sjmuny.us-east-1.es.amazonaws.com/_plugin/kibana/#/discover/Steve-Slow-Train-Analysis-(2080s-and-2083s)?_g=(refreshInterval:(display:Off,section:0,value:0),time:(from:'2016-08-27 05:19:52-0600',mode:absolute,to:'2016-08-27 07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34" s="54" t="str">
        <f>IF(AA34&lt;IF(AG34="EC",23,5.65),"Y","N")</f>
        <v>Y</v>
      </c>
      <c r="X34" s="120">
        <f>VALUE(LEFT(AD34,4))-VALUE(LEFT(AD33,4))</f>
        <v>1</v>
      </c>
      <c r="Y34" s="69">
        <f>RIGHT(D34,LEN(D34)-4)/10000</f>
        <v>6.4698000000000002</v>
      </c>
      <c r="Z34" s="69">
        <f>RIGHT(H34,LEN(H34)-4)/10000</f>
        <v>23.331099999999999</v>
      </c>
      <c r="AA34" s="69">
        <f>ABS(Z34-Y34)</f>
        <v>16.8613</v>
      </c>
      <c r="AB34" s="66" t="e">
        <f>VLOOKUP(A34,Enforcements!$C$7:$J$21,8,0)</f>
        <v>#N/A</v>
      </c>
      <c r="AC34" s="62" t="e">
        <f>VLOOKUP(A34,Enforcements!$C$7:$E$21,3,0)</f>
        <v>#N/A</v>
      </c>
      <c r="AD34" s="63" t="str">
        <f>IF(LEN(A34)=6,"0"&amp;A34,A34)</f>
        <v>0119-27</v>
      </c>
      <c r="AE34" s="99" t="str">
        <f>"aws s3 cp "&amp;s3_bucket&amp;"/RTDC"&amp;B34&amp;"/"&amp;TEXT(F34,"YYYY-MM-DD")&amp;"/ "&amp;search_path&amp;"\RTDC"&amp;B34&amp;"\"&amp;TEXT(F34,"YYYY-MM-DD")&amp;" --recursive &amp; """&amp;walkandungz&amp;""" "&amp;search_path&amp;"\RTDC"&amp;B34&amp;"\"&amp;TEXT(F34,"YYYY-MM-DD")
&amp;" &amp; "&amp;"aws s3 cp "&amp;s3_bucket&amp;"/RTDC"&amp;B34&amp;"/"&amp;TEXT(F34+1,"YYYY-MM-DD")&amp;"/ "&amp;search_path&amp;"\RTDC"&amp;B34&amp;"\"&amp;TEXT(F34+1,"YYYY-MM-DD")&amp;" --recursive &amp; """&amp;walkandungz&amp;""" "&amp;search_path&amp;"\RTDC"&amp;B34&amp;"\"&amp;TEXT(F34+1,"YYYY-MM-DD")</f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AF34" s="96" t="str">
        <f>astrogrep_path&amp;" /spath="&amp;search_path&amp;" /stypes=""*"&amp;B34&amp;"*"&amp;TEXT(I34-utc_offset/24,"YYYYMMDD")&amp;"*"" /stext="" "&amp;TEXT(I34-utc_offset/24,"HH")&amp;search_regexp&amp;""" /e /r /s"</f>
        <v>"C:\Program Files (x86)\AstroGrep\AstroGrep.exe" /spath="%USERPROFILE%\AppData\Local\Temp\OnboardLogs" /stypes="*4014*20160827*" /stext=" 12:.+((SYSTEM_STATE.+slice.+state.+changed )|(ment ac)|(system.+state.+changed )|(\|lc)|(penalty)|(\[timeout)|(PRM\|1\|D)|(kpr)|(kdp))" /e /r /s</v>
      </c>
      <c r="AG34" s="1" t="str">
        <f>IFERROR(IF(VALUE(LEFT(AD34,2))&lt;=2,"EC",IF(OR(VALUE(LEFT(AD34,2))=8,VALUE(LEFT(AD34,2))=18),"NW","Other")),"Other")</f>
        <v>EC</v>
      </c>
      <c r="AH34" s="100" t="str">
        <f t="shared" si="0"/>
        <v>"%USERPROFILE%\Documents\GitHub\eaglep3\Utilities\RefineRTDCRunTimes.py" --tripid 119-27 --locoid 4014 --swversion DE.1.0.7.0 --startMP 204:64698 --initTime 2016-08-27T06:19:52 --startdatetime 2016-08-27T06:21:29 --delay 1 --endMP 204:233311 --enddatetime 2016-08-27T06:51:08 --enforcementcount 0 &gt;&gt;C:\Users\stu\Documents\GitHub\eaglep3-reporting\EC\2016-08-27-refined-times.txt</v>
      </c>
      <c r="AI34" s="149" t="str">
        <f t="shared" si="1"/>
        <v>echo {"issue":{"subject":"Central Park XING failure","project_id":79,"tracker_id":40,"status_id":1,"priority_id":2,"assigned_to_id":23,"start_date":"2016-08-27","description":"","custom_fields":[{"id":1,"name":"Subdivision","value":"EC"},{"id":4,"name":"Milepost","value":"16.8613"},{"id":17,"name":"Train ID","value":"119-27"},{"id":16,"name":"Locomotive ID","value":"4014"},{"id":130,"name":"Impact","value":""},{"id":150,"name":"Time of Event (Mountain Time)","value":"06:51:08"},{"id":151,"name":"Denver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420</v>
      </c>
      <c r="B35" s="7">
        <v>4014</v>
      </c>
      <c r="C35" s="24" t="s">
        <v>113</v>
      </c>
      <c r="D35" s="24" t="s">
        <v>423</v>
      </c>
      <c r="E35" s="15">
        <v>42609.249212962961</v>
      </c>
      <c r="F35" s="15">
        <v>42609.264918981484</v>
      </c>
      <c r="G35" s="7">
        <v>1</v>
      </c>
      <c r="H35" s="15" t="s">
        <v>424</v>
      </c>
      <c r="I35" s="15">
        <v>42609.285509259258</v>
      </c>
      <c r="J35" s="7">
        <v>0</v>
      </c>
      <c r="K35" s="132" t="str">
        <f>IF(ISEVEN(B35),(B35-1)&amp;"/"&amp;B35,B35&amp;"/"&amp;(B35+1))</f>
        <v>4013/4014</v>
      </c>
      <c r="L35" s="24" t="str">
        <f>VLOOKUP(A35,'Trips&amp;Operators'!$C$1:$E$10000,3,FALSE)</f>
        <v>ACKERMAN</v>
      </c>
      <c r="M35" s="6">
        <f>I35-F35</f>
        <v>2.0590277774317656E-2</v>
      </c>
      <c r="N35" s="7"/>
      <c r="O35" s="7"/>
      <c r="P35" s="7"/>
      <c r="Q35" s="25"/>
      <c r="R35" s="25"/>
      <c r="S35" s="37"/>
      <c r="T35" s="52" t="str">
        <f>IF(ISEVEN(LEFT(AD35,4)),"Southbound","NorthBound")</f>
        <v>NorthBound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9</v>
      </c>
      <c r="V35" s="106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hh:mm:ss")&amp;"-0600',mode:absolute,to:'"&amp;TEXT(I35+1/24,"yyyy-MM-DD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https://search-rtdc-monitor-bjffxe2xuh6vdkpspy63sjmuny.us-east-1.es.amazonaws.com/_plugin/kibana/#/discover/Steve-Slow-Train-Analysis-(2080s-and-2083s)?_g=(refreshInterval:(display:Off,section:0,value:0),time:(from:'2016-08-27 04:58:52-0600',mode:absolute,to:'2016-08-27 07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35" s="54" t="str">
        <f>IF(AA35&lt;IF(AG35="EC",23,5.65),"Y","N")</f>
        <v>Y</v>
      </c>
      <c r="X35" s="120">
        <f>VALUE(LEFT(AD35,4))-VALUE(LEFT(AD34,4))</f>
        <v>0</v>
      </c>
      <c r="Y35" s="69">
        <f>RIGHT(D35,LEN(D35)-4)/10000</f>
        <v>7.8299999999999995E-2</v>
      </c>
      <c r="Z35" s="69">
        <f>RIGHT(H35,LEN(H35)-4)/10000</f>
        <v>6.3550000000000004</v>
      </c>
      <c r="AA35" s="69">
        <f>ABS(Z35-Y35)</f>
        <v>6.2767000000000008</v>
      </c>
      <c r="AB35" s="66" t="e">
        <f>VLOOKUP(A35,Enforcements!$C$7:$J$21,8,0)</f>
        <v>#N/A</v>
      </c>
      <c r="AC35" s="62" t="e">
        <f>VLOOKUP(A35,Enforcements!$C$7:$E$21,3,0)</f>
        <v>#N/A</v>
      </c>
      <c r="AD35" s="63" t="str">
        <f>IF(LEN(A35)=6,"0"&amp;A35,A35)</f>
        <v>0119-27</v>
      </c>
      <c r="AE35" s="99" t="str">
        <f>"aws s3 cp "&amp;s3_bucket&amp;"/RTDC"&amp;B35&amp;"/"&amp;TEXT(F35,"YYYY-MM-DD")&amp;"/ "&amp;search_path&amp;"\RTDC"&amp;B35&amp;"\"&amp;TEXT(F35,"YYYY-MM-DD")&amp;" --recursive &amp; """&amp;walkandungz&amp;""" "&amp;search_path&amp;"\RTDC"&amp;B35&amp;"\"&amp;TEXT(F35,"YYYY-MM-DD")
&amp;" &amp; "&amp;"aws s3 cp "&amp;s3_bucket&amp;"/RTDC"&amp;B35&amp;"/"&amp;TEXT(F35+1,"YYYY-MM-DD")&amp;"/ "&amp;search_path&amp;"\RTDC"&amp;B35&amp;"\"&amp;TEXT(F35+1,"YYYY-MM-DD")&amp;" --recursive &amp; """&amp;walkandungz&amp;""" "&amp;search_path&amp;"\RTDC"&amp;B35&amp;"\"&amp;TEXT(F35+1,"YYYY-MM-DD")</f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AF35" s="96" t="str">
        <f>astrogrep_path&amp;" /spath="&amp;search_path&amp;" /stypes=""*"&amp;B35&amp;"*"&amp;TEXT(I35-utc_offset/24,"YYYYMMDD")&amp;"*"" /stext="" "&amp;TEXT(I35-utc_offset/24,"HH")&amp;search_regexp&amp;""" /e /r /s"</f>
        <v>"C:\Program Files (x86)\AstroGrep\AstroGrep.exe" /spath="%USERPROFILE%\AppData\Local\Temp\OnboardLogs" /stypes="*4014*20160827*" /stext=" 12:.+((SYSTEM_STATE.+slice.+state.+changed )|(ment ac)|(system.+state.+changed )|(\|lc)|(penalty)|(\[timeout)|(PRM\|1\|D)|(kpr)|(kdp))" /e /r /s</v>
      </c>
      <c r="AG35" s="1" t="str">
        <f>IFERROR(IF(VALUE(LEFT(AD35,2))&lt;=2,"EC",IF(OR(VALUE(LEFT(AD35,2))=8,VALUE(LEFT(AD35,2))=18),"NW","Other")),"Other")</f>
        <v>EC</v>
      </c>
      <c r="AH35" s="100" t="str">
        <f t="shared" si="0"/>
        <v>"%USERPROFILE%\Documents\GitHub\eaglep3\Utilities\RefineRTDCRunTimes.py" --tripid 119-27 --locoid 4014 --swversion DE.1.0.7.0 --startMP 204:783 --initTime 2016-08-27T05:58:52 --startdatetime 2016-08-27T06:21:29 --delay 1 --endMP 204:63550 --enddatetime 2016-08-27T06:51:08 --enforcementcount 0 &gt;&gt;C:\Users\stu\Documents\GitHub\eaglep3-reporting\EC\2016-08-27-refined-times.txt</v>
      </c>
      <c r="AI35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{"issue":{"subject":"","project_id":79,"tracker_id":40,"status_id":1,"priority_id":2,"assigned_to_id":23,"start_date":"2016-08-27","description":"","custom_fields":[{"id":1,"name":"Subdivision","value":"EC"},{"id":4,"name":"Milepost","value":"6.2767"},{"id":17,"name":"Train ID","value":"119-27"},{"id":16,"name":"Locomotive ID","value":"4014"},{"id":130,"name":"Impact","value":""},{"id":150,"name":"Time of Event (Mountain Time)","value":"06:51:08"},{"id":151,"name":"Denver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425</v>
      </c>
      <c r="B36" s="7">
        <v>4013</v>
      </c>
      <c r="C36" s="24" t="s">
        <v>113</v>
      </c>
      <c r="D36" s="24" t="s">
        <v>134</v>
      </c>
      <c r="E36" s="15">
        <v>42609.294710648152</v>
      </c>
      <c r="F36" s="15">
        <v>42609.296886574077</v>
      </c>
      <c r="G36" s="7">
        <v>1</v>
      </c>
      <c r="H36" s="15" t="s">
        <v>426</v>
      </c>
      <c r="I36" s="15">
        <v>42609.339641203704</v>
      </c>
      <c r="J36" s="7">
        <v>0</v>
      </c>
      <c r="K36" s="132" t="str">
        <f>IF(ISEVEN(B36),(B36-1)&amp;"/"&amp;B36,B36&amp;"/"&amp;(B36+1))</f>
        <v>4013/4014</v>
      </c>
      <c r="L36" s="24" t="str">
        <f>VLOOKUP(A36,'Trips&amp;Operators'!$C$1:$E$10000,3,FALSE)</f>
        <v>ACKERMAN</v>
      </c>
      <c r="M36" s="6">
        <f>I36-F36</f>
        <v>4.2754629626870155E-2</v>
      </c>
      <c r="N36" s="7">
        <f>24*60*SUM($M36:$M36)</f>
        <v>61.566666662693024</v>
      </c>
      <c r="O36" s="7"/>
      <c r="P36" s="7"/>
      <c r="Q36" s="25"/>
      <c r="R36" s="25"/>
      <c r="S36" s="37">
        <f>SUM(U36:U36)/IF(AG36="EC",12,1)</f>
        <v>1</v>
      </c>
      <c r="T36" s="52" t="str">
        <f>IF(ISEVEN(LEFT(AD36,4)),"Southbound","NorthBound")</f>
        <v>Southbound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hh:mm:ss")&amp;"-0600',mode:absolute,to:'"&amp;TEXT(I36+1/24,"yyyy-MM-DD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https://search-rtdc-monitor-bjffxe2xuh6vdkpspy63sjmuny.us-east-1.es.amazonaws.com/_plugin/kibana/#/discover/Steve-Slow-Train-Analysis-(2080s-and-2083s)?_g=(refreshInterval:(display:Off,section:0,value:0),time:(from:'2016-08-27 06:04:23-0600',mode:absolute,to:'2016-08-27 09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36" s="54" t="str">
        <f>IF(AA36&lt;IF(AG36="EC",23,5.65),"Y","N")</f>
        <v>N</v>
      </c>
      <c r="X36" s="120">
        <f>VALUE(LEFT(AD36,4))-VALUE(LEFT(AD35,4))</f>
        <v>1</v>
      </c>
      <c r="Y36" s="69">
        <f>RIGHT(D36,LEN(D36)-4)/10000</f>
        <v>23.299399999999999</v>
      </c>
      <c r="Z36" s="69">
        <f>RIGHT(H36,LEN(H36)-4)/10000</f>
        <v>3.3300000000000003E-2</v>
      </c>
      <c r="AA36" s="69">
        <f>ABS(Z36-Y36)</f>
        <v>23.266099999999998</v>
      </c>
      <c r="AB36" s="66" t="e">
        <f>VLOOKUP(A36,Enforcements!$C$7:$J$21,8,0)</f>
        <v>#N/A</v>
      </c>
      <c r="AC36" s="62" t="e">
        <f>VLOOKUP(A36,Enforcements!$C$7:$E$21,3,0)</f>
        <v>#N/A</v>
      </c>
      <c r="AD36" s="63" t="str">
        <f>IF(LEN(A36)=6,"0"&amp;A36,A36)</f>
        <v>0120-27</v>
      </c>
      <c r="AE36" s="99" t="str">
        <f>"aws s3 cp "&amp;s3_bucket&amp;"/RTDC"&amp;B36&amp;"/"&amp;TEXT(F36,"YYYY-MM-DD")&amp;"/ "&amp;search_path&amp;"\RTDC"&amp;B36&amp;"\"&amp;TEXT(F36,"YYYY-MM-DD")&amp;" --recursive &amp; """&amp;walkandungz&amp;""" "&amp;search_path&amp;"\RTDC"&amp;B36&amp;"\"&amp;TEXT(F36,"YYYY-MM-DD")
&amp;" &amp; "&amp;"aws s3 cp "&amp;s3_bucket&amp;"/RTDC"&amp;B36&amp;"/"&amp;TEXT(F36+1,"YYYY-MM-DD")&amp;"/ "&amp;search_path&amp;"\RTDC"&amp;B36&amp;"\"&amp;TEXT(F36+1,"YYYY-MM-DD")&amp;" --recursive &amp; """&amp;walkandungz&amp;""" "&amp;search_path&amp;"\RTDC"&amp;B36&amp;"\"&amp;TEXT(F36+1,"YYYY-MM-DD")</f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AF36" s="96" t="str">
        <f>astrogrep_path&amp;" /spath="&amp;search_path&amp;" /stypes=""*"&amp;B36&amp;"*"&amp;TEXT(I36-utc_offset/24,"YYYYMMDD")&amp;"*"" /stext="" "&amp;TEXT(I36-utc_offset/24,"HH")&amp;search_regexp&amp;""" /e /r /s"</f>
        <v>"C:\Program Files (x86)\AstroGrep\AstroGrep.exe" /spath="%USERPROFILE%\AppData\Local\Temp\OnboardLogs" /stypes="*4013*20160827*" /stext=" 14:.+((SYSTEM_STATE.+slice.+state.+changed )|(ment ac)|(system.+state.+changed )|(\|lc)|(penalty)|(\[timeout)|(PRM\|1\|D)|(kpr)|(kdp))" /e /r /s</v>
      </c>
      <c r="AG36" s="1" t="str">
        <f>IFERROR(IF(VALUE(LEFT(AD36,2))&lt;=2,"EC",IF(OR(VALUE(LEFT(AD36,2))=8,VALUE(LEFT(AD36,2))=18),"NW","Other")),"Other")</f>
        <v>EC</v>
      </c>
      <c r="AH36" s="100" t="str">
        <f t="shared" si="0"/>
        <v>"%USERPROFILE%\Documents\GitHub\eaglep3\Utilities\RefineRTDCRunTimes.py" --tripid 120-27 --locoid 4013 --swversion DE.1.0.7.0 --startMP 204:232994 --initTime 2016-08-27T07:04:23 --startdatetime 2016-08-27T07:07:31 --delay 1 --endMP 204:333 --enddatetime 2016-08-27T08:09:05 --enforcementcount 0 &gt;&gt;C:\Users\stu\Documents\GitHub\eaglep3-reporting\EC\2016-08-27-refined-times.txt</v>
      </c>
      <c r="AI36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{"issue":{"subject":"","project_id":79,"tracker_id":40,"status_id":1,"priority_id":2,"assigned_to_id":23,"start_date":"2016-08-27","description":"","custom_fields":[{"id":1,"name":"Subdivision","value":"EC"},{"id":4,"name":"Milepost","value":"23.2661"},{"id":17,"name":"Train ID","value":"120-27"},{"id":16,"name":"Locomotive ID","value":"4013"},{"id":130,"name":"Impact","value":""},{"id":150,"name":"Time of Event (Mountain Time)","value":"08:09:05"},{"id":151,"name":"Denver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427</v>
      </c>
      <c r="B37" s="7">
        <v>4025</v>
      </c>
      <c r="C37" s="24" t="s">
        <v>113</v>
      </c>
      <c r="D37" s="24" t="s">
        <v>335</v>
      </c>
      <c r="E37" s="15">
        <v>42609.25613425926</v>
      </c>
      <c r="F37" s="15">
        <v>42609.375497685185</v>
      </c>
      <c r="G37" s="7">
        <v>1</v>
      </c>
      <c r="H37" s="15" t="s">
        <v>428</v>
      </c>
      <c r="I37" s="15">
        <v>42609.400196759256</v>
      </c>
      <c r="J37" s="7">
        <v>0</v>
      </c>
      <c r="K37" s="132" t="str">
        <f>IF(ISEVEN(B37),(B37-1)&amp;"/"&amp;B37,B37&amp;"/"&amp;(B37+1))</f>
        <v>4025/4026</v>
      </c>
      <c r="L37" s="24" t="str">
        <f>VLOOKUP(A37,'Trips&amp;Operators'!$C$1:$E$10000,3,FALSE)</f>
        <v>DAVIS</v>
      </c>
      <c r="M37" s="6">
        <f>I37-F37</f>
        <v>2.4699074070667848E-2</v>
      </c>
      <c r="N37" s="7"/>
      <c r="O37" s="7"/>
      <c r="P37" s="7">
        <f>24*60*SUM($M37:$M37)</f>
        <v>35.566666661761701</v>
      </c>
      <c r="Q37" s="25"/>
      <c r="R37" s="25" t="s">
        <v>699</v>
      </c>
      <c r="S37" s="37">
        <f>SUM(U37:U37)/IF(AG37="EC",12,1)</f>
        <v>0.58333333333333337</v>
      </c>
      <c r="T37" s="52" t="str">
        <f>IF(ISEVEN(LEFT(AD37,4)),"Southbound","NorthBound")</f>
        <v>NorthBound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7</v>
      </c>
      <c r="V37" s="106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hh:mm:ss")&amp;"-0600',mode:absolute,to:'"&amp;TEXT(I37+1/24,"yyyy-MM-DD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https://search-rtdc-monitor-bjffxe2xuh6vdkpspy63sjmuny.us-east-1.es.amazonaws.com/_plugin/kibana/#/discover/Steve-Slow-Train-Analysis-(2080s-and-2083s)?_g=(refreshInterval:(display:Off,section:0,value:0),time:(from:'2016-08-27 05:08:50-0600',mode:absolute,to:'2016-08-27 10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37" s="54" t="str">
        <f>IF(AA37&lt;IF(AG37="EC",23,5.65),"Y","N")</f>
        <v>Y</v>
      </c>
      <c r="X37" s="120">
        <f t="shared" ref="X37:X40" si="19">VALUE(LEFT(AD37,4))-VALUE(LEFT(AD36,4))</f>
        <v>1</v>
      </c>
      <c r="Y37" s="69">
        <f>RIGHT(D37,LEN(D37)-4)/10000</f>
        <v>4.58E-2</v>
      </c>
      <c r="Z37" s="69">
        <f>RIGHT(H37,LEN(H37)-4)/10000</f>
        <v>5.8752000000000004</v>
      </c>
      <c r="AA37" s="69">
        <f>ABS(Z37-Y37)</f>
        <v>5.8294000000000006</v>
      </c>
      <c r="AB37" s="66">
        <f>VLOOKUP(A37,Enforcements!$C$7:$J$21,8,0)</f>
        <v>58783</v>
      </c>
      <c r="AC37" s="62" t="str">
        <f>VLOOKUP(A37,Enforcements!$C$7:$E$21,3,0)</f>
        <v>GRADE CROSSING</v>
      </c>
      <c r="AD37" s="63" t="str">
        <f>IF(LEN(A37)=6,"0"&amp;A37,A37)</f>
        <v>0121-27</v>
      </c>
      <c r="AE37" s="99" t="str">
        <f>"aws s3 cp "&amp;s3_bucket&amp;"/RTDC"&amp;B37&amp;"/"&amp;TEXT(F37,"YYYY-MM-DD")&amp;"/ "&amp;search_path&amp;"\RTDC"&amp;B37&amp;"\"&amp;TEXT(F37,"YYYY-MM-DD")&amp;" --recursive &amp; """&amp;walkandungz&amp;""" "&amp;search_path&amp;"\RTDC"&amp;B37&amp;"\"&amp;TEXT(F37,"YYYY-MM-DD")
&amp;" &amp; "&amp;"aws s3 cp "&amp;s3_bucket&amp;"/RTDC"&amp;B37&amp;"/"&amp;TEXT(F37+1,"YYYY-MM-DD")&amp;"/ "&amp;search_path&amp;"\RTDC"&amp;B37&amp;"\"&amp;TEXT(F37+1,"YYYY-MM-DD")&amp;" --recursive &amp; """&amp;walkandungz&amp;""" "&amp;search_path&amp;"\RTDC"&amp;B37&amp;"\"&amp;TEXT(F37+1,"YYYY-MM-DD")</f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37" s="96" t="str">
        <f>astrogrep_path&amp;" /spath="&amp;search_path&amp;" /stypes=""*"&amp;B37&amp;"*"&amp;TEXT(I37-utc_offset/24,"YYYYMMDD")&amp;"*"" /stext="" "&amp;TEXT(I37-utc_offset/24,"HH")&amp;search_regexp&amp;""" /e /r /s"</f>
        <v>"C:\Program Files (x86)\AstroGrep\AstroGrep.exe" /spath="%USERPROFILE%\AppData\Local\Temp\OnboardLogs" /stypes="*4025*20160827*" /stext=" 15:.+((SYSTEM_STATE.+slice.+state.+changed )|(ment ac)|(system.+state.+changed )|(\|lc)|(penalty)|(\[timeout)|(PRM\|1\|D)|(kpr)|(kdp))" /e /r /s</v>
      </c>
      <c r="AG37" s="1" t="str">
        <f>IFERROR(IF(VALUE(LEFT(AD37,2))&lt;=2,"EC",IF(OR(VALUE(LEFT(AD37,2))=8,VALUE(LEFT(AD37,2))=18),"NW","Other")),"Other")</f>
        <v>EC</v>
      </c>
      <c r="AH37" s="100" t="str">
        <f t="shared" si="0"/>
        <v>"%USERPROFILE%\Documents\GitHub\eaglep3\Utilities\RefineRTDCRunTimes.py" --tripid 121-27 --locoid 4025 --swversion DE.1.0.7.0 --startMP 204:458 --initTime 2016-08-27T06:08:50 --startdatetime 2016-08-27T09:00:43 --delay 1 --endMP 204:58752 --enddatetime 2016-08-27T09:36:17 --enforcementcount 0 &gt;&gt;C:\Users\stu\Documents\GitHub\eaglep3-reporting\EC\2016-08-27-refined-times.txt</v>
      </c>
      <c r="AI37" s="149" t="str">
        <f t="shared" si="1"/>
        <v>echo {"issue":{"subject":"Central Park XING failure","project_id":79,"tracker_id":40,"status_id":1,"priority_id":2,"assigned_to_id":23,"start_date":"2016-08-27","description":"","custom_fields":[{"id":1,"name":"Subdivision","value":"EC"},{"id":4,"name":"Milepost","value":"5.8294"},{"id":17,"name":"Train ID","value":"121-27"},{"id":16,"name":"Locomotive ID","value":"4025"},{"id":130,"name":"Impact","value":""},{"id":150,"name":"Time of Event (Mountain Time)","value":"09:36:17"},{"id":151,"name":"Denver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429</v>
      </c>
      <c r="B38" s="7">
        <v>4026</v>
      </c>
      <c r="C38" s="24" t="s">
        <v>113</v>
      </c>
      <c r="D38" s="24" t="s">
        <v>344</v>
      </c>
      <c r="E38" s="15">
        <v>42609.323738425926</v>
      </c>
      <c r="F38" s="15">
        <v>42609.325891203705</v>
      </c>
      <c r="G38" s="7">
        <v>1</v>
      </c>
      <c r="H38" s="15" t="s">
        <v>136</v>
      </c>
      <c r="I38" s="15">
        <v>42609.362997685188</v>
      </c>
      <c r="J38" s="7">
        <v>0</v>
      </c>
      <c r="K38" s="132" t="str">
        <f>IF(ISEVEN(B38),(B38-1)&amp;"/"&amp;B38,B38&amp;"/"&amp;(B38+1))</f>
        <v>4025/4026</v>
      </c>
      <c r="L38" s="24" t="str">
        <f>VLOOKUP(A38,'Trips&amp;Operators'!$C$1:$E$10000,3,FALSE)</f>
        <v>DAVIS</v>
      </c>
      <c r="M38" s="6">
        <f>I38-F38</f>
        <v>3.7106481482624076E-2</v>
      </c>
      <c r="N38" s="7">
        <f>24*60*SUM($M38:$M38)</f>
        <v>53.43333333497867</v>
      </c>
      <c r="O38" s="7"/>
      <c r="P38" s="7"/>
      <c r="Q38" s="25"/>
      <c r="R38" s="25"/>
      <c r="S38" s="37">
        <f>SUM(U38:U38)/IF(AG38="EC",12,1)</f>
        <v>1</v>
      </c>
      <c r="T38" s="52" t="str">
        <f>IF(ISEVEN(LEFT(AD38,4)),"Southbound","NorthBound")</f>
        <v>Southbound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hh:mm:ss")&amp;"-0600',mode:absolute,to:'"&amp;TEXT(I38+1/24,"yyyy-MM-DD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https://search-rtdc-monitor-bjffxe2xuh6vdkpspy63sjmuny.us-east-1.es.amazonaws.com/_plugin/kibana/#/discover/Steve-Slow-Train-Analysis-(2080s-and-2083s)?_g=(refreshInterval:(display:Off,section:0,value:0),time:(from:'2016-08-27 06:46:11-0600',mode:absolute,to:'2016-08-27 09:42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38" s="54" t="str">
        <f>IF(AA38&lt;IF(AG38="EC",23,5.65),"Y","N")</f>
        <v>N</v>
      </c>
      <c r="X38" s="120">
        <f t="shared" si="19"/>
        <v>1</v>
      </c>
      <c r="Y38" s="69">
        <f>RIGHT(D38,LEN(D38)-4)/10000</f>
        <v>23.2988</v>
      </c>
      <c r="Z38" s="69">
        <f>RIGHT(H38,LEN(H38)-4)/10000</f>
        <v>1.49E-2</v>
      </c>
      <c r="AA38" s="69">
        <f>ABS(Z38-Y38)</f>
        <v>23.283899999999999</v>
      </c>
      <c r="AB38" s="66" t="e">
        <f>VLOOKUP(A38,Enforcements!$C$7:$J$21,8,0)</f>
        <v>#N/A</v>
      </c>
      <c r="AC38" s="62" t="e">
        <f>VLOOKUP(A38,Enforcements!$C$7:$E$21,3,0)</f>
        <v>#N/A</v>
      </c>
      <c r="AD38" s="63" t="str">
        <f>IF(LEN(A38)=6,"0"&amp;A38,A38)</f>
        <v>0122-27</v>
      </c>
      <c r="AE38" s="99" t="str">
        <f>"aws s3 cp "&amp;s3_bucket&amp;"/RTDC"&amp;B38&amp;"/"&amp;TEXT(F38,"YYYY-MM-DD")&amp;"/ "&amp;search_path&amp;"\RTDC"&amp;B38&amp;"\"&amp;TEXT(F38,"YYYY-MM-DD")&amp;" --recursive &amp; """&amp;walkandungz&amp;""" "&amp;search_path&amp;"\RTDC"&amp;B38&amp;"\"&amp;TEXT(F38,"YYYY-MM-DD")
&amp;" &amp; "&amp;"aws s3 cp "&amp;s3_bucket&amp;"/RTDC"&amp;B38&amp;"/"&amp;TEXT(F38+1,"YYYY-MM-DD")&amp;"/ "&amp;search_path&amp;"\RTDC"&amp;B38&amp;"\"&amp;TEXT(F38+1,"YYYY-MM-DD")&amp;" --recursive &amp; """&amp;walkandungz&amp;""" "&amp;search_path&amp;"\RTDC"&amp;B38&amp;"\"&amp;TEXT(F38+1,"YYYY-MM-DD")</f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38" s="96" t="str">
        <f>astrogrep_path&amp;" /spath="&amp;search_path&amp;" /stypes=""*"&amp;B38&amp;"*"&amp;TEXT(I38-utc_offset/24,"YYYYMMDD")&amp;"*"" /stext="" "&amp;TEXT(I38-utc_offset/24,"HH")&amp;search_regexp&amp;""" /e /r /s"</f>
        <v>"C:\Program Files (x86)\AstroGrep\AstroGrep.exe" /spath="%USERPROFILE%\AppData\Local\Temp\OnboardLogs" /stypes="*4026*20160827*" /stext=" 14:.+((SYSTEM_STATE.+slice.+state.+changed )|(ment ac)|(system.+state.+changed )|(\|lc)|(penalty)|(\[timeout)|(PRM\|1\|D)|(kpr)|(kdp))" /e /r /s</v>
      </c>
      <c r="AG38" s="1" t="str">
        <f>IFERROR(IF(VALUE(LEFT(AD38,2))&lt;=2,"EC",IF(OR(VALUE(LEFT(AD38,2))=8,VALUE(LEFT(AD38,2))=18),"NW","Other")),"Other")</f>
        <v>EC</v>
      </c>
      <c r="AH38" s="100" t="str">
        <f t="shared" si="0"/>
        <v>"%USERPROFILE%\Documents\GitHub\eaglep3\Utilities\RefineRTDCRunTimes.py" --tripid 122-27 --locoid 4026 --swversion DE.1.0.7.0 --startMP 204:232988 --initTime 2016-08-27T07:46:11 --startdatetime 2016-08-27T07:49:17 --delay 1 --endMP 204:149 --enddatetime 2016-08-27T08:42:43 --enforcementcount 0 &gt;&gt;C:\Users\stu\Documents\GitHub\eaglep3-reporting\EC\2016-08-27-refined-times.txt</v>
      </c>
      <c r="AI38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{"issue":{"subject":"","project_id":79,"tracker_id":40,"status_id":1,"priority_id":2,"assigned_to_id":23,"start_date":"2016-08-27","description":"","custom_fields":[{"id":1,"name":"Subdivision","value":"EC"},{"id":4,"name":"Milepost","value":"23.2839"},{"id":17,"name":"Train ID","value":"122-27"},{"id":16,"name":"Locomotive ID","value":"4026"},{"id":130,"name":"Impact","value":""},{"id":150,"name":"Time of Event (Mountain Time)","value":"08:42:43"},{"id":151,"name":"Denver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430</v>
      </c>
      <c r="B39" s="7">
        <v>4009</v>
      </c>
      <c r="C39" s="24" t="s">
        <v>113</v>
      </c>
      <c r="D39" s="24" t="s">
        <v>109</v>
      </c>
      <c r="E39" s="15">
        <v>42609.269143518519</v>
      </c>
      <c r="F39" s="15">
        <v>42609.27239583333</v>
      </c>
      <c r="G39" s="7">
        <v>1</v>
      </c>
      <c r="H39" s="15" t="s">
        <v>149</v>
      </c>
      <c r="I39" s="15">
        <v>42609.329560185186</v>
      </c>
      <c r="J39" s="7">
        <v>0</v>
      </c>
      <c r="K39" s="132" t="str">
        <f>IF(ISEVEN(B39),(B39-1)&amp;"/"&amp;B39,B39&amp;"/"&amp;(B39+1))</f>
        <v>4009/4010</v>
      </c>
      <c r="L39" s="24" t="str">
        <f>VLOOKUP(A39,'Trips&amp;Operators'!$C$1:$E$10000,3,FALSE)</f>
        <v>KILLION</v>
      </c>
      <c r="M39" s="6">
        <f>I39-F39</f>
        <v>5.7164351856044959E-2</v>
      </c>
      <c r="N39" s="7">
        <f>24*60*SUM($M39:$M39)</f>
        <v>82.316666672704741</v>
      </c>
      <c r="O39" s="7"/>
      <c r="P39" s="7"/>
      <c r="Q39" s="25"/>
      <c r="R39" s="25"/>
      <c r="S39" s="37">
        <f>SUM(U39:U39)/IF(AG39="EC",12,1)</f>
        <v>1</v>
      </c>
      <c r="T39" s="52" t="str">
        <f>IF(ISEVEN(LEFT(AD39,4)),"Southbound","NorthBound")</f>
        <v>NorthBound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hh:mm:ss")&amp;"-0600',mode:absolute,to:'"&amp;TEXT(I39+1/24,"yyyy-MM-DD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https://search-rtdc-monitor-bjffxe2xuh6vdkpspy63sjmuny.us-east-1.es.amazonaws.com/_plugin/kibana/#/discover/Steve-Slow-Train-Analysis-(2080s-and-2083s)?_g=(refreshInterval:(display:Off,section:0,value:0),time:(from:'2016-08-27 05:27:34-0600',mode:absolute,to:'2016-08-27 08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39" s="54" t="str">
        <f>IF(AA39&lt;IF(AG39="EC",23,5.65),"Y","N")</f>
        <v>N</v>
      </c>
      <c r="X39" s="120">
        <f t="shared" si="19"/>
        <v>1</v>
      </c>
      <c r="Y39" s="69">
        <f>RIGHT(D39,LEN(D39)-4)/10000</f>
        <v>4.6199999999999998E-2</v>
      </c>
      <c r="Z39" s="69">
        <f>RIGHT(H39,LEN(H39)-4)/10000</f>
        <v>23.33</v>
      </c>
      <c r="AA39" s="69">
        <f>ABS(Z39-Y39)</f>
        <v>23.283799999999999</v>
      </c>
      <c r="AB39" s="66" t="e">
        <f>VLOOKUP(A39,Enforcements!$C$7:$J$21,8,0)</f>
        <v>#N/A</v>
      </c>
      <c r="AC39" s="62" t="e">
        <f>VLOOKUP(A39,Enforcements!$C$7:$E$21,3,0)</f>
        <v>#N/A</v>
      </c>
      <c r="AD39" s="63" t="str">
        <f>IF(LEN(A39)=6,"0"&amp;A39,A39)</f>
        <v>0123-27</v>
      </c>
      <c r="AE39" s="99" t="str">
        <f>"aws s3 cp "&amp;s3_bucket&amp;"/RTDC"&amp;B39&amp;"/"&amp;TEXT(F39,"YYYY-MM-DD")&amp;"/ "&amp;search_path&amp;"\RTDC"&amp;B39&amp;"\"&amp;TEXT(F39,"YYYY-MM-DD")&amp;" --recursive &amp; """&amp;walkandungz&amp;""" "&amp;search_path&amp;"\RTDC"&amp;B39&amp;"\"&amp;TEXT(F39,"YYYY-MM-DD")
&amp;" &amp; "&amp;"aws s3 cp "&amp;s3_bucket&amp;"/RTDC"&amp;B39&amp;"/"&amp;TEXT(F39+1,"YYYY-MM-DD")&amp;"/ "&amp;search_path&amp;"\RTDC"&amp;B39&amp;"\"&amp;TEXT(F39+1,"YYYY-MM-DD")&amp;" --recursive &amp; """&amp;walkandungz&amp;""" "&amp;search_path&amp;"\RTDC"&amp;B39&amp;"\"&amp;TEXT(F39+1,"YYYY-MM-DD")</f>
        <v>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 &amp; 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</v>
      </c>
      <c r="AF39" s="96" t="str">
        <f>astrogrep_path&amp;" /spath="&amp;search_path&amp;" /stypes=""*"&amp;B39&amp;"*"&amp;TEXT(I39-utc_offset/24,"YYYYMMDD")&amp;"*"" /stext="" "&amp;TEXT(I39-utc_offset/24,"HH")&amp;search_regexp&amp;""" /e /r /s"</f>
        <v>"C:\Program Files (x86)\AstroGrep\AstroGrep.exe" /spath="%USERPROFILE%\AppData\Local\Temp\OnboardLogs" /stypes="*4009*20160827*" /stext=" 13:.+((SYSTEM_STATE.+slice.+state.+changed )|(ment ac)|(system.+state.+changed )|(\|lc)|(penalty)|(\[timeout)|(PRM\|1\|D)|(kpr)|(kdp))" /e /r /s</v>
      </c>
      <c r="AG39" s="1" t="str">
        <f>IFERROR(IF(VALUE(LEFT(AD39,2))&lt;=2,"EC",IF(OR(VALUE(LEFT(AD39,2))=8,VALUE(LEFT(AD39,2))=18),"NW","Other")),"Other")</f>
        <v>EC</v>
      </c>
      <c r="AH39" s="100" t="str">
        <f t="shared" si="0"/>
        <v>"%USERPROFILE%\Documents\GitHub\eaglep3\Utilities\RefineRTDCRunTimes.py" --tripid 123-27 --locoid 4009 --swversion DE.1.0.7.0 --startMP 204:462 --initTime 2016-08-27T06:27:34 --startdatetime 2016-08-27T06:32:15 --delay 1 --endMP 204:233300 --enddatetime 2016-08-27T07:54:34 --enforcementcount 0 &gt;&gt;C:\Users\stu\Documents\GitHub\eaglep3-reporting\EC\2016-08-27-refined-times.txt</v>
      </c>
      <c r="AI39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{"issue":{"subject":"","project_id":79,"tracker_id":40,"status_id":1,"priority_id":2,"assigned_to_id":23,"start_date":"2016-08-27","description":"","custom_fields":[{"id":1,"name":"Subdivision","value":"EC"},{"id":4,"name":"Milepost","value":"23.2838"},{"id":17,"name":"Train ID","value":"123-27"},{"id":16,"name":"Locomotive ID","value":"4009"},{"id":130,"name":"Impact","value":""},{"id":150,"name":"Time of Event (Mountain Time)","value":"07:54:34"},{"id":151,"name":"Denver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431</v>
      </c>
      <c r="B40" s="7">
        <v>4010</v>
      </c>
      <c r="C40" s="24" t="s">
        <v>113</v>
      </c>
      <c r="D40" s="24" t="s">
        <v>432</v>
      </c>
      <c r="E40" s="15">
        <v>42609.338958333334</v>
      </c>
      <c r="F40" s="15">
        <v>42609.340694444443</v>
      </c>
      <c r="G40" s="7">
        <v>1</v>
      </c>
      <c r="H40" s="15" t="s">
        <v>153</v>
      </c>
      <c r="I40" s="15">
        <v>42609.377453703702</v>
      </c>
      <c r="J40" s="7">
        <v>0</v>
      </c>
      <c r="K40" s="132" t="str">
        <f>IF(ISEVEN(B40),(B40-1)&amp;"/"&amp;B40,B40&amp;"/"&amp;(B40+1))</f>
        <v>4009/4010</v>
      </c>
      <c r="L40" s="24" t="str">
        <f>VLOOKUP(A40,'Trips&amp;Operators'!$C$1:$E$10000,3,FALSE)</f>
        <v>KILLION</v>
      </c>
      <c r="M40" s="6">
        <f>I40-F40</f>
        <v>3.6759259259270038E-2</v>
      </c>
      <c r="N40" s="7">
        <f>24*60*SUM($M40:$M40)</f>
        <v>52.933333333348855</v>
      </c>
      <c r="O40" s="7"/>
      <c r="P40" s="7"/>
      <c r="Q40" s="25"/>
      <c r="R40" s="25"/>
      <c r="S40" s="37">
        <f>SUM(U40:U40)/IF(AG40="EC",12,1)</f>
        <v>1</v>
      </c>
      <c r="T40" s="52" t="str">
        <f>IF(ISEVEN(LEFT(AD40,4)),"Southbound","NorthBound")</f>
        <v>Southbound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hh:mm:ss")&amp;"-0600',mode:absolute,to:'"&amp;TEXT(I40+1/24,"yyyy-MM-DD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https://search-rtdc-monitor-bjffxe2xuh6vdkpspy63sjmuny.us-east-1.es.amazonaws.com/_plugin/kibana/#/discover/Steve-Slow-Train-Analysis-(2080s-and-2083s)?_g=(refreshInterval:(display:Off,section:0,value:0),time:(from:'2016-08-27 07:08:06-0600',mode:absolute,to:'2016-08-27 10:03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40" s="54" t="str">
        <f>IF(AA40&lt;IF(AG40="EC",23,5.65),"Y","N")</f>
        <v>N</v>
      </c>
      <c r="X40" s="120">
        <f t="shared" si="19"/>
        <v>1</v>
      </c>
      <c r="Y40" s="69">
        <f>RIGHT(D40,LEN(D40)-4)/10000</f>
        <v>23.298300000000001</v>
      </c>
      <c r="Z40" s="69">
        <f>RIGHT(H40,LEN(H40)-4)/10000</f>
        <v>1.5599999999999999E-2</v>
      </c>
      <c r="AA40" s="69">
        <f>ABS(Z40-Y40)</f>
        <v>23.282700000000002</v>
      </c>
      <c r="AB40" s="66" t="e">
        <f>VLOOKUP(A40,Enforcements!$C$7:$J$21,8,0)</f>
        <v>#N/A</v>
      </c>
      <c r="AC40" s="62" t="e">
        <f>VLOOKUP(A40,Enforcements!$C$7:$E$21,3,0)</f>
        <v>#N/A</v>
      </c>
      <c r="AD40" s="63" t="str">
        <f>IF(LEN(A40)=6,"0"&amp;A40,A40)</f>
        <v>0124-27</v>
      </c>
      <c r="AE40" s="99" t="str">
        <f>"aws s3 cp "&amp;s3_bucket&amp;"/RTDC"&amp;B40&amp;"/"&amp;TEXT(F40,"YYYY-MM-DD")&amp;"/ "&amp;search_path&amp;"\RTDC"&amp;B40&amp;"\"&amp;TEXT(F40,"YYYY-MM-DD")&amp;" --recursive &amp; """&amp;walkandungz&amp;""" "&amp;search_path&amp;"\RTDC"&amp;B40&amp;"\"&amp;TEXT(F40,"YYYY-MM-DD")
&amp;" &amp; "&amp;"aws s3 cp "&amp;s3_bucket&amp;"/RTDC"&amp;B40&amp;"/"&amp;TEXT(F40+1,"YYYY-MM-DD")&amp;"/ "&amp;search_path&amp;"\RTDC"&amp;B40&amp;"\"&amp;TEXT(F40+1,"YYYY-MM-DD")&amp;" --recursive &amp; """&amp;walkandungz&amp;""" "&amp;search_path&amp;"\RTDC"&amp;B40&amp;"\"&amp;TEXT(F40+1,"YYYY-MM-DD")</f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AF40" s="96" t="str">
        <f>astrogrep_path&amp;" /spath="&amp;search_path&amp;" /stypes=""*"&amp;B40&amp;"*"&amp;TEXT(I40-utc_offset/24,"YYYYMMDD")&amp;"*"" /stext="" "&amp;TEXT(I40-utc_offset/24,"HH")&amp;search_regexp&amp;""" /e /r /s"</f>
        <v>"C:\Program Files (x86)\AstroGrep\AstroGrep.exe" /spath="%USERPROFILE%\AppData\Local\Temp\OnboardLogs" /stypes="*4010*20160827*" /stext=" 15:.+((SYSTEM_STATE.+slice.+state.+changed )|(ment ac)|(system.+state.+changed )|(\|lc)|(penalty)|(\[timeout)|(PRM\|1\|D)|(kpr)|(kdp))" /e /r /s</v>
      </c>
      <c r="AG40" s="1" t="str">
        <f>IFERROR(IF(VALUE(LEFT(AD40,2))&lt;=2,"EC",IF(OR(VALUE(LEFT(AD40,2))=8,VALUE(LEFT(AD40,2))=18),"NW","Other")),"Other")</f>
        <v>EC</v>
      </c>
      <c r="AH40" s="100" t="str">
        <f t="shared" si="0"/>
        <v>"%USERPROFILE%\Documents\GitHub\eaglep3\Utilities\RefineRTDCRunTimes.py" --tripid 124-27 --locoid 4010 --swversion DE.1.0.7.0 --startMP 204:232983 --initTime 2016-08-27T08:08:06 --startdatetime 2016-08-27T08:10:36 --delay 1 --endMP 204:156 --enddatetime 2016-08-27T09:03:32 --enforcementcount 0 &gt;&gt;C:\Users\stu\Documents\GitHub\eaglep3-reporting\EC\2016-08-27-refined-times.txt</v>
      </c>
      <c r="AI40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{"issue":{"subject":"","project_id":79,"tracker_id":40,"status_id":1,"priority_id":2,"assigned_to_id":23,"start_date":"2016-08-27","description":"","custom_fields":[{"id":1,"name":"Subdivision","value":"EC"},{"id":4,"name":"Milepost","value":"23.2827"},{"id":17,"name":"Train ID","value":"124-27"},{"id":16,"name":"Locomotive ID","value":"4010"},{"id":130,"name":"Impact","value":""},{"id":150,"name":"Time of Event (Mountain Time)","value":"09:03:32"},{"id":151,"name":"Denver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433</v>
      </c>
      <c r="B41" s="7">
        <v>4020</v>
      </c>
      <c r="C41" s="24" t="s">
        <v>113</v>
      </c>
      <c r="D41" s="24" t="s">
        <v>184</v>
      </c>
      <c r="E41" s="15">
        <v>42609.305185185185</v>
      </c>
      <c r="F41" s="15">
        <v>42609.310729166667</v>
      </c>
      <c r="G41" s="7">
        <v>7</v>
      </c>
      <c r="H41" s="15" t="s">
        <v>279</v>
      </c>
      <c r="I41" s="15">
        <v>42609.342974537038</v>
      </c>
      <c r="J41" s="7">
        <v>0</v>
      </c>
      <c r="K41" s="132" t="str">
        <f>IF(ISEVEN(B41),(B41-1)&amp;"/"&amp;B41,B41&amp;"/"&amp;(B41+1))</f>
        <v>4019/4020</v>
      </c>
      <c r="L41" s="24" t="str">
        <f>VLOOKUP(A41,'Trips&amp;Operators'!$C$1:$E$10000,3,FALSE)</f>
        <v>MAHAN</v>
      </c>
      <c r="M41" s="6">
        <f>I41-F41</f>
        <v>3.2245370370219462E-2</v>
      </c>
      <c r="N41" s="7">
        <f>24*60*SUM($M41:$M41)</f>
        <v>46.433333333116025</v>
      </c>
      <c r="O41" s="7"/>
      <c r="P41" s="7"/>
      <c r="Q41" s="25"/>
      <c r="R41" s="25"/>
      <c r="S41" s="37">
        <f>SUM(U41:U41)/IF(AG41="EC",12,1)</f>
        <v>1</v>
      </c>
      <c r="T41" s="52" t="str">
        <f>IF(ISEVEN(LEFT(AD41,4)),"Southbound","NorthBound")</f>
        <v>NorthBound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hh:mm:ss")&amp;"-0600',mode:absolute,to:'"&amp;TEXT(I41+1/24,"yyyy-MM-DD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https://search-rtdc-monitor-bjffxe2xuh6vdkpspy63sjmuny.us-east-1.es.amazonaws.com/_plugin/kibana/#/discover/Steve-Slow-Train-Analysis-(2080s-and-2083s)?_g=(refreshInterval:(display:Off,section:0,value:0),time:(from:'2016-08-27 06:19:28-0600',mode:absolute,to:'2016-08-27 09:13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41" s="54" t="str">
        <f>IF(AA41&lt;IF(AG41="EC",23,5.65),"Y","N")</f>
        <v>N</v>
      </c>
      <c r="X41" s="120">
        <f t="shared" ref="X41:X54" si="20">VALUE(LEFT(AD41,4))-VALUE(LEFT(AD40,4))</f>
        <v>1</v>
      </c>
      <c r="Y41" s="69">
        <f>RIGHT(D41,LEN(D41)-4)/10000</f>
        <v>4.4699999999999997E-2</v>
      </c>
      <c r="Z41" s="69">
        <f>RIGHT(H41,LEN(H41)-4)/10000</f>
        <v>23.330100000000002</v>
      </c>
      <c r="AA41" s="69">
        <f>ABS(Z41-Y41)</f>
        <v>23.285400000000003</v>
      </c>
      <c r="AB41" s="66" t="e">
        <f>VLOOKUP(A41,Enforcements!$C$7:$J$21,8,0)</f>
        <v>#N/A</v>
      </c>
      <c r="AC41" s="62" t="e">
        <f>VLOOKUP(A41,Enforcements!$C$7:$E$21,3,0)</f>
        <v>#N/A</v>
      </c>
      <c r="AD41" s="63" t="str">
        <f>IF(LEN(A41)=6,"0"&amp;A41,A41)</f>
        <v>0125-27</v>
      </c>
      <c r="AE41" s="99" t="str">
        <f>"aws s3 cp "&amp;s3_bucket&amp;"/RTDC"&amp;B41&amp;"/"&amp;TEXT(F41,"YYYY-MM-DD")&amp;"/ "&amp;search_path&amp;"\RTDC"&amp;B41&amp;"\"&amp;TEXT(F41,"YYYY-MM-DD")&amp;" --recursive &amp; """&amp;walkandungz&amp;""" "&amp;search_path&amp;"\RTDC"&amp;B41&amp;"\"&amp;TEXT(F41,"YYYY-MM-DD")
&amp;" &amp; "&amp;"aws s3 cp "&amp;s3_bucket&amp;"/RTDC"&amp;B41&amp;"/"&amp;TEXT(F41+1,"YYYY-MM-DD")&amp;"/ "&amp;search_path&amp;"\RTDC"&amp;B41&amp;"\"&amp;TEXT(F41+1,"YYYY-MM-DD")&amp;" --recursive &amp; """&amp;walkandungz&amp;""" "&amp;search_path&amp;"\RTDC"&amp;B41&amp;"\"&amp;TEXT(F41+1,"YYYY-MM-DD")</f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41" s="96" t="str">
        <f>astrogrep_path&amp;" /spath="&amp;search_path&amp;" /stypes=""*"&amp;B41&amp;"*"&amp;TEXT(I41-utc_offset/24,"YYYYMMDD")&amp;"*"" /stext="" "&amp;TEXT(I41-utc_offset/24,"HH")&amp;search_regexp&amp;""" /e /r /s"</f>
        <v>"C:\Program Files (x86)\AstroGrep\AstroGrep.exe" /spath="%USERPROFILE%\AppData\Local\Temp\OnboardLogs" /stypes="*4020*20160827*" /stext=" 14:.+((SYSTEM_STATE.+slice.+state.+changed )|(ment ac)|(system.+state.+changed )|(\|lc)|(penalty)|(\[timeout)|(PRM\|1\|D)|(kpr)|(kdp))" /e /r /s</v>
      </c>
      <c r="AG41" s="1" t="str">
        <f>IFERROR(IF(VALUE(LEFT(AD41,2))&lt;=2,"EC",IF(OR(VALUE(LEFT(AD41,2))=8,VALUE(LEFT(AD41,2))=18),"NW","Other")),"Other")</f>
        <v>EC</v>
      </c>
      <c r="AH41" s="100" t="str">
        <f t="shared" si="0"/>
        <v>"%USERPROFILE%\Documents\GitHub\eaglep3\Utilities\RefineRTDCRunTimes.py" --tripid 125-27 --locoid 4020 --swversion DE.1.0.7.0 --startMP 204:447 --initTime 2016-08-27T07:19:28 --startdatetime 2016-08-27T07:27:27 --delay 7 --endMP 204:233301 --enddatetime 2016-08-27T08:13:53 --enforcementcount 0 &gt;&gt;C:\Users\stu\Documents\GitHub\eaglep3-reporting\EC\2016-08-27-refined-times.txt</v>
      </c>
      <c r="AI41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{"issue":{"subject":"","project_id":79,"tracker_id":40,"status_id":1,"priority_id":2,"assigned_to_id":23,"start_date":"2016-08-27","description":"","custom_fields":[{"id":1,"name":"Subdivision","value":"EC"},{"id":4,"name":"Milepost","value":"23.2854"},{"id":17,"name":"Train ID","value":"125-27"},{"id":16,"name":"Locomotive ID","value":"4020"},{"id":130,"name":"Impact","value":""},{"id":150,"name":"Time of Event (Mountain Time)","value":"08:13:53"},{"id":151,"name":"Denver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434</v>
      </c>
      <c r="B42" s="7">
        <v>4019</v>
      </c>
      <c r="C42" s="24" t="s">
        <v>113</v>
      </c>
      <c r="D42" s="24" t="s">
        <v>412</v>
      </c>
      <c r="E42" s="15">
        <v>42609.345937500002</v>
      </c>
      <c r="F42" s="15">
        <v>42609.356180555558</v>
      </c>
      <c r="G42" s="7">
        <v>1</v>
      </c>
      <c r="H42" s="15" t="s">
        <v>172</v>
      </c>
      <c r="I42" s="15">
        <v>42609.392395833333</v>
      </c>
      <c r="J42" s="7">
        <v>0</v>
      </c>
      <c r="K42" s="132" t="str">
        <f>IF(ISEVEN(B42),(B42-1)&amp;"/"&amp;B42,B42&amp;"/"&amp;(B42+1))</f>
        <v>4019/4020</v>
      </c>
      <c r="L42" s="24" t="str">
        <f>VLOOKUP(A42,'Trips&amp;Operators'!$C$1:$E$10000,3,FALSE)</f>
        <v>MAHAN</v>
      </c>
      <c r="M42" s="6">
        <f>I42-F42</f>
        <v>3.6215277774317656E-2</v>
      </c>
      <c r="N42" s="7">
        <f>24*60*SUM($M42:$M42)</f>
        <v>52.149999995017424</v>
      </c>
      <c r="O42" s="7"/>
      <c r="P42" s="7"/>
      <c r="Q42" s="25"/>
      <c r="R42" s="25"/>
      <c r="S42" s="37">
        <f>SUM(U42:U42)/IF(AG42="EC",12,1)</f>
        <v>1</v>
      </c>
      <c r="T42" s="52" t="str">
        <f>IF(ISEVEN(LEFT(AD42,4)),"Southbound","NorthBound")</f>
        <v>Southbound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hh:mm:ss")&amp;"-0600',mode:absolute,to:'"&amp;TEXT(I42+1/24,"yyyy-MM-DD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https://search-rtdc-monitor-bjffxe2xuh6vdkpspy63sjmuny.us-east-1.es.amazonaws.com/_plugin/kibana/#/discover/Steve-Slow-Train-Analysis-(2080s-and-2083s)?_g=(refreshInterval:(display:Off,section:0,value:0),time:(from:'2016-08-27 07:18:09-0600',mode:absolute,to:'2016-08-27 10:25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42" s="54" t="str">
        <f>IF(AA42&lt;IF(AG42="EC",23,5.65),"Y","N")</f>
        <v>N</v>
      </c>
      <c r="X42" s="120">
        <f t="shared" si="20"/>
        <v>1</v>
      </c>
      <c r="Y42" s="69">
        <f>RIGHT(D42,LEN(D42)-4)/10000</f>
        <v>23.2973</v>
      </c>
      <c r="Z42" s="69">
        <f>RIGHT(H42,LEN(H42)-4)/10000</f>
        <v>1.52E-2</v>
      </c>
      <c r="AA42" s="69">
        <f>ABS(Z42-Y42)</f>
        <v>23.2821</v>
      </c>
      <c r="AB42" s="66" t="e">
        <f>VLOOKUP(A42,Enforcements!$C$7:$J$21,8,0)</f>
        <v>#N/A</v>
      </c>
      <c r="AC42" s="62" t="e">
        <f>VLOOKUP(A42,Enforcements!$C$7:$E$21,3,0)</f>
        <v>#N/A</v>
      </c>
      <c r="AD42" s="63" t="str">
        <f>IF(LEN(A42)=6,"0"&amp;A42,A42)</f>
        <v>0126-27</v>
      </c>
      <c r="AE42" s="99" t="str">
        <f>"aws s3 cp "&amp;s3_bucket&amp;"/RTDC"&amp;B42&amp;"/"&amp;TEXT(F42,"YYYY-MM-DD")&amp;"/ "&amp;search_path&amp;"\RTDC"&amp;B42&amp;"\"&amp;TEXT(F42,"YYYY-MM-DD")&amp;" --recursive &amp; """&amp;walkandungz&amp;""" "&amp;search_path&amp;"\RTDC"&amp;B42&amp;"\"&amp;TEXT(F42,"YYYY-MM-DD")
&amp;" &amp; "&amp;"aws s3 cp "&amp;s3_bucket&amp;"/RTDC"&amp;B42&amp;"/"&amp;TEXT(F42+1,"YYYY-MM-DD")&amp;"/ "&amp;search_path&amp;"\RTDC"&amp;B42&amp;"\"&amp;TEXT(F42+1,"YYYY-MM-DD")&amp;" --recursive &amp; """&amp;walkandungz&amp;""" "&amp;search_path&amp;"\RTDC"&amp;B42&amp;"\"&amp;TEXT(F42+1,"YYYY-MM-DD")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42" s="96" t="str">
        <f>astrogrep_path&amp;" /spath="&amp;search_path&amp;" /stypes=""*"&amp;B42&amp;"*"&amp;TEXT(I42-utc_offset/24,"YYYYMMDD")&amp;"*"" /stext="" "&amp;TEXT(I42-utc_offset/24,"HH")&amp;search_regexp&amp;""" /e /r /s"</f>
        <v>"C:\Program Files (x86)\AstroGrep\AstroGrep.exe" /spath="%USERPROFILE%\AppData\Local\Temp\OnboardLogs" /stypes="*4019*20160827*" /stext=" 15:.+((SYSTEM_STATE.+slice.+state.+changed )|(ment ac)|(system.+state.+changed )|(\|lc)|(penalty)|(\[timeout)|(PRM\|1\|D)|(kpr)|(kdp))" /e /r /s</v>
      </c>
      <c r="AG42" s="1" t="str">
        <f>IFERROR(IF(VALUE(LEFT(AD42,2))&lt;=2,"EC",IF(OR(VALUE(LEFT(AD42,2))=8,VALUE(LEFT(AD42,2))=18),"NW","Other")),"Other")</f>
        <v>EC</v>
      </c>
      <c r="AH42" s="100" t="str">
        <f t="shared" si="0"/>
        <v>"%USERPROFILE%\Documents\GitHub\eaglep3\Utilities\RefineRTDCRunTimes.py" --tripid 126-27 --locoid 4019 --swversion DE.1.0.7.0 --startMP 204:232973 --initTime 2016-08-27T08:18:09 --startdatetime 2016-08-27T08:32:54 --delay 1 --endMP 204:152 --enddatetime 2016-08-27T09:25:03 --enforcementcount 0 &gt;&gt;C:\Users\stu\Documents\GitHub\eaglep3-reporting\EC\2016-08-27-refined-times.txt</v>
      </c>
      <c r="AI42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{"issue":{"subject":"","project_id":79,"tracker_id":40,"status_id":1,"priority_id":2,"assigned_to_id":23,"start_date":"2016-08-27","description":"","custom_fields":[{"id":1,"name":"Subdivision","value":"EC"},{"id":4,"name":"Milepost","value":"23.2821"},{"id":17,"name":"Train ID","value":"126-27"},{"id":16,"name":"Locomotive ID","value":"4019"},{"id":130,"name":"Impact","value":""},{"id":150,"name":"Time of Event (Mountain Time)","value":"09:25:03"},{"id":151,"name":"Denver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693</v>
      </c>
      <c r="B43" s="7"/>
      <c r="C43" s="24" t="s">
        <v>113</v>
      </c>
      <c r="D43" s="24" t="s">
        <v>412</v>
      </c>
      <c r="E43" s="15">
        <v>42609.345937500002</v>
      </c>
      <c r="F43" s="15"/>
      <c r="G43" s="7"/>
      <c r="H43" s="15"/>
      <c r="I43" s="15"/>
      <c r="J43" s="7"/>
      <c r="K43" s="132" t="str">
        <f t="shared" ref="K43:K48" si="21">IF(ISEVEN(B43),(B43-1)&amp;"/"&amp;B43,B43&amp;"/"&amp;(B43+1))</f>
        <v>-1/</v>
      </c>
      <c r="L43" s="24" t="e">
        <f>VLOOKUP(A43,'Trips&amp;Operators'!$C$1:$E$10000,3,FALSE)</f>
        <v>#N/A</v>
      </c>
      <c r="M43" s="6">
        <f t="shared" ref="M43:M48" si="22">I43-F43</f>
        <v>0</v>
      </c>
      <c r="N43" s="7"/>
      <c r="O43" s="7"/>
      <c r="P43" s="7">
        <v>1</v>
      </c>
      <c r="Q43" s="25"/>
      <c r="R43" s="25" t="s">
        <v>295</v>
      </c>
      <c r="S43" s="37">
        <f t="shared" ref="S43:S48" si="23">SUM(U43:U43)/IF(AG43="EC",12,1)</f>
        <v>0</v>
      </c>
      <c r="T43" s="52" t="str">
        <f t="shared" ref="T43:T48" si="24">IF(ISEVEN(LEFT(AD43,4)),"Southbound","NorthBound")</f>
        <v>NorthBound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106" t="str">
        <f t="shared" ref="V43:V48" si="25">"https://search-rtdc-monitor-bjffxe2xuh6vdkpspy63sjmuny.us-east-1.es.amazonaws.com/_plugin/kibana/#/discover/Steve-Slow-Train-Analysis-(2080s-and-2083s)?_g=(refreshInterval:(display:Off,section:0,value:0),time:(from:'"&amp;TEXT(E43-1/24,"yyyy-MM-DD hh:mm:ss")&amp;"-0600',mode:absolute,to:'"&amp;TEXT(I43+1/24,"yyyy-MM-DD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https://search-rtdc-monitor-bjffxe2xuh6vdkpspy63sjmuny.us-east-1.es.amazonaws.com/_plugin/kibana/#/discover/Steve-Slow-Train-Analysis-(2080s-and-2083s)?_g=(refreshInterval:(display:Off,section:0,value:0),time:(from:'2016-08-27 07:18:09-0600',mode:absolute,to:'1900-01-00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43" s="54" t="e">
        <f t="shared" ref="W43:W48" si="26">IF(AA43&lt;IF(AG43="EC",23,5.65),"Y","N")</f>
        <v>#VALUE!</v>
      </c>
      <c r="X43" s="120">
        <f t="shared" si="20"/>
        <v>1</v>
      </c>
      <c r="Y43" s="69">
        <f t="shared" ref="Y43:Y48" si="27">RIGHT(D43,LEN(D43)-4)/10000</f>
        <v>23.2973</v>
      </c>
      <c r="Z43" s="69" t="e">
        <f t="shared" ref="Z43:Z48" si="28">RIGHT(H43,LEN(H43)-4)/10000</f>
        <v>#VALUE!</v>
      </c>
      <c r="AA43" s="69" t="e">
        <f t="shared" ref="AA43:AA48" si="29">ABS(Z43-Y43)</f>
        <v>#VALUE!</v>
      </c>
      <c r="AB43" s="66" t="e">
        <f>VLOOKUP(A43,Enforcements!$C$7:$J$21,8,0)</f>
        <v>#N/A</v>
      </c>
      <c r="AC43" s="62" t="e">
        <f>VLOOKUP(A43,Enforcements!$C$7:$E$21,3,0)</f>
        <v>#N/A</v>
      </c>
      <c r="AD43" s="63" t="str">
        <f t="shared" ref="AD43:AD48" si="30">IF(LEN(A43)=6,"0"&amp;A43,A43)</f>
        <v>0127-27</v>
      </c>
      <c r="AE43" s="99" t="str">
        <f>"aws s3 cp "&amp;s3_bucket&amp;"/RTDC"&amp;B43&amp;"/"&amp;TEXT(F43,"YYYY-MM-DD")&amp;"/ "&amp;search_path&amp;"\RTDC"&amp;B43&amp;"\"&amp;TEXT(F43,"YYYY-MM-DD")&amp;" --recursive &amp; """&amp;walkandungz&amp;""" "&amp;search_path&amp;"\RTDC"&amp;B43&amp;"\"&amp;TEXT(F43,"YYYY-MM-DD")
&amp;" &amp; "&amp;"aws s3 cp "&amp;s3_bucket&amp;"/RTDC"&amp;B43&amp;"/"&amp;TEXT(F43+1,"YYYY-MM-DD")&amp;"/ "&amp;search_path&amp;"\RTDC"&amp;B43&amp;"\"&amp;TEXT(F43+1,"YYYY-MM-DD")&amp;" --recursive &amp; """&amp;walkandungz&amp;""" "&amp;search_path&amp;"\RTDC"&amp;B43&amp;"\"&amp;TEXT(F43+1,"YYYY-MM-DD")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43" s="96" t="str">
        <f>astrogrep_path&amp;" /spath="&amp;search_path&amp;" /stypes=""*"&amp;B43&amp;"*"&amp;TEXT(I43-utc_offset/24,"YYYYMMDD")&amp;"*"" /stext="" "&amp;TEXT(I43-utc_offset/24,"HH")&amp;search_regexp&amp;""" /e /r /s"</f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43" s="1" t="str">
        <f t="shared" ref="AG43:AG48" si="31">IFERROR(IF(VALUE(LEFT(AD43,2))&lt;=2,"EC",IF(OR(VALUE(LEFT(AD43,2))=8,VALUE(LEFT(AD43,2))=18),"NW","Other")),"Other")</f>
        <v>EC</v>
      </c>
      <c r="AH43" s="100" t="str">
        <f t="shared" ref="AH43:AH48" si="32">refinertdcruntimes&amp;" --tripid "&amp;A43&amp;" --locoid "&amp;B43&amp;" --swversion "&amp;C43&amp;" --startMP "&amp;D43&amp;" --initTime "&amp;TEXT(E43,"yyyy-mm-ddTHH:MM:SS")&amp;" --startdatetime "&amp;TEXT(F43,"yyyy-mm-ddTHH:MM:SS")&amp;" --delay "&amp;G43&amp;" --endMP "&amp;H43&amp;" --enddatetime "&amp;TEXT(I43,"yyyy-mm-ddTHH:MM:SS")&amp;" --enforcementcount "&amp;J43&amp;IF(outputrefinedruntimes," &gt;&gt;"&amp;RefinedRTDCRunTimesOutputFile,"")</f>
        <v>"%USERPROFILE%\Documents\GitHub\eaglep3\Utilities\RefineRTDCRunTimes.py" --tripid 127-27 --locoid  --swversion DE.1.0.7.0 --startMP 204:232973 --initTime 2016-08-27T08:18:09 --startdatetime 1900-01-00T00:00:00 --delay  --endMP  --enddatetime 1900-01-00T00:00:00 --enforcementcount  &gt;&gt;C:\Users\stu\Documents\GitHub\eaglep3-reporting\EC\2016-08-27-refined-times.txt</v>
      </c>
      <c r="AI43" s="149" t="e">
        <f t="shared" ref="AI43:AI48" si="33">"echo {""issue"":{""subject"":"""&amp;R43&amp;""",""project_id"":79,""tracker_id"":40,""status_id"":"&amp;redmine_status&amp;",""priority_id"":"&amp;redmine_priority&amp;",""assigned_to_id"":"&amp;redmine_assignee&amp;",""start_date"":"""&amp;TEXT(I43,"YYYY-mm-dd")&amp;""",""description"":"""&amp;AJ43&amp;""",""custom_fields"":[{""id"":1,""name"":""Subdivision"",""value"":"""&amp;AG43&amp;"""},{""id"":4,""name"":""Milepost"",""value"":"""&amp;AA43&amp;"""},{""id"":17,""name"":""Train ID"",""value"":"""&amp;A43&amp;"""},{""id"":16,""name"":""Locomotive ID"",""value"":"""&amp;B43&amp;"""},{""id"":130,""name"":""Impact"",""value"":"""&amp;AK43&amp;"""},{""id"":150,""name"":""Time of Event (Mountain Time)"",""value"":"""&amp;TEXT(I43,"hh:mm:ss")&amp;"""},{""id"":151,""name"":""Denver Issue ID"",""value"":"""&amp;"""},{""id"":178,""name"":""Operational Impact"",""value"":"""&amp;redmine_op_impact&amp;"""},{""id"":179,""name"":""Denver Segment Assigned"",""value"":"""&amp;AL43&amp;"""}]}}"&amp;" | curl -X POST -H ""Content-Type: application/json"" -H ""X-Redmine-API-Key: "&amp;redm_api_key&amp;""" "&amp;redm_url&amp;" --data @-"</f>
        <v>#VALUE!</v>
      </c>
      <c r="AJ43" s="55"/>
      <c r="AK43" s="55"/>
      <c r="AL43" s="55"/>
    </row>
    <row r="44" spans="1:38" s="1" customFormat="1" x14ac:dyDescent="0.25">
      <c r="A44" s="39" t="s">
        <v>694</v>
      </c>
      <c r="B44" s="7"/>
      <c r="C44" s="24" t="s">
        <v>113</v>
      </c>
      <c r="D44" s="24" t="s">
        <v>412</v>
      </c>
      <c r="E44" s="15">
        <v>42609.345937500002</v>
      </c>
      <c r="F44" s="15"/>
      <c r="G44" s="7"/>
      <c r="H44" s="15"/>
      <c r="I44" s="15"/>
      <c r="J44" s="7"/>
      <c r="K44" s="132" t="str">
        <f t="shared" si="21"/>
        <v>-1/</v>
      </c>
      <c r="L44" s="24" t="e">
        <f>VLOOKUP(A44,'Trips&amp;Operators'!$C$1:$E$10000,3,FALSE)</f>
        <v>#N/A</v>
      </c>
      <c r="M44" s="6">
        <f t="shared" si="22"/>
        <v>0</v>
      </c>
      <c r="N44" s="7"/>
      <c r="O44" s="7"/>
      <c r="P44" s="7">
        <v>1</v>
      </c>
      <c r="Q44" s="25"/>
      <c r="R44" s="25" t="s">
        <v>295</v>
      </c>
      <c r="S44" s="37">
        <f t="shared" si="23"/>
        <v>0</v>
      </c>
      <c r="T44" s="52" t="str">
        <f t="shared" si="24"/>
        <v>Southbound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0</v>
      </c>
      <c r="V44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https://search-rtdc-monitor-bjffxe2xuh6vdkpspy63sjmuny.us-east-1.es.amazonaws.com/_plugin/kibana/#/discover/Steve-Slow-Train-Analysis-(2080s-and-2083s)?_g=(refreshInterval:(display:Off,section:0,value:0),time:(from:'2016-08-27 07:18:09-0600',mode:absolute,to:'1900-01-00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44" s="54" t="e">
        <f t="shared" si="26"/>
        <v>#VALUE!</v>
      </c>
      <c r="X44" s="120">
        <f t="shared" si="20"/>
        <v>1</v>
      </c>
      <c r="Y44" s="69">
        <f t="shared" si="27"/>
        <v>23.2973</v>
      </c>
      <c r="Z44" s="69" t="e">
        <f t="shared" si="28"/>
        <v>#VALUE!</v>
      </c>
      <c r="AA44" s="69" t="e">
        <f t="shared" si="29"/>
        <v>#VALUE!</v>
      </c>
      <c r="AB44" s="66" t="e">
        <f>VLOOKUP(A44,Enforcements!$C$7:$J$21,8,0)</f>
        <v>#N/A</v>
      </c>
      <c r="AC44" s="62" t="e">
        <f>VLOOKUP(A44,Enforcements!$C$7:$E$21,3,0)</f>
        <v>#N/A</v>
      </c>
      <c r="AD44" s="63" t="str">
        <f t="shared" si="30"/>
        <v>0128-27</v>
      </c>
      <c r="AE44" s="99" t="str">
        <f>"aws s3 cp "&amp;s3_bucket&amp;"/RTDC"&amp;B44&amp;"/"&amp;TEXT(F44,"YYYY-MM-DD")&amp;"/ "&amp;search_path&amp;"\RTDC"&amp;B44&amp;"\"&amp;TEXT(F44,"YYYY-MM-DD")&amp;" --recursive &amp; """&amp;walkandungz&amp;""" "&amp;search_path&amp;"\RTDC"&amp;B44&amp;"\"&amp;TEXT(F44,"YYYY-MM-DD")
&amp;" &amp; "&amp;"aws s3 cp "&amp;s3_bucket&amp;"/RTDC"&amp;B44&amp;"/"&amp;TEXT(F44+1,"YYYY-MM-DD")&amp;"/ "&amp;search_path&amp;"\RTDC"&amp;B44&amp;"\"&amp;TEXT(F44+1,"YYYY-MM-DD")&amp;" --recursive &amp; """&amp;walkandungz&amp;""" "&amp;search_path&amp;"\RTDC"&amp;B44&amp;"\"&amp;TEXT(F44+1,"YYYY-MM-DD")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44" s="96" t="str">
        <f>astrogrep_path&amp;" /spath="&amp;search_path&amp;" /stypes=""*"&amp;B44&amp;"*"&amp;TEXT(I44-utc_offset/24,"YYYYMMDD")&amp;"*"" /stext="" "&amp;TEXT(I44-utc_offset/24,"HH")&amp;search_regexp&amp;""" /e /r /s"</f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44" s="1" t="str">
        <f t="shared" si="31"/>
        <v>EC</v>
      </c>
      <c r="AH44" s="100" t="str">
        <f t="shared" si="32"/>
        <v>"%USERPROFILE%\Documents\GitHub\eaglep3\Utilities\RefineRTDCRunTimes.py" --tripid 128-27 --locoid  --swversion DE.1.0.7.0 --startMP 204:232973 --initTime 2016-08-27T08:18:09 --startdatetime 1900-01-00T00:00:00 --delay  --endMP  --enddatetime 1900-01-00T00:00:00 --enforcementcount  &gt;&gt;C:\Users\stu\Documents\GitHub\eaglep3-reporting\EC\2016-08-27-refined-times.txt</v>
      </c>
      <c r="AI44" s="149" t="e">
        <f t="shared" si="33"/>
        <v>#VALUE!</v>
      </c>
      <c r="AJ44" s="55"/>
      <c r="AK44" s="55"/>
      <c r="AL44" s="55"/>
    </row>
    <row r="45" spans="1:38" s="1" customFormat="1" x14ac:dyDescent="0.25">
      <c r="A45" s="39" t="s">
        <v>695</v>
      </c>
      <c r="B45" s="7"/>
      <c r="C45" s="24" t="s">
        <v>113</v>
      </c>
      <c r="D45" s="24" t="s">
        <v>412</v>
      </c>
      <c r="E45" s="15">
        <v>42609.345937500002</v>
      </c>
      <c r="F45" s="15"/>
      <c r="G45" s="7"/>
      <c r="H45" s="15"/>
      <c r="I45" s="15"/>
      <c r="J45" s="7"/>
      <c r="K45" s="132" t="str">
        <f t="shared" si="21"/>
        <v>-1/</v>
      </c>
      <c r="L45" s="24" t="e">
        <f>VLOOKUP(A45,'Trips&amp;Operators'!$C$1:$E$10000,3,FALSE)</f>
        <v>#N/A</v>
      </c>
      <c r="M45" s="6">
        <f t="shared" si="22"/>
        <v>0</v>
      </c>
      <c r="N45" s="7"/>
      <c r="O45" s="7"/>
      <c r="P45" s="7">
        <v>1</v>
      </c>
      <c r="Q45" s="25"/>
      <c r="R45" s="25" t="s">
        <v>295</v>
      </c>
      <c r="S45" s="37">
        <f t="shared" si="23"/>
        <v>0</v>
      </c>
      <c r="T45" s="52" t="str">
        <f t="shared" si="24"/>
        <v>NorthBound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0</v>
      </c>
      <c r="V45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https://search-rtdc-monitor-bjffxe2xuh6vdkpspy63sjmuny.us-east-1.es.amazonaws.com/_plugin/kibana/#/discover/Steve-Slow-Train-Analysis-(2080s-and-2083s)?_g=(refreshInterval:(display:Off,section:0,value:0),time:(from:'2016-08-27 07:18:09-0600',mode:absolute,to:'1900-01-00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45" s="54" t="e">
        <f t="shared" si="26"/>
        <v>#VALUE!</v>
      </c>
      <c r="X45" s="120">
        <f t="shared" si="20"/>
        <v>1</v>
      </c>
      <c r="Y45" s="69">
        <f t="shared" si="27"/>
        <v>23.2973</v>
      </c>
      <c r="Z45" s="69" t="e">
        <f t="shared" si="28"/>
        <v>#VALUE!</v>
      </c>
      <c r="AA45" s="69" t="e">
        <f t="shared" si="29"/>
        <v>#VALUE!</v>
      </c>
      <c r="AB45" s="66" t="e">
        <f>VLOOKUP(A45,Enforcements!$C$7:$J$21,8,0)</f>
        <v>#N/A</v>
      </c>
      <c r="AC45" s="62" t="e">
        <f>VLOOKUP(A45,Enforcements!$C$7:$E$21,3,0)</f>
        <v>#N/A</v>
      </c>
      <c r="AD45" s="63" t="str">
        <f t="shared" si="30"/>
        <v>0129-27</v>
      </c>
      <c r="AE45" s="99" t="str">
        <f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45" s="96" t="str">
        <f>astrogrep_path&amp;" /spath="&amp;search_path&amp;" /stypes=""*"&amp;B45&amp;"*"&amp;TEXT(I45-utc_offset/24,"YYYYMMDD")&amp;"*"" /stext="" "&amp;TEXT(I45-utc_offset/24,"HH")&amp;search_regexp&amp;""" /e /r /s"</f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45" s="1" t="str">
        <f t="shared" si="31"/>
        <v>EC</v>
      </c>
      <c r="AH45" s="100" t="str">
        <f t="shared" si="32"/>
        <v>"%USERPROFILE%\Documents\GitHub\eaglep3\Utilities\RefineRTDCRunTimes.py" --tripid 129-27 --locoid  --swversion DE.1.0.7.0 --startMP 204:232973 --initTime 2016-08-27T08:18:09 --startdatetime 1900-01-00T00:00:00 --delay  --endMP  --enddatetime 1900-01-00T00:00:00 --enforcementcount  &gt;&gt;C:\Users\stu\Documents\GitHub\eaglep3-reporting\EC\2016-08-27-refined-times.txt</v>
      </c>
      <c r="AI45" s="149" t="e">
        <f t="shared" si="33"/>
        <v>#VALUE!</v>
      </c>
      <c r="AJ45" s="55"/>
      <c r="AK45" s="55"/>
      <c r="AL45" s="55"/>
    </row>
    <row r="46" spans="1:38" s="1" customFormat="1" x14ac:dyDescent="0.25">
      <c r="A46" s="39" t="s">
        <v>696</v>
      </c>
      <c r="B46" s="7"/>
      <c r="C46" s="24" t="s">
        <v>113</v>
      </c>
      <c r="D46" s="24" t="s">
        <v>412</v>
      </c>
      <c r="E46" s="15">
        <v>42609.345937500002</v>
      </c>
      <c r="F46" s="15"/>
      <c r="G46" s="7"/>
      <c r="H46" s="15"/>
      <c r="I46" s="15"/>
      <c r="J46" s="7"/>
      <c r="K46" s="132" t="str">
        <f t="shared" si="21"/>
        <v>-1/</v>
      </c>
      <c r="L46" s="24" t="e">
        <f>VLOOKUP(A46,'Trips&amp;Operators'!$C$1:$E$10000,3,FALSE)</f>
        <v>#N/A</v>
      </c>
      <c r="M46" s="6">
        <f t="shared" si="22"/>
        <v>0</v>
      </c>
      <c r="N46" s="7"/>
      <c r="O46" s="7"/>
      <c r="P46" s="7">
        <v>1</v>
      </c>
      <c r="Q46" s="25"/>
      <c r="R46" s="25" t="s">
        <v>295</v>
      </c>
      <c r="S46" s="37">
        <f t="shared" si="23"/>
        <v>0</v>
      </c>
      <c r="T46" s="52" t="str">
        <f t="shared" si="24"/>
        <v>Southbound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0</v>
      </c>
      <c r="V46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https://search-rtdc-monitor-bjffxe2xuh6vdkpspy63sjmuny.us-east-1.es.amazonaws.com/_plugin/kibana/#/discover/Steve-Slow-Train-Analysis-(2080s-and-2083s)?_g=(refreshInterval:(display:Off,section:0,value:0),time:(from:'2016-08-27 07:18:09-0600',mode:absolute,to:'1900-01-00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46" s="54" t="e">
        <f t="shared" si="26"/>
        <v>#VALUE!</v>
      </c>
      <c r="X46" s="120">
        <f t="shared" si="20"/>
        <v>1</v>
      </c>
      <c r="Y46" s="69">
        <f t="shared" si="27"/>
        <v>23.2973</v>
      </c>
      <c r="Z46" s="69" t="e">
        <f t="shared" si="28"/>
        <v>#VALUE!</v>
      </c>
      <c r="AA46" s="69" t="e">
        <f t="shared" si="29"/>
        <v>#VALUE!</v>
      </c>
      <c r="AB46" s="66" t="e">
        <f>VLOOKUP(A46,Enforcements!$C$7:$J$21,8,0)</f>
        <v>#N/A</v>
      </c>
      <c r="AC46" s="62" t="e">
        <f>VLOOKUP(A46,Enforcements!$C$7:$E$21,3,0)</f>
        <v>#N/A</v>
      </c>
      <c r="AD46" s="63" t="str">
        <f t="shared" si="30"/>
        <v>0130-27</v>
      </c>
      <c r="AE46" s="99" t="str">
        <f>"aws s3 cp "&amp;s3_bucket&amp;"/RTDC"&amp;B46&amp;"/"&amp;TEXT(F46,"YYYY-MM-DD")&amp;"/ "&amp;search_path&amp;"\RTDC"&amp;B46&amp;"\"&amp;TEXT(F46,"YYYY-MM-DD")&amp;" --recursive &amp; """&amp;walkandungz&amp;""" "&amp;search_path&amp;"\RTDC"&amp;B46&amp;"\"&amp;TEXT(F46,"YYYY-MM-DD")
&amp;" &amp; "&amp;"aws s3 cp "&amp;s3_bucket&amp;"/RTDC"&amp;B46&amp;"/"&amp;TEXT(F46+1,"YYYY-MM-DD")&amp;"/ "&amp;search_path&amp;"\RTDC"&amp;B46&amp;"\"&amp;TEXT(F46+1,"YYYY-MM-DD")&amp;" --recursive &amp; """&amp;walkandungz&amp;""" "&amp;search_path&amp;"\RTDC"&amp;B46&amp;"\"&amp;TEXT(F46+1,"YYYY-MM-DD")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46" s="96" t="str">
        <f>astrogrep_path&amp;" /spath="&amp;search_path&amp;" /stypes=""*"&amp;B46&amp;"*"&amp;TEXT(I46-utc_offset/24,"YYYYMMDD")&amp;"*"" /stext="" "&amp;TEXT(I46-utc_offset/24,"HH")&amp;search_regexp&amp;""" /e /r /s"</f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46" s="1" t="str">
        <f t="shared" si="31"/>
        <v>EC</v>
      </c>
      <c r="AH46" s="100" t="str">
        <f t="shared" si="32"/>
        <v>"%USERPROFILE%\Documents\GitHub\eaglep3\Utilities\RefineRTDCRunTimes.py" --tripid 130-27 --locoid  --swversion DE.1.0.7.0 --startMP 204:232973 --initTime 2016-08-27T08:18:09 --startdatetime 1900-01-00T00:00:00 --delay  --endMP  --enddatetime 1900-01-00T00:00:00 --enforcementcount  &gt;&gt;C:\Users\stu\Documents\GitHub\eaglep3-reporting\EC\2016-08-27-refined-times.txt</v>
      </c>
      <c r="AI46" s="149" t="e">
        <f t="shared" si="33"/>
        <v>#VALUE!</v>
      </c>
      <c r="AJ46" s="55"/>
      <c r="AK46" s="55"/>
      <c r="AL46" s="55"/>
    </row>
    <row r="47" spans="1:38" s="1" customFormat="1" x14ac:dyDescent="0.25">
      <c r="A47" s="39" t="s">
        <v>697</v>
      </c>
      <c r="B47" s="7"/>
      <c r="C47" s="24" t="s">
        <v>113</v>
      </c>
      <c r="D47" s="24" t="s">
        <v>412</v>
      </c>
      <c r="E47" s="15">
        <v>42609.345937500002</v>
      </c>
      <c r="F47" s="15"/>
      <c r="G47" s="7"/>
      <c r="H47" s="15"/>
      <c r="I47" s="15"/>
      <c r="J47" s="7"/>
      <c r="K47" s="132" t="str">
        <f t="shared" si="21"/>
        <v>-1/</v>
      </c>
      <c r="L47" s="24" t="e">
        <f>VLOOKUP(A47,'Trips&amp;Operators'!$C$1:$E$10000,3,FALSE)</f>
        <v>#N/A</v>
      </c>
      <c r="M47" s="6">
        <f t="shared" si="22"/>
        <v>0</v>
      </c>
      <c r="N47" s="7"/>
      <c r="O47" s="7"/>
      <c r="P47" s="7">
        <v>1</v>
      </c>
      <c r="Q47" s="25"/>
      <c r="R47" s="25" t="s">
        <v>295</v>
      </c>
      <c r="S47" s="37">
        <f t="shared" si="23"/>
        <v>0</v>
      </c>
      <c r="T47" s="52" t="str">
        <f t="shared" si="24"/>
        <v>NorthBound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0</v>
      </c>
      <c r="V47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https://search-rtdc-monitor-bjffxe2xuh6vdkpspy63sjmuny.us-east-1.es.amazonaws.com/_plugin/kibana/#/discover/Steve-Slow-Train-Analysis-(2080s-and-2083s)?_g=(refreshInterval:(display:Off,section:0,value:0),time:(from:'2016-08-27 07:18:09-0600',mode:absolute,to:'1900-01-00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47" s="54" t="e">
        <f t="shared" si="26"/>
        <v>#VALUE!</v>
      </c>
      <c r="X47" s="120">
        <f t="shared" si="20"/>
        <v>1</v>
      </c>
      <c r="Y47" s="69">
        <f t="shared" si="27"/>
        <v>23.2973</v>
      </c>
      <c r="Z47" s="69" t="e">
        <f t="shared" si="28"/>
        <v>#VALUE!</v>
      </c>
      <c r="AA47" s="69" t="e">
        <f t="shared" si="29"/>
        <v>#VALUE!</v>
      </c>
      <c r="AB47" s="66" t="e">
        <f>VLOOKUP(A47,Enforcements!$C$7:$J$21,8,0)</f>
        <v>#N/A</v>
      </c>
      <c r="AC47" s="62" t="e">
        <f>VLOOKUP(A47,Enforcements!$C$7:$E$21,3,0)</f>
        <v>#N/A</v>
      </c>
      <c r="AD47" s="63" t="str">
        <f t="shared" si="30"/>
        <v>0131-27</v>
      </c>
      <c r="AE47" s="99" t="str">
        <f>"aws s3 cp "&amp;s3_bucket&amp;"/RTDC"&amp;B47&amp;"/"&amp;TEXT(F47,"YYYY-MM-DD")&amp;"/ "&amp;search_path&amp;"\RTDC"&amp;B47&amp;"\"&amp;TEXT(F47,"YYYY-MM-DD")&amp;" --recursive &amp; """&amp;walkandungz&amp;""" "&amp;search_path&amp;"\RTDC"&amp;B47&amp;"\"&amp;TEXT(F47,"YYYY-MM-DD")
&amp;" &amp; "&amp;"aws s3 cp "&amp;s3_bucket&amp;"/RTDC"&amp;B47&amp;"/"&amp;TEXT(F47+1,"YYYY-MM-DD")&amp;"/ "&amp;search_path&amp;"\RTDC"&amp;B47&amp;"\"&amp;TEXT(F47+1,"YYYY-MM-DD")&amp;" --recursive &amp; """&amp;walkandungz&amp;""" "&amp;search_path&amp;"\RTDC"&amp;B47&amp;"\"&amp;TEXT(F47+1,"YYYY-MM-DD")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47" s="96" t="str">
        <f>astrogrep_path&amp;" /spath="&amp;search_path&amp;" /stypes=""*"&amp;B47&amp;"*"&amp;TEXT(I47-utc_offset/24,"YYYYMMDD")&amp;"*"" /stext="" "&amp;TEXT(I47-utc_offset/24,"HH")&amp;search_regexp&amp;""" /e /r /s"</f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47" s="1" t="str">
        <f t="shared" si="31"/>
        <v>EC</v>
      </c>
      <c r="AH47" s="100" t="str">
        <f t="shared" si="32"/>
        <v>"%USERPROFILE%\Documents\GitHub\eaglep3\Utilities\RefineRTDCRunTimes.py" --tripid 131-27 --locoid  --swversion DE.1.0.7.0 --startMP 204:232973 --initTime 2016-08-27T08:18:09 --startdatetime 1900-01-00T00:00:00 --delay  --endMP  --enddatetime 1900-01-00T00:00:00 --enforcementcount  &gt;&gt;C:\Users\stu\Documents\GitHub\eaglep3-reporting\EC\2016-08-27-refined-times.txt</v>
      </c>
      <c r="AI47" s="149" t="e">
        <f t="shared" si="33"/>
        <v>#VALUE!</v>
      </c>
      <c r="AJ47" s="55"/>
      <c r="AK47" s="55"/>
      <c r="AL47" s="55"/>
    </row>
    <row r="48" spans="1:38" s="1" customFormat="1" x14ac:dyDescent="0.25">
      <c r="A48" s="39" t="s">
        <v>698</v>
      </c>
      <c r="B48" s="7"/>
      <c r="C48" s="24" t="s">
        <v>113</v>
      </c>
      <c r="D48" s="24" t="s">
        <v>412</v>
      </c>
      <c r="E48" s="15">
        <v>42609.345937500002</v>
      </c>
      <c r="F48" s="15"/>
      <c r="G48" s="7"/>
      <c r="H48" s="15"/>
      <c r="I48" s="15"/>
      <c r="J48" s="7"/>
      <c r="K48" s="132" t="str">
        <f t="shared" si="21"/>
        <v>-1/</v>
      </c>
      <c r="L48" s="24" t="e">
        <f>VLOOKUP(A48,'Trips&amp;Operators'!$C$1:$E$10000,3,FALSE)</f>
        <v>#N/A</v>
      </c>
      <c r="M48" s="6">
        <f t="shared" si="22"/>
        <v>0</v>
      </c>
      <c r="N48" s="7"/>
      <c r="O48" s="7"/>
      <c r="P48" s="7">
        <v>1</v>
      </c>
      <c r="Q48" s="25"/>
      <c r="R48" s="25" t="s">
        <v>295</v>
      </c>
      <c r="S48" s="37">
        <f t="shared" si="23"/>
        <v>0</v>
      </c>
      <c r="T48" s="52" t="str">
        <f t="shared" si="24"/>
        <v>Southbound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0</v>
      </c>
      <c r="V48" s="106" t="str">
        <f t="shared" si="25"/>
        <v>https://search-rtdc-monitor-bjffxe2xuh6vdkpspy63sjmuny.us-east-1.es.amazonaws.com/_plugin/kibana/#/discover/Steve-Slow-Train-Analysis-(2080s-and-2083s)?_g=(refreshInterval:(display:Off,section:0,value:0),time:(from:'2016-08-27 07:18:09-0600',mode:absolute,to:'1900-01-00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48" s="54" t="e">
        <f t="shared" si="26"/>
        <v>#VALUE!</v>
      </c>
      <c r="X48" s="120">
        <f t="shared" si="20"/>
        <v>1</v>
      </c>
      <c r="Y48" s="69">
        <f t="shared" si="27"/>
        <v>23.2973</v>
      </c>
      <c r="Z48" s="69" t="e">
        <f t="shared" si="28"/>
        <v>#VALUE!</v>
      </c>
      <c r="AA48" s="69" t="e">
        <f t="shared" si="29"/>
        <v>#VALUE!</v>
      </c>
      <c r="AB48" s="66" t="e">
        <f>VLOOKUP(A48,Enforcements!$C$7:$J$21,8,0)</f>
        <v>#N/A</v>
      </c>
      <c r="AC48" s="62" t="e">
        <f>VLOOKUP(A48,Enforcements!$C$7:$E$21,3,0)</f>
        <v>#N/A</v>
      </c>
      <c r="AD48" s="63" t="str">
        <f t="shared" si="30"/>
        <v>0132-27</v>
      </c>
      <c r="AE48" s="99" t="str">
        <f>"aws s3 cp "&amp;s3_bucket&amp;"/RTDC"&amp;B48&amp;"/"&amp;TEXT(F48,"YYYY-MM-DD")&amp;"/ "&amp;search_path&amp;"\RTDC"&amp;B48&amp;"\"&amp;TEXT(F48,"YYYY-MM-DD")&amp;" --recursive &amp; """&amp;walkandungz&amp;""" "&amp;search_path&amp;"\RTDC"&amp;B48&amp;"\"&amp;TEXT(F48,"YYYY-MM-DD")
&amp;" &amp; "&amp;"aws s3 cp "&amp;s3_bucket&amp;"/RTDC"&amp;B48&amp;"/"&amp;TEXT(F48+1,"YYYY-MM-DD")&amp;"/ "&amp;search_path&amp;"\RTDC"&amp;B48&amp;"\"&amp;TEXT(F48+1,"YYYY-MM-DD")&amp;" --recursive &amp; """&amp;walkandungz&amp;""" "&amp;search_path&amp;"\RTDC"&amp;B48&amp;"\"&amp;TEXT(F48+1,"YYYY-MM-DD")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48" s="96" t="str">
        <f>astrogrep_path&amp;" /spath="&amp;search_path&amp;" /stypes=""*"&amp;B48&amp;"*"&amp;TEXT(I48-utc_offset/24,"YYYYMMDD")&amp;"*"" /stext="" "&amp;TEXT(I48-utc_offset/24,"HH")&amp;search_regexp&amp;""" /e /r /s"</f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48" s="1" t="str">
        <f t="shared" si="31"/>
        <v>EC</v>
      </c>
      <c r="AH48" s="100" t="str">
        <f t="shared" si="32"/>
        <v>"%USERPROFILE%\Documents\GitHub\eaglep3\Utilities\RefineRTDCRunTimes.py" --tripid 132-27 --locoid  --swversion DE.1.0.7.0 --startMP 204:232973 --initTime 2016-08-27T08:18:09 --startdatetime 1900-01-00T00:00:00 --delay  --endMP  --enddatetime 1900-01-00T00:00:00 --enforcementcount  &gt;&gt;C:\Users\stu\Documents\GitHub\eaglep3-reporting\EC\2016-08-27-refined-times.txt</v>
      </c>
      <c r="AI48" s="149" t="e">
        <f t="shared" si="33"/>
        <v>#VALUE!</v>
      </c>
      <c r="AJ48" s="55"/>
      <c r="AK48" s="55"/>
      <c r="AL48" s="55"/>
    </row>
    <row r="49" spans="1:38" s="1" customFormat="1" x14ac:dyDescent="0.25">
      <c r="A49" s="39" t="s">
        <v>435</v>
      </c>
      <c r="B49" s="7">
        <v>4031</v>
      </c>
      <c r="C49" s="24" t="s">
        <v>113</v>
      </c>
      <c r="D49" s="24" t="s">
        <v>335</v>
      </c>
      <c r="E49" s="15">
        <v>42609.318020833336</v>
      </c>
      <c r="F49" s="15">
        <v>42609.323159722226</v>
      </c>
      <c r="G49" s="7">
        <v>1</v>
      </c>
      <c r="H49" s="15" t="s">
        <v>343</v>
      </c>
      <c r="I49" s="15">
        <v>42609.355833333335</v>
      </c>
      <c r="J49" s="7">
        <v>0</v>
      </c>
      <c r="K49" s="132" t="str">
        <f>IF(ISEVEN(B49),(B49-1)&amp;"/"&amp;B49,B49&amp;"/"&amp;(B49+1))</f>
        <v>4031/4032</v>
      </c>
      <c r="L49" s="24" t="str">
        <f>VLOOKUP(A49,'Trips&amp;Operators'!$C$1:$E$10000,3,FALSE)</f>
        <v>MAELZER</v>
      </c>
      <c r="M49" s="6">
        <f>I49-F49</f>
        <v>3.2673611109203193E-2</v>
      </c>
      <c r="N49" s="7">
        <f>24*60*SUM($M49:$M49)</f>
        <v>47.049999997252598</v>
      </c>
      <c r="O49" s="7"/>
      <c r="P49" s="7"/>
      <c r="Q49" s="25"/>
      <c r="R49" s="25"/>
      <c r="S49" s="37">
        <f>SUM(U49:U49)/IF(AG49="EC",12,1)</f>
        <v>1</v>
      </c>
      <c r="T49" s="52" t="str">
        <f>IF(ISEVEN(LEFT(AD49,4)),"Southbound","NorthBound")</f>
        <v>NorthBound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hh:mm:ss")&amp;"-0600',mode:absolute,to:'"&amp;TEXT(I49+1/24,"yyyy-MM-DD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https://search-rtdc-monitor-bjffxe2xuh6vdkpspy63sjmuny.us-east-1.es.amazonaws.com/_plugin/kibana/#/discover/Steve-Slow-Train-Analysis-(2080s-and-2083s)?_g=(refreshInterval:(display:Off,section:0,value:0),time:(from:'2016-08-27 06:37:57-0600',mode:absolute,to:'2016-08-27 09:32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49" s="54" t="str">
        <f>IF(AA49&lt;IF(AG49="EC",23,5.65),"Y","N")</f>
        <v>N</v>
      </c>
      <c r="X49" s="120">
        <f t="shared" si="20"/>
        <v>1</v>
      </c>
      <c r="Y49" s="69">
        <f>RIGHT(D49,LEN(D49)-4)/10000</f>
        <v>4.58E-2</v>
      </c>
      <c r="Z49" s="69">
        <f>RIGHT(H49,LEN(H49)-4)/10000</f>
        <v>23.329499999999999</v>
      </c>
      <c r="AA49" s="69">
        <f>ABS(Z49-Y49)</f>
        <v>23.2837</v>
      </c>
      <c r="AB49" s="66">
        <f>VLOOKUP(A49,Enforcements!$C$7:$J$21,8,0)</f>
        <v>53155</v>
      </c>
      <c r="AC49" s="62" t="str">
        <f>VLOOKUP(A49,Enforcements!$C$7:$E$21,3,0)</f>
        <v>GRADE CROSSING</v>
      </c>
      <c r="AD49" s="63" t="str">
        <f>IF(LEN(A49)=6,"0"&amp;A49,A49)</f>
        <v>0133-27</v>
      </c>
      <c r="AE49" s="99" t="str">
        <f>"aws s3 cp "&amp;s3_bucket&amp;"/RTDC"&amp;B49&amp;"/"&amp;TEXT(F49,"YYYY-MM-DD")&amp;"/ "&amp;search_path&amp;"\RTDC"&amp;B49&amp;"\"&amp;TEXT(F49,"YYYY-MM-DD")&amp;" --recursive &amp; """&amp;walkandungz&amp;""" "&amp;search_path&amp;"\RTDC"&amp;B49&amp;"\"&amp;TEXT(F49,"YYYY-MM-DD")
&amp;" &amp; "&amp;"aws s3 cp "&amp;s3_bucket&amp;"/RTDC"&amp;B49&amp;"/"&amp;TEXT(F49+1,"YYYY-MM-DD")&amp;"/ "&amp;search_path&amp;"\RTDC"&amp;B49&amp;"\"&amp;TEXT(F49+1,"YYYY-MM-DD")&amp;" --recursive &amp; """&amp;walkandungz&amp;""" "&amp;search_path&amp;"\RTDC"&amp;B49&amp;"\"&amp;TEXT(F49+1,"YYYY-MM-DD")</f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49" s="96" t="str">
        <f>astrogrep_path&amp;" /spath="&amp;search_path&amp;" /stypes=""*"&amp;B49&amp;"*"&amp;TEXT(I49-utc_offset/24,"YYYYMMDD")&amp;"*"" /stext="" "&amp;TEXT(I49-utc_offset/24,"HH")&amp;search_regexp&amp;""" /e /r /s"</f>
        <v>"C:\Program Files (x86)\AstroGrep\AstroGrep.exe" /spath="%USERPROFILE%\AppData\Local\Temp\OnboardLogs" /stypes="*4031*20160827*" /stext=" 14:.+((SYSTEM_STATE.+slice.+state.+changed )|(ment ac)|(system.+state.+changed )|(\|lc)|(penalty)|(\[timeout)|(PRM\|1\|D)|(kpr)|(kdp))" /e /r /s</v>
      </c>
      <c r="AG49" s="1" t="str">
        <f>IFERROR(IF(VALUE(LEFT(AD49,2))&lt;=2,"EC",IF(OR(VALUE(LEFT(AD49,2))=8,VALUE(LEFT(AD49,2))=18),"NW","Other")),"Other")</f>
        <v>EC</v>
      </c>
      <c r="AH49" s="100" t="str">
        <f t="shared" si="0"/>
        <v>"%USERPROFILE%\Documents\GitHub\eaglep3\Utilities\RefineRTDCRunTimes.py" --tripid 133-27 --locoid 4031 --swversion DE.1.0.7.0 --startMP 204:458 --initTime 2016-08-27T07:37:57 --startdatetime 2016-08-27T07:45:21 --delay 1 --endMP 204:233295 --enddatetime 2016-08-27T08:32:24 --enforcementcount 0 &gt;&gt;C:\Users\stu\Documents\GitHub\eaglep3-reporting\EC\2016-08-27-refined-times.txt</v>
      </c>
      <c r="AI49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{"issue":{"subject":"","project_id":79,"tracker_id":40,"status_id":1,"priority_id":2,"assigned_to_id":23,"start_date":"2016-08-27","description":"","custom_fields":[{"id":1,"name":"Subdivision","value":"EC"},{"id":4,"name":"Milepost","value":"23.2837"},{"id":17,"name":"Train ID","value":"133-27"},{"id":16,"name":"Locomotive ID","value":"4031"},{"id":130,"name":"Impact","value":""},{"id":150,"name":"Time of Event (Mountain Time)","value":"08:32:24"},{"id":151,"name":"Denver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436</v>
      </c>
      <c r="B50" s="7">
        <v>4032</v>
      </c>
      <c r="C50" s="24" t="s">
        <v>113</v>
      </c>
      <c r="D50" s="24" t="s">
        <v>332</v>
      </c>
      <c r="E50" s="15">
        <v>42609.360868055555</v>
      </c>
      <c r="F50" s="15">
        <v>42609.363518518519</v>
      </c>
      <c r="G50" s="7">
        <v>2</v>
      </c>
      <c r="H50" s="15" t="s">
        <v>187</v>
      </c>
      <c r="I50" s="15">
        <v>42609.400416666664</v>
      </c>
      <c r="J50" s="7">
        <v>0</v>
      </c>
      <c r="K50" s="132" t="str">
        <f>IF(ISEVEN(B50),(B50-1)&amp;"/"&amp;B50,B50&amp;"/"&amp;(B50+1))</f>
        <v>4031/4032</v>
      </c>
      <c r="L50" s="24" t="str">
        <f>VLOOKUP(A50,'Trips&amp;Operators'!$C$1:$E$10000,3,FALSE)</f>
        <v>MAELZER</v>
      </c>
      <c r="M50" s="6">
        <f>I50-F50</f>
        <v>3.6898148144246079E-2</v>
      </c>
      <c r="N50" s="7">
        <f>24*60*SUM($M50:$M50)</f>
        <v>53.133333327714354</v>
      </c>
      <c r="O50" s="7"/>
      <c r="P50" s="7"/>
      <c r="Q50" s="25"/>
      <c r="R50" s="25"/>
      <c r="S50" s="37">
        <f>SUM(U50:U50)/IF(AG50="EC",12,1)</f>
        <v>1</v>
      </c>
      <c r="T50" s="52" t="str">
        <f>IF(ISEVEN(LEFT(AD50,4)),"Southbound","NorthBound")</f>
        <v>Southbound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hh:mm:ss")&amp;"-0600',mode:absolute,to:'"&amp;TEXT(I50+1/24,"yyyy-MM-DD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https://search-rtdc-monitor-bjffxe2xuh6vdkpspy63sjmuny.us-east-1.es.amazonaws.com/_plugin/kibana/#/discover/Steve-Slow-Train-Analysis-(2080s-and-2083s)?_g=(refreshInterval:(display:Off,section:0,value:0),time:(from:'2016-08-27 07:39:39-0600',mode:absolute,to:'2016-08-27 10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50" s="54" t="str">
        <f>IF(AA50&lt;IF(AG50="EC",23,5.65),"Y","N")</f>
        <v>N</v>
      </c>
      <c r="X50" s="120">
        <f t="shared" si="20"/>
        <v>1</v>
      </c>
      <c r="Y50" s="69">
        <f>RIGHT(D50,LEN(D50)-4)/10000</f>
        <v>23.299600000000002</v>
      </c>
      <c r="Z50" s="69">
        <f>RIGHT(H50,LEN(H50)-4)/10000</f>
        <v>1.6E-2</v>
      </c>
      <c r="AA50" s="69">
        <f>ABS(Z50-Y50)</f>
        <v>23.283600000000003</v>
      </c>
      <c r="AB50" s="66" t="e">
        <f>VLOOKUP(A50,Enforcements!$C$7:$J$21,8,0)</f>
        <v>#N/A</v>
      </c>
      <c r="AC50" s="62" t="e">
        <f>VLOOKUP(A50,Enforcements!$C$7:$E$21,3,0)</f>
        <v>#N/A</v>
      </c>
      <c r="AD50" s="63" t="str">
        <f>IF(LEN(A50)=6,"0"&amp;A50,A50)</f>
        <v>0134-27</v>
      </c>
      <c r="AE50" s="99" t="str">
        <f>"aws s3 cp "&amp;s3_bucket&amp;"/RTDC"&amp;B50&amp;"/"&amp;TEXT(F50,"YYYY-MM-DD")&amp;"/ "&amp;search_path&amp;"\RTDC"&amp;B50&amp;"\"&amp;TEXT(F50,"YYYY-MM-DD")&amp;" --recursive &amp; """&amp;walkandungz&amp;""" "&amp;search_path&amp;"\RTDC"&amp;B50&amp;"\"&amp;TEXT(F50,"YYYY-MM-DD")
&amp;" &amp; "&amp;"aws s3 cp "&amp;s3_bucket&amp;"/RTDC"&amp;B50&amp;"/"&amp;TEXT(F50+1,"YYYY-MM-DD")&amp;"/ "&amp;search_path&amp;"\RTDC"&amp;B50&amp;"\"&amp;TEXT(F50+1,"YYYY-MM-DD")&amp;" --recursive &amp; """&amp;walkandungz&amp;""" "&amp;search_path&amp;"\RTDC"&amp;B50&amp;"\"&amp;TEXT(F50+1,"YYYY-MM-DD")</f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50" s="96" t="str">
        <f>astrogrep_path&amp;" /spath="&amp;search_path&amp;" /stypes=""*"&amp;B50&amp;"*"&amp;TEXT(I50-utc_offset/24,"YYYYMMDD")&amp;"*"" /stext="" "&amp;TEXT(I50-utc_offset/24,"HH")&amp;search_regexp&amp;""" /e /r /s"</f>
        <v>"C:\Program Files (x86)\AstroGrep\AstroGrep.exe" /spath="%USERPROFILE%\AppData\Local\Temp\OnboardLogs" /stypes="*4032*20160827*" /stext=" 15:.+((SYSTEM_STATE.+slice.+state.+changed )|(ment ac)|(system.+state.+changed )|(\|lc)|(penalty)|(\[timeout)|(PRM\|1\|D)|(kpr)|(kdp))" /e /r /s</v>
      </c>
      <c r="AG50" s="1" t="str">
        <f>IFERROR(IF(VALUE(LEFT(AD50,2))&lt;=2,"EC",IF(OR(VALUE(LEFT(AD50,2))=8,VALUE(LEFT(AD50,2))=18),"NW","Other")),"Other")</f>
        <v>EC</v>
      </c>
      <c r="AH50" s="100" t="str">
        <f t="shared" si="0"/>
        <v>"%USERPROFILE%\Documents\GitHub\eaglep3\Utilities\RefineRTDCRunTimes.py" --tripid 134-27 --locoid 4032 --swversion DE.1.0.7.0 --startMP 204:232996 --initTime 2016-08-27T08:39:39 --startdatetime 2016-08-27T08:43:28 --delay 2 --endMP 204:160 --enddatetime 2016-08-27T09:36:36 --enforcementcount 0 &gt;&gt;C:\Users\stu\Documents\GitHub\eaglep3-reporting\EC\2016-08-27-refined-times.txt</v>
      </c>
      <c r="AI50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{"issue":{"subject":"","project_id":79,"tracker_id":40,"status_id":1,"priority_id":2,"assigned_to_id":23,"start_date":"2016-08-27","description":"","custom_fields":[{"id":1,"name":"Subdivision","value":"EC"},{"id":4,"name":"Milepost","value":"23.2836"},{"id":17,"name":"Train ID","value":"134-27"},{"id":16,"name":"Locomotive ID","value":"4032"},{"id":130,"name":"Impact","value":""},{"id":150,"name":"Time of Event (Mountain Time)","value":"09:36:36"},{"id":151,"name":"Denver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437</v>
      </c>
      <c r="B51" s="7">
        <v>4042</v>
      </c>
      <c r="C51" s="24" t="s">
        <v>113</v>
      </c>
      <c r="D51" s="24" t="s">
        <v>438</v>
      </c>
      <c r="E51" s="15">
        <v>42609.33148148148</v>
      </c>
      <c r="F51" s="15">
        <v>42609.334386574075</v>
      </c>
      <c r="G51" s="7">
        <v>2</v>
      </c>
      <c r="H51" s="15" t="s">
        <v>439</v>
      </c>
      <c r="I51" s="15">
        <v>42609.366481481484</v>
      </c>
      <c r="J51" s="7">
        <v>0</v>
      </c>
      <c r="K51" s="132" t="str">
        <f>IF(ISEVEN(B51),(B51-1)&amp;"/"&amp;B51,B51&amp;"/"&amp;(B51+1))</f>
        <v>4041/4042</v>
      </c>
      <c r="L51" s="24" t="str">
        <f>VLOOKUP(A51,'Trips&amp;Operators'!$C$1:$E$10000,3,FALSE)</f>
        <v>STRICKLAND</v>
      </c>
      <c r="M51" s="6">
        <f>I51-F51</f>
        <v>3.2094907408463769E-2</v>
      </c>
      <c r="N51" s="7">
        <f>24*60*SUM($M51:$M51)</f>
        <v>46.216666668187827</v>
      </c>
      <c r="O51" s="7"/>
      <c r="P51" s="7"/>
      <c r="Q51" s="25"/>
      <c r="R51" s="25"/>
      <c r="S51" s="37">
        <f>SUM(U51:U51)/IF(AG51="EC",12,1)</f>
        <v>1</v>
      </c>
      <c r="T51" s="52" t="str">
        <f>IF(ISEVEN(LEFT(AD51,4)),"Southbound","NorthBound")</f>
        <v>NorthBound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hh:mm:ss")&amp;"-0600',mode:absolute,to:'"&amp;TEXT(I51+1/24,"yyyy-MM-DD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https://search-rtdc-monitor-bjffxe2xuh6vdkpspy63sjmuny.us-east-1.es.amazonaws.com/_plugin/kibana/#/discover/Steve-Slow-Train-Analysis-(2080s-and-2083s)?_g=(refreshInterval:(display:Off,section:0,value:0),time:(from:'2016-08-27 06:57:20-0600',mode:absolute,to:'2016-08-27 09:47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51" s="54" t="str">
        <f>IF(AA51&lt;IF(AG51="EC",23,5.65),"Y","N")</f>
        <v>N</v>
      </c>
      <c r="X51" s="120">
        <f t="shared" si="20"/>
        <v>1</v>
      </c>
      <c r="Y51" s="69">
        <f>RIGHT(D51,LEN(D51)-4)/10000</f>
        <v>0.1515</v>
      </c>
      <c r="Z51" s="69">
        <f>RIGHT(H51,LEN(H51)-4)/10000</f>
        <v>23.3215</v>
      </c>
      <c r="AA51" s="69">
        <f>ABS(Z51-Y51)</f>
        <v>23.17</v>
      </c>
      <c r="AB51" s="66" t="e">
        <f>VLOOKUP(A51,Enforcements!$C$7:$J$21,8,0)</f>
        <v>#N/A</v>
      </c>
      <c r="AC51" s="62" t="e">
        <f>VLOOKUP(A51,Enforcements!$C$7:$E$21,3,0)</f>
        <v>#N/A</v>
      </c>
      <c r="AD51" s="63" t="str">
        <f>IF(LEN(A51)=6,"0"&amp;A51,A51)</f>
        <v>0135-27</v>
      </c>
      <c r="AE51" s="99" t="str">
        <f>"aws s3 cp "&amp;s3_bucket&amp;"/RTDC"&amp;B51&amp;"/"&amp;TEXT(F51,"YYYY-MM-DD")&amp;"/ "&amp;search_path&amp;"\RTDC"&amp;B51&amp;"\"&amp;TEXT(F51,"YYYY-MM-DD")&amp;" --recursive &amp; """&amp;walkandungz&amp;""" "&amp;search_path&amp;"\RTDC"&amp;B51&amp;"\"&amp;TEXT(F51,"YYYY-MM-DD")
&amp;" &amp; "&amp;"aws s3 cp "&amp;s3_bucket&amp;"/RTDC"&amp;B51&amp;"/"&amp;TEXT(F51+1,"YYYY-MM-DD")&amp;"/ "&amp;search_path&amp;"\RTDC"&amp;B51&amp;"\"&amp;TEXT(F51+1,"YYYY-MM-DD")&amp;" --recursive &amp; """&amp;walkandungz&amp;""" "&amp;search_path&amp;"\RTDC"&amp;B51&amp;"\"&amp;TEXT(F51+1,"YYYY-MM-DD")</f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AF51" s="96" t="str">
        <f>astrogrep_path&amp;" /spath="&amp;search_path&amp;" /stypes=""*"&amp;B51&amp;"*"&amp;TEXT(I51-utc_offset/24,"YYYYMMDD")&amp;"*"" /stext="" "&amp;TEXT(I51-utc_offset/24,"HH")&amp;search_regexp&amp;""" /e /r /s"</f>
        <v>"C:\Program Files (x86)\AstroGrep\AstroGrep.exe" /spath="%USERPROFILE%\AppData\Local\Temp\OnboardLogs" /stypes="*4042*20160827*" /stext=" 14:.+((SYSTEM_STATE.+slice.+state.+changed )|(ment ac)|(system.+state.+changed )|(\|lc)|(penalty)|(\[timeout)|(PRM\|1\|D)|(kpr)|(kdp))" /e /r /s</v>
      </c>
      <c r="AG51" s="1" t="str">
        <f>IFERROR(IF(VALUE(LEFT(AD51,2))&lt;=2,"EC",IF(OR(VALUE(LEFT(AD51,2))=8,VALUE(LEFT(AD51,2))=18),"NW","Other")),"Other")</f>
        <v>EC</v>
      </c>
      <c r="AH51" s="100" t="str">
        <f t="shared" si="0"/>
        <v>"%USERPROFILE%\Documents\GitHub\eaglep3\Utilities\RefineRTDCRunTimes.py" --tripid 135-27 --locoid 4042 --swversion DE.1.0.7.0 --startMP 204:1515 --initTime 2016-08-27T07:57:20 --startdatetime 2016-08-27T08:01:31 --delay 2 --endMP 204:233215 --enddatetime 2016-08-27T08:47:44 --enforcementcount 0 &gt;&gt;C:\Users\stu\Documents\GitHub\eaglep3-reporting\EC\2016-08-27-refined-times.txt</v>
      </c>
      <c r="AI51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{"issue":{"subject":"","project_id":79,"tracker_id":40,"status_id":1,"priority_id":2,"assigned_to_id":23,"start_date":"2016-08-27","description":"","custom_fields":[{"id":1,"name":"Subdivision","value":"EC"},{"id":4,"name":"Milepost","value":"23.17"},{"id":17,"name":"Train ID","value":"135-27"},{"id":16,"name":"Locomotive ID","value":"4042"},{"id":130,"name":"Impact","value":""},{"id":150,"name":"Time of Event (Mountain Time)","value":"08:47:44"},{"id":151,"name":"Denver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440</v>
      </c>
      <c r="B52" s="7">
        <v>4041</v>
      </c>
      <c r="C52" s="24" t="s">
        <v>113</v>
      </c>
      <c r="D52" s="24" t="s">
        <v>441</v>
      </c>
      <c r="E52" s="15">
        <v>42609.372499999998</v>
      </c>
      <c r="F52" s="15">
        <v>42609.3749537037</v>
      </c>
      <c r="G52" s="7">
        <v>1</v>
      </c>
      <c r="H52" s="15" t="s">
        <v>153</v>
      </c>
      <c r="I52" s="15">
        <v>42609.408194444448</v>
      </c>
      <c r="J52" s="7">
        <v>0</v>
      </c>
      <c r="K52" s="132" t="str">
        <f>IF(ISEVEN(B52),(B52-1)&amp;"/"&amp;B52,B52&amp;"/"&amp;(B52+1))</f>
        <v>4041/4042</v>
      </c>
      <c r="L52" s="24" t="str">
        <f>VLOOKUP(A52,'Trips&amp;Operators'!$C$1:$E$10000,3,FALSE)</f>
        <v>STRICKLAND</v>
      </c>
      <c r="M52" s="6">
        <f>I52-F52</f>
        <v>3.3240740747714881E-2</v>
      </c>
      <c r="N52" s="7">
        <f>24*60*SUM($M52:$M52)</f>
        <v>47.866666676709428</v>
      </c>
      <c r="O52" s="7"/>
      <c r="P52" s="7"/>
      <c r="Q52" s="25"/>
      <c r="R52" s="25"/>
      <c r="S52" s="37">
        <f>SUM(U52:U52)/IF(AG52="EC",12,1)</f>
        <v>1</v>
      </c>
      <c r="T52" s="52" t="str">
        <f>IF(ISEVEN(LEFT(AD52,4)),"Southbound","NorthBound")</f>
        <v>Southbound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hh:mm:ss")&amp;"-0600',mode:absolute,to:'"&amp;TEXT(I52+1/24,"yyyy-MM-DD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https://search-rtdc-monitor-bjffxe2xuh6vdkpspy63sjmuny.us-east-1.es.amazonaws.com/_plugin/kibana/#/discover/Steve-Slow-Train-Analysis-(2080s-and-2083s)?_g=(refreshInterval:(display:Off,section:0,value:0),time:(from:'2016-08-27 07:56:24-0600',mode:absolute,to:'2016-08-27 10:47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52" s="54" t="str">
        <f>IF(AA52&lt;IF(AG52="EC",23,5.65),"Y","N")</f>
        <v>N</v>
      </c>
      <c r="X52" s="120">
        <f t="shared" si="20"/>
        <v>1</v>
      </c>
      <c r="Y52" s="69">
        <f>RIGHT(D52,LEN(D52)-4)/10000</f>
        <v>23.289000000000001</v>
      </c>
      <c r="Z52" s="69">
        <f>RIGHT(H52,LEN(H52)-4)/10000</f>
        <v>1.5599999999999999E-2</v>
      </c>
      <c r="AA52" s="69">
        <f>ABS(Z52-Y52)</f>
        <v>23.273400000000002</v>
      </c>
      <c r="AB52" s="66" t="e">
        <f>VLOOKUP(A52,Enforcements!$C$7:$J$21,8,0)</f>
        <v>#N/A</v>
      </c>
      <c r="AC52" s="62" t="e">
        <f>VLOOKUP(A52,Enforcements!$C$7:$E$21,3,0)</f>
        <v>#N/A</v>
      </c>
      <c r="AD52" s="63" t="str">
        <f>IF(LEN(A52)=6,"0"&amp;A52,A52)</f>
        <v>0136-27</v>
      </c>
      <c r="AE52" s="99" t="str">
        <f>"aws s3 cp "&amp;s3_bucket&amp;"/RTDC"&amp;B52&amp;"/"&amp;TEXT(F52,"YYYY-MM-DD")&amp;"/ "&amp;search_path&amp;"\RTDC"&amp;B52&amp;"\"&amp;TEXT(F52,"YYYY-MM-DD")&amp;" --recursive &amp; """&amp;walkandungz&amp;""" "&amp;search_path&amp;"\RTDC"&amp;B52&amp;"\"&amp;TEXT(F52,"YYYY-MM-DD")
&amp;" &amp; "&amp;"aws s3 cp "&amp;s3_bucket&amp;"/RTDC"&amp;B52&amp;"/"&amp;TEXT(F52+1,"YYYY-MM-DD")&amp;"/ "&amp;search_path&amp;"\RTDC"&amp;B52&amp;"\"&amp;TEXT(F52+1,"YYYY-MM-DD")&amp;" --recursive &amp; """&amp;walkandungz&amp;""" "&amp;search_path&amp;"\RTDC"&amp;B52&amp;"\"&amp;TEXT(F52+1,"YYYY-MM-DD")</f>
        <v>aws s3 cp s3://rtdc.mdm.uploadarchive/RTDC4041/2016-08-27/ "%USERPROFILE%\AppData\Local\Temp\OnboardLogs"\RTDC4041\2016-08-27 --recursive &amp; "%USERPROFILE%\Documents\GitHub\mrs-test-scripts\Headless Mode &amp; Sideloading\WalkAndUnGZ.bat" "%USERPROFILE%\AppData\Local\Temp\OnboardLogs"\RTDC4041\2016-08-27 &amp; 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</v>
      </c>
      <c r="AF52" s="96" t="str">
        <f>astrogrep_path&amp;" /spath="&amp;search_path&amp;" /stypes=""*"&amp;B52&amp;"*"&amp;TEXT(I52-utc_offset/24,"YYYYMMDD")&amp;"*"" /stext="" "&amp;TEXT(I52-utc_offset/24,"HH")&amp;search_regexp&amp;""" /e /r /s"</f>
        <v>"C:\Program Files (x86)\AstroGrep\AstroGrep.exe" /spath="%USERPROFILE%\AppData\Local\Temp\OnboardLogs" /stypes="*4041*20160827*" /stext=" 15:.+((SYSTEM_STATE.+slice.+state.+changed )|(ment ac)|(system.+state.+changed )|(\|lc)|(penalty)|(\[timeout)|(PRM\|1\|D)|(kpr)|(kdp))" /e /r /s</v>
      </c>
      <c r="AG52" s="1" t="str">
        <f>IFERROR(IF(VALUE(LEFT(AD52,2))&lt;=2,"EC",IF(OR(VALUE(LEFT(AD52,2))=8,VALUE(LEFT(AD52,2))=18),"NW","Other")),"Other")</f>
        <v>EC</v>
      </c>
      <c r="AH52" s="100" t="str">
        <f t="shared" si="0"/>
        <v>"%USERPROFILE%\Documents\GitHub\eaglep3\Utilities\RefineRTDCRunTimes.py" --tripid 136-27 --locoid 4041 --swversion DE.1.0.7.0 --startMP 204:232890 --initTime 2016-08-27T08:56:24 --startdatetime 2016-08-27T08:59:56 --delay 1 --endMP 204:156 --enddatetime 2016-08-27T09:47:48 --enforcementcount 0 &gt;&gt;C:\Users\stu\Documents\GitHub\eaglep3-reporting\EC\2016-08-27-refined-times.txt</v>
      </c>
      <c r="AI52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{"issue":{"subject":"","project_id":79,"tracker_id":40,"status_id":1,"priority_id":2,"assigned_to_id":23,"start_date":"2016-08-27","description":"","custom_fields":[{"id":1,"name":"Subdivision","value":"EC"},{"id":4,"name":"Milepost","value":"23.2734"},{"id":17,"name":"Train ID","value":"136-27"},{"id":16,"name":"Locomotive ID","value":"4041"},{"id":130,"name":"Impact","value":""},{"id":150,"name":"Time of Event (Mountain Time)","value":"09:47:48"},{"id":151,"name":"Denver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442</v>
      </c>
      <c r="B53" s="7">
        <v>4038</v>
      </c>
      <c r="C53" s="24" t="s">
        <v>113</v>
      </c>
      <c r="D53" s="24" t="s">
        <v>335</v>
      </c>
      <c r="E53" s="15">
        <v>42609.342812499999</v>
      </c>
      <c r="F53" s="15">
        <v>42609.345173611109</v>
      </c>
      <c r="G53" s="7">
        <v>2</v>
      </c>
      <c r="H53" s="15" t="s">
        <v>266</v>
      </c>
      <c r="I53" s="15">
        <v>42609.380925925929</v>
      </c>
      <c r="J53" s="7">
        <v>0</v>
      </c>
      <c r="K53" s="132" t="str">
        <f>IF(ISEVEN(B53),(B53-1)&amp;"/"&amp;B53,B53&amp;"/"&amp;(B53+1))</f>
        <v>4037/4038</v>
      </c>
      <c r="L53" s="24" t="str">
        <f>VLOOKUP(A53,'Trips&amp;Operators'!$C$1:$E$10000,3,FALSE)</f>
        <v>MALAVE</v>
      </c>
      <c r="M53" s="6">
        <f>I53-F53</f>
        <v>3.5752314819546882E-2</v>
      </c>
      <c r="N53" s="7">
        <f>24*60*SUM($M53:$M53)</f>
        <v>51.48333334014751</v>
      </c>
      <c r="O53" s="7"/>
      <c r="P53" s="7"/>
      <c r="Q53" s="25"/>
      <c r="R53" s="25"/>
      <c r="S53" s="37">
        <f>SUM(U53:U53)/IF(AG53="EC",12,1)</f>
        <v>1</v>
      </c>
      <c r="T53" s="52" t="str">
        <f>IF(ISEVEN(LEFT(AD53,4)),"Southbound","NorthBound")</f>
        <v>NorthBound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hh:mm:ss")&amp;"-0600',mode:absolute,to:'"&amp;TEXT(I53+1/24,"yyyy-MM-DD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https://search-rtdc-monitor-bjffxe2xuh6vdkpspy63sjmuny.us-east-1.es.amazonaws.com/_plugin/kibana/#/discover/Steve-Slow-Train-Analysis-(2080s-and-2083s)?_g=(refreshInterval:(display:Off,section:0,value:0),time:(from:'2016-08-27 07:13:39-0600',mode:absolute,to:'2016-08-27 10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53" s="54" t="str">
        <f>IF(AA53&lt;IF(AG53="EC",23,5.65),"Y","N")</f>
        <v>N</v>
      </c>
      <c r="X53" s="120">
        <f t="shared" si="20"/>
        <v>1</v>
      </c>
      <c r="Y53" s="69">
        <f>RIGHT(D53,LEN(D53)-4)/10000</f>
        <v>4.58E-2</v>
      </c>
      <c r="Z53" s="69">
        <f>RIGHT(H53,LEN(H53)-4)/10000</f>
        <v>23.328600000000002</v>
      </c>
      <c r="AA53" s="69">
        <f>ABS(Z53-Y53)</f>
        <v>23.282800000000002</v>
      </c>
      <c r="AB53" s="66" t="e">
        <f>VLOOKUP(A53,Enforcements!$C$7:$J$21,8,0)</f>
        <v>#N/A</v>
      </c>
      <c r="AC53" s="62" t="e">
        <f>VLOOKUP(A53,Enforcements!$C$7:$E$21,3,0)</f>
        <v>#N/A</v>
      </c>
      <c r="AD53" s="63" t="str">
        <f>IF(LEN(A53)=6,"0"&amp;A53,A53)</f>
        <v>0137-27</v>
      </c>
      <c r="AE53" s="99" t="str">
        <f>"aws s3 cp "&amp;s3_bucket&amp;"/RTDC"&amp;B53&amp;"/"&amp;TEXT(F53,"YYYY-MM-DD")&amp;"/ "&amp;search_path&amp;"\RTDC"&amp;B53&amp;"\"&amp;TEXT(F53,"YYYY-MM-DD")&amp;" --recursive &amp; """&amp;walkandungz&amp;""" "&amp;search_path&amp;"\RTDC"&amp;B53&amp;"\"&amp;TEXT(F53,"YYYY-MM-DD")
&amp;" &amp; "&amp;"aws s3 cp "&amp;s3_bucket&amp;"/RTDC"&amp;B53&amp;"/"&amp;TEXT(F53+1,"YYYY-MM-DD")&amp;"/ "&amp;search_path&amp;"\RTDC"&amp;B53&amp;"\"&amp;TEXT(F53+1,"YYYY-MM-DD")&amp;" --recursive &amp; """&amp;walkandungz&amp;""" "&amp;search_path&amp;"\RTDC"&amp;B53&amp;"\"&amp;TEXT(F53+1,"YYYY-MM-DD")</f>
        <v>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 &amp; aws s3 cp s3://rtdc.mdm.uploadarchive/RTDC4038/2016-08-28/ "%USERPROFILE%\AppData\Local\Temp\OnboardLogs"\RTDC4038\2016-08-28 --recursive &amp; "%USERPROFILE%\Documents\GitHub\mrs-test-scripts\Headless Mode &amp; Sideloading\WalkAndUnGZ.bat" "%USERPROFILE%\AppData\Local\Temp\OnboardLogs"\RTDC4038\2016-08-28</v>
      </c>
      <c r="AF53" s="96" t="str">
        <f>astrogrep_path&amp;" /spath="&amp;search_path&amp;" /stypes=""*"&amp;B53&amp;"*"&amp;TEXT(I53-utc_offset/24,"YYYYMMDD")&amp;"*"" /stext="" "&amp;TEXT(I53-utc_offset/24,"HH")&amp;search_regexp&amp;""" /e /r /s"</f>
        <v>"C:\Program Files (x86)\AstroGrep\AstroGrep.exe" /spath="%USERPROFILE%\AppData\Local\Temp\OnboardLogs" /stypes="*4038*20160827*" /stext=" 15:.+((SYSTEM_STATE.+slice.+state.+changed )|(ment ac)|(system.+state.+changed )|(\|lc)|(penalty)|(\[timeout)|(PRM\|1\|D)|(kpr)|(kdp))" /e /r /s</v>
      </c>
      <c r="AG53" s="1" t="str">
        <f>IFERROR(IF(VALUE(LEFT(AD53,2))&lt;=2,"EC",IF(OR(VALUE(LEFT(AD53,2))=8,VALUE(LEFT(AD53,2))=18),"NW","Other")),"Other")</f>
        <v>EC</v>
      </c>
      <c r="AH53" s="100" t="str">
        <f t="shared" si="0"/>
        <v>"%USERPROFILE%\Documents\GitHub\eaglep3\Utilities\RefineRTDCRunTimes.py" --tripid 137-27 --locoid 4038 --swversion DE.1.0.7.0 --startMP 204:458 --initTime 2016-08-27T08:13:39 --startdatetime 2016-08-27T08:17:03 --delay 2 --endMP 204:233286 --enddatetime 2016-08-27T09:08:32 --enforcementcount 0 &gt;&gt;C:\Users\stu\Documents\GitHub\eaglep3-reporting\EC\2016-08-27-refined-times.txt</v>
      </c>
      <c r="AI53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{"issue":{"subject":"","project_id":79,"tracker_id":40,"status_id":1,"priority_id":2,"assigned_to_id":23,"start_date":"2016-08-27","description":"","custom_fields":[{"id":1,"name":"Subdivision","value":"EC"},{"id":4,"name":"Milepost","value":"23.2828"},{"id":17,"name":"Train ID","value":"137-27"},{"id":16,"name":"Locomotive ID","value":"4038"},{"id":130,"name":"Impact","value":""},{"id":150,"name":"Time of Event (Mountain Time)","value":"09:08:32"},{"id":151,"name":"Denver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443</v>
      </c>
      <c r="B54" s="7">
        <v>4037</v>
      </c>
      <c r="C54" s="24" t="s">
        <v>113</v>
      </c>
      <c r="D54" s="24" t="s">
        <v>329</v>
      </c>
      <c r="E54" s="15">
        <v>42609.383321759262</v>
      </c>
      <c r="F54" s="15">
        <v>42609.391145833331</v>
      </c>
      <c r="G54" s="7">
        <v>6</v>
      </c>
      <c r="H54" s="15" t="s">
        <v>172</v>
      </c>
      <c r="I54" s="15">
        <v>42609.420231481483</v>
      </c>
      <c r="J54" s="7">
        <v>0</v>
      </c>
      <c r="K54" s="132" t="str">
        <f>IF(ISEVEN(B54),(B54-1)&amp;"/"&amp;B54,B54&amp;"/"&amp;(B54+1))</f>
        <v>4037/4038</v>
      </c>
      <c r="L54" s="24" t="str">
        <f>VLOOKUP(A54,'Trips&amp;Operators'!$C$1:$E$10000,3,FALSE)</f>
        <v>MALAVE</v>
      </c>
      <c r="M54" s="6">
        <f>I54-F54</f>
        <v>2.9085648151522037E-2</v>
      </c>
      <c r="N54" s="7">
        <f>24*60*SUM($M54:$M54)</f>
        <v>41.883333338191733</v>
      </c>
      <c r="O54" s="7"/>
      <c r="P54" s="7"/>
      <c r="Q54" s="25"/>
      <c r="R54" s="25"/>
      <c r="S54" s="37">
        <f>SUM(U54:U54)/IF(AG54="EC",12,1)</f>
        <v>1</v>
      </c>
      <c r="T54" s="52" t="str">
        <f>IF(ISEVEN(LEFT(AD54,4)),"Southbound","NorthBound")</f>
        <v>Southbound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hh:mm:ss")&amp;"-0600',mode:absolute,to:'"&amp;TEXT(I54+1/24,"yyyy-MM-DD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https://search-rtdc-monitor-bjffxe2xuh6vdkpspy63sjmuny.us-east-1.es.amazonaws.com/_plugin/kibana/#/discover/Steve-Slow-Train-Analysis-(2080s-and-2083s)?_g=(refreshInterval:(display:Off,section:0,value:0),time:(from:'2016-08-27 08:11:59-0600',mode:absolute,to:'2016-08-27 11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54" s="54" t="str">
        <f>IF(AA54&lt;IF(AG54="EC",23,5.65),"Y","N")</f>
        <v>N</v>
      </c>
      <c r="X54" s="120">
        <f t="shared" si="20"/>
        <v>1</v>
      </c>
      <c r="Y54" s="69">
        <f>RIGHT(D54,LEN(D54)-4)/10000</f>
        <v>23.298200000000001</v>
      </c>
      <c r="Z54" s="69">
        <f>RIGHT(H54,LEN(H54)-4)/10000</f>
        <v>1.52E-2</v>
      </c>
      <c r="AA54" s="69">
        <f>ABS(Z54-Y54)</f>
        <v>23.283000000000001</v>
      </c>
      <c r="AB54" s="66" t="e">
        <f>VLOOKUP(A54,Enforcements!$C$7:$J$21,8,0)</f>
        <v>#N/A</v>
      </c>
      <c r="AC54" s="62" t="e">
        <f>VLOOKUP(A54,Enforcements!$C$7:$E$21,3,0)</f>
        <v>#N/A</v>
      </c>
      <c r="AD54" s="63" t="str">
        <f>IF(LEN(A54)=6,"0"&amp;A54,A54)</f>
        <v>0138-27</v>
      </c>
      <c r="AE54" s="99" t="str">
        <f>"aws s3 cp "&amp;s3_bucket&amp;"/RTDC"&amp;B54&amp;"/"&amp;TEXT(F54,"YYYY-MM-DD")&amp;"/ "&amp;search_path&amp;"\RTDC"&amp;B54&amp;"\"&amp;TEXT(F54,"YYYY-MM-DD")&amp;" --recursive &amp; """&amp;walkandungz&amp;""" "&amp;search_path&amp;"\RTDC"&amp;B54&amp;"\"&amp;TEXT(F54,"YYYY-MM-DD")
&amp;" &amp; "&amp;"aws s3 cp "&amp;s3_bucket&amp;"/RTDC"&amp;B54&amp;"/"&amp;TEXT(F54+1,"YYYY-MM-DD")&amp;"/ "&amp;search_path&amp;"\RTDC"&amp;B54&amp;"\"&amp;TEXT(F54+1,"YYYY-MM-DD")&amp;" --recursive &amp; """&amp;walkandungz&amp;""" "&amp;search_path&amp;"\RTDC"&amp;B54&amp;"\"&amp;TEXT(F54+1,"YYYY-MM-DD")</f>
        <v>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 &amp; 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</v>
      </c>
      <c r="AF54" s="96" t="str">
        <f>astrogrep_path&amp;" /spath="&amp;search_path&amp;" /stypes=""*"&amp;B54&amp;"*"&amp;TEXT(I54-utc_offset/24,"YYYYMMDD")&amp;"*"" /stext="" "&amp;TEXT(I54-utc_offset/24,"HH")&amp;search_regexp&amp;""" /e /r /s"</f>
        <v>"C:\Program Files (x86)\AstroGrep\AstroGrep.exe" /spath="%USERPROFILE%\AppData\Local\Temp\OnboardLogs" /stypes="*4037*20160827*" /stext=" 16:.+((SYSTEM_STATE.+slice.+state.+changed )|(ment ac)|(system.+state.+changed )|(\|lc)|(penalty)|(\[timeout)|(PRM\|1\|D)|(kpr)|(kdp))" /e /r /s</v>
      </c>
      <c r="AG54" s="1" t="str">
        <f>IFERROR(IF(VALUE(LEFT(AD54,2))&lt;=2,"EC",IF(OR(VALUE(LEFT(AD54,2))=8,VALUE(LEFT(AD54,2))=18),"NW","Other")),"Other")</f>
        <v>EC</v>
      </c>
      <c r="AH54" s="100" t="str">
        <f t="shared" si="0"/>
        <v>"%USERPROFILE%\Documents\GitHub\eaglep3\Utilities\RefineRTDCRunTimes.py" --tripid 138-27 --locoid 4037 --swversion DE.1.0.7.0 --startMP 204:232982 --initTime 2016-08-27T09:11:59 --startdatetime 2016-08-27T09:23:15 --delay 6 --endMP 204:152 --enddatetime 2016-08-27T10:05:08 --enforcementcount 0 &gt;&gt;C:\Users\stu\Documents\GitHub\eaglep3-reporting\EC\2016-08-27-refined-times.txt</v>
      </c>
      <c r="AI54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{"issue":{"subject":"","project_id":79,"tracker_id":40,"status_id":1,"priority_id":2,"assigned_to_id":23,"start_date":"2016-08-27","description":"","custom_fields":[{"id":1,"name":"Subdivision","value":"EC"},{"id":4,"name":"Milepost","value":"23.283"},{"id":17,"name":"Train ID","value":"138-27"},{"id":16,"name":"Locomotive ID","value":"4037"},{"id":130,"name":"Impact","value":""},{"id":150,"name":"Time of Event (Mountain Time)","value":"10:05:08"},{"id":151,"name":"Denver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444</v>
      </c>
      <c r="B55" s="7">
        <v>4014</v>
      </c>
      <c r="C55" s="24" t="s">
        <v>113</v>
      </c>
      <c r="D55" s="24" t="s">
        <v>445</v>
      </c>
      <c r="E55" s="15">
        <v>42609.357268518521</v>
      </c>
      <c r="F55" s="15">
        <v>42609.358611111114</v>
      </c>
      <c r="G55" s="7">
        <v>1</v>
      </c>
      <c r="H55" s="15" t="s">
        <v>276</v>
      </c>
      <c r="I55" s="15">
        <v>42609.389317129629</v>
      </c>
      <c r="J55" s="7">
        <v>0</v>
      </c>
      <c r="K55" s="132" t="str">
        <f>IF(ISEVEN(B55),(B55-1)&amp;"/"&amp;B55,B55&amp;"/"&amp;(B55+1))</f>
        <v>4013/4014</v>
      </c>
      <c r="L55" s="24" t="str">
        <f>VLOOKUP(A55,'Trips&amp;Operators'!$C$1:$E$10000,3,FALSE)</f>
        <v>ACKERMAN</v>
      </c>
      <c r="M55" s="6">
        <f>I55-F55</f>
        <v>3.0706018515047617E-2</v>
      </c>
      <c r="N55" s="7">
        <f>24*60*SUM($M55:$M55)</f>
        <v>44.216666661668569</v>
      </c>
      <c r="O55" s="7"/>
      <c r="P55" s="7"/>
      <c r="Q55" s="25"/>
      <c r="R55" s="25"/>
      <c r="S55" s="37">
        <f>SUM(U55:U55)/IF(AG55="EC",12,1)</f>
        <v>1</v>
      </c>
      <c r="T55" s="52" t="str">
        <f>IF(ISEVEN(LEFT(AD55,4)),"Southbound","NorthBound")</f>
        <v>NorthBound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hh:mm:ss")&amp;"-0600',mode:absolute,to:'"&amp;TEXT(I55+1/24,"yyyy-MM-DD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https://search-rtdc-monitor-bjffxe2xuh6vdkpspy63sjmuny.us-east-1.es.amazonaws.com/_plugin/kibana/#/discover/Steve-Slow-Train-Analysis-(2080s-and-2083s)?_g=(refreshInterval:(display:Off,section:0,value:0),time:(from:'2016-08-27 07:34:28-0600',mode:absolute,to:'2016-08-27 10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55" s="54" t="str">
        <f>IF(AA55&lt;IF(AG55="EC",23,5.65),"Y","N")</f>
        <v>N</v>
      </c>
      <c r="X55" s="120">
        <f>VALUE(LEFT(AD55,4))-VALUE(LEFT(AD54,4))</f>
        <v>1</v>
      </c>
      <c r="Y55" s="69">
        <f>RIGHT(D55,LEN(D55)-4)/10000</f>
        <v>6.3899999999999998E-2</v>
      </c>
      <c r="Z55" s="69">
        <f>RIGHT(H55,LEN(H55)-4)/10000</f>
        <v>23.332100000000001</v>
      </c>
      <c r="AA55" s="69">
        <f>ABS(Z55-Y55)</f>
        <v>23.2682</v>
      </c>
      <c r="AB55" s="66" t="e">
        <f>VLOOKUP(A55,Enforcements!$C$7:$J$21,8,0)</f>
        <v>#N/A</v>
      </c>
      <c r="AC55" s="62" t="e">
        <f>VLOOKUP(A55,Enforcements!$C$7:$E$21,3,0)</f>
        <v>#N/A</v>
      </c>
      <c r="AD55" s="63" t="str">
        <f>IF(LEN(A55)=6,"0"&amp;A55,A55)</f>
        <v>0139-27</v>
      </c>
      <c r="AE55" s="99" t="str">
        <f>"aws s3 cp "&amp;s3_bucket&amp;"/RTDC"&amp;B55&amp;"/"&amp;TEXT(F55,"YYYY-MM-DD")&amp;"/ "&amp;search_path&amp;"\RTDC"&amp;B55&amp;"\"&amp;TEXT(F55,"YYYY-MM-DD")&amp;" --recursive &amp; """&amp;walkandungz&amp;""" "&amp;search_path&amp;"\RTDC"&amp;B55&amp;"\"&amp;TEXT(F55,"YYYY-MM-DD")
&amp;" &amp; "&amp;"aws s3 cp "&amp;s3_bucket&amp;"/RTDC"&amp;B55&amp;"/"&amp;TEXT(F55+1,"YYYY-MM-DD")&amp;"/ "&amp;search_path&amp;"\RTDC"&amp;B55&amp;"\"&amp;TEXT(F55+1,"YYYY-MM-DD")&amp;" --recursive &amp; """&amp;walkandungz&amp;""" "&amp;search_path&amp;"\RTDC"&amp;B55&amp;"\"&amp;TEXT(F55+1,"YYYY-MM-DD")</f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AF55" s="96" t="str">
        <f>astrogrep_path&amp;" /spath="&amp;search_path&amp;" /stypes=""*"&amp;B55&amp;"*"&amp;TEXT(I55-utc_offset/24,"YYYYMMDD")&amp;"*"" /stext="" "&amp;TEXT(I55-utc_offset/24,"HH")&amp;search_regexp&amp;""" /e /r /s"</f>
        <v>"C:\Program Files (x86)\AstroGrep\AstroGrep.exe" /spath="%USERPROFILE%\AppData\Local\Temp\OnboardLogs" /stypes="*4014*20160827*" /stext=" 15:.+((SYSTEM_STATE.+slice.+state.+changed )|(ment ac)|(system.+state.+changed )|(\|lc)|(penalty)|(\[timeout)|(PRM\|1\|D)|(kpr)|(kdp))" /e /r /s</v>
      </c>
      <c r="AG55" s="1" t="str">
        <f>IFERROR(IF(VALUE(LEFT(AD55,2))&lt;=2,"EC",IF(OR(VALUE(LEFT(AD55,2))=8,VALUE(LEFT(AD55,2))=18),"NW","Other")),"Other")</f>
        <v>EC</v>
      </c>
      <c r="AH55" s="100" t="str">
        <f t="shared" si="0"/>
        <v>"%USERPROFILE%\Documents\GitHub\eaglep3\Utilities\RefineRTDCRunTimes.py" --tripid 139-27 --locoid 4014 --swversion DE.1.0.7.0 --startMP 204:639 --initTime 2016-08-27T08:34:28 --startdatetime 2016-08-27T08:36:24 --delay 1 --endMP 204:233321 --enddatetime 2016-08-27T09:20:37 --enforcementcount 0 &gt;&gt;C:\Users\stu\Documents\GitHub\eaglep3-reporting\EC\2016-08-27-refined-times.txt</v>
      </c>
      <c r="AI55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{"issue":{"subject":"","project_id":79,"tracker_id":40,"status_id":1,"priority_id":2,"assigned_to_id":23,"start_date":"2016-08-27","description":"","custom_fields":[{"id":1,"name":"Subdivision","value":"EC"},{"id":4,"name":"Milepost","value":"23.2682"},{"id":17,"name":"Train ID","value":"139-27"},{"id":16,"name":"Locomotive ID","value":"4014"},{"id":130,"name":"Impact","value":""},{"id":150,"name":"Time of Event (Mountain Time)","value":"09:20:37"},{"id":151,"name":"Denver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446</v>
      </c>
      <c r="B56" s="7">
        <v>4013</v>
      </c>
      <c r="C56" s="24" t="s">
        <v>113</v>
      </c>
      <c r="D56" s="24" t="s">
        <v>209</v>
      </c>
      <c r="E56" s="15">
        <v>42609.394513888888</v>
      </c>
      <c r="F56" s="15">
        <v>42609.396493055552</v>
      </c>
      <c r="G56" s="7">
        <v>1</v>
      </c>
      <c r="H56" s="15" t="s">
        <v>447</v>
      </c>
      <c r="I56" s="15">
        <v>42609.424108796295</v>
      </c>
      <c r="J56" s="7">
        <v>0</v>
      </c>
      <c r="K56" s="132" t="str">
        <f>IF(ISEVEN(B56),(B56-1)&amp;"/"&amp;B56,B56&amp;"/"&amp;(B56+1))</f>
        <v>4013/4014</v>
      </c>
      <c r="L56" s="24" t="str">
        <f>VLOOKUP(A56,'Trips&amp;Operators'!$C$1:$E$10000,3,FALSE)</f>
        <v>ACKERMAN</v>
      </c>
      <c r="M56" s="6">
        <f>I56-F56</f>
        <v>2.7615740742476191E-2</v>
      </c>
      <c r="N56" s="7">
        <f>24*60*SUM($M56:$M56)</f>
        <v>39.766666669165716</v>
      </c>
      <c r="O56" s="7"/>
      <c r="P56" s="7"/>
      <c r="Q56" s="25"/>
      <c r="R56" s="25"/>
      <c r="S56" s="37">
        <f>SUM(U56:U56)/IF(AG56="EC",12,1)</f>
        <v>1</v>
      </c>
      <c r="T56" s="52" t="str">
        <f>IF(ISEVEN(LEFT(AD56,4)),"Southbound","NorthBound")</f>
        <v>Southbound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hh:mm:ss")&amp;"-0600',mode:absolute,to:'"&amp;TEXT(I56+1/24,"yyyy-MM-DD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https://search-rtdc-monitor-bjffxe2xuh6vdkpspy63sjmuny.us-east-1.es.amazonaws.com/_plugin/kibana/#/discover/Steve-Slow-Train-Analysis-(2080s-and-2083s)?_g=(refreshInterval:(display:Off,section:0,value:0),time:(from:'2016-08-27 08:28:06-0600',mode:absolute,to:'2016-08-27 11:10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56" s="54" t="str">
        <f>IF(AA56&lt;IF(AG56="EC",23,5.65),"Y","N")</f>
        <v>N</v>
      </c>
      <c r="X56" s="120">
        <f>VALUE(LEFT(AD56,4))-VALUE(LEFT(AD55,4))</f>
        <v>1</v>
      </c>
      <c r="Y56" s="69">
        <f>RIGHT(D56,LEN(D56)-4)/10000</f>
        <v>23.301100000000002</v>
      </c>
      <c r="Z56" s="69">
        <f>RIGHT(H56,LEN(H56)-4)/10000</f>
        <v>1.9400000000000001E-2</v>
      </c>
      <c r="AA56" s="69">
        <f>ABS(Z56-Y56)</f>
        <v>23.281700000000001</v>
      </c>
      <c r="AB56" s="66" t="e">
        <f>VLOOKUP(A56,Enforcements!$C$7:$J$21,8,0)</f>
        <v>#N/A</v>
      </c>
      <c r="AC56" s="62" t="e">
        <f>VLOOKUP(A56,Enforcements!$C$7:$E$21,3,0)</f>
        <v>#N/A</v>
      </c>
      <c r="AD56" s="63" t="str">
        <f>IF(LEN(A56)=6,"0"&amp;A56,A56)</f>
        <v>0140-27</v>
      </c>
      <c r="AE56" s="99" t="str">
        <f>"aws s3 cp "&amp;s3_bucket&amp;"/RTDC"&amp;B56&amp;"/"&amp;TEXT(F56,"YYYY-MM-DD")&amp;"/ "&amp;search_path&amp;"\RTDC"&amp;B56&amp;"\"&amp;TEXT(F56,"YYYY-MM-DD")&amp;" --recursive &amp; """&amp;walkandungz&amp;""" "&amp;search_path&amp;"\RTDC"&amp;B56&amp;"\"&amp;TEXT(F56,"YYYY-MM-DD")
&amp;" &amp; "&amp;"aws s3 cp "&amp;s3_bucket&amp;"/RTDC"&amp;B56&amp;"/"&amp;TEXT(F56+1,"YYYY-MM-DD")&amp;"/ "&amp;search_path&amp;"\RTDC"&amp;B56&amp;"\"&amp;TEXT(F56+1,"YYYY-MM-DD")&amp;" --recursive &amp; """&amp;walkandungz&amp;""" "&amp;search_path&amp;"\RTDC"&amp;B56&amp;"\"&amp;TEXT(F56+1,"YYYY-MM-DD")</f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AF56" s="96" t="str">
        <f>astrogrep_path&amp;" /spath="&amp;search_path&amp;" /stypes=""*"&amp;B56&amp;"*"&amp;TEXT(I56-utc_offset/24,"YYYYMMDD")&amp;"*"" /stext="" "&amp;TEXT(I56-utc_offset/24,"HH")&amp;search_regexp&amp;""" /e /r /s"</f>
        <v>"C:\Program Files (x86)\AstroGrep\AstroGrep.exe" /spath="%USERPROFILE%\AppData\Local\Temp\OnboardLogs" /stypes="*4013*20160827*" /stext=" 16:.+((SYSTEM_STATE.+slice.+state.+changed )|(ment ac)|(system.+state.+changed )|(\|lc)|(penalty)|(\[timeout)|(PRM\|1\|D)|(kpr)|(kdp))" /e /r /s</v>
      </c>
      <c r="AG56" s="1" t="str">
        <f>IFERROR(IF(VALUE(LEFT(AD56,2))&lt;=2,"EC",IF(OR(VALUE(LEFT(AD56,2))=8,VALUE(LEFT(AD56,2))=18),"NW","Other")),"Other")</f>
        <v>EC</v>
      </c>
      <c r="AH56" s="100" t="str">
        <f t="shared" si="0"/>
        <v>"%USERPROFILE%\Documents\GitHub\eaglep3\Utilities\RefineRTDCRunTimes.py" --tripid 140-27 --locoid 4013 --swversion DE.1.0.7.0 --startMP 204:233011 --initTime 2016-08-27T09:28:06 --startdatetime 2016-08-27T09:30:57 --delay 1 --endMP 204:194 --enddatetime 2016-08-27T10:10:43 --enforcementcount 0 &gt;&gt;C:\Users\stu\Documents\GitHub\eaglep3-reporting\EC\2016-08-27-refined-times.txt</v>
      </c>
      <c r="AI56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{"issue":{"subject":"","project_id":79,"tracker_id":40,"status_id":1,"priority_id":2,"assigned_to_id":23,"start_date":"2016-08-27","description":"","custom_fields":[{"id":1,"name":"Subdivision","value":"EC"},{"id":4,"name":"Milepost","value":"23.2817"},{"id":17,"name":"Train ID","value":"140-27"},{"id":16,"name":"Locomotive ID","value":"4013"},{"id":130,"name":"Impact","value":""},{"id":150,"name":"Time of Event (Mountain Time)","value":"10:10:43"},{"id":151,"name":"Denver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448</v>
      </c>
      <c r="B57" s="7">
        <v>4025</v>
      </c>
      <c r="C57" s="24" t="s">
        <v>113</v>
      </c>
      <c r="D57" s="24" t="s">
        <v>449</v>
      </c>
      <c r="E57" s="15">
        <v>42609.374212962961</v>
      </c>
      <c r="F57" s="15">
        <v>42609.375497685185</v>
      </c>
      <c r="G57" s="7">
        <v>1</v>
      </c>
      <c r="H57" s="15" t="s">
        <v>351</v>
      </c>
      <c r="I57" s="15">
        <v>42609.400196759256</v>
      </c>
      <c r="J57" s="7">
        <v>0</v>
      </c>
      <c r="K57" s="132" t="str">
        <f>IF(ISEVEN(B57),(B57-1)&amp;"/"&amp;B57,B57&amp;"/"&amp;(B57+1))</f>
        <v>4025/4026</v>
      </c>
      <c r="L57" s="24" t="str">
        <f>VLOOKUP(A57,'Trips&amp;Operators'!$C$1:$E$10000,3,FALSE)</f>
        <v>DAVIS</v>
      </c>
      <c r="M57" s="6">
        <f>I57-F57</f>
        <v>2.4699074070667848E-2</v>
      </c>
      <c r="N57" s="7"/>
      <c r="O57" s="7"/>
      <c r="P57" s="7">
        <f>24*60*SUM($M57:$M57)</f>
        <v>35.566666661761701</v>
      </c>
      <c r="Q57" s="25"/>
      <c r="R57" s="25" t="s">
        <v>705</v>
      </c>
      <c r="S57" s="37">
        <f>SUM(U57:U57)/IF(AG57="EC",12,1)</f>
        <v>1</v>
      </c>
      <c r="T57" s="52" t="str">
        <f>IF(ISEVEN(LEFT(AD57,4)),"Southbound","NorthBound")</f>
        <v>NorthBound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hh:mm:ss")&amp;"-0600',mode:absolute,to:'"&amp;TEXT(I57+1/24,"yyyy-MM-DD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https://search-rtdc-monitor-bjffxe2xuh6vdkpspy63sjmuny.us-east-1.es.amazonaws.com/_plugin/kibana/#/discover/Steve-Slow-Train-Analysis-(2080s-and-2083s)?_g=(refreshInterval:(display:Off,section:0,value:0),time:(from:'2016-08-27 07:58:52-0600',mode:absolute,to:'2016-08-27 10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57" s="54" t="str">
        <f>IF(AA57&lt;IF(AG57="EC",23,5.65),"Y","N")</f>
        <v>Y</v>
      </c>
      <c r="X57" s="120">
        <f>VALUE(LEFT(AD57,4))-VALUE(LEFT(AD56,4))</f>
        <v>1</v>
      </c>
      <c r="Y57" s="69">
        <f>RIGHT(D57,LEN(D57)-4)/10000</f>
        <v>1.9137</v>
      </c>
      <c r="Z57" s="69">
        <f>RIGHT(H57,LEN(H57)-4)/10000</f>
        <v>23.329899999999999</v>
      </c>
      <c r="AA57" s="69">
        <f>ABS(Z57-Y57)</f>
        <v>21.4162</v>
      </c>
      <c r="AB57" s="66" t="e">
        <f>VLOOKUP(A57,Enforcements!$C$7:$J$21,8,0)</f>
        <v>#N/A</v>
      </c>
      <c r="AC57" s="62" t="e">
        <f>VLOOKUP(A57,Enforcements!$C$7:$E$21,3,0)</f>
        <v>#N/A</v>
      </c>
      <c r="AD57" s="63" t="str">
        <f>IF(LEN(A57)=6,"0"&amp;A57,A57)</f>
        <v>0141-27</v>
      </c>
      <c r="AE57" s="99" t="str">
        <f>"aws s3 cp "&amp;s3_bucket&amp;"/RTDC"&amp;B57&amp;"/"&amp;TEXT(F57,"YYYY-MM-DD")&amp;"/ "&amp;search_path&amp;"\RTDC"&amp;B57&amp;"\"&amp;TEXT(F57,"YYYY-MM-DD")&amp;" --recursive &amp; """&amp;walkandungz&amp;""" "&amp;search_path&amp;"\RTDC"&amp;B57&amp;"\"&amp;TEXT(F57,"YYYY-MM-DD")
&amp;" &amp; "&amp;"aws s3 cp "&amp;s3_bucket&amp;"/RTDC"&amp;B57&amp;"/"&amp;TEXT(F57+1,"YYYY-MM-DD")&amp;"/ "&amp;search_path&amp;"\RTDC"&amp;B57&amp;"\"&amp;TEXT(F57+1,"YYYY-MM-DD")&amp;" --recursive &amp; """&amp;walkandungz&amp;""" "&amp;search_path&amp;"\RTDC"&amp;B57&amp;"\"&amp;TEXT(F57+1,"YYYY-MM-DD")</f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57" s="96" t="str">
        <f>astrogrep_path&amp;" /spath="&amp;search_path&amp;" /stypes=""*"&amp;B57&amp;"*"&amp;TEXT(I57-utc_offset/24,"YYYYMMDD")&amp;"*"" /stext="" "&amp;TEXT(I57-utc_offset/24,"HH")&amp;search_regexp&amp;""" /e /r /s"</f>
        <v>"C:\Program Files (x86)\AstroGrep\AstroGrep.exe" /spath="%USERPROFILE%\AppData\Local\Temp\OnboardLogs" /stypes="*4025*20160827*" /stext=" 15:.+((SYSTEM_STATE.+slice.+state.+changed )|(ment ac)|(system.+state.+changed )|(\|lc)|(penalty)|(\[timeout)|(PRM\|1\|D)|(kpr)|(kdp))" /e /r /s</v>
      </c>
      <c r="AG57" s="1" t="str">
        <f>IFERROR(IF(VALUE(LEFT(AD57,2))&lt;=2,"EC",IF(OR(VALUE(LEFT(AD57,2))=8,VALUE(LEFT(AD57,2))=18),"NW","Other")),"Other")</f>
        <v>EC</v>
      </c>
      <c r="AH57" s="100" t="str">
        <f t="shared" si="0"/>
        <v>"%USERPROFILE%\Documents\GitHub\eaglep3\Utilities\RefineRTDCRunTimes.py" --tripid 141-27 --locoid 4025 --swversion DE.1.0.7.0 --startMP 204:19137 --initTime 2016-08-27T08:58:52 --startdatetime 2016-08-27T09:00:43 --delay 1 --endMP 204:233299 --enddatetime 2016-08-27T09:36:17 --enforcementcount 0 &gt;&gt;C:\Users\stu\Documents\GitHub\eaglep3-reporting\EC\2016-08-27-refined-times.txt</v>
      </c>
      <c r="AI57" s="149" t="str">
        <f t="shared" si="1"/>
        <v>echo {"issue":{"subject":"Trip ID wasn't available while init'ing at DUS","project_id":79,"tracker_id":40,"status_id":1,"priority_id":2,"assigned_to_id":23,"start_date":"2016-08-27","description":"","custom_fields":[{"id":1,"name":"Subdivision","value":"EC"},{"id":4,"name":"Milepost","value":"21.4162"},{"id":17,"name":"Train ID","value":"141-27"},{"id":16,"name":"Locomotive ID","value":"4025"},{"id":130,"name":"Impact","value":""},{"id":150,"name":"Time of Event (Mountain Time)","value":"09:36:17"},{"id":151,"name":"Denver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450</v>
      </c>
      <c r="B58" s="7">
        <v>4026</v>
      </c>
      <c r="C58" s="24" t="s">
        <v>113</v>
      </c>
      <c r="D58" s="24" t="s">
        <v>189</v>
      </c>
      <c r="E58" s="15">
        <v>42609.401539351849</v>
      </c>
      <c r="F58" s="15">
        <v>42609.403703703705</v>
      </c>
      <c r="G58" s="7">
        <v>1</v>
      </c>
      <c r="H58" s="15" t="s">
        <v>153</v>
      </c>
      <c r="I58" s="15">
        <v>42609.434305555558</v>
      </c>
      <c r="J58" s="7">
        <v>0</v>
      </c>
      <c r="K58" s="132" t="str">
        <f>IF(ISEVEN(B58),(B58-1)&amp;"/"&amp;B58,B58&amp;"/"&amp;(B58+1))</f>
        <v>4025/4026</v>
      </c>
      <c r="L58" s="24" t="str">
        <f>VLOOKUP(A58,'Trips&amp;Operators'!$C$1:$E$10000,3,FALSE)</f>
        <v>DAVIS</v>
      </c>
      <c r="M58" s="6">
        <f>I58-F58</f>
        <v>3.0601851853134576E-2</v>
      </c>
      <c r="N58" s="7">
        <f>24*60*SUM($M58:$M58)</f>
        <v>44.06666666851379</v>
      </c>
      <c r="O58" s="7"/>
      <c r="P58" s="7"/>
      <c r="Q58" s="25"/>
      <c r="R58" s="25"/>
      <c r="S58" s="37">
        <f>SUM(U58:U58)/IF(AG58="EC",12,1)</f>
        <v>1</v>
      </c>
      <c r="T58" s="52" t="str">
        <f>IF(ISEVEN(LEFT(AD58,4)),"Southbound","NorthBound")</f>
        <v>Southbound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hh:mm:ss")&amp;"-0600',mode:absolute,to:'"&amp;TEXT(I58+1/24,"yyyy-MM-DD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https://search-rtdc-monitor-bjffxe2xuh6vdkpspy63sjmuny.us-east-1.es.amazonaws.com/_plugin/kibana/#/discover/Steve-Slow-Train-Analysis-(2080s-and-2083s)?_g=(refreshInterval:(display:Off,section:0,value:0),time:(from:'2016-08-27 08:38:13-0600',mode:absolute,to:'2016-08-27 11:25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58" s="54" t="str">
        <f>IF(AA58&lt;IF(AG58="EC",23,5.65),"Y","N")</f>
        <v>N</v>
      </c>
      <c r="X58" s="120">
        <f>VALUE(LEFT(AD58,4))-VALUE(LEFT(AD57,4))</f>
        <v>1</v>
      </c>
      <c r="Y58" s="69">
        <f>RIGHT(D58,LEN(D58)-4)/10000</f>
        <v>23.297499999999999</v>
      </c>
      <c r="Z58" s="69">
        <f>RIGHT(H58,LEN(H58)-4)/10000</f>
        <v>1.5599999999999999E-2</v>
      </c>
      <c r="AA58" s="69">
        <f>ABS(Z58-Y58)</f>
        <v>23.2819</v>
      </c>
      <c r="AB58" s="66">
        <f>VLOOKUP(A58,Enforcements!$C$7:$J$21,8,0)</f>
        <v>229055</v>
      </c>
      <c r="AC58" s="62" t="str">
        <f>VLOOKUP(A58,Enforcements!$C$7:$E$21,3,0)</f>
        <v>PERMANENT SPEED RESTRICTION</v>
      </c>
      <c r="AD58" s="63" t="str">
        <f>IF(LEN(A58)=6,"0"&amp;A58,A58)</f>
        <v>0142-27</v>
      </c>
      <c r="AE58" s="99" t="str">
        <f>"aws s3 cp "&amp;s3_bucket&amp;"/RTDC"&amp;B58&amp;"/"&amp;TEXT(F58,"YYYY-MM-DD")&amp;"/ "&amp;search_path&amp;"\RTDC"&amp;B58&amp;"\"&amp;TEXT(F58,"YYYY-MM-DD")&amp;" --recursive &amp; """&amp;walkandungz&amp;""" "&amp;search_path&amp;"\RTDC"&amp;B58&amp;"\"&amp;TEXT(F58,"YYYY-MM-DD")
&amp;" &amp; "&amp;"aws s3 cp "&amp;s3_bucket&amp;"/RTDC"&amp;B58&amp;"/"&amp;TEXT(F58+1,"YYYY-MM-DD")&amp;"/ "&amp;search_path&amp;"\RTDC"&amp;B58&amp;"\"&amp;TEXT(F58+1,"YYYY-MM-DD")&amp;" --recursive &amp; """&amp;walkandungz&amp;""" "&amp;search_path&amp;"\RTDC"&amp;B58&amp;"\"&amp;TEXT(F58+1,"YYYY-MM-DD")</f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58" s="96" t="str">
        <f>astrogrep_path&amp;" /spath="&amp;search_path&amp;" /stypes=""*"&amp;B58&amp;"*"&amp;TEXT(I58-utc_offset/24,"YYYYMMDD")&amp;"*"" /stext="" "&amp;TEXT(I58-utc_offset/24,"HH")&amp;search_regexp&amp;""" /e /r /s"</f>
        <v>"C:\Program Files (x86)\AstroGrep\AstroGrep.exe" /spath="%USERPROFILE%\AppData\Local\Temp\OnboardLogs" /stypes="*4026*20160827*" /stext=" 16:.+((SYSTEM_STATE.+slice.+state.+changed )|(ment ac)|(system.+state.+changed )|(\|lc)|(penalty)|(\[timeout)|(PRM\|1\|D)|(kpr)|(kdp))" /e /r /s</v>
      </c>
      <c r="AG58" s="1" t="str">
        <f>IFERROR(IF(VALUE(LEFT(AD58,2))&lt;=2,"EC",IF(OR(VALUE(LEFT(AD58,2))=8,VALUE(LEFT(AD58,2))=18),"NW","Other")),"Other")</f>
        <v>EC</v>
      </c>
      <c r="AH58" s="100" t="str">
        <f t="shared" si="0"/>
        <v>"%USERPROFILE%\Documents\GitHub\eaglep3\Utilities\RefineRTDCRunTimes.py" --tripid 142-27 --locoid 4026 --swversion DE.1.0.7.0 --startMP 204:232975 --initTime 2016-08-27T09:38:13 --startdatetime 2016-08-27T09:41:20 --delay 1 --endMP 204:156 --enddatetime 2016-08-27T10:25:24 --enforcementcount 0 &gt;&gt;C:\Users\stu\Documents\GitHub\eaglep3-reporting\EC\2016-08-27-refined-times.txt</v>
      </c>
      <c r="AI58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{"issue":{"subject":"","project_id":79,"tracker_id":40,"status_id":1,"priority_id":2,"assigned_to_id":23,"start_date":"2016-08-27","description":"","custom_fields":[{"id":1,"name":"Subdivision","value":"EC"},{"id":4,"name":"Milepost","value":"23.2819"},{"id":17,"name":"Train ID","value":"142-27"},{"id":16,"name":"Locomotive ID","value":"4026"},{"id":130,"name":"Impact","value":""},{"id":150,"name":"Time of Event (Mountain Time)","value":"10:25:24"},{"id":151,"name":"Denver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451</v>
      </c>
      <c r="B59" s="7">
        <v>4009</v>
      </c>
      <c r="C59" s="24" t="s">
        <v>113</v>
      </c>
      <c r="D59" s="24" t="s">
        <v>135</v>
      </c>
      <c r="E59" s="15">
        <v>42609.381886574076</v>
      </c>
      <c r="F59" s="15">
        <v>42609.384212962963</v>
      </c>
      <c r="G59" s="7">
        <v>1</v>
      </c>
      <c r="H59" s="15" t="s">
        <v>343</v>
      </c>
      <c r="I59" s="15">
        <v>42609.409918981481</v>
      </c>
      <c r="J59" s="7">
        <v>0</v>
      </c>
      <c r="K59" s="132" t="str">
        <f>IF(ISEVEN(B59),(B59-1)&amp;"/"&amp;B59,B59&amp;"/"&amp;(B59+1))</f>
        <v>4009/4010</v>
      </c>
      <c r="L59" s="24" t="str">
        <f>VLOOKUP(A59,'Trips&amp;Operators'!$C$1:$E$10000,3,FALSE)</f>
        <v>KILLION</v>
      </c>
      <c r="M59" s="6">
        <f>I59-F59</f>
        <v>2.5706018517666962E-2</v>
      </c>
      <c r="N59" s="7">
        <f>24*60*SUM($M59:$M59)</f>
        <v>37.016666665440425</v>
      </c>
      <c r="O59" s="7"/>
      <c r="P59" s="7"/>
      <c r="Q59" s="25"/>
      <c r="R59" s="25"/>
      <c r="S59" s="37">
        <f>SUM(U59:U59)/IF(AG59="EC",12,1)</f>
        <v>1</v>
      </c>
      <c r="T59" s="52" t="str">
        <f>IF(ISEVEN(LEFT(AD59,4)),"Southbound","NorthBound")</f>
        <v>NorthBound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hh:mm:ss")&amp;"-0600',mode:absolute,to:'"&amp;TEXT(I59+1/24,"yyyy-MM-DD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https://search-rtdc-monitor-bjffxe2xuh6vdkpspy63sjmuny.us-east-1.es.amazonaws.com/_plugin/kibana/#/discover/Steve-Slow-Train-Analysis-(2080s-and-2083s)?_g=(refreshInterval:(display:Off,section:0,value:0),time:(from:'2016-08-27 08:09:55-0600',mode:absolute,to:'2016-08-27 10:50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59" s="54" t="str">
        <f>IF(AA59&lt;IF(AG59="EC",23,5.65),"Y","N")</f>
        <v>N</v>
      </c>
      <c r="X59" s="120">
        <f>VALUE(LEFT(AD59,4))-VALUE(LEFT(AD58,4))</f>
        <v>1</v>
      </c>
      <c r="Y59" s="69">
        <f>RIGHT(D59,LEN(D59)-4)/10000</f>
        <v>4.4900000000000002E-2</v>
      </c>
      <c r="Z59" s="69">
        <f>RIGHT(H59,LEN(H59)-4)/10000</f>
        <v>23.329499999999999</v>
      </c>
      <c r="AA59" s="69">
        <f>ABS(Z59-Y59)</f>
        <v>23.284600000000001</v>
      </c>
      <c r="AB59" s="66" t="e">
        <f>VLOOKUP(A59,Enforcements!$C$7:$J$21,8,0)</f>
        <v>#N/A</v>
      </c>
      <c r="AC59" s="62" t="e">
        <f>VLOOKUP(A59,Enforcements!$C$7:$E$21,3,0)</f>
        <v>#N/A</v>
      </c>
      <c r="AD59" s="63" t="str">
        <f>IF(LEN(A59)=6,"0"&amp;A59,A59)</f>
        <v>0143-27</v>
      </c>
      <c r="AE59" s="99" t="str">
        <f>"aws s3 cp "&amp;s3_bucket&amp;"/RTDC"&amp;B59&amp;"/"&amp;TEXT(F59,"YYYY-MM-DD")&amp;"/ "&amp;search_path&amp;"\RTDC"&amp;B59&amp;"\"&amp;TEXT(F59,"YYYY-MM-DD")&amp;" --recursive &amp; """&amp;walkandungz&amp;""" "&amp;search_path&amp;"\RTDC"&amp;B59&amp;"\"&amp;TEXT(F59,"YYYY-MM-DD")
&amp;" &amp; "&amp;"aws s3 cp "&amp;s3_bucket&amp;"/RTDC"&amp;B59&amp;"/"&amp;TEXT(F59+1,"YYYY-MM-DD")&amp;"/ "&amp;search_path&amp;"\RTDC"&amp;B59&amp;"\"&amp;TEXT(F59+1,"YYYY-MM-DD")&amp;" --recursive &amp; """&amp;walkandungz&amp;""" "&amp;search_path&amp;"\RTDC"&amp;B59&amp;"\"&amp;TEXT(F59+1,"YYYY-MM-DD")</f>
        <v>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 &amp; 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</v>
      </c>
      <c r="AF59" s="96" t="str">
        <f>astrogrep_path&amp;" /spath="&amp;search_path&amp;" /stypes=""*"&amp;B59&amp;"*"&amp;TEXT(I59-utc_offset/24,"YYYYMMDD")&amp;"*"" /stext="" "&amp;TEXT(I59-utc_offset/24,"HH")&amp;search_regexp&amp;""" /e /r /s"</f>
        <v>"C:\Program Files (x86)\AstroGrep\AstroGrep.exe" /spath="%USERPROFILE%\AppData\Local\Temp\OnboardLogs" /stypes="*4009*20160827*" /stext=" 15:.+((SYSTEM_STATE.+slice.+state.+changed )|(ment ac)|(system.+state.+changed )|(\|lc)|(penalty)|(\[timeout)|(PRM\|1\|D)|(kpr)|(kdp))" /e /r /s</v>
      </c>
      <c r="AG59" s="1" t="str">
        <f>IFERROR(IF(VALUE(LEFT(AD59,2))&lt;=2,"EC",IF(OR(VALUE(LEFT(AD59,2))=8,VALUE(LEFT(AD59,2))=18),"NW","Other")),"Other")</f>
        <v>EC</v>
      </c>
      <c r="AH59" s="100" t="str">
        <f t="shared" si="0"/>
        <v>"%USERPROFILE%\Documents\GitHub\eaglep3\Utilities\RefineRTDCRunTimes.py" --tripid 143-27 --locoid 4009 --swversion DE.1.0.7.0 --startMP 204:449 --initTime 2016-08-27T09:09:55 --startdatetime 2016-08-27T09:13:16 --delay 1 --endMP 204:233295 --enddatetime 2016-08-27T09:50:17 --enforcementcount 0 &gt;&gt;C:\Users\stu\Documents\GitHub\eaglep3-reporting\EC\2016-08-27-refined-times.txt</v>
      </c>
      <c r="AI59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{"issue":{"subject":"","project_id":79,"tracker_id":40,"status_id":1,"priority_id":2,"assigned_to_id":23,"start_date":"2016-08-27","description":"","custom_fields":[{"id":1,"name":"Subdivision","value":"EC"},{"id":4,"name":"Milepost","value":"23.2846"},{"id":17,"name":"Train ID","value":"143-27"},{"id":16,"name":"Locomotive ID","value":"4009"},{"id":130,"name":"Impact","value":""},{"id":150,"name":"Time of Event (Mountain Time)","value":"09:50:17"},{"id":151,"name":"Denver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452</v>
      </c>
      <c r="B60" s="7">
        <v>4010</v>
      </c>
      <c r="C60" s="24" t="s">
        <v>113</v>
      </c>
      <c r="D60" s="24" t="s">
        <v>453</v>
      </c>
      <c r="E60" s="15">
        <v>42609.414525462962</v>
      </c>
      <c r="F60" s="15">
        <v>42609.416412037041</v>
      </c>
      <c r="G60" s="7">
        <v>1</v>
      </c>
      <c r="H60" s="15" t="s">
        <v>197</v>
      </c>
      <c r="I60" s="15">
        <v>42609.442210648151</v>
      </c>
      <c r="J60" s="7">
        <v>0</v>
      </c>
      <c r="K60" s="132" t="str">
        <f>IF(ISEVEN(B60),(B60-1)&amp;"/"&amp;B60,B60&amp;"/"&amp;(B60+1))</f>
        <v>4009/4010</v>
      </c>
      <c r="L60" s="24" t="str">
        <f>VLOOKUP(A60,'Trips&amp;Operators'!$C$1:$E$10000,3,FALSE)</f>
        <v>KILLION</v>
      </c>
      <c r="M60" s="6">
        <f>I60-F60</f>
        <v>2.5798611110076308E-2</v>
      </c>
      <c r="N60" s="7">
        <f>24*60*SUM($M60:$M60)</f>
        <v>37.149999998509884</v>
      </c>
      <c r="O60" s="7"/>
      <c r="P60" s="7"/>
      <c r="Q60" s="25"/>
      <c r="R60" s="25"/>
      <c r="S60" s="37">
        <f>SUM(U60:U60)/IF(AG60="EC",12,1)</f>
        <v>1</v>
      </c>
      <c r="T60" s="52" t="str">
        <f>IF(ISEVEN(LEFT(AD60,4)),"Southbound","NorthBound")</f>
        <v>Southbound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hh:mm:ss")&amp;"-0600',mode:absolute,to:'"&amp;TEXT(I60+1/24,"yyyy-MM-DD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https://search-rtdc-monitor-bjffxe2xuh6vdkpspy63sjmuny.us-east-1.es.amazonaws.com/_plugin/kibana/#/discover/Steve-Slow-Train-Analysis-(2080s-and-2083s)?_g=(refreshInterval:(display:Off,section:0,value:0),time:(from:'2016-08-27 08:56:55-0600',mode:absolute,to:'2016-08-27 11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60" s="54" t="str">
        <f>IF(AA60&lt;IF(AG60="EC",23,5.65),"Y","N")</f>
        <v>N</v>
      </c>
      <c r="X60" s="120">
        <f>VALUE(LEFT(AD60,4))-VALUE(LEFT(AD59,4))</f>
        <v>1</v>
      </c>
      <c r="Y60" s="69">
        <f>RIGHT(D60,LEN(D60)-4)/10000</f>
        <v>23.297899999999998</v>
      </c>
      <c r="Z60" s="69">
        <f>RIGHT(H60,LEN(H60)-4)/10000</f>
        <v>1.6500000000000001E-2</v>
      </c>
      <c r="AA60" s="69">
        <f>ABS(Z60-Y60)</f>
        <v>23.281399999999998</v>
      </c>
      <c r="AB60" s="66" t="e">
        <f>VLOOKUP(A60,Enforcements!$C$7:$J$21,8,0)</f>
        <v>#N/A</v>
      </c>
      <c r="AC60" s="62" t="e">
        <f>VLOOKUP(A60,Enforcements!$C$7:$E$21,3,0)</f>
        <v>#N/A</v>
      </c>
      <c r="AD60" s="63" t="str">
        <f>IF(LEN(A60)=6,"0"&amp;A60,A60)</f>
        <v>0144-27</v>
      </c>
      <c r="AE60" s="99" t="str">
        <f>"aws s3 cp "&amp;s3_bucket&amp;"/RTDC"&amp;B60&amp;"/"&amp;TEXT(F60,"YYYY-MM-DD")&amp;"/ "&amp;search_path&amp;"\RTDC"&amp;B60&amp;"\"&amp;TEXT(F60,"YYYY-MM-DD")&amp;" --recursive &amp; """&amp;walkandungz&amp;""" "&amp;search_path&amp;"\RTDC"&amp;B60&amp;"\"&amp;TEXT(F60,"YYYY-MM-DD")
&amp;" &amp; "&amp;"aws s3 cp "&amp;s3_bucket&amp;"/RTDC"&amp;B60&amp;"/"&amp;TEXT(F60+1,"YYYY-MM-DD")&amp;"/ "&amp;search_path&amp;"\RTDC"&amp;B60&amp;"\"&amp;TEXT(F60+1,"YYYY-MM-DD")&amp;" --recursive &amp; """&amp;walkandungz&amp;""" "&amp;search_path&amp;"\RTDC"&amp;B60&amp;"\"&amp;TEXT(F60+1,"YYYY-MM-DD")</f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AF60" s="96" t="str">
        <f>astrogrep_path&amp;" /spath="&amp;search_path&amp;" /stypes=""*"&amp;B60&amp;"*"&amp;TEXT(I60-utc_offset/24,"YYYYMMDD")&amp;"*"" /stext="" "&amp;TEXT(I60-utc_offset/24,"HH")&amp;search_regexp&amp;""" /e /r /s"</f>
        <v>"C:\Program Files (x86)\AstroGrep\AstroGrep.exe" /spath="%USERPROFILE%\AppData\Local\Temp\OnboardLogs" /stypes="*4010*20160827*" /stext=" 16:.+((SYSTEM_STATE.+slice.+state.+changed )|(ment ac)|(system.+state.+changed )|(\|lc)|(penalty)|(\[timeout)|(PRM\|1\|D)|(kpr)|(kdp))" /e /r /s</v>
      </c>
      <c r="AG60" s="1" t="str">
        <f>IFERROR(IF(VALUE(LEFT(AD60,2))&lt;=2,"EC",IF(OR(VALUE(LEFT(AD60,2))=8,VALUE(LEFT(AD60,2))=18),"NW","Other")),"Other")</f>
        <v>EC</v>
      </c>
      <c r="AH60" s="100" t="str">
        <f t="shared" si="0"/>
        <v>"%USERPROFILE%\Documents\GitHub\eaglep3\Utilities\RefineRTDCRunTimes.py" --tripid 144-27 --locoid 4010 --swversion DE.1.0.7.0 --startMP 204:232979 --initTime 2016-08-27T09:56:55 --startdatetime 2016-08-27T09:59:38 --delay 1 --endMP 204:165 --enddatetime 2016-08-27T10:36:47 --enforcementcount 0 &gt;&gt;C:\Users\stu\Documents\GitHub\eaglep3-reporting\EC\2016-08-27-refined-times.txt</v>
      </c>
      <c r="AI60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{"issue":{"subject":"","project_id":79,"tracker_id":40,"status_id":1,"priority_id":2,"assigned_to_id":23,"start_date":"2016-08-27","description":"","custom_fields":[{"id":1,"name":"Subdivision","value":"EC"},{"id":4,"name":"Milepost","value":"23.2814"},{"id":17,"name":"Train ID","value":"144-27"},{"id":16,"name":"Locomotive ID","value":"4010"},{"id":130,"name":"Impact","value":""},{"id":150,"name":"Time of Event (Mountain Time)","value":"10:36:47"},{"id":151,"name":"Denver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703</v>
      </c>
      <c r="B61" s="7"/>
      <c r="C61" s="24"/>
      <c r="D61" s="24"/>
      <c r="E61" s="15"/>
      <c r="F61" s="15"/>
      <c r="G61" s="7"/>
      <c r="H61" s="15"/>
      <c r="I61" s="15"/>
      <c r="J61" s="7"/>
      <c r="K61" s="132" t="str">
        <f t="shared" ref="K61:K62" si="34">IF(ISEVEN(B61),(B61-1)&amp;"/"&amp;B61,B61&amp;"/"&amp;(B61+1))</f>
        <v>-1/</v>
      </c>
      <c r="L61" s="24" t="e">
        <f>VLOOKUP(A61,'Trips&amp;Operators'!$C$1:$E$10000,3,FALSE)</f>
        <v>#N/A</v>
      </c>
      <c r="M61" s="6">
        <f t="shared" ref="M61:M62" si="35">I61-F61</f>
        <v>0</v>
      </c>
      <c r="N61" s="7"/>
      <c r="O61" s="7"/>
      <c r="P61" s="7">
        <v>1</v>
      </c>
      <c r="Q61" s="25"/>
      <c r="R61" s="25" t="s">
        <v>295</v>
      </c>
      <c r="S61" s="37">
        <f t="shared" ref="S61:S62" si="36">SUM(U61:U61)/IF(AG61="EC",12,1)</f>
        <v>0</v>
      </c>
      <c r="T61" s="52" t="str">
        <f t="shared" ref="T61:T62" si="37">IF(ISEVEN(LEFT(AD61,4)),"Southbound","NorthBound")</f>
        <v>NorthBound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0</v>
      </c>
      <c r="V61" s="106" t="e">
        <f t="shared" ref="V61:V62" si="38">"https://search-rtdc-monitor-bjffxe2xuh6vdkpspy63sjmuny.us-east-1.es.amazonaws.com/_plugin/kibana/#/discover/Steve-Slow-Train-Analysis-(2080s-and-2083s)?_g=(refreshInterval:(display:Off,section:0,value:0),time:(from:'"&amp;TEXT(E61-1/24,"yyyy-MM-DD hh:mm:ss")&amp;"-0600',mode:absolute,to:'"&amp;TEXT(I61+1/24,"yyyy-MM-DD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61&amp;"%22')),sort:!(Time,asc))"</f>
        <v>#VALUE!</v>
      </c>
      <c r="W61" s="54" t="e">
        <f t="shared" ref="W61:W62" si="39">IF(AA61&lt;IF(AG61="EC",23,5.65),"Y","N")</f>
        <v>#VALUE!</v>
      </c>
      <c r="X61" s="120">
        <f t="shared" ref="X61:X67" si="40">VALUE(LEFT(AD61,4))-VALUE(LEFT(AD60,4))</f>
        <v>1</v>
      </c>
      <c r="Y61" s="69" t="e">
        <f t="shared" ref="Y61:Y62" si="41">RIGHT(D61,LEN(D61)-4)/10000</f>
        <v>#VALUE!</v>
      </c>
      <c r="Z61" s="69" t="e">
        <f t="shared" ref="Z61:Z62" si="42">RIGHT(H61,LEN(H61)-4)/10000</f>
        <v>#VALUE!</v>
      </c>
      <c r="AA61" s="69" t="e">
        <f t="shared" ref="AA61:AA62" si="43">ABS(Z61-Y61)</f>
        <v>#VALUE!</v>
      </c>
      <c r="AB61" s="66" t="e">
        <f>VLOOKUP(A61,Enforcements!$C$7:$J$21,8,0)</f>
        <v>#N/A</v>
      </c>
      <c r="AC61" s="62" t="e">
        <f>VLOOKUP(A61,Enforcements!$C$7:$E$21,3,0)</f>
        <v>#N/A</v>
      </c>
      <c r="AD61" s="63" t="str">
        <f t="shared" ref="AD61:AD62" si="44">IF(LEN(A61)=6,"0"&amp;A61,A61)</f>
        <v>0145-27</v>
      </c>
      <c r="AE61" s="99" t="str">
        <f>"aws s3 cp "&amp;s3_bucket&amp;"/RTDC"&amp;B61&amp;"/"&amp;TEXT(F61,"YYYY-MM-DD")&amp;"/ "&amp;search_path&amp;"\RTDC"&amp;B61&amp;"\"&amp;TEXT(F61,"YYYY-MM-DD")&amp;" --recursive &amp; """&amp;walkandungz&amp;""" "&amp;search_path&amp;"\RTDC"&amp;B61&amp;"\"&amp;TEXT(F61,"YYYY-MM-DD")
&amp;" &amp; "&amp;"aws s3 cp "&amp;s3_bucket&amp;"/RTDC"&amp;B61&amp;"/"&amp;TEXT(F61+1,"YYYY-MM-DD")&amp;"/ "&amp;search_path&amp;"\RTDC"&amp;B61&amp;"\"&amp;TEXT(F61+1,"YYYY-MM-DD")&amp;" --recursive &amp; """&amp;walkandungz&amp;""" "&amp;search_path&amp;"\RTDC"&amp;B61&amp;"\"&amp;TEXT(F61+1,"YYYY-MM-DD")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61" s="96" t="str">
        <f>astrogrep_path&amp;" /spath="&amp;search_path&amp;" /stypes=""*"&amp;B61&amp;"*"&amp;TEXT(I61-utc_offset/24,"YYYYMMDD")&amp;"*"" /stext="" "&amp;TEXT(I61-utc_offset/24,"HH")&amp;search_regexp&amp;""" /e /r /s"</f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61" s="1" t="str">
        <f t="shared" ref="AG61:AG62" si="45">IFERROR(IF(VALUE(LEFT(AD61,2))&lt;=2,"EC",IF(OR(VALUE(LEFT(AD61,2))=8,VALUE(LEFT(AD61,2))=18),"NW","Other")),"Other")</f>
        <v>EC</v>
      </c>
      <c r="AH61" s="100" t="str">
        <f t="shared" ref="AH61:AH62" si="46">refinertdcruntimes&amp;" --tripid "&amp;A61&amp;" --locoid "&amp;B61&amp;" --swversion "&amp;C61&amp;" --startMP "&amp;D61&amp;" --initTime "&amp;TEXT(E61,"yyyy-mm-ddTHH:MM:SS")&amp;" --startdatetime "&amp;TEXT(F61,"yyyy-mm-ddTHH:MM:SS")&amp;" --delay "&amp;G61&amp;" --endMP "&amp;H61&amp;" --enddatetime "&amp;TEXT(I61,"yyyy-mm-ddTHH:MM:SS")&amp;" --enforcementcount "&amp;J61&amp;IF(outputrefinedruntimes," &gt;&gt;"&amp;RefinedRTDCRunTimesOutputFile,"")</f>
        <v>"%USERPROFILE%\Documents\GitHub\eaglep3\Utilities\RefineRTDCRunTimes.py" --tripid 145-27 --locoid  --swversion  --startMP  --initTime 1900-01-00T00:00:00 --startdatetime 1900-01-00T00:00:00 --delay  --endMP  --enddatetime 1900-01-00T00:00:00 --enforcementcount  &gt;&gt;C:\Users\stu\Documents\GitHub\eaglep3-reporting\EC\2016-08-27-refined-times.txt</v>
      </c>
      <c r="AI61" s="149" t="e">
        <f t="shared" ref="AI61:AI62" si="47">"echo {""issue"":{""subject"":"""&amp;R61&amp;""",""project_id"":79,""tracker_id"":40,""status_id"":"&amp;redmine_status&amp;",""priority_id"":"&amp;redmine_priority&amp;",""assigned_to_id"":"&amp;redmine_assignee&amp;",""start_date"":"""&amp;TEXT(I61,"YYYY-mm-dd")&amp;""",""description"":"""&amp;AJ61&amp;""",""custom_fields"":[{""id"":1,""name"":""Subdivision"",""value"":"""&amp;AG61&amp;"""},{""id"":4,""name"":""Milepost"",""value"":"""&amp;AA61&amp;"""},{""id"":17,""name"":""Train ID"",""value"":"""&amp;A61&amp;"""},{""id"":16,""name"":""Locomotive ID"",""value"":"""&amp;B61&amp;"""},{""id"":130,""name"":""Impact"",""value"":"""&amp;AK61&amp;"""},{""id"":150,""name"":""Time of Event (Mountain Time)"",""value"":"""&amp;TEXT(I61,"hh:mm:ss")&amp;"""},{""id"":151,""name"":""Denver Issue ID"",""value"":"""&amp;"""},{""id"":178,""name"":""Operational Impact"",""value"":"""&amp;redmine_op_impact&amp;"""},{""id"":179,""name"":""Denver Segment Assigned"",""value"":"""&amp;AL61&amp;"""}]}}"&amp;" | curl -X POST -H ""Content-Type: application/json"" -H ""X-Redmine-API-Key: "&amp;redm_api_key&amp;""" "&amp;redm_url&amp;" --data @-"</f>
        <v>#VALUE!</v>
      </c>
      <c r="AJ61" s="55"/>
      <c r="AK61" s="55"/>
      <c r="AL61" s="55"/>
    </row>
    <row r="62" spans="1:38" s="1" customFormat="1" x14ac:dyDescent="0.25">
      <c r="A62" s="39" t="s">
        <v>704</v>
      </c>
      <c r="B62" s="7"/>
      <c r="C62" s="24"/>
      <c r="D62" s="24"/>
      <c r="E62" s="15"/>
      <c r="F62" s="15"/>
      <c r="G62" s="7"/>
      <c r="H62" s="15"/>
      <c r="I62" s="15"/>
      <c r="J62" s="7"/>
      <c r="K62" s="132" t="str">
        <f t="shared" si="34"/>
        <v>-1/</v>
      </c>
      <c r="L62" s="24" t="e">
        <f>VLOOKUP(A62,'Trips&amp;Operators'!$C$1:$E$10000,3,FALSE)</f>
        <v>#N/A</v>
      </c>
      <c r="M62" s="6">
        <f t="shared" si="35"/>
        <v>0</v>
      </c>
      <c r="N62" s="7"/>
      <c r="O62" s="7"/>
      <c r="P62" s="7">
        <v>1</v>
      </c>
      <c r="Q62" s="25"/>
      <c r="R62" s="25" t="s">
        <v>295</v>
      </c>
      <c r="S62" s="37">
        <f t="shared" si="36"/>
        <v>0</v>
      </c>
      <c r="T62" s="52" t="str">
        <f t="shared" si="37"/>
        <v>Southbound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0</v>
      </c>
      <c r="V62" s="106" t="e">
        <f t="shared" si="38"/>
        <v>#VALUE!</v>
      </c>
      <c r="W62" s="54" t="e">
        <f t="shared" si="39"/>
        <v>#VALUE!</v>
      </c>
      <c r="X62" s="120">
        <f t="shared" si="40"/>
        <v>1</v>
      </c>
      <c r="Y62" s="69" t="e">
        <f t="shared" si="41"/>
        <v>#VALUE!</v>
      </c>
      <c r="Z62" s="69" t="e">
        <f t="shared" si="42"/>
        <v>#VALUE!</v>
      </c>
      <c r="AA62" s="69" t="e">
        <f t="shared" si="43"/>
        <v>#VALUE!</v>
      </c>
      <c r="AB62" s="66" t="e">
        <f>VLOOKUP(A62,Enforcements!$C$7:$J$21,8,0)</f>
        <v>#N/A</v>
      </c>
      <c r="AC62" s="62" t="e">
        <f>VLOOKUP(A62,Enforcements!$C$7:$E$21,3,0)</f>
        <v>#N/A</v>
      </c>
      <c r="AD62" s="63" t="str">
        <f t="shared" si="44"/>
        <v>0146-27</v>
      </c>
      <c r="AE62" s="99" t="str">
        <f>"aws s3 cp "&amp;s3_bucket&amp;"/RTDC"&amp;B62&amp;"/"&amp;TEXT(F62,"YYYY-MM-DD")&amp;"/ "&amp;search_path&amp;"\RTDC"&amp;B62&amp;"\"&amp;TEXT(F62,"YYYY-MM-DD")&amp;" --recursive &amp; """&amp;walkandungz&amp;""" "&amp;search_path&amp;"\RTDC"&amp;B62&amp;"\"&amp;TEXT(F62,"YYYY-MM-DD")
&amp;" &amp; "&amp;"aws s3 cp "&amp;s3_bucket&amp;"/RTDC"&amp;B62&amp;"/"&amp;TEXT(F62+1,"YYYY-MM-DD")&amp;"/ "&amp;search_path&amp;"\RTDC"&amp;B62&amp;"\"&amp;TEXT(F62+1,"YYYY-MM-DD")&amp;" --recursive &amp; """&amp;walkandungz&amp;""" "&amp;search_path&amp;"\RTDC"&amp;B62&amp;"\"&amp;TEXT(F62+1,"YYYY-MM-DD")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62" s="96" t="str">
        <f>astrogrep_path&amp;" /spath="&amp;search_path&amp;" /stypes=""*"&amp;B62&amp;"*"&amp;TEXT(I62-utc_offset/24,"YYYYMMDD")&amp;"*"" /stext="" "&amp;TEXT(I62-utc_offset/24,"HH")&amp;search_regexp&amp;""" /e /r /s"</f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62" s="1" t="str">
        <f t="shared" si="45"/>
        <v>EC</v>
      </c>
      <c r="AH62" s="100" t="str">
        <f t="shared" si="46"/>
        <v>"%USERPROFILE%\Documents\GitHub\eaglep3\Utilities\RefineRTDCRunTimes.py" --tripid 146-27 --locoid  --swversion  --startMP  --initTime 1900-01-00T00:00:00 --startdatetime 1900-01-00T00:00:00 --delay  --endMP  --enddatetime 1900-01-00T00:00:00 --enforcementcount  &gt;&gt;C:\Users\stu\Documents\GitHub\eaglep3-reporting\EC\2016-08-27-refined-times.txt</v>
      </c>
      <c r="AI62" s="149" t="e">
        <f t="shared" si="47"/>
        <v>#VALUE!</v>
      </c>
      <c r="AJ62" s="55"/>
      <c r="AK62" s="55"/>
      <c r="AL62" s="55"/>
    </row>
    <row r="63" spans="1:38" s="1" customFormat="1" x14ac:dyDescent="0.25">
      <c r="A63" s="39" t="s">
        <v>454</v>
      </c>
      <c r="B63" s="7">
        <v>4020</v>
      </c>
      <c r="C63" s="24" t="s">
        <v>113</v>
      </c>
      <c r="D63" s="24" t="s">
        <v>455</v>
      </c>
      <c r="E63" s="15">
        <v>42609.402754629627</v>
      </c>
      <c r="F63" s="15">
        <v>42609.40420138889</v>
      </c>
      <c r="G63" s="7">
        <v>1</v>
      </c>
      <c r="H63" s="15" t="s">
        <v>417</v>
      </c>
      <c r="I63" s="15">
        <v>42609.429699074077</v>
      </c>
      <c r="J63" s="7">
        <v>0</v>
      </c>
      <c r="K63" s="132" t="str">
        <f>IF(ISEVEN(B63),(B63-1)&amp;"/"&amp;B63,B63&amp;"/"&amp;(B63+1))</f>
        <v>4019/4020</v>
      </c>
      <c r="L63" s="24" t="str">
        <f>VLOOKUP(A63,'Trips&amp;Operators'!$C$1:$E$10000,3,FALSE)</f>
        <v>MAHAN</v>
      </c>
      <c r="M63" s="6">
        <f>I63-F63</f>
        <v>2.5497685186564922E-2</v>
      </c>
      <c r="N63" s="7"/>
      <c r="O63" s="7"/>
      <c r="P63" s="7">
        <f>24*60*SUM($M63:$M63)</f>
        <v>36.716666668653488</v>
      </c>
      <c r="Q63" s="25"/>
      <c r="R63" s="25" t="s">
        <v>705</v>
      </c>
      <c r="S63" s="37">
        <f>SUM(U63:U63)/IF(AG63="EC",12,1)</f>
        <v>1</v>
      </c>
      <c r="T63" s="52" t="str">
        <f>IF(ISEVEN(LEFT(AD63,4)),"Southbound","NorthBound")</f>
        <v>NorthBound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hh:mm:ss")&amp;"-0600',mode:absolute,to:'"&amp;TEXT(I63+1/24,"yyyy-MM-DD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https://search-rtdc-monitor-bjffxe2xuh6vdkpspy63sjmuny.us-east-1.es.amazonaws.com/_plugin/kibana/#/discover/Steve-Slow-Train-Analysis-(2080s-and-2083s)?_g=(refreshInterval:(display:Off,section:0,value:0),time:(from:'2016-08-27 08:39:58-0600',mode:absolute,to:'2016-08-27 11:18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63" s="54" t="str">
        <f>IF(AA63&lt;IF(AG63="EC",23,5.65),"Y","N")</f>
        <v>Y</v>
      </c>
      <c r="X63" s="120">
        <f t="shared" si="40"/>
        <v>1</v>
      </c>
      <c r="Y63" s="69">
        <f>RIGHT(D63,LEN(D63)-4)/10000</f>
        <v>1.9117999999999999</v>
      </c>
      <c r="Z63" s="69">
        <f>RIGHT(H63,LEN(H63)-4)/10000</f>
        <v>23.329699999999999</v>
      </c>
      <c r="AA63" s="69">
        <f>ABS(Z63-Y63)</f>
        <v>21.417899999999999</v>
      </c>
      <c r="AB63" s="66" t="e">
        <f>VLOOKUP(A63,Enforcements!$C$7:$J$21,8,0)</f>
        <v>#N/A</v>
      </c>
      <c r="AC63" s="62" t="e">
        <f>VLOOKUP(A63,Enforcements!$C$7:$E$21,3,0)</f>
        <v>#N/A</v>
      </c>
      <c r="AD63" s="63" t="str">
        <f>IF(LEN(A63)=6,"0"&amp;A63,A63)</f>
        <v>0147-27</v>
      </c>
      <c r="AE63" s="99" t="str">
        <f>"aws s3 cp "&amp;s3_bucket&amp;"/RTDC"&amp;B63&amp;"/"&amp;TEXT(F63,"YYYY-MM-DD")&amp;"/ "&amp;search_path&amp;"\RTDC"&amp;B63&amp;"\"&amp;TEXT(F63,"YYYY-MM-DD")&amp;" --recursive &amp; """&amp;walkandungz&amp;""" "&amp;search_path&amp;"\RTDC"&amp;B63&amp;"\"&amp;TEXT(F63,"YYYY-MM-DD")
&amp;" &amp; "&amp;"aws s3 cp "&amp;s3_bucket&amp;"/RTDC"&amp;B63&amp;"/"&amp;TEXT(F63+1,"YYYY-MM-DD")&amp;"/ "&amp;search_path&amp;"\RTDC"&amp;B63&amp;"\"&amp;TEXT(F63+1,"YYYY-MM-DD")&amp;" --recursive &amp; """&amp;walkandungz&amp;""" "&amp;search_path&amp;"\RTDC"&amp;B63&amp;"\"&amp;TEXT(F63+1,"YYYY-MM-DD")</f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63" s="96" t="str">
        <f>astrogrep_path&amp;" /spath="&amp;search_path&amp;" /stypes=""*"&amp;B63&amp;"*"&amp;TEXT(I63-utc_offset/24,"YYYYMMDD")&amp;"*"" /stext="" "&amp;TEXT(I63-utc_offset/24,"HH")&amp;search_regexp&amp;""" /e /r /s"</f>
        <v>"C:\Program Files (x86)\AstroGrep\AstroGrep.exe" /spath="%USERPROFILE%\AppData\Local\Temp\OnboardLogs" /stypes="*4020*20160827*" /stext=" 16:.+((SYSTEM_STATE.+slice.+state.+changed )|(ment ac)|(system.+state.+changed )|(\|lc)|(penalty)|(\[timeout)|(PRM\|1\|D)|(kpr)|(kdp))" /e /r /s</v>
      </c>
      <c r="AG63" s="1" t="str">
        <f>IFERROR(IF(VALUE(LEFT(AD63,2))&lt;=2,"EC",IF(OR(VALUE(LEFT(AD63,2))=8,VALUE(LEFT(AD63,2))=18),"NW","Other")),"Other")</f>
        <v>EC</v>
      </c>
      <c r="AH63" s="100" t="str">
        <f t="shared" si="0"/>
        <v>"%USERPROFILE%\Documents\GitHub\eaglep3\Utilities\RefineRTDCRunTimes.py" --tripid 147-27 --locoid 4020 --swversion DE.1.0.7.0 --startMP 204:19118 --initTime 2016-08-27T09:39:58 --startdatetime 2016-08-27T09:42:03 --delay 1 --endMP 204:233297 --enddatetime 2016-08-27T10:18:46 --enforcementcount 0 &gt;&gt;C:\Users\stu\Documents\GitHub\eaglep3-reporting\EC\2016-08-27-refined-times.txt</v>
      </c>
      <c r="AI63" s="149" t="str">
        <f t="shared" si="1"/>
        <v>echo {"issue":{"subject":"Trip ID wasn't available while init'ing at DUS","project_id":79,"tracker_id":40,"status_id":1,"priority_id":2,"assigned_to_id":23,"start_date":"2016-08-27","description":"","custom_fields":[{"id":1,"name":"Subdivision","value":"EC"},{"id":4,"name":"Milepost","value":"21.4179"},{"id":17,"name":"Train ID","value":"147-27"},{"id":16,"name":"Locomotive ID","value":"4020"},{"id":130,"name":"Impact","value":""},{"id":150,"name":"Time of Event (Mountain Time)","value":"10:18:46"},{"id":151,"name":"Denver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456</v>
      </c>
      <c r="B64" s="7">
        <v>4019</v>
      </c>
      <c r="C64" s="24" t="s">
        <v>113</v>
      </c>
      <c r="D64" s="24" t="s">
        <v>273</v>
      </c>
      <c r="E64" s="15">
        <v>42609.432372685187</v>
      </c>
      <c r="F64" s="15">
        <v>42609.435115740744</v>
      </c>
      <c r="G64" s="7">
        <v>1</v>
      </c>
      <c r="H64" s="15" t="s">
        <v>457</v>
      </c>
      <c r="I64" s="15">
        <v>42609.462476851855</v>
      </c>
      <c r="J64" s="7">
        <v>0</v>
      </c>
      <c r="K64" s="132" t="str">
        <f>IF(ISEVEN(B64),(B64-1)&amp;"/"&amp;B64,B64&amp;"/"&amp;(B64+1))</f>
        <v>4019/4020</v>
      </c>
      <c r="L64" s="24" t="str">
        <f>VLOOKUP(A64,'Trips&amp;Operators'!$C$1:$E$10000,3,FALSE)</f>
        <v>MAHAN</v>
      </c>
      <c r="M64" s="6">
        <f>I64-F64</f>
        <v>2.73611111115315E-2</v>
      </c>
      <c r="N64" s="7">
        <f>24*60*SUM($M64:$M64)</f>
        <v>39.40000000060536</v>
      </c>
      <c r="O64" s="7"/>
      <c r="P64" s="7"/>
      <c r="Q64" s="25"/>
      <c r="R64" s="25"/>
      <c r="S64" s="37">
        <f>SUM(U64:U64)/IF(AG64="EC",12,1)</f>
        <v>1</v>
      </c>
      <c r="T64" s="52" t="str">
        <f>IF(ISEVEN(LEFT(AD64,4)),"Southbound","NorthBound")</f>
        <v>Southbound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hh:mm:ss")&amp;"-0600',mode:absolute,to:'"&amp;TEXT(I64+1/24,"yyyy-MM-DD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https://search-rtdc-monitor-bjffxe2xuh6vdkpspy63sjmuny.us-east-1.es.amazonaws.com/_plugin/kibana/#/discover/Steve-Slow-Train-Analysis-(2080s-and-2083s)?_g=(refreshInterval:(display:Off,section:0,value:0),time:(from:'2016-08-27 09:22:37-0600',mode:absolute,to:'2016-08-27 12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64" s="54" t="str">
        <f>IF(AA64&lt;IF(AG64="EC",23,5.65),"Y","N")</f>
        <v>N</v>
      </c>
      <c r="X64" s="120">
        <f t="shared" si="40"/>
        <v>1</v>
      </c>
      <c r="Y64" s="69">
        <f>RIGHT(D64,LEN(D64)-4)/10000</f>
        <v>23.299299999999999</v>
      </c>
      <c r="Z64" s="69">
        <f>RIGHT(H64,LEN(H64)-4)/10000</f>
        <v>2.1999999999999999E-2</v>
      </c>
      <c r="AA64" s="69">
        <f>ABS(Z64-Y64)</f>
        <v>23.2773</v>
      </c>
      <c r="AB64" s="66" t="e">
        <f>VLOOKUP(A64,Enforcements!$C$7:$J$21,8,0)</f>
        <v>#N/A</v>
      </c>
      <c r="AC64" s="62" t="e">
        <f>VLOOKUP(A64,Enforcements!$C$7:$E$21,3,0)</f>
        <v>#N/A</v>
      </c>
      <c r="AD64" s="63" t="str">
        <f>IF(LEN(A64)=6,"0"&amp;A64,A64)</f>
        <v>0148-27</v>
      </c>
      <c r="AE64" s="99" t="str">
        <f>"aws s3 cp "&amp;s3_bucket&amp;"/RTDC"&amp;B64&amp;"/"&amp;TEXT(F64,"YYYY-MM-DD")&amp;"/ "&amp;search_path&amp;"\RTDC"&amp;B64&amp;"\"&amp;TEXT(F64,"YYYY-MM-DD")&amp;" --recursive &amp; """&amp;walkandungz&amp;""" "&amp;search_path&amp;"\RTDC"&amp;B64&amp;"\"&amp;TEXT(F64,"YYYY-MM-DD")
&amp;" &amp; "&amp;"aws s3 cp "&amp;s3_bucket&amp;"/RTDC"&amp;B64&amp;"/"&amp;TEXT(F64+1,"YYYY-MM-DD")&amp;"/ "&amp;search_path&amp;"\RTDC"&amp;B64&amp;"\"&amp;TEXT(F64+1,"YYYY-MM-DD")&amp;" --recursive &amp; """&amp;walkandungz&amp;""" "&amp;search_path&amp;"\RTDC"&amp;B64&amp;"\"&amp;TEXT(F64+1,"YYYY-MM-DD")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64" s="96" t="str">
        <f>astrogrep_path&amp;" /spath="&amp;search_path&amp;" /stypes=""*"&amp;B64&amp;"*"&amp;TEXT(I64-utc_offset/24,"YYYYMMDD")&amp;"*"" /stext="" "&amp;TEXT(I64-utc_offset/24,"HH")&amp;search_regexp&amp;""" /e /r /s"</f>
        <v>"C:\Program Files (x86)\AstroGrep\AstroGrep.exe" /spath="%USERPROFILE%\AppData\Local\Temp\OnboardLogs" /stypes="*4019*20160827*" /stext=" 17:.+((SYSTEM_STATE.+slice.+state.+changed )|(ment ac)|(system.+state.+changed )|(\|lc)|(penalty)|(\[timeout)|(PRM\|1\|D)|(kpr)|(kdp))" /e /r /s</v>
      </c>
      <c r="AG64" s="1" t="str">
        <f>IFERROR(IF(VALUE(LEFT(AD64,2))&lt;=2,"EC",IF(OR(VALUE(LEFT(AD64,2))=8,VALUE(LEFT(AD64,2))=18),"NW","Other")),"Other")</f>
        <v>EC</v>
      </c>
      <c r="AH64" s="100" t="str">
        <f t="shared" si="0"/>
        <v>"%USERPROFILE%\Documents\GitHub\eaglep3\Utilities\RefineRTDCRunTimes.py" --tripid 148-27 --locoid 4019 --swversion DE.1.0.7.0 --startMP 204:232993 --initTime 2016-08-27T10:22:37 --startdatetime 2016-08-27T10:26:34 --delay 1 --endMP 204:220 --enddatetime 2016-08-27T11:05:58 --enforcementcount 0 &gt;&gt;C:\Users\stu\Documents\GitHub\eaglep3-reporting\EC\2016-08-27-refined-times.txt</v>
      </c>
      <c r="AI64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{"issue":{"subject":"","project_id":79,"tracker_id":40,"status_id":1,"priority_id":2,"assigned_to_id":23,"start_date":"2016-08-27","description":"","custom_fields":[{"id":1,"name":"Subdivision","value":"EC"},{"id":4,"name":"Milepost","value":"23.2773"},{"id":17,"name":"Train ID","value":"148-27"},{"id":16,"name":"Locomotive ID","value":"4019"},{"id":130,"name":"Impact","value":""},{"id":150,"name":"Time of Event (Mountain Time)","value":"11:05:58"},{"id":151,"name":"Denver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458</v>
      </c>
      <c r="B65" s="7">
        <v>4031</v>
      </c>
      <c r="C65" s="24" t="s">
        <v>113</v>
      </c>
      <c r="D65" s="24" t="s">
        <v>182</v>
      </c>
      <c r="E65" s="15">
        <v>42609.40415509259</v>
      </c>
      <c r="F65" s="15">
        <v>42609.406956018516</v>
      </c>
      <c r="G65" s="7">
        <v>1</v>
      </c>
      <c r="H65" s="15" t="s">
        <v>459</v>
      </c>
      <c r="I65" s="15">
        <v>42609.432037037041</v>
      </c>
      <c r="J65" s="7">
        <v>0</v>
      </c>
      <c r="K65" s="132" t="str">
        <f>IF(ISEVEN(B65),(B65-1)&amp;"/"&amp;B65,B65&amp;"/"&amp;(B65+1))</f>
        <v>4031/4032</v>
      </c>
      <c r="L65" s="24" t="str">
        <f>VLOOKUP(A65,'Trips&amp;Operators'!$C$1:$E$10000,3,FALSE)</f>
        <v>MAELZER</v>
      </c>
      <c r="M65" s="6">
        <f>I65-F65</f>
        <v>2.5081018524360843E-2</v>
      </c>
      <c r="N65" s="7">
        <f>24*60*SUM($M65:$M65)</f>
        <v>36.116666675079614</v>
      </c>
      <c r="O65" s="7"/>
      <c r="P65" s="7"/>
      <c r="Q65" s="25"/>
      <c r="R65" s="25"/>
      <c r="S65" s="37">
        <f>SUM(U65:U65)/IF(AG65="EC",12,1)</f>
        <v>1</v>
      </c>
      <c r="T65" s="52" t="str">
        <f>IF(ISEVEN(LEFT(AD65,4)),"Southbound","NorthBound")</f>
        <v>NorthBound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hh:mm:ss")&amp;"-0600',mode:absolute,to:'"&amp;TEXT(I65+1/24,"yyyy-MM-DD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https://search-rtdc-monitor-bjffxe2xuh6vdkpspy63sjmuny.us-east-1.es.amazonaws.com/_plugin/kibana/#/discover/Steve-Slow-Train-Analysis-(2080s-and-2083s)?_g=(refreshInterval:(display:Off,section:0,value:0),time:(from:'2016-08-27 08:41:59-0600',mode:absolute,to:'2016-08-27 11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65" s="54" t="str">
        <f>IF(AA65&lt;IF(AG65="EC",23,5.65),"Y","N")</f>
        <v>N</v>
      </c>
      <c r="X65" s="120">
        <f t="shared" si="40"/>
        <v>1</v>
      </c>
      <c r="Y65" s="69">
        <f>RIGHT(D65,LEN(D65)-4)/10000</f>
        <v>4.4400000000000002E-2</v>
      </c>
      <c r="Z65" s="69">
        <f>RIGHT(H65,LEN(H65)-4)/10000</f>
        <v>23.325900000000001</v>
      </c>
      <c r="AA65" s="69">
        <f>ABS(Z65-Y65)</f>
        <v>23.281500000000001</v>
      </c>
      <c r="AB65" s="66" t="e">
        <f>VLOOKUP(A65,Enforcements!$C$7:$J$21,8,0)</f>
        <v>#N/A</v>
      </c>
      <c r="AC65" s="62" t="e">
        <f>VLOOKUP(A65,Enforcements!$C$7:$E$21,3,0)</f>
        <v>#N/A</v>
      </c>
      <c r="AD65" s="63" t="str">
        <f>IF(LEN(A65)=6,"0"&amp;A65,A65)</f>
        <v>0149-27</v>
      </c>
      <c r="AE65" s="99" t="str">
        <f>"aws s3 cp "&amp;s3_bucket&amp;"/RTDC"&amp;B65&amp;"/"&amp;TEXT(F65,"YYYY-MM-DD")&amp;"/ "&amp;search_path&amp;"\RTDC"&amp;B65&amp;"\"&amp;TEXT(F65,"YYYY-MM-DD")&amp;" --recursive &amp; """&amp;walkandungz&amp;""" "&amp;search_path&amp;"\RTDC"&amp;B65&amp;"\"&amp;TEXT(F65,"YYYY-MM-DD")
&amp;" &amp; "&amp;"aws s3 cp "&amp;s3_bucket&amp;"/RTDC"&amp;B65&amp;"/"&amp;TEXT(F65+1,"YYYY-MM-DD")&amp;"/ "&amp;search_path&amp;"\RTDC"&amp;B65&amp;"\"&amp;TEXT(F65+1,"YYYY-MM-DD")&amp;" --recursive &amp; """&amp;walkandungz&amp;""" "&amp;search_path&amp;"\RTDC"&amp;B65&amp;"\"&amp;TEXT(F65+1,"YYYY-MM-DD")</f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65" s="96" t="str">
        <f>astrogrep_path&amp;" /spath="&amp;search_path&amp;" /stypes=""*"&amp;B65&amp;"*"&amp;TEXT(I65-utc_offset/24,"YYYYMMDD")&amp;"*"" /stext="" "&amp;TEXT(I65-utc_offset/24,"HH")&amp;search_regexp&amp;""" /e /r /s"</f>
        <v>"C:\Program Files (x86)\AstroGrep\AstroGrep.exe" /spath="%USERPROFILE%\AppData\Local\Temp\OnboardLogs" /stypes="*4031*20160827*" /stext=" 16:.+((SYSTEM_STATE.+slice.+state.+changed )|(ment ac)|(system.+state.+changed )|(\|lc)|(penalty)|(\[timeout)|(PRM\|1\|D)|(kpr)|(kdp))" /e /r /s</v>
      </c>
      <c r="AG65" s="1" t="str">
        <f>IFERROR(IF(VALUE(LEFT(AD65,2))&lt;=2,"EC",IF(OR(VALUE(LEFT(AD65,2))=8,VALUE(LEFT(AD65,2))=18),"NW","Other")),"Other")</f>
        <v>EC</v>
      </c>
      <c r="AH65" s="100" t="str">
        <f t="shared" si="0"/>
        <v>"%USERPROFILE%\Documents\GitHub\eaglep3\Utilities\RefineRTDCRunTimes.py" --tripid 149-27 --locoid 4031 --swversion DE.1.0.7.0 --startMP 204:444 --initTime 2016-08-27T09:41:59 --startdatetime 2016-08-27T09:46:01 --delay 1 --endMP 204:233259 --enddatetime 2016-08-27T10:22:08 --enforcementcount 0 &gt;&gt;C:\Users\stu\Documents\GitHub\eaglep3-reporting\EC\2016-08-27-refined-times.txt</v>
      </c>
      <c r="AI65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{"issue":{"subject":"","project_id":79,"tracker_id":40,"status_id":1,"priority_id":2,"assigned_to_id":23,"start_date":"2016-08-27","description":"","custom_fields":[{"id":1,"name":"Subdivision","value":"EC"},{"id":4,"name":"Milepost","value":"23.2815"},{"id":17,"name":"Train ID","value":"149-27"},{"id":16,"name":"Locomotive ID","value":"4031"},{"id":130,"name":"Impact","value":""},{"id":150,"name":"Time of Event (Mountain Time)","value":"10:22:08"},{"id":151,"name":"Denver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460</v>
      </c>
      <c r="B66" s="7">
        <v>4032</v>
      </c>
      <c r="C66" s="24" t="s">
        <v>113</v>
      </c>
      <c r="D66" s="24" t="s">
        <v>461</v>
      </c>
      <c r="E66" s="15">
        <v>42609.436932870369</v>
      </c>
      <c r="F66" s="15">
        <v>42609.446226851855</v>
      </c>
      <c r="G66" s="7">
        <v>1</v>
      </c>
      <c r="H66" s="15" t="s">
        <v>183</v>
      </c>
      <c r="I66" s="15">
        <v>42609.472233796296</v>
      </c>
      <c r="J66" s="7">
        <v>0</v>
      </c>
      <c r="K66" s="132" t="str">
        <f>IF(ISEVEN(B66),(B66-1)&amp;"/"&amp;B66,B66&amp;"/"&amp;(B66+1))</f>
        <v>4031/4032</v>
      </c>
      <c r="L66" s="24" t="str">
        <f>VLOOKUP(A66,'Trips&amp;Operators'!$C$1:$E$10000,3,FALSE)</f>
        <v>MAELZER</v>
      </c>
      <c r="M66" s="6">
        <f>I66-F66</f>
        <v>2.6006944441178348E-2</v>
      </c>
      <c r="N66" s="7">
        <f>24*60*SUM($M66:$M66)</f>
        <v>37.449999995296821</v>
      </c>
      <c r="O66" s="7"/>
      <c r="P66" s="7"/>
      <c r="Q66" s="25"/>
      <c r="R66" s="25"/>
      <c r="S66" s="37">
        <f>SUM(U66:U66)/IF(AG66="EC",12,1)</f>
        <v>1</v>
      </c>
      <c r="T66" s="52" t="str">
        <f>IF(ISEVEN(LEFT(AD66,4)),"Southbound","NorthBound")</f>
        <v>Southbound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hh:mm:ss")&amp;"-0600',mode:absolute,to:'"&amp;TEXT(I66+1/24,"yyyy-MM-DD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https://search-rtdc-monitor-bjffxe2xuh6vdkpspy63sjmuny.us-east-1.es.amazonaws.com/_plugin/kibana/#/discover/Steve-Slow-Train-Analysis-(2080s-and-2083s)?_g=(refreshInterval:(display:Off,section:0,value:0),time:(from:'2016-08-27 09:29:11-0600',mode:absolute,to:'2016-08-27 12:20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66" s="54" t="str">
        <f>IF(AA66&lt;IF(AG66="EC",23,5.65),"Y","N")</f>
        <v>N</v>
      </c>
      <c r="X66" s="120">
        <f t="shared" si="40"/>
        <v>1</v>
      </c>
      <c r="Y66" s="69">
        <f>RIGHT(D66,LEN(D66)-4)/10000</f>
        <v>23.2944</v>
      </c>
      <c r="Z66" s="69">
        <f>RIGHT(H66,LEN(H66)-4)/10000</f>
        <v>1.4500000000000001E-2</v>
      </c>
      <c r="AA66" s="69">
        <f>ABS(Z66-Y66)</f>
        <v>23.279899999999998</v>
      </c>
      <c r="AB66" s="66" t="e">
        <f>VLOOKUP(A66,Enforcements!$C$7:$J$21,8,0)</f>
        <v>#N/A</v>
      </c>
      <c r="AC66" s="62" t="e">
        <f>VLOOKUP(A66,Enforcements!$C$7:$E$21,3,0)</f>
        <v>#N/A</v>
      </c>
      <c r="AD66" s="63" t="str">
        <f>IF(LEN(A66)=6,"0"&amp;A66,A66)</f>
        <v>0150-27</v>
      </c>
      <c r="AE66" s="99" t="str">
        <f>"aws s3 cp "&amp;s3_bucket&amp;"/RTDC"&amp;B66&amp;"/"&amp;TEXT(F66,"YYYY-MM-DD")&amp;"/ "&amp;search_path&amp;"\RTDC"&amp;B66&amp;"\"&amp;TEXT(F66,"YYYY-MM-DD")&amp;" --recursive &amp; """&amp;walkandungz&amp;""" "&amp;search_path&amp;"\RTDC"&amp;B66&amp;"\"&amp;TEXT(F66,"YYYY-MM-DD")
&amp;" &amp; "&amp;"aws s3 cp "&amp;s3_bucket&amp;"/RTDC"&amp;B66&amp;"/"&amp;TEXT(F66+1,"YYYY-MM-DD")&amp;"/ "&amp;search_path&amp;"\RTDC"&amp;B66&amp;"\"&amp;TEXT(F66+1,"YYYY-MM-DD")&amp;" --recursive &amp; """&amp;walkandungz&amp;""" "&amp;search_path&amp;"\RTDC"&amp;B66&amp;"\"&amp;TEXT(F66+1,"YYYY-MM-DD")</f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66" s="96" t="str">
        <f>astrogrep_path&amp;" /spath="&amp;search_path&amp;" /stypes=""*"&amp;B66&amp;"*"&amp;TEXT(I66-utc_offset/24,"YYYYMMDD")&amp;"*"" /stext="" "&amp;TEXT(I66-utc_offset/24,"HH")&amp;search_regexp&amp;""" /e /r /s"</f>
        <v>"C:\Program Files (x86)\AstroGrep\AstroGrep.exe" /spath="%USERPROFILE%\AppData\Local\Temp\OnboardLogs" /stypes="*4032*20160827*" /stext=" 17:.+((SYSTEM_STATE.+slice.+state.+changed )|(ment ac)|(system.+state.+changed )|(\|lc)|(penalty)|(\[timeout)|(PRM\|1\|D)|(kpr)|(kdp))" /e /r /s</v>
      </c>
      <c r="AG66" s="1" t="str">
        <f>IFERROR(IF(VALUE(LEFT(AD66,2))&lt;=2,"EC",IF(OR(VALUE(LEFT(AD66,2))=8,VALUE(LEFT(AD66,2))=18),"NW","Other")),"Other")</f>
        <v>EC</v>
      </c>
      <c r="AH66" s="100" t="str">
        <f t="shared" si="0"/>
        <v>"%USERPROFILE%\Documents\GitHub\eaglep3\Utilities\RefineRTDCRunTimes.py" --tripid 150-27 --locoid 4032 --swversion DE.1.0.7.0 --startMP 204:232944 --initTime 2016-08-27T10:29:11 --startdatetime 2016-08-27T10:42:34 --delay 1 --endMP 204:145 --enddatetime 2016-08-27T11:20:01 --enforcementcount 0 &gt;&gt;C:\Users\stu\Documents\GitHub\eaglep3-reporting\EC\2016-08-27-refined-times.txt</v>
      </c>
      <c r="AI66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{"issue":{"subject":"","project_id":79,"tracker_id":40,"status_id":1,"priority_id":2,"assigned_to_id":23,"start_date":"2016-08-27","description":"","custom_fields":[{"id":1,"name":"Subdivision","value":"EC"},{"id":4,"name":"Milepost","value":"23.2799"},{"id":17,"name":"Train ID","value":"150-27"},{"id":16,"name":"Locomotive ID","value":"4032"},{"id":130,"name":"Impact","value":""},{"id":150,"name":"Time of Event (Mountain Time)","value":"11:20:01"},{"id":151,"name":"Denver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462</v>
      </c>
      <c r="B67" s="7">
        <v>4042</v>
      </c>
      <c r="C67" s="24" t="s">
        <v>113</v>
      </c>
      <c r="D67" s="24" t="s">
        <v>192</v>
      </c>
      <c r="E67" s="15">
        <v>42609.414189814815</v>
      </c>
      <c r="F67" s="15">
        <v>42609.416932870372</v>
      </c>
      <c r="G67" s="7">
        <v>1</v>
      </c>
      <c r="H67" s="15" t="s">
        <v>463</v>
      </c>
      <c r="I67" s="15">
        <v>42609.449328703704</v>
      </c>
      <c r="J67" s="7">
        <v>0</v>
      </c>
      <c r="K67" s="132" t="str">
        <f>IF(ISEVEN(B67),(B67-1)&amp;"/"&amp;B67,B67&amp;"/"&amp;(B67+1))</f>
        <v>4041/4042</v>
      </c>
      <c r="L67" s="24" t="str">
        <f>VLOOKUP(A67,'Trips&amp;Operators'!$C$1:$E$10000,3,FALSE)</f>
        <v>STRICKLAND</v>
      </c>
      <c r="M67" s="6">
        <f>I67-F67</f>
        <v>3.2395833331975155E-2</v>
      </c>
      <c r="N67" s="7">
        <f>24*60*SUM($M67:$M67)</f>
        <v>46.649999998044223</v>
      </c>
      <c r="O67" s="7"/>
      <c r="P67" s="7"/>
      <c r="Q67" s="25"/>
      <c r="R67" s="25"/>
      <c r="S67" s="37">
        <f>SUM(U67:U67)/IF(AG67="EC",12,1)</f>
        <v>1</v>
      </c>
      <c r="T67" s="52" t="str">
        <f>IF(ISEVEN(LEFT(AD67,4)),"Southbound","NorthBound")</f>
        <v>NorthBound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hh:mm:ss")&amp;"-0600',mode:absolute,to:'"&amp;TEXT(I67+1/24,"yyyy-MM-DD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https://search-rtdc-monitor-bjffxe2xuh6vdkpspy63sjmuny.us-east-1.es.amazonaws.com/_plugin/kibana/#/discover/Steve-Slow-Train-Analysis-(2080s-and-2083s)?_g=(refreshInterval:(display:Off,section:0,value:0),time:(from:'2016-08-27 08:56:26-0600',mode:absolute,to:'2016-08-27 11:47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67" s="54" t="str">
        <f>IF(AA67&lt;IF(AG67="EC",23,5.65),"Y","N")</f>
        <v>N</v>
      </c>
      <c r="X67" s="120">
        <f t="shared" si="40"/>
        <v>1</v>
      </c>
      <c r="Y67" s="69">
        <f>RIGHT(D67,LEN(D67)-4)/10000</f>
        <v>4.5999999999999999E-2</v>
      </c>
      <c r="Z67" s="69">
        <f>RIGHT(H67,LEN(H67)-4)/10000</f>
        <v>23.32</v>
      </c>
      <c r="AA67" s="69">
        <f>ABS(Z67-Y67)</f>
        <v>23.274000000000001</v>
      </c>
      <c r="AB67" s="66">
        <f>VLOOKUP(A67,Enforcements!$C$7:$J$21,8,0)</f>
        <v>63069</v>
      </c>
      <c r="AC67" s="62" t="str">
        <f>VLOOKUP(A67,Enforcements!$C$7:$E$21,3,0)</f>
        <v>GRADE CROSSING</v>
      </c>
      <c r="AD67" s="63" t="str">
        <f>IF(LEN(A67)=6,"0"&amp;A67,A67)</f>
        <v>0151-27</v>
      </c>
      <c r="AE67" s="99" t="str">
        <f>"aws s3 cp "&amp;s3_bucket&amp;"/RTDC"&amp;B67&amp;"/"&amp;TEXT(F67,"YYYY-MM-DD")&amp;"/ "&amp;search_path&amp;"\RTDC"&amp;B67&amp;"\"&amp;TEXT(F67,"YYYY-MM-DD")&amp;" --recursive &amp; """&amp;walkandungz&amp;""" "&amp;search_path&amp;"\RTDC"&amp;B67&amp;"\"&amp;TEXT(F67,"YYYY-MM-DD")
&amp;" &amp; "&amp;"aws s3 cp "&amp;s3_bucket&amp;"/RTDC"&amp;B67&amp;"/"&amp;TEXT(F67+1,"YYYY-MM-DD")&amp;"/ "&amp;search_path&amp;"\RTDC"&amp;B67&amp;"\"&amp;TEXT(F67+1,"YYYY-MM-DD")&amp;" --recursive &amp; """&amp;walkandungz&amp;""" "&amp;search_path&amp;"\RTDC"&amp;B67&amp;"\"&amp;TEXT(F67+1,"YYYY-MM-DD")</f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AF67" s="96" t="str">
        <f>astrogrep_path&amp;" /spath="&amp;search_path&amp;" /stypes=""*"&amp;B67&amp;"*"&amp;TEXT(I67-utc_offset/24,"YYYYMMDD")&amp;"*"" /stext="" "&amp;TEXT(I67-utc_offset/24,"HH")&amp;search_regexp&amp;""" /e /r /s"</f>
        <v>"C:\Program Files (x86)\AstroGrep\AstroGrep.exe" /spath="%USERPROFILE%\AppData\Local\Temp\OnboardLogs" /stypes="*4042*20160827*" /stext=" 16:.+((SYSTEM_STATE.+slice.+state.+changed )|(ment ac)|(system.+state.+changed )|(\|lc)|(penalty)|(\[timeout)|(PRM\|1\|D)|(kpr)|(kdp))" /e /r /s</v>
      </c>
      <c r="AG67" s="1" t="str">
        <f>IFERROR(IF(VALUE(LEFT(AD67,2))&lt;=2,"EC",IF(OR(VALUE(LEFT(AD67,2))=8,VALUE(LEFT(AD67,2))=18),"NW","Other")),"Other")</f>
        <v>EC</v>
      </c>
      <c r="AH67" s="100" t="str">
        <f t="shared" si="0"/>
        <v>"%USERPROFILE%\Documents\GitHub\eaglep3\Utilities\RefineRTDCRunTimes.py" --tripid 151-27 --locoid 4042 --swversion DE.1.0.7.0 --startMP 204:460 --initTime 2016-08-27T09:56:26 --startdatetime 2016-08-27T10:00:23 --delay 1 --endMP 204:233200 --enddatetime 2016-08-27T10:47:02 --enforcementcount 0 &gt;&gt;C:\Users\stu\Documents\GitHub\eaglep3-reporting\EC\2016-08-27-refined-times.txt</v>
      </c>
      <c r="AI67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{"issue":{"subject":"","project_id":79,"tracker_id":40,"status_id":1,"priority_id":2,"assigned_to_id":23,"start_date":"2016-08-27","description":"","custom_fields":[{"id":1,"name":"Subdivision","value":"EC"},{"id":4,"name":"Milepost","value":"23.274"},{"id":17,"name":"Train ID","value":"151-27"},{"id":16,"name":"Locomotive ID","value":"4042"},{"id":130,"name":"Impact","value":""},{"id":150,"name":"Time of Event (Mountain Time)","value":"10:47:02"},{"id":151,"name":"Denver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464</v>
      </c>
      <c r="B68" s="7">
        <v>4041</v>
      </c>
      <c r="C68" s="24" t="s">
        <v>113</v>
      </c>
      <c r="D68" s="24" t="s">
        <v>465</v>
      </c>
      <c r="E68" s="15">
        <v>42609.453379629631</v>
      </c>
      <c r="F68" s="15">
        <v>42609.456504629627</v>
      </c>
      <c r="G68" s="7">
        <v>1</v>
      </c>
      <c r="H68" s="15" t="s">
        <v>175</v>
      </c>
      <c r="I68" s="15">
        <v>42609.485474537039</v>
      </c>
      <c r="J68" s="7">
        <v>0</v>
      </c>
      <c r="K68" s="132" t="str">
        <f>IF(ISEVEN(B68),(B68-1)&amp;"/"&amp;B68,B68&amp;"/"&amp;(B68+1))</f>
        <v>4041/4042</v>
      </c>
      <c r="L68" s="24" t="str">
        <f>VLOOKUP(A68,'Trips&amp;Operators'!$C$1:$E$10000,3,FALSE)</f>
        <v>STRICKLAND</v>
      </c>
      <c r="M68" s="6">
        <f>I68-F68</f>
        <v>2.8969907412829343E-2</v>
      </c>
      <c r="N68" s="7">
        <f>24*60*SUM($M68:$M68)</f>
        <v>41.716666674474254</v>
      </c>
      <c r="O68" s="7"/>
      <c r="P68" s="7"/>
      <c r="Q68" s="25"/>
      <c r="R68" s="25"/>
      <c r="S68" s="37">
        <f>SUM(U68:U68)/IF(AG68="EC",12,1)</f>
        <v>1</v>
      </c>
      <c r="T68" s="52" t="str">
        <f>IF(ISEVEN(LEFT(AD68,4)),"Southbound","NorthBound")</f>
        <v>Southbound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hh:mm:ss")&amp;"-0600',mode:absolute,to:'"&amp;TEXT(I68+1/24,"yyyy-MM-DD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https://search-rtdc-monitor-bjffxe2xuh6vdkpspy63sjmuny.us-east-1.es.amazonaws.com/_plugin/kibana/#/discover/Steve-Slow-Train-Analysis-(2080s-and-2083s)?_g=(refreshInterval:(display:Off,section:0,value:0),time:(from:'2016-08-27 09:52:52-0600',mode:absolute,to:'2016-08-27 12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68" s="54" t="str">
        <f>IF(AA68&lt;IF(AG68="EC",23,5.65),"Y","N")</f>
        <v>N</v>
      </c>
      <c r="X68" s="120">
        <f>VALUE(LEFT(AD68,4))-VALUE(LEFT(AD67,4))</f>
        <v>1</v>
      </c>
      <c r="Y68" s="69">
        <f>RIGHT(D68,LEN(D68)-4)/10000</f>
        <v>23.2879</v>
      </c>
      <c r="Z68" s="69">
        <f>RIGHT(H68,LEN(H68)-4)/10000</f>
        <v>1.41E-2</v>
      </c>
      <c r="AA68" s="69">
        <f>ABS(Z68-Y68)</f>
        <v>23.273800000000001</v>
      </c>
      <c r="AB68" s="66" t="e">
        <f>VLOOKUP(A68,Enforcements!$C$7:$J$21,8,0)</f>
        <v>#N/A</v>
      </c>
      <c r="AC68" s="62" t="e">
        <f>VLOOKUP(A68,Enforcements!$C$7:$E$21,3,0)</f>
        <v>#N/A</v>
      </c>
      <c r="AD68" s="63" t="str">
        <f>IF(LEN(A68)=6,"0"&amp;A68,A68)</f>
        <v>0152-27</v>
      </c>
      <c r="AE68" s="99" t="str">
        <f>"aws s3 cp "&amp;s3_bucket&amp;"/RTDC"&amp;B68&amp;"/"&amp;TEXT(F68,"YYYY-MM-DD")&amp;"/ "&amp;search_path&amp;"\RTDC"&amp;B68&amp;"\"&amp;TEXT(F68,"YYYY-MM-DD")&amp;" --recursive &amp; """&amp;walkandungz&amp;""" "&amp;search_path&amp;"\RTDC"&amp;B68&amp;"\"&amp;TEXT(F68,"YYYY-MM-DD")
&amp;" &amp; "&amp;"aws s3 cp "&amp;s3_bucket&amp;"/RTDC"&amp;B68&amp;"/"&amp;TEXT(F68+1,"YYYY-MM-DD")&amp;"/ "&amp;search_path&amp;"\RTDC"&amp;B68&amp;"\"&amp;TEXT(F68+1,"YYYY-MM-DD")&amp;" --recursive &amp; """&amp;walkandungz&amp;""" "&amp;search_path&amp;"\RTDC"&amp;B68&amp;"\"&amp;TEXT(F68+1,"YYYY-MM-DD")</f>
        <v>aws s3 cp s3://rtdc.mdm.uploadarchive/RTDC4041/2016-08-27/ "%USERPROFILE%\AppData\Local\Temp\OnboardLogs"\RTDC4041\2016-08-27 --recursive &amp; "%USERPROFILE%\Documents\GitHub\mrs-test-scripts\Headless Mode &amp; Sideloading\WalkAndUnGZ.bat" "%USERPROFILE%\AppData\Local\Temp\OnboardLogs"\RTDC4041\2016-08-27 &amp; 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</v>
      </c>
      <c r="AF68" s="96" t="str">
        <f>astrogrep_path&amp;" /spath="&amp;search_path&amp;" /stypes=""*"&amp;B68&amp;"*"&amp;TEXT(I68-utc_offset/24,"YYYYMMDD")&amp;"*"" /stext="" "&amp;TEXT(I68-utc_offset/24,"HH")&amp;search_regexp&amp;""" /e /r /s"</f>
        <v>"C:\Program Files (x86)\AstroGrep\AstroGrep.exe" /spath="%USERPROFILE%\AppData\Local\Temp\OnboardLogs" /stypes="*4041*20160827*" /stext=" 17:.+((SYSTEM_STATE.+slice.+state.+changed )|(ment ac)|(system.+state.+changed )|(\|lc)|(penalty)|(\[timeout)|(PRM\|1\|D)|(kpr)|(kdp))" /e /r /s</v>
      </c>
      <c r="AG68" s="1" t="str">
        <f>IFERROR(IF(VALUE(LEFT(AD68,2))&lt;=2,"EC",IF(OR(VALUE(LEFT(AD68,2))=8,VALUE(LEFT(AD68,2))=18),"NW","Other")),"Other")</f>
        <v>EC</v>
      </c>
      <c r="AH68" s="100" t="str">
        <f t="shared" si="0"/>
        <v>"%USERPROFILE%\Documents\GitHub\eaglep3\Utilities\RefineRTDCRunTimes.py" --tripid 152-27 --locoid 4041 --swversion DE.1.0.7.0 --startMP 204:232879 --initTime 2016-08-27T10:52:52 --startdatetime 2016-08-27T10:57:22 --delay 1 --endMP 204:141 --enddatetime 2016-08-27T11:39:05 --enforcementcount 0 &gt;&gt;C:\Users\stu\Documents\GitHub\eaglep3-reporting\EC\2016-08-27-refined-times.txt</v>
      </c>
      <c r="AI68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{"issue":{"subject":"","project_id":79,"tracker_id":40,"status_id":1,"priority_id":2,"assigned_to_id":23,"start_date":"2016-08-27","description":"","custom_fields":[{"id":1,"name":"Subdivision","value":"EC"},{"id":4,"name":"Milepost","value":"23.2738"},{"id":17,"name":"Train ID","value":"152-27"},{"id":16,"name":"Locomotive ID","value":"4041"},{"id":130,"name":"Impact","value":""},{"id":150,"name":"Time of Event (Mountain Time)","value":"11:39:05"},{"id":151,"name":"Denver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680</v>
      </c>
      <c r="B69" s="7"/>
      <c r="C69" s="24" t="s">
        <v>113</v>
      </c>
      <c r="D69" s="24" t="s">
        <v>465</v>
      </c>
      <c r="E69" s="15">
        <v>42609.453379629631</v>
      </c>
      <c r="F69" s="15">
        <v>42609.456504629627</v>
      </c>
      <c r="G69" s="7">
        <v>1</v>
      </c>
      <c r="H69" s="15" t="s">
        <v>175</v>
      </c>
      <c r="I69" s="15">
        <v>42609.485474537039</v>
      </c>
      <c r="J69" s="7">
        <v>0</v>
      </c>
      <c r="K69" s="132" t="str">
        <f t="shared" ref="K69:K70" si="48">IF(ISEVEN(B69),(B69-1)&amp;"/"&amp;B69,B69&amp;"/"&amp;(B69+1))</f>
        <v>-1/</v>
      </c>
      <c r="L69" s="24" t="str">
        <f>VLOOKUP(A69,'Trips&amp;Operators'!$C$1:$E$10000,3,FALSE)</f>
        <v>MALAVE</v>
      </c>
      <c r="M69" s="6">
        <f t="shared" ref="M69:M70" si="49">I69-F69</f>
        <v>2.8969907412829343E-2</v>
      </c>
      <c r="N69" s="7"/>
      <c r="O69" s="7"/>
      <c r="P69" s="7">
        <v>1</v>
      </c>
      <c r="Q69" s="25"/>
      <c r="R69" s="25" t="s">
        <v>706</v>
      </c>
      <c r="S69" s="37">
        <f t="shared" ref="S69:S70" si="50">SUM(U69:U69)/IF(AG69="EC",12,1)</f>
        <v>0</v>
      </c>
      <c r="T69" s="52" t="str">
        <f t="shared" ref="T69:T70" si="51">IF(ISEVEN(LEFT(AD69,4)),"Southbound","NorthBound")</f>
        <v>NorthBound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0</v>
      </c>
      <c r="V69" s="106" t="str">
        <f t="shared" ref="V69:V70" si="52">"https://search-rtdc-monitor-bjffxe2xuh6vdkpspy63sjmuny.us-east-1.es.amazonaws.com/_plugin/kibana/#/discover/Steve-Slow-Train-Analysis-(2080s-and-2083s)?_g=(refreshInterval:(display:Off,section:0,value:0),time:(from:'"&amp;TEXT(E69-1/24,"yyyy-MM-DD hh:mm:ss")&amp;"-0600',mode:absolute,to:'"&amp;TEXT(I69+1/24,"yyyy-MM-DD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https://search-rtdc-monitor-bjffxe2xuh6vdkpspy63sjmuny.us-east-1.es.amazonaws.com/_plugin/kibana/#/discover/Steve-Slow-Train-Analysis-(2080s-and-2083s)?_g=(refreshInterval:(display:Off,section:0,value:0),time:(from:'2016-08-27 09:52:52-0600',mode:absolute,to:'2016-08-27 12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69" s="54" t="str">
        <f t="shared" ref="W69:W70" si="53">IF(AA69&lt;IF(AG69="EC",23,5.65),"Y","N")</f>
        <v>N</v>
      </c>
      <c r="X69" s="120">
        <f t="shared" ref="X69:X75" si="54">VALUE(LEFT(AD69,4))-VALUE(LEFT(AD68,4))</f>
        <v>1</v>
      </c>
      <c r="Y69" s="69">
        <f t="shared" ref="Y69:Y70" si="55">RIGHT(D69,LEN(D69)-4)/10000</f>
        <v>23.2879</v>
      </c>
      <c r="Z69" s="69">
        <f t="shared" ref="Z69:Z70" si="56">RIGHT(H69,LEN(H69)-4)/10000</f>
        <v>1.41E-2</v>
      </c>
      <c r="AA69" s="69">
        <f t="shared" ref="AA69:AA70" si="57">ABS(Z69-Y69)</f>
        <v>23.273800000000001</v>
      </c>
      <c r="AB69" s="66" t="e">
        <f>VLOOKUP(A69,Enforcements!$C$7:$J$21,8,0)</f>
        <v>#N/A</v>
      </c>
      <c r="AC69" s="62" t="e">
        <f>VLOOKUP(A69,Enforcements!$C$7:$E$21,3,0)</f>
        <v>#N/A</v>
      </c>
      <c r="AD69" s="63" t="str">
        <f t="shared" ref="AD69:AD70" si="58">IF(LEN(A69)=6,"0"&amp;A69,A69)</f>
        <v>0153-27</v>
      </c>
      <c r="AE69" s="99" t="str">
        <f>"aws s3 cp "&amp;s3_bucket&amp;"/RTDC"&amp;B69&amp;"/"&amp;TEXT(F69,"YYYY-MM-DD")&amp;"/ "&amp;search_path&amp;"\RTDC"&amp;B69&amp;"\"&amp;TEXT(F69,"YYYY-MM-DD")&amp;" --recursive &amp; """&amp;walkandungz&amp;""" "&amp;search_path&amp;"\RTDC"&amp;B69&amp;"\"&amp;TEXT(F69,"YYYY-MM-DD")
&amp;" &amp; "&amp;"aws s3 cp "&amp;s3_bucket&amp;"/RTDC"&amp;B69&amp;"/"&amp;TEXT(F69+1,"YYYY-MM-DD")&amp;"/ "&amp;search_path&amp;"\RTDC"&amp;B69&amp;"\"&amp;TEXT(F69+1,"YYYY-MM-DD")&amp;" --recursive &amp; """&amp;walkandungz&amp;""" "&amp;search_path&amp;"\RTDC"&amp;B69&amp;"\"&amp;TEXT(F69+1,"YYYY-MM-DD")</f>
        <v>aws s3 cp s3://rtdc.mdm.uploadarchive/RTDC/2016-08-27/ "%USERPROFILE%\AppData\Local\Temp\OnboardLogs"\RTDC\2016-08-27 --recursive &amp; "%USERPROFILE%\Documents\GitHub\mrs-test-scripts\Headless Mode &amp; Sideloading\WalkAndUnGZ.bat" "%USERPROFILE%\AppData\Local\Temp\OnboardLogs"\RTDC\2016-08-27 &amp; aws s3 cp s3://rtdc.mdm.uploadarchive/RTDC/2016-08-28/ "%USERPROFILE%\AppData\Local\Temp\OnboardLogs"\RTDC\2016-08-28 --recursive &amp; "%USERPROFILE%\Documents\GitHub\mrs-test-scripts\Headless Mode &amp; Sideloading\WalkAndUnGZ.bat" "%USERPROFILE%\AppData\Local\Temp\OnboardLogs"\RTDC\2016-08-28</v>
      </c>
      <c r="AF69" s="96" t="str">
        <f>astrogrep_path&amp;" /spath="&amp;search_path&amp;" /stypes=""*"&amp;B69&amp;"*"&amp;TEXT(I69-utc_offset/24,"YYYYMMDD")&amp;"*"" /stext="" "&amp;TEXT(I69-utc_offset/24,"HH")&amp;search_regexp&amp;""" /e /r /s"</f>
        <v>"C:\Program Files (x86)\AstroGrep\AstroGrep.exe" /spath="%USERPROFILE%\AppData\Local\Temp\OnboardLogs" /stypes="**20160827*" /stext=" 17:.+((SYSTEM_STATE.+slice.+state.+changed )|(ment ac)|(system.+state.+changed )|(\|lc)|(penalty)|(\[timeout)|(PRM\|1\|D)|(kpr)|(kdp))" /e /r /s</v>
      </c>
      <c r="AG69" s="1" t="str">
        <f t="shared" ref="AG69:AG70" si="59">IFERROR(IF(VALUE(LEFT(AD69,2))&lt;=2,"EC",IF(OR(VALUE(LEFT(AD69,2))=8,VALUE(LEFT(AD69,2))=18),"NW","Other")),"Other")</f>
        <v>EC</v>
      </c>
      <c r="AH69" s="100" t="str">
        <f t="shared" ref="AH69:AH70" si="60">refinertdcruntimes&amp;" --tripid "&amp;A69&amp;" --locoid "&amp;B69&amp;" --swversion "&amp;C69&amp;" --startMP "&amp;D69&amp;" --initTime "&amp;TEXT(E69,"yyyy-mm-ddTHH:MM:SS")&amp;" --startdatetime "&amp;TEXT(F69,"yyyy-mm-ddTHH:MM:SS")&amp;" --delay "&amp;G69&amp;" --endMP "&amp;H69&amp;" --enddatetime "&amp;TEXT(I69,"yyyy-mm-ddTHH:MM:SS")&amp;" --enforcementcount "&amp;J69&amp;IF(outputrefinedruntimes," &gt;&gt;"&amp;RefinedRTDCRunTimesOutputFile,"")</f>
        <v>"%USERPROFILE%\Documents\GitHub\eaglep3\Utilities\RefineRTDCRunTimes.py" --tripid 153-27 --locoid  --swversion DE.1.0.7.0 --startMP 204:232879 --initTime 2016-08-27T10:52:52 --startdatetime 2016-08-27T10:57:22 --delay 1 --endMP 204:141 --enddatetime 2016-08-27T11:39:05 --enforcementcount 0 &gt;&gt;C:\Users\stu\Documents\GitHub\eaglep3-reporting\EC\2016-08-27-refined-times.txt</v>
      </c>
      <c r="AI69" s="149" t="str">
        <f t="shared" ref="AI69:AI70" si="61">"echo {""issue"":{""subject"":"""&amp;R69&amp;""",""project_id"":79,""tracker_id"":40,""status_id"":"&amp;redmine_status&amp;",""priority_id"":"&amp;redmine_priority&amp;",""assigned_to_id"":"&amp;redmine_assignee&amp;",""start_date"":"""&amp;TEXT(I69,"YYYY-mm-dd")&amp;""",""description"":"""&amp;AJ69&amp;""",""custom_fields"":[{""id"":1,""name"":""Subdivision"",""value"":"""&amp;AG69&amp;"""},{""id"":4,""name"":""Milepost"",""value"":"""&amp;AA69&amp;"""},{""id"":17,""name"":""Train ID"",""value"":"""&amp;A69&amp;"""},{""id"":16,""name"":""Locomotive ID"",""value"":"""&amp;B69&amp;"""},{""id"":130,""name"":""Impact"",""value"":"""&amp;AK69&amp;"""},{""id"":150,""name"":""Time of Event (Mountain Time)"",""value"":"""&amp;TEXT(I69,"hh:mm:ss")&amp;"""},{""id"":151,""name"":""Denver Issue ID"",""value"":"""&amp;"""},{""id"":178,""name"":""Operational Impact"",""value"":"""&amp;redmine_op_impact&amp;"""},{""id"":179,""name"":""Denver Segment Assigned"",""value"":"""&amp;AL69&amp;"""}]}}"&amp;" | curl -X POST -H ""Content-Type: application/json"" -H ""X-Redmine-API-Key: "&amp;redm_api_key&amp;""" "&amp;redm_url&amp;" --data @-"</f>
        <v>echo {"issue":{"subject":"Consist wasn't correctly populated while init'ing at DUS","project_id":79,"tracker_id":40,"status_id":1,"priority_id":2,"assigned_to_id":23,"start_date":"2016-08-27","description":"","custom_fields":[{"id":1,"name":"Subdivision","value":"EC"},{"id":4,"name":"Milepost","value":"23.2738"},{"id":17,"name":"Train ID","value":"153-27"},{"id":16,"name":"Locomotive ID","value":""},{"id":130,"name":"Impact","value":""},{"id":150,"name":"Time of Event (Mountain Time)","value":"11:39:05"},{"id":151,"name":"Denver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683</v>
      </c>
      <c r="B70" s="7"/>
      <c r="C70" s="24" t="s">
        <v>113</v>
      </c>
      <c r="D70" s="24" t="s">
        <v>465</v>
      </c>
      <c r="E70" s="15">
        <v>42609.453379629631</v>
      </c>
      <c r="F70" s="15">
        <v>42609.456504629627</v>
      </c>
      <c r="G70" s="7">
        <v>1</v>
      </c>
      <c r="H70" s="15" t="s">
        <v>175</v>
      </c>
      <c r="I70" s="15">
        <v>42609.485474537039</v>
      </c>
      <c r="J70" s="7">
        <v>0</v>
      </c>
      <c r="K70" s="132" t="str">
        <f t="shared" si="48"/>
        <v>-1/</v>
      </c>
      <c r="L70" s="24" t="str">
        <f>VLOOKUP(A70,'Trips&amp;Operators'!$C$1:$E$10000,3,FALSE)</f>
        <v>MALAVE</v>
      </c>
      <c r="M70" s="6">
        <f t="shared" si="49"/>
        <v>2.8969907412829343E-2</v>
      </c>
      <c r="N70" s="7"/>
      <c r="O70" s="7"/>
      <c r="P70" s="7">
        <v>1</v>
      </c>
      <c r="Q70" s="25"/>
      <c r="R70" s="25" t="s">
        <v>706</v>
      </c>
      <c r="S70" s="37">
        <f t="shared" si="50"/>
        <v>1</v>
      </c>
      <c r="T70" s="52" t="str">
        <f t="shared" si="51"/>
        <v>Southbound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2"/>
        <v>https://search-rtdc-monitor-bjffxe2xuh6vdkpspy63sjmuny.us-east-1.es.amazonaws.com/_plugin/kibana/#/discover/Steve-Slow-Train-Analysis-(2080s-and-2083s)?_g=(refreshInterval:(display:Off,section:0,value:0),time:(from:'2016-08-27 09:52:52-0600',mode:absolute,to:'2016-08-27 12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70" s="54" t="str">
        <f t="shared" si="53"/>
        <v>N</v>
      </c>
      <c r="X70" s="120">
        <f t="shared" si="54"/>
        <v>1</v>
      </c>
      <c r="Y70" s="69">
        <f t="shared" si="55"/>
        <v>23.2879</v>
      </c>
      <c r="Z70" s="69">
        <f t="shared" si="56"/>
        <v>1.41E-2</v>
      </c>
      <c r="AA70" s="69">
        <f t="shared" si="57"/>
        <v>23.273800000000001</v>
      </c>
      <c r="AB70" s="66" t="e">
        <f>VLOOKUP(A70,Enforcements!$C$7:$J$21,8,0)</f>
        <v>#N/A</v>
      </c>
      <c r="AC70" s="62" t="e">
        <f>VLOOKUP(A70,Enforcements!$C$7:$E$21,3,0)</f>
        <v>#N/A</v>
      </c>
      <c r="AD70" s="63" t="str">
        <f t="shared" si="58"/>
        <v>0154-27</v>
      </c>
      <c r="AE70" s="99" t="str">
        <f>"aws s3 cp "&amp;s3_bucket&amp;"/RTDC"&amp;B70&amp;"/"&amp;TEXT(F70,"YYYY-MM-DD")&amp;"/ "&amp;search_path&amp;"\RTDC"&amp;B70&amp;"\"&amp;TEXT(F70,"YYYY-MM-DD")&amp;" --recursive &amp; """&amp;walkandungz&amp;""" "&amp;search_path&amp;"\RTDC"&amp;B70&amp;"\"&amp;TEXT(F70,"YYYY-MM-DD")
&amp;" &amp; "&amp;"aws s3 cp "&amp;s3_bucket&amp;"/RTDC"&amp;B70&amp;"/"&amp;TEXT(F70+1,"YYYY-MM-DD")&amp;"/ "&amp;search_path&amp;"\RTDC"&amp;B70&amp;"\"&amp;TEXT(F70+1,"YYYY-MM-DD")&amp;" --recursive &amp; """&amp;walkandungz&amp;""" "&amp;search_path&amp;"\RTDC"&amp;B70&amp;"\"&amp;TEXT(F70+1,"YYYY-MM-DD")</f>
        <v>aws s3 cp s3://rtdc.mdm.uploadarchive/RTDC/2016-08-27/ "%USERPROFILE%\AppData\Local\Temp\OnboardLogs"\RTDC\2016-08-27 --recursive &amp; "%USERPROFILE%\Documents\GitHub\mrs-test-scripts\Headless Mode &amp; Sideloading\WalkAndUnGZ.bat" "%USERPROFILE%\AppData\Local\Temp\OnboardLogs"\RTDC\2016-08-27 &amp; aws s3 cp s3://rtdc.mdm.uploadarchive/RTDC/2016-08-28/ "%USERPROFILE%\AppData\Local\Temp\OnboardLogs"\RTDC\2016-08-28 --recursive &amp; "%USERPROFILE%\Documents\GitHub\mrs-test-scripts\Headless Mode &amp; Sideloading\WalkAndUnGZ.bat" "%USERPROFILE%\AppData\Local\Temp\OnboardLogs"\RTDC\2016-08-28</v>
      </c>
      <c r="AF70" s="96" t="str">
        <f>astrogrep_path&amp;" /spath="&amp;search_path&amp;" /stypes=""*"&amp;B70&amp;"*"&amp;TEXT(I70-utc_offset/24,"YYYYMMDD")&amp;"*"" /stext="" "&amp;TEXT(I70-utc_offset/24,"HH")&amp;search_regexp&amp;""" /e /r /s"</f>
        <v>"C:\Program Files (x86)\AstroGrep\AstroGrep.exe" /spath="%USERPROFILE%\AppData\Local\Temp\OnboardLogs" /stypes="**20160827*" /stext=" 17:.+((SYSTEM_STATE.+slice.+state.+changed )|(ment ac)|(system.+state.+changed )|(\|lc)|(penalty)|(\[timeout)|(PRM\|1\|D)|(kpr)|(kdp))" /e /r /s</v>
      </c>
      <c r="AG70" s="1" t="str">
        <f t="shared" si="59"/>
        <v>EC</v>
      </c>
      <c r="AH70" s="100" t="str">
        <f t="shared" si="60"/>
        <v>"%USERPROFILE%\Documents\GitHub\eaglep3\Utilities\RefineRTDCRunTimes.py" --tripid 154-27 --locoid  --swversion DE.1.0.7.0 --startMP 204:232879 --initTime 2016-08-27T10:52:52 --startdatetime 2016-08-27T10:57:22 --delay 1 --endMP 204:141 --enddatetime 2016-08-27T11:39:05 --enforcementcount 0 &gt;&gt;C:\Users\stu\Documents\GitHub\eaglep3-reporting\EC\2016-08-27-refined-times.txt</v>
      </c>
      <c r="AI70" s="149" t="str">
        <f t="shared" si="61"/>
        <v>echo {"issue":{"subject":"Consist wasn't correctly populated while init'ing at DUS","project_id":79,"tracker_id":40,"status_id":1,"priority_id":2,"assigned_to_id":23,"start_date":"2016-08-27","description":"","custom_fields":[{"id":1,"name":"Subdivision","value":"EC"},{"id":4,"name":"Milepost","value":"23.2738"},{"id":17,"name":"Train ID","value":"154-27"},{"id":16,"name":"Locomotive ID","value":""},{"id":130,"name":"Impact","value":""},{"id":150,"name":"Time of Event (Mountain Time)","value":"11:39:05"},{"id":151,"name":"Denver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466</v>
      </c>
      <c r="B71" s="7">
        <v>4014</v>
      </c>
      <c r="C71" s="24" t="s">
        <v>113</v>
      </c>
      <c r="D71" s="24" t="s">
        <v>467</v>
      </c>
      <c r="E71" s="15">
        <v>42609.428680555553</v>
      </c>
      <c r="F71" s="15">
        <v>42609.437858796293</v>
      </c>
      <c r="G71" s="7">
        <v>1</v>
      </c>
      <c r="H71" s="15" t="s">
        <v>343</v>
      </c>
      <c r="I71" s="15">
        <v>42609.46435185185</v>
      </c>
      <c r="J71" s="7">
        <v>0</v>
      </c>
      <c r="K71" s="132" t="str">
        <f>IF(ISEVEN(B71),(B71-1)&amp;"/"&amp;B71,B71&amp;"/"&amp;(B71+1))</f>
        <v>4013/4014</v>
      </c>
      <c r="L71" s="24" t="str">
        <f>VLOOKUP(A71,'Trips&amp;Operators'!$C$1:$E$10000,3,FALSE)</f>
        <v>STORY</v>
      </c>
      <c r="M71" s="6">
        <f>I71-F71</f>
        <v>2.6493055556784384E-2</v>
      </c>
      <c r="N71" s="7">
        <f>24*60*SUM($M71:$M71)</f>
        <v>38.150000001769513</v>
      </c>
      <c r="O71" s="7"/>
      <c r="P71" s="7"/>
      <c r="Q71" s="25"/>
      <c r="R71" s="25"/>
      <c r="S71" s="37">
        <f>SUM(U71:U71)/IF(AG71="EC",12,1)</f>
        <v>1</v>
      </c>
      <c r="T71" s="52" t="str">
        <f>IF(ISEVEN(LEFT(AD71,4)),"Southbound","NorthBound")</f>
        <v>NorthBound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hh:mm:ss")&amp;"-0600',mode:absolute,to:'"&amp;TEXT(I71+1/24,"yyyy-MM-DD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https://search-rtdc-monitor-bjffxe2xuh6vdkpspy63sjmuny.us-east-1.es.amazonaws.com/_plugin/kibana/#/discover/Steve-Slow-Train-Analysis-(2080s-and-2083s)?_g=(refreshInterval:(display:Off,section:0,value:0),time:(from:'2016-08-27 09:17:18-0600',mode:absolute,to:'2016-08-27 12:08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71" s="54" t="str">
        <f>IF(AA71&lt;IF(AG71="EC",23,5.65),"Y","N")</f>
        <v>N</v>
      </c>
      <c r="X71" s="120">
        <f t="shared" si="54"/>
        <v>1</v>
      </c>
      <c r="Y71" s="69">
        <f>RIGHT(D71,LEN(D71)-4)/10000</f>
        <v>5.04E-2</v>
      </c>
      <c r="Z71" s="69">
        <f>RIGHT(H71,LEN(H71)-4)/10000</f>
        <v>23.329499999999999</v>
      </c>
      <c r="AA71" s="69">
        <f>ABS(Z71-Y71)</f>
        <v>23.2791</v>
      </c>
      <c r="AB71" s="66" t="e">
        <f>VLOOKUP(A71,Enforcements!$C$7:$J$21,8,0)</f>
        <v>#N/A</v>
      </c>
      <c r="AC71" s="62" t="e">
        <f>VLOOKUP(A71,Enforcements!$C$7:$E$21,3,0)</f>
        <v>#N/A</v>
      </c>
      <c r="AD71" s="63" t="str">
        <f>IF(LEN(A71)=6,"0"&amp;A71,A71)</f>
        <v>0155-27</v>
      </c>
      <c r="AE71" s="99" t="str">
        <f>"aws s3 cp "&amp;s3_bucket&amp;"/RTDC"&amp;B71&amp;"/"&amp;TEXT(F71,"YYYY-MM-DD")&amp;"/ "&amp;search_path&amp;"\RTDC"&amp;B71&amp;"\"&amp;TEXT(F71,"YYYY-MM-DD")&amp;" --recursive &amp; """&amp;walkandungz&amp;""" "&amp;search_path&amp;"\RTDC"&amp;B71&amp;"\"&amp;TEXT(F71,"YYYY-MM-DD")
&amp;" &amp; "&amp;"aws s3 cp "&amp;s3_bucket&amp;"/RTDC"&amp;B71&amp;"/"&amp;TEXT(F71+1,"YYYY-MM-DD")&amp;"/ "&amp;search_path&amp;"\RTDC"&amp;B71&amp;"\"&amp;TEXT(F71+1,"YYYY-MM-DD")&amp;" --recursive &amp; """&amp;walkandungz&amp;""" "&amp;search_path&amp;"\RTDC"&amp;B71&amp;"\"&amp;TEXT(F71+1,"YYYY-MM-DD")</f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AF71" s="96" t="str">
        <f>astrogrep_path&amp;" /spath="&amp;search_path&amp;" /stypes=""*"&amp;B71&amp;"*"&amp;TEXT(I71-utc_offset/24,"YYYYMMDD")&amp;"*"" /stext="" "&amp;TEXT(I71-utc_offset/24,"HH")&amp;search_regexp&amp;""" /e /r /s"</f>
        <v>"C:\Program Files (x86)\AstroGrep\AstroGrep.exe" /spath="%USERPROFILE%\AppData\Local\Temp\OnboardLogs" /stypes="*4014*20160827*" /stext=" 17:.+((SYSTEM_STATE.+slice.+state.+changed )|(ment ac)|(system.+state.+changed )|(\|lc)|(penalty)|(\[timeout)|(PRM\|1\|D)|(kpr)|(kdp))" /e /r /s</v>
      </c>
      <c r="AG71" s="1" t="str">
        <f>IFERROR(IF(VALUE(LEFT(AD71,2))&lt;=2,"EC",IF(OR(VALUE(LEFT(AD71,2))=8,VALUE(LEFT(AD71,2))=18),"NW","Other")),"Other")</f>
        <v>EC</v>
      </c>
      <c r="AH71" s="100" t="str">
        <f t="shared" si="0"/>
        <v>"%USERPROFILE%\Documents\GitHub\eaglep3\Utilities\RefineRTDCRunTimes.py" --tripid 155-27 --locoid 4014 --swversion DE.1.0.7.0 --startMP 204:504 --initTime 2016-08-27T10:17:18 --startdatetime 2016-08-27T10:30:31 --delay 1 --endMP 204:233295 --enddatetime 2016-08-27T11:08:40 --enforcementcount 0 &gt;&gt;C:\Users\stu\Documents\GitHub\eaglep3-reporting\EC\2016-08-27-refined-times.txt</v>
      </c>
      <c r="AI71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{"issue":{"subject":"","project_id":79,"tracker_id":40,"status_id":1,"priority_id":2,"assigned_to_id":23,"start_date":"2016-08-27","description":"","custom_fields":[{"id":1,"name":"Subdivision","value":"EC"},{"id":4,"name":"Milepost","value":"23.2791"},{"id":17,"name":"Train ID","value":"155-27"},{"id":16,"name":"Locomotive ID","value":"4014"},{"id":130,"name":"Impact","value":""},{"id":150,"name":"Time of Event (Mountain Time)","value":"11:08:40"},{"id":151,"name":"Denver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468</v>
      </c>
      <c r="B72" s="7">
        <v>4013</v>
      </c>
      <c r="C72" s="24" t="s">
        <v>113</v>
      </c>
      <c r="D72" s="24" t="s">
        <v>432</v>
      </c>
      <c r="E72" s="15">
        <v>42609.473321759258</v>
      </c>
      <c r="F72" s="15">
        <v>42609.477013888885</v>
      </c>
      <c r="G72" s="7">
        <v>5</v>
      </c>
      <c r="H72" s="15" t="s">
        <v>196</v>
      </c>
      <c r="I72" s="15">
        <v>42609.50613425926</v>
      </c>
      <c r="J72" s="7">
        <v>0</v>
      </c>
      <c r="K72" s="132" t="str">
        <f>IF(ISEVEN(B72),(B72-1)&amp;"/"&amp;B72,B72&amp;"/"&amp;(B72+1))</f>
        <v>4013/4014</v>
      </c>
      <c r="L72" s="24" t="str">
        <f>VLOOKUP(A72,'Trips&amp;Operators'!$C$1:$E$10000,3,FALSE)</f>
        <v>STORY</v>
      </c>
      <c r="M72" s="6">
        <f>I72-F72</f>
        <v>2.9120370374585036E-2</v>
      </c>
      <c r="N72" s="7">
        <f>24*60*SUM($M72:$M72)</f>
        <v>41.933333339402452</v>
      </c>
      <c r="O72" s="7"/>
      <c r="P72" s="7"/>
      <c r="Q72" s="25"/>
      <c r="R72" s="25"/>
      <c r="S72" s="37">
        <f>SUM(U72:U72)/IF(AG72="EC",12,1)</f>
        <v>1</v>
      </c>
      <c r="T72" s="52" t="str">
        <f>IF(ISEVEN(LEFT(AD72,4)),"Southbound","NorthBound")</f>
        <v>Southbound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hh:mm:ss")&amp;"-0600',mode:absolute,to:'"&amp;TEXT(I72+1/24,"yyyy-MM-DD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https://search-rtdc-monitor-bjffxe2xuh6vdkpspy63sjmuny.us-east-1.es.amazonaws.com/_plugin/kibana/#/discover/Steve-Slow-Train-Analysis-(2080s-and-2083s)?_g=(refreshInterval:(display:Off,section:0,value:0),time:(from:'2016-08-27 10:21:35-0600',mode:absolute,to:'2016-08-27 13:08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72" s="54" t="str">
        <f>IF(AA72&lt;IF(AG72="EC",23,5.65),"Y","N")</f>
        <v>N</v>
      </c>
      <c r="X72" s="120">
        <f t="shared" si="54"/>
        <v>1</v>
      </c>
      <c r="Y72" s="69">
        <f>RIGHT(D72,LEN(D72)-4)/10000</f>
        <v>23.298300000000001</v>
      </c>
      <c r="Z72" s="69">
        <f>RIGHT(H72,LEN(H72)-4)/10000</f>
        <v>1.3599999999999999E-2</v>
      </c>
      <c r="AA72" s="69">
        <f>ABS(Z72-Y72)</f>
        <v>23.284700000000001</v>
      </c>
      <c r="AB72" s="66" t="e">
        <f>VLOOKUP(A72,Enforcements!$C$7:$J$21,8,0)</f>
        <v>#N/A</v>
      </c>
      <c r="AC72" s="62" t="e">
        <f>VLOOKUP(A72,Enforcements!$C$7:$E$21,3,0)</f>
        <v>#N/A</v>
      </c>
      <c r="AD72" s="63" t="str">
        <f>IF(LEN(A72)=6,"0"&amp;A72,A72)</f>
        <v>0156-27</v>
      </c>
      <c r="AE72" s="99" t="str">
        <f>"aws s3 cp "&amp;s3_bucket&amp;"/RTDC"&amp;B72&amp;"/"&amp;TEXT(F72,"YYYY-MM-DD")&amp;"/ "&amp;search_path&amp;"\RTDC"&amp;B72&amp;"\"&amp;TEXT(F72,"YYYY-MM-DD")&amp;" --recursive &amp; """&amp;walkandungz&amp;""" "&amp;search_path&amp;"\RTDC"&amp;B72&amp;"\"&amp;TEXT(F72,"YYYY-MM-DD")
&amp;" &amp; "&amp;"aws s3 cp "&amp;s3_bucket&amp;"/RTDC"&amp;B72&amp;"/"&amp;TEXT(F72+1,"YYYY-MM-DD")&amp;"/ "&amp;search_path&amp;"\RTDC"&amp;B72&amp;"\"&amp;TEXT(F72+1,"YYYY-MM-DD")&amp;" --recursive &amp; """&amp;walkandungz&amp;""" "&amp;search_path&amp;"\RTDC"&amp;B72&amp;"\"&amp;TEXT(F72+1,"YYYY-MM-DD")</f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AF72" s="96" t="str">
        <f>astrogrep_path&amp;" /spath="&amp;search_path&amp;" /stypes=""*"&amp;B72&amp;"*"&amp;TEXT(I72-utc_offset/24,"YYYYMMDD")&amp;"*"" /stext="" "&amp;TEXT(I72-utc_offset/24,"HH")&amp;search_regexp&amp;""" /e /r /s"</f>
        <v>"C:\Program Files (x86)\AstroGrep\AstroGrep.exe" /spath="%USERPROFILE%\AppData\Local\Temp\OnboardLogs" /stypes="*4013*20160827*" /stext=" 18:.+((SYSTEM_STATE.+slice.+state.+changed )|(ment ac)|(system.+state.+changed )|(\|lc)|(penalty)|(\[timeout)|(PRM\|1\|D)|(kpr)|(kdp))" /e /r /s</v>
      </c>
      <c r="AG72" s="1" t="str">
        <f>IFERROR(IF(VALUE(LEFT(AD72,2))&lt;=2,"EC",IF(OR(VALUE(LEFT(AD72,2))=8,VALUE(LEFT(AD72,2))=18),"NW","Other")),"Other")</f>
        <v>EC</v>
      </c>
      <c r="AH72" s="100" t="str">
        <f t="shared" si="0"/>
        <v>"%USERPROFILE%\Documents\GitHub\eaglep3\Utilities\RefineRTDCRunTimes.py" --tripid 156-27 --locoid 4013 --swversion DE.1.0.7.0 --startMP 204:232983 --initTime 2016-08-27T11:21:35 --startdatetime 2016-08-27T11:26:54 --delay 5 --endMP 204:136 --enddatetime 2016-08-27T12:08:50 --enforcementcount 0 &gt;&gt;C:\Users\stu\Documents\GitHub\eaglep3-reporting\EC\2016-08-27-refined-times.txt</v>
      </c>
      <c r="AI72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{"issue":{"subject":"","project_id":79,"tracker_id":40,"status_id":1,"priority_id":2,"assigned_to_id":23,"start_date":"2016-08-27","description":"","custom_fields":[{"id":1,"name":"Subdivision","value":"EC"},{"id":4,"name":"Milepost","value":"23.2847"},{"id":17,"name":"Train ID","value":"156-27"},{"id":16,"name":"Locomotive ID","value":"4013"},{"id":130,"name":"Impact","value":""},{"id":150,"name":"Time of Event (Mountain Time)","value":"12:08:50"},{"id":151,"name":"Denver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469</v>
      </c>
      <c r="B73" s="7">
        <v>4025</v>
      </c>
      <c r="C73" s="24" t="s">
        <v>113</v>
      </c>
      <c r="D73" s="24" t="s">
        <v>340</v>
      </c>
      <c r="E73" s="15">
        <v>42609.441504629627</v>
      </c>
      <c r="F73" s="15">
        <v>42609.448067129626</v>
      </c>
      <c r="G73" s="7">
        <v>4</v>
      </c>
      <c r="H73" s="15" t="s">
        <v>422</v>
      </c>
      <c r="I73" s="15">
        <v>42609.475868055553</v>
      </c>
      <c r="J73" s="7">
        <v>0</v>
      </c>
      <c r="K73" s="132" t="str">
        <f>IF(ISEVEN(B73),(B73-1)&amp;"/"&amp;B73,B73&amp;"/"&amp;(B73+1))</f>
        <v>4025/4026</v>
      </c>
      <c r="L73" s="24" t="str">
        <f>VLOOKUP(A73,'Trips&amp;Operators'!$C$1:$E$10000,3,FALSE)</f>
        <v>DAVIS</v>
      </c>
      <c r="M73" s="6">
        <f>I73-F73</f>
        <v>2.7800925927294884E-2</v>
      </c>
      <c r="N73" s="7">
        <f>24*60*SUM($M73:$M73)</f>
        <v>40.033333335304633</v>
      </c>
      <c r="O73" s="7"/>
      <c r="P73" s="7"/>
      <c r="Q73" s="25"/>
      <c r="R73" s="25"/>
      <c r="S73" s="37">
        <f>SUM(U73:U73)/IF(AG73="EC",12,1)</f>
        <v>1</v>
      </c>
      <c r="T73" s="52" t="str">
        <f>IF(ISEVEN(LEFT(AD73,4)),"Southbound","NorthBound")</f>
        <v>NorthBound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hh:mm:ss")&amp;"-0600',mode:absolute,to:'"&amp;TEXT(I73+1/24,"yyyy-MM-DD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https://search-rtdc-monitor-bjffxe2xuh6vdkpspy63sjmuny.us-east-1.es.amazonaws.com/_plugin/kibana/#/discover/Steve-Slow-Train-Analysis-(2080s-and-2083s)?_g=(refreshInterval:(display:Off,section:0,value:0),time:(from:'2016-08-27 09:35:46-0600',mode:absolute,to:'2016-08-27 12:25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73" s="54" t="str">
        <f>IF(AA73&lt;IF(AG73="EC",23,5.65),"Y","N")</f>
        <v>N</v>
      </c>
      <c r="X73" s="120">
        <f t="shared" si="54"/>
        <v>1</v>
      </c>
      <c r="Y73" s="69">
        <f>RIGHT(D73,LEN(D73)-4)/10000</f>
        <v>4.7300000000000002E-2</v>
      </c>
      <c r="Z73" s="69">
        <f>RIGHT(H73,LEN(H73)-4)/10000</f>
        <v>23.331099999999999</v>
      </c>
      <c r="AA73" s="69">
        <f>ABS(Z73-Y73)</f>
        <v>23.283799999999999</v>
      </c>
      <c r="AB73" s="66" t="e">
        <f>VLOOKUP(A73,Enforcements!$C$7:$J$21,8,0)</f>
        <v>#N/A</v>
      </c>
      <c r="AC73" s="62" t="e">
        <f>VLOOKUP(A73,Enforcements!$C$7:$E$21,3,0)</f>
        <v>#N/A</v>
      </c>
      <c r="AD73" s="63" t="str">
        <f>IF(LEN(A73)=6,"0"&amp;A73,A73)</f>
        <v>0157-27</v>
      </c>
      <c r="AE73" s="99" t="str">
        <f>"aws s3 cp "&amp;s3_bucket&amp;"/RTDC"&amp;B73&amp;"/"&amp;TEXT(F73,"YYYY-MM-DD")&amp;"/ "&amp;search_path&amp;"\RTDC"&amp;B73&amp;"\"&amp;TEXT(F73,"YYYY-MM-DD")&amp;" --recursive &amp; """&amp;walkandungz&amp;""" "&amp;search_path&amp;"\RTDC"&amp;B73&amp;"\"&amp;TEXT(F73,"YYYY-MM-DD")
&amp;" &amp; "&amp;"aws s3 cp "&amp;s3_bucket&amp;"/RTDC"&amp;B73&amp;"/"&amp;TEXT(F73+1,"YYYY-MM-DD")&amp;"/ "&amp;search_path&amp;"\RTDC"&amp;B73&amp;"\"&amp;TEXT(F73+1,"YYYY-MM-DD")&amp;" --recursive &amp; """&amp;walkandungz&amp;""" "&amp;search_path&amp;"\RTDC"&amp;B73&amp;"\"&amp;TEXT(F73+1,"YYYY-MM-DD")</f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73" s="96" t="str">
        <f>astrogrep_path&amp;" /spath="&amp;search_path&amp;" /stypes=""*"&amp;B73&amp;"*"&amp;TEXT(I73-utc_offset/24,"YYYYMMDD")&amp;"*"" /stext="" "&amp;TEXT(I73-utc_offset/24,"HH")&amp;search_regexp&amp;""" /e /r /s"</f>
        <v>"C:\Program Files (x86)\AstroGrep\AstroGrep.exe" /spath="%USERPROFILE%\AppData\Local\Temp\OnboardLogs" /stypes="*4025*20160827*" /stext=" 17:.+((SYSTEM_STATE.+slice.+state.+changed )|(ment ac)|(system.+state.+changed )|(\|lc)|(penalty)|(\[timeout)|(PRM\|1\|D)|(kpr)|(kdp))" /e /r /s</v>
      </c>
      <c r="AG73" s="1" t="str">
        <f>IFERROR(IF(VALUE(LEFT(AD73,2))&lt;=2,"EC",IF(OR(VALUE(LEFT(AD73,2))=8,VALUE(LEFT(AD73,2))=18),"NW","Other")),"Other")</f>
        <v>EC</v>
      </c>
      <c r="AH73" s="100" t="str">
        <f t="shared" si="0"/>
        <v>"%USERPROFILE%\Documents\GitHub\eaglep3\Utilities\RefineRTDCRunTimes.py" --tripid 157-27 --locoid 4025 --swversion DE.1.0.7.0 --startMP 204:473 --initTime 2016-08-27T10:35:46 --startdatetime 2016-08-27T10:45:13 --delay 4 --endMP 204:233311 --enddatetime 2016-08-27T11:25:15 --enforcementcount 0 &gt;&gt;C:\Users\stu\Documents\GitHub\eaglep3-reporting\EC\2016-08-27-refined-times.txt</v>
      </c>
      <c r="AI73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{"issue":{"subject":"","project_id":79,"tracker_id":40,"status_id":1,"priority_id":2,"assigned_to_id":23,"start_date":"2016-08-27","description":"","custom_fields":[{"id":1,"name":"Subdivision","value":"EC"},{"id":4,"name":"Milepost","value":"23.2838"},{"id":17,"name":"Train ID","value":"157-27"},{"id":16,"name":"Locomotive ID","value":"4025"},{"id":130,"name":"Impact","value":""},{"id":150,"name":"Time of Event (Mountain Time)","value":"11:25:15"},{"id":151,"name":"Denver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470</v>
      </c>
      <c r="B74" s="7">
        <v>4026</v>
      </c>
      <c r="C74" s="24" t="s">
        <v>113</v>
      </c>
      <c r="D74" s="24" t="s">
        <v>329</v>
      </c>
      <c r="E74" s="15">
        <v>42609.484247685185</v>
      </c>
      <c r="F74" s="15">
        <v>42609.486979166664</v>
      </c>
      <c r="G74" s="7">
        <v>1</v>
      </c>
      <c r="H74" s="15" t="s">
        <v>172</v>
      </c>
      <c r="I74" s="15">
        <v>42609.515532407408</v>
      </c>
      <c r="J74" s="7">
        <v>0</v>
      </c>
      <c r="K74" s="132" t="str">
        <f>IF(ISEVEN(B74),(B74-1)&amp;"/"&amp;B74,B74&amp;"/"&amp;(B74+1))</f>
        <v>4025/4026</v>
      </c>
      <c r="L74" s="24" t="str">
        <f>VLOOKUP(A74,'Trips&amp;Operators'!$C$1:$E$10000,3,FALSE)</f>
        <v>DAVIS</v>
      </c>
      <c r="M74" s="6">
        <f>I74-F74</f>
        <v>2.8553240743349306E-2</v>
      </c>
      <c r="N74" s="7">
        <f>24*60*SUM($M74:$M74)</f>
        <v>41.116666670423001</v>
      </c>
      <c r="O74" s="7"/>
      <c r="P74" s="7"/>
      <c r="Q74" s="25"/>
      <c r="R74" s="25"/>
      <c r="S74" s="37">
        <f>SUM(U74:U74)/IF(AG74="EC",12,1)</f>
        <v>1</v>
      </c>
      <c r="T74" s="52" t="str">
        <f>IF(ISEVEN(LEFT(AD74,4)),"Southbound","NorthBound")</f>
        <v>Southbound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hh:mm:ss")&amp;"-0600',mode:absolute,to:'"&amp;TEXT(I74+1/24,"yyyy-MM-DD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https://search-rtdc-monitor-bjffxe2xuh6vdkpspy63sjmuny.us-east-1.es.amazonaws.com/_plugin/kibana/#/discover/Steve-Slow-Train-Analysis-(2080s-and-2083s)?_g=(refreshInterval:(display:Off,section:0,value:0),time:(from:'2016-08-27 10:37:19-0600',mode:absolute,to:'2016-08-27 13:22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74" s="54" t="str">
        <f>IF(AA74&lt;IF(AG74="EC",23,5.65),"Y","N")</f>
        <v>N</v>
      </c>
      <c r="X74" s="120">
        <f t="shared" si="54"/>
        <v>1</v>
      </c>
      <c r="Y74" s="69">
        <f>RIGHT(D74,LEN(D74)-4)/10000</f>
        <v>23.298200000000001</v>
      </c>
      <c r="Z74" s="69">
        <f>RIGHT(H74,LEN(H74)-4)/10000</f>
        <v>1.52E-2</v>
      </c>
      <c r="AA74" s="69">
        <f>ABS(Z74-Y74)</f>
        <v>23.283000000000001</v>
      </c>
      <c r="AB74" s="66" t="e">
        <f>VLOOKUP(A74,Enforcements!$C$7:$J$21,8,0)</f>
        <v>#N/A</v>
      </c>
      <c r="AC74" s="62" t="e">
        <f>VLOOKUP(A74,Enforcements!$C$7:$E$21,3,0)</f>
        <v>#N/A</v>
      </c>
      <c r="AD74" s="63" t="str">
        <f>IF(LEN(A74)=6,"0"&amp;A74,A74)</f>
        <v>0158-27</v>
      </c>
      <c r="AE74" s="99" t="str">
        <f>"aws s3 cp "&amp;s3_bucket&amp;"/RTDC"&amp;B74&amp;"/"&amp;TEXT(F74,"YYYY-MM-DD")&amp;"/ "&amp;search_path&amp;"\RTDC"&amp;B74&amp;"\"&amp;TEXT(F74,"YYYY-MM-DD")&amp;" --recursive &amp; """&amp;walkandungz&amp;""" "&amp;search_path&amp;"\RTDC"&amp;B74&amp;"\"&amp;TEXT(F74,"YYYY-MM-DD")
&amp;" &amp; "&amp;"aws s3 cp "&amp;s3_bucket&amp;"/RTDC"&amp;B74&amp;"/"&amp;TEXT(F74+1,"YYYY-MM-DD")&amp;"/ "&amp;search_path&amp;"\RTDC"&amp;B74&amp;"\"&amp;TEXT(F74+1,"YYYY-MM-DD")&amp;" --recursive &amp; """&amp;walkandungz&amp;""" "&amp;search_path&amp;"\RTDC"&amp;B74&amp;"\"&amp;TEXT(F74+1,"YYYY-MM-DD")</f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74" s="96" t="str">
        <f>astrogrep_path&amp;" /spath="&amp;search_path&amp;" /stypes=""*"&amp;B74&amp;"*"&amp;TEXT(I74-utc_offset/24,"YYYYMMDD")&amp;"*"" /stext="" "&amp;TEXT(I74-utc_offset/24,"HH")&amp;search_regexp&amp;""" /e /r /s"</f>
        <v>"C:\Program Files (x86)\AstroGrep\AstroGrep.exe" /spath="%USERPROFILE%\AppData\Local\Temp\OnboardLogs" /stypes="*4026*20160827*" /stext=" 18:.+((SYSTEM_STATE.+slice.+state.+changed )|(ment ac)|(system.+state.+changed )|(\|lc)|(penalty)|(\[timeout)|(PRM\|1\|D)|(kpr)|(kdp))" /e /r /s</v>
      </c>
      <c r="AG74" s="1" t="str">
        <f>IFERROR(IF(VALUE(LEFT(AD74,2))&lt;=2,"EC",IF(OR(VALUE(LEFT(AD74,2))=8,VALUE(LEFT(AD74,2))=18),"NW","Other")),"Other")</f>
        <v>EC</v>
      </c>
      <c r="AH74" s="100" t="str">
        <f t="shared" si="0"/>
        <v>"%USERPROFILE%\Documents\GitHub\eaglep3\Utilities\RefineRTDCRunTimes.py" --tripid 158-27 --locoid 4026 --swversion DE.1.0.7.0 --startMP 204:232982 --initTime 2016-08-27T11:37:19 --startdatetime 2016-08-27T11:41:15 --delay 1 --endMP 204:152 --enddatetime 2016-08-27T12:22:22 --enforcementcount 0 &gt;&gt;C:\Users\stu\Documents\GitHub\eaglep3-reporting\EC\2016-08-27-refined-times.txt</v>
      </c>
      <c r="AI74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{"issue":{"subject":"","project_id":79,"tracker_id":40,"status_id":1,"priority_id":2,"assigned_to_id":23,"start_date":"2016-08-27","description":"","custom_fields":[{"id":1,"name":"Subdivision","value":"EC"},{"id":4,"name":"Milepost","value":"23.283"},{"id":17,"name":"Train ID","value":"158-27"},{"id":16,"name":"Locomotive ID","value":"4026"},{"id":130,"name":"Impact","value":""},{"id":150,"name":"Time of Event (Mountain Time)","value":"12:22:22"},{"id":151,"name":"Denver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471</v>
      </c>
      <c r="B75" s="7">
        <v>4009</v>
      </c>
      <c r="C75" s="24" t="s">
        <v>113</v>
      </c>
      <c r="D75" s="24" t="s">
        <v>340</v>
      </c>
      <c r="E75" s="15">
        <v>42609.449016203704</v>
      </c>
      <c r="F75" s="15">
        <v>42609.458645833336</v>
      </c>
      <c r="G75" s="7">
        <v>3</v>
      </c>
      <c r="H75" s="15" t="s">
        <v>142</v>
      </c>
      <c r="I75" s="15">
        <v>42609.486331018517</v>
      </c>
      <c r="J75" s="7">
        <v>0</v>
      </c>
      <c r="K75" s="132" t="str">
        <f>IF(ISEVEN(B75),(B75-1)&amp;"/"&amp;B75,B75&amp;"/"&amp;(B75+1))</f>
        <v>4009/4010</v>
      </c>
      <c r="L75" s="24" t="str">
        <f>VLOOKUP(A75,'Trips&amp;Operators'!$C$1:$E$10000,3,FALSE)</f>
        <v>STEWART</v>
      </c>
      <c r="M75" s="6">
        <f>I75-F75</f>
        <v>2.7685185181326233E-2</v>
      </c>
      <c r="N75" s="7">
        <f>24*60*SUM($M75:$M75)</f>
        <v>39.866666661109775</v>
      </c>
      <c r="O75" s="7"/>
      <c r="P75" s="7"/>
      <c r="Q75" s="25"/>
      <c r="R75" s="25"/>
      <c r="S75" s="37">
        <f>SUM(U75:U75)/IF(AG75="EC",12,1)</f>
        <v>1</v>
      </c>
      <c r="T75" s="52" t="str">
        <f>IF(ISEVEN(LEFT(AD75,4)),"Southbound","NorthBound")</f>
        <v>NorthBound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hh:mm:ss")&amp;"-0600',mode:absolute,to:'"&amp;TEXT(I75+1/24,"yyyy-MM-DD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https://search-rtdc-monitor-bjffxe2xuh6vdkpspy63sjmuny.us-east-1.es.amazonaws.com/_plugin/kibana/#/discover/Steve-Slow-Train-Analysis-(2080s-and-2083s)?_g=(refreshInterval:(display:Off,section:0,value:0),time:(from:'2016-08-27 09:46:35-0600',mode:absolute,to:'2016-08-27 12:40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75" s="54" t="str">
        <f>IF(AA75&lt;IF(AG75="EC",23,5.65),"Y","N")</f>
        <v>N</v>
      </c>
      <c r="X75" s="120">
        <f t="shared" si="54"/>
        <v>1</v>
      </c>
      <c r="Y75" s="69">
        <f>RIGHT(D75,LEN(D75)-4)/10000</f>
        <v>4.7300000000000002E-2</v>
      </c>
      <c r="Z75" s="69">
        <f>RIGHT(H75,LEN(H75)-4)/10000</f>
        <v>23.331</v>
      </c>
      <c r="AA75" s="69">
        <f>ABS(Z75-Y75)</f>
        <v>23.2837</v>
      </c>
      <c r="AB75" s="66" t="e">
        <f>VLOOKUP(A75,Enforcements!$C$7:$J$21,8,0)</f>
        <v>#N/A</v>
      </c>
      <c r="AC75" s="62" t="e">
        <f>VLOOKUP(A75,Enforcements!$C$7:$E$21,3,0)</f>
        <v>#N/A</v>
      </c>
      <c r="AD75" s="63" t="str">
        <f>IF(LEN(A75)=6,"0"&amp;A75,A75)</f>
        <v>0159-27</v>
      </c>
      <c r="AE75" s="99" t="str">
        <f>"aws s3 cp "&amp;s3_bucket&amp;"/RTDC"&amp;B75&amp;"/"&amp;TEXT(F75,"YYYY-MM-DD")&amp;"/ "&amp;search_path&amp;"\RTDC"&amp;B75&amp;"\"&amp;TEXT(F75,"YYYY-MM-DD")&amp;" --recursive &amp; """&amp;walkandungz&amp;""" "&amp;search_path&amp;"\RTDC"&amp;B75&amp;"\"&amp;TEXT(F75,"YYYY-MM-DD")
&amp;" &amp; "&amp;"aws s3 cp "&amp;s3_bucket&amp;"/RTDC"&amp;B75&amp;"/"&amp;TEXT(F75+1,"YYYY-MM-DD")&amp;"/ "&amp;search_path&amp;"\RTDC"&amp;B75&amp;"\"&amp;TEXT(F75+1,"YYYY-MM-DD")&amp;" --recursive &amp; """&amp;walkandungz&amp;""" "&amp;search_path&amp;"\RTDC"&amp;B75&amp;"\"&amp;TEXT(F75+1,"YYYY-MM-DD")</f>
        <v>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 &amp; 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</v>
      </c>
      <c r="AF75" s="96" t="str">
        <f>astrogrep_path&amp;" /spath="&amp;search_path&amp;" /stypes=""*"&amp;B75&amp;"*"&amp;TEXT(I75-utc_offset/24,"YYYYMMDD")&amp;"*"" /stext="" "&amp;TEXT(I75-utc_offset/24,"HH")&amp;search_regexp&amp;""" /e /r /s"</f>
        <v>"C:\Program Files (x86)\AstroGrep\AstroGrep.exe" /spath="%USERPROFILE%\AppData\Local\Temp\OnboardLogs" /stypes="*4009*20160827*" /stext=" 17:.+((SYSTEM_STATE.+slice.+state.+changed )|(ment ac)|(system.+state.+changed )|(\|lc)|(penalty)|(\[timeout)|(PRM\|1\|D)|(kpr)|(kdp))" /e /r /s</v>
      </c>
      <c r="AG75" s="1" t="str">
        <f>IFERROR(IF(VALUE(LEFT(AD75,2))&lt;=2,"EC",IF(OR(VALUE(LEFT(AD75,2))=8,VALUE(LEFT(AD75,2))=18),"NW","Other")),"Other")</f>
        <v>EC</v>
      </c>
      <c r="AH75" s="100" t="str">
        <f t="shared" si="0"/>
        <v>"%USERPROFILE%\Documents\GitHub\eaglep3\Utilities\RefineRTDCRunTimes.py" --tripid 159-27 --locoid 4009 --swversion DE.1.0.7.0 --startMP 204:473 --initTime 2016-08-27T10:46:35 --startdatetime 2016-08-27T11:00:27 --delay 3 --endMP 204:233310 --enddatetime 2016-08-27T11:40:19 --enforcementcount 0 &gt;&gt;C:\Users\stu\Documents\GitHub\eaglep3-reporting\EC\2016-08-27-refined-times.txt</v>
      </c>
      <c r="AI75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{"issue":{"subject":"","project_id":79,"tracker_id":40,"status_id":1,"priority_id":2,"assigned_to_id":23,"start_date":"2016-08-27","description":"","custom_fields":[{"id":1,"name":"Subdivision","value":"EC"},{"id":4,"name":"Milepost","value":"23.2837"},{"id":17,"name":"Train ID","value":"159-27"},{"id":16,"name":"Locomotive ID","value":"4009"},{"id":130,"name":"Impact","value":""},{"id":150,"name":"Time of Event (Mountain Time)","value":"11:40:19"},{"id":151,"name":"Denver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x14ac:dyDescent="0.25">
      <c r="A76" s="39" t="s">
        <v>472</v>
      </c>
      <c r="B76" s="7">
        <v>4010</v>
      </c>
      <c r="C76" s="24" t="s">
        <v>113</v>
      </c>
      <c r="D76" s="24" t="s">
        <v>201</v>
      </c>
      <c r="E76" s="15">
        <v>42609.496388888889</v>
      </c>
      <c r="F76" s="15">
        <v>42609.498240740744</v>
      </c>
      <c r="G76" s="7">
        <v>1</v>
      </c>
      <c r="H76" s="15" t="s">
        <v>262</v>
      </c>
      <c r="I76" s="15">
        <v>42609.524027777778</v>
      </c>
      <c r="J76" s="7">
        <v>0</v>
      </c>
      <c r="K76" s="132" t="str">
        <f>IF(ISEVEN(B76),(B76-1)&amp;"/"&amp;B76,B76&amp;"/"&amp;(B76+1))</f>
        <v>4009/4010</v>
      </c>
      <c r="L76" s="24" t="str">
        <f>VLOOKUP(A76,'Trips&amp;Operators'!$C$1:$E$10000,3,FALSE)</f>
        <v>STEWART</v>
      </c>
      <c r="M76" s="6">
        <f>I76-F76</f>
        <v>2.5787037033296656E-2</v>
      </c>
      <c r="N76" s="7">
        <f>24*60*SUM($M76:$M76)</f>
        <v>37.133333327947184</v>
      </c>
      <c r="O76" s="7"/>
      <c r="P76" s="7"/>
      <c r="Q76" s="25"/>
      <c r="R76" s="25"/>
      <c r="S76" s="37">
        <f>SUM(U76:U76)/IF(AG76="EC",12,1)</f>
        <v>1</v>
      </c>
      <c r="T76" s="52" t="str">
        <f>IF(ISEVEN(LEFT(AD76,4)),"Southbound","NorthBound")</f>
        <v>Southbound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https://search-rtdc-monitor-bjffxe2xuh6vdkpspy63sjmuny.us-east-1.es.amazonaws.com/_plugin/kibana/#/discover/Steve-Slow-Train-Analysis-(2080s-and-2083s)?_g=(refreshInterval:(display:Off,section:0,value:0),time:(from:'2016-08-27 10:54:48-0600',mode:absolute,to:'2016-08-27 13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76" s="54" t="str">
        <f>IF(AA76&lt;IF(AG76="EC",23,5.65),"Y","N")</f>
        <v>N</v>
      </c>
      <c r="X76" s="120">
        <f>VALUE(LEFT(AD76,4))-VALUE(LEFT(AD75,4))</f>
        <v>1</v>
      </c>
      <c r="Y76" s="69">
        <f>RIGHT(D76,LEN(D76)-4)/10000</f>
        <v>23.3</v>
      </c>
      <c r="Z76" s="69">
        <f>RIGHT(H76,LEN(H76)-4)/10000</f>
        <v>1.6899999999999998E-2</v>
      </c>
      <c r="AA76" s="69">
        <f>ABS(Z76-Y76)</f>
        <v>23.283100000000001</v>
      </c>
      <c r="AB76" s="66" t="e">
        <f>VLOOKUP(A76,Enforcements!$C$7:$J$21,8,0)</f>
        <v>#N/A</v>
      </c>
      <c r="AC76" s="62" t="e">
        <f>VLOOKUP(A76,Enforcements!$C$7:$E$21,3,0)</f>
        <v>#N/A</v>
      </c>
      <c r="AD76" s="63" t="str">
        <f>IF(LEN(A76)=6,"0"&amp;A76,A76)</f>
        <v>0160-27</v>
      </c>
      <c r="AE76" s="99" t="str">
        <f>"aws s3 cp "&amp;s3_bucket&amp;"/RTDC"&amp;B76&amp;"/"&amp;TEXT(F76,"YYYY-MM-DD")&amp;"/ "&amp;search_path&amp;"\RTDC"&amp;B76&amp;"\"&amp;TEXT(F76,"YYYY-MM-DD")&amp;" --recursive &amp; """&amp;walkandungz&amp;""" "&amp;search_path&amp;"\RTDC"&amp;B76&amp;"\"&amp;TEXT(F76,"YYYY-MM-DD")
&amp;" &amp; "&amp;"aws s3 cp "&amp;s3_bucket&amp;"/RTDC"&amp;B76&amp;"/"&amp;TEXT(F76+1,"YYYY-MM-DD")&amp;"/ "&amp;search_path&amp;"\RTDC"&amp;B76&amp;"\"&amp;TEXT(F76+1,"YYYY-MM-DD")&amp;" --recursive &amp; """&amp;walkandungz&amp;""" "&amp;search_path&amp;"\RTDC"&amp;B76&amp;"\"&amp;TEXT(F76+1,"YYYY-MM-DD")</f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AF76" s="96" t="str">
        <f>astrogrep_path&amp;" /spath="&amp;search_path&amp;" /stypes=""*"&amp;B76&amp;"*"&amp;TEXT(I76-utc_offset/24,"YYYYMMDD")&amp;"*"" /stext="" "&amp;TEXT(I76-utc_offset/24,"HH")&amp;search_regexp&amp;""" /e /r /s"</f>
        <v>"C:\Program Files (x86)\AstroGrep\AstroGrep.exe" /spath="%USERPROFILE%\AppData\Local\Temp\OnboardLogs" /stypes="*4010*20160827*" /stext=" 18:.+((SYSTEM_STATE.+slice.+state.+changed )|(ment ac)|(system.+state.+changed )|(\|lc)|(penalty)|(\[timeout)|(PRM\|1\|D)|(kpr)|(kdp))" /e /r /s</v>
      </c>
      <c r="AG76" s="1" t="str">
        <f>IFERROR(IF(VALUE(LEFT(AD76,2))&lt;=2,"EC",IF(OR(VALUE(LEFT(AD76,2))=8,VALUE(LEFT(AD76,2))=18),"NW","Other")),"Other")</f>
        <v>EC</v>
      </c>
      <c r="AH76" s="100" t="str">
        <f t="shared" si="0"/>
        <v>"%USERPROFILE%\Documents\GitHub\eaglep3\Utilities\RefineRTDCRunTimes.py" --tripid 160-27 --locoid 4010 --swversion DE.1.0.7.0 --startMP 204:233000 --initTime 2016-08-27T11:54:48 --startdatetime 2016-08-27T11:57:28 --delay 1 --endMP 204:169 --enddatetime 2016-08-27T12:34:36 --enforcementcount 0 &gt;&gt;C:\Users\stu\Documents\GitHub\eaglep3-reporting\EC\2016-08-27-refined-times.txt</v>
      </c>
      <c r="AI76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{"issue":{"subject":"","project_id":79,"tracker_id":40,"status_id":1,"priority_id":2,"assigned_to_id":23,"start_date":"2016-08-27","description":"","custom_fields":[{"id":1,"name":"Subdivision","value":"EC"},{"id":4,"name":"Milepost","value":"23.2831"},{"id":17,"name":"Train ID","value":"160-27"},{"id":16,"name":"Locomotive ID","value":"4010"},{"id":130,"name":"Impact","value":""},{"id":150,"name":"Time of Event (Mountain Time)","value":"12:34:36"},{"id":151,"name":"Denver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473</v>
      </c>
      <c r="B77" s="7">
        <v>4020</v>
      </c>
      <c r="C77" s="24" t="s">
        <v>113</v>
      </c>
      <c r="D77" s="24" t="s">
        <v>474</v>
      </c>
      <c r="E77" s="15">
        <v>42609.464513888888</v>
      </c>
      <c r="F77" s="15">
        <v>42609.468958333331</v>
      </c>
      <c r="G77" s="7">
        <v>1</v>
      </c>
      <c r="H77" s="15" t="s">
        <v>475</v>
      </c>
      <c r="I77" s="15">
        <v>42609.494606481479</v>
      </c>
      <c r="J77" s="7">
        <v>0</v>
      </c>
      <c r="K77" s="132" t="str">
        <f>IF(ISEVEN(B77),(B77-1)&amp;"/"&amp;B77,B77&amp;"/"&amp;(B77+1))</f>
        <v>4019/4020</v>
      </c>
      <c r="L77" s="24" t="str">
        <f>VLOOKUP(A77,'Trips&amp;Operators'!$C$1:$E$10000,3,FALSE)</f>
        <v>BARTLETT</v>
      </c>
      <c r="M77" s="6">
        <f>I77-F77</f>
        <v>2.5648148148320615E-2</v>
      </c>
      <c r="N77" s="7">
        <f>24*60*SUM($M77:$M77)</f>
        <v>36.933333333581686</v>
      </c>
      <c r="O77" s="7"/>
      <c r="P77" s="7"/>
      <c r="Q77" s="25"/>
      <c r="R77" s="25"/>
      <c r="S77" s="37">
        <f>SUM(U77:U77)/IF(AG77="EC",12,1)</f>
        <v>1</v>
      </c>
      <c r="T77" s="52" t="str">
        <f>IF(ISEVEN(LEFT(AD77,4)),"Southbound","NorthBound")</f>
        <v>NorthBound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https://search-rtdc-monitor-bjffxe2xuh6vdkpspy63sjmuny.us-east-1.es.amazonaws.com/_plugin/kibana/#/discover/Steve-Slow-Train-Analysis-(2080s-and-2083s)?_g=(refreshInterval:(display:Off,section:0,value:0),time:(from:'2016-08-27 10:08:54-0600',mode:absolute,to:'2016-08-27 12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77" s="54" t="str">
        <f>IF(AA77&lt;IF(AG77="EC",23,5.65),"Y","N")</f>
        <v>N</v>
      </c>
      <c r="X77" s="120">
        <f>VALUE(LEFT(AD77,4))-VALUE(LEFT(AD76,4))</f>
        <v>1</v>
      </c>
      <c r="Y77" s="69">
        <f>RIGHT(D77,LEN(D77)-4)/10000</f>
        <v>0.05</v>
      </c>
      <c r="Z77" s="69">
        <f>RIGHT(H77,LEN(H77)-4)/10000</f>
        <v>23.330500000000001</v>
      </c>
      <c r="AA77" s="69">
        <f>ABS(Z77-Y77)</f>
        <v>23.2805</v>
      </c>
      <c r="AB77" s="66" t="e">
        <f>VLOOKUP(A77,Enforcements!$C$7:$J$21,8,0)</f>
        <v>#N/A</v>
      </c>
      <c r="AC77" s="62" t="e">
        <f>VLOOKUP(A77,Enforcements!$C$7:$E$21,3,0)</f>
        <v>#N/A</v>
      </c>
      <c r="AD77" s="63" t="str">
        <f>IF(LEN(A77)=6,"0"&amp;A77,A77)</f>
        <v>0161-27</v>
      </c>
      <c r="AE77" s="99" t="str">
        <f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77" s="96" t="str">
        <f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/stypes="*4020*20160827*" /stext=" 17:.+((SYSTEM_STATE.+slice.+state.+changed )|(ment ac)|(system.+state.+changed )|(\|lc)|(penalty)|(\[timeout)|(PRM\|1\|D)|(kpr)|(kdp))" /e /r /s</v>
      </c>
      <c r="AG77" s="1" t="str">
        <f>IFERROR(IF(VALUE(LEFT(AD77,2))&lt;=2,"EC",IF(OR(VALUE(LEFT(AD77,2))=8,VALUE(LEFT(AD77,2))=18),"NW","Other")),"Other")</f>
        <v>EC</v>
      </c>
      <c r="AH77" s="100" t="str">
        <f t="shared" si="0"/>
        <v>"%USERPROFILE%\Documents\GitHub\eaglep3\Utilities\RefineRTDCRunTimes.py" --tripid 161-27 --locoid 4020 --swversion DE.1.0.7.0 --startMP 204:500 --initTime 2016-08-27T11:08:54 --startdatetime 2016-08-27T11:15:18 --delay 1 --endMP 204:233305 --enddatetime 2016-08-27T11:52:14 --enforcementcount 0 &gt;&gt;C:\Users\stu\Documents\GitHub\eaglep3-reporting\EC\2016-08-27-refined-times.txt</v>
      </c>
      <c r="AI77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{"issue":{"subject":"","project_id":79,"tracker_id":40,"status_id":1,"priority_id":2,"assigned_to_id":23,"start_date":"2016-08-27","description":"","custom_fields":[{"id":1,"name":"Subdivision","value":"EC"},{"id":4,"name":"Milepost","value":"23.2805"},{"id":17,"name":"Train ID","value":"161-27"},{"id":16,"name":"Locomotive ID","value":"4020"},{"id":130,"name":"Impact","value":""},{"id":150,"name":"Time of Event (Mountain Time)","value":"11:52:14"},{"id":151,"name":"Denver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476</v>
      </c>
      <c r="B78" s="7">
        <v>4019</v>
      </c>
      <c r="C78" s="24" t="s">
        <v>113</v>
      </c>
      <c r="D78" s="24" t="s">
        <v>193</v>
      </c>
      <c r="E78" s="15">
        <v>42609.496747685182</v>
      </c>
      <c r="F78" s="15">
        <v>42609.507870370369</v>
      </c>
      <c r="G78" s="7">
        <v>1</v>
      </c>
      <c r="H78" s="15" t="s">
        <v>175</v>
      </c>
      <c r="I78" s="15">
        <v>42609.534953703704</v>
      </c>
      <c r="J78" s="7">
        <v>0</v>
      </c>
      <c r="K78" s="132" t="str">
        <f>IF(ISEVEN(B78),(B78-1)&amp;"/"&amp;B78,B78&amp;"/"&amp;(B78+1))</f>
        <v>4019/4020</v>
      </c>
      <c r="L78" s="24" t="str">
        <f>VLOOKUP(A78,'Trips&amp;Operators'!$C$1:$E$10000,3,FALSE)</f>
        <v>BARTLETT</v>
      </c>
      <c r="M78" s="6">
        <f>I78-F78</f>
        <v>2.7083333334303461E-2</v>
      </c>
      <c r="N78" s="7">
        <f>24*60*SUM($M78:$M78)</f>
        <v>39.000000001396984</v>
      </c>
      <c r="O78" s="7"/>
      <c r="P78" s="7"/>
      <c r="Q78" s="25"/>
      <c r="R78" s="25"/>
      <c r="S78" s="37">
        <f>SUM(U78:U78)/IF(AG78="EC",12,1)</f>
        <v>1</v>
      </c>
      <c r="T78" s="52" t="str">
        <f>IF(ISEVEN(LEFT(AD78,4)),"Southbound","NorthBound")</f>
        <v>Southbound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https://search-rtdc-monitor-bjffxe2xuh6vdkpspy63sjmuny.us-east-1.es.amazonaws.com/_plugin/kibana/#/discover/Steve-Slow-Train-Analysis-(2080s-and-2083s)?_g=(refreshInterval:(display:Off,section:0,value:0),time:(from:'2016-08-27 10:55:19-0600',mode:absolute,to:'2016-08-27 13:50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78" s="54" t="str">
        <f>IF(AA78&lt;IF(AG78="EC",23,5.65),"Y","N")</f>
        <v>N</v>
      </c>
      <c r="X78" s="120">
        <f>VALUE(LEFT(AD78,4))-VALUE(LEFT(AD77,4))</f>
        <v>1</v>
      </c>
      <c r="Y78" s="69">
        <f>RIGHT(D78,LEN(D78)-4)/10000</f>
        <v>23.299199999999999</v>
      </c>
      <c r="Z78" s="69">
        <f>RIGHT(H78,LEN(H78)-4)/10000</f>
        <v>1.41E-2</v>
      </c>
      <c r="AA78" s="69">
        <f>ABS(Z78-Y78)</f>
        <v>23.2851</v>
      </c>
      <c r="AB78" s="66" t="e">
        <f>VLOOKUP(A78,Enforcements!$C$7:$J$21,8,0)</f>
        <v>#N/A</v>
      </c>
      <c r="AC78" s="62" t="e">
        <f>VLOOKUP(A78,Enforcements!$C$7:$E$21,3,0)</f>
        <v>#N/A</v>
      </c>
      <c r="AD78" s="63" t="str">
        <f>IF(LEN(A78)=6,"0"&amp;A78,A78)</f>
        <v>0162-27</v>
      </c>
      <c r="AE78" s="99" t="str">
        <f>"aws s3 cp "&amp;s3_bucket&amp;"/RTDC"&amp;B78&amp;"/"&amp;TEXT(F78,"YYYY-MM-DD")&amp;"/ "&amp;search_path&amp;"\RTDC"&amp;B78&amp;"\"&amp;TEXT(F78,"YYYY-MM-DD")&amp;" --recursive &amp; """&amp;walkandungz&amp;""" "&amp;search_path&amp;"\RTDC"&amp;B78&amp;"\"&amp;TEXT(F78,"YYYY-MM-DD")
&amp;" &amp; "&amp;"aws s3 cp "&amp;s3_bucket&amp;"/RTDC"&amp;B78&amp;"/"&amp;TEXT(F78+1,"YYYY-MM-DD")&amp;"/ "&amp;search_path&amp;"\RTDC"&amp;B78&amp;"\"&amp;TEXT(F78+1,"YYYY-MM-DD")&amp;" --recursive &amp; """&amp;walkandungz&amp;""" "&amp;search_path&amp;"\RTDC"&amp;B78&amp;"\"&amp;TEXT(F78+1,"YYYY-MM-DD")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78" s="96" t="str">
        <f>astrogrep_path&amp;" /spath="&amp;search_path&amp;" /stypes=""*"&amp;B78&amp;"*"&amp;TEXT(I78-utc_offset/24,"YYYYMMDD")&amp;"*"" /stext="" "&amp;TEXT(I78-utc_offset/24,"HH")&amp;search_regexp&amp;""" /e /r /s"</f>
        <v>"C:\Program Files (x86)\AstroGrep\AstroGrep.exe" /spath="%USERPROFILE%\AppData\Local\Temp\OnboardLogs" /stypes="*4019*20160827*" /stext=" 18:.+((SYSTEM_STATE.+slice.+state.+changed )|(ment ac)|(system.+state.+changed )|(\|lc)|(penalty)|(\[timeout)|(PRM\|1\|D)|(kpr)|(kdp))" /e /r /s</v>
      </c>
      <c r="AG78" s="1" t="str">
        <f>IFERROR(IF(VALUE(LEFT(AD78,2))&lt;=2,"EC",IF(OR(VALUE(LEFT(AD78,2))=8,VALUE(LEFT(AD78,2))=18),"NW","Other")),"Other")</f>
        <v>EC</v>
      </c>
      <c r="AH78" s="100" t="str">
        <f t="shared" si="0"/>
        <v>"%USERPROFILE%\Documents\GitHub\eaglep3\Utilities\RefineRTDCRunTimes.py" --tripid 162-27 --locoid 4019 --swversion DE.1.0.7.0 --startMP 204:232992 --initTime 2016-08-27T11:55:19 --startdatetime 2016-08-27T12:11:20 --delay 1 --endMP 204:141 --enddatetime 2016-08-27T12:50:20 --enforcementcount 0 &gt;&gt;C:\Users\stu\Documents\GitHub\eaglep3-reporting\EC\2016-08-27-refined-times.txt</v>
      </c>
      <c r="AI78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{"issue":{"subject":"","project_id":79,"tracker_id":40,"status_id":1,"priority_id":2,"assigned_to_id":23,"start_date":"2016-08-27","description":"","custom_fields":[{"id":1,"name":"Subdivision","value":"EC"},{"id":4,"name":"Milepost","value":"23.2851"},{"id":17,"name":"Train ID","value":"162-27"},{"id":16,"name":"Locomotive ID","value":"4019"},{"id":130,"name":"Impact","value":""},{"id":150,"name":"Time of Event (Mountain Time)","value":"12:50:20"},{"id":151,"name":"Denver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477</v>
      </c>
      <c r="B79" s="7">
        <v>4031</v>
      </c>
      <c r="C79" s="24" t="s">
        <v>113</v>
      </c>
      <c r="D79" s="24" t="s">
        <v>125</v>
      </c>
      <c r="E79" s="15">
        <v>42609.475381944445</v>
      </c>
      <c r="F79" s="15">
        <v>42609.479930555557</v>
      </c>
      <c r="G79" s="7">
        <v>1</v>
      </c>
      <c r="H79" s="15" t="s">
        <v>177</v>
      </c>
      <c r="I79" s="15">
        <v>42609.50503472222</v>
      </c>
      <c r="J79" s="7">
        <v>0</v>
      </c>
      <c r="K79" s="132" t="str">
        <f>IF(ISEVEN(B79),(B79-1)&amp;"/"&amp;B79,B79&amp;"/"&amp;(B79+1))</f>
        <v>4031/4032</v>
      </c>
      <c r="L79" s="24" t="str">
        <f>VLOOKUP(A79,'Trips&amp;Operators'!$C$1:$E$10000,3,FALSE)</f>
        <v>MOSES</v>
      </c>
      <c r="M79" s="6">
        <f>I79-F79</f>
        <v>2.5104166663368233E-2</v>
      </c>
      <c r="N79" s="7">
        <f>24*60*SUM($M79:$M79)</f>
        <v>36.149999995250255</v>
      </c>
      <c r="O79" s="7"/>
      <c r="P79" s="7"/>
      <c r="Q79" s="25"/>
      <c r="R79" s="25"/>
      <c r="S79" s="37">
        <f>SUM(U79:U79)/IF(AG79="EC",12,1)</f>
        <v>1</v>
      </c>
      <c r="T79" s="52" t="str">
        <f>IF(ISEVEN(LEFT(AD79,4)),"Southbound","NorthBound")</f>
        <v>NorthBound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hh:mm:ss")&amp;"-0600',mode:absolute,to:'"&amp;TEXT(I79+1/24,"yyyy-MM-DD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https://search-rtdc-monitor-bjffxe2xuh6vdkpspy63sjmuny.us-east-1.es.amazonaws.com/_plugin/kibana/#/discover/Steve-Slow-Train-Analysis-(2080s-and-2083s)?_g=(refreshInterval:(display:Off,section:0,value:0),time:(from:'2016-08-27 10:24:33-0600',mode:absolute,to:'2016-08-27 13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79" s="54" t="str">
        <f>IF(AA79&lt;IF(AG79="EC",23,5.65),"Y","N")</f>
        <v>N</v>
      </c>
      <c r="X79" s="120">
        <f>VALUE(LEFT(AD79,4))-VALUE(LEFT(AD78,4))</f>
        <v>1</v>
      </c>
      <c r="Y79" s="69">
        <f>RIGHT(D79,LEN(D79)-4)/10000</f>
        <v>4.5499999999999999E-2</v>
      </c>
      <c r="Z79" s="69">
        <f>RIGHT(H79,LEN(H79)-4)/10000</f>
        <v>23.331399999999999</v>
      </c>
      <c r="AA79" s="69">
        <f>ABS(Z79-Y79)</f>
        <v>23.285899999999998</v>
      </c>
      <c r="AB79" s="66" t="e">
        <f>VLOOKUP(A79,Enforcements!$C$7:$J$21,8,0)</f>
        <v>#N/A</v>
      </c>
      <c r="AC79" s="62" t="e">
        <f>VLOOKUP(A79,Enforcements!$C$7:$E$21,3,0)</f>
        <v>#N/A</v>
      </c>
      <c r="AD79" s="63" t="str">
        <f>IF(LEN(A79)=6,"0"&amp;A79,A79)</f>
        <v>0163-27</v>
      </c>
      <c r="AE79" s="99" t="str">
        <f>"aws s3 cp "&amp;s3_bucket&amp;"/RTDC"&amp;B79&amp;"/"&amp;TEXT(F79,"YYYY-MM-DD")&amp;"/ "&amp;search_path&amp;"\RTDC"&amp;B79&amp;"\"&amp;TEXT(F79,"YYYY-MM-DD")&amp;" --recursive &amp; """&amp;walkandungz&amp;""" "&amp;search_path&amp;"\RTDC"&amp;B79&amp;"\"&amp;TEXT(F79,"YYYY-MM-DD")
&amp;" &amp; "&amp;"aws s3 cp "&amp;s3_bucket&amp;"/RTDC"&amp;B79&amp;"/"&amp;TEXT(F79+1,"YYYY-MM-DD")&amp;"/ "&amp;search_path&amp;"\RTDC"&amp;B79&amp;"\"&amp;TEXT(F79+1,"YYYY-MM-DD")&amp;" --recursive &amp; """&amp;walkandungz&amp;""" "&amp;search_path&amp;"\RTDC"&amp;B79&amp;"\"&amp;TEXT(F79+1,"YYYY-MM-DD")</f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79" s="96" t="str">
        <f>astrogrep_path&amp;" /spath="&amp;search_path&amp;" /stypes=""*"&amp;B79&amp;"*"&amp;TEXT(I79-utc_offset/24,"YYYYMMDD")&amp;"*"" /stext="" "&amp;TEXT(I79-utc_offset/24,"HH")&amp;search_regexp&amp;""" /e /r /s"</f>
        <v>"C:\Program Files (x86)\AstroGrep\AstroGrep.exe" /spath="%USERPROFILE%\AppData\Local\Temp\OnboardLogs" /stypes="*4031*20160827*" /stext=" 18:.+((SYSTEM_STATE.+slice.+state.+changed )|(ment ac)|(system.+state.+changed )|(\|lc)|(penalty)|(\[timeout)|(PRM\|1\|D)|(kpr)|(kdp))" /e /r /s</v>
      </c>
      <c r="AG79" s="1" t="str">
        <f>IFERROR(IF(VALUE(LEFT(AD79,2))&lt;=2,"EC",IF(OR(VALUE(LEFT(AD79,2))=8,VALUE(LEFT(AD79,2))=18),"NW","Other")),"Other")</f>
        <v>EC</v>
      </c>
      <c r="AH79" s="100" t="str">
        <f t="shared" si="0"/>
        <v>"%USERPROFILE%\Documents\GitHub\eaglep3\Utilities\RefineRTDCRunTimes.py" --tripid 163-27 --locoid 4031 --swversion DE.1.0.7.0 --startMP 204:455 --initTime 2016-08-27T11:24:33 --startdatetime 2016-08-27T11:31:06 --delay 1 --endMP 204:233314 --enddatetime 2016-08-27T12:07:15 --enforcementcount 0 &gt;&gt;C:\Users\stu\Documents\GitHub\eaglep3-reporting\EC\2016-08-27-refined-times.txt</v>
      </c>
      <c r="AI79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{"issue":{"subject":"","project_id":79,"tracker_id":40,"status_id":1,"priority_id":2,"assigned_to_id":23,"start_date":"2016-08-27","description":"","custom_fields":[{"id":1,"name":"Subdivision","value":"EC"},{"id":4,"name":"Milepost","value":"23.2859"},{"id":17,"name":"Train ID","value":"163-27"},{"id":16,"name":"Locomotive ID","value":"4031"},{"id":130,"name":"Impact","value":""},{"id":150,"name":"Time of Event (Mountain Time)","value":"12:07:15"},{"id":151,"name":"Denver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x14ac:dyDescent="0.25">
      <c r="A80" s="39" t="s">
        <v>478</v>
      </c>
      <c r="B80" s="7">
        <v>4032</v>
      </c>
      <c r="C80" s="24" t="s">
        <v>113</v>
      </c>
      <c r="D80" s="24" t="s">
        <v>479</v>
      </c>
      <c r="E80" s="15">
        <v>42609.514432870368</v>
      </c>
      <c r="F80" s="15">
        <v>42609.518287037034</v>
      </c>
      <c r="G80" s="7">
        <v>1</v>
      </c>
      <c r="H80" s="15" t="s">
        <v>345</v>
      </c>
      <c r="I80" s="15">
        <v>42609.545069444444</v>
      </c>
      <c r="J80" s="7">
        <v>0</v>
      </c>
      <c r="K80" s="132" t="str">
        <f>IF(ISEVEN(B80),(B80-1)&amp;"/"&amp;B80,B80&amp;"/"&amp;(B80+1))</f>
        <v>4031/4032</v>
      </c>
      <c r="L80" s="24" t="str">
        <f>VLOOKUP(A80,'Trips&amp;Operators'!$C$1:$E$10000,3,FALSE)</f>
        <v>MOSES</v>
      </c>
      <c r="M80" s="6">
        <f>I80-F80</f>
        <v>2.6782407410792075E-2</v>
      </c>
      <c r="N80" s="7">
        <f>24*60*SUM($M80:$M80)</f>
        <v>38.566666671540588</v>
      </c>
      <c r="O80" s="7"/>
      <c r="P80" s="7"/>
      <c r="Q80" s="25"/>
      <c r="R80" s="25"/>
      <c r="S80" s="37">
        <f>SUM(U80:U80)/IF(AG80="EC",12,1)</f>
        <v>1</v>
      </c>
      <c r="T80" s="52" t="str">
        <f>IF(ISEVEN(LEFT(AD80,4)),"Southbound","NorthBound")</f>
        <v>Southbound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hh:mm:ss")&amp;"-0600',mode:absolute,to:'"&amp;TEXT(I80+1/24,"yyyy-MM-DD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https://search-rtdc-monitor-bjffxe2xuh6vdkpspy63sjmuny.us-east-1.es.amazonaws.com/_plugin/kibana/#/discover/Steve-Slow-Train-Analysis-(2080s-and-2083s)?_g=(refreshInterval:(display:Off,section:0,value:0),time:(from:'2016-08-27 11:20:47-0600',mode:absolute,to:'2016-08-27 14:04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80" s="54" t="str">
        <f>IF(AA80&lt;IF(AG80="EC",23,5.65),"Y","N")</f>
        <v>N</v>
      </c>
      <c r="X80" s="120">
        <f>VALUE(LEFT(AD80,4))-VALUE(LEFT(AD79,4))</f>
        <v>1</v>
      </c>
      <c r="Y80" s="69">
        <f>RIGHT(D80,LEN(D80)-4)/10000</f>
        <v>23.3034</v>
      </c>
      <c r="Z80" s="69">
        <f>RIGHT(H80,LEN(H80)-4)/10000</f>
        <v>1.23E-2</v>
      </c>
      <c r="AA80" s="69">
        <f>ABS(Z80-Y80)</f>
        <v>23.2911</v>
      </c>
      <c r="AB80" s="66" t="e">
        <f>VLOOKUP(A80,Enforcements!$C$7:$J$21,8,0)</f>
        <v>#N/A</v>
      </c>
      <c r="AC80" s="62" t="e">
        <f>VLOOKUP(A80,Enforcements!$C$7:$E$21,3,0)</f>
        <v>#N/A</v>
      </c>
      <c r="AD80" s="63" t="str">
        <f>IF(LEN(A80)=6,"0"&amp;A80,A80)</f>
        <v>0164-27</v>
      </c>
      <c r="AE80" s="99" t="str">
        <f>"aws s3 cp "&amp;s3_bucket&amp;"/RTDC"&amp;B80&amp;"/"&amp;TEXT(F80,"YYYY-MM-DD")&amp;"/ "&amp;search_path&amp;"\RTDC"&amp;B80&amp;"\"&amp;TEXT(F80,"YYYY-MM-DD")&amp;" --recursive &amp; """&amp;walkandungz&amp;""" "&amp;search_path&amp;"\RTDC"&amp;B80&amp;"\"&amp;TEXT(F80,"YYYY-MM-DD")
&amp;" &amp; "&amp;"aws s3 cp "&amp;s3_bucket&amp;"/RTDC"&amp;B80&amp;"/"&amp;TEXT(F80+1,"YYYY-MM-DD")&amp;"/ "&amp;search_path&amp;"\RTDC"&amp;B80&amp;"\"&amp;TEXT(F80+1,"YYYY-MM-DD")&amp;" --recursive &amp; """&amp;walkandungz&amp;""" "&amp;search_path&amp;"\RTDC"&amp;B80&amp;"\"&amp;TEXT(F80+1,"YYYY-MM-DD")</f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80" s="96" t="str">
        <f>astrogrep_path&amp;" /spath="&amp;search_path&amp;" /stypes=""*"&amp;B80&amp;"*"&amp;TEXT(I80-utc_offset/24,"YYYYMMDD")&amp;"*"" /stext="" "&amp;TEXT(I80-utc_offset/24,"HH")&amp;search_regexp&amp;""" /e /r /s"</f>
        <v>"C:\Program Files (x86)\AstroGrep\AstroGrep.exe" /spath="%USERPROFILE%\AppData\Local\Temp\OnboardLogs" /stypes="*4032*20160827*" /stext=" 19:.+((SYSTEM_STATE.+slice.+state.+changed )|(ment ac)|(system.+state.+changed )|(\|lc)|(penalty)|(\[timeout)|(PRM\|1\|D)|(kpr)|(kdp))" /e /r /s</v>
      </c>
      <c r="AG80" s="1" t="str">
        <f>IFERROR(IF(VALUE(LEFT(AD80,2))&lt;=2,"EC",IF(OR(VALUE(LEFT(AD80,2))=8,VALUE(LEFT(AD80,2))=18),"NW","Other")),"Other")</f>
        <v>EC</v>
      </c>
      <c r="AH80" s="100" t="str">
        <f t="shared" si="0"/>
        <v>"%USERPROFILE%\Documents\GitHub\eaglep3\Utilities\RefineRTDCRunTimes.py" --tripid 164-27 --locoid 4032 --swversion DE.1.0.7.0 --startMP 204:233034 --initTime 2016-08-27T12:20:47 --startdatetime 2016-08-27T12:26:20 --delay 1 --endMP 204:123 --enddatetime 2016-08-27T13:04:54 --enforcementcount 0 &gt;&gt;C:\Users\stu\Documents\GitHub\eaglep3-reporting\EC\2016-08-27-refined-times.txt</v>
      </c>
      <c r="AI80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{"issue":{"subject":"","project_id":79,"tracker_id":40,"status_id":1,"priority_id":2,"assigned_to_id":23,"start_date":"2016-08-27","description":"","custom_fields":[{"id":1,"name":"Subdivision","value":"EC"},{"id":4,"name":"Milepost","value":"23.2911"},{"id":17,"name":"Train ID","value":"164-27"},{"id":16,"name":"Locomotive ID","value":"4032"},{"id":130,"name":"Impact","value":""},{"id":150,"name":"Time of Event (Mountain Time)","value":"13:04:54"},{"id":151,"name":"Denver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23" customFormat="1" x14ac:dyDescent="0.25">
      <c r="A81" s="39" t="s">
        <v>480</v>
      </c>
      <c r="B81" s="7">
        <v>4042</v>
      </c>
      <c r="C81" s="24" t="s">
        <v>113</v>
      </c>
      <c r="D81" s="24" t="s">
        <v>125</v>
      </c>
      <c r="E81" s="15">
        <v>42609.487222222226</v>
      </c>
      <c r="F81" s="15">
        <v>42609.48982638889</v>
      </c>
      <c r="G81" s="7">
        <v>2</v>
      </c>
      <c r="H81" s="15" t="s">
        <v>206</v>
      </c>
      <c r="I81" s="15">
        <v>42609.515960648147</v>
      </c>
      <c r="J81" s="7">
        <v>0</v>
      </c>
      <c r="K81" s="132" t="str">
        <f>IF(ISEVEN(B81),(B81-1)&amp;"/"&amp;B81,B81&amp;"/"&amp;(B81+1))</f>
        <v>4041/4042</v>
      </c>
      <c r="L81" s="24" t="str">
        <f>VLOOKUP(A81,'Trips&amp;Operators'!$C$1:$E$10000,3,FALSE)</f>
        <v>SHOOK</v>
      </c>
      <c r="M81" s="6">
        <f>I81-F81</f>
        <v>2.6134259256650694E-2</v>
      </c>
      <c r="N81" s="7">
        <f>24*60*SUM($M81:$M81)</f>
        <v>37.633333329576999</v>
      </c>
      <c r="O81" s="7"/>
      <c r="P81" s="7"/>
      <c r="Q81" s="25"/>
      <c r="R81" s="25"/>
      <c r="S81" s="37">
        <f>SUM(U81:U81)/IF(AG81="EC",12,1)</f>
        <v>1</v>
      </c>
      <c r="T81" s="52" t="str">
        <f>IF(ISEVEN(LEFT(AD81,4)),"Southbound","NorthBound")</f>
        <v>NorthBound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hh:mm:ss")&amp;"-0600',mode:absolute,to:'"&amp;TEXT(I81+1/24,"yyyy-MM-DD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https://search-rtdc-monitor-bjffxe2xuh6vdkpspy63sjmuny.us-east-1.es.amazonaws.com/_plugin/kibana/#/discover/Steve-Slow-Train-Analysis-(2080s-and-2083s)?_g=(refreshInterval:(display:Off,section:0,value:0),time:(from:'2016-08-27 10:41:36-0600',mode:absolute,to:'2016-08-27 13:22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81" s="54" t="str">
        <f>IF(AA81&lt;IF(AG81="EC",23,5.65),"Y","N")</f>
        <v>N</v>
      </c>
      <c r="X81" s="120">
        <f>VALUE(LEFT(AD81,4))-VALUE(LEFT(AD80,4))</f>
        <v>1</v>
      </c>
      <c r="Y81" s="69">
        <f>RIGHT(D81,LEN(D81)-4)/10000</f>
        <v>4.5499999999999999E-2</v>
      </c>
      <c r="Z81" s="69">
        <f>RIGHT(H81,LEN(H81)-4)/10000</f>
        <v>23.3368</v>
      </c>
      <c r="AA81" s="69">
        <f>ABS(Z81-Y81)</f>
        <v>23.2913</v>
      </c>
      <c r="AB81" s="66" t="e">
        <f>VLOOKUP(A81,Enforcements!$C$7:$J$21,8,0)</f>
        <v>#N/A</v>
      </c>
      <c r="AC81" s="62" t="e">
        <f>VLOOKUP(A81,Enforcements!$C$7:$E$21,3,0)</f>
        <v>#N/A</v>
      </c>
      <c r="AD81" s="63" t="str">
        <f>IF(LEN(A81)=6,"0"&amp;A81,A81)</f>
        <v>0165-27</v>
      </c>
      <c r="AE81" s="99" t="str">
        <f>"aws s3 cp "&amp;s3_bucket&amp;"/RTDC"&amp;B81&amp;"/"&amp;TEXT(F81,"YYYY-MM-DD")&amp;"/ "&amp;search_path&amp;"\RTDC"&amp;B81&amp;"\"&amp;TEXT(F81,"YYYY-MM-DD")&amp;" --recursive &amp; """&amp;walkandungz&amp;""" "&amp;search_path&amp;"\RTDC"&amp;B81&amp;"\"&amp;TEXT(F81,"YYYY-MM-DD")
&amp;" &amp; "&amp;"aws s3 cp "&amp;s3_bucket&amp;"/RTDC"&amp;B81&amp;"/"&amp;TEXT(F81+1,"YYYY-MM-DD")&amp;"/ "&amp;search_path&amp;"\RTDC"&amp;B81&amp;"\"&amp;TEXT(F81+1,"YYYY-MM-DD")&amp;" --recursive &amp; """&amp;walkandungz&amp;""" "&amp;search_path&amp;"\RTDC"&amp;B81&amp;"\"&amp;TEXT(F81+1,"YYYY-MM-DD")</f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AF81" s="96" t="str">
        <f>astrogrep_path&amp;" /spath="&amp;search_path&amp;" /stypes=""*"&amp;B81&amp;"*"&amp;TEXT(I81-utc_offset/24,"YYYYMMDD")&amp;"*"" /stext="" "&amp;TEXT(I81-utc_offset/24,"HH")&amp;search_regexp&amp;""" /e /r /s"</f>
        <v>"C:\Program Files (x86)\AstroGrep\AstroGrep.exe" /spath="%USERPROFILE%\AppData\Local\Temp\OnboardLogs" /stypes="*4042*20160827*" /stext=" 18:.+((SYSTEM_STATE.+slice.+state.+changed )|(ment ac)|(system.+state.+changed )|(\|lc)|(penalty)|(\[timeout)|(PRM\|1\|D)|(kpr)|(kdp))" /e /r /s</v>
      </c>
      <c r="AG81" s="1" t="str">
        <f>IFERROR(IF(VALUE(LEFT(AD81,2))&lt;=2,"EC",IF(OR(VALUE(LEFT(AD81,2))=8,VALUE(LEFT(AD81,2))=18),"NW","Other")),"Other")</f>
        <v>EC</v>
      </c>
      <c r="AH81" s="100" t="str">
        <f t="shared" si="0"/>
        <v>"%USERPROFILE%\Documents\GitHub\eaglep3\Utilities\RefineRTDCRunTimes.py" --tripid 165-27 --locoid 4042 --swversion DE.1.0.7.0 --startMP 204:455 --initTime 2016-08-27T11:41:36 --startdatetime 2016-08-27T11:45:21 --delay 2 --endMP 204:233368 --enddatetime 2016-08-27T12:22:59 --enforcementcount 0 &gt;&gt;C:\Users\stu\Documents\GitHub\eaglep3-reporting\EC\2016-08-27-refined-times.txt</v>
      </c>
      <c r="AI81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{"issue":{"subject":"","project_id":79,"tracker_id":40,"status_id":1,"priority_id":2,"assigned_to_id":23,"start_date":"2016-08-27","description":"","custom_fields":[{"id":1,"name":"Subdivision","value":"EC"},{"id":4,"name":"Milepost","value":"23.2913"},{"id":17,"name":"Train ID","value":"165-27"},{"id":16,"name":"Locomotive ID","value":"4042"},{"id":130,"name":"Impact","value":""},{"id":150,"name":"Time of Event (Mountain Time)","value":"12:22:59"},{"id":151,"name":"Denver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x14ac:dyDescent="0.25">
      <c r="A82" s="39" t="s">
        <v>481</v>
      </c>
      <c r="B82" s="7">
        <v>4041</v>
      </c>
      <c r="C82" s="24" t="s">
        <v>113</v>
      </c>
      <c r="D82" s="24" t="s">
        <v>482</v>
      </c>
      <c r="E82" s="15">
        <v>42609.522800925923</v>
      </c>
      <c r="F82" s="15">
        <v>42609.528634259259</v>
      </c>
      <c r="G82" s="7">
        <v>1</v>
      </c>
      <c r="H82" s="15" t="s">
        <v>156</v>
      </c>
      <c r="I82" s="15">
        <v>42609.555983796294</v>
      </c>
      <c r="J82" s="7">
        <v>0</v>
      </c>
      <c r="K82" s="132" t="str">
        <f>IF(ISEVEN(B82),(B82-1)&amp;"/"&amp;B82,B82&amp;"/"&amp;(B82+1))</f>
        <v>4041/4042</v>
      </c>
      <c r="L82" s="24" t="str">
        <f>VLOOKUP(A82,'Trips&amp;Operators'!$C$1:$E$10000,3,FALSE)</f>
        <v>SHOOK</v>
      </c>
      <c r="M82" s="6">
        <f>I82-F82</f>
        <v>2.7349537034751847E-2</v>
      </c>
      <c r="N82" s="7">
        <f>24*60*SUM($M82:$M82)</f>
        <v>39.38333333004266</v>
      </c>
      <c r="O82" s="7"/>
      <c r="P82" s="7"/>
      <c r="Q82" s="25"/>
      <c r="R82" s="25"/>
      <c r="S82" s="37">
        <f>SUM(U82:U82)/IF(AG82="EC",12,1)</f>
        <v>1</v>
      </c>
      <c r="T82" s="52" t="str">
        <f>IF(ISEVEN(LEFT(AD82,4)),"Southbound","NorthBound")</f>
        <v>Southbound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hh:mm:ss")&amp;"-0600',mode:absolute,to:'"&amp;TEXT(I82+1/24,"yyyy-MM-DD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https://search-rtdc-monitor-bjffxe2xuh6vdkpspy63sjmuny.us-east-1.es.amazonaws.com/_plugin/kibana/#/discover/Steve-Slow-Train-Analysis-(2080s-and-2083s)?_g=(refreshInterval:(display:Off,section:0,value:0),time:(from:'2016-08-27 11:32:50-0600',mode:absolute,to:'2016-08-27 14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82" s="54" t="str">
        <f>IF(AA82&lt;IF(AG82="EC",23,5.65),"Y","N")</f>
        <v>N</v>
      </c>
      <c r="X82" s="120">
        <f>VALUE(LEFT(AD82,4))-VALUE(LEFT(AD81,4))</f>
        <v>1</v>
      </c>
      <c r="Y82" s="69">
        <f>RIGHT(D82,LEN(D82)-4)/10000</f>
        <v>23.303999999999998</v>
      </c>
      <c r="Z82" s="69">
        <f>RIGHT(H82,LEN(H82)-4)/10000</f>
        <v>1.54E-2</v>
      </c>
      <c r="AA82" s="69">
        <f>ABS(Z82-Y82)</f>
        <v>23.288599999999999</v>
      </c>
      <c r="AB82" s="66" t="e">
        <f>VLOOKUP(A82,Enforcements!$C$7:$J$21,8,0)</f>
        <v>#N/A</v>
      </c>
      <c r="AC82" s="62" t="e">
        <f>VLOOKUP(A82,Enforcements!$C$7:$E$21,3,0)</f>
        <v>#N/A</v>
      </c>
      <c r="AD82" s="63" t="str">
        <f>IF(LEN(A82)=6,"0"&amp;A82,A82)</f>
        <v>0166-27</v>
      </c>
      <c r="AE82" s="99" t="str">
        <f>"aws s3 cp "&amp;s3_bucket&amp;"/RTDC"&amp;B82&amp;"/"&amp;TEXT(F82,"YYYY-MM-DD")&amp;"/ "&amp;search_path&amp;"\RTDC"&amp;B82&amp;"\"&amp;TEXT(F82,"YYYY-MM-DD")&amp;" --recursive &amp; """&amp;walkandungz&amp;""" "&amp;search_path&amp;"\RTDC"&amp;B82&amp;"\"&amp;TEXT(F82,"YYYY-MM-DD")
&amp;" &amp; "&amp;"aws s3 cp "&amp;s3_bucket&amp;"/RTDC"&amp;B82&amp;"/"&amp;TEXT(F82+1,"YYYY-MM-DD")&amp;"/ "&amp;search_path&amp;"\RTDC"&amp;B82&amp;"\"&amp;TEXT(F82+1,"YYYY-MM-DD")&amp;" --recursive &amp; """&amp;walkandungz&amp;""" "&amp;search_path&amp;"\RTDC"&amp;B82&amp;"\"&amp;TEXT(F82+1,"YYYY-MM-DD")</f>
        <v>aws s3 cp s3://rtdc.mdm.uploadarchive/RTDC4041/2016-08-27/ "%USERPROFILE%\AppData\Local\Temp\OnboardLogs"\RTDC4041\2016-08-27 --recursive &amp; "%USERPROFILE%\Documents\GitHub\mrs-test-scripts\Headless Mode &amp; Sideloading\WalkAndUnGZ.bat" "%USERPROFILE%\AppData\Local\Temp\OnboardLogs"\RTDC4041\2016-08-27 &amp; 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</v>
      </c>
      <c r="AF82" s="96" t="str">
        <f>astrogrep_path&amp;" /spath="&amp;search_path&amp;" /stypes=""*"&amp;B82&amp;"*"&amp;TEXT(I82-utc_offset/24,"YYYYMMDD")&amp;"*"" /stext="" "&amp;TEXT(I82-utc_offset/24,"HH")&amp;search_regexp&amp;""" /e /r /s"</f>
        <v>"C:\Program Files (x86)\AstroGrep\AstroGrep.exe" /spath="%USERPROFILE%\AppData\Local\Temp\OnboardLogs" /stypes="*4041*20160827*" /stext=" 19:.+((SYSTEM_STATE.+slice.+state.+changed )|(ment ac)|(system.+state.+changed )|(\|lc)|(penalty)|(\[timeout)|(PRM\|1\|D)|(kpr)|(kdp))" /e /r /s</v>
      </c>
      <c r="AG82" s="1" t="str">
        <f>IFERROR(IF(VALUE(LEFT(AD82,2))&lt;=2,"EC",IF(OR(VALUE(LEFT(AD82,2))=8,VALUE(LEFT(AD82,2))=18),"NW","Other")),"Other")</f>
        <v>EC</v>
      </c>
      <c r="AH82" s="100" t="str">
        <f t="shared" si="0"/>
        <v>"%USERPROFILE%\Documents\GitHub\eaglep3\Utilities\RefineRTDCRunTimes.py" --tripid 166-27 --locoid 4041 --swversion DE.1.0.7.0 --startMP 204:233040 --initTime 2016-08-27T12:32:50 --startdatetime 2016-08-27T12:41:14 --delay 1 --endMP 204:154 --enddatetime 2016-08-27T13:20:37 --enforcementcount 0 &gt;&gt;C:\Users\stu\Documents\GitHub\eaglep3-reporting\EC\2016-08-27-refined-times.txt</v>
      </c>
      <c r="AI82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{"issue":{"subject":"","project_id":79,"tracker_id":40,"status_id":1,"priority_id":2,"assigned_to_id":23,"start_date":"2016-08-27","description":"","custom_fields":[{"id":1,"name":"Subdivision","value":"EC"},{"id":4,"name":"Milepost","value":"23.2886"},{"id":17,"name":"Train ID","value":"166-27"},{"id":16,"name":"Locomotive ID","value":"4041"},{"id":130,"name":"Impact","value":""},{"id":150,"name":"Time of Event (Mountain Time)","value":"13:20:37"},{"id":151,"name":"Denver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23" customFormat="1" x14ac:dyDescent="0.25">
      <c r="A83" s="39" t="s">
        <v>684</v>
      </c>
      <c r="B83" s="7"/>
      <c r="C83" s="24"/>
      <c r="D83" s="24"/>
      <c r="E83" s="15"/>
      <c r="F83" s="15"/>
      <c r="G83" s="7"/>
      <c r="H83" s="15"/>
      <c r="I83" s="15"/>
      <c r="J83" s="7">
        <v>0</v>
      </c>
      <c r="K83" s="132" t="str">
        <f t="shared" ref="K83:K84" si="62">IF(ISEVEN(B83),(B83-1)&amp;"/"&amp;B83,B83&amp;"/"&amp;(B83+1))</f>
        <v>-1/</v>
      </c>
      <c r="L83" s="24" t="str">
        <f>VLOOKUP(A83,'Trips&amp;Operators'!$C$1:$E$10000,3,FALSE)</f>
        <v>BROWN</v>
      </c>
      <c r="M83" s="6">
        <f t="shared" ref="M83:M84" si="63">I83-F83</f>
        <v>0</v>
      </c>
      <c r="N83" s="7"/>
      <c r="O83" s="7"/>
      <c r="P83" s="7">
        <v>1</v>
      </c>
      <c r="Q83" s="25"/>
      <c r="R83" s="25" t="s">
        <v>706</v>
      </c>
      <c r="S83" s="37">
        <f t="shared" ref="S83:S84" si="64">SUM(U83:U83)/IF(AG83="EC",12,1)</f>
        <v>0</v>
      </c>
      <c r="T83" s="52" t="str">
        <f t="shared" ref="T83:T84" si="65">IF(ISEVEN(LEFT(AD83,4)),"Southbound","NorthBound")</f>
        <v>NorthBound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0</v>
      </c>
      <c r="V83" s="106" t="e">
        <f t="shared" ref="V83:V84" si="66">"https://search-rtdc-monitor-bjffxe2xuh6vdkpspy63sjmuny.us-east-1.es.amazonaws.com/_plugin/kibana/#/discover/Steve-Slow-Train-Analysis-(2080s-and-2083s)?_g=(refreshInterval:(display:Off,section:0,value:0),time:(from:'"&amp;TEXT(E83-1/24,"yyyy-MM-DD hh:mm:ss")&amp;"-0600',mode:absolute,to:'"&amp;TEXT(I83+1/24,"yyyy-MM-DD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83&amp;"%22')),sort:!(Time,asc))"</f>
        <v>#VALUE!</v>
      </c>
      <c r="W83" s="54" t="e">
        <f t="shared" ref="W83:W84" si="67">IF(AA83&lt;IF(AG83="EC",23,5.65),"Y","N")</f>
        <v>#VALUE!</v>
      </c>
      <c r="X83" s="120">
        <f t="shared" ref="X83:X85" si="68">VALUE(LEFT(AD83,4))-VALUE(LEFT(AD82,4))</f>
        <v>1</v>
      </c>
      <c r="Y83" s="69" t="e">
        <f t="shared" ref="Y83:Y84" si="69">RIGHT(D83,LEN(D83)-4)/10000</f>
        <v>#VALUE!</v>
      </c>
      <c r="Z83" s="69" t="e">
        <f t="shared" ref="Z83:Z84" si="70">RIGHT(H83,LEN(H83)-4)/10000</f>
        <v>#VALUE!</v>
      </c>
      <c r="AA83" s="69" t="e">
        <f t="shared" ref="AA83:AA84" si="71">ABS(Z83-Y83)</f>
        <v>#VALUE!</v>
      </c>
      <c r="AB83" s="66" t="e">
        <f>VLOOKUP(A83,Enforcements!$C$7:$J$21,8,0)</f>
        <v>#N/A</v>
      </c>
      <c r="AC83" s="62" t="e">
        <f>VLOOKUP(A83,Enforcements!$C$7:$E$21,3,0)</f>
        <v>#N/A</v>
      </c>
      <c r="AD83" s="63" t="str">
        <f t="shared" ref="AD83:AD84" si="72">IF(LEN(A83)=6,"0"&amp;A83,A83)</f>
        <v>0167-27</v>
      </c>
      <c r="AE83" s="99" t="str">
        <f>"aws s3 cp "&amp;s3_bucket&amp;"/RTDC"&amp;B83&amp;"/"&amp;TEXT(F83,"YYYY-MM-DD")&amp;"/ "&amp;search_path&amp;"\RTDC"&amp;B83&amp;"\"&amp;TEXT(F83,"YYYY-MM-DD")&amp;" --recursive &amp; """&amp;walkandungz&amp;""" "&amp;search_path&amp;"\RTDC"&amp;B83&amp;"\"&amp;TEXT(F83,"YYYY-MM-DD")
&amp;" &amp; "&amp;"aws s3 cp "&amp;s3_bucket&amp;"/RTDC"&amp;B83&amp;"/"&amp;TEXT(F83+1,"YYYY-MM-DD")&amp;"/ "&amp;search_path&amp;"\RTDC"&amp;B83&amp;"\"&amp;TEXT(F83+1,"YYYY-MM-DD")&amp;" --recursive &amp; """&amp;walkandungz&amp;""" "&amp;search_path&amp;"\RTDC"&amp;B83&amp;"\"&amp;TEXT(F83+1,"YYYY-MM-DD")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83" s="96" t="str">
        <f>astrogrep_path&amp;" /spath="&amp;search_path&amp;" /stypes=""*"&amp;B83&amp;"*"&amp;TEXT(I83-utc_offset/24,"YYYYMMDD")&amp;"*"" /stext="" "&amp;TEXT(I83-utc_offset/24,"HH")&amp;search_regexp&amp;""" /e /r /s"</f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83" s="1" t="str">
        <f t="shared" ref="AG83:AG84" si="73">IFERROR(IF(VALUE(LEFT(AD83,2))&lt;=2,"EC",IF(OR(VALUE(LEFT(AD83,2))=8,VALUE(LEFT(AD83,2))=18),"NW","Other")),"Other")</f>
        <v>EC</v>
      </c>
      <c r="AH83" s="100" t="str">
        <f t="shared" ref="AH83:AH84" si="74">refinertdcruntimes&amp;" --tripid "&amp;A83&amp;" --locoid "&amp;B83&amp;" --swversion "&amp;C83&amp;" --startMP "&amp;D83&amp;" --initTime "&amp;TEXT(E83,"yyyy-mm-ddTHH:MM:SS")&amp;" --startdatetime "&amp;TEXT(F83,"yyyy-mm-ddTHH:MM:SS")&amp;" --delay "&amp;G83&amp;" --endMP "&amp;H83&amp;" --enddatetime "&amp;TEXT(I83,"yyyy-mm-ddTHH:MM:SS")&amp;" --enforcementcount "&amp;J83&amp;IF(outputrefinedruntimes," &gt;&gt;"&amp;RefinedRTDCRunTimesOutputFile,"")</f>
        <v>"%USERPROFILE%\Documents\GitHub\eaglep3\Utilities\RefineRTDCRunTimes.py" --tripid 167-27 --locoid  --swversion  --startMP  --initTime 1900-01-00T00:00:00 --startdatetime 1900-01-00T00:00:00 --delay  --endMP  --enddatetime 1900-01-00T00:00:00 --enforcementcount 0 &gt;&gt;C:\Users\stu\Documents\GitHub\eaglep3-reporting\EC\2016-08-27-refined-times.txt</v>
      </c>
      <c r="AI83" s="149" t="e">
        <f t="shared" ref="AI83:AI84" si="75">"echo {""issue"":{""subject"":"""&amp;R83&amp;""",""project_id"":79,""tracker_id"":40,""status_id"":"&amp;redmine_status&amp;",""priority_id"":"&amp;redmine_priority&amp;",""assigned_to_id"":"&amp;redmine_assignee&amp;",""start_date"":"""&amp;TEXT(I83,"YYYY-mm-dd")&amp;""",""description"":"""&amp;AJ83&amp;""",""custom_fields"":[{""id"":1,""name"":""Subdivision"",""value"":"""&amp;AG83&amp;"""},{""id"":4,""name"":""Milepost"",""value"":"""&amp;AA83&amp;"""},{""id"":17,""name"":""Train ID"",""value"":"""&amp;A83&amp;"""},{""id"":16,""name"":""Locomotive ID"",""value"":"""&amp;B83&amp;"""},{""id"":130,""name"":""Impact"",""value"":"""&amp;AK83&amp;"""},{""id"":150,""name"":""Time of Event (Mountain Time)"",""value"":"""&amp;TEXT(I83,"hh:mm:ss")&amp;"""},{""id"":151,""name"":""Denver Issue ID"",""value"":"""&amp;"""},{""id"":178,""name"":""Operational Impact"",""value"":"""&amp;redmine_op_impact&amp;"""},{""id"":179,""name"":""Denver Segment Assigned"",""value"":"""&amp;AL83&amp;"""}]}}"&amp;" | curl -X POST -H ""Content-Type: application/json"" -H ""X-Redmine-API-Key: "&amp;redm_api_key&amp;""" "&amp;redm_url&amp;" --data @-"</f>
        <v>#VALUE!</v>
      </c>
      <c r="AJ83" s="55"/>
      <c r="AK83" s="55"/>
      <c r="AL83" s="55"/>
    </row>
    <row r="84" spans="1:38" s="23" customFormat="1" x14ac:dyDescent="0.25">
      <c r="A84" s="39" t="s">
        <v>685</v>
      </c>
      <c r="B84" s="7"/>
      <c r="C84" s="24"/>
      <c r="D84" s="24"/>
      <c r="E84" s="15"/>
      <c r="F84" s="15"/>
      <c r="G84" s="7"/>
      <c r="H84" s="15"/>
      <c r="I84" s="15"/>
      <c r="J84" s="7">
        <v>0</v>
      </c>
      <c r="K84" s="132" t="str">
        <f t="shared" si="62"/>
        <v>-1/</v>
      </c>
      <c r="L84" s="24" t="str">
        <f>VLOOKUP(A84,'Trips&amp;Operators'!$C$1:$E$10000,3,FALSE)</f>
        <v>BROWN</v>
      </c>
      <c r="M84" s="6">
        <f t="shared" si="63"/>
        <v>0</v>
      </c>
      <c r="N84" s="7"/>
      <c r="O84" s="7"/>
      <c r="P84" s="7">
        <v>1</v>
      </c>
      <c r="Q84" s="25"/>
      <c r="R84" s="25" t="s">
        <v>706</v>
      </c>
      <c r="S84" s="37">
        <f t="shared" si="64"/>
        <v>0</v>
      </c>
      <c r="T84" s="52" t="str">
        <f t="shared" si="65"/>
        <v>Southbound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0</v>
      </c>
      <c r="V84" s="106" t="e">
        <f t="shared" si="66"/>
        <v>#VALUE!</v>
      </c>
      <c r="W84" s="54" t="e">
        <f t="shared" si="67"/>
        <v>#VALUE!</v>
      </c>
      <c r="X84" s="120">
        <f t="shared" si="68"/>
        <v>1</v>
      </c>
      <c r="Y84" s="69" t="e">
        <f t="shared" si="69"/>
        <v>#VALUE!</v>
      </c>
      <c r="Z84" s="69" t="e">
        <f t="shared" si="70"/>
        <v>#VALUE!</v>
      </c>
      <c r="AA84" s="69" t="e">
        <f t="shared" si="71"/>
        <v>#VALUE!</v>
      </c>
      <c r="AB84" s="66" t="e">
        <f>VLOOKUP(A84,Enforcements!$C$7:$J$21,8,0)</f>
        <v>#N/A</v>
      </c>
      <c r="AC84" s="62" t="e">
        <f>VLOOKUP(A84,Enforcements!$C$7:$E$21,3,0)</f>
        <v>#N/A</v>
      </c>
      <c r="AD84" s="63" t="str">
        <f t="shared" si="72"/>
        <v>0168-27</v>
      </c>
      <c r="AE84" s="99" t="str">
        <f>"aws s3 cp "&amp;s3_bucket&amp;"/RTDC"&amp;B84&amp;"/"&amp;TEXT(F84,"YYYY-MM-DD")&amp;"/ "&amp;search_path&amp;"\RTDC"&amp;B84&amp;"\"&amp;TEXT(F84,"YYYY-MM-DD")&amp;" --recursive &amp; """&amp;walkandungz&amp;""" "&amp;search_path&amp;"\RTDC"&amp;B84&amp;"\"&amp;TEXT(F84,"YYYY-MM-DD")
&amp;" &amp; "&amp;"aws s3 cp "&amp;s3_bucket&amp;"/RTDC"&amp;B84&amp;"/"&amp;TEXT(F84+1,"YYYY-MM-DD")&amp;"/ "&amp;search_path&amp;"\RTDC"&amp;B84&amp;"\"&amp;TEXT(F84+1,"YYYY-MM-DD")&amp;" --recursive &amp; """&amp;walkandungz&amp;""" "&amp;search_path&amp;"\RTDC"&amp;B84&amp;"\"&amp;TEXT(F84+1,"YYYY-MM-DD")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84" s="96" t="str">
        <f>astrogrep_path&amp;" /spath="&amp;search_path&amp;" /stypes=""*"&amp;B84&amp;"*"&amp;TEXT(I84-utc_offset/24,"YYYYMMDD")&amp;"*"" /stext="" "&amp;TEXT(I84-utc_offset/24,"HH")&amp;search_regexp&amp;""" /e /r /s"</f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84" s="1" t="str">
        <f t="shared" si="73"/>
        <v>EC</v>
      </c>
      <c r="AH84" s="100" t="str">
        <f t="shared" si="74"/>
        <v>"%USERPROFILE%\Documents\GitHub\eaglep3\Utilities\RefineRTDCRunTimes.py" --tripid 168-27 --locoid  --swversion  --startMP  --initTime 1900-01-00T00:00:00 --startdatetime 1900-01-00T00:00:00 --delay  --endMP  --enddatetime 1900-01-00T00:00:00 --enforcementcount 0 &gt;&gt;C:\Users\stu\Documents\GitHub\eaglep3-reporting\EC\2016-08-27-refined-times.txt</v>
      </c>
      <c r="AI84" s="149" t="e">
        <f t="shared" si="75"/>
        <v>#VALUE!</v>
      </c>
      <c r="AJ84" s="55"/>
      <c r="AK84" s="55"/>
      <c r="AL84" s="55"/>
    </row>
    <row r="85" spans="1:38" x14ac:dyDescent="0.25">
      <c r="A85" s="39" t="s">
        <v>483</v>
      </c>
      <c r="B85" s="7">
        <v>4014</v>
      </c>
      <c r="C85" s="24" t="s">
        <v>113</v>
      </c>
      <c r="D85" s="24" t="s">
        <v>265</v>
      </c>
      <c r="E85" s="15">
        <v>42609.507974537039</v>
      </c>
      <c r="F85" s="15">
        <v>42609.512557870374</v>
      </c>
      <c r="G85" s="7">
        <v>1</v>
      </c>
      <c r="H85" s="15" t="s">
        <v>210</v>
      </c>
      <c r="I85" s="15">
        <v>42609.543981481482</v>
      </c>
      <c r="J85" s="7">
        <v>0</v>
      </c>
      <c r="K85" s="132" t="str">
        <f>IF(ISEVEN(B85),(B85-1)&amp;"/"&amp;B85,B85&amp;"/"&amp;(B85+1))</f>
        <v>4013/4014</v>
      </c>
      <c r="L85" s="24" t="str">
        <f>VLOOKUP(A85,'Trips&amp;Operators'!$C$1:$E$10000,3,FALSE)</f>
        <v>STORY</v>
      </c>
      <c r="M85" s="6">
        <f>I85-F85</f>
        <v>3.142361110803904E-2</v>
      </c>
      <c r="N85" s="7">
        <f>24*60*SUM($M85:$M85)</f>
        <v>45.249999995576218</v>
      </c>
      <c r="O85" s="7"/>
      <c r="P85" s="7"/>
      <c r="Q85" s="25"/>
      <c r="R85" s="25"/>
      <c r="S85" s="37">
        <f>SUM(U85:U85)/IF(AG85="EC",12,1)</f>
        <v>1</v>
      </c>
      <c r="T85" s="52" t="str">
        <f>IF(ISEVEN(LEFT(AD85,4)),"Southbound","NorthBound")</f>
        <v>NorthBound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hh:mm:ss")&amp;"-0600',mode:absolute,to:'"&amp;TEXT(I85+1/24,"yyyy-MM-DD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https://search-rtdc-monitor-bjffxe2xuh6vdkpspy63sjmuny.us-east-1.es.amazonaws.com/_plugin/kibana/#/discover/Steve-Slow-Train-Analysis-(2080s-and-2083s)?_g=(refreshInterval:(display:Off,section:0,value:0),time:(from:'2016-08-27 11:11:29-0600',mode:absolute,to:'2016-08-27 14:03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85" s="54" t="str">
        <f>IF(AA85&lt;IF(AG85="EC",23,5.65),"Y","N")</f>
        <v>N</v>
      </c>
      <c r="X85" s="120">
        <f t="shared" si="68"/>
        <v>1</v>
      </c>
      <c r="Y85" s="69">
        <f>RIGHT(D85,LEN(D85)-4)/10000</f>
        <v>4.3999999999999997E-2</v>
      </c>
      <c r="Z85" s="69">
        <f>RIGHT(H85,LEN(H85)-4)/10000</f>
        <v>23.332000000000001</v>
      </c>
      <c r="AA85" s="69">
        <f>ABS(Z85-Y85)</f>
        <v>23.288</v>
      </c>
      <c r="AB85" s="66">
        <f>VLOOKUP(A85,Enforcements!$C$7:$J$21,8,0)</f>
        <v>183829</v>
      </c>
      <c r="AC85" s="62" t="str">
        <f>VLOOKUP(A85,Enforcements!$C$7:$E$21,3,0)</f>
        <v>PERMANENT SPEED RESTRICTION</v>
      </c>
      <c r="AD85" s="63" t="str">
        <f>IF(LEN(A85)=6,"0"&amp;A85,A85)</f>
        <v>0169-27</v>
      </c>
      <c r="AE85" s="99" t="str">
        <f>"aws s3 cp "&amp;s3_bucket&amp;"/RTDC"&amp;B85&amp;"/"&amp;TEXT(F85,"YYYY-MM-DD")&amp;"/ "&amp;search_path&amp;"\RTDC"&amp;B85&amp;"\"&amp;TEXT(F85,"YYYY-MM-DD")&amp;" --recursive &amp; """&amp;walkandungz&amp;""" "&amp;search_path&amp;"\RTDC"&amp;B85&amp;"\"&amp;TEXT(F85,"YYYY-MM-DD")
&amp;" &amp; "&amp;"aws s3 cp "&amp;s3_bucket&amp;"/RTDC"&amp;B85&amp;"/"&amp;TEXT(F85+1,"YYYY-MM-DD")&amp;"/ "&amp;search_path&amp;"\RTDC"&amp;B85&amp;"\"&amp;TEXT(F85+1,"YYYY-MM-DD")&amp;" --recursive &amp; """&amp;walkandungz&amp;""" "&amp;search_path&amp;"\RTDC"&amp;B85&amp;"\"&amp;TEXT(F85+1,"YYYY-MM-DD")</f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AF85" s="96" t="str">
        <f>astrogrep_path&amp;" /spath="&amp;search_path&amp;" /stypes=""*"&amp;B85&amp;"*"&amp;TEXT(I85-utc_offset/24,"YYYYMMDD")&amp;"*"" /stext="" "&amp;TEXT(I85-utc_offset/24,"HH")&amp;search_regexp&amp;""" /e /r /s"</f>
        <v>"C:\Program Files (x86)\AstroGrep\AstroGrep.exe" /spath="%USERPROFILE%\AppData\Local\Temp\OnboardLogs" /stypes="*4014*20160827*" /stext=" 19:.+((SYSTEM_STATE.+slice.+state.+changed )|(ment ac)|(system.+state.+changed )|(\|lc)|(penalty)|(\[timeout)|(PRM\|1\|D)|(kpr)|(kdp))" /e /r /s</v>
      </c>
      <c r="AG85" s="1" t="str">
        <f>IFERROR(IF(VALUE(LEFT(AD85,2))&lt;=2,"EC",IF(OR(VALUE(LEFT(AD85,2))=8,VALUE(LEFT(AD85,2))=18),"NW","Other")),"Other")</f>
        <v>EC</v>
      </c>
      <c r="AH85" s="100" t="str">
        <f t="shared" si="0"/>
        <v>"%USERPROFILE%\Documents\GitHub\eaglep3\Utilities\RefineRTDCRunTimes.py" --tripid 169-27 --locoid 4014 --swversion DE.1.0.7.0 --startMP 204:440 --initTime 2016-08-27T12:11:29 --startdatetime 2016-08-27T12:18:05 --delay 1 --endMP 204:233320 --enddatetime 2016-08-27T13:03:20 --enforcementcount 0 &gt;&gt;C:\Users\stu\Documents\GitHub\eaglep3-reporting\EC\2016-08-27-refined-times.txt</v>
      </c>
      <c r="AI85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{"issue":{"subject":"","project_id":79,"tracker_id":40,"status_id":1,"priority_id":2,"assigned_to_id":23,"start_date":"2016-08-27","description":"","custom_fields":[{"id":1,"name":"Subdivision","value":"EC"},{"id":4,"name":"Milepost","value":"23.288"},{"id":17,"name":"Train ID","value":"169-27"},{"id":16,"name":"Locomotive ID","value":"4014"},{"id":130,"name":"Impact","value":""},{"id":150,"name":"Time of Event (Mountain Time)","value":"13:03:20"},{"id":151,"name":"Denver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x14ac:dyDescent="0.25">
      <c r="A86" s="39" t="s">
        <v>484</v>
      </c>
      <c r="B86" s="7">
        <v>4013</v>
      </c>
      <c r="C86" s="24" t="s">
        <v>113</v>
      </c>
      <c r="D86" s="24" t="s">
        <v>193</v>
      </c>
      <c r="E86" s="15">
        <v>42609.545057870368</v>
      </c>
      <c r="F86" s="15">
        <v>42609.549479166664</v>
      </c>
      <c r="G86" s="7">
        <v>1</v>
      </c>
      <c r="H86" s="15" t="s">
        <v>485</v>
      </c>
      <c r="I86" s="15">
        <v>42609.577372685184</v>
      </c>
      <c r="J86" s="7">
        <v>0</v>
      </c>
      <c r="K86" s="132" t="str">
        <f>IF(ISEVEN(B86),(B86-1)&amp;"/"&amp;B86,B86&amp;"/"&amp;(B86+1))</f>
        <v>4013/4014</v>
      </c>
      <c r="L86" s="24" t="str">
        <f>VLOOKUP(A86,'Trips&amp;Operators'!$C$1:$E$10000,3,FALSE)</f>
        <v>STORY</v>
      </c>
      <c r="M86" s="6">
        <f>I86-F86</f>
        <v>2.789351851970423E-2</v>
      </c>
      <c r="N86" s="7">
        <f>24*60*SUM($M86:$M86)</f>
        <v>40.166666668374091</v>
      </c>
      <c r="O86" s="7"/>
      <c r="P86" s="7"/>
      <c r="Q86" s="25"/>
      <c r="R86" s="25"/>
      <c r="S86" s="37">
        <f>SUM(U86:U86)/IF(AG86="EC",12,1)</f>
        <v>1</v>
      </c>
      <c r="T86" s="52" t="str">
        <f>IF(ISEVEN(LEFT(AD86,4)),"Southbound","NorthBound")</f>
        <v>Southbound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hh:mm:ss")&amp;"-0600',mode:absolute,to:'"&amp;TEXT(I86+1/24,"yyyy-MM-DD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https://search-rtdc-monitor-bjffxe2xuh6vdkpspy63sjmuny.us-east-1.es.amazonaws.com/_plugin/kibana/#/discover/Steve-Slow-Train-Analysis-(2080s-and-2083s)?_g=(refreshInterval:(display:Off,section:0,value:0),time:(from:'2016-08-27 12:04:53-0600',mode:absolute,to:'2016-08-27 14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86" s="54" t="str">
        <f>IF(AA86&lt;IF(AG86="EC",23,5.65),"Y","N")</f>
        <v>N</v>
      </c>
      <c r="X86" s="120">
        <f>VALUE(LEFT(AD86,4))-VALUE(LEFT(AD85,4))</f>
        <v>1</v>
      </c>
      <c r="Y86" s="69">
        <f>RIGHT(D86,LEN(D86)-4)/10000</f>
        <v>23.299199999999999</v>
      </c>
      <c r="Z86" s="69">
        <f>RIGHT(H86,LEN(H86)-4)/10000</f>
        <v>1.2699999999999999E-2</v>
      </c>
      <c r="AA86" s="69">
        <f>ABS(Z86-Y86)</f>
        <v>23.2865</v>
      </c>
      <c r="AB86" s="66" t="e">
        <f>VLOOKUP(A86,Enforcements!$C$7:$J$21,8,0)</f>
        <v>#N/A</v>
      </c>
      <c r="AC86" s="62" t="e">
        <f>VLOOKUP(A86,Enforcements!$C$7:$E$21,3,0)</f>
        <v>#N/A</v>
      </c>
      <c r="AD86" s="63" t="str">
        <f>IF(LEN(A86)=6,"0"&amp;A86,A86)</f>
        <v>0170-27</v>
      </c>
      <c r="AE86" s="99" t="str">
        <f>"aws s3 cp "&amp;s3_bucket&amp;"/RTDC"&amp;B86&amp;"/"&amp;TEXT(F86,"YYYY-MM-DD")&amp;"/ "&amp;search_path&amp;"\RTDC"&amp;B86&amp;"\"&amp;TEXT(F86,"YYYY-MM-DD")&amp;" --recursive &amp; """&amp;walkandungz&amp;""" "&amp;search_path&amp;"\RTDC"&amp;B86&amp;"\"&amp;TEXT(F86,"YYYY-MM-DD")
&amp;" &amp; "&amp;"aws s3 cp "&amp;s3_bucket&amp;"/RTDC"&amp;B86&amp;"/"&amp;TEXT(F86+1,"YYYY-MM-DD")&amp;"/ "&amp;search_path&amp;"\RTDC"&amp;B86&amp;"\"&amp;TEXT(F86+1,"YYYY-MM-DD")&amp;" --recursive &amp; """&amp;walkandungz&amp;""" "&amp;search_path&amp;"\RTDC"&amp;B86&amp;"\"&amp;TEXT(F86+1,"YYYY-MM-DD")</f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AF86" s="96" t="str">
        <f>astrogrep_path&amp;" /spath="&amp;search_path&amp;" /stypes=""*"&amp;B86&amp;"*"&amp;TEXT(I86-utc_offset/24,"YYYYMMDD")&amp;"*"" /stext="" "&amp;TEXT(I86-utc_offset/24,"HH")&amp;search_regexp&amp;""" /e /r /s"</f>
        <v>"C:\Program Files (x86)\AstroGrep\AstroGrep.exe" /spath="%USERPROFILE%\AppData\Local\Temp\OnboardLogs" /stypes="*4013*20160827*" /stext=" 19:.+((SYSTEM_STATE.+slice.+state.+changed )|(ment ac)|(system.+state.+changed )|(\|lc)|(penalty)|(\[timeout)|(PRM\|1\|D)|(kpr)|(kdp))" /e /r /s</v>
      </c>
      <c r="AG86" s="1" t="str">
        <f>IFERROR(IF(VALUE(LEFT(AD86,2))&lt;=2,"EC",IF(OR(VALUE(LEFT(AD86,2))=8,VALUE(LEFT(AD86,2))=18),"NW","Other")),"Other")</f>
        <v>EC</v>
      </c>
      <c r="AH86" s="100" t="str">
        <f t="shared" si="0"/>
        <v>"%USERPROFILE%\Documents\GitHub\eaglep3\Utilities\RefineRTDCRunTimes.py" --tripid 170-27 --locoid 4013 --swversion DE.1.0.7.0 --startMP 204:232992 --initTime 2016-08-27T13:04:53 --startdatetime 2016-08-27T13:11:15 --delay 1 --endMP 204:127 --enddatetime 2016-08-27T13:51:25 --enforcementcount 0 &gt;&gt;C:\Users\stu\Documents\GitHub\eaglep3-reporting\EC\2016-08-27-refined-times.txt</v>
      </c>
      <c r="AI86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{"issue":{"subject":"","project_id":79,"tracker_id":40,"status_id":1,"priority_id":2,"assigned_to_id":23,"start_date":"2016-08-27","description":"","custom_fields":[{"id":1,"name":"Subdivision","value":"EC"},{"id":4,"name":"Milepost","value":"23.2865"},{"id":17,"name":"Train ID","value":"170-27"},{"id":16,"name":"Locomotive ID","value":"4013"},{"id":130,"name":"Impact","value":""},{"id":150,"name":"Time of Event (Mountain Time)","value":"13:51:25"},{"id":151,"name":"Denver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23" customFormat="1" x14ac:dyDescent="0.25">
      <c r="A87" s="39" t="s">
        <v>486</v>
      </c>
      <c r="B87" s="7">
        <v>4025</v>
      </c>
      <c r="C87" s="24" t="s">
        <v>113</v>
      </c>
      <c r="D87" s="24" t="s">
        <v>133</v>
      </c>
      <c r="E87" s="15">
        <v>42609.517766203702</v>
      </c>
      <c r="F87" s="15">
        <v>42609.52138888889</v>
      </c>
      <c r="G87" s="7">
        <v>1</v>
      </c>
      <c r="H87" s="15" t="s">
        <v>336</v>
      </c>
      <c r="I87" s="15">
        <v>42609.547337962962</v>
      </c>
      <c r="J87" s="7">
        <v>0</v>
      </c>
      <c r="K87" s="132" t="str">
        <f>IF(ISEVEN(B87),(B87-1)&amp;"/"&amp;B87,B87&amp;"/"&amp;(B87+1))</f>
        <v>4025/4026</v>
      </c>
      <c r="L87" s="24" t="str">
        <f>VLOOKUP(A87,'Trips&amp;Operators'!$C$1:$E$10000,3,FALSE)</f>
        <v>WEBSTER</v>
      </c>
      <c r="M87" s="6">
        <f>I87-F87</f>
        <v>2.5949074071832001E-2</v>
      </c>
      <c r="N87" s="7">
        <f>24*60*SUM($M87:$M87)</f>
        <v>37.366666663438082</v>
      </c>
      <c r="O87" s="7"/>
      <c r="P87" s="7"/>
      <c r="Q87" s="25"/>
      <c r="R87" s="25"/>
      <c r="S87" s="37">
        <f>SUM(U87:U87)/IF(AG87="EC",12,1)</f>
        <v>1</v>
      </c>
      <c r="T87" s="52" t="str">
        <f>IF(ISEVEN(LEFT(AD87,4)),"Southbound","NorthBound")</f>
        <v>NorthBound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hh:mm:ss")&amp;"-0600',mode:absolute,to:'"&amp;TEXT(I87+1/24,"yyyy-MM-DD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https://search-rtdc-monitor-bjffxe2xuh6vdkpspy63sjmuny.us-east-1.es.amazonaws.com/_plugin/kibana/#/discover/Steve-Slow-Train-Analysis-(2080s-and-2083s)?_g=(refreshInterval:(display:Off,section:0,value:0),time:(from:'2016-08-27 11:25:35-0600',mode:absolute,to:'2016-08-27 14:08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87" s="54" t="str">
        <f>IF(AA87&lt;IF(AG87="EC",23,5.65),"Y","N")</f>
        <v>N</v>
      </c>
      <c r="X87" s="120">
        <f>VALUE(LEFT(AD87,4))-VALUE(LEFT(AD86,4))</f>
        <v>1</v>
      </c>
      <c r="Y87" s="69">
        <f>RIGHT(D87,LEN(D87)-4)/10000</f>
        <v>4.53E-2</v>
      </c>
      <c r="Z87" s="69">
        <f>RIGHT(H87,LEN(H87)-4)/10000</f>
        <v>23.328099999999999</v>
      </c>
      <c r="AA87" s="69">
        <f>ABS(Z87-Y87)</f>
        <v>23.282799999999998</v>
      </c>
      <c r="AB87" s="66" t="e">
        <f>VLOOKUP(A87,Enforcements!$C$7:$J$21,8,0)</f>
        <v>#N/A</v>
      </c>
      <c r="AC87" s="62" t="e">
        <f>VLOOKUP(A87,Enforcements!$C$7:$E$21,3,0)</f>
        <v>#N/A</v>
      </c>
      <c r="AD87" s="63" t="str">
        <f>IF(LEN(A87)=6,"0"&amp;A87,A87)</f>
        <v>0171-27</v>
      </c>
      <c r="AE87" s="99" t="str">
        <f>"aws s3 cp "&amp;s3_bucket&amp;"/RTDC"&amp;B87&amp;"/"&amp;TEXT(F87,"YYYY-MM-DD")&amp;"/ "&amp;search_path&amp;"\RTDC"&amp;B87&amp;"\"&amp;TEXT(F87,"YYYY-MM-DD")&amp;" --recursive &amp; """&amp;walkandungz&amp;""" "&amp;search_path&amp;"\RTDC"&amp;B87&amp;"\"&amp;TEXT(F87,"YYYY-MM-DD")
&amp;" &amp; "&amp;"aws s3 cp "&amp;s3_bucket&amp;"/RTDC"&amp;B87&amp;"/"&amp;TEXT(F87+1,"YYYY-MM-DD")&amp;"/ "&amp;search_path&amp;"\RTDC"&amp;B87&amp;"\"&amp;TEXT(F87+1,"YYYY-MM-DD")&amp;" --recursive &amp; """&amp;walkandungz&amp;""" "&amp;search_path&amp;"\RTDC"&amp;B87&amp;"\"&amp;TEXT(F87+1,"YYYY-MM-DD")</f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87" s="96" t="str">
        <f>astrogrep_path&amp;" /spath="&amp;search_path&amp;" /stypes=""*"&amp;B87&amp;"*"&amp;TEXT(I87-utc_offset/24,"YYYYMMDD")&amp;"*"" /stext="" "&amp;TEXT(I87-utc_offset/24,"HH")&amp;search_regexp&amp;""" /e /r /s"</f>
        <v>"C:\Program Files (x86)\AstroGrep\AstroGrep.exe" /spath="%USERPROFILE%\AppData\Local\Temp\OnboardLogs" /stypes="*4025*20160827*" /stext=" 19:.+((SYSTEM_STATE.+slice.+state.+changed )|(ment ac)|(system.+state.+changed )|(\|lc)|(penalty)|(\[timeout)|(PRM\|1\|D)|(kpr)|(kdp))" /e /r /s</v>
      </c>
      <c r="AG87" s="1" t="str">
        <f>IFERROR(IF(VALUE(LEFT(AD87,2))&lt;=2,"EC",IF(OR(VALUE(LEFT(AD87,2))=8,VALUE(LEFT(AD87,2))=18),"NW","Other")),"Other")</f>
        <v>EC</v>
      </c>
      <c r="AH87" s="100" t="str">
        <f t="shared" si="0"/>
        <v>"%USERPROFILE%\Documents\GitHub\eaglep3\Utilities\RefineRTDCRunTimes.py" --tripid 171-27 --locoid 4025 --swversion DE.1.0.7.0 --startMP 204:453 --initTime 2016-08-27T12:25:35 --startdatetime 2016-08-27T12:30:48 --delay 1 --endMP 204:233281 --enddatetime 2016-08-27T13:08:10 --enforcementcount 0 &gt;&gt;C:\Users\stu\Documents\GitHub\eaglep3-reporting\EC\2016-08-27-refined-times.txt</v>
      </c>
      <c r="AI87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{"issue":{"subject":"","project_id":79,"tracker_id":40,"status_id":1,"priority_id":2,"assigned_to_id":23,"start_date":"2016-08-27","description":"","custom_fields":[{"id":1,"name":"Subdivision","value":"EC"},{"id":4,"name":"Milepost","value":"23.2828"},{"id":17,"name":"Train ID","value":"171-27"},{"id":16,"name":"Locomotive ID","value":"4025"},{"id":130,"name":"Impact","value":""},{"id":150,"name":"Time of Event (Mountain Time)","value":"13:08:10"},{"id":151,"name":"Denver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x14ac:dyDescent="0.25">
      <c r="A88" s="39" t="s">
        <v>487</v>
      </c>
      <c r="B88" s="7">
        <v>4026</v>
      </c>
      <c r="C88" s="24" t="s">
        <v>113</v>
      </c>
      <c r="D88" s="24" t="s">
        <v>134</v>
      </c>
      <c r="E88" s="15">
        <v>42609.556851851848</v>
      </c>
      <c r="F88" s="15">
        <v>42609.560231481482</v>
      </c>
      <c r="G88" s="7">
        <v>1</v>
      </c>
      <c r="H88" s="15" t="s">
        <v>257</v>
      </c>
      <c r="I88" s="15">
        <v>42609.588136574072</v>
      </c>
      <c r="J88" s="7">
        <v>0</v>
      </c>
      <c r="K88" s="132" t="str">
        <f>IF(ISEVEN(B88),(B88-1)&amp;"/"&amp;B88,B88&amp;"/"&amp;(B88+1))</f>
        <v>4025/4026</v>
      </c>
      <c r="L88" s="24" t="str">
        <f>VLOOKUP(A88,'Trips&amp;Operators'!$C$1:$E$10000,3,FALSE)</f>
        <v>WEBSTER</v>
      </c>
      <c r="M88" s="6">
        <f>I88-F88</f>
        <v>2.7905092589207925E-2</v>
      </c>
      <c r="N88" s="7">
        <f>24*60*SUM($M88:$M88)</f>
        <v>40.183333328459412</v>
      </c>
      <c r="O88" s="7"/>
      <c r="P88" s="7"/>
      <c r="Q88" s="25"/>
      <c r="R88" s="25"/>
      <c r="S88" s="37">
        <f>SUM(U88:U88)/IF(AG88="EC",12,1)</f>
        <v>1</v>
      </c>
      <c r="T88" s="52" t="str">
        <f>IF(ISEVEN(LEFT(AD88,4)),"Southbound","NorthBound")</f>
        <v>Southbound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hh:mm:ss")&amp;"-0600',mode:absolute,to:'"&amp;TEXT(I88+1/24,"yyyy-MM-DD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https://search-rtdc-monitor-bjffxe2xuh6vdkpspy63sjmuny.us-east-1.es.amazonaws.com/_plugin/kibana/#/discover/Steve-Slow-Train-Analysis-(2080s-and-2083s)?_g=(refreshInterval:(display:Off,section:0,value:0),time:(from:'2016-08-27 12:21:52-0600',mode:absolute,to:'2016-08-27 15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88" s="54" t="str">
        <f>IF(AA88&lt;IF(AG88="EC",23,5.65),"Y","N")</f>
        <v>N</v>
      </c>
      <c r="X88" s="120">
        <f>VALUE(LEFT(AD88,4))-VALUE(LEFT(AD87,4))</f>
        <v>1</v>
      </c>
      <c r="Y88" s="69">
        <f>RIGHT(D88,LEN(D88)-4)/10000</f>
        <v>23.299399999999999</v>
      </c>
      <c r="Z88" s="69">
        <f>RIGHT(H88,LEN(H88)-4)/10000</f>
        <v>1.2999999999999999E-2</v>
      </c>
      <c r="AA88" s="69">
        <f>ABS(Z88-Y88)</f>
        <v>23.286399999999997</v>
      </c>
      <c r="AB88" s="66" t="e">
        <f>VLOOKUP(A88,Enforcements!$C$7:$J$21,8,0)</f>
        <v>#N/A</v>
      </c>
      <c r="AC88" s="62" t="e">
        <f>VLOOKUP(A88,Enforcements!$C$7:$E$21,3,0)</f>
        <v>#N/A</v>
      </c>
      <c r="AD88" s="63" t="str">
        <f>IF(LEN(A88)=6,"0"&amp;A88,A88)</f>
        <v>0172-27</v>
      </c>
      <c r="AE88" s="99" t="str">
        <f>"aws s3 cp "&amp;s3_bucket&amp;"/RTDC"&amp;B88&amp;"/"&amp;TEXT(F88,"YYYY-MM-DD")&amp;"/ "&amp;search_path&amp;"\RTDC"&amp;B88&amp;"\"&amp;TEXT(F88,"YYYY-MM-DD")&amp;" --recursive &amp; """&amp;walkandungz&amp;""" "&amp;search_path&amp;"\RTDC"&amp;B88&amp;"\"&amp;TEXT(F88,"YYYY-MM-DD")
&amp;" &amp; "&amp;"aws s3 cp "&amp;s3_bucket&amp;"/RTDC"&amp;B88&amp;"/"&amp;TEXT(F88+1,"YYYY-MM-DD")&amp;"/ "&amp;search_path&amp;"\RTDC"&amp;B88&amp;"\"&amp;TEXT(F88+1,"YYYY-MM-DD")&amp;" --recursive &amp; """&amp;walkandungz&amp;""" "&amp;search_path&amp;"\RTDC"&amp;B88&amp;"\"&amp;TEXT(F88+1,"YYYY-MM-DD")</f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88" s="96" t="str">
        <f>astrogrep_path&amp;" /spath="&amp;search_path&amp;" /stypes=""*"&amp;B88&amp;"*"&amp;TEXT(I88-utc_offset/24,"YYYYMMDD")&amp;"*"" /stext="" "&amp;TEXT(I88-utc_offset/24,"HH")&amp;search_regexp&amp;""" /e /r /s"</f>
        <v>"C:\Program Files (x86)\AstroGrep\AstroGrep.exe" /spath="%USERPROFILE%\AppData\Local\Temp\OnboardLogs" /stypes="*4026*20160827*" /stext=" 20:.+((SYSTEM_STATE.+slice.+state.+changed )|(ment ac)|(system.+state.+changed )|(\|lc)|(penalty)|(\[timeout)|(PRM\|1\|D)|(kpr)|(kdp))" /e /r /s</v>
      </c>
      <c r="AG88" s="1" t="str">
        <f>IFERROR(IF(VALUE(LEFT(AD88,2))&lt;=2,"EC",IF(OR(VALUE(LEFT(AD88,2))=8,VALUE(LEFT(AD88,2))=18),"NW","Other")),"Other")</f>
        <v>EC</v>
      </c>
      <c r="AH88" s="100" t="str">
        <f t="shared" si="0"/>
        <v>"%USERPROFILE%\Documents\GitHub\eaglep3\Utilities\RefineRTDCRunTimes.py" --tripid 172-27 --locoid 4026 --swversion DE.1.0.7.0 --startMP 204:232994 --initTime 2016-08-27T13:21:52 --startdatetime 2016-08-27T13:26:44 --delay 1 --endMP 204:130 --enddatetime 2016-08-27T14:06:55 --enforcementcount 0 &gt;&gt;C:\Users\stu\Documents\GitHub\eaglep3-reporting\EC\2016-08-27-refined-times.txt</v>
      </c>
      <c r="AI88" s="149" t="str">
        <f t="shared" si="1"/>
        <v>echo {"issue":{"subject":"","project_id":79,"tracker_id":40,"status_id":1,"priority_id":2,"assigned_to_id":23,"start_date":"2016-08-27","description":"","custom_fields":[{"id":1,"name":"Subdivision","value":"EC"},{"id":4,"name":"Milepost","value":"23.2864"},{"id":17,"name":"Train ID","value":"172-27"},{"id":16,"name":"Locomotive ID","value":"4026"},{"id":130,"name":"Impact","value":""},{"id":150,"name":"Time of Event (Mountain Time)","value":"14:06:55"},{"id":151,"name":"Denver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x14ac:dyDescent="0.25">
      <c r="A89" s="39" t="s">
        <v>488</v>
      </c>
      <c r="B89" s="7">
        <v>4009</v>
      </c>
      <c r="C89" s="24" t="s">
        <v>113</v>
      </c>
      <c r="D89" s="24" t="s">
        <v>359</v>
      </c>
      <c r="E89" s="15">
        <v>42609.527604166666</v>
      </c>
      <c r="F89" s="15">
        <v>42609.531481481485</v>
      </c>
      <c r="G89" s="7">
        <v>1</v>
      </c>
      <c r="H89" s="15" t="s">
        <v>259</v>
      </c>
      <c r="I89" s="15">
        <v>42609.556689814817</v>
      </c>
      <c r="J89" s="7">
        <v>0</v>
      </c>
      <c r="K89" s="132" t="str">
        <f>IF(ISEVEN(B89),(B89-1)&amp;"/"&amp;B89,B89&amp;"/"&amp;(B89+1))</f>
        <v>4009/4010</v>
      </c>
      <c r="L89" s="24" t="str">
        <f>VLOOKUP(A89,'Trips&amp;Operators'!$C$1:$E$10000,3,FALSE)</f>
        <v>STEWART</v>
      </c>
      <c r="M89" s="6">
        <f>I89-F89</f>
        <v>2.5208333332557231E-2</v>
      </c>
      <c r="N89" s="7">
        <f>24*60*SUM($M89:$M89)</f>
        <v>36.299999998882413</v>
      </c>
      <c r="O89" s="7"/>
      <c r="P89" s="7"/>
      <c r="Q89" s="25"/>
      <c r="R89" s="25"/>
      <c r="S89" s="37">
        <f>SUM(U89:U89)/IF(AG89="EC",12,1)</f>
        <v>1</v>
      </c>
      <c r="T89" s="52" t="str">
        <f>IF(ISEVEN(LEFT(AD89,4)),"Southbound","NorthBound")</f>
        <v>NorthBound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hh:mm:ss")&amp;"-0600',mode:absolute,to:'"&amp;TEXT(I89+1/24,"yyyy-MM-DD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https://search-rtdc-monitor-bjffxe2xuh6vdkpspy63sjmuny.us-east-1.es.amazonaws.com/_plugin/kibana/#/discover/Steve-Slow-Train-Analysis-(2080s-and-2083s)?_g=(refreshInterval:(display:Off,section:0,value:0),time:(from:'2016-08-27 11:39:45-0600',mode:absolute,to:'2016-08-27 14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89" s="54" t="str">
        <f>IF(AA89&lt;IF(AG89="EC",23,5.65),"Y","N")</f>
        <v>N</v>
      </c>
      <c r="X89" s="120">
        <f>VALUE(LEFT(AD89,4))-VALUE(LEFT(AD88,4))</f>
        <v>1</v>
      </c>
      <c r="Y89" s="69">
        <f>RIGHT(D89,LEN(D89)-4)/10000</f>
        <v>4.9099999999999998E-2</v>
      </c>
      <c r="Z89" s="69">
        <f>RIGHT(H89,LEN(H89)-4)/10000</f>
        <v>23.3307</v>
      </c>
      <c r="AA89" s="69">
        <f>ABS(Z89-Y89)</f>
        <v>23.281600000000001</v>
      </c>
      <c r="AB89" s="66" t="e">
        <f>VLOOKUP(A89,Enforcements!$C$7:$J$21,8,0)</f>
        <v>#N/A</v>
      </c>
      <c r="AC89" s="62" t="e">
        <f>VLOOKUP(A89,Enforcements!$C$7:$E$21,3,0)</f>
        <v>#N/A</v>
      </c>
      <c r="AD89" s="63" t="str">
        <f>IF(LEN(A89)=6,"0"&amp;A89,A89)</f>
        <v>0173-27</v>
      </c>
      <c r="AE89" s="99" t="str">
        <f>"aws s3 cp "&amp;s3_bucket&amp;"/RTDC"&amp;B89&amp;"/"&amp;TEXT(F89,"YYYY-MM-DD")&amp;"/ "&amp;search_path&amp;"\RTDC"&amp;B89&amp;"\"&amp;TEXT(F89,"YYYY-MM-DD")&amp;" --recursive &amp; """&amp;walkandungz&amp;""" "&amp;search_path&amp;"\RTDC"&amp;B89&amp;"\"&amp;TEXT(F89,"YYYY-MM-DD")
&amp;" &amp; "&amp;"aws s3 cp "&amp;s3_bucket&amp;"/RTDC"&amp;B89&amp;"/"&amp;TEXT(F89+1,"YYYY-MM-DD")&amp;"/ "&amp;search_path&amp;"\RTDC"&amp;B89&amp;"\"&amp;TEXT(F89+1,"YYYY-MM-DD")&amp;" --recursive &amp; """&amp;walkandungz&amp;""" "&amp;search_path&amp;"\RTDC"&amp;B89&amp;"\"&amp;TEXT(F89+1,"YYYY-MM-DD")</f>
        <v>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 &amp; 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</v>
      </c>
      <c r="AF89" s="96" t="str">
        <f>astrogrep_path&amp;" /spath="&amp;search_path&amp;" /stypes=""*"&amp;B89&amp;"*"&amp;TEXT(I89-utc_offset/24,"YYYYMMDD")&amp;"*"" /stext="" "&amp;TEXT(I89-utc_offset/24,"HH")&amp;search_regexp&amp;""" /e /r /s"</f>
        <v>"C:\Program Files (x86)\AstroGrep\AstroGrep.exe" /spath="%USERPROFILE%\AppData\Local\Temp\OnboardLogs" /stypes="*4009*20160827*" /stext=" 19:.+((SYSTEM_STATE.+slice.+state.+changed )|(ment ac)|(system.+state.+changed )|(\|lc)|(penalty)|(\[timeout)|(PRM\|1\|D)|(kpr)|(kdp))" /e /r /s</v>
      </c>
      <c r="AG89" s="1" t="str">
        <f>IFERROR(IF(VALUE(LEFT(AD89,2))&lt;=2,"EC",IF(OR(VALUE(LEFT(AD89,2))=8,VALUE(LEFT(AD89,2))=18),"NW","Other")),"Other")</f>
        <v>EC</v>
      </c>
      <c r="AH89" s="100" t="str">
        <f t="shared" ref="AH89:AH152" si="76">refinertdcruntimes&amp;" --tripid "&amp;A89&amp;" --locoid "&amp;B89&amp;" --swversion "&amp;C89&amp;" --startMP "&amp;D89&amp;" --initTime "&amp;TEXT(E89,"yyyy-mm-ddTHH:MM:SS")&amp;" --startdatetime "&amp;TEXT(F89,"yyyy-mm-ddTHH:MM:SS")&amp;" --delay "&amp;G89&amp;" --endMP "&amp;H89&amp;" --enddatetime "&amp;TEXT(I89,"yyyy-mm-ddTHH:MM:SS")&amp;" --enforcementcount "&amp;J89&amp;IF(outputrefinedruntimes," &gt;&gt;"&amp;RefinedRTDCRunTimesOutputFile,"")</f>
        <v>"%USERPROFILE%\Documents\GitHub\eaglep3\Utilities\RefineRTDCRunTimes.py" --tripid 173-27 --locoid 4009 --swversion DE.1.0.7.0 --startMP 204:491 --initTime 2016-08-27T12:39:45 --startdatetime 2016-08-27T12:45:20 --delay 1 --endMP 204:233307 --enddatetime 2016-08-27T13:21:38 --enforcementcount 0 &gt;&gt;C:\Users\stu\Documents\GitHub\eaglep3-reporting\EC\2016-08-27-refined-times.txt</v>
      </c>
      <c r="AI89" s="149" t="str">
        <f t="shared" ref="AI89:AI152" si="77">"echo {""issue"":{""subject"":"""&amp;R89&amp;""",""project_id"":79,""tracker_id"":40,""status_id"":"&amp;redmine_status&amp;",""priority_id"":"&amp;redmine_priority&amp;",""assigned_to_id"":"&amp;redmine_assignee&amp;",""start_date"":"""&amp;TEXT(I89,"YYYY-mm-dd")&amp;""",""description"":"""&amp;AJ89&amp;""",""custom_fields"":[{""id"":1,""name"":""Subdivision"",""value"":"""&amp;AG89&amp;"""},{""id"":4,""name"":""Milepost"",""value"":"""&amp;AA89&amp;"""},{""id"":17,""name"":""Train ID"",""value"":"""&amp;A89&amp;"""},{""id"":16,""name"":""Locomotive ID"",""value"":"""&amp;B89&amp;"""},{""id"":130,""name"":""Impact"",""value"":"""&amp;AK89&amp;"""},{""id"":150,""name"":""Time of Event (Mountain Time)"",""value"":"""&amp;TEXT(I89,"hh:mm:ss")&amp;"""},{""id"":151,""name"":""Denver Issue ID"",""value"":"""&amp;"""},{""id"":178,""name"":""Operational Impact"",""value"":"""&amp;redmine_op_impact&amp;"""},{""id"":179,""name"":""Denver Segment Assigned"",""value"":"""&amp;AL89&amp;"""}]}}"&amp;"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{"issue":{"subject":"","project_id":79,"tracker_id":40,"status_id":1,"priority_id":2,"assigned_to_id":23,"start_date":"2016-08-27","description":"","custom_fields":[{"id":1,"name":"Subdivision","value":"EC"},{"id":4,"name":"Milepost","value":"23.2816"},{"id":17,"name":"Train ID","value":"173-27"},{"id":16,"name":"Locomotive ID","value":"4009"},{"id":130,"name":"Impact","value":""},{"id":150,"name":"Time of Event (Mountain Time)","value":"13:21:38"},{"id":151,"name":"Denver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x14ac:dyDescent="0.25">
      <c r="A90" s="39" t="s">
        <v>489</v>
      </c>
      <c r="B90" s="7">
        <v>4010</v>
      </c>
      <c r="C90" s="24" t="s">
        <v>113</v>
      </c>
      <c r="D90" s="24" t="s">
        <v>193</v>
      </c>
      <c r="E90" s="15">
        <v>42609.567569444444</v>
      </c>
      <c r="F90" s="15">
        <v>42609.570520833331</v>
      </c>
      <c r="G90" s="7">
        <v>1</v>
      </c>
      <c r="H90" s="15" t="s">
        <v>196</v>
      </c>
      <c r="I90" s="15">
        <v>42609.597766203704</v>
      </c>
      <c r="J90" s="7">
        <v>0</v>
      </c>
      <c r="K90" s="132" t="str">
        <f>IF(ISEVEN(B90),(B90-1)&amp;"/"&amp;B90,B90&amp;"/"&amp;(B90+1))</f>
        <v>4009/4010</v>
      </c>
      <c r="L90" s="24" t="str">
        <f>VLOOKUP(A90,'Trips&amp;Operators'!$C$1:$E$10000,3,FALSE)</f>
        <v>STEWART</v>
      </c>
      <c r="M90" s="6">
        <f>I90-F90</f>
        <v>2.7245370372838806E-2</v>
      </c>
      <c r="N90" s="7">
        <f>24*60*SUM($M90:$M90)</f>
        <v>39.233333336887881</v>
      </c>
      <c r="O90" s="7"/>
      <c r="P90" s="7"/>
      <c r="Q90" s="25"/>
      <c r="R90" s="25"/>
      <c r="S90" s="37">
        <f>SUM(U90:U90)/IF(AG90="EC",12,1)</f>
        <v>1</v>
      </c>
      <c r="T90" s="52" t="str">
        <f>IF(ISEVEN(LEFT(AD90,4)),"Southbound","NorthBound")</f>
        <v>Southbound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hh:mm:ss")&amp;"-0600',mode:absolute,to:'"&amp;TEXT(I90+1/24,"yyyy-MM-DD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https://search-rtdc-monitor-bjffxe2xuh6vdkpspy63sjmuny.us-east-1.es.amazonaws.com/_plugin/kibana/#/discover/Steve-Slow-Train-Analysis-(2080s-and-2083s)?_g=(refreshInterval:(display:Off,section:0,value:0),time:(from:'2016-08-27 12:37:18-0600',mode:absolute,to:'2016-08-27 15:20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90" s="54" t="str">
        <f>IF(AA90&lt;IF(AG90="EC",23,5.65),"Y","N")</f>
        <v>N</v>
      </c>
      <c r="X90" s="120">
        <f>VALUE(LEFT(AD90,4))-VALUE(LEFT(AD89,4))</f>
        <v>1</v>
      </c>
      <c r="Y90" s="69">
        <f>RIGHT(D90,LEN(D90)-4)/10000</f>
        <v>23.299199999999999</v>
      </c>
      <c r="Z90" s="69">
        <f>RIGHT(H90,LEN(H90)-4)/10000</f>
        <v>1.3599999999999999E-2</v>
      </c>
      <c r="AA90" s="69">
        <f>ABS(Z90-Y90)</f>
        <v>23.285599999999999</v>
      </c>
      <c r="AB90" s="66">
        <f>VLOOKUP(A90,Enforcements!$C$7:$J$21,8,0)</f>
        <v>109135</v>
      </c>
      <c r="AC90" s="62" t="str">
        <f>VLOOKUP(A90,Enforcements!$C$7:$E$21,3,0)</f>
        <v>GRADE CROSSING</v>
      </c>
      <c r="AD90" s="63" t="str">
        <f>IF(LEN(A90)=6,"0"&amp;A90,A90)</f>
        <v>0174-27</v>
      </c>
      <c r="AE90" s="99" t="str">
        <f>"aws s3 cp "&amp;s3_bucket&amp;"/RTDC"&amp;B90&amp;"/"&amp;TEXT(F90,"YYYY-MM-DD")&amp;"/ "&amp;search_path&amp;"\RTDC"&amp;B90&amp;"\"&amp;TEXT(F90,"YYYY-MM-DD")&amp;" --recursive &amp; """&amp;walkandungz&amp;""" "&amp;search_path&amp;"\RTDC"&amp;B90&amp;"\"&amp;TEXT(F90,"YYYY-MM-DD")
&amp;" &amp; "&amp;"aws s3 cp "&amp;s3_bucket&amp;"/RTDC"&amp;B90&amp;"/"&amp;TEXT(F90+1,"YYYY-MM-DD")&amp;"/ "&amp;search_path&amp;"\RTDC"&amp;B90&amp;"\"&amp;TEXT(F90+1,"YYYY-MM-DD")&amp;" --recursive &amp; """&amp;walkandungz&amp;""" "&amp;search_path&amp;"\RTDC"&amp;B90&amp;"\"&amp;TEXT(F90+1,"YYYY-MM-DD")</f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AF90" s="96" t="str">
        <f>astrogrep_path&amp;" /spath="&amp;search_path&amp;" /stypes=""*"&amp;B90&amp;"*"&amp;TEXT(I90-utc_offset/24,"YYYYMMDD")&amp;"*"" /stext="" "&amp;TEXT(I90-utc_offset/24,"HH")&amp;search_regexp&amp;""" /e /r /s"</f>
        <v>"C:\Program Files (x86)\AstroGrep\AstroGrep.exe" /spath="%USERPROFILE%\AppData\Local\Temp\OnboardLogs" /stypes="*4010*20160827*" /stext=" 20:.+((SYSTEM_STATE.+slice.+state.+changed )|(ment ac)|(system.+state.+changed )|(\|lc)|(penalty)|(\[timeout)|(PRM\|1\|D)|(kpr)|(kdp))" /e /r /s</v>
      </c>
      <c r="AG90" s="1" t="str">
        <f>IFERROR(IF(VALUE(LEFT(AD90,2))&lt;=2,"EC",IF(OR(VALUE(LEFT(AD90,2))=8,VALUE(LEFT(AD90,2))=18),"NW","Other")),"Other")</f>
        <v>EC</v>
      </c>
      <c r="AH90" s="100" t="str">
        <f t="shared" si="76"/>
        <v>"%USERPROFILE%\Documents\GitHub\eaglep3\Utilities\RefineRTDCRunTimes.py" --tripid 174-27 --locoid 4010 --swversion DE.1.0.7.0 --startMP 204:232992 --initTime 2016-08-27T13:37:18 --startdatetime 2016-08-27T13:41:33 --delay 1 --endMP 204:136 --enddatetime 2016-08-27T14:20:47 --enforcementcount 0 &gt;&gt;C:\Users\stu\Documents\GitHub\eaglep3-reporting\EC\2016-08-27-refined-times.txt</v>
      </c>
      <c r="AI90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{"issue":{"subject":"","project_id":79,"tracker_id":40,"status_id":1,"priority_id":2,"assigned_to_id":23,"start_date":"2016-08-27","description":"","custom_fields":[{"id":1,"name":"Subdivision","value":"EC"},{"id":4,"name":"Milepost","value":"23.2856"},{"id":17,"name":"Train ID","value":"174-27"},{"id":16,"name":"Locomotive ID","value":"4010"},{"id":130,"name":"Impact","value":""},{"id":150,"name":"Time of Event (Mountain Time)","value":"14:20:47"},{"id":151,"name":"Denver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x14ac:dyDescent="0.25">
      <c r="A91" s="39" t="s">
        <v>490</v>
      </c>
      <c r="B91" s="7">
        <v>4020</v>
      </c>
      <c r="C91" s="24" t="s">
        <v>113</v>
      </c>
      <c r="D91" s="24" t="s">
        <v>212</v>
      </c>
      <c r="E91" s="15">
        <v>42609.536446759259</v>
      </c>
      <c r="F91" s="15">
        <v>42609.541898148149</v>
      </c>
      <c r="G91" s="7">
        <v>1</v>
      </c>
      <c r="H91" s="15" t="s">
        <v>177</v>
      </c>
      <c r="I91" s="15">
        <v>42609.567395833335</v>
      </c>
      <c r="J91" s="7">
        <v>0</v>
      </c>
      <c r="K91" s="132" t="str">
        <f>IF(ISEVEN(B91),(B91-1)&amp;"/"&amp;B91,B91&amp;"/"&amp;(B91+1))</f>
        <v>4019/4020</v>
      </c>
      <c r="L91" s="24" t="str">
        <f>VLOOKUP(A91,'Trips&amp;Operators'!$C$1:$E$10000,3,FALSE)</f>
        <v>BARTLETT</v>
      </c>
      <c r="M91" s="6">
        <f>I91-F91</f>
        <v>2.5497685186564922E-2</v>
      </c>
      <c r="N91" s="7">
        <f>24*60*SUM($M91:$M91)</f>
        <v>36.716666668653488</v>
      </c>
      <c r="O91" s="7"/>
      <c r="P91" s="7"/>
      <c r="Q91" s="25"/>
      <c r="R91" s="25"/>
      <c r="S91" s="37">
        <f>SUM(U91:U91)/IF(AG91="EC",12,1)</f>
        <v>1</v>
      </c>
      <c r="T91" s="52" t="str">
        <f>IF(ISEVEN(LEFT(AD91,4)),"Southbound","NorthBound")</f>
        <v>NorthBound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hh:mm:ss")&amp;"-0600',mode:absolute,to:'"&amp;TEXT(I91+1/24,"yyyy-MM-DD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https://search-rtdc-monitor-bjffxe2xuh6vdkpspy63sjmuny.us-east-1.es.amazonaws.com/_plugin/kibana/#/discover/Steve-Slow-Train-Analysis-(2080s-and-2083s)?_g=(refreshInterval:(display:Off,section:0,value:0),time:(from:'2016-08-27 11:52:29-0600',mode:absolute,to:'2016-08-27 14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91" s="54" t="str">
        <f>IF(AA91&lt;IF(AG91="EC",23,5.65),"Y","N")</f>
        <v>N</v>
      </c>
      <c r="X91" s="120">
        <f>VALUE(LEFT(AD91,4))-VALUE(LEFT(AD90,4))</f>
        <v>1</v>
      </c>
      <c r="Y91" s="69">
        <f>RIGHT(D91,LEN(D91)-4)/10000</f>
        <v>4.6399999999999997E-2</v>
      </c>
      <c r="Z91" s="69">
        <f>RIGHT(H91,LEN(H91)-4)/10000</f>
        <v>23.331399999999999</v>
      </c>
      <c r="AA91" s="69">
        <f>ABS(Z91-Y91)</f>
        <v>23.285</v>
      </c>
      <c r="AB91" s="66" t="e">
        <f>VLOOKUP(A91,Enforcements!$C$7:$J$21,8,0)</f>
        <v>#N/A</v>
      </c>
      <c r="AC91" s="62" t="e">
        <f>VLOOKUP(A91,Enforcements!$C$7:$E$21,3,0)</f>
        <v>#N/A</v>
      </c>
      <c r="AD91" s="63" t="str">
        <f>IF(LEN(A91)=6,"0"&amp;A91,A91)</f>
        <v>0175-27</v>
      </c>
      <c r="AE91" s="99" t="str">
        <f>"aws s3 cp "&amp;s3_bucket&amp;"/RTDC"&amp;B91&amp;"/"&amp;TEXT(F91,"YYYY-MM-DD")&amp;"/ "&amp;search_path&amp;"\RTDC"&amp;B91&amp;"\"&amp;TEXT(F91,"YYYY-MM-DD")&amp;" --recursive &amp; """&amp;walkandungz&amp;""" "&amp;search_path&amp;"\RTDC"&amp;B91&amp;"\"&amp;TEXT(F91,"YYYY-MM-DD")
&amp;" &amp; "&amp;"aws s3 cp "&amp;s3_bucket&amp;"/RTDC"&amp;B91&amp;"/"&amp;TEXT(F91+1,"YYYY-MM-DD")&amp;"/ "&amp;search_path&amp;"\RTDC"&amp;B91&amp;"\"&amp;TEXT(F91+1,"YYYY-MM-DD")&amp;" --recursive &amp; """&amp;walkandungz&amp;""" "&amp;search_path&amp;"\RTDC"&amp;B91&amp;"\"&amp;TEXT(F91+1,"YYYY-MM-DD")</f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91" s="96" t="str">
        <f>astrogrep_path&amp;" /spath="&amp;search_path&amp;" /stypes=""*"&amp;B91&amp;"*"&amp;TEXT(I91-utc_offset/24,"YYYYMMDD")&amp;"*"" /stext="" "&amp;TEXT(I91-utc_offset/24,"HH")&amp;search_regexp&amp;""" /e /r /s"</f>
        <v>"C:\Program Files (x86)\AstroGrep\AstroGrep.exe" /spath="%USERPROFILE%\AppData\Local\Temp\OnboardLogs" /stypes="*4020*20160827*" /stext=" 19:.+((SYSTEM_STATE.+slice.+state.+changed )|(ment ac)|(system.+state.+changed )|(\|lc)|(penalty)|(\[timeout)|(PRM\|1\|D)|(kpr)|(kdp))" /e /r /s</v>
      </c>
      <c r="AG91" s="1" t="str">
        <f>IFERROR(IF(VALUE(LEFT(AD91,2))&lt;=2,"EC",IF(OR(VALUE(LEFT(AD91,2))=8,VALUE(LEFT(AD91,2))=18),"NW","Other")),"Other")</f>
        <v>EC</v>
      </c>
      <c r="AH91" s="100" t="str">
        <f t="shared" si="76"/>
        <v>"%USERPROFILE%\Documents\GitHub\eaglep3\Utilities\RefineRTDCRunTimes.py" --tripid 175-27 --locoid 4020 --swversion DE.1.0.7.0 --startMP 204:464 --initTime 2016-08-27T12:52:29 --startdatetime 2016-08-27T13:00:20 --delay 1 --endMP 204:233314 --enddatetime 2016-08-27T13:37:03 --enforcementcount 0 &gt;&gt;C:\Users\stu\Documents\GitHub\eaglep3-reporting\EC\2016-08-27-refined-times.txt</v>
      </c>
      <c r="AI91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{"issue":{"subject":"","project_id":79,"tracker_id":40,"status_id":1,"priority_id":2,"assigned_to_id":23,"start_date":"2016-08-27","description":"","custom_fields":[{"id":1,"name":"Subdivision","value":"EC"},{"id":4,"name":"Milepost","value":"23.285"},{"id":17,"name":"Train ID","value":"175-27"},{"id":16,"name":"Locomotive ID","value":"4020"},{"id":130,"name":"Impact","value":""},{"id":150,"name":"Time of Event (Mountain Time)","value":"13:37:03"},{"id":151,"name":"Denver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x14ac:dyDescent="0.25">
      <c r="A92" s="39" t="s">
        <v>491</v>
      </c>
      <c r="B92" s="7">
        <v>4019</v>
      </c>
      <c r="C92" s="24" t="s">
        <v>113</v>
      </c>
      <c r="D92" s="24" t="s">
        <v>201</v>
      </c>
      <c r="E92" s="15">
        <v>42609.569039351853</v>
      </c>
      <c r="F92" s="15">
        <v>42609.580752314818</v>
      </c>
      <c r="G92" s="7">
        <v>1</v>
      </c>
      <c r="H92" s="15" t="s">
        <v>172</v>
      </c>
      <c r="I92" s="15">
        <v>42609.608067129629</v>
      </c>
      <c r="J92" s="7">
        <v>0</v>
      </c>
      <c r="K92" s="132" t="str">
        <f>IF(ISEVEN(B92),(B92-1)&amp;"/"&amp;B92,B92&amp;"/"&amp;(B92+1))</f>
        <v>4019/4020</v>
      </c>
      <c r="L92" s="24" t="str">
        <f>VLOOKUP(A92,'Trips&amp;Operators'!$C$1:$E$10000,3,FALSE)</f>
        <v>BARTLETT</v>
      </c>
      <c r="M92" s="6">
        <f>I92-F92</f>
        <v>2.7314814811688848E-2</v>
      </c>
      <c r="N92" s="7">
        <f>24*60*SUM($M92:$M92)</f>
        <v>39.333333328831941</v>
      </c>
      <c r="O92" s="7"/>
      <c r="P92" s="7"/>
      <c r="Q92" s="25"/>
      <c r="R92" s="25"/>
      <c r="S92" s="37">
        <f>SUM(U92:U92)/IF(AG92="EC",12,1)</f>
        <v>1</v>
      </c>
      <c r="T92" s="52" t="str">
        <f>IF(ISEVEN(LEFT(AD92,4)),"Southbound","NorthBound")</f>
        <v>Southbound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hh:mm:ss")&amp;"-0600',mode:absolute,to:'"&amp;TEXT(I92+1/24,"yyyy-MM-DD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https://search-rtdc-monitor-bjffxe2xuh6vdkpspy63sjmuny.us-east-1.es.amazonaws.com/_plugin/kibana/#/discover/Steve-Slow-Train-Analysis-(2080s-and-2083s)?_g=(refreshInterval:(display:Off,section:0,value:0),time:(from:'2016-08-27 12:39:25-0600',mode:absolute,to:'2016-08-27 15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92" s="54" t="str">
        <f>IF(AA92&lt;IF(AG92="EC",23,5.65),"Y","N")</f>
        <v>N</v>
      </c>
      <c r="X92" s="120">
        <f>VALUE(LEFT(AD92,4))-VALUE(LEFT(AD91,4))</f>
        <v>1</v>
      </c>
      <c r="Y92" s="69">
        <f>RIGHT(D92,LEN(D92)-4)/10000</f>
        <v>23.3</v>
      </c>
      <c r="Z92" s="69">
        <f>RIGHT(H92,LEN(H92)-4)/10000</f>
        <v>1.52E-2</v>
      </c>
      <c r="AA92" s="69">
        <f>ABS(Z92-Y92)</f>
        <v>23.284800000000001</v>
      </c>
      <c r="AB92" s="66" t="e">
        <f>VLOOKUP(A92,Enforcements!$C$7:$J$21,8,0)</f>
        <v>#N/A</v>
      </c>
      <c r="AC92" s="62" t="e">
        <f>VLOOKUP(A92,Enforcements!$C$7:$E$21,3,0)</f>
        <v>#N/A</v>
      </c>
      <c r="AD92" s="63" t="str">
        <f>IF(LEN(A92)=6,"0"&amp;A92,A92)</f>
        <v>0176-27</v>
      </c>
      <c r="AE92" s="99" t="str">
        <f>"aws s3 cp "&amp;s3_bucket&amp;"/RTDC"&amp;B92&amp;"/"&amp;TEXT(F92,"YYYY-MM-DD")&amp;"/ "&amp;search_path&amp;"\RTDC"&amp;B92&amp;"\"&amp;TEXT(F92,"YYYY-MM-DD")&amp;" --recursive &amp; """&amp;walkandungz&amp;""" "&amp;search_path&amp;"\RTDC"&amp;B92&amp;"\"&amp;TEXT(F92,"YYYY-MM-DD")
&amp;" &amp; "&amp;"aws s3 cp "&amp;s3_bucket&amp;"/RTDC"&amp;B92&amp;"/"&amp;TEXT(F92+1,"YYYY-MM-DD")&amp;"/ "&amp;search_path&amp;"\RTDC"&amp;B92&amp;"\"&amp;TEXT(F92+1,"YYYY-MM-DD")&amp;" --recursive &amp; """&amp;walkandungz&amp;""" "&amp;search_path&amp;"\RTDC"&amp;B92&amp;"\"&amp;TEXT(F92+1,"YYYY-MM-DD")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92" s="96" t="str">
        <f>astrogrep_path&amp;" /spath="&amp;search_path&amp;" /stypes=""*"&amp;B92&amp;"*"&amp;TEXT(I92-utc_offset/24,"YYYYMMDD")&amp;"*"" /stext="" "&amp;TEXT(I92-utc_offset/24,"HH")&amp;search_regexp&amp;""" /e /r /s"</f>
        <v>"C:\Program Files (x86)\AstroGrep\AstroGrep.exe" /spath="%USERPROFILE%\AppData\Local\Temp\OnboardLogs" /stypes="*4019*20160827*" /stext=" 20:.+((SYSTEM_STATE.+slice.+state.+changed )|(ment ac)|(system.+state.+changed )|(\|lc)|(penalty)|(\[timeout)|(PRM\|1\|D)|(kpr)|(kdp))" /e /r /s</v>
      </c>
      <c r="AG92" s="1" t="str">
        <f>IFERROR(IF(VALUE(LEFT(AD92,2))&lt;=2,"EC",IF(OR(VALUE(LEFT(AD92,2))=8,VALUE(LEFT(AD92,2))=18),"NW","Other")),"Other")</f>
        <v>EC</v>
      </c>
      <c r="AH92" s="100" t="str">
        <f t="shared" si="76"/>
        <v>"%USERPROFILE%\Documents\GitHub\eaglep3\Utilities\RefineRTDCRunTimes.py" --tripid 176-27 --locoid 4019 --swversion DE.1.0.7.0 --startMP 204:233000 --initTime 2016-08-27T13:39:25 --startdatetime 2016-08-27T13:56:17 --delay 1 --endMP 204:152 --enddatetime 2016-08-27T14:35:37 --enforcementcount 0 &gt;&gt;C:\Users\stu\Documents\GitHub\eaglep3-reporting\EC\2016-08-27-refined-times.txt</v>
      </c>
      <c r="AI92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{"issue":{"subject":"","project_id":79,"tracker_id":40,"status_id":1,"priority_id":2,"assigned_to_id":23,"start_date":"2016-08-27","description":"","custom_fields":[{"id":1,"name":"Subdivision","value":"EC"},{"id":4,"name":"Milepost","value":"23.2848"},{"id":17,"name":"Train ID","value":"176-27"},{"id":16,"name":"Locomotive ID","value":"4019"},{"id":130,"name":"Impact","value":""},{"id":150,"name":"Time of Event (Mountain Time)","value":"14:35:37"},{"id":151,"name":"Denver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x14ac:dyDescent="0.25">
      <c r="A93" s="39" t="s">
        <v>492</v>
      </c>
      <c r="B93" s="7">
        <v>4031</v>
      </c>
      <c r="C93" s="24" t="s">
        <v>113</v>
      </c>
      <c r="D93" s="24" t="s">
        <v>493</v>
      </c>
      <c r="E93" s="15">
        <v>42609.548958333333</v>
      </c>
      <c r="F93" s="15">
        <v>42609.552268518521</v>
      </c>
      <c r="G93" s="7">
        <v>1</v>
      </c>
      <c r="H93" s="15" t="s">
        <v>494</v>
      </c>
      <c r="I93" s="15">
        <v>42609.577719907407</v>
      </c>
      <c r="J93" s="7">
        <v>0</v>
      </c>
      <c r="K93" s="132" t="str">
        <f>IF(ISEVEN(B93),(B93-1)&amp;"/"&amp;B93,B93&amp;"/"&amp;(B93+1))</f>
        <v>4031/4032</v>
      </c>
      <c r="L93" s="24" t="str">
        <f>VLOOKUP(A93,'Trips&amp;Operators'!$C$1:$E$10000,3,FALSE)</f>
        <v>MOSES</v>
      </c>
      <c r="M93" s="6">
        <f>I93-F93</f>
        <v>2.545138888672227E-2</v>
      </c>
      <c r="N93" s="7">
        <f>24*60*SUM($M93:$M93)</f>
        <v>36.649999996880069</v>
      </c>
      <c r="O93" s="7"/>
      <c r="P93" s="7"/>
      <c r="Q93" s="25"/>
      <c r="R93" s="25"/>
      <c r="S93" s="37">
        <f>SUM(U93:U93)/IF(AG93="EC",12,1)</f>
        <v>1</v>
      </c>
      <c r="T93" s="52" t="str">
        <f>IF(ISEVEN(LEFT(AD93,4)),"Southbound","NorthBound")</f>
        <v>NorthBound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hh:mm:ss")&amp;"-0600',mode:absolute,to:'"&amp;TEXT(I93+1/24,"yyyy-MM-DD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https://search-rtdc-monitor-bjffxe2xuh6vdkpspy63sjmuny.us-east-1.es.amazonaws.com/_plugin/kibana/#/discover/Steve-Slow-Train-Analysis-(2080s-and-2083s)?_g=(refreshInterval:(display:Off,section:0,value:0),time:(from:'2016-08-27 12:10:30-0600',mode:absolute,to:'2016-08-27 14:51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93" s="54" t="str">
        <f>IF(AA93&lt;IF(AG93="EC",23,5.65),"Y","N")</f>
        <v>N</v>
      </c>
      <c r="X93" s="120">
        <f>VALUE(LEFT(AD93,4))-VALUE(LEFT(AD92,4))</f>
        <v>1</v>
      </c>
      <c r="Y93" s="69">
        <f>RIGHT(D93,LEN(D93)-4)/10000</f>
        <v>4.7500000000000001E-2</v>
      </c>
      <c r="Z93" s="69">
        <f>RIGHT(H93,LEN(H93)-4)/10000</f>
        <v>23.335899999999999</v>
      </c>
      <c r="AA93" s="69">
        <f>ABS(Z93-Y93)</f>
        <v>23.288399999999999</v>
      </c>
      <c r="AB93" s="66" t="e">
        <f>VLOOKUP(A93,Enforcements!$C$7:$J$21,8,0)</f>
        <v>#N/A</v>
      </c>
      <c r="AC93" s="62" t="e">
        <f>VLOOKUP(A93,Enforcements!$C$7:$E$21,3,0)</f>
        <v>#N/A</v>
      </c>
      <c r="AD93" s="63" t="str">
        <f>IF(LEN(A93)=6,"0"&amp;A93,A93)</f>
        <v>0177-27</v>
      </c>
      <c r="AE93" s="99" t="str">
        <f>"aws s3 cp "&amp;s3_bucket&amp;"/RTDC"&amp;B93&amp;"/"&amp;TEXT(F93,"YYYY-MM-DD")&amp;"/ "&amp;search_path&amp;"\RTDC"&amp;B93&amp;"\"&amp;TEXT(F93,"YYYY-MM-DD")&amp;" --recursive &amp; """&amp;walkandungz&amp;""" "&amp;search_path&amp;"\RTDC"&amp;B93&amp;"\"&amp;TEXT(F93,"YYYY-MM-DD")
&amp;" &amp; "&amp;"aws s3 cp "&amp;s3_bucket&amp;"/RTDC"&amp;B93&amp;"/"&amp;TEXT(F93+1,"YYYY-MM-DD")&amp;"/ "&amp;search_path&amp;"\RTDC"&amp;B93&amp;"\"&amp;TEXT(F93+1,"YYYY-MM-DD")&amp;" --recursive &amp; """&amp;walkandungz&amp;""" "&amp;search_path&amp;"\RTDC"&amp;B93&amp;"\"&amp;TEXT(F93+1,"YYYY-MM-DD")</f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93" s="96" t="str">
        <f>astrogrep_path&amp;" /spath="&amp;search_path&amp;" /stypes=""*"&amp;B93&amp;"*"&amp;TEXT(I93-utc_offset/24,"YYYYMMDD")&amp;"*"" /stext="" "&amp;TEXT(I93-utc_offset/24,"HH")&amp;search_regexp&amp;""" /e /r /s"</f>
        <v>"C:\Program Files (x86)\AstroGrep\AstroGrep.exe" /spath="%USERPROFILE%\AppData\Local\Temp\OnboardLogs" /stypes="*4031*20160827*" /stext=" 19:.+((SYSTEM_STATE.+slice.+state.+changed )|(ment ac)|(system.+state.+changed )|(\|lc)|(penalty)|(\[timeout)|(PRM\|1\|D)|(kpr)|(kdp))" /e /r /s</v>
      </c>
      <c r="AG93" s="1" t="str">
        <f>IFERROR(IF(VALUE(LEFT(AD93,2))&lt;=2,"EC",IF(OR(VALUE(LEFT(AD93,2))=8,VALUE(LEFT(AD93,2))=18),"NW","Other")),"Other")</f>
        <v>EC</v>
      </c>
      <c r="AH93" s="100" t="str">
        <f t="shared" si="76"/>
        <v>"%USERPROFILE%\Documents\GitHub\eaglep3\Utilities\RefineRTDCRunTimes.py" --tripid 177-27 --locoid 4031 --swversion DE.1.0.7.0 --startMP 204:475 --initTime 2016-08-27T13:10:30 --startdatetime 2016-08-27T13:15:16 --delay 1 --endMP 204:233359 --enddatetime 2016-08-27T13:51:55 --enforcementcount 0 &gt;&gt;C:\Users\stu\Documents\GitHub\eaglep3-reporting\EC\2016-08-27-refined-times.txt</v>
      </c>
      <c r="AI93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{"issue":{"subject":"","project_id":79,"tracker_id":40,"status_id":1,"priority_id":2,"assigned_to_id":23,"start_date":"2016-08-27","description":"","custom_fields":[{"id":1,"name":"Subdivision","value":"EC"},{"id":4,"name":"Milepost","value":"23.2884"},{"id":17,"name":"Train ID","value":"177-27"},{"id":16,"name":"Locomotive ID","value":"4031"},{"id":130,"name":"Impact","value":""},{"id":150,"name":"Time of Event (Mountain Time)","value":"13:51:55"},{"id":151,"name":"Denver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23" customFormat="1" x14ac:dyDescent="0.25">
      <c r="A94" s="39" t="s">
        <v>495</v>
      </c>
      <c r="B94" s="7">
        <v>4032</v>
      </c>
      <c r="C94" s="24" t="s">
        <v>113</v>
      </c>
      <c r="D94" s="24" t="s">
        <v>342</v>
      </c>
      <c r="E94" s="15">
        <v>42609.586817129632</v>
      </c>
      <c r="F94" s="15">
        <v>42609.591157407405</v>
      </c>
      <c r="G94" s="7">
        <v>1</v>
      </c>
      <c r="H94" s="15" t="s">
        <v>496</v>
      </c>
      <c r="I94" s="15">
        <v>42609.619328703702</v>
      </c>
      <c r="J94" s="7">
        <v>0</v>
      </c>
      <c r="K94" s="132" t="str">
        <f>IF(ISEVEN(B94),(B94-1)&amp;"/"&amp;B94,B94&amp;"/"&amp;(B94+1))</f>
        <v>4031/4032</v>
      </c>
      <c r="L94" s="24" t="str">
        <f>VLOOKUP(A94,'Trips&amp;Operators'!$C$1:$E$10000,3,FALSE)</f>
        <v>MOSES</v>
      </c>
      <c r="M94" s="6">
        <f>I94-F94</f>
        <v>2.8171296296932269E-2</v>
      </c>
      <c r="N94" s="7">
        <f>24*60*SUM($M94:$M94)</f>
        <v>40.566666667582467</v>
      </c>
      <c r="O94" s="7"/>
      <c r="P94" s="7"/>
      <c r="Q94" s="25"/>
      <c r="R94" s="25"/>
      <c r="S94" s="37">
        <f>SUM(U94:U94)/IF(AG94="EC",12,1)</f>
        <v>1</v>
      </c>
      <c r="T94" s="52" t="str">
        <f>IF(ISEVEN(LEFT(AD94,4)),"Southbound","NorthBound")</f>
        <v>Southbound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hh:mm:ss")&amp;"-0600',mode:absolute,to:'"&amp;TEXT(I94+1/24,"yyyy-MM-DD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https://search-rtdc-monitor-bjffxe2xuh6vdkpspy63sjmuny.us-east-1.es.amazonaws.com/_plugin/kibana/#/discover/Steve-Slow-Train-Analysis-(2080s-and-2083s)?_g=(refreshInterval:(display:Off,section:0,value:0),time:(from:'2016-08-27 13:05:01-0600',mode:absolute,to:'2016-08-27 15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94" s="54" t="str">
        <f>IF(AA94&lt;IF(AG94="EC",23,5.65),"Y","N")</f>
        <v>N</v>
      </c>
      <c r="X94" s="120">
        <f>VALUE(LEFT(AD94,4))-VALUE(LEFT(AD93,4))</f>
        <v>1</v>
      </c>
      <c r="Y94" s="69">
        <f>RIGHT(D94,LEN(D94)-4)/10000</f>
        <v>23.3019</v>
      </c>
      <c r="Z94" s="69">
        <f>RIGHT(H94,LEN(H94)-4)/10000</f>
        <v>1.67E-2</v>
      </c>
      <c r="AA94" s="69">
        <f>ABS(Z94-Y94)</f>
        <v>23.2852</v>
      </c>
      <c r="AB94" s="66" t="e">
        <f>VLOOKUP(A94,Enforcements!$C$7:$J$21,8,0)</f>
        <v>#N/A</v>
      </c>
      <c r="AC94" s="62" t="e">
        <f>VLOOKUP(A94,Enforcements!$C$7:$E$21,3,0)</f>
        <v>#N/A</v>
      </c>
      <c r="AD94" s="63" t="str">
        <f>IF(LEN(A94)=6,"0"&amp;A94,A94)</f>
        <v>0178-27</v>
      </c>
      <c r="AE94" s="99" t="str">
        <f>"aws s3 cp "&amp;s3_bucket&amp;"/RTDC"&amp;B94&amp;"/"&amp;TEXT(F94,"YYYY-MM-DD")&amp;"/ "&amp;search_path&amp;"\RTDC"&amp;B94&amp;"\"&amp;TEXT(F94,"YYYY-MM-DD")&amp;" --recursive &amp; """&amp;walkandungz&amp;""" "&amp;search_path&amp;"\RTDC"&amp;B94&amp;"\"&amp;TEXT(F94,"YYYY-MM-DD")
&amp;" &amp; "&amp;"aws s3 cp "&amp;s3_bucket&amp;"/RTDC"&amp;B94&amp;"/"&amp;TEXT(F94+1,"YYYY-MM-DD")&amp;"/ "&amp;search_path&amp;"\RTDC"&amp;B94&amp;"\"&amp;TEXT(F94+1,"YYYY-MM-DD")&amp;" --recursive &amp; """&amp;walkandungz&amp;""" "&amp;search_path&amp;"\RTDC"&amp;B94&amp;"\"&amp;TEXT(F94+1,"YYYY-MM-DD")</f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94" s="96" t="str">
        <f>astrogrep_path&amp;" /spath="&amp;search_path&amp;" /stypes=""*"&amp;B94&amp;"*"&amp;TEXT(I94-utc_offset/24,"YYYYMMDD")&amp;"*"" /stext="" "&amp;TEXT(I94-utc_offset/24,"HH")&amp;search_regexp&amp;""" /e /r /s"</f>
        <v>"C:\Program Files (x86)\AstroGrep\AstroGrep.exe" /spath="%USERPROFILE%\AppData\Local\Temp\OnboardLogs" /stypes="*4032*20160827*" /stext=" 20:.+((SYSTEM_STATE.+slice.+state.+changed )|(ment ac)|(system.+state.+changed )|(\|lc)|(penalty)|(\[timeout)|(PRM\|1\|D)|(kpr)|(kdp))" /e /r /s</v>
      </c>
      <c r="AG94" s="1" t="str">
        <f>IFERROR(IF(VALUE(LEFT(AD94,2))&lt;=2,"EC",IF(OR(VALUE(LEFT(AD94,2))=8,VALUE(LEFT(AD94,2))=18),"NW","Other")),"Other")</f>
        <v>EC</v>
      </c>
      <c r="AH94" s="100" t="str">
        <f t="shared" si="76"/>
        <v>"%USERPROFILE%\Documents\GitHub\eaglep3\Utilities\RefineRTDCRunTimes.py" --tripid 178-27 --locoid 4032 --swversion DE.1.0.7.0 --startMP 204:233019 --initTime 2016-08-27T14:05:01 --startdatetime 2016-08-27T14:11:16 --delay 1 --endMP 204:167 --enddatetime 2016-08-27T14:51:50 --enforcementcount 0 &gt;&gt;C:\Users\stu\Documents\GitHub\eaglep3-reporting\EC\2016-08-27-refined-times.txt</v>
      </c>
      <c r="AI94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{"issue":{"subject":"","project_id":79,"tracker_id":40,"status_id":1,"priority_id":2,"assigned_to_id":23,"start_date":"2016-08-27","description":"","custom_fields":[{"id":1,"name":"Subdivision","value":"EC"},{"id":4,"name":"Milepost","value":"23.2852"},{"id":17,"name":"Train ID","value":"178-27"},{"id":16,"name":"Locomotive ID","value":"4032"},{"id":130,"name":"Impact","value":""},{"id":150,"name":"Time of Event (Mountain Time)","value":"14:51:50"},{"id":151,"name":"Denver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497</v>
      </c>
      <c r="B95" s="7">
        <v>4042</v>
      </c>
      <c r="C95" s="24" t="s">
        <v>113</v>
      </c>
      <c r="D95" s="24" t="s">
        <v>154</v>
      </c>
      <c r="E95" s="15">
        <v>42609.557569444441</v>
      </c>
      <c r="F95" s="15">
        <v>42609.562696759262</v>
      </c>
      <c r="G95" s="7">
        <v>1</v>
      </c>
      <c r="H95" s="15" t="s">
        <v>498</v>
      </c>
      <c r="I95" s="15">
        <v>42609.588437500002</v>
      </c>
      <c r="J95" s="7">
        <v>0</v>
      </c>
      <c r="K95" s="132" t="str">
        <f>IF(ISEVEN(B95),(B95-1)&amp;"/"&amp;B95,B95&amp;"/"&amp;(B95+1))</f>
        <v>4041/4042</v>
      </c>
      <c r="L95" s="24" t="str">
        <f>VLOOKUP(A95,'Trips&amp;Operators'!$C$1:$E$10000,3,FALSE)</f>
        <v>SHOOK</v>
      </c>
      <c r="M95" s="6">
        <f>I95-F95</f>
        <v>2.5740740740729962E-2</v>
      </c>
      <c r="N95" s="7">
        <f>24*60*SUM($M95:$M95)</f>
        <v>37.066666666651145</v>
      </c>
      <c r="O95" s="7"/>
      <c r="P95" s="7"/>
      <c r="Q95" s="25"/>
      <c r="R95" s="25"/>
      <c r="S95" s="37">
        <f>SUM(U95:U95)/IF(AG95="EC",12,1)</f>
        <v>1</v>
      </c>
      <c r="T95" s="52" t="str">
        <f>IF(ISEVEN(LEFT(AD95,4)),"Southbound","NorthBound")</f>
        <v>NorthBound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hh:mm:ss")&amp;"-0600',mode:absolute,to:'"&amp;TEXT(I95+1/24,"yyyy-MM-DD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https://search-rtdc-monitor-bjffxe2xuh6vdkpspy63sjmuny.us-east-1.es.amazonaws.com/_plugin/kibana/#/discover/Steve-Slow-Train-Analysis-(2080s-and-2083s)?_g=(refreshInterval:(display:Off,section:0,value:0),time:(from:'2016-08-27 12:22:54-0600',mode:absolute,to:'2016-08-27 15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95" s="54" t="str">
        <f>IF(AA95&lt;IF(AG95="EC",23,5.65),"Y","N")</f>
        <v>N</v>
      </c>
      <c r="X95" s="120">
        <f>VALUE(LEFT(AD95,4))-VALUE(LEFT(AD94,4))</f>
        <v>1</v>
      </c>
      <c r="Y95" s="69">
        <f>RIGHT(D95,LEN(D95)-4)/10000</f>
        <v>4.5100000000000001E-2</v>
      </c>
      <c r="Z95" s="69">
        <f>RIGHT(H95,LEN(H95)-4)/10000</f>
        <v>23.337599999999998</v>
      </c>
      <c r="AA95" s="69">
        <f>ABS(Z95-Y95)</f>
        <v>23.292499999999997</v>
      </c>
      <c r="AB95" s="66" t="e">
        <f>VLOOKUP(A95,Enforcements!$C$7:$J$21,8,0)</f>
        <v>#N/A</v>
      </c>
      <c r="AC95" s="62" t="e">
        <f>VLOOKUP(A95,Enforcements!$C$7:$E$21,3,0)</f>
        <v>#N/A</v>
      </c>
      <c r="AD95" s="63" t="str">
        <f>IF(LEN(A95)=6,"0"&amp;A95,A95)</f>
        <v>0179-27</v>
      </c>
      <c r="AE95" s="99" t="str">
        <f>"aws s3 cp "&amp;s3_bucket&amp;"/RTDC"&amp;B95&amp;"/"&amp;TEXT(F95,"YYYY-MM-DD")&amp;"/ "&amp;search_path&amp;"\RTDC"&amp;B95&amp;"\"&amp;TEXT(F95,"YYYY-MM-DD")&amp;" --recursive &amp; """&amp;walkandungz&amp;""" "&amp;search_path&amp;"\RTDC"&amp;B95&amp;"\"&amp;TEXT(F95,"YYYY-MM-DD")
&amp;" &amp; "&amp;"aws s3 cp "&amp;s3_bucket&amp;"/RTDC"&amp;B95&amp;"/"&amp;TEXT(F95+1,"YYYY-MM-DD")&amp;"/ "&amp;search_path&amp;"\RTDC"&amp;B95&amp;"\"&amp;TEXT(F95+1,"YYYY-MM-DD")&amp;" --recursive &amp; """&amp;walkandungz&amp;""" "&amp;search_path&amp;"\RTDC"&amp;B95&amp;"\"&amp;TEXT(F95+1,"YYYY-MM-DD")</f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AF95" s="96" t="str">
        <f>astrogrep_path&amp;" /spath="&amp;search_path&amp;" /stypes=""*"&amp;B95&amp;"*"&amp;TEXT(I95-utc_offset/24,"YYYYMMDD")&amp;"*"" /stext="" "&amp;TEXT(I95-utc_offset/24,"HH")&amp;search_regexp&amp;""" /e /r /s"</f>
        <v>"C:\Program Files (x86)\AstroGrep\AstroGrep.exe" /spath="%USERPROFILE%\AppData\Local\Temp\OnboardLogs" /stypes="*4042*20160827*" /stext=" 20:.+((SYSTEM_STATE.+slice.+state.+changed )|(ment ac)|(system.+state.+changed )|(\|lc)|(penalty)|(\[timeout)|(PRM\|1\|D)|(kpr)|(kdp))" /e /r /s</v>
      </c>
      <c r="AG95" s="1" t="str">
        <f>IFERROR(IF(VALUE(LEFT(AD95,2))&lt;=2,"EC",IF(OR(VALUE(LEFT(AD95,2))=8,VALUE(LEFT(AD95,2))=18),"NW","Other")),"Other")</f>
        <v>EC</v>
      </c>
      <c r="AH95" s="100" t="str">
        <f t="shared" si="76"/>
        <v>"%USERPROFILE%\Documents\GitHub\eaglep3\Utilities\RefineRTDCRunTimes.py" --tripid 179-27 --locoid 4042 --swversion DE.1.0.7.0 --startMP 204:451 --initTime 2016-08-27T13:22:54 --startdatetime 2016-08-27T13:30:17 --delay 1 --endMP 204:233376 --enddatetime 2016-08-27T14:07:21 --enforcementcount 0 &gt;&gt;C:\Users\stu\Documents\GitHub\eaglep3-reporting\EC\2016-08-27-refined-times.txt</v>
      </c>
      <c r="AI95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{"issue":{"subject":"","project_id":79,"tracker_id":40,"status_id":1,"priority_id":2,"assigned_to_id":23,"start_date":"2016-08-27","description":"","custom_fields":[{"id":1,"name":"Subdivision","value":"EC"},{"id":4,"name":"Milepost","value":"23.2925"},{"id":17,"name":"Train ID","value":"179-27"},{"id":16,"name":"Locomotive ID","value":"4042"},{"id":130,"name":"Impact","value":""},{"id":150,"name":"Time of Event (Mountain Time)","value":"14:07:21"},{"id":151,"name":"Denver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x14ac:dyDescent="0.25">
      <c r="A96" s="39" t="s">
        <v>499</v>
      </c>
      <c r="B96" s="7">
        <v>4041</v>
      </c>
      <c r="C96" s="24" t="s">
        <v>113</v>
      </c>
      <c r="D96" s="24" t="s">
        <v>500</v>
      </c>
      <c r="E96" s="15">
        <v>42609.596597222226</v>
      </c>
      <c r="F96" s="15">
        <v>42609.6015625</v>
      </c>
      <c r="G96" s="7">
        <v>1</v>
      </c>
      <c r="H96" s="15" t="s">
        <v>496</v>
      </c>
      <c r="I96" s="15">
        <v>42609.629606481481</v>
      </c>
      <c r="J96" s="7">
        <v>0</v>
      </c>
      <c r="K96" s="132" t="str">
        <f>IF(ISEVEN(B96),(B96-1)&amp;"/"&amp;B96,B96&amp;"/"&amp;(B96+1))</f>
        <v>4041/4042</v>
      </c>
      <c r="L96" s="24" t="str">
        <f>VLOOKUP(A96,'Trips&amp;Operators'!$C$1:$E$10000,3,FALSE)</f>
        <v>SHOOK</v>
      </c>
      <c r="M96" s="6">
        <f>I96-F96</f>
        <v>2.8043981481459923E-2</v>
      </c>
      <c r="N96" s="7">
        <f>24*60*SUM($M96:$M96)</f>
        <v>40.383333333302289</v>
      </c>
      <c r="O96" s="7"/>
      <c r="P96" s="7"/>
      <c r="Q96" s="25"/>
      <c r="R96" s="25"/>
      <c r="S96" s="37">
        <f>SUM(U96:U96)/IF(AG96="EC",12,1)</f>
        <v>1</v>
      </c>
      <c r="T96" s="52" t="str">
        <f>IF(ISEVEN(LEFT(AD96,4)),"Southbound","NorthBound")</f>
        <v>Southbound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hh:mm:ss")&amp;"-0600',mode:absolute,to:'"&amp;TEXT(I96+1/24,"yyyy-MM-DD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https://search-rtdc-monitor-bjffxe2xuh6vdkpspy63sjmuny.us-east-1.es.amazonaws.com/_plugin/kibana/#/discover/Steve-Slow-Train-Analysis-(2080s-and-2083s)?_g=(refreshInterval:(display:Off,section:0,value:0),time:(from:'2016-08-27 13:19:06-0600',mode:absolute,to:'2016-08-27 16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96" s="54" t="str">
        <f>IF(AA96&lt;IF(AG96="EC",23,5.65),"Y","N")</f>
        <v>N</v>
      </c>
      <c r="X96" s="120">
        <f>VALUE(LEFT(AD96,4))-VALUE(LEFT(AD95,4))</f>
        <v>1</v>
      </c>
      <c r="Y96" s="69">
        <f>RIGHT(D96,LEN(D96)-4)/10000</f>
        <v>23.305299999999999</v>
      </c>
      <c r="Z96" s="69">
        <f>RIGHT(H96,LEN(H96)-4)/10000</f>
        <v>1.67E-2</v>
      </c>
      <c r="AA96" s="69">
        <f>ABS(Z96-Y96)</f>
        <v>23.288599999999999</v>
      </c>
      <c r="AB96" s="66" t="e">
        <f>VLOOKUP(A96,Enforcements!$C$7:$J$21,8,0)</f>
        <v>#N/A</v>
      </c>
      <c r="AC96" s="62" t="e">
        <f>VLOOKUP(A96,Enforcements!$C$7:$E$21,3,0)</f>
        <v>#N/A</v>
      </c>
      <c r="AD96" s="63" t="str">
        <f>IF(LEN(A96)=6,"0"&amp;A96,A96)</f>
        <v>0180-27</v>
      </c>
      <c r="AE96" s="99" t="str">
        <f>"aws s3 cp "&amp;s3_bucket&amp;"/RTDC"&amp;B96&amp;"/"&amp;TEXT(F96,"YYYY-MM-DD")&amp;"/ "&amp;search_path&amp;"\RTDC"&amp;B96&amp;"\"&amp;TEXT(F96,"YYYY-MM-DD")&amp;" --recursive &amp; """&amp;walkandungz&amp;""" "&amp;search_path&amp;"\RTDC"&amp;B96&amp;"\"&amp;TEXT(F96,"YYYY-MM-DD")
&amp;" &amp; "&amp;"aws s3 cp "&amp;s3_bucket&amp;"/RTDC"&amp;B96&amp;"/"&amp;TEXT(F96+1,"YYYY-MM-DD")&amp;"/ "&amp;search_path&amp;"\RTDC"&amp;B96&amp;"\"&amp;TEXT(F96+1,"YYYY-MM-DD")&amp;" --recursive &amp; """&amp;walkandungz&amp;""" "&amp;search_path&amp;"\RTDC"&amp;B96&amp;"\"&amp;TEXT(F96+1,"YYYY-MM-DD")</f>
        <v>aws s3 cp s3://rtdc.mdm.uploadarchive/RTDC4041/2016-08-27/ "%USERPROFILE%\AppData\Local\Temp\OnboardLogs"\RTDC4041\2016-08-27 --recursive &amp; "%USERPROFILE%\Documents\GitHub\mrs-test-scripts\Headless Mode &amp; Sideloading\WalkAndUnGZ.bat" "%USERPROFILE%\AppData\Local\Temp\OnboardLogs"\RTDC4041\2016-08-27 &amp; 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</v>
      </c>
      <c r="AF96" s="96" t="str">
        <f>astrogrep_path&amp;" /spath="&amp;search_path&amp;" /stypes=""*"&amp;B96&amp;"*"&amp;TEXT(I96-utc_offset/24,"YYYYMMDD")&amp;"*"" /stext="" "&amp;TEXT(I96-utc_offset/24,"HH")&amp;search_regexp&amp;""" /e /r /s"</f>
        <v>"C:\Program Files (x86)\AstroGrep\AstroGrep.exe" /spath="%USERPROFILE%\AppData\Local\Temp\OnboardLogs" /stypes="*4041*20160827*" /stext=" 21:.+((SYSTEM_STATE.+slice.+state.+changed )|(ment ac)|(system.+state.+changed )|(\|lc)|(penalty)|(\[timeout)|(PRM\|1\|D)|(kpr)|(kdp))" /e /r /s</v>
      </c>
      <c r="AG96" s="1" t="str">
        <f>IFERROR(IF(VALUE(LEFT(AD96,2))&lt;=2,"EC",IF(OR(VALUE(LEFT(AD96,2))=8,VALUE(LEFT(AD96,2))=18),"NW","Other")),"Other")</f>
        <v>EC</v>
      </c>
      <c r="AH96" s="100" t="str">
        <f t="shared" si="76"/>
        <v>"%USERPROFILE%\Documents\GitHub\eaglep3\Utilities\RefineRTDCRunTimes.py" --tripid 180-27 --locoid 4041 --swversion DE.1.0.7.0 --startMP 204:233053 --initTime 2016-08-27T14:19:06 --startdatetime 2016-08-27T14:26:15 --delay 1 --endMP 204:167 --enddatetime 2016-08-27T15:06:38 --enforcementcount 0 &gt;&gt;C:\Users\stu\Documents\GitHub\eaglep3-reporting\EC\2016-08-27-refined-times.txt</v>
      </c>
      <c r="AI96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{"issue":{"subject":"","project_id":79,"tracker_id":40,"status_id":1,"priority_id":2,"assigned_to_id":23,"start_date":"2016-08-27","description":"","custom_fields":[{"id":1,"name":"Subdivision","value":"EC"},{"id":4,"name":"Milepost","value":"23.2886"},{"id":17,"name":"Train ID","value":"180-27"},{"id":16,"name":"Locomotive ID","value":"4041"},{"id":130,"name":"Impact","value":""},{"id":150,"name":"Time of Event (Mountain Time)","value":"15:06:38"},{"id":151,"name":"Denver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524</v>
      </c>
      <c r="B97" s="7">
        <v>4029</v>
      </c>
      <c r="C97" s="24" t="s">
        <v>113</v>
      </c>
      <c r="D97" s="24" t="s">
        <v>525</v>
      </c>
      <c r="E97" s="15">
        <v>42609.579791666663</v>
      </c>
      <c r="F97" s="15">
        <v>42609.580960648149</v>
      </c>
      <c r="G97" s="7">
        <v>1</v>
      </c>
      <c r="H97" s="15" t="s">
        <v>343</v>
      </c>
      <c r="I97" s="15">
        <v>42609.606064814812</v>
      </c>
      <c r="J97" s="7">
        <v>0</v>
      </c>
      <c r="K97" s="132" t="str">
        <f>IF(ISEVEN(B97),(B97-1)&amp;"/"&amp;B97,B97&amp;"/"&amp;(B97+1))</f>
        <v>4029/4030</v>
      </c>
      <c r="L97" s="24" t="str">
        <f>VLOOKUP(A97,'Trips&amp;Operators'!$C$1:$E$10000,3,FALSE)</f>
        <v>BROWN</v>
      </c>
      <c r="M97" s="6">
        <f>I97-F97</f>
        <v>2.5104166663368233E-2</v>
      </c>
      <c r="N97" s="7"/>
      <c r="O97" s="7"/>
      <c r="P97" s="7">
        <f>24*60*SUM($M97:$M97)</f>
        <v>36.149999995250255</v>
      </c>
      <c r="Q97" s="25"/>
      <c r="R97" s="25" t="s">
        <v>706</v>
      </c>
      <c r="S97" s="37">
        <f>SUM(U97:U97)/IF(AG97="EC",12,1)</f>
        <v>1</v>
      </c>
      <c r="T97" s="52" t="str">
        <f>IF(ISEVEN(LEFT(AD97,4)),"Southbound","NorthBound")</f>
        <v>NorthBound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hh:mm:ss")&amp;"-0600',mode:absolute,to:'"&amp;TEXT(I97+1/24,"yyyy-MM-DD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https://search-rtdc-monitor-bjffxe2xuh6vdkpspy63sjmuny.us-east-1.es.amazonaws.com/_plugin/kibana/#/discover/Steve-Slow-Train-Analysis-(2080s-and-2083s)?_g=(refreshInterval:(display:Off,section:0,value:0),time:(from:'2016-08-27 12:54:54-0600',mode:absolute,to:'2016-08-27 15:32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97" s="54" t="str">
        <f>IF(AA97&lt;IF(AG97="EC",23,5.65),"Y","N")</f>
        <v>Y</v>
      </c>
      <c r="X97" s="120">
        <f>VALUE(LEFT(AD97,4))-VALUE(LEFT(AD96,4))</f>
        <v>1</v>
      </c>
      <c r="Y97" s="69">
        <f>RIGHT(D97,LEN(D97)-4)/10000</f>
        <v>1.9134</v>
      </c>
      <c r="Z97" s="69">
        <f>RIGHT(H97,LEN(H97)-4)/10000</f>
        <v>23.329499999999999</v>
      </c>
      <c r="AA97" s="69">
        <f>ABS(Z97-Y97)</f>
        <v>21.4161</v>
      </c>
      <c r="AB97" s="66" t="e">
        <f>VLOOKUP(A97,Enforcements!$C$7:$J$21,8,0)</f>
        <v>#N/A</v>
      </c>
      <c r="AC97" s="62" t="e">
        <f>VLOOKUP(A97,Enforcements!$C$7:$E$21,3,0)</f>
        <v>#N/A</v>
      </c>
      <c r="AD97" s="63" t="str">
        <f>IF(LEN(A97)=6,"0"&amp;A97,A97)</f>
        <v>0181-27</v>
      </c>
      <c r="AE97" s="99" t="str">
        <f>"aws s3 cp "&amp;s3_bucket&amp;"/RTDC"&amp;B97&amp;"/"&amp;TEXT(F97,"YYYY-MM-DD")&amp;"/ "&amp;search_path&amp;"\RTDC"&amp;B97&amp;"\"&amp;TEXT(F97,"YYYY-MM-DD")&amp;" --recursive &amp; """&amp;walkandungz&amp;""" "&amp;search_path&amp;"\RTDC"&amp;B97&amp;"\"&amp;TEXT(F97,"YYYY-MM-DD")
&amp;" &amp; "&amp;"aws s3 cp "&amp;s3_bucket&amp;"/RTDC"&amp;B97&amp;"/"&amp;TEXT(F97+1,"YYYY-MM-DD")&amp;"/ "&amp;search_path&amp;"\RTDC"&amp;B97&amp;"\"&amp;TEXT(F97+1,"YYYY-MM-DD")&amp;" --recursive &amp; """&amp;walkandungz&amp;""" "&amp;search_path&amp;"\RTDC"&amp;B97&amp;"\"&amp;TEXT(F97+1,"YYYY-MM-DD")</f>
        <v>aws s3 cp s3://rtdc.mdm.uploadarchive/RTDC4029/2016-08-27/ "%USERPROFILE%\AppData\Local\Temp\OnboardLogs"\RTDC4029\2016-08-27 --recursive &amp; "%USERPROFILE%\Documents\GitHub\mrs-test-scripts\Headless Mode &amp; Sideloading\WalkAndUnGZ.bat" "%USERPROFILE%\AppData\Local\Temp\OnboardLogs"\RTDC4029\2016-08-27 &amp; aws s3 cp s3://rtdc.mdm.uploadarchive/RTDC4029/2016-08-28/ "%USERPROFILE%\AppData\Local\Temp\OnboardLogs"\RTDC4029\2016-08-28 --recursive &amp; "%USERPROFILE%\Documents\GitHub\mrs-test-scripts\Headless Mode &amp; Sideloading\WalkAndUnGZ.bat" "%USERPROFILE%\AppData\Local\Temp\OnboardLogs"\RTDC4029\2016-08-28</v>
      </c>
      <c r="AF97" s="96" t="str">
        <f>astrogrep_path&amp;" /spath="&amp;search_path&amp;" /stypes=""*"&amp;B97&amp;"*"&amp;TEXT(I97-utc_offset/24,"YYYYMMDD")&amp;"*"" /stext="" "&amp;TEXT(I97-utc_offset/24,"HH")&amp;search_regexp&amp;""" /e /r /s"</f>
        <v>"C:\Program Files (x86)\AstroGrep\AstroGrep.exe" /spath="%USERPROFILE%\AppData\Local\Temp\OnboardLogs" /stypes="*4029*20160827*" /stext=" 20:.+((SYSTEM_STATE.+slice.+state.+changed )|(ment ac)|(system.+state.+changed )|(\|lc)|(penalty)|(\[timeout)|(PRM\|1\|D)|(kpr)|(kdp))" /e /r /s</v>
      </c>
      <c r="AG97" s="1" t="str">
        <f>IFERROR(IF(VALUE(LEFT(AD97,2))&lt;=2,"EC",IF(OR(VALUE(LEFT(AD97,2))=8,VALUE(LEFT(AD97,2))=18),"NW","Other")),"Other")</f>
        <v>EC</v>
      </c>
      <c r="AH97" s="100" t="str">
        <f t="shared" si="76"/>
        <v>"%USERPROFILE%\Documents\GitHub\eaglep3\Utilities\RefineRTDCRunTimes.py" --tripid 181-27 --locoid 4029 --swversion DE.1.0.7.0 --startMP 204:19134 --initTime 2016-08-27T13:54:54 --startdatetime 2016-08-27T13:56:35 --delay 1 --endMP 204:233295 --enddatetime 2016-08-27T14:32:44 --enforcementcount 0 &gt;&gt;C:\Users\stu\Documents\GitHub\eaglep3-reporting\EC\2016-08-27-refined-times.txt</v>
      </c>
      <c r="AI97" s="149" t="str">
        <f t="shared" si="77"/>
        <v>echo {"issue":{"subject":"Consist wasn't correctly populated while init'ing at DUS","project_id":79,"tracker_id":40,"status_id":1,"priority_id":2,"assigned_to_id":23,"start_date":"2016-08-27","description":"","custom_fields":[{"id":1,"name":"Subdivision","value":"EC"},{"id":4,"name":"Milepost","value":"21.4161"},{"id":17,"name":"Train ID","value":"181-27"},{"id":16,"name":"Locomotive ID","value":"4029"},{"id":130,"name":"Impact","value":""},{"id":150,"name":"Time of Event (Mountain Time)","value":"14:32:44"},{"id":151,"name":"Denver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x14ac:dyDescent="0.25">
      <c r="A98" s="39" t="s">
        <v>546</v>
      </c>
      <c r="B98" s="7">
        <v>4030</v>
      </c>
      <c r="C98" s="24" t="s">
        <v>113</v>
      </c>
      <c r="D98" s="24" t="s">
        <v>412</v>
      </c>
      <c r="E98" s="15">
        <v>42609.60837962963</v>
      </c>
      <c r="F98" s="15">
        <v>42609.61209490741</v>
      </c>
      <c r="G98" s="7">
        <v>1</v>
      </c>
      <c r="H98" s="15" t="s">
        <v>202</v>
      </c>
      <c r="I98" s="15">
        <v>42609.639826388891</v>
      </c>
      <c r="J98" s="7">
        <v>0</v>
      </c>
      <c r="K98" s="132" t="str">
        <f>IF(ISEVEN(B98),(B98-1)&amp;"/"&amp;B98,B98&amp;"/"&amp;(B98+1))</f>
        <v>4029/4030</v>
      </c>
      <c r="L98" s="24" t="str">
        <f>VLOOKUP(A98,'Trips&amp;Operators'!$C$1:$E$10000,3,FALSE)</f>
        <v>BROWN</v>
      </c>
      <c r="M98" s="6">
        <f>I98-F98</f>
        <v>2.7731481481168885E-2</v>
      </c>
      <c r="N98" s="7">
        <f>24*60*SUM($M98:$M98)</f>
        <v>39.933333332883194</v>
      </c>
      <c r="O98" s="7"/>
      <c r="P98" s="7"/>
      <c r="Q98" s="25"/>
      <c r="R98" s="25"/>
      <c r="S98" s="37">
        <f>SUM(U98:U98)/IF(AG98="EC",12,1)</f>
        <v>1</v>
      </c>
      <c r="T98" s="52" t="str">
        <f>IF(ISEVEN(LEFT(AD98,4)),"Southbound","NorthBound")</f>
        <v>Southbound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hh:mm:ss")&amp;"-0600',mode:absolute,to:'"&amp;TEXT(I98+1/24,"yyyy-MM-DD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https://search-rtdc-monitor-bjffxe2xuh6vdkpspy63sjmuny.us-east-1.es.amazonaws.com/_plugin/kibana/#/discover/Steve-Slow-Train-Analysis-(2080s-and-2083s)?_g=(refreshInterval:(display:Off,section:0,value:0),time:(from:'2016-08-27 13:36:04-0600',mode:absolute,to:'2016-08-27 16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98" s="54" t="str">
        <f>IF(AA98&lt;IF(AG98="EC",23,5.65),"Y","N")</f>
        <v>N</v>
      </c>
      <c r="X98" s="120">
        <f>VALUE(LEFT(AD98,4))-VALUE(LEFT(AD97,4))</f>
        <v>1</v>
      </c>
      <c r="Y98" s="69">
        <f>RIGHT(D98,LEN(D98)-4)/10000</f>
        <v>23.2973</v>
      </c>
      <c r="Z98" s="69">
        <f>RIGHT(H98,LEN(H98)-4)/10000</f>
        <v>1.3899999999999999E-2</v>
      </c>
      <c r="AA98" s="69">
        <f>ABS(Z98-Y98)</f>
        <v>23.2834</v>
      </c>
      <c r="AB98" s="66" t="e">
        <f>VLOOKUP(A98,Enforcements!$C$7:$J$21,8,0)</f>
        <v>#N/A</v>
      </c>
      <c r="AC98" s="62" t="e">
        <f>VLOOKUP(A98,Enforcements!$C$7:$E$21,3,0)</f>
        <v>#N/A</v>
      </c>
      <c r="AD98" s="63" t="str">
        <f>IF(LEN(A98)=6,"0"&amp;A98,A98)</f>
        <v>0182-27</v>
      </c>
      <c r="AE98" s="99" t="str">
        <f>"aws s3 cp "&amp;s3_bucket&amp;"/RTDC"&amp;B98&amp;"/"&amp;TEXT(F98,"YYYY-MM-DD")&amp;"/ "&amp;search_path&amp;"\RTDC"&amp;B98&amp;"\"&amp;TEXT(F98,"YYYY-MM-DD")&amp;" --recursive &amp; """&amp;walkandungz&amp;""" "&amp;search_path&amp;"\RTDC"&amp;B98&amp;"\"&amp;TEXT(F98,"YYYY-MM-DD")
&amp;" &amp; "&amp;"aws s3 cp "&amp;s3_bucket&amp;"/RTDC"&amp;B98&amp;"/"&amp;TEXT(F98+1,"YYYY-MM-DD")&amp;"/ "&amp;search_path&amp;"\RTDC"&amp;B98&amp;"\"&amp;TEXT(F98+1,"YYYY-MM-DD")&amp;" --recursive &amp; """&amp;walkandungz&amp;""" "&amp;search_path&amp;"\RTDC"&amp;B98&amp;"\"&amp;TEXT(F98+1,"YYYY-MM-DD")</f>
        <v>aws s3 cp s3://rtdc.mdm.uploadarchive/RTDC4030/2016-08-27/ "%USERPROFILE%\AppData\Local\Temp\OnboardLogs"\RTDC4030\2016-08-27 --recursive &amp; "%USERPROFILE%\Documents\GitHub\mrs-test-scripts\Headless Mode &amp; Sideloading\WalkAndUnGZ.bat" "%USERPROFILE%\AppData\Local\Temp\OnboardLogs"\RTDC4030\2016-08-27 &amp; 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</v>
      </c>
      <c r="AF98" s="96" t="str">
        <f>astrogrep_path&amp;" /spath="&amp;search_path&amp;" /stypes=""*"&amp;B98&amp;"*"&amp;TEXT(I98-utc_offset/24,"YYYYMMDD")&amp;"*"" /stext="" "&amp;TEXT(I98-utc_offset/24,"HH")&amp;search_regexp&amp;""" /e /r /s"</f>
        <v>"C:\Program Files (x86)\AstroGrep\AstroGrep.exe" /spath="%USERPROFILE%\AppData\Local\Temp\OnboardLogs" /stypes="*4030*20160827*" /stext=" 21:.+((SYSTEM_STATE.+slice.+state.+changed )|(ment ac)|(system.+state.+changed )|(\|lc)|(penalty)|(\[timeout)|(PRM\|1\|D)|(kpr)|(kdp))" /e /r /s</v>
      </c>
      <c r="AG98" s="1" t="str">
        <f>IFERROR(IF(VALUE(LEFT(AD98,2))&lt;=2,"EC",IF(OR(VALUE(LEFT(AD98,2))=8,VALUE(LEFT(AD98,2))=18),"NW","Other")),"Other")</f>
        <v>EC</v>
      </c>
      <c r="AH98" s="100" t="str">
        <f t="shared" si="76"/>
        <v>"%USERPROFILE%\Documents\GitHub\eaglep3\Utilities\RefineRTDCRunTimes.py" --tripid 182-27 --locoid 4030 --swversion DE.1.0.7.0 --startMP 204:232973 --initTime 2016-08-27T14:36:04 --startdatetime 2016-08-27T14:41:25 --delay 1 --endMP 204:139 --enddatetime 2016-08-27T15:21:21 --enforcementcount 0 &gt;&gt;C:\Users\stu\Documents\GitHub\eaglep3-reporting\EC\2016-08-27-refined-times.txt</v>
      </c>
      <c r="AI98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{"issue":{"subject":"","project_id":79,"tracker_id":40,"status_id":1,"priority_id":2,"assigned_to_id":23,"start_date":"2016-08-27","description":"","custom_fields":[{"id":1,"name":"Subdivision","value":"EC"},{"id":4,"name":"Milepost","value":"23.2834"},{"id":17,"name":"Train ID","value":"182-27"},{"id":16,"name":"Locomotive ID","value":"4030"},{"id":130,"name":"Impact","value":""},{"id":150,"name":"Time of Event (Mountain Time)","value":"15:21:21"},{"id":151,"name":"Denver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568</v>
      </c>
      <c r="B99" s="7">
        <v>4014</v>
      </c>
      <c r="C99" s="24" t="s">
        <v>113</v>
      </c>
      <c r="D99" s="24" t="s">
        <v>274</v>
      </c>
      <c r="E99" s="15">
        <v>42609.580462962964</v>
      </c>
      <c r="F99" s="15">
        <v>42609.583518518521</v>
      </c>
      <c r="G99" s="7">
        <v>1</v>
      </c>
      <c r="H99" s="15" t="s">
        <v>569</v>
      </c>
      <c r="I99" s="15">
        <v>42609.611342592594</v>
      </c>
      <c r="J99" s="7">
        <v>0</v>
      </c>
      <c r="K99" s="132" t="str">
        <f>IF(ISEVEN(B99),(B99-1)&amp;"/"&amp;B99,B99&amp;"/"&amp;(B99+1))</f>
        <v>4013/4014</v>
      </c>
      <c r="L99" s="24" t="str">
        <f>VLOOKUP(A99,'Trips&amp;Operators'!$C$1:$E$10000,3,FALSE)</f>
        <v>STORY</v>
      </c>
      <c r="M99" s="6">
        <f>I99-F99</f>
        <v>2.7824074073578231E-2</v>
      </c>
      <c r="N99" s="7">
        <f>24*60*SUM($M99:$M99)</f>
        <v>40.066666665952653</v>
      </c>
      <c r="O99" s="7"/>
      <c r="P99" s="7"/>
      <c r="Q99" s="25"/>
      <c r="R99" s="25"/>
      <c r="S99" s="37">
        <f>SUM(U99:U99)/IF(AG99="EC",12,1)</f>
        <v>1</v>
      </c>
      <c r="T99" s="52" t="str">
        <f>IF(ISEVEN(LEFT(AD99,4)),"Southbound","NorthBound")</f>
        <v>NorthBound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hh:mm:ss")&amp;"-0600',mode:absolute,to:'"&amp;TEXT(I99+1/24,"yyyy-MM-DD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https://search-rtdc-monitor-bjffxe2xuh6vdkpspy63sjmuny.us-east-1.es.amazonaws.com/_plugin/kibana/#/discover/Steve-Slow-Train-Analysis-(2080s-and-2083s)?_g=(refreshInterval:(display:Off,section:0,value:0),time:(from:'2016-08-27 12:55:52-0600',mode:absolute,to:'2016-08-27 15:40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99" s="54" t="str">
        <f>IF(AA99&lt;IF(AG99="EC",23,5.65),"Y","N")</f>
        <v>N</v>
      </c>
      <c r="X99" s="120">
        <f>VALUE(LEFT(AD99,4))-VALUE(LEFT(AD98,4))</f>
        <v>1</v>
      </c>
      <c r="Y99" s="69">
        <f>RIGHT(D99,LEN(D99)-4)/10000</f>
        <v>4.3799999999999999E-2</v>
      </c>
      <c r="Z99" s="69">
        <f>RIGHT(H99,LEN(H99)-4)/10000</f>
        <v>23.331700000000001</v>
      </c>
      <c r="AA99" s="69">
        <f>ABS(Z99-Y99)</f>
        <v>23.2879</v>
      </c>
      <c r="AB99" s="66" t="e">
        <f>VLOOKUP(A99,Enforcements!$C$7:$J$21,8,0)</f>
        <v>#N/A</v>
      </c>
      <c r="AC99" s="62" t="e">
        <f>VLOOKUP(A99,Enforcements!$C$7:$E$21,3,0)</f>
        <v>#N/A</v>
      </c>
      <c r="AD99" s="63" t="str">
        <f>IF(LEN(A99)=6,"0"&amp;A99,A99)</f>
        <v>0183-27</v>
      </c>
      <c r="AE99" s="99" t="str">
        <f>"aws s3 cp "&amp;s3_bucket&amp;"/RTDC"&amp;B99&amp;"/"&amp;TEXT(F99,"YYYY-MM-DD")&amp;"/ "&amp;search_path&amp;"\RTDC"&amp;B99&amp;"\"&amp;TEXT(F99,"YYYY-MM-DD")&amp;" --recursive &amp; """&amp;walkandungz&amp;""" "&amp;search_path&amp;"\RTDC"&amp;B99&amp;"\"&amp;TEXT(F99,"YYYY-MM-DD")
&amp;" &amp; "&amp;"aws s3 cp "&amp;s3_bucket&amp;"/RTDC"&amp;B99&amp;"/"&amp;TEXT(F99+1,"YYYY-MM-DD")&amp;"/ "&amp;search_path&amp;"\RTDC"&amp;B99&amp;"\"&amp;TEXT(F99+1,"YYYY-MM-DD")&amp;" --recursive &amp; """&amp;walkandungz&amp;""" "&amp;search_path&amp;"\RTDC"&amp;B99&amp;"\"&amp;TEXT(F99+1,"YYYY-MM-DD")</f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AF99" s="96" t="str">
        <f>astrogrep_path&amp;" /spath="&amp;search_path&amp;" /stypes=""*"&amp;B99&amp;"*"&amp;TEXT(I99-utc_offset/24,"YYYYMMDD")&amp;"*"" /stext="" "&amp;TEXT(I99-utc_offset/24,"HH")&amp;search_regexp&amp;""" /e /r /s"</f>
        <v>"C:\Program Files (x86)\AstroGrep\AstroGrep.exe" /spath="%USERPROFILE%\AppData\Local\Temp\OnboardLogs" /stypes="*4014*20160827*" /stext=" 20:.+((SYSTEM_STATE.+slice.+state.+changed )|(ment ac)|(system.+state.+changed )|(\|lc)|(penalty)|(\[timeout)|(PRM\|1\|D)|(kpr)|(kdp))" /e /r /s</v>
      </c>
      <c r="AG99" s="1" t="str">
        <f>IFERROR(IF(VALUE(LEFT(AD99,2))&lt;=2,"EC",IF(OR(VALUE(LEFT(AD99,2))=8,VALUE(LEFT(AD99,2))=18),"NW","Other")),"Other")</f>
        <v>EC</v>
      </c>
      <c r="AH99" s="100" t="str">
        <f t="shared" si="76"/>
        <v>"%USERPROFILE%\Documents\GitHub\eaglep3\Utilities\RefineRTDCRunTimes.py" --tripid 183-27 --locoid 4014 --swversion DE.1.0.7.0 --startMP 204:438 --initTime 2016-08-27T13:55:52 --startdatetime 2016-08-27T14:00:16 --delay 1 --endMP 204:233317 --enddatetime 2016-08-27T14:40:20 --enforcementcount 0 &gt;&gt;C:\Users\stu\Documents\GitHub\eaglep3-reporting\EC\2016-08-27-refined-times.txt</v>
      </c>
      <c r="AI99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{"issue":{"subject":"","project_id":79,"tracker_id":40,"status_id":1,"priority_id":2,"assigned_to_id":23,"start_date":"2016-08-27","description":"","custom_fields":[{"id":1,"name":"Subdivision","value":"EC"},{"id":4,"name":"Milepost","value":"23.2879"},{"id":17,"name":"Train ID","value":"183-27"},{"id":16,"name":"Locomotive ID","value":"4014"},{"id":130,"name":"Impact","value":""},{"id":150,"name":"Time of Event (Mountain Time)","value":"14:40:20"},{"id":151,"name":"Denver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577</v>
      </c>
      <c r="B100" s="7">
        <v>4013</v>
      </c>
      <c r="C100" s="24" t="s">
        <v>113</v>
      </c>
      <c r="D100" s="24" t="s">
        <v>273</v>
      </c>
      <c r="E100" s="15">
        <v>42609.615891203706</v>
      </c>
      <c r="F100" s="15">
        <v>42609.622442129628</v>
      </c>
      <c r="G100" s="7">
        <v>1</v>
      </c>
      <c r="H100" s="15" t="s">
        <v>153</v>
      </c>
      <c r="I100" s="15">
        <v>42609.650717592594</v>
      </c>
      <c r="J100" s="7">
        <v>0</v>
      </c>
      <c r="K100" s="132" t="str">
        <f>IF(ISEVEN(B100),(B100-1)&amp;"/"&amp;B100,B100&amp;"/"&amp;(B100+1))</f>
        <v>4013/4014</v>
      </c>
      <c r="L100" s="24" t="str">
        <f>VLOOKUP(A100,'Trips&amp;Operators'!$C$1:$E$10000,3,FALSE)</f>
        <v>STORY</v>
      </c>
      <c r="M100" s="6">
        <f>I100-F100</f>
        <v>2.8275462966121268E-2</v>
      </c>
      <c r="N100" s="7">
        <f>24*60*SUM($M100:$M100)</f>
        <v>40.716666671214625</v>
      </c>
      <c r="O100" s="7"/>
      <c r="P100" s="7"/>
      <c r="Q100" s="25"/>
      <c r="R100" s="25"/>
      <c r="S100" s="37">
        <f>SUM(U100:U100)/IF(AG100="EC",12,1)</f>
        <v>1</v>
      </c>
      <c r="T100" s="52" t="str">
        <f>IF(ISEVEN(LEFT(AD100,4)),"Southbound","NorthBound")</f>
        <v>Southbound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hh:mm:ss")&amp;"-0600',mode:absolute,to:'"&amp;TEXT(I100+1/24,"yyyy-MM-DD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https://search-rtdc-monitor-bjffxe2xuh6vdkpspy63sjmuny.us-east-1.es.amazonaws.com/_plugin/kibana/#/discover/Steve-Slow-Train-Analysis-(2080s-and-2083s)?_g=(refreshInterval:(display:Off,section:0,value:0),time:(from:'2016-08-27 13:46:53-0600',mode:absolute,to:'2016-08-27 16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00" s="54" t="str">
        <f>IF(AA100&lt;IF(AG100="EC",23,5.65),"Y","N")</f>
        <v>N</v>
      </c>
      <c r="X100" s="120">
        <f>VALUE(LEFT(AD100,4))-VALUE(LEFT(AD99,4))</f>
        <v>1</v>
      </c>
      <c r="Y100" s="69">
        <f>RIGHT(D100,LEN(D100)-4)/10000</f>
        <v>23.299299999999999</v>
      </c>
      <c r="Z100" s="69">
        <f>RIGHT(H100,LEN(H100)-4)/10000</f>
        <v>1.5599999999999999E-2</v>
      </c>
      <c r="AA100" s="69">
        <f>ABS(Z100-Y100)</f>
        <v>23.2837</v>
      </c>
      <c r="AB100" s="66" t="e">
        <f>VLOOKUP(A100,Enforcements!$C$7:$J$21,8,0)</f>
        <v>#N/A</v>
      </c>
      <c r="AC100" s="62" t="e">
        <f>VLOOKUP(A100,Enforcements!$C$7:$E$21,3,0)</f>
        <v>#N/A</v>
      </c>
      <c r="AD100" s="63" t="str">
        <f>IF(LEN(A100)=6,"0"&amp;A100,A100)</f>
        <v>0184-27</v>
      </c>
      <c r="AE100" s="99" t="str">
        <f>"aws s3 cp "&amp;s3_bucket&amp;"/RTDC"&amp;B100&amp;"/"&amp;TEXT(F100,"YYYY-MM-DD")&amp;"/ "&amp;search_path&amp;"\RTDC"&amp;B100&amp;"\"&amp;TEXT(F100,"YYYY-MM-DD")&amp;" --recursive &amp; """&amp;walkandungz&amp;""" "&amp;search_path&amp;"\RTDC"&amp;B100&amp;"\"&amp;TEXT(F100,"YYYY-MM-DD")
&amp;" &amp; "&amp;"aws s3 cp "&amp;s3_bucket&amp;"/RTDC"&amp;B100&amp;"/"&amp;TEXT(F100+1,"YYYY-MM-DD")&amp;"/ "&amp;search_path&amp;"\RTDC"&amp;B100&amp;"\"&amp;TEXT(F100+1,"YYYY-MM-DD")&amp;" --recursive &amp; """&amp;walkandungz&amp;""" "&amp;search_path&amp;"\RTDC"&amp;B100&amp;"\"&amp;TEXT(F100+1,"YYYY-MM-DD")</f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AF100" s="96" t="str">
        <f>astrogrep_path&amp;" /spath="&amp;search_path&amp;" /stypes=""*"&amp;B100&amp;"*"&amp;TEXT(I100-utc_offset/24,"YYYYMMDD")&amp;"*"" /stext="" "&amp;TEXT(I100-utc_offset/24,"HH")&amp;search_regexp&amp;""" /e /r /s"</f>
        <v>"C:\Program Files (x86)\AstroGrep\AstroGrep.exe" /spath="%USERPROFILE%\AppData\Local\Temp\OnboardLogs" /stypes="*4013*20160827*" /stext=" 21:.+((SYSTEM_STATE.+slice.+state.+changed )|(ment ac)|(system.+state.+changed )|(\|lc)|(penalty)|(\[timeout)|(PRM\|1\|D)|(kpr)|(kdp))" /e /r /s</v>
      </c>
      <c r="AG100" s="1" t="str">
        <f>IFERROR(IF(VALUE(LEFT(AD100,2))&lt;=2,"EC",IF(OR(VALUE(LEFT(AD100,2))=8,VALUE(LEFT(AD100,2))=18),"NW","Other")),"Other")</f>
        <v>EC</v>
      </c>
      <c r="AH100" s="100" t="str">
        <f t="shared" si="76"/>
        <v>"%USERPROFILE%\Documents\GitHub\eaglep3\Utilities\RefineRTDCRunTimes.py" --tripid 184-27 --locoid 4013 --swversion DE.1.0.7.0 --startMP 204:232993 --initTime 2016-08-27T14:46:53 --startdatetime 2016-08-27T14:56:19 --delay 1 --endMP 204:156 --enddatetime 2016-08-27T15:37:02 --enforcementcount 0 &gt;&gt;C:\Users\stu\Documents\GitHub\eaglep3-reporting\EC\2016-08-27-refined-times.txt</v>
      </c>
      <c r="AI100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{"issue":{"subject":"","project_id":79,"tracker_id":40,"status_id":1,"priority_id":2,"assigned_to_id":23,"start_date":"2016-08-27","description":"","custom_fields":[{"id":1,"name":"Subdivision","value":"EC"},{"id":4,"name":"Milepost","value":"23.2837"},{"id":17,"name":"Train ID","value":"184-27"},{"id":16,"name":"Locomotive ID","value":"4013"},{"id":130,"name":"Impact","value":""},{"id":150,"name":"Time of Event (Mountain Time)","value":"15:37:02"},{"id":151,"name":"Denver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578</v>
      </c>
      <c r="B101" s="7">
        <v>4025</v>
      </c>
      <c r="C101" s="24" t="s">
        <v>113</v>
      </c>
      <c r="D101" s="24" t="s">
        <v>141</v>
      </c>
      <c r="E101" s="15">
        <v>42609.589814814812</v>
      </c>
      <c r="F101" s="15">
        <v>42609.593946759262</v>
      </c>
      <c r="G101" s="7">
        <v>1</v>
      </c>
      <c r="H101" s="15" t="s">
        <v>200</v>
      </c>
      <c r="I101" s="15">
        <v>42609.619849537034</v>
      </c>
      <c r="J101" s="7">
        <v>0</v>
      </c>
      <c r="K101" s="132" t="str">
        <f>IF(ISEVEN(B101),(B101-1)&amp;"/"&amp;B101,B101&amp;"/"&amp;(B101+1))</f>
        <v>4025/4026</v>
      </c>
      <c r="L101" s="24" t="str">
        <f>VLOOKUP(A101,'Trips&amp;Operators'!$C$1:$E$10000,3,FALSE)</f>
        <v>WEBSTER</v>
      </c>
      <c r="M101" s="6">
        <f>I101-F101</f>
        <v>2.5902777771989349E-2</v>
      </c>
      <c r="N101" s="7">
        <f>24*60*SUM($M101:$M101)</f>
        <v>37.299999991664663</v>
      </c>
      <c r="O101" s="7"/>
      <c r="P101" s="7"/>
      <c r="Q101" s="25"/>
      <c r="R101" s="25"/>
      <c r="S101" s="37">
        <f>SUM(U101:U101)/IF(AG101="EC",12,1)</f>
        <v>1</v>
      </c>
      <c r="T101" s="52" t="str">
        <f>IF(ISEVEN(LEFT(AD101,4)),"Southbound","NorthBound")</f>
        <v>NorthBound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hh:mm:ss")&amp;"-0600',mode:absolute,to:'"&amp;TEXT(I101+1/24,"yyyy-MM-DD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https://search-rtdc-monitor-bjffxe2xuh6vdkpspy63sjmuny.us-east-1.es.amazonaws.com/_plugin/kibana/#/discover/Steve-Slow-Train-Analysis-(2080s-and-2083s)?_g=(refreshInterval:(display:Off,section:0,value:0),time:(from:'2016-08-27 13:09:20-0600',mode:absolute,to:'2016-08-27 15:52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01" s="54" t="str">
        <f>IF(AA101&lt;IF(AG101="EC",23,5.65),"Y","N")</f>
        <v>N</v>
      </c>
      <c r="X101" s="120">
        <f>VALUE(LEFT(AD101,4))-VALUE(LEFT(AD100,4))</f>
        <v>1</v>
      </c>
      <c r="Y101" s="69">
        <f>RIGHT(D101,LEN(D101)-4)/10000</f>
        <v>4.5699999999999998E-2</v>
      </c>
      <c r="Z101" s="69">
        <f>RIGHT(H101,LEN(H101)-4)/10000</f>
        <v>23.331199999999999</v>
      </c>
      <c r="AA101" s="69">
        <f>ABS(Z101-Y101)</f>
        <v>23.285499999999999</v>
      </c>
      <c r="AB101" s="66" t="e">
        <f>VLOOKUP(A101,Enforcements!$C$7:$J$21,8,0)</f>
        <v>#N/A</v>
      </c>
      <c r="AC101" s="62" t="e">
        <f>VLOOKUP(A101,Enforcements!$C$7:$E$21,3,0)</f>
        <v>#N/A</v>
      </c>
      <c r="AD101" s="63" t="str">
        <f>IF(LEN(A101)=6,"0"&amp;A101,A101)</f>
        <v>0185-27</v>
      </c>
      <c r="AE101" s="99" t="str">
        <f>"aws s3 cp "&amp;s3_bucket&amp;"/RTDC"&amp;B101&amp;"/"&amp;TEXT(F101,"YYYY-MM-DD")&amp;"/ "&amp;search_path&amp;"\RTDC"&amp;B101&amp;"\"&amp;TEXT(F101,"YYYY-MM-DD")&amp;" --recursive &amp; """&amp;walkandungz&amp;""" "&amp;search_path&amp;"\RTDC"&amp;B101&amp;"\"&amp;TEXT(F101,"YYYY-MM-DD")
&amp;" &amp; "&amp;"aws s3 cp "&amp;s3_bucket&amp;"/RTDC"&amp;B101&amp;"/"&amp;TEXT(F101+1,"YYYY-MM-DD")&amp;"/ "&amp;search_path&amp;"\RTDC"&amp;B101&amp;"\"&amp;TEXT(F101+1,"YYYY-MM-DD")&amp;" --recursive &amp; """&amp;walkandungz&amp;""" "&amp;search_path&amp;"\RTDC"&amp;B101&amp;"\"&amp;TEXT(F101+1,"YYYY-MM-DD")</f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101" s="96" t="str">
        <f>astrogrep_path&amp;" /spath="&amp;search_path&amp;" /stypes=""*"&amp;B101&amp;"*"&amp;TEXT(I101-utc_offset/24,"YYYYMMDD")&amp;"*"" /stext="" "&amp;TEXT(I101-utc_offset/24,"HH")&amp;search_regexp&amp;""" /e /r /s"</f>
        <v>"C:\Program Files (x86)\AstroGrep\AstroGrep.exe" /spath="%USERPROFILE%\AppData\Local\Temp\OnboardLogs" /stypes="*4025*20160827*" /stext=" 20:.+((SYSTEM_STATE.+slice.+state.+changed )|(ment ac)|(system.+state.+changed )|(\|lc)|(penalty)|(\[timeout)|(PRM\|1\|D)|(kpr)|(kdp))" /e /r /s</v>
      </c>
      <c r="AG101" s="1" t="str">
        <f>IFERROR(IF(VALUE(LEFT(AD101,2))&lt;=2,"EC",IF(OR(VALUE(LEFT(AD101,2))=8,VALUE(LEFT(AD101,2))=18),"NW","Other")),"Other")</f>
        <v>EC</v>
      </c>
      <c r="AH101" s="100" t="str">
        <f t="shared" si="76"/>
        <v>"%USERPROFILE%\Documents\GitHub\eaglep3\Utilities\RefineRTDCRunTimes.py" --tripid 185-27 --locoid 4025 --swversion DE.1.0.7.0 --startMP 204:457 --initTime 2016-08-27T14:09:20 --startdatetime 2016-08-27T14:15:17 --delay 1 --endMP 204:233312 --enddatetime 2016-08-27T14:52:35 --enforcementcount 0 &gt;&gt;C:\Users\stu\Documents\GitHub\eaglep3-reporting\EC\2016-08-27-refined-times.txt</v>
      </c>
      <c r="AI101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{"issue":{"subject":"","project_id":79,"tracker_id":40,"status_id":1,"priority_id":2,"assigned_to_id":23,"start_date":"2016-08-27","description":"","custom_fields":[{"id":1,"name":"Subdivision","value":"EC"},{"id":4,"name":"Milepost","value":"23.2855"},{"id":17,"name":"Train ID","value":"185-27"},{"id":16,"name":"Locomotive ID","value":"4025"},{"id":130,"name":"Impact","value":""},{"id":150,"name":"Time of Event (Mountain Time)","value":"14:52:35"},{"id":151,"name":"Denver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579</v>
      </c>
      <c r="B102" s="7">
        <v>4026</v>
      </c>
      <c r="C102" s="24" t="s">
        <v>113</v>
      </c>
      <c r="D102" s="24" t="s">
        <v>194</v>
      </c>
      <c r="E102" s="15">
        <v>42609.630069444444</v>
      </c>
      <c r="F102" s="15">
        <v>42609.633009259262</v>
      </c>
      <c r="G102" s="7">
        <v>1</v>
      </c>
      <c r="H102" s="15" t="s">
        <v>183</v>
      </c>
      <c r="I102" s="15">
        <v>42609.660520833335</v>
      </c>
      <c r="J102" s="7">
        <v>0</v>
      </c>
      <c r="K102" s="132" t="str">
        <f>IF(ISEVEN(B102),(B102-1)&amp;"/"&amp;B102,B102&amp;"/"&amp;(B102+1))</f>
        <v>4025/4026</v>
      </c>
      <c r="L102" s="24" t="str">
        <f>VLOOKUP(A102,'Trips&amp;Operators'!$C$1:$E$10000,3,FALSE)</f>
        <v>WEBSTER</v>
      </c>
      <c r="M102" s="6">
        <f>I102-F102</f>
        <v>2.7511574073287193E-2</v>
      </c>
      <c r="N102" s="7">
        <f>24*60*SUM($M102:$M102)</f>
        <v>39.616666665533558</v>
      </c>
      <c r="O102" s="7"/>
      <c r="P102" s="7"/>
      <c r="Q102" s="25"/>
      <c r="R102" s="25"/>
      <c r="S102" s="37">
        <f>SUM(U102:U102)/IF(AG102="EC",12,1)</f>
        <v>1</v>
      </c>
      <c r="T102" s="52" t="str">
        <f>IF(ISEVEN(LEFT(AD102,4)),"Southbound","NorthBound")</f>
        <v>Southbound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hh:mm:ss")&amp;"-0600',mode:absolute,to:'"&amp;TEXT(I102+1/24,"yyyy-MM-DD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https://search-rtdc-monitor-bjffxe2xuh6vdkpspy63sjmuny.us-east-1.es.amazonaws.com/_plugin/kibana/#/discover/Steve-Slow-Train-Analysis-(2080s-and-2083s)?_g=(refreshInterval:(display:Off,section:0,value:0),time:(from:'2016-08-27 14:07:18-0600',mode:absolute,to:'2016-08-27 16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02" s="54" t="str">
        <f>IF(AA102&lt;IF(AG102="EC",23,5.65),"Y","N")</f>
        <v>N</v>
      </c>
      <c r="X102" s="120">
        <f>VALUE(LEFT(AD102,4))-VALUE(LEFT(AD101,4))</f>
        <v>1</v>
      </c>
      <c r="Y102" s="69">
        <f>RIGHT(D102,LEN(D102)-4)/10000</f>
        <v>23.2986</v>
      </c>
      <c r="Z102" s="69">
        <f>RIGHT(H102,LEN(H102)-4)/10000</f>
        <v>1.4500000000000001E-2</v>
      </c>
      <c r="AA102" s="69">
        <f>ABS(Z102-Y102)</f>
        <v>23.284099999999999</v>
      </c>
      <c r="AB102" s="66" t="e">
        <f>VLOOKUP(A102,Enforcements!$C$7:$J$21,8,0)</f>
        <v>#N/A</v>
      </c>
      <c r="AC102" s="62" t="e">
        <f>VLOOKUP(A102,Enforcements!$C$7:$E$21,3,0)</f>
        <v>#N/A</v>
      </c>
      <c r="AD102" s="63" t="str">
        <f>IF(LEN(A102)=6,"0"&amp;A102,A102)</f>
        <v>0186-27</v>
      </c>
      <c r="AE102" s="99" t="str">
        <f>"aws s3 cp "&amp;s3_bucket&amp;"/RTDC"&amp;B102&amp;"/"&amp;TEXT(F102,"YYYY-MM-DD")&amp;"/ "&amp;search_path&amp;"\RTDC"&amp;B102&amp;"\"&amp;TEXT(F102,"YYYY-MM-DD")&amp;" --recursive &amp; """&amp;walkandungz&amp;""" "&amp;search_path&amp;"\RTDC"&amp;B102&amp;"\"&amp;TEXT(F102,"YYYY-MM-DD")
&amp;" &amp; "&amp;"aws s3 cp "&amp;s3_bucket&amp;"/RTDC"&amp;B102&amp;"/"&amp;TEXT(F102+1,"YYYY-MM-DD")&amp;"/ "&amp;search_path&amp;"\RTDC"&amp;B102&amp;"\"&amp;TEXT(F102+1,"YYYY-MM-DD")&amp;" --recursive &amp; """&amp;walkandungz&amp;""" "&amp;search_path&amp;"\RTDC"&amp;B102&amp;"\"&amp;TEXT(F102+1,"YYYY-MM-DD")</f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102" s="96" t="str">
        <f>astrogrep_path&amp;" /spath="&amp;search_path&amp;" /stypes=""*"&amp;B102&amp;"*"&amp;TEXT(I102-utc_offset/24,"YYYYMMDD")&amp;"*"" /stext="" "&amp;TEXT(I102-utc_offset/24,"HH")&amp;search_regexp&amp;""" /e /r /s"</f>
        <v>"C:\Program Files (x86)\AstroGrep\AstroGrep.exe" /spath="%USERPROFILE%\AppData\Local\Temp\OnboardLogs" /stypes="*4026*20160827*" /stext=" 21:.+((SYSTEM_STATE.+slice.+state.+changed )|(ment ac)|(system.+state.+changed )|(\|lc)|(penalty)|(\[timeout)|(PRM\|1\|D)|(kpr)|(kdp))" /e /r /s</v>
      </c>
      <c r="AG102" s="1" t="str">
        <f>IFERROR(IF(VALUE(LEFT(AD102,2))&lt;=2,"EC",IF(OR(VALUE(LEFT(AD102,2))=8,VALUE(LEFT(AD102,2))=18),"NW","Other")),"Other")</f>
        <v>EC</v>
      </c>
      <c r="AH102" s="100" t="str">
        <f t="shared" si="76"/>
        <v>"%USERPROFILE%\Documents\GitHub\eaglep3\Utilities\RefineRTDCRunTimes.py" --tripid 186-27 --locoid 4026 --swversion DE.1.0.7.0 --startMP 204:232986 --initTime 2016-08-27T15:07:18 --startdatetime 2016-08-27T15:11:32 --delay 1 --endMP 204:145 --enddatetime 2016-08-27T15:51:09 --enforcementcount 0 &gt;&gt;C:\Users\stu\Documents\GitHub\eaglep3-reporting\EC\2016-08-27-refined-times.txt</v>
      </c>
      <c r="AI102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{"issue":{"subject":"","project_id":79,"tracker_id":40,"status_id":1,"priority_id":2,"assigned_to_id":23,"start_date":"2016-08-27","description":"","custom_fields":[{"id":1,"name":"Subdivision","value":"EC"},{"id":4,"name":"Milepost","value":"23.2841"},{"id":17,"name":"Train ID","value":"186-27"},{"id":16,"name":"Locomotive ID","value":"4026"},{"id":130,"name":"Impact","value":""},{"id":150,"name":"Time of Event (Mountain Time)","value":"15:51:09"},{"id":151,"name":"Denver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580</v>
      </c>
      <c r="B103" s="7">
        <v>4009</v>
      </c>
      <c r="C103" s="24" t="s">
        <v>113</v>
      </c>
      <c r="D103" s="24" t="s">
        <v>125</v>
      </c>
      <c r="E103" s="15">
        <v>42609.601990740739</v>
      </c>
      <c r="F103" s="15">
        <v>42609.604548611111</v>
      </c>
      <c r="G103" s="7">
        <v>1</v>
      </c>
      <c r="H103" s="15" t="s">
        <v>200</v>
      </c>
      <c r="I103" s="15">
        <v>42609.629803240743</v>
      </c>
      <c r="J103" s="7">
        <v>0</v>
      </c>
      <c r="K103" s="132" t="str">
        <f>IF(ISEVEN(B103),(B103-1)&amp;"/"&amp;B103,B103&amp;"/"&amp;(B103+1))</f>
        <v>4009/4010</v>
      </c>
      <c r="L103" s="24" t="str">
        <f>VLOOKUP(A103,'Trips&amp;Operators'!$C$1:$E$10000,3,FALSE)</f>
        <v>STEWART</v>
      </c>
      <c r="M103" s="6">
        <f>I103-F103</f>
        <v>2.5254629632399883E-2</v>
      </c>
      <c r="N103" s="7">
        <f>24*60*SUM($M103:$M103)</f>
        <v>36.366666670655832</v>
      </c>
      <c r="O103" s="7"/>
      <c r="P103" s="7"/>
      <c r="Q103" s="25"/>
      <c r="R103" s="25"/>
      <c r="S103" s="37">
        <f>SUM(U103:U103)/IF(AG103="EC",12,1)</f>
        <v>1</v>
      </c>
      <c r="T103" s="52" t="str">
        <f>IF(ISEVEN(LEFT(AD103,4)),"Southbound","NorthBound")</f>
        <v>NorthBound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hh:mm:ss")&amp;"-0600',mode:absolute,to:'"&amp;TEXT(I103+1/24,"yyyy-MM-DD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https://search-rtdc-monitor-bjffxe2xuh6vdkpspy63sjmuny.us-east-1.es.amazonaws.com/_plugin/kibana/#/discover/Steve-Slow-Train-Analysis-(2080s-and-2083s)?_g=(refreshInterval:(display:Off,section:0,value:0),time:(from:'2016-08-27 13:26:52-0600',mode:absolute,to:'2016-08-27 16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03" s="54" t="str">
        <f>IF(AA103&lt;IF(AG103="EC",23,5.65),"Y","N")</f>
        <v>N</v>
      </c>
      <c r="X103" s="120">
        <f>VALUE(LEFT(AD103,4))-VALUE(LEFT(AD102,4))</f>
        <v>1</v>
      </c>
      <c r="Y103" s="69">
        <f>RIGHT(D103,LEN(D103)-4)/10000</f>
        <v>4.5499999999999999E-2</v>
      </c>
      <c r="Z103" s="69">
        <f>RIGHT(H103,LEN(H103)-4)/10000</f>
        <v>23.331199999999999</v>
      </c>
      <c r="AA103" s="69">
        <f>ABS(Z103-Y103)</f>
        <v>23.285699999999999</v>
      </c>
      <c r="AB103" s="66" t="e">
        <f>VLOOKUP(A103,Enforcements!$C$7:$J$21,8,0)</f>
        <v>#N/A</v>
      </c>
      <c r="AC103" s="62" t="e">
        <f>VLOOKUP(A103,Enforcements!$C$7:$E$21,3,0)</f>
        <v>#N/A</v>
      </c>
      <c r="AD103" s="63" t="str">
        <f>IF(LEN(A103)=6,"0"&amp;A103,A103)</f>
        <v>0187-27</v>
      </c>
      <c r="AE103" s="99" t="str">
        <f>"aws s3 cp "&amp;s3_bucket&amp;"/RTDC"&amp;B103&amp;"/"&amp;TEXT(F103,"YYYY-MM-DD")&amp;"/ "&amp;search_path&amp;"\RTDC"&amp;B103&amp;"\"&amp;TEXT(F103,"YYYY-MM-DD")&amp;" --recursive &amp; """&amp;walkandungz&amp;""" "&amp;search_path&amp;"\RTDC"&amp;B103&amp;"\"&amp;TEXT(F103,"YYYY-MM-DD")
&amp;" &amp; "&amp;"aws s3 cp "&amp;s3_bucket&amp;"/RTDC"&amp;B103&amp;"/"&amp;TEXT(F103+1,"YYYY-MM-DD")&amp;"/ "&amp;search_path&amp;"\RTDC"&amp;B103&amp;"\"&amp;TEXT(F103+1,"YYYY-MM-DD")&amp;" --recursive &amp; """&amp;walkandungz&amp;""" "&amp;search_path&amp;"\RTDC"&amp;B103&amp;"\"&amp;TEXT(F103+1,"YYYY-MM-DD")</f>
        <v>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 &amp; 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</v>
      </c>
      <c r="AF103" s="96" t="str">
        <f>astrogrep_path&amp;" /spath="&amp;search_path&amp;" /stypes=""*"&amp;B103&amp;"*"&amp;TEXT(I103-utc_offset/24,"YYYYMMDD")&amp;"*"" /stext="" "&amp;TEXT(I103-utc_offset/24,"HH")&amp;search_regexp&amp;""" /e /r /s"</f>
        <v>"C:\Program Files (x86)\AstroGrep\AstroGrep.exe" /spath="%USERPROFILE%\AppData\Local\Temp\OnboardLogs" /stypes="*4009*20160827*" /stext=" 21:.+((SYSTEM_STATE.+slice.+state.+changed )|(ment ac)|(system.+state.+changed )|(\|lc)|(penalty)|(\[timeout)|(PRM\|1\|D)|(kpr)|(kdp))" /e /r /s</v>
      </c>
      <c r="AG103" s="1" t="str">
        <f>IFERROR(IF(VALUE(LEFT(AD103,2))&lt;=2,"EC",IF(OR(VALUE(LEFT(AD103,2))=8,VALUE(LEFT(AD103,2))=18),"NW","Other")),"Other")</f>
        <v>EC</v>
      </c>
      <c r="AH103" s="100" t="str">
        <f t="shared" si="76"/>
        <v>"%USERPROFILE%\Documents\GitHub\eaglep3\Utilities\RefineRTDCRunTimes.py" --tripid 187-27 --locoid 4009 --swversion DE.1.0.7.0 --startMP 204:455 --initTime 2016-08-27T14:26:52 --startdatetime 2016-08-27T14:30:33 --delay 1 --endMP 204:233312 --enddatetime 2016-08-27T15:06:55 --enforcementcount 0 &gt;&gt;C:\Users\stu\Documents\GitHub\eaglep3-reporting\EC\2016-08-27-refined-times.txt</v>
      </c>
      <c r="AI103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{"issue":{"subject":"","project_id":79,"tracker_id":40,"status_id":1,"priority_id":2,"assigned_to_id":23,"start_date":"2016-08-27","description":"","custom_fields":[{"id":1,"name":"Subdivision","value":"EC"},{"id":4,"name":"Milepost","value":"23.2857"},{"id":17,"name":"Train ID","value":"187-27"},{"id":16,"name":"Locomotive ID","value":"4009"},{"id":130,"name":"Impact","value":""},{"id":150,"name":"Time of Event (Mountain Time)","value":"15:06:55"},{"id":151,"name":"Denver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581</v>
      </c>
      <c r="B104" s="7">
        <v>4010</v>
      </c>
      <c r="C104" s="24" t="s">
        <v>113</v>
      </c>
      <c r="D104" s="24" t="s">
        <v>208</v>
      </c>
      <c r="E104" s="15">
        <v>42609.636701388888</v>
      </c>
      <c r="F104" s="15">
        <v>42609.643391203703</v>
      </c>
      <c r="G104" s="7">
        <v>1</v>
      </c>
      <c r="H104" s="15" t="s">
        <v>348</v>
      </c>
      <c r="I104" s="15">
        <v>42609.67050925926</v>
      </c>
      <c r="J104" s="7">
        <v>0</v>
      </c>
      <c r="K104" s="132" t="str">
        <f>IF(ISEVEN(B104),(B104-1)&amp;"/"&amp;B104,B104&amp;"/"&amp;(B104+1))</f>
        <v>4009/4010</v>
      </c>
      <c r="L104" s="24" t="str">
        <f>VLOOKUP(A104,'Trips&amp;Operators'!$C$1:$E$10000,3,FALSE)</f>
        <v>STEWART</v>
      </c>
      <c r="M104" s="6">
        <f>I104-F104</f>
        <v>2.7118055557366461E-2</v>
      </c>
      <c r="N104" s="7">
        <f>24*60*SUM($M104:$M104)</f>
        <v>39.050000002607703</v>
      </c>
      <c r="O104" s="7"/>
      <c r="P104" s="7"/>
      <c r="Q104" s="25"/>
      <c r="R104" s="25"/>
      <c r="S104" s="37">
        <f>SUM(U104:U104)/IF(AG104="EC",12,1)</f>
        <v>1</v>
      </c>
      <c r="T104" s="52" t="str">
        <f>IF(ISEVEN(LEFT(AD104,4)),"Southbound","NorthBound")</f>
        <v>Southbound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hh:mm:ss")&amp;"-0600',mode:absolute,to:'"&amp;TEXT(I104+1/24,"yyyy-MM-DD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https://search-rtdc-monitor-bjffxe2xuh6vdkpspy63sjmuny.us-east-1.es.amazonaws.com/_plugin/kibana/#/discover/Steve-Slow-Train-Analysis-(2080s-and-2083s)?_g=(refreshInterval:(display:Off,section:0,value:0),time:(from:'2016-08-27 14:16:51-0600',mode:absolute,to:'2016-08-27 17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04" s="54" t="str">
        <f>IF(AA104&lt;IF(AG104="EC",23,5.65),"Y","N")</f>
        <v>N</v>
      </c>
      <c r="X104" s="120">
        <f>VALUE(LEFT(AD104,4))-VALUE(LEFT(AD103,4))</f>
        <v>1</v>
      </c>
      <c r="Y104" s="69">
        <f>RIGHT(D104,LEN(D104)-4)/10000</f>
        <v>23.3002</v>
      </c>
      <c r="Z104" s="69">
        <f>RIGHT(H104,LEN(H104)-4)/10000</f>
        <v>1.7399999999999999E-2</v>
      </c>
      <c r="AA104" s="69">
        <f>ABS(Z104-Y104)</f>
        <v>23.282800000000002</v>
      </c>
      <c r="AB104" s="66" t="e">
        <f>VLOOKUP(A104,Enforcements!$C$7:$J$21,8,0)</f>
        <v>#N/A</v>
      </c>
      <c r="AC104" s="62" t="e">
        <f>VLOOKUP(A104,Enforcements!$C$7:$E$21,3,0)</f>
        <v>#N/A</v>
      </c>
      <c r="AD104" s="63" t="str">
        <f>IF(LEN(A104)=6,"0"&amp;A104,A104)</f>
        <v>0188-27</v>
      </c>
      <c r="AE104" s="99" t="str">
        <f>"aws s3 cp "&amp;s3_bucket&amp;"/RTDC"&amp;B104&amp;"/"&amp;TEXT(F104,"YYYY-MM-DD")&amp;"/ "&amp;search_path&amp;"\RTDC"&amp;B104&amp;"\"&amp;TEXT(F104,"YYYY-MM-DD")&amp;" --recursive &amp; """&amp;walkandungz&amp;""" "&amp;search_path&amp;"\RTDC"&amp;B104&amp;"\"&amp;TEXT(F104,"YYYY-MM-DD")
&amp;" &amp; "&amp;"aws s3 cp "&amp;s3_bucket&amp;"/RTDC"&amp;B104&amp;"/"&amp;TEXT(F104+1,"YYYY-MM-DD")&amp;"/ "&amp;search_path&amp;"\RTDC"&amp;B104&amp;"\"&amp;TEXT(F104+1,"YYYY-MM-DD")&amp;" --recursive &amp; """&amp;walkandungz&amp;""" "&amp;search_path&amp;"\RTDC"&amp;B104&amp;"\"&amp;TEXT(F104+1,"YYYY-MM-DD")</f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AF104" s="96" t="str">
        <f>astrogrep_path&amp;" /spath="&amp;search_path&amp;" /stypes=""*"&amp;B104&amp;"*"&amp;TEXT(I104-utc_offset/24,"YYYYMMDD")&amp;"*"" /stext="" "&amp;TEXT(I104-utc_offset/24,"HH")&amp;search_regexp&amp;""" /e /r /s"</f>
        <v>"C:\Program Files (x86)\AstroGrep\AstroGrep.exe" /spath="%USERPROFILE%\AppData\Local\Temp\OnboardLogs" /stypes="*4010*20160827*" /stext=" 22:.+((SYSTEM_STATE.+slice.+state.+changed )|(ment ac)|(system.+state.+changed )|(\|lc)|(penalty)|(\[timeout)|(PRM\|1\|D)|(kpr)|(kdp))" /e /r /s</v>
      </c>
      <c r="AG104" s="1" t="str">
        <f>IFERROR(IF(VALUE(LEFT(AD104,2))&lt;=2,"EC",IF(OR(VALUE(LEFT(AD104,2))=8,VALUE(LEFT(AD104,2))=18),"NW","Other")),"Other")</f>
        <v>EC</v>
      </c>
      <c r="AH104" s="100" t="str">
        <f t="shared" si="76"/>
        <v>"%USERPROFILE%\Documents\GitHub\eaglep3\Utilities\RefineRTDCRunTimes.py" --tripid 188-27 --locoid 4010 --swversion DE.1.0.7.0 --startMP 204:233002 --initTime 2016-08-27T15:16:51 --startdatetime 2016-08-27T15:26:29 --delay 1 --endMP 204:174 --enddatetime 2016-08-27T16:05:32 --enforcementcount 0 &gt;&gt;C:\Users\stu\Documents\GitHub\eaglep3-reporting\EC\2016-08-27-refined-times.txt</v>
      </c>
      <c r="AI104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{"issue":{"subject":"","project_id":79,"tracker_id":40,"status_id":1,"priority_id":2,"assigned_to_id":23,"start_date":"2016-08-27","description":"","custom_fields":[{"id":1,"name":"Subdivision","value":"EC"},{"id":4,"name":"Milepost","value":"23.2828"},{"id":17,"name":"Train ID","value":"188-27"},{"id":16,"name":"Locomotive ID","value":"4010"},{"id":130,"name":"Impact","value":""},{"id":150,"name":"Time of Event (Mountain Time)","value":"16:05:32"},{"id":151,"name":"Denver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582</v>
      </c>
      <c r="B105" s="7">
        <v>4020</v>
      </c>
      <c r="C105" s="24" t="s">
        <v>113</v>
      </c>
      <c r="D105" s="24" t="s">
        <v>198</v>
      </c>
      <c r="E105" s="15">
        <v>42609.610439814816</v>
      </c>
      <c r="F105" s="15">
        <v>42609.615023148152</v>
      </c>
      <c r="G105" s="7">
        <v>1</v>
      </c>
      <c r="H105" s="15" t="s">
        <v>583</v>
      </c>
      <c r="I105" s="15">
        <v>42609.640138888892</v>
      </c>
      <c r="J105" s="7">
        <v>0</v>
      </c>
      <c r="K105" s="132" t="str">
        <f>IF(ISEVEN(B105),(B105-1)&amp;"/"&amp;B105,B105&amp;"/"&amp;(B105+1))</f>
        <v>4019/4020</v>
      </c>
      <c r="L105" s="24" t="str">
        <f>VLOOKUP(A105,'Trips&amp;Operators'!$C$1:$E$10000,3,FALSE)</f>
        <v>BARTLETT</v>
      </c>
      <c r="M105" s="6">
        <f>I105-F105</f>
        <v>2.5115740740147885E-2</v>
      </c>
      <c r="N105" s="7">
        <f>24*60*SUM($M105:$M105)</f>
        <v>36.166666665812954</v>
      </c>
      <c r="O105" s="7"/>
      <c r="P105" s="7"/>
      <c r="Q105" s="25"/>
      <c r="R105" s="25"/>
      <c r="S105" s="37">
        <f>SUM(U105:U105)/IF(AG105="EC",12,1)</f>
        <v>1</v>
      </c>
      <c r="T105" s="52" t="str">
        <f>IF(ISEVEN(LEFT(AD105,4)),"Southbound","NorthBound")</f>
        <v>NorthBound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hh:mm:ss")&amp;"-0600',mode:absolute,to:'"&amp;TEXT(I105+1/24,"yyyy-MM-DD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https://search-rtdc-monitor-bjffxe2xuh6vdkpspy63sjmuny.us-east-1.es.amazonaws.com/_plugin/kibana/#/discover/Steve-Slow-Train-Analysis-(2080s-and-2083s)?_g=(refreshInterval:(display:Off,section:0,value:0),time:(from:'2016-08-27 13:39:02-0600',mode:absolute,to:'2016-08-27 16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05" s="54" t="str">
        <f>IF(AA105&lt;IF(AG105="EC",23,5.65),"Y","N")</f>
        <v>N</v>
      </c>
      <c r="X105" s="120">
        <f>VALUE(LEFT(AD105,4))-VALUE(LEFT(AD104,4))</f>
        <v>1</v>
      </c>
      <c r="Y105" s="69">
        <f>RIGHT(D105,LEN(D105)-4)/10000</f>
        <v>4.3499999999999997E-2</v>
      </c>
      <c r="Z105" s="69">
        <f>RIGHT(H105,LEN(H105)-4)/10000</f>
        <v>23.3278</v>
      </c>
      <c r="AA105" s="69">
        <f>ABS(Z105-Y105)</f>
        <v>23.284299999999998</v>
      </c>
      <c r="AB105" s="66" t="e">
        <f>VLOOKUP(A105,Enforcements!$C$7:$J$21,8,0)</f>
        <v>#N/A</v>
      </c>
      <c r="AC105" s="62" t="e">
        <f>VLOOKUP(A105,Enforcements!$C$7:$E$21,3,0)</f>
        <v>#N/A</v>
      </c>
      <c r="AD105" s="63" t="str">
        <f>IF(LEN(A105)=6,"0"&amp;A105,A105)</f>
        <v>0189-27</v>
      </c>
      <c r="AE105" s="99" t="str">
        <f>"aws s3 cp "&amp;s3_bucket&amp;"/RTDC"&amp;B105&amp;"/"&amp;TEXT(F105,"YYYY-MM-DD")&amp;"/ "&amp;search_path&amp;"\RTDC"&amp;B105&amp;"\"&amp;TEXT(F105,"YYYY-MM-DD")&amp;" --recursive &amp; """&amp;walkandungz&amp;""" "&amp;search_path&amp;"\RTDC"&amp;B105&amp;"\"&amp;TEXT(F105,"YYYY-MM-DD")
&amp;" &amp; "&amp;"aws s3 cp "&amp;s3_bucket&amp;"/RTDC"&amp;B105&amp;"/"&amp;TEXT(F105+1,"YYYY-MM-DD")&amp;"/ "&amp;search_path&amp;"\RTDC"&amp;B105&amp;"\"&amp;TEXT(F105+1,"YYYY-MM-DD")&amp;" --recursive &amp; """&amp;walkandungz&amp;""" "&amp;search_path&amp;"\RTDC"&amp;B105&amp;"\"&amp;TEXT(F105+1,"YYYY-MM-DD")</f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105" s="96" t="str">
        <f>astrogrep_path&amp;" /spath="&amp;search_path&amp;" /stypes=""*"&amp;B105&amp;"*"&amp;TEXT(I105-utc_offset/24,"YYYYMMDD")&amp;"*"" /stext="" "&amp;TEXT(I105-utc_offset/24,"HH")&amp;search_regexp&amp;""" /e /r /s"</f>
        <v>"C:\Program Files (x86)\AstroGrep\AstroGrep.exe" /spath="%USERPROFILE%\AppData\Local\Temp\OnboardLogs" /stypes="*4020*20160827*" /stext=" 21:.+((SYSTEM_STATE.+slice.+state.+changed )|(ment ac)|(system.+state.+changed )|(\|lc)|(penalty)|(\[timeout)|(PRM\|1\|D)|(kpr)|(kdp))" /e /r /s</v>
      </c>
      <c r="AG105" s="1" t="str">
        <f>IFERROR(IF(VALUE(LEFT(AD105,2))&lt;=2,"EC",IF(OR(VALUE(LEFT(AD105,2))=8,VALUE(LEFT(AD105,2))=18),"NW","Other")),"Other")</f>
        <v>EC</v>
      </c>
      <c r="AH105" s="100" t="str">
        <f t="shared" si="76"/>
        <v>"%USERPROFILE%\Documents\GitHub\eaglep3\Utilities\RefineRTDCRunTimes.py" --tripid 189-27 --locoid 4020 --swversion DE.1.0.7.0 --startMP 204:435 --initTime 2016-08-27T14:39:02 --startdatetime 2016-08-27T14:45:38 --delay 1 --endMP 204:233278 --enddatetime 2016-08-27T15:21:48 --enforcementcount 0 &gt;&gt;C:\Users\stu\Documents\GitHub\eaglep3-reporting\EC\2016-08-27-refined-times.txt</v>
      </c>
      <c r="AI105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{"issue":{"subject":"","project_id":79,"tracker_id":40,"status_id":1,"priority_id":2,"assigned_to_id":23,"start_date":"2016-08-27","description":"","custom_fields":[{"id":1,"name":"Subdivision","value":"EC"},{"id":4,"name":"Milepost","value":"23.2843"},{"id":17,"name":"Train ID","value":"189-27"},{"id":16,"name":"Locomotive ID","value":"4020"},{"id":130,"name":"Impact","value":""},{"id":150,"name":"Time of Event (Mountain Time)","value":"15:21:48"},{"id":151,"name":"Denver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584</v>
      </c>
      <c r="B106" s="7">
        <v>4019</v>
      </c>
      <c r="C106" s="24" t="s">
        <v>113</v>
      </c>
      <c r="D106" s="24" t="s">
        <v>195</v>
      </c>
      <c r="E106" s="15">
        <v>42609.649050925924</v>
      </c>
      <c r="F106" s="15">
        <v>42609.653657407405</v>
      </c>
      <c r="G106" s="7">
        <v>1</v>
      </c>
      <c r="H106" s="15" t="s">
        <v>496</v>
      </c>
      <c r="I106" s="15">
        <v>42609.681493055556</v>
      </c>
      <c r="J106" s="7">
        <v>0</v>
      </c>
      <c r="K106" s="132" t="str">
        <f>IF(ISEVEN(B106),(B106-1)&amp;"/"&amp;B106,B106&amp;"/"&amp;(B106+1))</f>
        <v>4019/4020</v>
      </c>
      <c r="L106" s="24" t="str">
        <f>VLOOKUP(A106,'Trips&amp;Operators'!$C$1:$E$10000,3,FALSE)</f>
        <v>BARTLETT</v>
      </c>
      <c r="M106" s="6">
        <f>I106-F106</f>
        <v>2.7835648150357883E-2</v>
      </c>
      <c r="N106" s="7">
        <f>24*60*SUM($M106:$M106)</f>
        <v>40.083333336515352</v>
      </c>
      <c r="O106" s="7"/>
      <c r="P106" s="7"/>
      <c r="Q106" s="25"/>
      <c r="R106" s="25"/>
      <c r="S106" s="37">
        <f>SUM(U106:U106)/IF(AG106="EC",12,1)</f>
        <v>1</v>
      </c>
      <c r="T106" s="52" t="str">
        <f>IF(ISEVEN(LEFT(AD106,4)),"Southbound","NorthBound")</f>
        <v>Southbound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hh:mm:ss")&amp;"-0600',mode:absolute,to:'"&amp;TEXT(I106+1/24,"yyyy-MM-DD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https://search-rtdc-monitor-bjffxe2xuh6vdkpspy63sjmuny.us-east-1.es.amazonaws.com/_plugin/kibana/#/discover/Steve-Slow-Train-Analysis-(2080s-and-2083s)?_g=(refreshInterval:(display:Off,section:0,value:0),time:(from:'2016-08-27 14:34:38-0600',mode:absolute,to:'2016-08-27 17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06" s="54" t="str">
        <f>IF(AA106&lt;IF(AG106="EC",23,5.65),"Y","N")</f>
        <v>N</v>
      </c>
      <c r="X106" s="120">
        <f>VALUE(LEFT(AD106,4))-VALUE(LEFT(AD105,4))</f>
        <v>1</v>
      </c>
      <c r="Y106" s="69">
        <f>RIGHT(D106,LEN(D106)-4)/10000</f>
        <v>23.297799999999999</v>
      </c>
      <c r="Z106" s="69">
        <f>RIGHT(H106,LEN(H106)-4)/10000</f>
        <v>1.67E-2</v>
      </c>
      <c r="AA106" s="69">
        <f>ABS(Z106-Y106)</f>
        <v>23.281099999999999</v>
      </c>
      <c r="AB106" s="66">
        <f>VLOOKUP(A106,Enforcements!$C$7:$J$21,8,0)</f>
        <v>42961</v>
      </c>
      <c r="AC106" s="62" t="str">
        <f>VLOOKUP(A106,Enforcements!$C$7:$E$21,3,0)</f>
        <v>GRADE CROSSING</v>
      </c>
      <c r="AD106" s="63" t="str">
        <f>IF(LEN(A106)=6,"0"&amp;A106,A106)</f>
        <v>0190-27</v>
      </c>
      <c r="AE106" s="99" t="str">
        <f>"aws s3 cp "&amp;s3_bucket&amp;"/RTDC"&amp;B106&amp;"/"&amp;TEXT(F106,"YYYY-MM-DD")&amp;"/ "&amp;search_path&amp;"\RTDC"&amp;B106&amp;"\"&amp;TEXT(F106,"YYYY-MM-DD")&amp;" --recursive &amp; """&amp;walkandungz&amp;""" "&amp;search_path&amp;"\RTDC"&amp;B106&amp;"\"&amp;TEXT(F106,"YYYY-MM-DD")
&amp;" &amp; "&amp;"aws s3 cp "&amp;s3_bucket&amp;"/RTDC"&amp;B106&amp;"/"&amp;TEXT(F106+1,"YYYY-MM-DD")&amp;"/ "&amp;search_path&amp;"\RTDC"&amp;B106&amp;"\"&amp;TEXT(F106+1,"YYYY-MM-DD")&amp;" --recursive &amp; """&amp;walkandungz&amp;""" "&amp;search_path&amp;"\RTDC"&amp;B106&amp;"\"&amp;TEXT(F106+1,"YYYY-MM-DD")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106" s="96" t="str">
        <f>astrogrep_path&amp;" /spath="&amp;search_path&amp;" /stypes=""*"&amp;B106&amp;"*"&amp;TEXT(I106-utc_offset/24,"YYYYMMDD")&amp;"*"" /stext="" "&amp;TEXT(I106-utc_offset/24,"HH")&amp;search_regexp&amp;""" /e /r /s"</f>
        <v>"C:\Program Files (x86)\AstroGrep\AstroGrep.exe" /spath="%USERPROFILE%\AppData\Local\Temp\OnboardLogs" /stypes="*4019*20160827*" /stext=" 22:.+((SYSTEM_STATE.+slice.+state.+changed )|(ment ac)|(system.+state.+changed )|(\|lc)|(penalty)|(\[timeout)|(PRM\|1\|D)|(kpr)|(kdp))" /e /r /s</v>
      </c>
      <c r="AG106" s="1" t="str">
        <f>IFERROR(IF(VALUE(LEFT(AD106,2))&lt;=2,"EC",IF(OR(VALUE(LEFT(AD106,2))=8,VALUE(LEFT(AD106,2))=18),"NW","Other")),"Other")</f>
        <v>EC</v>
      </c>
      <c r="AH106" s="100" t="str">
        <f t="shared" si="76"/>
        <v>"%USERPROFILE%\Documents\GitHub\eaglep3\Utilities\RefineRTDCRunTimes.py" --tripid 190-27 --locoid 4019 --swversion DE.1.0.7.0 --startMP 204:232978 --initTime 2016-08-27T15:34:38 --startdatetime 2016-08-27T15:41:16 --delay 1 --endMP 204:167 --enddatetime 2016-08-27T16:21:21 --enforcementcount 0 &gt;&gt;C:\Users\stu\Documents\GitHub\eaglep3-reporting\EC\2016-08-27-refined-times.txt</v>
      </c>
      <c r="AI106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{"issue":{"subject":"","project_id":79,"tracker_id":40,"status_id":1,"priority_id":2,"assigned_to_id":23,"start_date":"2016-08-27","description":"","custom_fields":[{"id":1,"name":"Subdivision","value":"EC"},{"id":4,"name":"Milepost","value":"23.2811"},{"id":17,"name":"Train ID","value":"190-27"},{"id":16,"name":"Locomotive ID","value":"4019"},{"id":130,"name":"Impact","value":""},{"id":150,"name":"Time of Event (Mountain Time)","value":"16:21:21"},{"id":151,"name":"Denver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587</v>
      </c>
      <c r="B107" s="7">
        <v>4031</v>
      </c>
      <c r="C107" s="24" t="s">
        <v>113</v>
      </c>
      <c r="D107" s="24" t="s">
        <v>588</v>
      </c>
      <c r="E107" s="15">
        <v>42609.622465277775</v>
      </c>
      <c r="F107" s="15">
        <v>42609.625439814816</v>
      </c>
      <c r="G107" s="7">
        <v>1</v>
      </c>
      <c r="H107" s="15" t="s">
        <v>277</v>
      </c>
      <c r="I107" s="15">
        <v>42609.650543981479</v>
      </c>
      <c r="J107" s="7">
        <v>0</v>
      </c>
      <c r="K107" s="132" t="str">
        <f>IF(ISEVEN(B107),(B107-1)&amp;"/"&amp;B107,B107&amp;"/"&amp;(B107+1))</f>
        <v>4031/4032</v>
      </c>
      <c r="L107" s="24" t="str">
        <f>VLOOKUP(A107,'Trips&amp;Operators'!$C$1:$E$10000,3,FALSE)</f>
        <v>MOSES</v>
      </c>
      <c r="M107" s="6">
        <f>I107-F107</f>
        <v>2.5104166663368233E-2</v>
      </c>
      <c r="N107" s="7">
        <f>24*60*SUM($M107:$M107)</f>
        <v>36.149999995250255</v>
      </c>
      <c r="O107" s="7"/>
      <c r="P107" s="7"/>
      <c r="Q107" s="25"/>
      <c r="R107" s="25"/>
      <c r="S107" s="37">
        <f>SUM(U107:U107)/IF(AG107="EC",12,1)</f>
        <v>1</v>
      </c>
      <c r="T107" s="52" t="str">
        <f>IF(ISEVEN(LEFT(AD107,4)),"Southbound","NorthBound")</f>
        <v>NorthBound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hh:mm:ss")&amp;"-0600',mode:absolute,to:'"&amp;TEXT(I107+1/24,"yyyy-MM-DD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https://search-rtdc-monitor-bjffxe2xuh6vdkpspy63sjmuny.us-east-1.es.amazonaws.com/_plugin/kibana/#/discover/Steve-Slow-Train-Analysis-(2080s-and-2083s)?_g=(refreshInterval:(display:Off,section:0,value:0),time:(from:'2016-08-27 13:56:21-0600',mode:absolute,to:'2016-08-27 16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07" s="54" t="str">
        <f>IF(AA107&lt;IF(AG107="EC",23,5.65),"Y","N")</f>
        <v>N</v>
      </c>
      <c r="X107" s="120">
        <f>VALUE(LEFT(AD107,4))-VALUE(LEFT(AD106,4))</f>
        <v>1</v>
      </c>
      <c r="Y107" s="69">
        <f>RIGHT(D107,LEN(D107)-4)/10000</f>
        <v>4.9500000000000002E-2</v>
      </c>
      <c r="Z107" s="69">
        <f>RIGHT(H107,LEN(H107)-4)/10000</f>
        <v>23.330400000000001</v>
      </c>
      <c r="AA107" s="69">
        <f>ABS(Z107-Y107)</f>
        <v>23.280900000000003</v>
      </c>
      <c r="AB107" s="66" t="e">
        <f>VLOOKUP(A107,Enforcements!$C$7:$J$21,8,0)</f>
        <v>#N/A</v>
      </c>
      <c r="AC107" s="62" t="e">
        <f>VLOOKUP(A107,Enforcements!$C$7:$E$21,3,0)</f>
        <v>#N/A</v>
      </c>
      <c r="AD107" s="63" t="str">
        <f>IF(LEN(A107)=6,"0"&amp;A107,A107)</f>
        <v>0191-27</v>
      </c>
      <c r="AE107" s="99" t="str">
        <f>"aws s3 cp "&amp;s3_bucket&amp;"/RTDC"&amp;B107&amp;"/"&amp;TEXT(F107,"YYYY-MM-DD")&amp;"/ "&amp;search_path&amp;"\RTDC"&amp;B107&amp;"\"&amp;TEXT(F107,"YYYY-MM-DD")&amp;" --recursive &amp; """&amp;walkandungz&amp;""" "&amp;search_path&amp;"\RTDC"&amp;B107&amp;"\"&amp;TEXT(F107,"YYYY-MM-DD")
&amp;" &amp; "&amp;"aws s3 cp "&amp;s3_bucket&amp;"/RTDC"&amp;B107&amp;"/"&amp;TEXT(F107+1,"YYYY-MM-DD")&amp;"/ "&amp;search_path&amp;"\RTDC"&amp;B107&amp;"\"&amp;TEXT(F107+1,"YYYY-MM-DD")&amp;" --recursive &amp; """&amp;walkandungz&amp;""" "&amp;search_path&amp;"\RTDC"&amp;B107&amp;"\"&amp;TEXT(F107+1,"YYYY-MM-DD")</f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107" s="96" t="str">
        <f>astrogrep_path&amp;" /spath="&amp;search_path&amp;" /stypes=""*"&amp;B107&amp;"*"&amp;TEXT(I107-utc_offset/24,"YYYYMMDD")&amp;"*"" /stext="" "&amp;TEXT(I107-utc_offset/24,"HH")&amp;search_regexp&amp;""" /e /r /s"</f>
        <v>"C:\Program Files (x86)\AstroGrep\AstroGrep.exe" /spath="%USERPROFILE%\AppData\Local\Temp\OnboardLogs" /stypes="*4031*20160827*" /stext=" 21:.+((SYSTEM_STATE.+slice.+state.+changed )|(ment ac)|(system.+state.+changed )|(\|lc)|(penalty)|(\[timeout)|(PRM\|1\|D)|(kpr)|(kdp))" /e /r /s</v>
      </c>
      <c r="AG107" s="1" t="str">
        <f>IFERROR(IF(VALUE(LEFT(AD107,2))&lt;=2,"EC",IF(OR(VALUE(LEFT(AD107,2))=8,VALUE(LEFT(AD107,2))=18),"NW","Other")),"Other")</f>
        <v>EC</v>
      </c>
      <c r="AH107" s="100" t="str">
        <f t="shared" si="76"/>
        <v>"%USERPROFILE%\Documents\GitHub\eaglep3\Utilities\RefineRTDCRunTimes.py" --tripid 191-27 --locoid 4031 --swversion DE.1.0.7.0 --startMP 204:495 --initTime 2016-08-27T14:56:21 --startdatetime 2016-08-27T15:00:38 --delay 1 --endMP 204:233304 --enddatetime 2016-08-27T15:36:47 --enforcementcount 0 &gt;&gt;C:\Users\stu\Documents\GitHub\eaglep3-reporting\EC\2016-08-27-refined-times.txt</v>
      </c>
      <c r="AI107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{"issue":{"subject":"","project_id":79,"tracker_id":40,"status_id":1,"priority_id":2,"assigned_to_id":23,"start_date":"2016-08-27","description":"","custom_fields":[{"id":1,"name":"Subdivision","value":"EC"},{"id":4,"name":"Milepost","value":"23.2809"},{"id":17,"name":"Train ID","value":"191-27"},{"id":16,"name":"Locomotive ID","value":"4031"},{"id":130,"name":"Impact","value":""},{"id":150,"name":"Time of Event (Mountain Time)","value":"15:36:47"},{"id":151,"name":"Denver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589</v>
      </c>
      <c r="B108" s="7">
        <v>4032</v>
      </c>
      <c r="C108" s="24" t="s">
        <v>113</v>
      </c>
      <c r="D108" s="24" t="s">
        <v>590</v>
      </c>
      <c r="E108" s="15">
        <v>42609.661354166667</v>
      </c>
      <c r="F108" s="15">
        <v>42609.664097222223</v>
      </c>
      <c r="G108" s="7">
        <v>1</v>
      </c>
      <c r="H108" s="15" t="s">
        <v>172</v>
      </c>
      <c r="I108" s="15">
        <v>42609.691863425927</v>
      </c>
      <c r="J108" s="7">
        <v>0</v>
      </c>
      <c r="K108" s="132" t="str">
        <f>IF(ISEVEN(B108),(B108-1)&amp;"/"&amp;B108,B108&amp;"/"&amp;(B108+1))</f>
        <v>4031/4032</v>
      </c>
      <c r="L108" s="24" t="str">
        <f>VLOOKUP(A108,'Trips&amp;Operators'!$C$1:$E$10000,3,FALSE)</f>
        <v>MOSES</v>
      </c>
      <c r="M108" s="6">
        <f>I108-F108</f>
        <v>2.7766203704231884E-2</v>
      </c>
      <c r="N108" s="7">
        <f>24*60*SUM($M108:$M108)</f>
        <v>39.983333334093913</v>
      </c>
      <c r="O108" s="7"/>
      <c r="P108" s="7"/>
      <c r="Q108" s="25"/>
      <c r="R108" s="25"/>
      <c r="S108" s="37">
        <f>SUM(U108:U108)/IF(AG108="EC",12,1)</f>
        <v>1</v>
      </c>
      <c r="T108" s="52" t="str">
        <f>IF(ISEVEN(LEFT(AD108,4)),"Southbound","NorthBound")</f>
        <v>Southbound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hh:mm:ss")&amp;"-0600',mode:absolute,to:'"&amp;TEXT(I108+1/24,"yyyy-MM-DD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https://search-rtdc-monitor-bjffxe2xuh6vdkpspy63sjmuny.us-east-1.es.amazonaws.com/_plugin/kibana/#/discover/Steve-Slow-Train-Analysis-(2080s-and-2083s)?_g=(refreshInterval:(display:Off,section:0,value:0),time:(from:'2016-08-27 14:52:21-0600',mode:absolute,to:'2016-08-27 17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08" s="54" t="str">
        <f>IF(AA108&lt;IF(AG108="EC",23,5.65),"Y","N")</f>
        <v>N</v>
      </c>
      <c r="X108" s="120">
        <f>VALUE(LEFT(AD108,4))-VALUE(LEFT(AD107,4))</f>
        <v>1</v>
      </c>
      <c r="Y108" s="69">
        <f>RIGHT(D108,LEN(D108)-4)/10000</f>
        <v>23.298100000000002</v>
      </c>
      <c r="Z108" s="69">
        <f>RIGHT(H108,LEN(H108)-4)/10000</f>
        <v>1.52E-2</v>
      </c>
      <c r="AA108" s="69">
        <f>ABS(Z108-Y108)</f>
        <v>23.282900000000001</v>
      </c>
      <c r="AB108" s="66">
        <f>VLOOKUP(A108,Enforcements!$C$7:$J$21,8,0)</f>
        <v>30562</v>
      </c>
      <c r="AC108" s="62" t="str">
        <f>VLOOKUP(A108,Enforcements!$C$7:$E$21,3,0)</f>
        <v>PERMANENT SPEED RESTRICTION</v>
      </c>
      <c r="AD108" s="63" t="str">
        <f>IF(LEN(A108)=6,"0"&amp;A108,A108)</f>
        <v>0192-27</v>
      </c>
      <c r="AE108" s="99" t="str">
        <f>"aws s3 cp "&amp;s3_bucket&amp;"/RTDC"&amp;B108&amp;"/"&amp;TEXT(F108,"YYYY-MM-DD")&amp;"/ "&amp;search_path&amp;"\RTDC"&amp;B108&amp;"\"&amp;TEXT(F108,"YYYY-MM-DD")&amp;" --recursive &amp; """&amp;walkandungz&amp;""" "&amp;search_path&amp;"\RTDC"&amp;B108&amp;"\"&amp;TEXT(F108,"YYYY-MM-DD")
&amp;" &amp; "&amp;"aws s3 cp "&amp;s3_bucket&amp;"/RTDC"&amp;B108&amp;"/"&amp;TEXT(F108+1,"YYYY-MM-DD")&amp;"/ "&amp;search_path&amp;"\RTDC"&amp;B108&amp;"\"&amp;TEXT(F108+1,"YYYY-MM-DD")&amp;" --recursive &amp; """&amp;walkandungz&amp;""" "&amp;search_path&amp;"\RTDC"&amp;B108&amp;"\"&amp;TEXT(F108+1,"YYYY-MM-DD")</f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108" s="96" t="str">
        <f>astrogrep_path&amp;" /spath="&amp;search_path&amp;" /stypes=""*"&amp;B108&amp;"*"&amp;TEXT(I108-utc_offset/24,"YYYYMMDD")&amp;"*"" /stext="" "&amp;TEXT(I108-utc_offset/24,"HH")&amp;search_regexp&amp;""" /e /r /s"</f>
        <v>"C:\Program Files (x86)\AstroGrep\AstroGrep.exe" /spath="%USERPROFILE%\AppData\Local\Temp\OnboardLogs" /stypes="*4032*20160827*" /stext=" 22:.+((SYSTEM_STATE.+slice.+state.+changed )|(ment ac)|(system.+state.+changed )|(\|lc)|(penalty)|(\[timeout)|(PRM\|1\|D)|(kpr)|(kdp))" /e /r /s</v>
      </c>
      <c r="AG108" s="1" t="str">
        <f>IFERROR(IF(VALUE(LEFT(AD108,2))&lt;=2,"EC",IF(OR(VALUE(LEFT(AD108,2))=8,VALUE(LEFT(AD108,2))=18),"NW","Other")),"Other")</f>
        <v>EC</v>
      </c>
      <c r="AH108" s="100" t="str">
        <f t="shared" si="76"/>
        <v>"%USERPROFILE%\Documents\GitHub\eaglep3\Utilities\RefineRTDCRunTimes.py" --tripid 192-27 --locoid 4032 --swversion DE.1.0.7.0 --startMP 204:232981 --initTime 2016-08-27T15:52:21 --startdatetime 2016-08-27T15:56:18 --delay 1 --endMP 204:152 --enddatetime 2016-08-27T16:36:17 --enforcementcount 0 &gt;&gt;C:\Users\stu\Documents\GitHub\eaglep3-reporting\EC\2016-08-27-refined-times.txt</v>
      </c>
      <c r="AI108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{"issue":{"subject":"","project_id":79,"tracker_id":40,"status_id":1,"priority_id":2,"assigned_to_id":23,"start_date":"2016-08-27","description":"","custom_fields":[{"id":1,"name":"Subdivision","value":"EC"},{"id":4,"name":"Milepost","value":"23.2829"},{"id":17,"name":"Train ID","value":"192-27"},{"id":16,"name":"Locomotive ID","value":"4032"},{"id":130,"name":"Impact","value":""},{"id":150,"name":"Time of Event (Mountain Time)","value":"16:36:17"},{"id":151,"name":"Denver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591</v>
      </c>
      <c r="B109" s="7">
        <v>4042</v>
      </c>
      <c r="C109" s="24" t="s">
        <v>113</v>
      </c>
      <c r="D109" s="24" t="s">
        <v>358</v>
      </c>
      <c r="E109" s="15">
        <v>42609.631203703706</v>
      </c>
      <c r="F109" s="15">
        <v>42609.63559027778</v>
      </c>
      <c r="G109" s="7">
        <v>1</v>
      </c>
      <c r="H109" s="15" t="s">
        <v>592</v>
      </c>
      <c r="I109" s="15">
        <v>42609.660914351851</v>
      </c>
      <c r="J109" s="7">
        <v>0</v>
      </c>
      <c r="K109" s="132" t="str">
        <f>IF(ISEVEN(B109),(B109-1)&amp;"/"&amp;B109,B109&amp;"/"&amp;(B109+1))</f>
        <v>4041/4042</v>
      </c>
      <c r="L109" s="24" t="str">
        <f>VLOOKUP(A109,'Trips&amp;Operators'!$C$1:$E$10000,3,FALSE)</f>
        <v>SHOOK</v>
      </c>
      <c r="M109" s="6">
        <f>I109-F109</f>
        <v>2.5324074071249925E-2</v>
      </c>
      <c r="N109" s="7">
        <f>24*60*SUM($M109:$M109)</f>
        <v>36.466666662599891</v>
      </c>
      <c r="O109" s="7"/>
      <c r="P109" s="7"/>
      <c r="Q109" s="25"/>
      <c r="R109" s="25"/>
      <c r="S109" s="37">
        <f>SUM(U109:U109)/IF(AG109="EC",12,1)</f>
        <v>1</v>
      </c>
      <c r="T109" s="52" t="str">
        <f>IF(ISEVEN(LEFT(AD109,4)),"Southbound","NorthBound")</f>
        <v>NorthBound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https://search-rtdc-monitor-bjffxe2xuh6vdkpspy63sjmuny.us-east-1.es.amazonaws.com/_plugin/kibana/#/discover/Steve-Slow-Train-Analysis-(2080s-and-2083s)?_g=(refreshInterval:(display:Off,section:0,value:0),time:(from:'2016-08-27 14:08:56-0600',mode:absolute,to:'2016-08-27 16:51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09" s="54" t="str">
        <f>IF(AA109&lt;IF(AG109="EC",23,5.65),"Y","N")</f>
        <v>N</v>
      </c>
      <c r="X109" s="120">
        <f>VALUE(LEFT(AD109,4))-VALUE(LEFT(AD108,4))</f>
        <v>1</v>
      </c>
      <c r="Y109" s="69">
        <f>RIGHT(D109,LEN(D109)-4)/10000</f>
        <v>4.9700000000000001E-2</v>
      </c>
      <c r="Z109" s="69">
        <f>RIGHT(H109,LEN(H109)-4)/10000</f>
        <v>23.333600000000001</v>
      </c>
      <c r="AA109" s="69">
        <f>ABS(Z109-Y109)</f>
        <v>23.283899999999999</v>
      </c>
      <c r="AB109" s="66" t="e">
        <f>VLOOKUP(A109,Enforcements!$C$7:$J$21,8,0)</f>
        <v>#N/A</v>
      </c>
      <c r="AC109" s="62" t="e">
        <f>VLOOKUP(A109,Enforcements!$C$7:$E$21,3,0)</f>
        <v>#N/A</v>
      </c>
      <c r="AD109" s="63" t="str">
        <f>IF(LEN(A109)=6,"0"&amp;A109,A109)</f>
        <v>0193-27</v>
      </c>
      <c r="AE109" s="99" t="str">
        <f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AF109" s="96" t="str">
        <f>astrogrep_path&amp;" /spath="&amp;search_path&amp;" /stypes=""*"&amp;B109&amp;"*"&amp;TEXT(I109-utc_offset/24,"YYYYMMDD")&amp;"*"" /stext="" "&amp;TEXT(I109-utc_offset/24,"HH")&amp;search_regexp&amp;""" /e /r /s"</f>
        <v>"C:\Program Files (x86)\AstroGrep\AstroGrep.exe" /spath="%USERPROFILE%\AppData\Local\Temp\OnboardLogs" /stypes="*4042*20160827*" /stext=" 21:.+((SYSTEM_STATE.+slice.+state.+changed )|(ment ac)|(system.+state.+changed )|(\|lc)|(penalty)|(\[timeout)|(PRM\|1\|D)|(kpr)|(kdp))" /e /r /s</v>
      </c>
      <c r="AG109" s="1" t="str">
        <f>IFERROR(IF(VALUE(LEFT(AD109,2))&lt;=2,"EC",IF(OR(VALUE(LEFT(AD109,2))=8,VALUE(LEFT(AD109,2))=18),"NW","Other")),"Other")</f>
        <v>EC</v>
      </c>
      <c r="AH109" s="100" t="str">
        <f t="shared" si="76"/>
        <v>"%USERPROFILE%\Documents\GitHub\eaglep3\Utilities\RefineRTDCRunTimes.py" --tripid 193-27 --locoid 4042 --swversion DE.1.0.7.0 --startMP 204:497 --initTime 2016-08-27T15:08:56 --startdatetime 2016-08-27T15:15:15 --delay 1 --endMP 204:233336 --enddatetime 2016-08-27T15:51:43 --enforcementcount 0 &gt;&gt;C:\Users\stu\Documents\GitHub\eaglep3-reporting\EC\2016-08-27-refined-times.txt</v>
      </c>
      <c r="AI109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{"issue":{"subject":"","project_id":79,"tracker_id":40,"status_id":1,"priority_id":2,"assigned_to_id":23,"start_date":"2016-08-27","description":"","custom_fields":[{"id":1,"name":"Subdivision","value":"EC"},{"id":4,"name":"Milepost","value":"23.2839"},{"id":17,"name":"Train ID","value":"193-27"},{"id":16,"name":"Locomotive ID","value":"4042"},{"id":130,"name":"Impact","value":""},{"id":150,"name":"Time of Event (Mountain Time)","value":"15:51:43"},{"id":151,"name":"Denver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593</v>
      </c>
      <c r="B110" s="7">
        <v>4041</v>
      </c>
      <c r="C110" s="24" t="s">
        <v>113</v>
      </c>
      <c r="D110" s="24" t="s">
        <v>342</v>
      </c>
      <c r="E110" s="15">
        <v>42609.66778935185</v>
      </c>
      <c r="F110" s="15">
        <v>42609.674490740741</v>
      </c>
      <c r="G110" s="7">
        <v>1</v>
      </c>
      <c r="H110" s="15" t="s">
        <v>187</v>
      </c>
      <c r="I110" s="15">
        <v>42609.702094907407</v>
      </c>
      <c r="J110" s="7">
        <v>0</v>
      </c>
      <c r="K110" s="132" t="str">
        <f>IF(ISEVEN(B110),(B110-1)&amp;"/"&amp;B110,B110&amp;"/"&amp;(B110+1))</f>
        <v>4041/4042</v>
      </c>
      <c r="L110" s="24" t="str">
        <f>VLOOKUP(A110,'Trips&amp;Operators'!$C$1:$E$10000,3,FALSE)</f>
        <v>SHOOK</v>
      </c>
      <c r="M110" s="6">
        <f>I110-F110</f>
        <v>2.7604166665696539E-2</v>
      </c>
      <c r="N110" s="7">
        <f>24*60*SUM($M110:$M110)</f>
        <v>39.749999998603016</v>
      </c>
      <c r="O110" s="7"/>
      <c r="P110" s="7"/>
      <c r="Q110" s="25"/>
      <c r="R110" s="25"/>
      <c r="S110" s="37">
        <f>SUM(U110:U110)/IF(AG110="EC",12,1)</f>
        <v>1</v>
      </c>
      <c r="T110" s="52" t="str">
        <f>IF(ISEVEN(LEFT(AD110,4)),"Southbound","NorthBound")</f>
        <v>Southbound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hh:mm:ss")&amp;"-0600',mode:absolute,to:'"&amp;TEXT(I110+1/24,"yyyy-MM-DD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https://search-rtdc-monitor-bjffxe2xuh6vdkpspy63sjmuny.us-east-1.es.amazonaws.com/_plugin/kibana/#/discover/Steve-Slow-Train-Analysis-(2080s-and-2083s)?_g=(refreshInterval:(display:Off,section:0,value:0),time:(from:'2016-08-27 15:01:37-0600',mode:absolute,to:'2016-08-27 17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10" s="54" t="str">
        <f>IF(AA110&lt;IF(AG110="EC",23,5.65),"Y","N")</f>
        <v>N</v>
      </c>
      <c r="X110" s="120">
        <f>VALUE(LEFT(AD110,4))-VALUE(LEFT(AD109,4))</f>
        <v>1</v>
      </c>
      <c r="Y110" s="69">
        <f>RIGHT(D110,LEN(D110)-4)/10000</f>
        <v>23.3019</v>
      </c>
      <c r="Z110" s="69">
        <f>RIGHT(H110,LEN(H110)-4)/10000</f>
        <v>1.6E-2</v>
      </c>
      <c r="AA110" s="69">
        <f>ABS(Z110-Y110)</f>
        <v>23.285900000000002</v>
      </c>
      <c r="AB110" s="66" t="e">
        <f>VLOOKUP(A110,Enforcements!$C$7:$J$21,8,0)</f>
        <v>#N/A</v>
      </c>
      <c r="AC110" s="62" t="e">
        <f>VLOOKUP(A110,Enforcements!$C$7:$E$21,3,0)</f>
        <v>#N/A</v>
      </c>
      <c r="AD110" s="63" t="str">
        <f>IF(LEN(A110)=6,"0"&amp;A110,A110)</f>
        <v>0194-27</v>
      </c>
      <c r="AE110" s="99" t="str">
        <f>"aws s3 cp "&amp;s3_bucket&amp;"/RTDC"&amp;B110&amp;"/"&amp;TEXT(F110,"YYYY-MM-DD")&amp;"/ "&amp;search_path&amp;"\RTDC"&amp;B110&amp;"\"&amp;TEXT(F110,"YYYY-MM-DD")&amp;" --recursive &amp; """&amp;walkandungz&amp;""" "&amp;search_path&amp;"\RTDC"&amp;B110&amp;"\"&amp;TEXT(F110,"YYYY-MM-DD")
&amp;" &amp; "&amp;"aws s3 cp "&amp;s3_bucket&amp;"/RTDC"&amp;B110&amp;"/"&amp;TEXT(F110+1,"YYYY-MM-DD")&amp;"/ "&amp;search_path&amp;"\RTDC"&amp;B110&amp;"\"&amp;TEXT(F110+1,"YYYY-MM-DD")&amp;" --recursive &amp; """&amp;walkandungz&amp;""" "&amp;search_path&amp;"\RTDC"&amp;B110&amp;"\"&amp;TEXT(F110+1,"YYYY-MM-DD")</f>
        <v>aws s3 cp s3://rtdc.mdm.uploadarchive/RTDC4041/2016-08-27/ "%USERPROFILE%\AppData\Local\Temp\OnboardLogs"\RTDC4041\2016-08-27 --recursive &amp; "%USERPROFILE%\Documents\GitHub\mrs-test-scripts\Headless Mode &amp; Sideloading\WalkAndUnGZ.bat" "%USERPROFILE%\AppData\Local\Temp\OnboardLogs"\RTDC4041\2016-08-27 &amp; 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</v>
      </c>
      <c r="AF110" s="96" t="str">
        <f>astrogrep_path&amp;" /spath="&amp;search_path&amp;" /stypes=""*"&amp;B110&amp;"*"&amp;TEXT(I110-utc_offset/24,"YYYYMMDD")&amp;"*"" /stext="" "&amp;TEXT(I110-utc_offset/24,"HH")&amp;search_regexp&amp;""" /e /r /s"</f>
        <v>"C:\Program Files (x86)\AstroGrep\AstroGrep.exe" /spath="%USERPROFILE%\AppData\Local\Temp\OnboardLogs" /stypes="*4041*20160827*" /stext=" 22:.+((SYSTEM_STATE.+slice.+state.+changed )|(ment ac)|(system.+state.+changed )|(\|lc)|(penalty)|(\[timeout)|(PRM\|1\|D)|(kpr)|(kdp))" /e /r /s</v>
      </c>
      <c r="AG110" s="1" t="str">
        <f>IFERROR(IF(VALUE(LEFT(AD110,2))&lt;=2,"EC",IF(OR(VALUE(LEFT(AD110,2))=8,VALUE(LEFT(AD110,2))=18),"NW","Other")),"Other")</f>
        <v>EC</v>
      </c>
      <c r="AH110" s="100" t="str">
        <f t="shared" si="76"/>
        <v>"%USERPROFILE%\Documents\GitHub\eaglep3\Utilities\RefineRTDCRunTimes.py" --tripid 194-27 --locoid 4041 --swversion DE.1.0.7.0 --startMP 204:233019 --initTime 2016-08-27T16:01:37 --startdatetime 2016-08-27T16:11:16 --delay 1 --endMP 204:160 --enddatetime 2016-08-27T16:51:01 --enforcementcount 0 &gt;&gt;C:\Users\stu\Documents\GitHub\eaglep3-reporting\EC\2016-08-27-refined-times.txt</v>
      </c>
      <c r="AI110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{"issue":{"subject":"","project_id":79,"tracker_id":40,"status_id":1,"priority_id":2,"assigned_to_id":23,"start_date":"2016-08-27","description":"","custom_fields":[{"id":1,"name":"Subdivision","value":"EC"},{"id":4,"name":"Milepost","value":"23.2859"},{"id":17,"name":"Train ID","value":"194-27"},{"id":16,"name":"Locomotive ID","value":"4041"},{"id":130,"name":"Impact","value":""},{"id":150,"name":"Time of Event (Mountain Time)","value":"16:51:01"},{"id":151,"name":"Denver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594</v>
      </c>
      <c r="B111" s="7">
        <v>4029</v>
      </c>
      <c r="C111" s="24" t="s">
        <v>113</v>
      </c>
      <c r="D111" s="24" t="s">
        <v>595</v>
      </c>
      <c r="E111" s="15">
        <v>42609.642372685186</v>
      </c>
      <c r="F111" s="15">
        <v>42609.645995370367</v>
      </c>
      <c r="G111" s="7">
        <v>1</v>
      </c>
      <c r="H111" s="15" t="s">
        <v>200</v>
      </c>
      <c r="I111" s="15">
        <v>42609.67114583333</v>
      </c>
      <c r="J111" s="7">
        <v>0</v>
      </c>
      <c r="K111" s="132" t="str">
        <f>IF(ISEVEN(B111),(B111-1)&amp;"/"&amp;B111,B111&amp;"/"&amp;(B111+1))</f>
        <v>4029/4030</v>
      </c>
      <c r="L111" s="24" t="str">
        <f>VLOOKUP(A111,'Trips&amp;Operators'!$C$1:$E$10000,3,FALSE)</f>
        <v>BROWN</v>
      </c>
      <c r="M111" s="6">
        <f>I111-F111</f>
        <v>2.5150462963210884E-2</v>
      </c>
      <c r="N111" s="7">
        <f>24*60*SUM($M111:$M111)</f>
        <v>36.216666667023674</v>
      </c>
      <c r="O111" s="7"/>
      <c r="P111" s="7"/>
      <c r="Q111" s="25"/>
      <c r="R111" s="25"/>
      <c r="S111" s="37">
        <f>SUM(U111:U111)/IF(AG111="EC",12,1)</f>
        <v>1</v>
      </c>
      <c r="T111" s="52" t="str">
        <f>IF(ISEVEN(LEFT(AD111,4)),"Southbound","NorthBound")</f>
        <v>NorthBound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hh:mm:ss")&amp;"-0600',mode:absolute,to:'"&amp;TEXT(I111+1/24,"yyyy-MM-DD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https://search-rtdc-monitor-bjffxe2xuh6vdkpspy63sjmuny.us-east-1.es.amazonaws.com/_plugin/kibana/#/discover/Steve-Slow-Train-Analysis-(2080s-and-2083s)?_g=(refreshInterval:(display:Off,section:0,value:0),time:(from:'2016-08-27 14:25:01-0600',mode:absolute,to:'2016-08-27 17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11" s="54" t="str">
        <f>IF(AA111&lt;IF(AG111="EC",23,5.65),"Y","N")</f>
        <v>N</v>
      </c>
      <c r="X111" s="120">
        <f>VALUE(LEFT(AD111,4))-VALUE(LEFT(AD110,4))</f>
        <v>1</v>
      </c>
      <c r="Y111" s="69">
        <f>RIGHT(D111,LEN(D111)-4)/10000</f>
        <v>4.3299999999999998E-2</v>
      </c>
      <c r="Z111" s="69">
        <f>RIGHT(H111,LEN(H111)-4)/10000</f>
        <v>23.331199999999999</v>
      </c>
      <c r="AA111" s="69">
        <f>ABS(Z111-Y111)</f>
        <v>23.2879</v>
      </c>
      <c r="AB111" s="66" t="e">
        <f>VLOOKUP(A111,Enforcements!$C$7:$J$21,8,0)</f>
        <v>#N/A</v>
      </c>
      <c r="AC111" s="62" t="e">
        <f>VLOOKUP(A111,Enforcements!$C$7:$E$21,3,0)</f>
        <v>#N/A</v>
      </c>
      <c r="AD111" s="63" t="str">
        <f>IF(LEN(A111)=6,"0"&amp;A111,A111)</f>
        <v>0195-27</v>
      </c>
      <c r="AE111" s="99" t="str">
        <f>"aws s3 cp "&amp;s3_bucket&amp;"/RTDC"&amp;B111&amp;"/"&amp;TEXT(F111,"YYYY-MM-DD")&amp;"/ "&amp;search_path&amp;"\RTDC"&amp;B111&amp;"\"&amp;TEXT(F111,"YYYY-MM-DD")&amp;" --recursive &amp; """&amp;walkandungz&amp;""" "&amp;search_path&amp;"\RTDC"&amp;B111&amp;"\"&amp;TEXT(F111,"YYYY-MM-DD")
&amp;" &amp; "&amp;"aws s3 cp "&amp;s3_bucket&amp;"/RTDC"&amp;B111&amp;"/"&amp;TEXT(F111+1,"YYYY-MM-DD")&amp;"/ "&amp;search_path&amp;"\RTDC"&amp;B111&amp;"\"&amp;TEXT(F111+1,"YYYY-MM-DD")&amp;" --recursive &amp; """&amp;walkandungz&amp;""" "&amp;search_path&amp;"\RTDC"&amp;B111&amp;"\"&amp;TEXT(F111+1,"YYYY-MM-DD")</f>
        <v>aws s3 cp s3://rtdc.mdm.uploadarchive/RTDC4029/2016-08-27/ "%USERPROFILE%\AppData\Local\Temp\OnboardLogs"\RTDC4029\2016-08-27 --recursive &amp; "%USERPROFILE%\Documents\GitHub\mrs-test-scripts\Headless Mode &amp; Sideloading\WalkAndUnGZ.bat" "%USERPROFILE%\AppData\Local\Temp\OnboardLogs"\RTDC4029\2016-08-27 &amp; aws s3 cp s3://rtdc.mdm.uploadarchive/RTDC4029/2016-08-28/ "%USERPROFILE%\AppData\Local\Temp\OnboardLogs"\RTDC4029\2016-08-28 --recursive &amp; "%USERPROFILE%\Documents\GitHub\mrs-test-scripts\Headless Mode &amp; Sideloading\WalkAndUnGZ.bat" "%USERPROFILE%\AppData\Local\Temp\OnboardLogs"\RTDC4029\2016-08-28</v>
      </c>
      <c r="AF111" s="96" t="str">
        <f>astrogrep_path&amp;" /spath="&amp;search_path&amp;" /stypes=""*"&amp;B111&amp;"*"&amp;TEXT(I111-utc_offset/24,"YYYYMMDD")&amp;"*"" /stext="" "&amp;TEXT(I111-utc_offset/24,"HH")&amp;search_regexp&amp;""" /e /r /s"</f>
        <v>"C:\Program Files (x86)\AstroGrep\AstroGrep.exe" /spath="%USERPROFILE%\AppData\Local\Temp\OnboardLogs" /stypes="*4029*20160827*" /stext=" 22:.+((SYSTEM_STATE.+slice.+state.+changed )|(ment ac)|(system.+state.+changed )|(\|lc)|(penalty)|(\[timeout)|(PRM\|1\|D)|(kpr)|(kdp))" /e /r /s</v>
      </c>
      <c r="AG111" s="1" t="str">
        <f>IFERROR(IF(VALUE(LEFT(AD111,2))&lt;=2,"EC",IF(OR(VALUE(LEFT(AD111,2))=8,VALUE(LEFT(AD111,2))=18),"NW","Other")),"Other")</f>
        <v>EC</v>
      </c>
      <c r="AH111" s="100" t="str">
        <f t="shared" si="76"/>
        <v>"%USERPROFILE%\Documents\GitHub\eaglep3\Utilities\RefineRTDCRunTimes.py" --tripid 195-27 --locoid 4029 --swversion DE.1.0.7.0 --startMP 204:433 --initTime 2016-08-27T15:25:01 --startdatetime 2016-08-27T15:30:14 --delay 1 --endMP 204:233312 --enddatetime 2016-08-27T16:06:27 --enforcementcount 0 &gt;&gt;C:\Users\stu\Documents\GitHub\eaglep3-reporting\EC\2016-08-27-refined-times.txt</v>
      </c>
      <c r="AI111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{"issue":{"subject":"","project_id":79,"tracker_id":40,"status_id":1,"priority_id":2,"assigned_to_id":23,"start_date":"2016-08-27","description":"","custom_fields":[{"id":1,"name":"Subdivision","value":"EC"},{"id":4,"name":"Milepost","value":"23.2879"},{"id":17,"name":"Train ID","value":"195-27"},{"id":16,"name":"Locomotive ID","value":"4029"},{"id":130,"name":"Impact","value":""},{"id":150,"name":"Time of Event (Mountain Time)","value":"16:06:27"},{"id":151,"name":"Denver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596</v>
      </c>
      <c r="B112" s="7">
        <v>4030</v>
      </c>
      <c r="C112" s="24" t="s">
        <v>113</v>
      </c>
      <c r="D112" s="24" t="s">
        <v>272</v>
      </c>
      <c r="E112" s="15">
        <v>42609.6799537037</v>
      </c>
      <c r="F112" s="15">
        <v>42609.684895833336</v>
      </c>
      <c r="G112" s="7">
        <v>1</v>
      </c>
      <c r="H112" s="15" t="s">
        <v>153</v>
      </c>
      <c r="I112" s="15">
        <v>42609.71334490741</v>
      </c>
      <c r="J112" s="7">
        <v>0</v>
      </c>
      <c r="K112" s="132" t="str">
        <f>IF(ISEVEN(B112),(B112-1)&amp;"/"&amp;B112,B112&amp;"/"&amp;(B112+1))</f>
        <v>4029/4030</v>
      </c>
      <c r="L112" s="24" t="str">
        <f>VLOOKUP(A112,'Trips&amp;Operators'!$C$1:$E$10000,3,FALSE)</f>
        <v>BROWN</v>
      </c>
      <c r="M112" s="6">
        <f>I112-F112</f>
        <v>2.8449074074160308E-2</v>
      </c>
      <c r="N112" s="7">
        <f>24*60*SUM($M112:$M112)</f>
        <v>40.966666666790843</v>
      </c>
      <c r="O112" s="7"/>
      <c r="P112" s="7"/>
      <c r="Q112" s="25"/>
      <c r="R112" s="25"/>
      <c r="S112" s="37">
        <f>SUM(U112:U112)/IF(AG112="EC",12,1)</f>
        <v>1</v>
      </c>
      <c r="T112" s="52" t="str">
        <f>IF(ISEVEN(LEFT(AD112,4)),"Southbound","NorthBound")</f>
        <v>Southbound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hh:mm:ss")&amp;"-0600',mode:absolute,to:'"&amp;TEXT(I112+1/24,"yyyy-MM-DD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https://search-rtdc-monitor-bjffxe2xuh6vdkpspy63sjmuny.us-east-1.es.amazonaws.com/_plugin/kibana/#/discover/Steve-Slow-Train-Analysis-(2080s-and-2083s)?_g=(refreshInterval:(display:Off,section:0,value:0),time:(from:'2016-08-27 15:19:08-0600',mode:absolute,to:'2016-08-27 18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12" s="54" t="str">
        <f>IF(AA112&lt;IF(AG112="EC",23,5.65),"Y","N")</f>
        <v>N</v>
      </c>
      <c r="X112" s="120">
        <f>VALUE(LEFT(AD112,4))-VALUE(LEFT(AD111,4))</f>
        <v>1</v>
      </c>
      <c r="Y112" s="69">
        <f>RIGHT(D112,LEN(D112)-4)/10000</f>
        <v>23.300999999999998</v>
      </c>
      <c r="Z112" s="69">
        <f>RIGHT(H112,LEN(H112)-4)/10000</f>
        <v>1.5599999999999999E-2</v>
      </c>
      <c r="AA112" s="69">
        <f>ABS(Z112-Y112)</f>
        <v>23.285399999999999</v>
      </c>
      <c r="AB112" s="66" t="e">
        <f>VLOOKUP(A112,Enforcements!$C$7:$J$21,8,0)</f>
        <v>#N/A</v>
      </c>
      <c r="AC112" s="62" t="e">
        <f>VLOOKUP(A112,Enforcements!$C$7:$E$21,3,0)</f>
        <v>#N/A</v>
      </c>
      <c r="AD112" s="63" t="str">
        <f>IF(LEN(A112)=6,"0"&amp;A112,A112)</f>
        <v>0196-27</v>
      </c>
      <c r="AE112" s="99" t="str">
        <f>"aws s3 cp "&amp;s3_bucket&amp;"/RTDC"&amp;B112&amp;"/"&amp;TEXT(F112,"YYYY-MM-DD")&amp;"/ "&amp;search_path&amp;"\RTDC"&amp;B112&amp;"\"&amp;TEXT(F112,"YYYY-MM-DD")&amp;" --recursive &amp; """&amp;walkandungz&amp;""" "&amp;search_path&amp;"\RTDC"&amp;B112&amp;"\"&amp;TEXT(F112,"YYYY-MM-DD")
&amp;" &amp; "&amp;"aws s3 cp "&amp;s3_bucket&amp;"/RTDC"&amp;B112&amp;"/"&amp;TEXT(F112+1,"YYYY-MM-DD")&amp;"/ "&amp;search_path&amp;"\RTDC"&amp;B112&amp;"\"&amp;TEXT(F112+1,"YYYY-MM-DD")&amp;" --recursive &amp; """&amp;walkandungz&amp;""" "&amp;search_path&amp;"\RTDC"&amp;B112&amp;"\"&amp;TEXT(F112+1,"YYYY-MM-DD")</f>
        <v>aws s3 cp s3://rtdc.mdm.uploadarchive/RTDC4030/2016-08-27/ "%USERPROFILE%\AppData\Local\Temp\OnboardLogs"\RTDC4030\2016-08-27 --recursive &amp; "%USERPROFILE%\Documents\GitHub\mrs-test-scripts\Headless Mode &amp; Sideloading\WalkAndUnGZ.bat" "%USERPROFILE%\AppData\Local\Temp\OnboardLogs"\RTDC4030\2016-08-27 &amp; 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</v>
      </c>
      <c r="AF112" s="96" t="str">
        <f>astrogrep_path&amp;" /spath="&amp;search_path&amp;" /stypes=""*"&amp;B112&amp;"*"&amp;TEXT(I112-utc_offset/24,"YYYYMMDD")&amp;"*"" /stext="" "&amp;TEXT(I112-utc_offset/24,"HH")&amp;search_regexp&amp;""" /e /r /s"</f>
        <v>"C:\Program Files (x86)\AstroGrep\AstroGrep.exe" /spath="%USERPROFILE%\AppData\Local\Temp\OnboardLogs" /stypes="*4030*20160827*" /stext=" 23:.+((SYSTEM_STATE.+slice.+state.+changed )|(ment ac)|(system.+state.+changed )|(\|lc)|(penalty)|(\[timeout)|(PRM\|1\|D)|(kpr)|(kdp))" /e /r /s</v>
      </c>
      <c r="AG112" s="1" t="str">
        <f>IFERROR(IF(VALUE(LEFT(AD112,2))&lt;=2,"EC",IF(OR(VALUE(LEFT(AD112,2))=8,VALUE(LEFT(AD112,2))=18),"NW","Other")),"Other")</f>
        <v>EC</v>
      </c>
      <c r="AH112" s="100" t="str">
        <f t="shared" si="76"/>
        <v>"%USERPROFILE%\Documents\GitHub\eaglep3\Utilities\RefineRTDCRunTimes.py" --tripid 196-27 --locoid 4030 --swversion DE.1.0.7.0 --startMP 204:233010 --initTime 2016-08-27T16:19:08 --startdatetime 2016-08-27T16:26:15 --delay 1 --endMP 204:156 --enddatetime 2016-08-27T17:07:13 --enforcementcount 0 &gt;&gt;C:\Users\stu\Documents\GitHub\eaglep3-reporting\EC\2016-08-27-refined-times.txt</v>
      </c>
      <c r="AI112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{"issue":{"subject":"","project_id":79,"tracker_id":40,"status_id":1,"priority_id":2,"assigned_to_id":23,"start_date":"2016-08-27","description":"","custom_fields":[{"id":1,"name":"Subdivision","value":"EC"},{"id":4,"name":"Milepost","value":"23.2854"},{"id":17,"name":"Train ID","value":"196-27"},{"id":16,"name":"Locomotive ID","value":"4030"},{"id":130,"name":"Impact","value":""},{"id":150,"name":"Time of Event (Mountain Time)","value":"17:07:13"},{"id":151,"name":"Denver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597</v>
      </c>
      <c r="B113" s="7">
        <v>4014</v>
      </c>
      <c r="C113" s="24" t="s">
        <v>113</v>
      </c>
      <c r="D113" s="24" t="s">
        <v>335</v>
      </c>
      <c r="E113" s="15">
        <v>42609.653101851851</v>
      </c>
      <c r="F113" s="15">
        <v>42609.656631944446</v>
      </c>
      <c r="G113" s="7">
        <v>1</v>
      </c>
      <c r="H113" s="15" t="s">
        <v>339</v>
      </c>
      <c r="I113" s="15">
        <v>42609.682534722226</v>
      </c>
      <c r="J113" s="7">
        <v>0</v>
      </c>
      <c r="K113" s="132" t="str">
        <f>IF(ISEVEN(B113),(B113-1)&amp;"/"&amp;B113,B113&amp;"/"&amp;(B113+1))</f>
        <v>4013/4014</v>
      </c>
      <c r="L113" s="24" t="str">
        <f>VLOOKUP(A113,'Trips&amp;Operators'!$C$1:$E$10000,3,FALSE)</f>
        <v>STORY</v>
      </c>
      <c r="M113" s="6">
        <f>I113-F113</f>
        <v>2.5902777779265307E-2</v>
      </c>
      <c r="N113" s="7">
        <f>24*60*SUM($M113:$M113)</f>
        <v>37.300000002142042</v>
      </c>
      <c r="O113" s="7"/>
      <c r="P113" s="7"/>
      <c r="Q113" s="25"/>
      <c r="R113" s="25"/>
      <c r="S113" s="37">
        <f>SUM(U113:U113)/IF(AG113="EC",12,1)</f>
        <v>1</v>
      </c>
      <c r="T113" s="52" t="str">
        <f>IF(ISEVEN(LEFT(AD113,4)),"Southbound","NorthBound")</f>
        <v>NorthBound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hh:mm:ss")&amp;"-0600',mode:absolute,to:'"&amp;TEXT(I113+1/24,"yyyy-MM-DD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https://search-rtdc-monitor-bjffxe2xuh6vdkpspy63sjmuny.us-east-1.es.amazonaws.com/_plugin/kibana/#/discover/Steve-Slow-Train-Analysis-(2080s-and-2083s)?_g=(refreshInterval:(display:Off,section:0,value:0),time:(from:'2016-08-27 14:40:28-0600',mode:absolute,to:'2016-08-27 17:22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13" s="54" t="str">
        <f>IF(AA113&lt;IF(AG113="EC",23,5.65),"Y","N")</f>
        <v>N</v>
      </c>
      <c r="X113" s="120">
        <f>VALUE(LEFT(AD113,4))-VALUE(LEFT(AD112,4))</f>
        <v>1</v>
      </c>
      <c r="Y113" s="69">
        <f>RIGHT(D113,LEN(D113)-4)/10000</f>
        <v>4.58E-2</v>
      </c>
      <c r="Z113" s="69">
        <f>RIGHT(H113,LEN(H113)-4)/10000</f>
        <v>23.3309</v>
      </c>
      <c r="AA113" s="69">
        <f>ABS(Z113-Y113)</f>
        <v>23.2851</v>
      </c>
      <c r="AB113" s="66" t="e">
        <f>VLOOKUP(A113,Enforcements!$C$7:$J$21,8,0)</f>
        <v>#N/A</v>
      </c>
      <c r="AC113" s="62" t="e">
        <f>VLOOKUP(A113,Enforcements!$C$7:$E$21,3,0)</f>
        <v>#N/A</v>
      </c>
      <c r="AD113" s="63" t="str">
        <f>IF(LEN(A113)=6,"0"&amp;A113,A113)</f>
        <v>0197-27</v>
      </c>
      <c r="AE113" s="99" t="str">
        <f>"aws s3 cp "&amp;s3_bucket&amp;"/RTDC"&amp;B113&amp;"/"&amp;TEXT(F113,"YYYY-MM-DD")&amp;"/ "&amp;search_path&amp;"\RTDC"&amp;B113&amp;"\"&amp;TEXT(F113,"YYYY-MM-DD")&amp;" --recursive &amp; """&amp;walkandungz&amp;""" "&amp;search_path&amp;"\RTDC"&amp;B113&amp;"\"&amp;TEXT(F113,"YYYY-MM-DD")
&amp;" &amp; "&amp;"aws s3 cp "&amp;s3_bucket&amp;"/RTDC"&amp;B113&amp;"/"&amp;TEXT(F113+1,"YYYY-MM-DD")&amp;"/ "&amp;search_path&amp;"\RTDC"&amp;B113&amp;"\"&amp;TEXT(F113+1,"YYYY-MM-DD")&amp;" --recursive &amp; """&amp;walkandungz&amp;""" "&amp;search_path&amp;"\RTDC"&amp;B113&amp;"\"&amp;TEXT(F113+1,"YYYY-MM-DD")</f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AF113" s="96" t="str">
        <f>astrogrep_path&amp;" /spath="&amp;search_path&amp;" /stypes=""*"&amp;B113&amp;"*"&amp;TEXT(I113-utc_offset/24,"YYYYMMDD")&amp;"*"" /stext="" "&amp;TEXT(I113-utc_offset/24,"HH")&amp;search_regexp&amp;""" /e /r /s"</f>
        <v>"C:\Program Files (x86)\AstroGrep\AstroGrep.exe" /spath="%USERPROFILE%\AppData\Local\Temp\OnboardLogs" /stypes="*4014*20160827*" /stext=" 22:.+((SYSTEM_STATE.+slice.+state.+changed )|(ment ac)|(system.+state.+changed )|(\|lc)|(penalty)|(\[timeout)|(PRM\|1\|D)|(kpr)|(kdp))" /e /r /s</v>
      </c>
      <c r="AG113" s="1" t="str">
        <f>IFERROR(IF(VALUE(LEFT(AD113,2))&lt;=2,"EC",IF(OR(VALUE(LEFT(AD113,2))=8,VALUE(LEFT(AD113,2))=18),"NW","Other")),"Other")</f>
        <v>EC</v>
      </c>
      <c r="AH113" s="100" t="str">
        <f t="shared" si="76"/>
        <v>"%USERPROFILE%\Documents\GitHub\eaglep3\Utilities\RefineRTDCRunTimes.py" --tripid 197-27 --locoid 4014 --swversion DE.1.0.7.0 --startMP 204:458 --initTime 2016-08-27T15:40:28 --startdatetime 2016-08-27T15:45:33 --delay 1 --endMP 204:233309 --enddatetime 2016-08-27T16:22:51 --enforcementcount 0 &gt;&gt;C:\Users\stu\Documents\GitHub\eaglep3-reporting\EC\2016-08-27-refined-times.txt</v>
      </c>
      <c r="AI113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{"issue":{"subject":"","project_id":79,"tracker_id":40,"status_id":1,"priority_id":2,"assigned_to_id":23,"start_date":"2016-08-27","description":"","custom_fields":[{"id":1,"name":"Subdivision","value":"EC"},{"id":4,"name":"Milepost","value":"23.2851"},{"id":17,"name":"Train ID","value":"197-27"},{"id":16,"name":"Locomotive ID","value":"4014"},{"id":130,"name":"Impact","value":""},{"id":150,"name":"Time of Event (Mountain Time)","value":"16:22:51"},{"id":151,"name":"Denver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598</v>
      </c>
      <c r="B114" s="7">
        <v>4013</v>
      </c>
      <c r="C114" s="24" t="s">
        <v>113</v>
      </c>
      <c r="D114" s="24" t="s">
        <v>261</v>
      </c>
      <c r="E114" s="15">
        <v>42609.688379629632</v>
      </c>
      <c r="F114" s="15">
        <v>42609.695381944446</v>
      </c>
      <c r="G114" s="7">
        <v>1</v>
      </c>
      <c r="H114" s="15" t="s">
        <v>348</v>
      </c>
      <c r="I114" s="15">
        <v>42609.723287037035</v>
      </c>
      <c r="J114" s="7">
        <v>0</v>
      </c>
      <c r="K114" s="132" t="str">
        <f>IF(ISEVEN(B114),(B114-1)&amp;"/"&amp;B114,B114&amp;"/"&amp;(B114+1))</f>
        <v>4013/4014</v>
      </c>
      <c r="L114" s="24" t="str">
        <f>VLOOKUP(A114,'Trips&amp;Operators'!$C$1:$E$10000,3,FALSE)</f>
        <v>STORY</v>
      </c>
      <c r="M114" s="6">
        <f>I114-F114</f>
        <v>2.7905092589207925E-2</v>
      </c>
      <c r="N114" s="7">
        <f>24*60*SUM($M114:$M114)</f>
        <v>40.183333328459412</v>
      </c>
      <c r="O114" s="7"/>
      <c r="P114" s="7"/>
      <c r="Q114" s="25"/>
      <c r="R114" s="25"/>
      <c r="S114" s="37">
        <f>SUM(U114:U114)/IF(AG114="EC",12,1)</f>
        <v>1</v>
      </c>
      <c r="T114" s="52" t="str">
        <f>IF(ISEVEN(LEFT(AD114,4)),"Southbound","NorthBound")</f>
        <v>Southbound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hh:mm:ss")&amp;"-0600',mode:absolute,to:'"&amp;TEXT(I114+1/24,"yyyy-MM-DD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https://search-rtdc-monitor-bjffxe2xuh6vdkpspy63sjmuny.us-east-1.es.amazonaws.com/_plugin/kibana/#/discover/Steve-Slow-Train-Analysis-(2080s-and-2083s)?_g=(refreshInterval:(display:Off,section:0,value:0),time:(from:'2016-08-27 15:31:16-0600',mode:absolute,to:'2016-08-27 18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14" s="54" t="str">
        <f>IF(AA114&lt;IF(AG114="EC",23,5.65),"Y","N")</f>
        <v>N</v>
      </c>
      <c r="X114" s="120">
        <f>VALUE(LEFT(AD114,4))-VALUE(LEFT(AD113,4))</f>
        <v>1</v>
      </c>
      <c r="Y114" s="69">
        <f>RIGHT(D114,LEN(D114)-4)/10000</f>
        <v>23.297699999999999</v>
      </c>
      <c r="Z114" s="69">
        <f>RIGHT(H114,LEN(H114)-4)/10000</f>
        <v>1.7399999999999999E-2</v>
      </c>
      <c r="AA114" s="69">
        <f>ABS(Z114-Y114)</f>
        <v>23.2803</v>
      </c>
      <c r="AB114" s="66" t="e">
        <f>VLOOKUP(A114,Enforcements!$C$7:$J$21,8,0)</f>
        <v>#N/A</v>
      </c>
      <c r="AC114" s="62" t="e">
        <f>VLOOKUP(A114,Enforcements!$C$7:$E$21,3,0)</f>
        <v>#N/A</v>
      </c>
      <c r="AD114" s="63" t="str">
        <f>IF(LEN(A114)=6,"0"&amp;A114,A114)</f>
        <v>0198-27</v>
      </c>
      <c r="AE114" s="99" t="str">
        <f>"aws s3 cp "&amp;s3_bucket&amp;"/RTDC"&amp;B114&amp;"/"&amp;TEXT(F114,"YYYY-MM-DD")&amp;"/ "&amp;search_path&amp;"\RTDC"&amp;B114&amp;"\"&amp;TEXT(F114,"YYYY-MM-DD")&amp;" --recursive &amp; """&amp;walkandungz&amp;""" "&amp;search_path&amp;"\RTDC"&amp;B114&amp;"\"&amp;TEXT(F114,"YYYY-MM-DD")
&amp;" &amp; "&amp;"aws s3 cp "&amp;s3_bucket&amp;"/RTDC"&amp;B114&amp;"/"&amp;TEXT(F114+1,"YYYY-MM-DD")&amp;"/ "&amp;search_path&amp;"\RTDC"&amp;B114&amp;"\"&amp;TEXT(F114+1,"YYYY-MM-DD")&amp;" --recursive &amp; """&amp;walkandungz&amp;""" "&amp;search_path&amp;"\RTDC"&amp;B114&amp;"\"&amp;TEXT(F114+1,"YYYY-MM-DD")</f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AF114" s="96" t="str">
        <f>astrogrep_path&amp;" /spath="&amp;search_path&amp;" /stypes=""*"&amp;B114&amp;"*"&amp;TEXT(I114-utc_offset/24,"YYYYMMDD")&amp;"*"" /stext="" "&amp;TEXT(I114-utc_offset/24,"HH")&amp;search_regexp&amp;""" /e /r /s"</f>
        <v>"C:\Program Files (x86)\AstroGrep\AstroGrep.exe" /spath="%USERPROFILE%\AppData\Local\Temp\OnboardLogs" /stypes="*4013*20160827*" /stext=" 23:.+((SYSTEM_STATE.+slice.+state.+changed )|(ment ac)|(system.+state.+changed )|(\|lc)|(penalty)|(\[timeout)|(PRM\|1\|D)|(kpr)|(kdp))" /e /r /s</v>
      </c>
      <c r="AG114" s="1" t="str">
        <f>IFERROR(IF(VALUE(LEFT(AD114,2))&lt;=2,"EC",IF(OR(VALUE(LEFT(AD114,2))=8,VALUE(LEFT(AD114,2))=18),"NW","Other")),"Other")</f>
        <v>EC</v>
      </c>
      <c r="AH114" s="100" t="str">
        <f t="shared" si="76"/>
        <v>"%USERPROFILE%\Documents\GitHub\eaglep3\Utilities\RefineRTDCRunTimes.py" --tripid 198-27 --locoid 4013 --swversion DE.1.0.7.0 --startMP 204:232977 --initTime 2016-08-27T16:31:16 --startdatetime 2016-08-27T16:41:21 --delay 1 --endMP 204:174 --enddatetime 2016-08-27T17:21:32 --enforcementcount 0 &gt;&gt;C:\Users\stu\Documents\GitHub\eaglep3-reporting\EC\2016-08-27-refined-times.txt</v>
      </c>
      <c r="AI114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{"issue":{"subject":"","project_id":79,"tracker_id":40,"status_id":1,"priority_id":2,"assigned_to_id":23,"start_date":"2016-08-27","description":"","custom_fields":[{"id":1,"name":"Subdivision","value":"EC"},{"id":4,"name":"Milepost","value":"23.2803"},{"id":17,"name":"Train ID","value":"198-27"},{"id":16,"name":"Locomotive ID","value":"4013"},{"id":130,"name":"Impact","value":""},{"id":150,"name":"Time of Event (Mountain Time)","value":"17:21:32"},{"id":151,"name":"Denver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x14ac:dyDescent="0.25">
      <c r="A115" s="39" t="s">
        <v>599</v>
      </c>
      <c r="B115" s="7">
        <v>4025</v>
      </c>
      <c r="C115" s="24" t="s">
        <v>113</v>
      </c>
      <c r="D115" s="24" t="s">
        <v>600</v>
      </c>
      <c r="E115" s="15">
        <v>42609.662939814814</v>
      </c>
      <c r="F115" s="15">
        <v>42609.667210648149</v>
      </c>
      <c r="G115" s="7">
        <v>1</v>
      </c>
      <c r="H115" s="15" t="s">
        <v>190</v>
      </c>
      <c r="I115" s="15">
        <v>42609.692858796298</v>
      </c>
      <c r="J115" s="7">
        <v>0</v>
      </c>
      <c r="K115" s="132" t="str">
        <f>IF(ISEVEN(B115),(B115-1)&amp;"/"&amp;B115,B115&amp;"/"&amp;(B115+1))</f>
        <v>4025/4026</v>
      </c>
      <c r="L115" s="24" t="str">
        <f>VLOOKUP(A115,'Trips&amp;Operators'!$C$1:$E$10000,3,FALSE)</f>
        <v>WEBSTER</v>
      </c>
      <c r="M115" s="6">
        <f>I115-F115</f>
        <v>2.5648148148320615E-2</v>
      </c>
      <c r="N115" s="7">
        <f>24*60*SUM($M115:$M115)</f>
        <v>36.933333333581686</v>
      </c>
      <c r="O115" s="7"/>
      <c r="P115" s="7"/>
      <c r="Q115" s="25"/>
      <c r="R115" s="25"/>
      <c r="S115" s="37">
        <f>SUM(U115:U115)/IF(AG115="EC",12,1)</f>
        <v>1</v>
      </c>
      <c r="T115" s="52" t="str">
        <f>IF(ISEVEN(LEFT(AD115,4)),"Southbound","NorthBound")</f>
        <v>NorthBound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hh:mm:ss")&amp;"-0600',mode:absolute,to:'"&amp;TEXT(I115+1/24,"yyyy-MM-DD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https://search-rtdc-monitor-bjffxe2xuh6vdkpspy63sjmuny.us-east-1.es.amazonaws.com/_plugin/kibana/#/discover/Steve-Slow-Train-Analysis-(2080s-and-2083s)?_g=(refreshInterval:(display:Off,section:0,value:0),time:(from:'2016-08-27 14:54:38-0600',mode:absolute,to:'2016-08-27 17:37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15" s="54" t="str">
        <f>IF(AA115&lt;IF(AG115="EC",23,5.65),"Y","N")</f>
        <v>N</v>
      </c>
      <c r="X115" s="120">
        <f>VALUE(LEFT(AD115,4))-VALUE(LEFT(AD114,4))</f>
        <v>1</v>
      </c>
      <c r="Y115" s="69">
        <f>RIGHT(D115,LEN(D115)-4)/10000</f>
        <v>4.2000000000000003E-2</v>
      </c>
      <c r="Z115" s="69">
        <f>RIGHT(H115,LEN(H115)-4)/10000</f>
        <v>23.329799999999999</v>
      </c>
      <c r="AA115" s="69">
        <f>ABS(Z115-Y115)</f>
        <v>23.287799999999997</v>
      </c>
      <c r="AB115" s="66" t="e">
        <f>VLOOKUP(A115,Enforcements!$C$7:$J$21,8,0)</f>
        <v>#N/A</v>
      </c>
      <c r="AC115" s="62" t="e">
        <f>VLOOKUP(A115,Enforcements!$C$7:$E$21,3,0)</f>
        <v>#N/A</v>
      </c>
      <c r="AD115" s="63" t="str">
        <f>IF(LEN(A115)=6,"0"&amp;A115,A115)</f>
        <v>0199-27</v>
      </c>
      <c r="AE115" s="99" t="str">
        <f>"aws s3 cp "&amp;s3_bucket&amp;"/RTDC"&amp;B115&amp;"/"&amp;TEXT(F115,"YYYY-MM-DD")&amp;"/ "&amp;search_path&amp;"\RTDC"&amp;B115&amp;"\"&amp;TEXT(F115,"YYYY-MM-DD")&amp;" --recursive &amp; """&amp;walkandungz&amp;""" "&amp;search_path&amp;"\RTDC"&amp;B115&amp;"\"&amp;TEXT(F115,"YYYY-MM-DD")
&amp;" &amp; "&amp;"aws s3 cp "&amp;s3_bucket&amp;"/RTDC"&amp;B115&amp;"/"&amp;TEXT(F115+1,"YYYY-MM-DD")&amp;"/ "&amp;search_path&amp;"\RTDC"&amp;B115&amp;"\"&amp;TEXT(F115+1,"YYYY-MM-DD")&amp;" --recursive &amp; """&amp;walkandungz&amp;""" "&amp;search_path&amp;"\RTDC"&amp;B115&amp;"\"&amp;TEXT(F115+1,"YYYY-MM-DD")</f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115" s="96" t="str">
        <f>astrogrep_path&amp;" /spath="&amp;search_path&amp;" /stypes=""*"&amp;B115&amp;"*"&amp;TEXT(I115-utc_offset/24,"YYYYMMDD")&amp;"*"" /stext="" "&amp;TEXT(I115-utc_offset/24,"HH")&amp;search_regexp&amp;""" /e /r /s"</f>
        <v>"C:\Program Files (x86)\AstroGrep\AstroGrep.exe" /spath="%USERPROFILE%\AppData\Local\Temp\OnboardLogs" /stypes="*4025*20160827*" /stext=" 22:.+((SYSTEM_STATE.+slice.+state.+changed )|(ment ac)|(system.+state.+changed )|(\|lc)|(penalty)|(\[timeout)|(PRM\|1\|D)|(kpr)|(kdp))" /e /r /s</v>
      </c>
      <c r="AG115" s="1" t="str">
        <f>IFERROR(IF(VALUE(LEFT(AD115,2))&lt;=2,"EC",IF(OR(VALUE(LEFT(AD115,2))=8,VALUE(LEFT(AD115,2))=18),"NW","Other")),"Other")</f>
        <v>EC</v>
      </c>
      <c r="AH115" s="100" t="str">
        <f t="shared" si="76"/>
        <v>"%USERPROFILE%\Documents\GitHub\eaglep3\Utilities\RefineRTDCRunTimes.py" --tripid 199-27 --locoid 4025 --swversion DE.1.0.7.0 --startMP 204:420 --initTime 2016-08-27T15:54:38 --startdatetime 2016-08-27T16:00:47 --delay 1 --endMP 204:233298 --enddatetime 2016-08-27T16:37:43 --enforcementcount 0 &gt;&gt;C:\Users\stu\Documents\GitHub\eaglep3-reporting\EC\2016-08-27-refined-times.txt</v>
      </c>
      <c r="AI115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{"issue":{"subject":"","project_id":79,"tracker_id":40,"status_id":1,"priority_id":2,"assigned_to_id":23,"start_date":"2016-08-27","description":"","custom_fields":[{"id":1,"name":"Subdivision","value":"EC"},{"id":4,"name":"Milepost","value":"23.2878"},{"id":17,"name":"Train ID","value":"199-27"},{"id":16,"name":"Locomotive ID","value":"4025"},{"id":130,"name":"Impact","value":""},{"id":150,"name":"Time of Event (Mountain Time)","value":"16:37:43"},{"id":151,"name":"Denver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601</v>
      </c>
      <c r="B116" s="7">
        <v>4026</v>
      </c>
      <c r="C116" s="24" t="s">
        <v>113</v>
      </c>
      <c r="D116" s="24" t="s">
        <v>273</v>
      </c>
      <c r="E116" s="15">
        <v>42609.702743055554</v>
      </c>
      <c r="F116" s="15">
        <v>42609.705879629626</v>
      </c>
      <c r="G116" s="7">
        <v>1</v>
      </c>
      <c r="H116" s="15" t="s">
        <v>211</v>
      </c>
      <c r="I116" s="15">
        <v>42609.733784722222</v>
      </c>
      <c r="J116" s="7">
        <v>0</v>
      </c>
      <c r="K116" s="132" t="str">
        <f>IF(ISEVEN(B116),(B116-1)&amp;"/"&amp;B116,B116&amp;"/"&amp;(B116+1))</f>
        <v>4025/4026</v>
      </c>
      <c r="L116" s="24" t="str">
        <f>VLOOKUP(A116,'Trips&amp;Operators'!$C$1:$E$10000,3,FALSE)</f>
        <v>WEBSTER</v>
      </c>
      <c r="M116" s="6">
        <f>I116-F116</f>
        <v>2.7905092596483883E-2</v>
      </c>
      <c r="N116" s="7">
        <f>24*60*SUM($M116:$M116)</f>
        <v>40.183333338936791</v>
      </c>
      <c r="O116" s="7"/>
      <c r="P116" s="7"/>
      <c r="Q116" s="25"/>
      <c r="R116" s="25"/>
      <c r="S116" s="37">
        <f>SUM(U116:U116)/IF(AG116="EC",12,1)</f>
        <v>1</v>
      </c>
      <c r="T116" s="52" t="str">
        <f>IF(ISEVEN(LEFT(AD116,4)),"Southbound","NorthBound")</f>
        <v>Southbound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hh:mm:ss")&amp;"-0600',mode:absolute,to:'"&amp;TEXT(I116+1/24,"yyyy-MM-DD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https://search-rtdc-monitor-bjffxe2xuh6vdkpspy63sjmuny.us-east-1.es.amazonaws.com/_plugin/kibana/#/discover/Steve-Slow-Train-Analysis-(2080s-and-2083s)?_g=(refreshInterval:(display:Off,section:0,value:0),time:(from:'2016-08-27 15:51:57-0600',mode:absolute,to:'2016-08-27 18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16" s="54" t="str">
        <f>IF(AA116&lt;IF(AG116="EC",23,5.65),"Y","N")</f>
        <v>N</v>
      </c>
      <c r="X116" s="120">
        <f>VALUE(LEFT(AD116,4))-VALUE(LEFT(AD115,4))</f>
        <v>1</v>
      </c>
      <c r="Y116" s="69">
        <f>RIGHT(D116,LEN(D116)-4)/10000</f>
        <v>23.299299999999999</v>
      </c>
      <c r="Z116" s="69">
        <f>RIGHT(H116,LEN(H116)-4)/10000</f>
        <v>1.34E-2</v>
      </c>
      <c r="AA116" s="69">
        <f>ABS(Z116-Y116)</f>
        <v>23.285899999999998</v>
      </c>
      <c r="AB116" s="66" t="e">
        <f>VLOOKUP(A116,Enforcements!$C$7:$J$21,8,0)</f>
        <v>#N/A</v>
      </c>
      <c r="AC116" s="62" t="e">
        <f>VLOOKUP(A116,Enforcements!$C$7:$E$21,3,0)</f>
        <v>#N/A</v>
      </c>
      <c r="AD116" s="63" t="str">
        <f>IF(LEN(A116)=6,"0"&amp;A116,A116)</f>
        <v>0200-27</v>
      </c>
      <c r="AE116" s="99" t="str">
        <f>"aws s3 cp "&amp;s3_bucket&amp;"/RTDC"&amp;B116&amp;"/"&amp;TEXT(F116,"YYYY-MM-DD")&amp;"/ "&amp;search_path&amp;"\RTDC"&amp;B116&amp;"\"&amp;TEXT(F116,"YYYY-MM-DD")&amp;" --recursive &amp; """&amp;walkandungz&amp;""" "&amp;search_path&amp;"\RTDC"&amp;B116&amp;"\"&amp;TEXT(F116,"YYYY-MM-DD")
&amp;" &amp; "&amp;"aws s3 cp "&amp;s3_bucket&amp;"/RTDC"&amp;B116&amp;"/"&amp;TEXT(F116+1,"YYYY-MM-DD")&amp;"/ "&amp;search_path&amp;"\RTDC"&amp;B116&amp;"\"&amp;TEXT(F116+1,"YYYY-MM-DD")&amp;" --recursive &amp; """&amp;walkandungz&amp;""" "&amp;search_path&amp;"\RTDC"&amp;B116&amp;"\"&amp;TEXT(F116+1,"YYYY-MM-DD")</f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116" s="96" t="str">
        <f>astrogrep_path&amp;" /spath="&amp;search_path&amp;" /stypes=""*"&amp;B116&amp;"*"&amp;TEXT(I116-utc_offset/24,"YYYYMMDD")&amp;"*"" /stext="" "&amp;TEXT(I116-utc_offset/24,"HH")&amp;search_regexp&amp;""" /e /r /s"</f>
        <v>"C:\Program Files (x86)\AstroGrep\AstroGrep.exe" /spath="%USERPROFILE%\AppData\Local\Temp\OnboardLogs" /stypes="*4026*20160827*" /stext=" 23:.+((SYSTEM_STATE.+slice.+state.+changed )|(ment ac)|(system.+state.+changed )|(\|lc)|(penalty)|(\[timeout)|(PRM\|1\|D)|(kpr)|(kdp))" /e /r /s</v>
      </c>
      <c r="AG116" s="1" t="str">
        <f>IFERROR(IF(VALUE(LEFT(AD116,2))&lt;=2,"EC",IF(OR(VALUE(LEFT(AD116,2))=8,VALUE(LEFT(AD116,2))=18),"NW","Other")),"Other")</f>
        <v>EC</v>
      </c>
      <c r="AH116" s="100" t="str">
        <f t="shared" si="76"/>
        <v>"%USERPROFILE%\Documents\GitHub\eaglep3\Utilities\RefineRTDCRunTimes.py" --tripid 200-27 --locoid 4026 --swversion DE.1.0.7.0 --startMP 204:232993 --initTime 2016-08-27T16:51:57 --startdatetime 2016-08-27T16:56:28 --delay 1 --endMP 204:134 --enddatetime 2016-08-27T17:36:39 --enforcementcount 0 &gt;&gt;C:\Users\stu\Documents\GitHub\eaglep3-reporting\EC\2016-08-27-refined-times.txt</v>
      </c>
      <c r="AI116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{"issue":{"subject":"","project_id":79,"tracker_id":40,"status_id":1,"priority_id":2,"assigned_to_id":23,"start_date":"2016-08-27","description":"","custom_fields":[{"id":1,"name":"Subdivision","value":"EC"},{"id":4,"name":"Milepost","value":"23.2859"},{"id":17,"name":"Train ID","value":"200-27"},{"id":16,"name":"Locomotive ID","value":"4026"},{"id":130,"name":"Impact","value":""},{"id":150,"name":"Time of Event (Mountain Time)","value":"17:36:39"},{"id":151,"name":"Denver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x14ac:dyDescent="0.25">
      <c r="A117" s="39" t="s">
        <v>602</v>
      </c>
      <c r="B117" s="7">
        <v>4009</v>
      </c>
      <c r="C117" s="24" t="s">
        <v>113</v>
      </c>
      <c r="D117" s="24" t="s">
        <v>603</v>
      </c>
      <c r="E117" s="15">
        <v>42609.674837962964</v>
      </c>
      <c r="F117" s="15">
        <v>42609.677314814813</v>
      </c>
      <c r="G117" s="7">
        <v>1</v>
      </c>
      <c r="H117" s="15" t="s">
        <v>604</v>
      </c>
      <c r="I117" s="15">
        <v>42609.702546296299</v>
      </c>
      <c r="J117" s="7">
        <v>0</v>
      </c>
      <c r="K117" s="132" t="str">
        <f>IF(ISEVEN(B117),(B117-1)&amp;"/"&amp;B117,B117&amp;"/"&amp;(B117+1))</f>
        <v>4009/4010</v>
      </c>
      <c r="L117" s="24" t="str">
        <f>VLOOKUP(A117,'Trips&amp;Operators'!$C$1:$E$10000,3,FALSE)</f>
        <v>STEWART</v>
      </c>
      <c r="M117" s="6">
        <f>I117-F117</f>
        <v>2.5231481486116536E-2</v>
      </c>
      <c r="N117" s="7">
        <f>24*60*SUM($M117:$M117)</f>
        <v>36.333333340007812</v>
      </c>
      <c r="O117" s="7"/>
      <c r="P117" s="7"/>
      <c r="Q117" s="25"/>
      <c r="R117" s="25"/>
      <c r="S117" s="37">
        <f>SUM(U117:U117)/IF(AG117="EC",12,1)</f>
        <v>1</v>
      </c>
      <c r="T117" s="52" t="str">
        <f>IF(ISEVEN(LEFT(AD117,4)),"Southbound","NorthBound")</f>
        <v>NorthBound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hh:mm:ss")&amp;"-0600',mode:absolute,to:'"&amp;TEXT(I117+1/24,"yyyy-MM-DD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https://search-rtdc-monitor-bjffxe2xuh6vdkpspy63sjmuny.us-east-1.es.amazonaws.com/_plugin/kibana/#/discover/Steve-Slow-Train-Analysis-(2080s-and-2083s)?_g=(refreshInterval:(display:Off,section:0,value:0),time:(from:'2016-08-27 15:11:46-0600',mode:absolute,to:'2016-08-27 17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17" s="54" t="str">
        <f>IF(AA117&lt;IF(AG117="EC",23,5.65),"Y","N")</f>
        <v>N</v>
      </c>
      <c r="X117" s="120">
        <f>VALUE(LEFT(AD117,4))-VALUE(LEFT(AD116,4))</f>
        <v>1</v>
      </c>
      <c r="Y117" s="69">
        <f>RIGHT(D117,LEN(D117)-4)/10000</f>
        <v>4.7699999999999999E-2</v>
      </c>
      <c r="Z117" s="69">
        <f>RIGHT(H117,LEN(H117)-4)/10000</f>
        <v>23.330300000000001</v>
      </c>
      <c r="AA117" s="69">
        <f>ABS(Z117-Y117)</f>
        <v>23.282600000000002</v>
      </c>
      <c r="AB117" s="66" t="e">
        <f>VLOOKUP(A117,Enforcements!$C$7:$J$21,8,0)</f>
        <v>#N/A</v>
      </c>
      <c r="AC117" s="62" t="e">
        <f>VLOOKUP(A117,Enforcements!$C$7:$E$21,3,0)</f>
        <v>#N/A</v>
      </c>
      <c r="AD117" s="63" t="str">
        <f>IF(LEN(A117)=6,"0"&amp;A117,A117)</f>
        <v>0201-27</v>
      </c>
      <c r="AE117" s="99" t="str">
        <f>"aws s3 cp "&amp;s3_bucket&amp;"/RTDC"&amp;B117&amp;"/"&amp;TEXT(F117,"YYYY-MM-DD")&amp;"/ "&amp;search_path&amp;"\RTDC"&amp;B117&amp;"\"&amp;TEXT(F117,"YYYY-MM-DD")&amp;" --recursive &amp; """&amp;walkandungz&amp;""" "&amp;search_path&amp;"\RTDC"&amp;B117&amp;"\"&amp;TEXT(F117,"YYYY-MM-DD")
&amp;" &amp; "&amp;"aws s3 cp "&amp;s3_bucket&amp;"/RTDC"&amp;B117&amp;"/"&amp;TEXT(F117+1,"YYYY-MM-DD")&amp;"/ "&amp;search_path&amp;"\RTDC"&amp;B117&amp;"\"&amp;TEXT(F117+1,"YYYY-MM-DD")&amp;" --recursive &amp; """&amp;walkandungz&amp;""" "&amp;search_path&amp;"\RTDC"&amp;B117&amp;"\"&amp;TEXT(F117+1,"YYYY-MM-DD")</f>
        <v>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 &amp; 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</v>
      </c>
      <c r="AF117" s="96" t="str">
        <f>astrogrep_path&amp;" /spath="&amp;search_path&amp;" /stypes=""*"&amp;B117&amp;"*"&amp;TEXT(I117-utc_offset/24,"YYYYMMDD")&amp;"*"" /stext="" "&amp;TEXT(I117-utc_offset/24,"HH")&amp;search_regexp&amp;""" /e /r /s"</f>
        <v>"C:\Program Files (x86)\AstroGrep\AstroGrep.exe" /spath="%USERPROFILE%\AppData\Local\Temp\OnboardLogs" /stypes="*4009*20160827*" /stext=" 22:.+((SYSTEM_STATE.+slice.+state.+changed )|(ment ac)|(system.+state.+changed )|(\|lc)|(penalty)|(\[timeout)|(PRM\|1\|D)|(kpr)|(kdp))" /e /r /s</v>
      </c>
      <c r="AG117" s="1" t="str">
        <f>IFERROR(IF(VALUE(LEFT(AD117,2))&lt;=2,"EC",IF(OR(VALUE(LEFT(AD117,2))=8,VALUE(LEFT(AD117,2))=18),"NW","Other")),"Other")</f>
        <v>EC</v>
      </c>
      <c r="AH117" s="100" t="str">
        <f t="shared" si="76"/>
        <v>"%USERPROFILE%\Documents\GitHub\eaglep3\Utilities\RefineRTDCRunTimes.py" --tripid 201-27 --locoid 4009 --swversion DE.1.0.7.0 --startMP 204:477 --initTime 2016-08-27T16:11:46 --startdatetime 2016-08-27T16:15:20 --delay 1 --endMP 204:233303 --enddatetime 2016-08-27T16:51:40 --enforcementcount 0 &gt;&gt;C:\Users\stu\Documents\GitHub\eaglep3-reporting\EC\2016-08-27-refined-times.txt</v>
      </c>
      <c r="AI117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{"issue":{"subject":"","project_id":79,"tracker_id":40,"status_id":1,"priority_id":2,"assigned_to_id":23,"start_date":"2016-08-27","description":"","custom_fields":[{"id":1,"name":"Subdivision","value":"EC"},{"id":4,"name":"Milepost","value":"23.2826"},{"id":17,"name":"Train ID","value":"201-27"},{"id":16,"name":"Locomotive ID","value":"4009"},{"id":130,"name":"Impact","value":""},{"id":150,"name":"Time of Event (Mountain Time)","value":"16:51:40"},{"id":151,"name":"Denver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605</v>
      </c>
      <c r="B118" s="7">
        <v>4010</v>
      </c>
      <c r="C118" s="24" t="s">
        <v>113</v>
      </c>
      <c r="D118" s="24" t="s">
        <v>333</v>
      </c>
      <c r="E118" s="15">
        <v>42609.713356481479</v>
      </c>
      <c r="F118" s="15">
        <v>42609.716226851851</v>
      </c>
      <c r="G118" s="7">
        <v>1</v>
      </c>
      <c r="H118" s="15" t="s">
        <v>203</v>
      </c>
      <c r="I118" s="15">
        <v>42609.742824074077</v>
      </c>
      <c r="J118" s="7">
        <v>0</v>
      </c>
      <c r="K118" s="132" t="str">
        <f>IF(ISEVEN(B118),(B118-1)&amp;"/"&amp;B118,B118&amp;"/"&amp;(B118+1))</f>
        <v>4009/4010</v>
      </c>
      <c r="L118" s="24" t="str">
        <f>VLOOKUP(A118,'Trips&amp;Operators'!$C$1:$E$10000,3,FALSE)</f>
        <v>STEWART</v>
      </c>
      <c r="M118" s="6">
        <f>I118-F118</f>
        <v>2.6597222225973383E-2</v>
      </c>
      <c r="N118" s="7">
        <f>24*60*SUM($M118:$M118)</f>
        <v>38.300000005401671</v>
      </c>
      <c r="O118" s="7"/>
      <c r="P118" s="7"/>
      <c r="Q118" s="25"/>
      <c r="R118" s="25"/>
      <c r="S118" s="37">
        <f>SUM(U118:U118)/IF(AG118="EC",12,1)</f>
        <v>1</v>
      </c>
      <c r="T118" s="52" t="str">
        <f>IF(ISEVEN(LEFT(AD118,4)),"Southbound","NorthBound")</f>
        <v>Southbound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hh:mm:ss")&amp;"-0600',mode:absolute,to:'"&amp;TEXT(I118+1/24,"yyyy-MM-DD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https://search-rtdc-monitor-bjffxe2xuh6vdkpspy63sjmuny.us-east-1.es.amazonaws.com/_plugin/kibana/#/discover/Steve-Slow-Train-Analysis-(2080s-and-2083s)?_g=(refreshInterval:(display:Off,section:0,value:0),time:(from:'2016-08-27 16:07:14-0600',mode:absolute,to:'2016-08-27 18:49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18" s="54" t="str">
        <f>IF(AA118&lt;IF(AG118="EC",23,5.65),"Y","N")</f>
        <v>N</v>
      </c>
      <c r="X118" s="120">
        <f>VALUE(LEFT(AD118,4))-VALUE(LEFT(AD117,4))</f>
        <v>1</v>
      </c>
      <c r="Y118" s="69">
        <f>RIGHT(D118,LEN(D118)-4)/10000</f>
        <v>23.2971</v>
      </c>
      <c r="Z118" s="69">
        <f>RIGHT(H118,LEN(H118)-4)/10000</f>
        <v>1.6299999999999999E-2</v>
      </c>
      <c r="AA118" s="69">
        <f>ABS(Z118-Y118)</f>
        <v>23.280799999999999</v>
      </c>
      <c r="AB118" s="66" t="e">
        <f>VLOOKUP(A118,Enforcements!$C$7:$J$21,8,0)</f>
        <v>#N/A</v>
      </c>
      <c r="AC118" s="62" t="e">
        <f>VLOOKUP(A118,Enforcements!$C$7:$E$21,3,0)</f>
        <v>#N/A</v>
      </c>
      <c r="AD118" s="63" t="str">
        <f>IF(LEN(A118)=6,"0"&amp;A118,A118)</f>
        <v>0202-27</v>
      </c>
      <c r="AE118" s="99" t="str">
        <f>"aws s3 cp "&amp;s3_bucket&amp;"/RTDC"&amp;B118&amp;"/"&amp;TEXT(F118,"YYYY-MM-DD")&amp;"/ "&amp;search_path&amp;"\RTDC"&amp;B118&amp;"\"&amp;TEXT(F118,"YYYY-MM-DD")&amp;" --recursive &amp; """&amp;walkandungz&amp;""" "&amp;search_path&amp;"\RTDC"&amp;B118&amp;"\"&amp;TEXT(F118,"YYYY-MM-DD")
&amp;" &amp; "&amp;"aws s3 cp "&amp;s3_bucket&amp;"/RTDC"&amp;B118&amp;"/"&amp;TEXT(F118+1,"YYYY-MM-DD")&amp;"/ "&amp;search_path&amp;"\RTDC"&amp;B118&amp;"\"&amp;TEXT(F118+1,"YYYY-MM-DD")&amp;" --recursive &amp; """&amp;walkandungz&amp;""" "&amp;search_path&amp;"\RTDC"&amp;B118&amp;"\"&amp;TEXT(F118+1,"YYYY-MM-DD")</f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AF118" s="96" t="str">
        <f>astrogrep_path&amp;" /spath="&amp;search_path&amp;" /stypes=""*"&amp;B118&amp;"*"&amp;TEXT(I118-utc_offset/24,"YYYYMMDD")&amp;"*"" /stext="" "&amp;TEXT(I118-utc_offset/24,"HH")&amp;search_regexp&amp;""" /e /r /s"</f>
        <v>"C:\Program Files (x86)\AstroGrep\AstroGrep.exe" /spath="%USERPROFILE%\AppData\Local\Temp\OnboardLogs" /stypes="*4010*20160827*" /stext=" 23:.+((SYSTEM_STATE.+slice.+state.+changed )|(ment ac)|(system.+state.+changed )|(\|lc)|(penalty)|(\[timeout)|(PRM\|1\|D)|(kpr)|(kdp))" /e /r /s</v>
      </c>
      <c r="AG118" s="1" t="str">
        <f>IFERROR(IF(VALUE(LEFT(AD118,2))&lt;=2,"EC",IF(OR(VALUE(LEFT(AD118,2))=8,VALUE(LEFT(AD118,2))=18),"NW","Other")),"Other")</f>
        <v>EC</v>
      </c>
      <c r="AH118" s="100" t="str">
        <f t="shared" si="76"/>
        <v>"%USERPROFILE%\Documents\GitHub\eaglep3\Utilities\RefineRTDCRunTimes.py" --tripid 202-27 --locoid 4010 --swversion DE.1.0.7.0 --startMP 204:232971 --initTime 2016-08-27T17:07:14 --startdatetime 2016-08-27T17:11:22 --delay 1 --endMP 204:163 --enddatetime 2016-08-27T17:49:40 --enforcementcount 0 &gt;&gt;C:\Users\stu\Documents\GitHub\eaglep3-reporting\EC\2016-08-27-refined-times.txt</v>
      </c>
      <c r="AI118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{"issue":{"subject":"","project_id":79,"tracker_id":40,"status_id":1,"priority_id":2,"assigned_to_id":23,"start_date":"2016-08-27","description":"","custom_fields":[{"id":1,"name":"Subdivision","value":"EC"},{"id":4,"name":"Milepost","value":"23.2808"},{"id":17,"name":"Train ID","value":"202-27"},{"id":16,"name":"Locomotive ID","value":"4010"},{"id":130,"name":"Impact","value":""},{"id":150,"name":"Time of Event (Mountain Time)","value":"17:49:40"},{"id":151,"name":"Denver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x14ac:dyDescent="0.25">
      <c r="A119" s="39" t="s">
        <v>606</v>
      </c>
      <c r="B119" s="7">
        <v>4020</v>
      </c>
      <c r="C119" s="24" t="s">
        <v>113</v>
      </c>
      <c r="D119" s="24" t="s">
        <v>135</v>
      </c>
      <c r="E119" s="15">
        <v>42609.683391203704</v>
      </c>
      <c r="F119" s="15">
        <v>42609.687731481485</v>
      </c>
      <c r="G119" s="7">
        <v>1</v>
      </c>
      <c r="H119" s="15" t="s">
        <v>190</v>
      </c>
      <c r="I119" s="15">
        <v>42609.713553240741</v>
      </c>
      <c r="J119" s="7">
        <v>0</v>
      </c>
      <c r="K119" s="132" t="str">
        <f>IF(ISEVEN(B119),(B119-1)&amp;"/"&amp;B119,B119&amp;"/"&amp;(B119+1))</f>
        <v>4019/4020</v>
      </c>
      <c r="L119" s="24" t="str">
        <f>VLOOKUP(A119,'Trips&amp;Operators'!$C$1:$E$10000,3,FALSE)</f>
        <v>BARTLETT</v>
      </c>
      <c r="M119" s="6">
        <f>I119-F119</f>
        <v>2.5821759256359655E-2</v>
      </c>
      <c r="N119" s="7">
        <f>24*60*SUM($M119:$M119)</f>
        <v>37.183333329157904</v>
      </c>
      <c r="O119" s="7"/>
      <c r="P119" s="7"/>
      <c r="Q119" s="25"/>
      <c r="R119" s="25"/>
      <c r="S119" s="37">
        <f>SUM(U119:U119)/IF(AG119="EC",12,1)</f>
        <v>1</v>
      </c>
      <c r="T119" s="52" t="str">
        <f>IF(ISEVEN(LEFT(AD119,4)),"Southbound","NorthBound")</f>
        <v>NorthBound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hh:mm:ss")&amp;"-0600',mode:absolute,to:'"&amp;TEXT(I119+1/24,"yyyy-MM-DD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https://search-rtdc-monitor-bjffxe2xuh6vdkpspy63sjmuny.us-east-1.es.amazonaws.com/_plugin/kibana/#/discover/Steve-Slow-Train-Analysis-(2080s-and-2083s)?_g=(refreshInterval:(display:Off,section:0,value:0),time:(from:'2016-08-27 15:24:05-0600',mode:absolute,to:'2016-08-27 18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19" s="54" t="str">
        <f>IF(AA119&lt;IF(AG119="EC",23,5.65),"Y","N")</f>
        <v>N</v>
      </c>
      <c r="X119" s="120">
        <f>VALUE(LEFT(AD119,4))-VALUE(LEFT(AD118,4))</f>
        <v>1</v>
      </c>
      <c r="Y119" s="69">
        <f>RIGHT(D119,LEN(D119)-4)/10000</f>
        <v>4.4900000000000002E-2</v>
      </c>
      <c r="Z119" s="69">
        <f>RIGHT(H119,LEN(H119)-4)/10000</f>
        <v>23.329799999999999</v>
      </c>
      <c r="AA119" s="69">
        <f>ABS(Z119-Y119)</f>
        <v>23.2849</v>
      </c>
      <c r="AB119" s="66" t="e">
        <f>VLOOKUP(A119,Enforcements!$C$7:$J$21,8,0)</f>
        <v>#N/A</v>
      </c>
      <c r="AC119" s="62" t="e">
        <f>VLOOKUP(A119,Enforcements!$C$7:$E$21,3,0)</f>
        <v>#N/A</v>
      </c>
      <c r="AD119" s="63" t="str">
        <f>IF(LEN(A119)=6,"0"&amp;A119,A119)</f>
        <v>0203-27</v>
      </c>
      <c r="AE119" s="99" t="str">
        <f>"aws s3 cp "&amp;s3_bucket&amp;"/RTDC"&amp;B119&amp;"/"&amp;TEXT(F119,"YYYY-MM-DD")&amp;"/ "&amp;search_path&amp;"\RTDC"&amp;B119&amp;"\"&amp;TEXT(F119,"YYYY-MM-DD")&amp;" --recursive &amp; """&amp;walkandungz&amp;""" "&amp;search_path&amp;"\RTDC"&amp;B119&amp;"\"&amp;TEXT(F119,"YYYY-MM-DD")
&amp;" &amp; "&amp;"aws s3 cp "&amp;s3_bucket&amp;"/RTDC"&amp;B119&amp;"/"&amp;TEXT(F119+1,"YYYY-MM-DD")&amp;"/ "&amp;search_path&amp;"\RTDC"&amp;B119&amp;"\"&amp;TEXT(F119+1,"YYYY-MM-DD")&amp;" --recursive &amp; """&amp;walkandungz&amp;""" "&amp;search_path&amp;"\RTDC"&amp;B119&amp;"\"&amp;TEXT(F119+1,"YYYY-MM-DD")</f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119" s="96" t="str">
        <f>astrogrep_path&amp;" /spath="&amp;search_path&amp;" /stypes=""*"&amp;B119&amp;"*"&amp;TEXT(I119-utc_offset/24,"YYYYMMDD")&amp;"*"" /stext="" "&amp;TEXT(I119-utc_offset/24,"HH")&amp;search_regexp&amp;""" /e /r /s"</f>
        <v>"C:\Program Files (x86)\AstroGrep\AstroGrep.exe" /spath="%USERPROFILE%\AppData\Local\Temp\OnboardLogs" /stypes="*4020*20160827*" /stext=" 23:.+((SYSTEM_STATE.+slice.+state.+changed )|(ment ac)|(system.+state.+changed )|(\|lc)|(penalty)|(\[timeout)|(PRM\|1\|D)|(kpr)|(kdp))" /e /r /s</v>
      </c>
      <c r="AG119" s="1" t="str">
        <f>IFERROR(IF(VALUE(LEFT(AD119,2))&lt;=2,"EC",IF(OR(VALUE(LEFT(AD119,2))=8,VALUE(LEFT(AD119,2))=18),"NW","Other")),"Other")</f>
        <v>EC</v>
      </c>
      <c r="AH119" s="100" t="str">
        <f t="shared" si="76"/>
        <v>"%USERPROFILE%\Documents\GitHub\eaglep3\Utilities\RefineRTDCRunTimes.py" --tripid 203-27 --locoid 4020 --swversion DE.1.0.7.0 --startMP 204:449 --initTime 2016-08-27T16:24:05 --startdatetime 2016-08-27T16:30:20 --delay 1 --endMP 204:233298 --enddatetime 2016-08-27T17:07:31 --enforcementcount 0 &gt;&gt;C:\Users\stu\Documents\GitHub\eaglep3-reporting\EC\2016-08-27-refined-times.txt</v>
      </c>
      <c r="AI119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{"issue":{"subject":"","project_id":79,"tracker_id":40,"status_id":1,"priority_id":2,"assigned_to_id":23,"start_date":"2016-08-27","description":"","custom_fields":[{"id":1,"name":"Subdivision","value":"EC"},{"id":4,"name":"Milepost","value":"23.2849"},{"id":17,"name":"Train ID","value":"203-27"},{"id":16,"name":"Locomotive ID","value":"4020"},{"id":130,"name":"Impact","value":""},{"id":150,"name":"Time of Event (Mountain Time)","value":"17:07:31"},{"id":151,"name":"Denver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607</v>
      </c>
      <c r="B120" s="7">
        <v>4019</v>
      </c>
      <c r="C120" s="24" t="s">
        <v>113</v>
      </c>
      <c r="D120" s="24" t="s">
        <v>337</v>
      </c>
      <c r="E120" s="15">
        <v>42609.714999999997</v>
      </c>
      <c r="F120" s="15">
        <v>42609.726724537039</v>
      </c>
      <c r="G120" s="7">
        <v>1</v>
      </c>
      <c r="H120" s="15" t="s">
        <v>152</v>
      </c>
      <c r="I120" s="15">
        <v>42609.754386574074</v>
      </c>
      <c r="J120" s="7">
        <v>0</v>
      </c>
      <c r="K120" s="132" t="str">
        <f>IF(ISEVEN(B120),(B120-1)&amp;"/"&amp;B120,B120&amp;"/"&amp;(B120+1))</f>
        <v>4019/4020</v>
      </c>
      <c r="L120" s="24" t="str">
        <f>VLOOKUP(A120,'Trips&amp;Operators'!$C$1:$E$10000,3,FALSE)</f>
        <v>BARTLETT</v>
      </c>
      <c r="M120" s="6">
        <f>I120-F120</f>
        <v>2.7662037035042886E-2</v>
      </c>
      <c r="N120" s="7">
        <f>24*60*SUM($M120:$M120)</f>
        <v>39.833333330461755</v>
      </c>
      <c r="O120" s="7"/>
      <c r="P120" s="7"/>
      <c r="Q120" s="25"/>
      <c r="R120" s="25"/>
      <c r="S120" s="37">
        <f>SUM(U120:U120)/IF(AG120="EC",12,1)</f>
        <v>1</v>
      </c>
      <c r="T120" s="52" t="str">
        <f>IF(ISEVEN(LEFT(AD120,4)),"Southbound","NorthBound")</f>
        <v>Southbound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hh:mm:ss")&amp;"-0600',mode:absolute,to:'"&amp;TEXT(I120+1/24,"yyyy-MM-DD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https://search-rtdc-monitor-bjffxe2xuh6vdkpspy63sjmuny.us-east-1.es.amazonaws.com/_plugin/kibana/#/discover/Steve-Slow-Train-Analysis-(2080s-and-2083s)?_g=(refreshInterval:(display:Off,section:0,value:0),time:(from:'2016-08-27 16:09:36-0600',mode:absolute,to:'2016-08-27 19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20" s="54" t="str">
        <f>IF(AA120&lt;IF(AG120="EC",23,5.65),"Y","N")</f>
        <v>N</v>
      </c>
      <c r="X120" s="120">
        <f>VALUE(LEFT(AD120,4))-VALUE(LEFT(AD119,4))</f>
        <v>1</v>
      </c>
      <c r="Y120" s="69">
        <f>RIGHT(D120,LEN(D120)-4)/10000</f>
        <v>23.297000000000001</v>
      </c>
      <c r="Z120" s="69">
        <f>RIGHT(H120,LEN(H120)-4)/10000</f>
        <v>1.4999999999999999E-2</v>
      </c>
      <c r="AA120" s="69">
        <f>ABS(Z120-Y120)</f>
        <v>23.282</v>
      </c>
      <c r="AB120" s="66" t="e">
        <f>VLOOKUP(A120,Enforcements!$C$7:$J$21,8,0)</f>
        <v>#N/A</v>
      </c>
      <c r="AC120" s="62" t="e">
        <f>VLOOKUP(A120,Enforcements!$C$7:$E$21,3,0)</f>
        <v>#N/A</v>
      </c>
      <c r="AD120" s="63" t="str">
        <f>IF(LEN(A120)=6,"0"&amp;A120,A120)</f>
        <v>0204-27</v>
      </c>
      <c r="AE120" s="99" t="str">
        <f>"aws s3 cp "&amp;s3_bucket&amp;"/RTDC"&amp;B120&amp;"/"&amp;TEXT(F120,"YYYY-MM-DD")&amp;"/ "&amp;search_path&amp;"\RTDC"&amp;B120&amp;"\"&amp;TEXT(F120,"YYYY-MM-DD")&amp;" --recursive &amp; """&amp;walkandungz&amp;""" "&amp;search_path&amp;"\RTDC"&amp;B120&amp;"\"&amp;TEXT(F120,"YYYY-MM-DD")
&amp;" &amp; "&amp;"aws s3 cp "&amp;s3_bucket&amp;"/RTDC"&amp;B120&amp;"/"&amp;TEXT(F120+1,"YYYY-MM-DD")&amp;"/ "&amp;search_path&amp;"\RTDC"&amp;B120&amp;"\"&amp;TEXT(F120+1,"YYYY-MM-DD")&amp;" --recursive &amp; """&amp;walkandungz&amp;""" "&amp;search_path&amp;"\RTDC"&amp;B120&amp;"\"&amp;TEXT(F120+1,"YYYY-MM-DD")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120" s="96" t="str">
        <f>astrogrep_path&amp;" /spath="&amp;search_path&amp;" /stypes=""*"&amp;B120&amp;"*"&amp;TEXT(I120-utc_offset/24,"YYYYMMDD")&amp;"*"" /stext="" "&amp;TEXT(I120-utc_offset/24,"HH")&amp;search_regexp&amp;""" /e /r /s"</f>
        <v>"C:\Program Files (x86)\AstroGrep\AstroGrep.exe" /spath="%USERPROFILE%\AppData\Local\Temp\OnboardLogs" /stypes="*4019*20160828*" /stext=" 00:.+((SYSTEM_STATE.+slice.+state.+changed )|(ment ac)|(system.+state.+changed )|(\|lc)|(penalty)|(\[timeout)|(PRM\|1\|D)|(kpr)|(kdp))" /e /r /s</v>
      </c>
      <c r="AG120" s="1" t="str">
        <f>IFERROR(IF(VALUE(LEFT(AD120,2))&lt;=2,"EC",IF(OR(VALUE(LEFT(AD120,2))=8,VALUE(LEFT(AD120,2))=18),"NW","Other")),"Other")</f>
        <v>EC</v>
      </c>
      <c r="AH120" s="100" t="str">
        <f t="shared" si="76"/>
        <v>"%USERPROFILE%\Documents\GitHub\eaglep3\Utilities\RefineRTDCRunTimes.py" --tripid 204-27 --locoid 4019 --swversion DE.1.0.7.0 --startMP 204:232970 --initTime 2016-08-27T17:09:36 --startdatetime 2016-08-27T17:26:29 --delay 1 --endMP 204:150 --enddatetime 2016-08-27T18:06:19 --enforcementcount 0 &gt;&gt;C:\Users\stu\Documents\GitHub\eaglep3-reporting\EC\2016-08-27-refined-times.txt</v>
      </c>
      <c r="AI120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{"issue":{"subject":"","project_id":79,"tracker_id":40,"status_id":1,"priority_id":2,"assigned_to_id":23,"start_date":"2016-08-27","description":"","custom_fields":[{"id":1,"name":"Subdivision","value":"EC"},{"id":4,"name":"Milepost","value":"23.282"},{"id":17,"name":"Train ID","value":"204-27"},{"id":16,"name":"Locomotive ID","value":"4019"},{"id":130,"name":"Impact","value":""},{"id":150,"name":"Time of Event (Mountain Time)","value":"18:06:19"},{"id":151,"name":"Denver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608</v>
      </c>
      <c r="B121" s="7">
        <v>4031</v>
      </c>
      <c r="C121" s="24" t="s">
        <v>113</v>
      </c>
      <c r="D121" s="24" t="s">
        <v>133</v>
      </c>
      <c r="E121" s="15">
        <v>42609.695231481484</v>
      </c>
      <c r="F121" s="15">
        <v>42609.698125000003</v>
      </c>
      <c r="G121" s="7">
        <v>1</v>
      </c>
      <c r="H121" s="15" t="s">
        <v>609</v>
      </c>
      <c r="I121" s="15">
        <v>42609.723310185182</v>
      </c>
      <c r="J121" s="7">
        <v>0</v>
      </c>
      <c r="K121" s="132" t="str">
        <f>IF(ISEVEN(B121),(B121-1)&amp;"/"&amp;B121,B121&amp;"/"&amp;(B121+1))</f>
        <v>4031/4032</v>
      </c>
      <c r="L121" s="24" t="str">
        <f>VLOOKUP(A121,'Trips&amp;Operators'!$C$1:$E$10000,3,FALSE)</f>
        <v>MOSES</v>
      </c>
      <c r="M121" s="6">
        <f>I121-F121</f>
        <v>2.5185185178997926E-2</v>
      </c>
      <c r="N121" s="7">
        <f>24*60*SUM($M121:$M121)</f>
        <v>36.266666657757014</v>
      </c>
      <c r="O121" s="7"/>
      <c r="P121" s="7"/>
      <c r="Q121" s="25"/>
      <c r="R121" s="25"/>
      <c r="S121" s="37">
        <f>SUM(U121:U121)/IF(AG121="EC",12,1)</f>
        <v>1</v>
      </c>
      <c r="T121" s="52" t="str">
        <f>IF(ISEVEN(LEFT(AD121,4)),"Southbound","NorthBound")</f>
        <v>NorthBound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hh:mm:ss")&amp;"-0600',mode:absolute,to:'"&amp;TEXT(I121+1/24,"yyyy-MM-DD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https://search-rtdc-monitor-bjffxe2xuh6vdkpspy63sjmuny.us-east-1.es.amazonaws.com/_plugin/kibana/#/discover/Steve-Slow-Train-Analysis-(2080s-and-2083s)?_g=(refreshInterval:(display:Off,section:0,value:0),time:(from:'2016-08-27 15:41:08-0600',mode:absolute,to:'2016-08-27 18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21" s="54" t="str">
        <f>IF(AA121&lt;IF(AG121="EC",23,5.65),"Y","N")</f>
        <v>N</v>
      </c>
      <c r="X121" s="120">
        <f>VALUE(LEFT(AD121,4))-VALUE(LEFT(AD120,4))</f>
        <v>1</v>
      </c>
      <c r="Y121" s="69">
        <f>RIGHT(D121,LEN(D121)-4)/10000</f>
        <v>4.53E-2</v>
      </c>
      <c r="Z121" s="69">
        <f>RIGHT(H121,LEN(H121)-4)/10000</f>
        <v>23.334299999999999</v>
      </c>
      <c r="AA121" s="69">
        <f>ABS(Z121-Y121)</f>
        <v>23.288999999999998</v>
      </c>
      <c r="AB121" s="66" t="e">
        <f>VLOOKUP(A121,Enforcements!$C$7:$J$21,8,0)</f>
        <v>#N/A</v>
      </c>
      <c r="AC121" s="62" t="e">
        <f>VLOOKUP(A121,Enforcements!$C$7:$E$21,3,0)</f>
        <v>#N/A</v>
      </c>
      <c r="AD121" s="63" t="str">
        <f>IF(LEN(A121)=6,"0"&amp;A121,A121)</f>
        <v>0205-27</v>
      </c>
      <c r="AE121" s="99" t="str">
        <f>"aws s3 cp "&amp;s3_bucket&amp;"/RTDC"&amp;B121&amp;"/"&amp;TEXT(F121,"YYYY-MM-DD")&amp;"/ "&amp;search_path&amp;"\RTDC"&amp;B121&amp;"\"&amp;TEXT(F121,"YYYY-MM-DD")&amp;" --recursive &amp; """&amp;walkandungz&amp;""" "&amp;search_path&amp;"\RTDC"&amp;B121&amp;"\"&amp;TEXT(F121,"YYYY-MM-DD")
&amp;" &amp; "&amp;"aws s3 cp "&amp;s3_bucket&amp;"/RTDC"&amp;B121&amp;"/"&amp;TEXT(F121+1,"YYYY-MM-DD")&amp;"/ "&amp;search_path&amp;"\RTDC"&amp;B121&amp;"\"&amp;TEXT(F121+1,"YYYY-MM-DD")&amp;" --recursive &amp; """&amp;walkandungz&amp;""" "&amp;search_path&amp;"\RTDC"&amp;B121&amp;"\"&amp;TEXT(F121+1,"YYYY-MM-DD")</f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121" s="96" t="str">
        <f>astrogrep_path&amp;" /spath="&amp;search_path&amp;" /stypes=""*"&amp;B121&amp;"*"&amp;TEXT(I121-utc_offset/24,"YYYYMMDD")&amp;"*"" /stext="" "&amp;TEXT(I121-utc_offset/24,"HH")&amp;search_regexp&amp;""" /e /r /s"</f>
        <v>"C:\Program Files (x86)\AstroGrep\AstroGrep.exe" /spath="%USERPROFILE%\AppData\Local\Temp\OnboardLogs" /stypes="*4031*20160827*" /stext=" 23:.+((SYSTEM_STATE.+slice.+state.+changed )|(ment ac)|(system.+state.+changed )|(\|lc)|(penalty)|(\[timeout)|(PRM\|1\|D)|(kpr)|(kdp))" /e /r /s</v>
      </c>
      <c r="AG121" s="1" t="str">
        <f>IFERROR(IF(VALUE(LEFT(AD121,2))&lt;=2,"EC",IF(OR(VALUE(LEFT(AD121,2))=8,VALUE(LEFT(AD121,2))=18),"NW","Other")),"Other")</f>
        <v>EC</v>
      </c>
      <c r="AH121" s="100" t="str">
        <f t="shared" si="76"/>
        <v>"%USERPROFILE%\Documents\GitHub\eaglep3\Utilities\RefineRTDCRunTimes.py" --tripid 205-27 --locoid 4031 --swversion DE.1.0.7.0 --startMP 204:453 --initTime 2016-08-27T16:41:08 --startdatetime 2016-08-27T16:45:18 --delay 1 --endMP 204:233343 --enddatetime 2016-08-27T17:21:34 --enforcementcount 0 &gt;&gt;C:\Users\stu\Documents\GitHub\eaglep3-reporting\EC\2016-08-27-refined-times.txt</v>
      </c>
      <c r="AI121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{"issue":{"subject":"","project_id":79,"tracker_id":40,"status_id":1,"priority_id":2,"assigned_to_id":23,"start_date":"2016-08-27","description":"","custom_fields":[{"id":1,"name":"Subdivision","value":"EC"},{"id":4,"name":"Milepost","value":"23.289"},{"id":17,"name":"Train ID","value":"205-27"},{"id":16,"name":"Locomotive ID","value":"4031"},{"id":130,"name":"Impact","value":""},{"id":150,"name":"Time of Event (Mountain Time)","value":"17:21:34"},{"id":151,"name":"Denver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610</v>
      </c>
      <c r="B122" s="7">
        <v>4032</v>
      </c>
      <c r="C122" s="24" t="s">
        <v>113</v>
      </c>
      <c r="D122" s="24" t="s">
        <v>258</v>
      </c>
      <c r="E122" s="15">
        <v>42609.734594907408</v>
      </c>
      <c r="F122" s="15">
        <v>42609.737002314818</v>
      </c>
      <c r="G122" s="7">
        <v>1</v>
      </c>
      <c r="H122" s="15" t="s">
        <v>207</v>
      </c>
      <c r="I122" s="15">
        <v>42609.765567129631</v>
      </c>
      <c r="J122" s="7">
        <v>0</v>
      </c>
      <c r="K122" s="132" t="str">
        <f>IF(ISEVEN(B122),(B122-1)&amp;"/"&amp;B122,B122&amp;"/"&amp;(B122+1))</f>
        <v>4031/4032</v>
      </c>
      <c r="L122" s="24" t="str">
        <f>VLOOKUP(A122,'Trips&amp;Operators'!$C$1:$E$10000,3,FALSE)</f>
        <v>MOSES</v>
      </c>
      <c r="M122" s="6">
        <f>I122-F122</f>
        <v>2.8564814812853001E-2</v>
      </c>
      <c r="N122" s="7">
        <f>24*60*SUM($M122:$M122)</f>
        <v>41.133333330508322</v>
      </c>
      <c r="O122" s="7"/>
      <c r="P122" s="7"/>
      <c r="Q122" s="25"/>
      <c r="R122" s="25"/>
      <c r="S122" s="37">
        <f>SUM(U122:U122)/IF(AG122="EC",12,1)</f>
        <v>1</v>
      </c>
      <c r="T122" s="52" t="str">
        <f>IF(ISEVEN(LEFT(AD122,4)),"Southbound","NorthBound")</f>
        <v>Southbound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hh:mm:ss")&amp;"-0600',mode:absolute,to:'"&amp;TEXT(I122+1/24,"yyyy-MM-DD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https://search-rtdc-monitor-bjffxe2xuh6vdkpspy63sjmuny.us-east-1.es.amazonaws.com/_plugin/kibana/#/discover/Steve-Slow-Train-Analysis-(2080s-and-2083s)?_g=(refreshInterval:(display:Off,section:0,value:0),time:(from:'2016-08-27 16:37:49-0600',mode:absolute,to:'2016-08-27 19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22" s="54" t="str">
        <f>IF(AA122&lt;IF(AG122="EC",23,5.65),"Y","N")</f>
        <v>N</v>
      </c>
      <c r="X122" s="120">
        <f>VALUE(LEFT(AD122,4))-VALUE(LEFT(AD121,4))</f>
        <v>1</v>
      </c>
      <c r="Y122" s="69">
        <f>RIGHT(D122,LEN(D122)-4)/10000</f>
        <v>23.297999999999998</v>
      </c>
      <c r="Z122" s="69">
        <f>RIGHT(H122,LEN(H122)-4)/10000</f>
        <v>1.38E-2</v>
      </c>
      <c r="AA122" s="69">
        <f>ABS(Z122-Y122)</f>
        <v>23.284199999999998</v>
      </c>
      <c r="AB122" s="66" t="e">
        <f>VLOOKUP(A122,Enforcements!$C$7:$J$21,8,0)</f>
        <v>#N/A</v>
      </c>
      <c r="AC122" s="62" t="e">
        <f>VLOOKUP(A122,Enforcements!$C$7:$E$21,3,0)</f>
        <v>#N/A</v>
      </c>
      <c r="AD122" s="63" t="str">
        <f>IF(LEN(A122)=6,"0"&amp;A122,A122)</f>
        <v>0206-27</v>
      </c>
      <c r="AE122" s="99" t="str">
        <f>"aws s3 cp "&amp;s3_bucket&amp;"/RTDC"&amp;B122&amp;"/"&amp;TEXT(F122,"YYYY-MM-DD")&amp;"/ "&amp;search_path&amp;"\RTDC"&amp;B122&amp;"\"&amp;TEXT(F122,"YYYY-MM-DD")&amp;" --recursive &amp; """&amp;walkandungz&amp;""" "&amp;search_path&amp;"\RTDC"&amp;B122&amp;"\"&amp;TEXT(F122,"YYYY-MM-DD")
&amp;" &amp; "&amp;"aws s3 cp "&amp;s3_bucket&amp;"/RTDC"&amp;B122&amp;"/"&amp;TEXT(F122+1,"YYYY-MM-DD")&amp;"/ "&amp;search_path&amp;"\RTDC"&amp;B122&amp;"\"&amp;TEXT(F122+1,"YYYY-MM-DD")&amp;" --recursive &amp; """&amp;walkandungz&amp;""" "&amp;search_path&amp;"\RTDC"&amp;B122&amp;"\"&amp;TEXT(F122+1,"YYYY-MM-DD")</f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122" s="96" t="str">
        <f>astrogrep_path&amp;" /spath="&amp;search_path&amp;" /stypes=""*"&amp;B122&amp;"*"&amp;TEXT(I122-utc_offset/24,"YYYYMMDD")&amp;"*"" /stext="" "&amp;TEXT(I122-utc_offset/24,"HH")&amp;search_regexp&amp;""" /e /r /s"</f>
        <v>"C:\Program Files (x86)\AstroGrep\AstroGrep.exe" /spath="%USERPROFILE%\AppData\Local\Temp\OnboardLogs" /stypes="*4032*20160828*" /stext=" 00:.+((SYSTEM_STATE.+slice.+state.+changed )|(ment ac)|(system.+state.+changed )|(\|lc)|(penalty)|(\[timeout)|(PRM\|1\|D)|(kpr)|(kdp))" /e /r /s</v>
      </c>
      <c r="AG122" s="1" t="str">
        <f>IFERROR(IF(VALUE(LEFT(AD122,2))&lt;=2,"EC",IF(OR(VALUE(LEFT(AD122,2))=8,VALUE(LEFT(AD122,2))=18),"NW","Other")),"Other")</f>
        <v>EC</v>
      </c>
      <c r="AH122" s="100" t="str">
        <f t="shared" si="76"/>
        <v>"%USERPROFILE%\Documents\GitHub\eaglep3\Utilities\RefineRTDCRunTimes.py" --tripid 206-27 --locoid 4032 --swversion DE.1.0.7.0 --startMP 204:232980 --initTime 2016-08-27T17:37:49 --startdatetime 2016-08-27T17:41:17 --delay 1 --endMP 204:138 --enddatetime 2016-08-27T18:22:25 --enforcementcount 0 &gt;&gt;C:\Users\stu\Documents\GitHub\eaglep3-reporting\EC\2016-08-27-refined-times.txt</v>
      </c>
      <c r="AI122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{"issue":{"subject":"","project_id":79,"tracker_id":40,"status_id":1,"priority_id":2,"assigned_to_id":23,"start_date":"2016-08-27","description":"","custom_fields":[{"id":1,"name":"Subdivision","value":"EC"},{"id":4,"name":"Milepost","value":"23.2842"},{"id":17,"name":"Train ID","value":"206-27"},{"id":16,"name":"Locomotive ID","value":"4032"},{"id":130,"name":"Impact","value":""},{"id":150,"name":"Time of Event (Mountain Time)","value":"18:22:25"},{"id":151,"name":"Denver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611</v>
      </c>
      <c r="B123" s="7">
        <v>4042</v>
      </c>
      <c r="C123" s="24" t="s">
        <v>113</v>
      </c>
      <c r="D123" s="24" t="s">
        <v>182</v>
      </c>
      <c r="E123" s="15">
        <v>42609.703449074077</v>
      </c>
      <c r="F123" s="15">
        <v>42609.708518518521</v>
      </c>
      <c r="G123" s="7">
        <v>1</v>
      </c>
      <c r="H123" s="15" t="s">
        <v>349</v>
      </c>
      <c r="I123" s="15">
        <v>42609.7341087963</v>
      </c>
      <c r="J123" s="7">
        <v>0</v>
      </c>
      <c r="K123" s="132" t="str">
        <f>IF(ISEVEN(B123),(B123-1)&amp;"/"&amp;B123,B123&amp;"/"&amp;(B123+1))</f>
        <v>4041/4042</v>
      </c>
      <c r="L123" s="24" t="str">
        <f>VLOOKUP(A123,'Trips&amp;Operators'!$C$1:$E$10000,3,FALSE)</f>
        <v>SHOOK</v>
      </c>
      <c r="M123" s="6">
        <f>I123-F123</f>
        <v>2.5590277778974269E-2</v>
      </c>
      <c r="N123" s="7">
        <f>24*60*SUM($M123:$M123)</f>
        <v>36.850000001722947</v>
      </c>
      <c r="O123" s="7"/>
      <c r="P123" s="7"/>
      <c r="Q123" s="25"/>
      <c r="R123" s="25"/>
      <c r="S123" s="37">
        <f>SUM(U123:U123)/IF(AG123="EC",12,1)</f>
        <v>1</v>
      </c>
      <c r="T123" s="52" t="str">
        <f>IF(ISEVEN(LEFT(AD123,4)),"Southbound","NorthBound")</f>
        <v>NorthBound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hh:mm:ss")&amp;"-0600',mode:absolute,to:'"&amp;TEXT(I123+1/24,"yyyy-MM-DD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https://search-rtdc-monitor-bjffxe2xuh6vdkpspy63sjmuny.us-east-1.es.amazonaws.com/_plugin/kibana/#/discover/Steve-Slow-Train-Analysis-(2080s-and-2083s)?_g=(refreshInterval:(display:Off,section:0,value:0),time:(from:'2016-08-27 15:52:58-0600',mode:absolute,to:'2016-08-27 18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23" s="54" t="str">
        <f>IF(AA123&lt;IF(AG123="EC",23,5.65),"Y","N")</f>
        <v>N</v>
      </c>
      <c r="X123" s="120">
        <f>VALUE(LEFT(AD123,4))-VALUE(LEFT(AD122,4))</f>
        <v>1</v>
      </c>
      <c r="Y123" s="69">
        <f>RIGHT(D123,LEN(D123)-4)/10000</f>
        <v>4.4400000000000002E-2</v>
      </c>
      <c r="Z123" s="69">
        <f>RIGHT(H123,LEN(H123)-4)/10000</f>
        <v>23.335100000000001</v>
      </c>
      <c r="AA123" s="69">
        <f>ABS(Z123-Y123)</f>
        <v>23.290700000000001</v>
      </c>
      <c r="AB123" s="66" t="e">
        <f>VLOOKUP(A123,Enforcements!$C$7:$J$21,8,0)</f>
        <v>#N/A</v>
      </c>
      <c r="AC123" s="62" t="e">
        <f>VLOOKUP(A123,Enforcements!$C$7:$E$21,3,0)</f>
        <v>#N/A</v>
      </c>
      <c r="AD123" s="63" t="str">
        <f>IF(LEN(A123)=6,"0"&amp;A123,A123)</f>
        <v>0207-27</v>
      </c>
      <c r="AE123" s="99" t="str">
        <f>"aws s3 cp "&amp;s3_bucket&amp;"/RTDC"&amp;B123&amp;"/"&amp;TEXT(F123,"YYYY-MM-DD")&amp;"/ "&amp;search_path&amp;"\RTDC"&amp;B123&amp;"\"&amp;TEXT(F123,"YYYY-MM-DD")&amp;" --recursive &amp; """&amp;walkandungz&amp;""" "&amp;search_path&amp;"\RTDC"&amp;B123&amp;"\"&amp;TEXT(F123,"YYYY-MM-DD")
&amp;" &amp; "&amp;"aws s3 cp "&amp;s3_bucket&amp;"/RTDC"&amp;B123&amp;"/"&amp;TEXT(F123+1,"YYYY-MM-DD")&amp;"/ "&amp;search_path&amp;"\RTDC"&amp;B123&amp;"\"&amp;TEXT(F123+1,"YYYY-MM-DD")&amp;" --recursive &amp; """&amp;walkandungz&amp;""" "&amp;search_path&amp;"\RTDC"&amp;B123&amp;"\"&amp;TEXT(F123+1,"YYYY-MM-DD")</f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AF123" s="96" t="str">
        <f>astrogrep_path&amp;" /spath="&amp;search_path&amp;" /stypes=""*"&amp;B123&amp;"*"&amp;TEXT(I123-utc_offset/24,"YYYYMMDD")&amp;"*"" /stext="" "&amp;TEXT(I123-utc_offset/24,"HH")&amp;search_regexp&amp;""" /e /r /s"</f>
        <v>"C:\Program Files (x86)\AstroGrep\AstroGrep.exe" /spath="%USERPROFILE%\AppData\Local\Temp\OnboardLogs" /stypes="*4042*20160827*" /stext=" 23:.+((SYSTEM_STATE.+slice.+state.+changed )|(ment ac)|(system.+state.+changed )|(\|lc)|(penalty)|(\[timeout)|(PRM\|1\|D)|(kpr)|(kdp))" /e /r /s</v>
      </c>
      <c r="AG123" s="1" t="str">
        <f>IFERROR(IF(VALUE(LEFT(AD123,2))&lt;=2,"EC",IF(OR(VALUE(LEFT(AD123,2))=8,VALUE(LEFT(AD123,2))=18),"NW","Other")),"Other")</f>
        <v>EC</v>
      </c>
      <c r="AH123" s="100" t="str">
        <f t="shared" si="76"/>
        <v>"%USERPROFILE%\Documents\GitHub\eaglep3\Utilities\RefineRTDCRunTimes.py" --tripid 207-27 --locoid 4042 --swversion DE.1.0.7.0 --startMP 204:444 --initTime 2016-08-27T16:52:58 --startdatetime 2016-08-27T17:00:16 --delay 1 --endMP 204:233351 --enddatetime 2016-08-27T17:37:07 --enforcementcount 0 &gt;&gt;C:\Users\stu\Documents\GitHub\eaglep3-reporting\EC\2016-08-27-refined-times.txt</v>
      </c>
      <c r="AI123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{"issue":{"subject":"","project_id":79,"tracker_id":40,"status_id":1,"priority_id":2,"assigned_to_id":23,"start_date":"2016-08-27","description":"","custom_fields":[{"id":1,"name":"Subdivision","value":"EC"},{"id":4,"name":"Milepost","value":"23.2907"},{"id":17,"name":"Train ID","value":"207-27"},{"id":16,"name":"Locomotive ID","value":"4042"},{"id":130,"name":"Impact","value":""},{"id":150,"name":"Time of Event (Mountain Time)","value":"17:37:07"},{"id":151,"name":"Denver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612</v>
      </c>
      <c r="B124" s="7">
        <v>4041</v>
      </c>
      <c r="C124" s="24" t="s">
        <v>113</v>
      </c>
      <c r="D124" s="24" t="s">
        <v>613</v>
      </c>
      <c r="E124" s="15">
        <v>42609.740752314814</v>
      </c>
      <c r="F124" s="15">
        <v>42609.747465277775</v>
      </c>
      <c r="G124" s="7">
        <v>1</v>
      </c>
      <c r="H124" s="15" t="s">
        <v>131</v>
      </c>
      <c r="I124" s="15">
        <v>42609.775011574071</v>
      </c>
      <c r="J124" s="7">
        <v>0</v>
      </c>
      <c r="K124" s="132" t="str">
        <f>IF(ISEVEN(B124),(B124-1)&amp;"/"&amp;B124,B124&amp;"/"&amp;(B124+1))</f>
        <v>4041/4042</v>
      </c>
      <c r="L124" s="24" t="str">
        <f>VLOOKUP(A124,'Trips&amp;Operators'!$C$1:$E$10000,3,FALSE)</f>
        <v>SHOOK</v>
      </c>
      <c r="M124" s="6">
        <f>I124-F124</f>
        <v>2.7546296296350192E-2</v>
      </c>
      <c r="N124" s="7">
        <f>24*60*SUM($M124:$M124)</f>
        <v>39.666666666744277</v>
      </c>
      <c r="O124" s="7"/>
      <c r="P124" s="7"/>
      <c r="Q124" s="25"/>
      <c r="R124" s="25"/>
      <c r="S124" s="37">
        <f>SUM(U124:U124)/IF(AG124="EC",12,1)</f>
        <v>1</v>
      </c>
      <c r="T124" s="52" t="str">
        <f>IF(ISEVEN(LEFT(AD124,4)),"Southbound","NorthBound")</f>
        <v>Southbound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hh:mm:ss")&amp;"-0600',mode:absolute,to:'"&amp;TEXT(I124+1/24,"yyyy-MM-DD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https://search-rtdc-monitor-bjffxe2xuh6vdkpspy63sjmuny.us-east-1.es.amazonaws.com/_plugin/kibana/#/discover/Steve-Slow-Train-Analysis-(2080s-and-2083s)?_g=(refreshInterval:(display:Off,section:0,value:0),time:(from:'2016-08-27 16:46:41-0600',mode:absolute,to:'2016-08-27 19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24" s="54" t="str">
        <f>IF(AA124&lt;IF(AG124="EC",23,5.65),"Y","N")</f>
        <v>N</v>
      </c>
      <c r="X124" s="120">
        <f>VALUE(LEFT(AD124,4))-VALUE(LEFT(AD123,4))</f>
        <v>1</v>
      </c>
      <c r="Y124" s="69">
        <f>RIGHT(D124,LEN(D124)-4)/10000</f>
        <v>23.304200000000002</v>
      </c>
      <c r="Z124" s="69">
        <f>RIGHT(H124,LEN(H124)-4)/10000</f>
        <v>1.5800000000000002E-2</v>
      </c>
      <c r="AA124" s="69">
        <f>ABS(Z124-Y124)</f>
        <v>23.288400000000003</v>
      </c>
      <c r="AB124" s="66" t="e">
        <f>VLOOKUP(A124,Enforcements!$C$7:$J$21,8,0)</f>
        <v>#N/A</v>
      </c>
      <c r="AC124" s="62" t="e">
        <f>VLOOKUP(A124,Enforcements!$C$7:$E$21,3,0)</f>
        <v>#N/A</v>
      </c>
      <c r="AD124" s="63" t="str">
        <f>IF(LEN(A124)=6,"0"&amp;A124,A124)</f>
        <v>0208-27</v>
      </c>
      <c r="AE124" s="99" t="str">
        <f>"aws s3 cp "&amp;s3_bucket&amp;"/RTDC"&amp;B124&amp;"/"&amp;TEXT(F124,"YYYY-MM-DD")&amp;"/ "&amp;search_path&amp;"\RTDC"&amp;B124&amp;"\"&amp;TEXT(F124,"YYYY-MM-DD")&amp;" --recursive &amp; """&amp;walkandungz&amp;""" "&amp;search_path&amp;"\RTDC"&amp;B124&amp;"\"&amp;TEXT(F124,"YYYY-MM-DD")
&amp;" &amp; "&amp;"aws s3 cp "&amp;s3_bucket&amp;"/RTDC"&amp;B124&amp;"/"&amp;TEXT(F124+1,"YYYY-MM-DD")&amp;"/ "&amp;search_path&amp;"\RTDC"&amp;B124&amp;"\"&amp;TEXT(F124+1,"YYYY-MM-DD")&amp;" --recursive &amp; """&amp;walkandungz&amp;""" "&amp;search_path&amp;"\RTDC"&amp;B124&amp;"\"&amp;TEXT(F124+1,"YYYY-MM-DD")</f>
        <v>aws s3 cp s3://rtdc.mdm.uploadarchive/RTDC4041/2016-08-27/ "%USERPROFILE%\AppData\Local\Temp\OnboardLogs"\RTDC4041\2016-08-27 --recursive &amp; "%USERPROFILE%\Documents\GitHub\mrs-test-scripts\Headless Mode &amp; Sideloading\WalkAndUnGZ.bat" "%USERPROFILE%\AppData\Local\Temp\OnboardLogs"\RTDC4041\2016-08-27 &amp; 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</v>
      </c>
      <c r="AF124" s="96" t="str">
        <f>astrogrep_path&amp;" /spath="&amp;search_path&amp;" /stypes=""*"&amp;B124&amp;"*"&amp;TEXT(I124-utc_offset/24,"YYYYMMDD")&amp;"*"" /stext="" "&amp;TEXT(I124-utc_offset/24,"HH")&amp;search_regexp&amp;""" /e /r /s"</f>
        <v>"C:\Program Files (x86)\AstroGrep\AstroGrep.exe" /spath="%USERPROFILE%\AppData\Local\Temp\OnboardLogs" /stypes="*4041*20160828*" /stext=" 00:.+((SYSTEM_STATE.+slice.+state.+changed )|(ment ac)|(system.+state.+changed )|(\|lc)|(penalty)|(\[timeout)|(PRM\|1\|D)|(kpr)|(kdp))" /e /r /s</v>
      </c>
      <c r="AG124" s="1" t="str">
        <f>IFERROR(IF(VALUE(LEFT(AD124,2))&lt;=2,"EC",IF(OR(VALUE(LEFT(AD124,2))=8,VALUE(LEFT(AD124,2))=18),"NW","Other")),"Other")</f>
        <v>EC</v>
      </c>
      <c r="AH124" s="100" t="str">
        <f t="shared" si="76"/>
        <v>"%USERPROFILE%\Documents\GitHub\eaglep3\Utilities\RefineRTDCRunTimes.py" --tripid 208-27 --locoid 4041 --swversion DE.1.0.7.0 --startMP 204:233042 --initTime 2016-08-27T17:46:41 --startdatetime 2016-08-27T17:56:21 --delay 1 --endMP 204:158 --enddatetime 2016-08-27T18:36:01 --enforcementcount 0 &gt;&gt;C:\Users\stu\Documents\GitHub\eaglep3-reporting\EC\2016-08-27-refined-times.txt</v>
      </c>
      <c r="AI124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{"issue":{"subject":"","project_id":79,"tracker_id":40,"status_id":1,"priority_id":2,"assigned_to_id":23,"start_date":"2016-08-27","description":"","custom_fields":[{"id":1,"name":"Subdivision","value":"EC"},{"id":4,"name":"Milepost","value":"23.2884"},{"id":17,"name":"Train ID","value":"208-27"},{"id":16,"name":"Locomotive ID","value":"4041"},{"id":130,"name":"Impact","value":""},{"id":150,"name":"Time of Event (Mountain Time)","value":"18:36:01"},{"id":151,"name":"Denver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614</v>
      </c>
      <c r="B125" s="7">
        <v>4029</v>
      </c>
      <c r="C125" s="24" t="s">
        <v>113</v>
      </c>
      <c r="D125" s="24" t="s">
        <v>270</v>
      </c>
      <c r="E125" s="15">
        <v>42609.715648148151</v>
      </c>
      <c r="F125" s="15">
        <v>42609.718958333331</v>
      </c>
      <c r="G125" s="7">
        <v>1</v>
      </c>
      <c r="H125" s="15" t="s">
        <v>615</v>
      </c>
      <c r="I125" s="15">
        <v>42609.743449074071</v>
      </c>
      <c r="J125" s="7">
        <v>0</v>
      </c>
      <c r="K125" s="132" t="str">
        <f>IF(ISEVEN(B125),(B125-1)&amp;"/"&amp;B125,B125&amp;"/"&amp;(B125+1))</f>
        <v>4029/4030</v>
      </c>
      <c r="L125" s="24" t="str">
        <f>VLOOKUP(A125,'Trips&amp;Operators'!$C$1:$E$10000,3,FALSE)</f>
        <v>BROWN</v>
      </c>
      <c r="M125" s="6">
        <f>I125-F125</f>
        <v>2.4490740739565808E-2</v>
      </c>
      <c r="N125" s="7">
        <f>24*60*SUM($M125:$M125)</f>
        <v>35.266666664974764</v>
      </c>
      <c r="O125" s="7"/>
      <c r="P125" s="7"/>
      <c r="Q125" s="25"/>
      <c r="R125" s="25"/>
      <c r="S125" s="37">
        <f>SUM(U125:U125)/IF(AG125="EC",12,1)</f>
        <v>1</v>
      </c>
      <c r="T125" s="52" t="str">
        <f>IF(ISEVEN(LEFT(AD125,4)),"Southbound","NorthBound")</f>
        <v>NorthBound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hh:mm:ss")&amp;"-0600',mode:absolute,to:'"&amp;TEXT(I125+1/24,"yyyy-MM-DD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https://search-rtdc-monitor-bjffxe2xuh6vdkpspy63sjmuny.us-east-1.es.amazonaws.com/_plugin/kibana/#/discover/Steve-Slow-Train-Analysis-(2080s-and-2083s)?_g=(refreshInterval:(display:Off,section:0,value:0),time:(from:'2016-08-27 16:10:32-0600',mode:absolute,to:'2016-08-27 18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25" s="54" t="str">
        <f>IF(AA125&lt;IF(AG125="EC",23,5.65),"Y","N")</f>
        <v>N</v>
      </c>
      <c r="X125" s="120">
        <f>VALUE(LEFT(AD125,4))-VALUE(LEFT(AD124,4))</f>
        <v>1</v>
      </c>
      <c r="Y125" s="69">
        <f>RIGHT(D125,LEN(D125)-4)/10000</f>
        <v>4.2200000000000001E-2</v>
      </c>
      <c r="Z125" s="69">
        <f>RIGHT(H125,LEN(H125)-4)/10000</f>
        <v>23.331800000000001</v>
      </c>
      <c r="AA125" s="69">
        <f>ABS(Z125-Y125)</f>
        <v>23.2896</v>
      </c>
      <c r="AB125" s="66" t="e">
        <f>VLOOKUP(A125,Enforcements!$C$7:$J$21,8,0)</f>
        <v>#N/A</v>
      </c>
      <c r="AC125" s="62" t="e">
        <f>VLOOKUP(A125,Enforcements!$C$7:$E$21,3,0)</f>
        <v>#N/A</v>
      </c>
      <c r="AD125" s="63" t="str">
        <f>IF(LEN(A125)=6,"0"&amp;A125,A125)</f>
        <v>0209-27</v>
      </c>
      <c r="AE125" s="99" t="str">
        <f>"aws s3 cp "&amp;s3_bucket&amp;"/RTDC"&amp;B125&amp;"/"&amp;TEXT(F125,"YYYY-MM-DD")&amp;"/ "&amp;search_path&amp;"\RTDC"&amp;B125&amp;"\"&amp;TEXT(F125,"YYYY-MM-DD")&amp;" --recursive &amp; """&amp;walkandungz&amp;""" "&amp;search_path&amp;"\RTDC"&amp;B125&amp;"\"&amp;TEXT(F125,"YYYY-MM-DD")
&amp;" &amp; "&amp;"aws s3 cp "&amp;s3_bucket&amp;"/RTDC"&amp;B125&amp;"/"&amp;TEXT(F125+1,"YYYY-MM-DD")&amp;"/ "&amp;search_path&amp;"\RTDC"&amp;B125&amp;"\"&amp;TEXT(F125+1,"YYYY-MM-DD")&amp;" --recursive &amp; """&amp;walkandungz&amp;""" "&amp;search_path&amp;"\RTDC"&amp;B125&amp;"\"&amp;TEXT(F125+1,"YYYY-MM-DD")</f>
        <v>aws s3 cp s3://rtdc.mdm.uploadarchive/RTDC4029/2016-08-27/ "%USERPROFILE%\AppData\Local\Temp\OnboardLogs"\RTDC4029\2016-08-27 --recursive &amp; "%USERPROFILE%\Documents\GitHub\mrs-test-scripts\Headless Mode &amp; Sideloading\WalkAndUnGZ.bat" "%USERPROFILE%\AppData\Local\Temp\OnboardLogs"\RTDC4029\2016-08-27 &amp; aws s3 cp s3://rtdc.mdm.uploadarchive/RTDC4029/2016-08-28/ "%USERPROFILE%\AppData\Local\Temp\OnboardLogs"\RTDC4029\2016-08-28 --recursive &amp; "%USERPROFILE%\Documents\GitHub\mrs-test-scripts\Headless Mode &amp; Sideloading\WalkAndUnGZ.bat" "%USERPROFILE%\AppData\Local\Temp\OnboardLogs"\RTDC4029\2016-08-28</v>
      </c>
      <c r="AF125" s="96" t="str">
        <f>astrogrep_path&amp;" /spath="&amp;search_path&amp;" /stypes=""*"&amp;B125&amp;"*"&amp;TEXT(I125-utc_offset/24,"YYYYMMDD")&amp;"*"" /stext="" "&amp;TEXT(I125-utc_offset/24,"HH")&amp;search_regexp&amp;""" /e /r /s"</f>
        <v>"C:\Program Files (x86)\AstroGrep\AstroGrep.exe" /spath="%USERPROFILE%\AppData\Local\Temp\OnboardLogs" /stypes="*4029*20160827*" /stext=" 23:.+((SYSTEM_STATE.+slice.+state.+changed )|(ment ac)|(system.+state.+changed )|(\|lc)|(penalty)|(\[timeout)|(PRM\|1\|D)|(kpr)|(kdp))" /e /r /s</v>
      </c>
      <c r="AG125" s="1" t="str">
        <f>IFERROR(IF(VALUE(LEFT(AD125,2))&lt;=2,"EC",IF(OR(VALUE(LEFT(AD125,2))=8,VALUE(LEFT(AD125,2))=18),"NW","Other")),"Other")</f>
        <v>EC</v>
      </c>
      <c r="AH125" s="100" t="str">
        <f t="shared" si="76"/>
        <v>"%USERPROFILE%\Documents\GitHub\eaglep3\Utilities\RefineRTDCRunTimes.py" --tripid 209-27 --locoid 4029 --swversion DE.1.0.7.0 --startMP 204:422 --initTime 2016-08-27T17:10:32 --startdatetime 2016-08-27T17:15:18 --delay 1 --endMP 204:233318 --enddatetime 2016-08-27T17:50:34 --enforcementcount 0 &gt;&gt;C:\Users\stu\Documents\GitHub\eaglep3-reporting\EC\2016-08-27-refined-times.txt</v>
      </c>
      <c r="AI125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{"issue":{"subject":"","project_id":79,"tracker_id":40,"status_id":1,"priority_id":2,"assigned_to_id":23,"start_date":"2016-08-27","description":"","custom_fields":[{"id":1,"name":"Subdivision","value":"EC"},{"id":4,"name":"Milepost","value":"23.2896"},{"id":17,"name":"Train ID","value":"209-27"},{"id":16,"name":"Locomotive ID","value":"4029"},{"id":130,"name":"Impact","value":""},{"id":150,"name":"Time of Event (Mountain Time)","value":"17:50:34"},{"id":151,"name":"Denver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x14ac:dyDescent="0.25">
      <c r="A126" s="39" t="s">
        <v>616</v>
      </c>
      <c r="B126" s="7">
        <v>4030</v>
      </c>
      <c r="C126" s="24" t="s">
        <v>113</v>
      </c>
      <c r="D126" s="24" t="s">
        <v>334</v>
      </c>
      <c r="E126" s="15">
        <v>42609.7496875</v>
      </c>
      <c r="F126" s="15">
        <v>42609.758055555554</v>
      </c>
      <c r="G126" s="7">
        <v>1</v>
      </c>
      <c r="H126" s="15" t="s">
        <v>89</v>
      </c>
      <c r="I126" s="15">
        <v>42609.785451388889</v>
      </c>
      <c r="J126" s="7">
        <v>0</v>
      </c>
      <c r="K126" s="132" t="str">
        <f>IF(ISEVEN(B126),(B126-1)&amp;"/"&amp;B126,B126&amp;"/"&amp;(B126+1))</f>
        <v>4029/4030</v>
      </c>
      <c r="L126" s="24" t="str">
        <f>VLOOKUP(A126,'Trips&amp;Operators'!$C$1:$E$10000,3,FALSE)</f>
        <v>BROWN</v>
      </c>
      <c r="M126" s="6">
        <f>I126-F126</f>
        <v>2.7395833334594499E-2</v>
      </c>
      <c r="N126" s="7">
        <f>24*60*SUM($M126:$M126)</f>
        <v>39.450000001816079</v>
      </c>
      <c r="O126" s="7"/>
      <c r="P126" s="7"/>
      <c r="Q126" s="25"/>
      <c r="R126" s="25"/>
      <c r="S126" s="37">
        <f>SUM(U126:U126)/IF(AG126="EC",12,1)</f>
        <v>1</v>
      </c>
      <c r="T126" s="52" t="str">
        <f>IF(ISEVEN(LEFT(AD126,4)),"Southbound","NorthBound")</f>
        <v>Southbound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hh:mm:ss")&amp;"-0600',mode:absolute,to:'"&amp;TEXT(I126+1/24,"yyyy-MM-DD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https://search-rtdc-monitor-bjffxe2xuh6vdkpspy63sjmuny.us-east-1.es.amazonaws.com/_plugin/kibana/#/discover/Steve-Slow-Train-Analysis-(2080s-and-2083s)?_g=(refreshInterval:(display:Off,section:0,value:0),time:(from:'2016-08-27 16:59:33-0600',mode:absolute,to:'2016-08-27 19:51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26" s="54" t="str">
        <f>IF(AA126&lt;IF(AG126="EC",23,5.65),"Y","N")</f>
        <v>N</v>
      </c>
      <c r="X126" s="120">
        <f>VALUE(LEFT(AD126,4))-VALUE(LEFT(AD125,4))</f>
        <v>1</v>
      </c>
      <c r="Y126" s="69">
        <f>RIGHT(D126,LEN(D126)-4)/10000</f>
        <v>23.298400000000001</v>
      </c>
      <c r="Z126" s="69">
        <f>RIGHT(H126,LEN(H126)-4)/10000</f>
        <v>1.43E-2</v>
      </c>
      <c r="AA126" s="69">
        <f>ABS(Z126-Y126)</f>
        <v>23.284100000000002</v>
      </c>
      <c r="AB126" s="66" t="e">
        <f>VLOOKUP(A126,Enforcements!$C$7:$J$21,8,0)</f>
        <v>#N/A</v>
      </c>
      <c r="AC126" s="62" t="e">
        <f>VLOOKUP(A126,Enforcements!$C$7:$E$21,3,0)</f>
        <v>#N/A</v>
      </c>
      <c r="AD126" s="63" t="str">
        <f>IF(LEN(A126)=6,"0"&amp;A126,A126)</f>
        <v>0210-27</v>
      </c>
      <c r="AE126" s="99" t="str">
        <f>"aws s3 cp "&amp;s3_bucket&amp;"/RTDC"&amp;B126&amp;"/"&amp;TEXT(F126,"YYYY-MM-DD")&amp;"/ "&amp;search_path&amp;"\RTDC"&amp;B126&amp;"\"&amp;TEXT(F126,"YYYY-MM-DD")&amp;" --recursive &amp; """&amp;walkandungz&amp;""" "&amp;search_path&amp;"\RTDC"&amp;B126&amp;"\"&amp;TEXT(F126,"YYYY-MM-DD")
&amp;" &amp; "&amp;"aws s3 cp "&amp;s3_bucket&amp;"/RTDC"&amp;B126&amp;"/"&amp;TEXT(F126+1,"YYYY-MM-DD")&amp;"/ "&amp;search_path&amp;"\RTDC"&amp;B126&amp;"\"&amp;TEXT(F126+1,"YYYY-MM-DD")&amp;" --recursive &amp; """&amp;walkandungz&amp;""" "&amp;search_path&amp;"\RTDC"&amp;B126&amp;"\"&amp;TEXT(F126+1,"YYYY-MM-DD")</f>
        <v>aws s3 cp s3://rtdc.mdm.uploadarchive/RTDC4030/2016-08-27/ "%USERPROFILE%\AppData\Local\Temp\OnboardLogs"\RTDC4030\2016-08-27 --recursive &amp; "%USERPROFILE%\Documents\GitHub\mrs-test-scripts\Headless Mode &amp; Sideloading\WalkAndUnGZ.bat" "%USERPROFILE%\AppData\Local\Temp\OnboardLogs"\RTDC4030\2016-08-27 &amp; 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</v>
      </c>
      <c r="AF126" s="96" t="str">
        <f>astrogrep_path&amp;" /spath="&amp;search_path&amp;" /stypes=""*"&amp;B126&amp;"*"&amp;TEXT(I126-utc_offset/24,"YYYYMMDD")&amp;"*"" /stext="" "&amp;TEXT(I126-utc_offset/24,"HH")&amp;search_regexp&amp;""" /e /r /s"</f>
        <v>"C:\Program Files (x86)\AstroGrep\AstroGrep.exe" /spath="%USERPROFILE%\AppData\Local\Temp\OnboardLogs" /stypes="*4030*20160828*" /stext=" 00:.+((SYSTEM_STATE.+slice.+state.+changed )|(ment ac)|(system.+state.+changed )|(\|lc)|(penalty)|(\[timeout)|(PRM\|1\|D)|(kpr)|(kdp))" /e /r /s</v>
      </c>
      <c r="AG126" s="1" t="str">
        <f>IFERROR(IF(VALUE(LEFT(AD126,2))&lt;=2,"EC",IF(OR(VALUE(LEFT(AD126,2))=8,VALUE(LEFT(AD126,2))=18),"NW","Other")),"Other")</f>
        <v>EC</v>
      </c>
      <c r="AH126" s="100" t="str">
        <f t="shared" si="76"/>
        <v>"%USERPROFILE%\Documents\GitHub\eaglep3\Utilities\RefineRTDCRunTimes.py" --tripid 210-27 --locoid 4030 --swversion DE.1.0.7.0 --startMP 204:232984 --initTime 2016-08-27T17:59:33 --startdatetime 2016-08-27T18:11:36 --delay 1 --endMP 204:143 --enddatetime 2016-08-27T18:51:03 --enforcementcount 0 &gt;&gt;C:\Users\stu\Documents\GitHub\eaglep3-reporting\EC\2016-08-27-refined-times.txt</v>
      </c>
      <c r="AI126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{"issue":{"subject":"","project_id":79,"tracker_id":40,"status_id":1,"priority_id":2,"assigned_to_id":23,"start_date":"2016-08-27","description":"","custom_fields":[{"id":1,"name":"Subdivision","value":"EC"},{"id":4,"name":"Milepost","value":"23.2841"},{"id":17,"name":"Train ID","value":"210-27"},{"id":16,"name":"Locomotive ID","value":"4030"},{"id":130,"name":"Impact","value":""},{"id":150,"name":"Time of Event (Mountain Time)","value":"18:51:03"},{"id":151,"name":"Denver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x14ac:dyDescent="0.25">
      <c r="A127" s="39" t="s">
        <v>617</v>
      </c>
      <c r="B127" s="7">
        <v>4014</v>
      </c>
      <c r="C127" s="24" t="s">
        <v>113</v>
      </c>
      <c r="D127" s="24" t="s">
        <v>340</v>
      </c>
      <c r="E127" s="15">
        <v>42609.725115740737</v>
      </c>
      <c r="F127" s="15">
        <v>42609.729398148149</v>
      </c>
      <c r="G127" s="7">
        <v>1</v>
      </c>
      <c r="H127" s="15" t="s">
        <v>149</v>
      </c>
      <c r="I127" s="15">
        <v>42609.755787037036</v>
      </c>
      <c r="J127" s="7">
        <v>0</v>
      </c>
      <c r="K127" s="132" t="str">
        <f>IF(ISEVEN(B127),(B127-1)&amp;"/"&amp;B127,B127&amp;"/"&amp;(B127+1))</f>
        <v>4013/4014</v>
      </c>
      <c r="L127" s="24" t="str">
        <f>VLOOKUP(A127,'Trips&amp;Operators'!$C$1:$E$10000,3,FALSE)</f>
        <v>STORY</v>
      </c>
      <c r="M127" s="6">
        <f>I127-F127</f>
        <v>2.6388888887595385E-2</v>
      </c>
      <c r="N127" s="7">
        <f>24*60*SUM($M127:$M127)</f>
        <v>37.999999998137355</v>
      </c>
      <c r="O127" s="7"/>
      <c r="P127" s="7"/>
      <c r="Q127" s="25"/>
      <c r="R127" s="25"/>
      <c r="S127" s="37">
        <f>SUM(U127:U127)/IF(AG127="EC",12,1)</f>
        <v>1</v>
      </c>
      <c r="T127" s="52" t="str">
        <f>IF(ISEVEN(LEFT(AD127,4)),"Southbound","NorthBound")</f>
        <v>NorthBound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hh:mm:ss")&amp;"-0600',mode:absolute,to:'"&amp;TEXT(I127+1/24,"yyyy-MM-DD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https://search-rtdc-monitor-bjffxe2xuh6vdkpspy63sjmuny.us-east-1.es.amazonaws.com/_plugin/kibana/#/discover/Steve-Slow-Train-Analysis-(2080s-and-2083s)?_g=(refreshInterval:(display:Off,section:0,value:0),time:(from:'2016-08-27 16:24:10-0600',mode:absolute,to:'2016-08-27 19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27" s="54" t="str">
        <f>IF(AA127&lt;IF(AG127="EC",23,5.65),"Y","N")</f>
        <v>N</v>
      </c>
      <c r="X127" s="120">
        <f>VALUE(LEFT(AD127,4))-VALUE(LEFT(AD126,4))</f>
        <v>1</v>
      </c>
      <c r="Y127" s="69">
        <f>RIGHT(D127,LEN(D127)-4)/10000</f>
        <v>4.7300000000000002E-2</v>
      </c>
      <c r="Z127" s="69">
        <f>RIGHT(H127,LEN(H127)-4)/10000</f>
        <v>23.33</v>
      </c>
      <c r="AA127" s="69">
        <f>ABS(Z127-Y127)</f>
        <v>23.282699999999998</v>
      </c>
      <c r="AB127" s="66" t="e">
        <f>VLOOKUP(A127,Enforcements!$C$7:$J$21,8,0)</f>
        <v>#N/A</v>
      </c>
      <c r="AC127" s="62" t="e">
        <f>VLOOKUP(A127,Enforcements!$C$7:$E$21,3,0)</f>
        <v>#N/A</v>
      </c>
      <c r="AD127" s="63" t="str">
        <f>IF(LEN(A127)=6,"0"&amp;A127,A127)</f>
        <v>0211-27</v>
      </c>
      <c r="AE127" s="99" t="str">
        <f>"aws s3 cp "&amp;s3_bucket&amp;"/RTDC"&amp;B127&amp;"/"&amp;TEXT(F127,"YYYY-MM-DD")&amp;"/ "&amp;search_path&amp;"\RTDC"&amp;B127&amp;"\"&amp;TEXT(F127,"YYYY-MM-DD")&amp;" --recursive &amp; """&amp;walkandungz&amp;""" "&amp;search_path&amp;"\RTDC"&amp;B127&amp;"\"&amp;TEXT(F127,"YYYY-MM-DD")
&amp;" &amp; "&amp;"aws s3 cp "&amp;s3_bucket&amp;"/RTDC"&amp;B127&amp;"/"&amp;TEXT(F127+1,"YYYY-MM-DD")&amp;"/ "&amp;search_path&amp;"\RTDC"&amp;B127&amp;"\"&amp;TEXT(F127+1,"YYYY-MM-DD")&amp;" --recursive &amp; """&amp;walkandungz&amp;""" "&amp;search_path&amp;"\RTDC"&amp;B127&amp;"\"&amp;TEXT(F127+1,"YYYY-MM-DD")</f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AF127" s="96" t="str">
        <f>astrogrep_path&amp;" /spath="&amp;search_path&amp;" /stypes=""*"&amp;B127&amp;"*"&amp;TEXT(I127-utc_offset/24,"YYYYMMDD")&amp;"*"" /stext="" "&amp;TEXT(I127-utc_offset/24,"HH")&amp;search_regexp&amp;""" /e /r /s"</f>
        <v>"C:\Program Files (x86)\AstroGrep\AstroGrep.exe" /spath="%USERPROFILE%\AppData\Local\Temp\OnboardLogs" /stypes="*4014*20160828*" /stext=" 00:.+((SYSTEM_STATE.+slice.+state.+changed )|(ment ac)|(system.+state.+changed )|(\|lc)|(penalty)|(\[timeout)|(PRM\|1\|D)|(kpr)|(kdp))" /e /r /s</v>
      </c>
      <c r="AG127" s="1" t="str">
        <f>IFERROR(IF(VALUE(LEFT(AD127,2))&lt;=2,"EC",IF(OR(VALUE(LEFT(AD127,2))=8,VALUE(LEFT(AD127,2))=18),"NW","Other")),"Other")</f>
        <v>EC</v>
      </c>
      <c r="AH127" s="100" t="str">
        <f t="shared" si="76"/>
        <v>"%USERPROFILE%\Documents\GitHub\eaglep3\Utilities\RefineRTDCRunTimes.py" --tripid 211-27 --locoid 4014 --swversion DE.1.0.7.0 --startMP 204:473 --initTime 2016-08-27T17:24:10 --startdatetime 2016-08-27T17:30:20 --delay 1 --endMP 204:233300 --enddatetime 2016-08-27T18:08:20 --enforcementcount 0 &gt;&gt;C:\Users\stu\Documents\GitHub\eaglep3-reporting\EC\2016-08-27-refined-times.txt</v>
      </c>
      <c r="AI127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{"issue":{"subject":"","project_id":79,"tracker_id":40,"status_id":1,"priority_id":2,"assigned_to_id":23,"start_date":"2016-08-27","description":"","custom_fields":[{"id":1,"name":"Subdivision","value":"EC"},{"id":4,"name":"Milepost","value":"23.2827"},{"id":17,"name":"Train ID","value":"211-27"},{"id":16,"name":"Locomotive ID","value":"4014"},{"id":130,"name":"Impact","value":""},{"id":150,"name":"Time of Event (Mountain Time)","value":"18:08:20"},{"id":151,"name":"Denver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618</v>
      </c>
      <c r="B128" s="7">
        <v>4013</v>
      </c>
      <c r="C128" s="24" t="s">
        <v>113</v>
      </c>
      <c r="D128" s="24" t="s">
        <v>332</v>
      </c>
      <c r="E128" s="15">
        <v>42609.761111111111</v>
      </c>
      <c r="F128" s="15">
        <v>42609.768379629626</v>
      </c>
      <c r="G128" s="7">
        <v>1</v>
      </c>
      <c r="H128" s="15" t="s">
        <v>132</v>
      </c>
      <c r="I128" s="15">
        <v>42609.797013888892</v>
      </c>
      <c r="J128" s="7">
        <v>0</v>
      </c>
      <c r="K128" s="132" t="str">
        <f>IF(ISEVEN(B128),(B128-1)&amp;"/"&amp;B128,B128&amp;"/"&amp;(B128+1))</f>
        <v>4013/4014</v>
      </c>
      <c r="L128" s="24" t="str">
        <f>VLOOKUP(A128,'Trips&amp;Operators'!$C$1:$E$10000,3,FALSE)</f>
        <v>STORY</v>
      </c>
      <c r="M128" s="6">
        <f>I128-F128</f>
        <v>2.8634259266254958E-2</v>
      </c>
      <c r="N128" s="7">
        <f>24*60*SUM($M128:$M128)</f>
        <v>41.233333343407139</v>
      </c>
      <c r="O128" s="7"/>
      <c r="P128" s="7"/>
      <c r="Q128" s="25"/>
      <c r="R128" s="25"/>
      <c r="S128" s="37">
        <f>SUM(U128:U128)/IF(AG128="EC",12,1)</f>
        <v>1</v>
      </c>
      <c r="T128" s="52" t="str">
        <f>IF(ISEVEN(LEFT(AD128,4)),"Southbound","NorthBound")</f>
        <v>Southbound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hh:mm:ss")&amp;"-0600',mode:absolute,to:'"&amp;TEXT(I128+1/24,"yyyy-MM-DD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https://search-rtdc-monitor-bjffxe2xuh6vdkpspy63sjmuny.us-east-1.es.amazonaws.com/_plugin/kibana/#/discover/Steve-Slow-Train-Analysis-(2080s-and-2083s)?_g=(refreshInterval:(display:Off,section:0,value:0),time:(from:'2016-08-27 17:16:00-0600',mode:absolute,to:'2016-08-27 20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28" s="54" t="str">
        <f>IF(AA128&lt;IF(AG128="EC",23,5.65),"Y","N")</f>
        <v>N</v>
      </c>
      <c r="X128" s="120">
        <f>VALUE(LEFT(AD128,4))-VALUE(LEFT(AD127,4))</f>
        <v>1</v>
      </c>
      <c r="Y128" s="69">
        <f>RIGHT(D128,LEN(D128)-4)/10000</f>
        <v>23.299600000000002</v>
      </c>
      <c r="Z128" s="69">
        <f>RIGHT(H128,LEN(H128)-4)/10000</f>
        <v>1.47E-2</v>
      </c>
      <c r="AA128" s="69">
        <f>ABS(Z128-Y128)</f>
        <v>23.2849</v>
      </c>
      <c r="AB128" s="66" t="e">
        <f>VLOOKUP(A128,Enforcements!$C$7:$J$21,8,0)</f>
        <v>#N/A</v>
      </c>
      <c r="AC128" s="62" t="e">
        <f>VLOOKUP(A128,Enforcements!$C$7:$E$21,3,0)</f>
        <v>#N/A</v>
      </c>
      <c r="AD128" s="63" t="str">
        <f>IF(LEN(A128)=6,"0"&amp;A128,A128)</f>
        <v>0212-27</v>
      </c>
      <c r="AE128" s="99" t="str">
        <f>"aws s3 cp "&amp;s3_bucket&amp;"/RTDC"&amp;B128&amp;"/"&amp;TEXT(F128,"YYYY-MM-DD")&amp;"/ "&amp;search_path&amp;"\RTDC"&amp;B128&amp;"\"&amp;TEXT(F128,"YYYY-MM-DD")&amp;" --recursive &amp; """&amp;walkandungz&amp;""" "&amp;search_path&amp;"\RTDC"&amp;B128&amp;"\"&amp;TEXT(F128,"YYYY-MM-DD")
&amp;" &amp; "&amp;"aws s3 cp "&amp;s3_bucket&amp;"/RTDC"&amp;B128&amp;"/"&amp;TEXT(F128+1,"YYYY-MM-DD")&amp;"/ "&amp;search_path&amp;"\RTDC"&amp;B128&amp;"\"&amp;TEXT(F128+1,"YYYY-MM-DD")&amp;" --recursive &amp; """&amp;walkandungz&amp;""" "&amp;search_path&amp;"\RTDC"&amp;B128&amp;"\"&amp;TEXT(F128+1,"YYYY-MM-DD")</f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AF128" s="96" t="str">
        <f>astrogrep_path&amp;" /spath="&amp;search_path&amp;" /stypes=""*"&amp;B128&amp;"*"&amp;TEXT(I128-utc_offset/24,"YYYYMMDD")&amp;"*"" /stext="" "&amp;TEXT(I128-utc_offset/24,"HH")&amp;search_regexp&amp;""" /e /r /s"</f>
        <v>"C:\Program Files (x86)\AstroGrep\AstroGrep.exe" /spath="%USERPROFILE%\AppData\Local\Temp\OnboardLogs" /stypes="*4013*20160828*" /stext=" 01:.+((SYSTEM_STATE.+slice.+state.+changed )|(ment ac)|(system.+state.+changed )|(\|lc)|(penalty)|(\[timeout)|(PRM\|1\|D)|(kpr)|(kdp))" /e /r /s</v>
      </c>
      <c r="AG128" s="1" t="str">
        <f>IFERROR(IF(VALUE(LEFT(AD128,2))&lt;=2,"EC",IF(OR(VALUE(LEFT(AD128,2))=8,VALUE(LEFT(AD128,2))=18),"NW","Other")),"Other")</f>
        <v>EC</v>
      </c>
      <c r="AH128" s="100" t="str">
        <f t="shared" si="76"/>
        <v>"%USERPROFILE%\Documents\GitHub\eaglep3\Utilities\RefineRTDCRunTimes.py" --tripid 212-27 --locoid 4013 --swversion DE.1.0.7.0 --startMP 204:232996 --initTime 2016-08-27T18:16:00 --startdatetime 2016-08-27T18:26:28 --delay 1 --endMP 204:147 --enddatetime 2016-08-27T19:07:42 --enforcementcount 0 &gt;&gt;C:\Users\stu\Documents\GitHub\eaglep3-reporting\EC\2016-08-27-refined-times.txt</v>
      </c>
      <c r="AI128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{"issue":{"subject":"","project_id":79,"tracker_id":40,"status_id":1,"priority_id":2,"assigned_to_id":23,"start_date":"2016-08-27","description":"","custom_fields":[{"id":1,"name":"Subdivision","value":"EC"},{"id":4,"name":"Milepost","value":"23.2849"},{"id":17,"name":"Train ID","value":"212-27"},{"id":16,"name":"Locomotive ID","value":"4013"},{"id":130,"name":"Impact","value":""},{"id":150,"name":"Time of Event (Mountain Time)","value":"19:07:42"},{"id":151,"name":"Denver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619</v>
      </c>
      <c r="B129" s="7">
        <v>4025</v>
      </c>
      <c r="C129" s="24" t="s">
        <v>113</v>
      </c>
      <c r="D129" s="24" t="s">
        <v>335</v>
      </c>
      <c r="E129" s="15">
        <v>42609.736145833333</v>
      </c>
      <c r="F129" s="15">
        <v>42609.740266203706</v>
      </c>
      <c r="G129" s="7">
        <v>1</v>
      </c>
      <c r="H129" s="15" t="s">
        <v>155</v>
      </c>
      <c r="I129" s="15">
        <v>42609.7653587963</v>
      </c>
      <c r="J129" s="7">
        <v>0</v>
      </c>
      <c r="K129" s="132" t="str">
        <f>IF(ISEVEN(B129),(B129-1)&amp;"/"&amp;B129,B129&amp;"/"&amp;(B129+1))</f>
        <v>4025/4026</v>
      </c>
      <c r="L129" s="24" t="str">
        <f>VLOOKUP(A129,'Trips&amp;Operators'!$C$1:$E$10000,3,FALSE)</f>
        <v>HILLS</v>
      </c>
      <c r="M129" s="6">
        <f>I129-F129</f>
        <v>2.5092592593864538E-2</v>
      </c>
      <c r="N129" s="7">
        <f>24*60*SUM($M129:$M129)</f>
        <v>36.133333335164934</v>
      </c>
      <c r="O129" s="7"/>
      <c r="P129" s="7"/>
      <c r="Q129" s="25"/>
      <c r="R129" s="25"/>
      <c r="S129" s="37">
        <f>SUM(U129:U129)/IF(AG129="EC",12,1)</f>
        <v>1</v>
      </c>
      <c r="T129" s="52" t="str">
        <f>IF(ISEVEN(LEFT(AD129,4)),"Southbound","NorthBound")</f>
        <v>NorthBound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hh:mm:ss")&amp;"-0600',mode:absolute,to:'"&amp;TEXT(I129+1/24,"yyyy-MM-DD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https://search-rtdc-monitor-bjffxe2xuh6vdkpspy63sjmuny.us-east-1.es.amazonaws.com/_plugin/kibana/#/discover/Steve-Slow-Train-Analysis-(2080s-and-2083s)?_g=(refreshInterval:(display:Off,section:0,value:0),time:(from:'2016-08-27 16:40:03-0600',mode:absolute,to:'2016-08-27 19:22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29" s="54" t="str">
        <f>IF(AA129&lt;IF(AG129="EC",23,5.65),"Y","N")</f>
        <v>N</v>
      </c>
      <c r="X129" s="120">
        <f>VALUE(LEFT(AD129,4))-VALUE(LEFT(AD128,4))</f>
        <v>1</v>
      </c>
      <c r="Y129" s="69">
        <f>RIGHT(D129,LEN(D129)-4)/10000</f>
        <v>4.58E-2</v>
      </c>
      <c r="Z129" s="69">
        <f>RIGHT(H129,LEN(H129)-4)/10000</f>
        <v>23.3291</v>
      </c>
      <c r="AA129" s="69">
        <f>ABS(Z129-Y129)</f>
        <v>23.283300000000001</v>
      </c>
      <c r="AB129" s="66" t="e">
        <f>VLOOKUP(A129,Enforcements!$C$7:$J$21,8,0)</f>
        <v>#N/A</v>
      </c>
      <c r="AC129" s="62" t="e">
        <f>VLOOKUP(A129,Enforcements!$C$7:$E$21,3,0)</f>
        <v>#N/A</v>
      </c>
      <c r="AD129" s="63" t="str">
        <f>IF(LEN(A129)=6,"0"&amp;A129,A129)</f>
        <v>0213-27</v>
      </c>
      <c r="AE129" s="99" t="str">
        <f>"aws s3 cp "&amp;s3_bucket&amp;"/RTDC"&amp;B129&amp;"/"&amp;TEXT(F129,"YYYY-MM-DD")&amp;"/ "&amp;search_path&amp;"\RTDC"&amp;B129&amp;"\"&amp;TEXT(F129,"YYYY-MM-DD")&amp;" --recursive &amp; """&amp;walkandungz&amp;""" "&amp;search_path&amp;"\RTDC"&amp;B129&amp;"\"&amp;TEXT(F129,"YYYY-MM-DD")
&amp;" &amp; "&amp;"aws s3 cp "&amp;s3_bucket&amp;"/RTDC"&amp;B129&amp;"/"&amp;TEXT(F129+1,"YYYY-MM-DD")&amp;"/ "&amp;search_path&amp;"\RTDC"&amp;B129&amp;"\"&amp;TEXT(F129+1,"YYYY-MM-DD")&amp;" --recursive &amp; """&amp;walkandungz&amp;""" "&amp;search_path&amp;"\RTDC"&amp;B129&amp;"\"&amp;TEXT(F129+1,"YYYY-MM-DD")</f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129" s="96" t="str">
        <f>astrogrep_path&amp;" /spath="&amp;search_path&amp;" /stypes=""*"&amp;B129&amp;"*"&amp;TEXT(I129-utc_offset/24,"YYYYMMDD")&amp;"*"" /stext="" "&amp;TEXT(I129-utc_offset/24,"HH")&amp;search_regexp&amp;""" /e /r /s"</f>
        <v>"C:\Program Files (x86)\AstroGrep\AstroGrep.exe" /spath="%USERPROFILE%\AppData\Local\Temp\OnboardLogs" /stypes="*4025*20160828*" /stext=" 00:.+((SYSTEM_STATE.+slice.+state.+changed )|(ment ac)|(system.+state.+changed )|(\|lc)|(penalty)|(\[timeout)|(PRM\|1\|D)|(kpr)|(kdp))" /e /r /s</v>
      </c>
      <c r="AG129" s="1" t="str">
        <f>IFERROR(IF(VALUE(LEFT(AD129,2))&lt;=2,"EC",IF(OR(VALUE(LEFT(AD129,2))=8,VALUE(LEFT(AD129,2))=18),"NW","Other")),"Other")</f>
        <v>EC</v>
      </c>
      <c r="AH129" s="100" t="str">
        <f t="shared" si="76"/>
        <v>"%USERPROFILE%\Documents\GitHub\eaglep3\Utilities\RefineRTDCRunTimes.py" --tripid 213-27 --locoid 4025 --swversion DE.1.0.7.0 --startMP 204:458 --initTime 2016-08-27T17:40:03 --startdatetime 2016-08-27T17:45:59 --delay 1 --endMP 204:233291 --enddatetime 2016-08-27T18:22:07 --enforcementcount 0 &gt;&gt;C:\Users\stu\Documents\GitHub\eaglep3-reporting\EC\2016-08-27-refined-times.txt</v>
      </c>
      <c r="AI129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{"issue":{"subject":"","project_id":79,"tracker_id":40,"status_id":1,"priority_id":2,"assigned_to_id":23,"start_date":"2016-08-27","description":"","custom_fields":[{"id":1,"name":"Subdivision","value":"EC"},{"id":4,"name":"Milepost","value":"23.2833"},{"id":17,"name":"Train ID","value":"213-27"},{"id":16,"name":"Locomotive ID","value":"4025"},{"id":130,"name":"Impact","value":""},{"id":150,"name":"Time of Event (Mountain Time)","value":"18:22:07"},{"id":151,"name":"Denver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620</v>
      </c>
      <c r="B130" s="7">
        <v>4026</v>
      </c>
      <c r="C130" s="24" t="s">
        <v>113</v>
      </c>
      <c r="D130" s="24" t="s">
        <v>189</v>
      </c>
      <c r="E130" s="15">
        <v>42609.766759259262</v>
      </c>
      <c r="F130" s="15">
        <v>42609.778634259259</v>
      </c>
      <c r="G130" s="7">
        <v>16</v>
      </c>
      <c r="H130" s="15" t="s">
        <v>187</v>
      </c>
      <c r="I130" s="15">
        <v>42609.805138888885</v>
      </c>
      <c r="J130" s="7">
        <v>0</v>
      </c>
      <c r="K130" s="132" t="str">
        <f>IF(ISEVEN(B130),(B130-1)&amp;"/"&amp;B130,B130&amp;"/"&amp;(B130+1))</f>
        <v>4025/4026</v>
      </c>
      <c r="L130" s="24" t="str">
        <f>VLOOKUP(A130,'Trips&amp;Operators'!$C$1:$E$10000,3,FALSE)</f>
        <v>HILLS</v>
      </c>
      <c r="M130" s="6">
        <f>I130-F130</f>
        <v>2.6504629626288079E-2</v>
      </c>
      <c r="N130" s="7">
        <f>24*60*SUM($M130:$M130)</f>
        <v>38.166666661854833</v>
      </c>
      <c r="O130" s="7"/>
      <c r="P130" s="7"/>
      <c r="Q130" s="25"/>
      <c r="R130" s="25"/>
      <c r="S130" s="37">
        <f>SUM(U130:U130)/IF(AG130="EC",12,1)</f>
        <v>1</v>
      </c>
      <c r="T130" s="52" t="str">
        <f>IF(ISEVEN(LEFT(AD130,4)),"Southbound","NorthBound")</f>
        <v>Southbound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hh:mm:ss")&amp;"-0600',mode:absolute,to:'"&amp;TEXT(I130+1/24,"yyyy-MM-DD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https://search-rtdc-monitor-bjffxe2xuh6vdkpspy63sjmuny.us-east-1.es.amazonaws.com/_plugin/kibana/#/discover/Steve-Slow-Train-Analysis-(2080s-and-2083s)?_g=(refreshInterval:(display:Off,section:0,value:0),time:(from:'2016-08-27 17:24:08-0600',mode:absolute,to:'2016-08-27 20:19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30" s="54" t="str">
        <f>IF(AA130&lt;IF(AG130="EC",23,5.65),"Y","N")</f>
        <v>N</v>
      </c>
      <c r="X130" s="120">
        <f>VALUE(LEFT(AD130,4))-VALUE(LEFT(AD129,4))</f>
        <v>1</v>
      </c>
      <c r="Y130" s="69">
        <f>RIGHT(D130,LEN(D130)-4)/10000</f>
        <v>23.297499999999999</v>
      </c>
      <c r="Z130" s="69">
        <f>RIGHT(H130,LEN(H130)-4)/10000</f>
        <v>1.6E-2</v>
      </c>
      <c r="AA130" s="69">
        <f>ABS(Z130-Y130)</f>
        <v>23.281500000000001</v>
      </c>
      <c r="AB130" s="66" t="e">
        <f>VLOOKUP(A130,Enforcements!$C$7:$J$21,8,0)</f>
        <v>#N/A</v>
      </c>
      <c r="AC130" s="62" t="e">
        <f>VLOOKUP(A130,Enforcements!$C$7:$E$21,3,0)</f>
        <v>#N/A</v>
      </c>
      <c r="AD130" s="63" t="str">
        <f>IF(LEN(A130)=6,"0"&amp;A130,A130)</f>
        <v>0214-27</v>
      </c>
      <c r="AE130" s="99" t="str">
        <f>"aws s3 cp "&amp;s3_bucket&amp;"/RTDC"&amp;B130&amp;"/"&amp;TEXT(F130,"YYYY-MM-DD")&amp;"/ "&amp;search_path&amp;"\RTDC"&amp;B130&amp;"\"&amp;TEXT(F130,"YYYY-MM-DD")&amp;" --recursive &amp; """&amp;walkandungz&amp;""" "&amp;search_path&amp;"\RTDC"&amp;B130&amp;"\"&amp;TEXT(F130,"YYYY-MM-DD")
&amp;" &amp; "&amp;"aws s3 cp "&amp;s3_bucket&amp;"/RTDC"&amp;B130&amp;"/"&amp;TEXT(F130+1,"YYYY-MM-DD")&amp;"/ "&amp;search_path&amp;"\RTDC"&amp;B130&amp;"\"&amp;TEXT(F130+1,"YYYY-MM-DD")&amp;" --recursive &amp; """&amp;walkandungz&amp;""" "&amp;search_path&amp;"\RTDC"&amp;B130&amp;"\"&amp;TEXT(F130+1,"YYYY-MM-DD")</f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130" s="96" t="str">
        <f>astrogrep_path&amp;" /spath="&amp;search_path&amp;" /stypes=""*"&amp;B130&amp;"*"&amp;TEXT(I130-utc_offset/24,"YYYYMMDD")&amp;"*"" /stext="" "&amp;TEXT(I130-utc_offset/24,"HH")&amp;search_regexp&amp;""" /e /r /s"</f>
        <v>"C:\Program Files (x86)\AstroGrep\AstroGrep.exe" /spath="%USERPROFILE%\AppData\Local\Temp\OnboardLogs" /stypes="*4026*20160828*" /stext=" 01:.+((SYSTEM_STATE.+slice.+state.+changed )|(ment ac)|(system.+state.+changed )|(\|lc)|(penalty)|(\[timeout)|(PRM\|1\|D)|(kpr)|(kdp))" /e /r /s</v>
      </c>
      <c r="AG130" s="1" t="str">
        <f>IFERROR(IF(VALUE(LEFT(AD130,2))&lt;=2,"EC",IF(OR(VALUE(LEFT(AD130,2))=8,VALUE(LEFT(AD130,2))=18),"NW","Other")),"Other")</f>
        <v>EC</v>
      </c>
      <c r="AH130" s="100" t="str">
        <f t="shared" si="76"/>
        <v>"%USERPROFILE%\Documents\GitHub\eaglep3\Utilities\RefineRTDCRunTimes.py" --tripid 214-27 --locoid 4026 --swversion DE.1.0.7.0 --startMP 204:232975 --initTime 2016-08-27T18:24:08 --startdatetime 2016-08-27T18:41:14 --delay 16 --endMP 204:160 --enddatetime 2016-08-27T19:19:24 --enforcementcount 0 &gt;&gt;C:\Users\stu\Documents\GitHub\eaglep3-reporting\EC\2016-08-27-refined-times.txt</v>
      </c>
      <c r="AI130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{"issue":{"subject":"","project_id":79,"tracker_id":40,"status_id":1,"priority_id":2,"assigned_to_id":23,"start_date":"2016-08-27","description":"","custom_fields":[{"id":1,"name":"Subdivision","value":"EC"},{"id":4,"name":"Milepost","value":"23.2815"},{"id":17,"name":"Train ID","value":"214-27"},{"id":16,"name":"Locomotive ID","value":"4026"},{"id":130,"name":"Impact","value":""},{"id":150,"name":"Time of Event (Mountain Time)","value":"19:19:24"},{"id":151,"name":"Denver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621</v>
      </c>
      <c r="B131" s="7">
        <v>4009</v>
      </c>
      <c r="C131" s="24" t="s">
        <v>113</v>
      </c>
      <c r="D131" s="24" t="s">
        <v>192</v>
      </c>
      <c r="E131" s="15">
        <v>42609.745324074072</v>
      </c>
      <c r="F131" s="15">
        <v>42609.750243055554</v>
      </c>
      <c r="G131" s="7">
        <v>1</v>
      </c>
      <c r="H131" s="15" t="s">
        <v>149</v>
      </c>
      <c r="I131" s="15">
        <v>42609.777245370373</v>
      </c>
      <c r="J131" s="7">
        <v>0</v>
      </c>
      <c r="K131" s="132" t="str">
        <f>IF(ISEVEN(B131),(B131-1)&amp;"/"&amp;B131,B131&amp;"/"&amp;(B131+1))</f>
        <v>4009/4010</v>
      </c>
      <c r="L131" s="24" t="str">
        <f>VLOOKUP(A131,'Trips&amp;Operators'!$C$1:$E$10000,3,FALSE)</f>
        <v>WEBSTER</v>
      </c>
      <c r="M131" s="6">
        <f>I131-F131</f>
        <v>2.7002314818673767E-2</v>
      </c>
      <c r="N131" s="7">
        <f>24*60*SUM($M131:$M131)</f>
        <v>38.883333338890225</v>
      </c>
      <c r="O131" s="7"/>
      <c r="P131" s="7"/>
      <c r="Q131" s="25"/>
      <c r="R131" s="25"/>
      <c r="S131" s="37">
        <f>SUM(U131:U131)/IF(AG131="EC",12,1)</f>
        <v>1</v>
      </c>
      <c r="T131" s="52" t="str">
        <f>IF(ISEVEN(LEFT(AD131,4)),"Southbound","NorthBound")</f>
        <v>NorthBound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hh:mm:ss")&amp;"-0600',mode:absolute,to:'"&amp;TEXT(I131+1/24,"yyyy-MM-DD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https://search-rtdc-monitor-bjffxe2xuh6vdkpspy63sjmuny.us-east-1.es.amazonaws.com/_plugin/kibana/#/discover/Steve-Slow-Train-Analysis-(2080s-and-2083s)?_g=(refreshInterval:(display:Off,section:0,value:0),time:(from:'2016-08-27 16:53:16-0600',mode:absolute,to:'2016-08-27 19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31" s="54" t="str">
        <f>IF(AA131&lt;IF(AG131="EC",23,5.65),"Y","N")</f>
        <v>N</v>
      </c>
      <c r="X131" s="120">
        <f>VALUE(LEFT(AD131,4))-VALUE(LEFT(AD130,4))</f>
        <v>1</v>
      </c>
      <c r="Y131" s="69">
        <f>RIGHT(D131,LEN(D131)-4)/10000</f>
        <v>4.5999999999999999E-2</v>
      </c>
      <c r="Z131" s="69">
        <f>RIGHT(H131,LEN(H131)-4)/10000</f>
        <v>23.33</v>
      </c>
      <c r="AA131" s="69">
        <f>ABS(Z131-Y131)</f>
        <v>23.283999999999999</v>
      </c>
      <c r="AB131" s="66">
        <f>VLOOKUP(A131,Enforcements!$C$7:$J$21,8,0)</f>
        <v>218954</v>
      </c>
      <c r="AC131" s="62" t="str">
        <f>VLOOKUP(A131,Enforcements!$C$7:$E$21,3,0)</f>
        <v>PERMANENT SPEED RESTRICTION</v>
      </c>
      <c r="AD131" s="63" t="str">
        <f>IF(LEN(A131)=6,"0"&amp;A131,A131)</f>
        <v>0215-27</v>
      </c>
      <c r="AE131" s="99" t="str">
        <f>"aws s3 cp "&amp;s3_bucket&amp;"/RTDC"&amp;B131&amp;"/"&amp;TEXT(F131,"YYYY-MM-DD")&amp;"/ "&amp;search_path&amp;"\RTDC"&amp;B131&amp;"\"&amp;TEXT(F131,"YYYY-MM-DD")&amp;" --recursive &amp; """&amp;walkandungz&amp;""" "&amp;search_path&amp;"\RTDC"&amp;B131&amp;"\"&amp;TEXT(F131,"YYYY-MM-DD")
&amp;" &amp; "&amp;"aws s3 cp "&amp;s3_bucket&amp;"/RTDC"&amp;B131&amp;"/"&amp;TEXT(F131+1,"YYYY-MM-DD")&amp;"/ "&amp;search_path&amp;"\RTDC"&amp;B131&amp;"\"&amp;TEXT(F131+1,"YYYY-MM-DD")&amp;" --recursive &amp; """&amp;walkandungz&amp;""" "&amp;search_path&amp;"\RTDC"&amp;B131&amp;"\"&amp;TEXT(F131+1,"YYYY-MM-DD")</f>
        <v>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 &amp; 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</v>
      </c>
      <c r="AF131" s="96" t="str">
        <f>astrogrep_path&amp;" /spath="&amp;search_path&amp;" /stypes=""*"&amp;B131&amp;"*"&amp;TEXT(I131-utc_offset/24,"YYYYMMDD")&amp;"*"" /stext="" "&amp;TEXT(I131-utc_offset/24,"HH")&amp;search_regexp&amp;""" /e /r /s"</f>
        <v>"C:\Program Files (x86)\AstroGrep\AstroGrep.exe" /spath="%USERPROFILE%\AppData\Local\Temp\OnboardLogs" /stypes="*4009*20160828*" /stext=" 00:.+((SYSTEM_STATE.+slice.+state.+changed )|(ment ac)|(system.+state.+changed )|(\|lc)|(penalty)|(\[timeout)|(PRM\|1\|D)|(kpr)|(kdp))" /e /r /s</v>
      </c>
      <c r="AG131" s="1" t="str">
        <f>IFERROR(IF(VALUE(LEFT(AD131,2))&lt;=2,"EC",IF(OR(VALUE(LEFT(AD131,2))=8,VALUE(LEFT(AD131,2))=18),"NW","Other")),"Other")</f>
        <v>EC</v>
      </c>
      <c r="AH131" s="100" t="str">
        <f t="shared" si="76"/>
        <v>"%USERPROFILE%\Documents\GitHub\eaglep3\Utilities\RefineRTDCRunTimes.py" --tripid 215-27 --locoid 4009 --swversion DE.1.0.7.0 --startMP 204:460 --initTime 2016-08-27T17:53:16 --startdatetime 2016-08-27T18:00:21 --delay 1 --endMP 204:233300 --enddatetime 2016-08-27T18:39:14 --enforcementcount 0 &gt;&gt;C:\Users\stu\Documents\GitHub\eaglep3-reporting\EC\2016-08-27-refined-times.txt</v>
      </c>
      <c r="AI131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{"issue":{"subject":"","project_id":79,"tracker_id":40,"status_id":1,"priority_id":2,"assigned_to_id":23,"start_date":"2016-08-27","description":"","custom_fields":[{"id":1,"name":"Subdivision","value":"EC"},{"id":4,"name":"Milepost","value":"23.284"},{"id":17,"name":"Train ID","value":"215-27"},{"id":16,"name":"Locomotive ID","value":"4009"},{"id":130,"name":"Impact","value":""},{"id":150,"name":"Time of Event (Mountain Time)","value":"18:39:14"},{"id":151,"name":"Denver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622</v>
      </c>
      <c r="B132" s="7">
        <v>4010</v>
      </c>
      <c r="C132" s="24" t="s">
        <v>113</v>
      </c>
      <c r="D132" s="24" t="s">
        <v>347</v>
      </c>
      <c r="E132" s="15">
        <v>42609.785416666666</v>
      </c>
      <c r="F132" s="15">
        <v>42609.789571759262</v>
      </c>
      <c r="G132" s="7">
        <v>1</v>
      </c>
      <c r="H132" s="15" t="s">
        <v>172</v>
      </c>
      <c r="I132" s="15">
        <v>42609.816759259258</v>
      </c>
      <c r="J132" s="7">
        <v>0</v>
      </c>
      <c r="K132" s="132" t="str">
        <f>IF(ISEVEN(B132),(B132-1)&amp;"/"&amp;B132,B132&amp;"/"&amp;(B132+1))</f>
        <v>4009/4010</v>
      </c>
      <c r="L132" s="24" t="str">
        <f>VLOOKUP(A132,'Trips&amp;Operators'!$C$1:$E$10000,3,FALSE)</f>
        <v>WEBSTER</v>
      </c>
      <c r="M132" s="6">
        <f>I132-F132</f>
        <v>2.7187499996216502E-2</v>
      </c>
      <c r="N132" s="7">
        <f>24*60*SUM($M132:$M132)</f>
        <v>39.149999994551763</v>
      </c>
      <c r="O132" s="7"/>
      <c r="P132" s="7"/>
      <c r="Q132" s="25"/>
      <c r="R132" s="25"/>
      <c r="S132" s="37">
        <f>SUM(U132:U132)/IF(AG132="EC",12,1)</f>
        <v>1</v>
      </c>
      <c r="T132" s="52" t="str">
        <f>IF(ISEVEN(LEFT(AD132,4)),"Southbound","NorthBound")</f>
        <v>Southbound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hh:mm:ss")&amp;"-0600',mode:absolute,to:'"&amp;TEXT(I132+1/24,"yyyy-MM-DD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https://search-rtdc-monitor-bjffxe2xuh6vdkpspy63sjmuny.us-east-1.es.amazonaws.com/_plugin/kibana/#/discover/Steve-Slow-Train-Analysis-(2080s-and-2083s)?_g=(refreshInterval:(display:Off,section:0,value:0),time:(from:'2016-08-27 17:51:00-0600',mode:absolute,to:'2016-08-27 20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32" s="54" t="str">
        <f>IF(AA132&lt;IF(AG132="EC",23,5.65),"Y","N")</f>
        <v>N</v>
      </c>
      <c r="X132" s="120">
        <f>VALUE(LEFT(AD132,4))-VALUE(LEFT(AD131,4))</f>
        <v>1</v>
      </c>
      <c r="Y132" s="69">
        <f>RIGHT(D132,LEN(D132)-4)/10000</f>
        <v>23.298500000000001</v>
      </c>
      <c r="Z132" s="69">
        <f>RIGHT(H132,LEN(H132)-4)/10000</f>
        <v>1.52E-2</v>
      </c>
      <c r="AA132" s="69">
        <f>ABS(Z132-Y132)</f>
        <v>23.283300000000001</v>
      </c>
      <c r="AB132" s="66" t="e">
        <f>VLOOKUP(A132,Enforcements!$C$7:$J$21,8,0)</f>
        <v>#N/A</v>
      </c>
      <c r="AC132" s="62" t="e">
        <f>VLOOKUP(A132,Enforcements!$C$7:$E$21,3,0)</f>
        <v>#N/A</v>
      </c>
      <c r="AD132" s="63" t="str">
        <f>IF(LEN(A132)=6,"0"&amp;A132,A132)</f>
        <v>0216-27</v>
      </c>
      <c r="AE132" s="99" t="str">
        <f>"aws s3 cp "&amp;s3_bucket&amp;"/RTDC"&amp;B132&amp;"/"&amp;TEXT(F132,"YYYY-MM-DD")&amp;"/ "&amp;search_path&amp;"\RTDC"&amp;B132&amp;"\"&amp;TEXT(F132,"YYYY-MM-DD")&amp;" --recursive &amp; """&amp;walkandungz&amp;""" "&amp;search_path&amp;"\RTDC"&amp;B132&amp;"\"&amp;TEXT(F132,"YYYY-MM-DD")
&amp;" &amp; "&amp;"aws s3 cp "&amp;s3_bucket&amp;"/RTDC"&amp;B132&amp;"/"&amp;TEXT(F132+1,"YYYY-MM-DD")&amp;"/ "&amp;search_path&amp;"\RTDC"&amp;B132&amp;"\"&amp;TEXT(F132+1,"YYYY-MM-DD")&amp;" --recursive &amp; """&amp;walkandungz&amp;""" "&amp;search_path&amp;"\RTDC"&amp;B132&amp;"\"&amp;TEXT(F132+1,"YYYY-MM-DD")</f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AF132" s="96" t="str">
        <f>astrogrep_path&amp;" /spath="&amp;search_path&amp;" /stypes=""*"&amp;B132&amp;"*"&amp;TEXT(I132-utc_offset/24,"YYYYMMDD")&amp;"*"" /stext="" "&amp;TEXT(I132-utc_offset/24,"HH")&amp;search_regexp&amp;""" /e /r /s"</f>
        <v>"C:\Program Files (x86)\AstroGrep\AstroGrep.exe" /spath="%USERPROFILE%\AppData\Local\Temp\OnboardLogs" /stypes="*4010*20160828*" /stext=" 01:.+((SYSTEM_STATE.+slice.+state.+changed )|(ment ac)|(system.+state.+changed )|(\|lc)|(penalty)|(\[timeout)|(PRM\|1\|D)|(kpr)|(kdp))" /e /r /s</v>
      </c>
      <c r="AG132" s="1" t="str">
        <f>IFERROR(IF(VALUE(LEFT(AD132,2))&lt;=2,"EC",IF(OR(VALUE(LEFT(AD132,2))=8,VALUE(LEFT(AD132,2))=18),"NW","Other")),"Other")</f>
        <v>EC</v>
      </c>
      <c r="AH132" s="100" t="str">
        <f t="shared" si="76"/>
        <v>"%USERPROFILE%\Documents\GitHub\eaglep3\Utilities\RefineRTDCRunTimes.py" --tripid 216-27 --locoid 4010 --swversion DE.1.0.7.0 --startMP 204:232985 --initTime 2016-08-27T18:51:00 --startdatetime 2016-08-27T18:56:59 --delay 1 --endMP 204:152 --enddatetime 2016-08-27T19:36:08 --enforcementcount 0 &gt;&gt;C:\Users\stu\Documents\GitHub\eaglep3-reporting\EC\2016-08-27-refined-times.txt</v>
      </c>
      <c r="AI132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{"issue":{"subject":"","project_id":79,"tracker_id":40,"status_id":1,"priority_id":2,"assigned_to_id":23,"start_date":"2016-08-27","description":"","custom_fields":[{"id":1,"name":"Subdivision","value":"EC"},{"id":4,"name":"Milepost","value":"23.2833"},{"id":17,"name":"Train ID","value":"216-27"},{"id":16,"name":"Locomotive ID","value":"4010"},{"id":130,"name":"Impact","value":""},{"id":150,"name":"Time of Event (Mountain Time)","value":"19:36:08"},{"id":151,"name":"Denver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623</v>
      </c>
      <c r="B133" s="7">
        <v>4020</v>
      </c>
      <c r="C133" s="24" t="s">
        <v>113</v>
      </c>
      <c r="D133" s="24" t="s">
        <v>624</v>
      </c>
      <c r="E133" s="15">
        <v>42609.758368055554</v>
      </c>
      <c r="F133" s="15">
        <v>42609.760613425926</v>
      </c>
      <c r="G133" s="7">
        <v>2</v>
      </c>
      <c r="H133" s="15" t="s">
        <v>343</v>
      </c>
      <c r="I133" s="15">
        <v>42609.78633101852</v>
      </c>
      <c r="J133" s="7">
        <v>0</v>
      </c>
      <c r="K133" s="132" t="str">
        <f>IF(ISEVEN(B133),(B133-1)&amp;"/"&amp;B133,B133&amp;"/"&amp;(B133+1))</f>
        <v>4019/4020</v>
      </c>
      <c r="L133" s="24" t="str">
        <f>VLOOKUP(A133,'Trips&amp;Operators'!$C$1:$E$10000,3,FALSE)</f>
        <v>CHANDLER</v>
      </c>
      <c r="M133" s="6">
        <f>I133-F133</f>
        <v>2.5717592594446614E-2</v>
      </c>
      <c r="N133" s="7">
        <f>24*60*SUM($M133:$M133)</f>
        <v>37.033333336003125</v>
      </c>
      <c r="O133" s="7"/>
      <c r="P133" s="7"/>
      <c r="Q133" s="25"/>
      <c r="R133" s="25"/>
      <c r="S133" s="37">
        <f>SUM(U133:U133)/IF(AG133="EC",12,1)</f>
        <v>1</v>
      </c>
      <c r="T133" s="52" t="str">
        <f>IF(ISEVEN(LEFT(AD133,4)),"Southbound","NorthBound")</f>
        <v>NorthBound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hh:mm:ss")&amp;"-0600',mode:absolute,to:'"&amp;TEXT(I133+1/24,"yyyy-MM-DD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https://search-rtdc-monitor-bjffxe2xuh6vdkpspy63sjmuny.us-east-1.es.amazonaws.com/_plugin/kibana/#/discover/Steve-Slow-Train-Analysis-(2080s-and-2083s)?_g=(refreshInterval:(display:Off,section:0,value:0),time:(from:'2016-08-27 17:12:03-0600',mode:absolute,to:'2016-08-27 19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33" s="54" t="str">
        <f>IF(AA133&lt;IF(AG133="EC",23,5.65),"Y","N")</f>
        <v>N</v>
      </c>
      <c r="X133" s="120">
        <f>VALUE(LEFT(AD133,4))-VALUE(LEFT(AD132,4))</f>
        <v>1</v>
      </c>
      <c r="Y133" s="69">
        <f>RIGHT(D133,LEN(D133)-4)/10000</f>
        <v>5.1999999999999998E-2</v>
      </c>
      <c r="Z133" s="69">
        <f>RIGHT(H133,LEN(H133)-4)/10000</f>
        <v>23.329499999999999</v>
      </c>
      <c r="AA133" s="69">
        <f>ABS(Z133-Y133)</f>
        <v>23.2775</v>
      </c>
      <c r="AB133" s="66" t="e">
        <f>VLOOKUP(A133,Enforcements!$C$7:$J$21,8,0)</f>
        <v>#N/A</v>
      </c>
      <c r="AC133" s="62" t="e">
        <f>VLOOKUP(A133,Enforcements!$C$7:$E$21,3,0)</f>
        <v>#N/A</v>
      </c>
      <c r="AD133" s="63" t="str">
        <f>IF(LEN(A133)=6,"0"&amp;A133,A133)</f>
        <v>0217-27</v>
      </c>
      <c r="AE133" s="99" t="str">
        <f>"aws s3 cp "&amp;s3_bucket&amp;"/RTDC"&amp;B133&amp;"/"&amp;TEXT(F133,"YYYY-MM-DD")&amp;"/ "&amp;search_path&amp;"\RTDC"&amp;B133&amp;"\"&amp;TEXT(F133,"YYYY-MM-DD")&amp;" --recursive &amp; """&amp;walkandungz&amp;""" "&amp;search_path&amp;"\RTDC"&amp;B133&amp;"\"&amp;TEXT(F133,"YYYY-MM-DD")
&amp;" &amp; "&amp;"aws s3 cp "&amp;s3_bucket&amp;"/RTDC"&amp;B133&amp;"/"&amp;TEXT(F133+1,"YYYY-MM-DD")&amp;"/ "&amp;search_path&amp;"\RTDC"&amp;B133&amp;"\"&amp;TEXT(F133+1,"YYYY-MM-DD")&amp;" --recursive &amp; """&amp;walkandungz&amp;""" "&amp;search_path&amp;"\RTDC"&amp;B133&amp;"\"&amp;TEXT(F133+1,"YYYY-MM-DD")</f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133" s="96" t="str">
        <f>astrogrep_path&amp;" /spath="&amp;search_path&amp;" /stypes=""*"&amp;B133&amp;"*"&amp;TEXT(I133-utc_offset/24,"YYYYMMDD")&amp;"*"" /stext="" "&amp;TEXT(I133-utc_offset/24,"HH")&amp;search_regexp&amp;""" /e /r /s"</f>
        <v>"C:\Program Files (x86)\AstroGrep\AstroGrep.exe" /spath="%USERPROFILE%\AppData\Local\Temp\OnboardLogs" /stypes="*4020*20160828*" /stext=" 00:.+((SYSTEM_STATE.+slice.+state.+changed )|(ment ac)|(system.+state.+changed )|(\|lc)|(penalty)|(\[timeout)|(PRM\|1\|D)|(kpr)|(kdp))" /e /r /s</v>
      </c>
      <c r="AG133" s="1" t="str">
        <f>IFERROR(IF(VALUE(LEFT(AD133,2))&lt;=2,"EC",IF(OR(VALUE(LEFT(AD133,2))=8,VALUE(LEFT(AD133,2))=18),"NW","Other")),"Other")</f>
        <v>EC</v>
      </c>
      <c r="AH133" s="100" t="str">
        <f t="shared" si="76"/>
        <v>"%USERPROFILE%\Documents\GitHub\eaglep3\Utilities\RefineRTDCRunTimes.py" --tripid 217-27 --locoid 4020 --swversion DE.1.0.7.0 --startMP 204:520 --initTime 2016-08-27T18:12:03 --startdatetime 2016-08-27T18:15:17 --delay 2 --endMP 204:233295 --enddatetime 2016-08-27T18:52:19 --enforcementcount 0 &gt;&gt;C:\Users\stu\Documents\GitHub\eaglep3-reporting\EC\2016-08-27-refined-times.txt</v>
      </c>
      <c r="AI133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{"issue":{"subject":"","project_id":79,"tracker_id":40,"status_id":1,"priority_id":2,"assigned_to_id":23,"start_date":"2016-08-27","description":"","custom_fields":[{"id":1,"name":"Subdivision","value":"EC"},{"id":4,"name":"Milepost","value":"23.2775"},{"id":17,"name":"Train ID","value":"217-27"},{"id":16,"name":"Locomotive ID","value":"4020"},{"id":130,"name":"Impact","value":""},{"id":150,"name":"Time of Event (Mountain Time)","value":"18:52:19"},{"id":151,"name":"Denver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625</v>
      </c>
      <c r="B134" s="7">
        <v>4019</v>
      </c>
      <c r="C134" s="24" t="s">
        <v>113</v>
      </c>
      <c r="D134" s="24" t="s">
        <v>329</v>
      </c>
      <c r="E134" s="15">
        <v>42609.798101851855</v>
      </c>
      <c r="F134" s="15">
        <v>42609.799791666665</v>
      </c>
      <c r="G134" s="7">
        <v>1</v>
      </c>
      <c r="H134" s="15" t="s">
        <v>264</v>
      </c>
      <c r="I134" s="15">
        <v>42609.82707175926</v>
      </c>
      <c r="J134" s="7">
        <v>0</v>
      </c>
      <c r="K134" s="132" t="str">
        <f>IF(ISEVEN(B134),(B134-1)&amp;"/"&amp;B134,B134&amp;"/"&amp;(B134+1))</f>
        <v>4019/4020</v>
      </c>
      <c r="L134" s="24" t="str">
        <f>VLOOKUP(A134,'Trips&amp;Operators'!$C$1:$E$10000,3,FALSE)</f>
        <v>CHANDLER</v>
      </c>
      <c r="M134" s="6">
        <f>I134-F134</f>
        <v>2.7280092595901806E-2</v>
      </c>
      <c r="N134" s="7">
        <f>24*60*SUM($M134:$M134)</f>
        <v>39.283333338098601</v>
      </c>
      <c r="O134" s="7"/>
      <c r="P134" s="7"/>
      <c r="Q134" s="25"/>
      <c r="R134" s="25"/>
      <c r="S134" s="37">
        <f>SUM(U134:U134)/IF(AG134="EC",12,1)</f>
        <v>1</v>
      </c>
      <c r="T134" s="52" t="str">
        <f>IF(ISEVEN(LEFT(AD134,4)),"Southbound","NorthBound")</f>
        <v>Southbound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hh:mm:ss")&amp;"-0600',mode:absolute,to:'"&amp;TEXT(I134+1/24,"yyyy-MM-DD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https://search-rtdc-monitor-bjffxe2xuh6vdkpspy63sjmuny.us-east-1.es.amazonaws.com/_plugin/kibana/#/discover/Steve-Slow-Train-Analysis-(2080s-and-2083s)?_g=(refreshInterval:(display:Off,section:0,value:0),time:(from:'2016-08-27 18:09:16-0600',mode:absolute,to:'2016-08-27 20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34" s="54" t="str">
        <f>IF(AA134&lt;IF(AG134="EC",23,5.65),"Y","N")</f>
        <v>N</v>
      </c>
      <c r="X134" s="120">
        <f>VALUE(LEFT(AD134,4))-VALUE(LEFT(AD133,4))</f>
        <v>1</v>
      </c>
      <c r="Y134" s="69">
        <f>RIGHT(D134,LEN(D134)-4)/10000</f>
        <v>23.298200000000001</v>
      </c>
      <c r="Z134" s="69">
        <f>RIGHT(H134,LEN(H134)-4)/10000</f>
        <v>1.7000000000000001E-2</v>
      </c>
      <c r="AA134" s="69">
        <f>ABS(Z134-Y134)</f>
        <v>23.281200000000002</v>
      </c>
      <c r="AB134" s="66" t="e">
        <f>VLOOKUP(A134,Enforcements!$C$7:$J$21,8,0)</f>
        <v>#N/A</v>
      </c>
      <c r="AC134" s="62" t="e">
        <f>VLOOKUP(A134,Enforcements!$C$7:$E$21,3,0)</f>
        <v>#N/A</v>
      </c>
      <c r="AD134" s="63" t="str">
        <f>IF(LEN(A134)=6,"0"&amp;A134,A134)</f>
        <v>0218-27</v>
      </c>
      <c r="AE134" s="99" t="str">
        <f>"aws s3 cp "&amp;s3_bucket&amp;"/RTDC"&amp;B134&amp;"/"&amp;TEXT(F134,"YYYY-MM-DD")&amp;"/ "&amp;search_path&amp;"\RTDC"&amp;B134&amp;"\"&amp;TEXT(F134,"YYYY-MM-DD")&amp;" --recursive &amp; """&amp;walkandungz&amp;""" "&amp;search_path&amp;"\RTDC"&amp;B134&amp;"\"&amp;TEXT(F134,"YYYY-MM-DD")
&amp;" &amp; "&amp;"aws s3 cp "&amp;s3_bucket&amp;"/RTDC"&amp;B134&amp;"/"&amp;TEXT(F134+1,"YYYY-MM-DD")&amp;"/ "&amp;search_path&amp;"\RTDC"&amp;B134&amp;"\"&amp;TEXT(F134+1,"YYYY-MM-DD")&amp;" --recursive &amp; """&amp;walkandungz&amp;""" "&amp;search_path&amp;"\RTDC"&amp;B134&amp;"\"&amp;TEXT(F134+1,"YYYY-MM-DD")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134" s="96" t="str">
        <f>astrogrep_path&amp;" /spath="&amp;search_path&amp;" /stypes=""*"&amp;B134&amp;"*"&amp;TEXT(I134-utc_offset/24,"YYYYMMDD")&amp;"*"" /stext="" "&amp;TEXT(I134-utc_offset/24,"HH")&amp;search_regexp&amp;""" /e /r /s"</f>
        <v>"C:\Program Files (x86)\AstroGrep\AstroGrep.exe" /spath="%USERPROFILE%\AppData\Local\Temp\OnboardLogs" /stypes="*4019*20160828*" /stext=" 01:.+((SYSTEM_STATE.+slice.+state.+changed )|(ment ac)|(system.+state.+changed )|(\|lc)|(penalty)|(\[timeout)|(PRM\|1\|D)|(kpr)|(kdp))" /e /r /s</v>
      </c>
      <c r="AG134" s="1" t="str">
        <f>IFERROR(IF(VALUE(LEFT(AD134,2))&lt;=2,"EC",IF(OR(VALUE(LEFT(AD134,2))=8,VALUE(LEFT(AD134,2))=18),"NW","Other")),"Other")</f>
        <v>EC</v>
      </c>
      <c r="AH134" s="100" t="str">
        <f t="shared" si="76"/>
        <v>"%USERPROFILE%\Documents\GitHub\eaglep3\Utilities\RefineRTDCRunTimes.py" --tripid 218-27 --locoid 4019 --swversion DE.1.0.7.0 --startMP 204:232982 --initTime 2016-08-27T19:09:16 --startdatetime 2016-08-27T19:11:42 --delay 1 --endMP 204:170 --enddatetime 2016-08-27T19:50:59 --enforcementcount 0 &gt;&gt;C:\Users\stu\Documents\GitHub\eaglep3-reporting\EC\2016-08-27-refined-times.txt</v>
      </c>
      <c r="AI134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{"issue":{"subject":"","project_id":79,"tracker_id":40,"status_id":1,"priority_id":2,"assigned_to_id":23,"start_date":"2016-08-27","description":"","custom_fields":[{"id":1,"name":"Subdivision","value":"EC"},{"id":4,"name":"Milepost","value":"23.2812"},{"id":17,"name":"Train ID","value":"218-27"},{"id":16,"name":"Locomotive ID","value":"4019"},{"id":130,"name":"Impact","value":""},{"id":150,"name":"Time of Event (Mountain Time)","value":"19:50:59"},{"id":151,"name":"Denver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626</v>
      </c>
      <c r="B135" s="7">
        <v>4031</v>
      </c>
      <c r="C135" s="24" t="s">
        <v>113</v>
      </c>
      <c r="D135" s="24" t="s">
        <v>214</v>
      </c>
      <c r="E135" s="15">
        <v>42609.769953703704</v>
      </c>
      <c r="F135" s="15">
        <v>42609.771377314813</v>
      </c>
      <c r="G135" s="7">
        <v>1</v>
      </c>
      <c r="H135" s="15" t="s">
        <v>336</v>
      </c>
      <c r="I135" s="15">
        <v>42609.796597222223</v>
      </c>
      <c r="J135" s="7">
        <v>0</v>
      </c>
      <c r="K135" s="132" t="str">
        <f>IF(ISEVEN(B135),(B135-1)&amp;"/"&amp;B135,B135&amp;"/"&amp;(B135+1))</f>
        <v>4031/4032</v>
      </c>
      <c r="L135" s="24" t="str">
        <f>VLOOKUP(A135,'Trips&amp;Operators'!$C$1:$E$10000,3,FALSE)</f>
        <v>STURGEON</v>
      </c>
      <c r="M135" s="6">
        <f>I135-F135</f>
        <v>2.5219907409336884E-2</v>
      </c>
      <c r="N135" s="7">
        <f>24*60*SUM($M135:$M135)</f>
        <v>36.316666669445112</v>
      </c>
      <c r="O135" s="7"/>
      <c r="P135" s="7"/>
      <c r="Q135" s="25"/>
      <c r="R135" s="25"/>
      <c r="S135" s="37">
        <f>SUM(U135:U135)/IF(AG135="EC",12,1)</f>
        <v>1</v>
      </c>
      <c r="T135" s="52" t="str">
        <f>IF(ISEVEN(LEFT(AD135,4)),"Southbound","NorthBound")</f>
        <v>NorthBound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hh:mm:ss")&amp;"-0600',mode:absolute,to:'"&amp;TEXT(I135+1/24,"yyyy-MM-DD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https://search-rtdc-monitor-bjffxe2xuh6vdkpspy63sjmuny.us-east-1.es.amazonaws.com/_plugin/kibana/#/discover/Steve-Slow-Train-Analysis-(2080s-and-2083s)?_g=(refreshInterval:(display:Off,section:0,value:0),time:(from:'2016-08-27 17:28:44-0600',mode:absolute,to:'2016-08-27 20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35" s="54" t="str">
        <f>IF(AA135&lt;IF(AG135="EC",23,5.65),"Y","N")</f>
        <v>N</v>
      </c>
      <c r="X135" s="120">
        <f>VALUE(LEFT(AD135,4))-VALUE(LEFT(AD134,4))</f>
        <v>1</v>
      </c>
      <c r="Y135" s="69">
        <f>RIGHT(D135,LEN(D135)-4)/10000</f>
        <v>4.7800000000000002E-2</v>
      </c>
      <c r="Z135" s="69">
        <f>RIGHT(H135,LEN(H135)-4)/10000</f>
        <v>23.328099999999999</v>
      </c>
      <c r="AA135" s="69">
        <f>ABS(Z135-Y135)</f>
        <v>23.2803</v>
      </c>
      <c r="AB135" s="66" t="e">
        <f>VLOOKUP(A135,Enforcements!$C$7:$J$21,8,0)</f>
        <v>#N/A</v>
      </c>
      <c r="AC135" s="62" t="e">
        <f>VLOOKUP(A135,Enforcements!$C$7:$E$21,3,0)</f>
        <v>#N/A</v>
      </c>
      <c r="AD135" s="63" t="str">
        <f>IF(LEN(A135)=6,"0"&amp;A135,A135)</f>
        <v>0219-27</v>
      </c>
      <c r="AE135" s="99" t="str">
        <f>"aws s3 cp "&amp;s3_bucket&amp;"/RTDC"&amp;B135&amp;"/"&amp;TEXT(F135,"YYYY-MM-DD")&amp;"/ "&amp;search_path&amp;"\RTDC"&amp;B135&amp;"\"&amp;TEXT(F135,"YYYY-MM-DD")&amp;" --recursive &amp; """&amp;walkandungz&amp;""" "&amp;search_path&amp;"\RTDC"&amp;B135&amp;"\"&amp;TEXT(F135,"YYYY-MM-DD")
&amp;" &amp; "&amp;"aws s3 cp "&amp;s3_bucket&amp;"/RTDC"&amp;B135&amp;"/"&amp;TEXT(F135+1,"YYYY-MM-DD")&amp;"/ "&amp;search_path&amp;"\RTDC"&amp;B135&amp;"\"&amp;TEXT(F135+1,"YYYY-MM-DD")&amp;" --recursive &amp; """&amp;walkandungz&amp;""" "&amp;search_path&amp;"\RTDC"&amp;B135&amp;"\"&amp;TEXT(F135+1,"YYYY-MM-DD")</f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135" s="96" t="str">
        <f>astrogrep_path&amp;" /spath="&amp;search_path&amp;" /stypes=""*"&amp;B135&amp;"*"&amp;TEXT(I135-utc_offset/24,"YYYYMMDD")&amp;"*"" /stext="" "&amp;TEXT(I135-utc_offset/24,"HH")&amp;search_regexp&amp;""" /e /r /s"</f>
        <v>"C:\Program Files (x86)\AstroGrep\AstroGrep.exe" /spath="%USERPROFILE%\AppData\Local\Temp\OnboardLogs" /stypes="*4031*20160828*" /stext=" 01:.+((SYSTEM_STATE.+slice.+state.+changed )|(ment ac)|(system.+state.+changed )|(\|lc)|(penalty)|(\[timeout)|(PRM\|1\|D)|(kpr)|(kdp))" /e /r /s</v>
      </c>
      <c r="AG135" s="1" t="str">
        <f>IFERROR(IF(VALUE(LEFT(AD135,2))&lt;=2,"EC",IF(OR(VALUE(LEFT(AD135,2))=8,VALUE(LEFT(AD135,2))=18),"NW","Other")),"Other")</f>
        <v>EC</v>
      </c>
      <c r="AH135" s="100" t="str">
        <f t="shared" si="76"/>
        <v>"%USERPROFILE%\Documents\GitHub\eaglep3\Utilities\RefineRTDCRunTimes.py" --tripid 219-27 --locoid 4031 --swversion DE.1.0.7.0 --startMP 204:478 --initTime 2016-08-27T18:28:44 --startdatetime 2016-08-27T18:30:47 --delay 1 --endMP 204:233281 --enddatetime 2016-08-27T19:07:06 --enforcementcount 0 &gt;&gt;C:\Users\stu\Documents\GitHub\eaglep3-reporting\EC\2016-08-27-refined-times.txt</v>
      </c>
      <c r="AI135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{"issue":{"subject":"","project_id":79,"tracker_id":40,"status_id":1,"priority_id":2,"assigned_to_id":23,"start_date":"2016-08-27","description":"","custom_fields":[{"id":1,"name":"Subdivision","value":"EC"},{"id":4,"name":"Milepost","value":"23.2803"},{"id":17,"name":"Train ID","value":"219-27"},{"id":16,"name":"Locomotive ID","value":"4031"},{"id":130,"name":"Impact","value":""},{"id":150,"name":"Time of Event (Mountain Time)","value":"19:07:06"},{"id":151,"name":"Denver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627</v>
      </c>
      <c r="B136" s="7">
        <v>4032</v>
      </c>
      <c r="C136" s="24" t="s">
        <v>113</v>
      </c>
      <c r="D136" s="24" t="s">
        <v>432</v>
      </c>
      <c r="E136" s="15">
        <v>42609.805300925924</v>
      </c>
      <c r="F136" s="15">
        <v>42609.810011574074</v>
      </c>
      <c r="G136" s="7">
        <v>2</v>
      </c>
      <c r="H136" s="15" t="s">
        <v>262</v>
      </c>
      <c r="I136" s="15">
        <v>42609.838171296295</v>
      </c>
      <c r="J136" s="7">
        <v>0</v>
      </c>
      <c r="K136" s="132" t="str">
        <f>IF(ISEVEN(B136),(B136-1)&amp;"/"&amp;B136,B136&amp;"/"&amp;(B136+1))</f>
        <v>4031/4032</v>
      </c>
      <c r="L136" s="24" t="str">
        <f>VLOOKUP(A136,'Trips&amp;Operators'!$C$1:$E$10000,3,FALSE)</f>
        <v>STURGEON</v>
      </c>
      <c r="M136" s="6">
        <f>I136-F136</f>
        <v>2.8159722220152617E-2</v>
      </c>
      <c r="N136" s="7">
        <f>24*60*SUM($M136:$M136)</f>
        <v>40.549999997019768</v>
      </c>
      <c r="O136" s="7"/>
      <c r="P136" s="7"/>
      <c r="Q136" s="25"/>
      <c r="R136" s="25"/>
      <c r="S136" s="37">
        <f>SUM(U136:U136)/IF(AG136="EC",12,1)</f>
        <v>1</v>
      </c>
      <c r="T136" s="52" t="str">
        <f>IF(ISEVEN(LEFT(AD136,4)),"Southbound","NorthBound")</f>
        <v>Southbound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hh:mm:ss")&amp;"-0600',mode:absolute,to:'"&amp;TEXT(I136+1/24,"yyyy-MM-DD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https://search-rtdc-monitor-bjffxe2xuh6vdkpspy63sjmuny.us-east-1.es.amazonaws.com/_plugin/kibana/#/discover/Steve-Slow-Train-Analysis-(2080s-and-2083s)?_g=(refreshInterval:(display:Off,section:0,value:0),time:(from:'2016-08-27 18:19:38-0600',mode:absolute,to:'2016-08-27 21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36" s="54" t="str">
        <f>IF(AA136&lt;IF(AG136="EC",23,5.65),"Y","N")</f>
        <v>N</v>
      </c>
      <c r="X136" s="120">
        <f>VALUE(LEFT(AD136,4))-VALUE(LEFT(AD135,4))</f>
        <v>1</v>
      </c>
      <c r="Y136" s="69">
        <f>RIGHT(D136,LEN(D136)-4)/10000</f>
        <v>23.298300000000001</v>
      </c>
      <c r="Z136" s="69">
        <f>RIGHT(H136,LEN(H136)-4)/10000</f>
        <v>1.6899999999999998E-2</v>
      </c>
      <c r="AA136" s="69">
        <f>ABS(Z136-Y136)</f>
        <v>23.281400000000001</v>
      </c>
      <c r="AB136" s="66" t="e">
        <f>VLOOKUP(A136,Enforcements!$C$7:$J$21,8,0)</f>
        <v>#N/A</v>
      </c>
      <c r="AC136" s="62" t="e">
        <f>VLOOKUP(A136,Enforcements!$C$7:$E$21,3,0)</f>
        <v>#N/A</v>
      </c>
      <c r="AD136" s="63" t="str">
        <f>IF(LEN(A136)=6,"0"&amp;A136,A136)</f>
        <v>0220-27</v>
      </c>
      <c r="AE136" s="99" t="str">
        <f>"aws s3 cp "&amp;s3_bucket&amp;"/RTDC"&amp;B136&amp;"/"&amp;TEXT(F136,"YYYY-MM-DD")&amp;"/ "&amp;search_path&amp;"\RTDC"&amp;B136&amp;"\"&amp;TEXT(F136,"YYYY-MM-DD")&amp;" --recursive &amp; """&amp;walkandungz&amp;""" "&amp;search_path&amp;"\RTDC"&amp;B136&amp;"\"&amp;TEXT(F136,"YYYY-MM-DD")
&amp;" &amp; "&amp;"aws s3 cp "&amp;s3_bucket&amp;"/RTDC"&amp;B136&amp;"/"&amp;TEXT(F136+1,"YYYY-MM-DD")&amp;"/ "&amp;search_path&amp;"\RTDC"&amp;B136&amp;"\"&amp;TEXT(F136+1,"YYYY-MM-DD")&amp;" --recursive &amp; """&amp;walkandungz&amp;""" "&amp;search_path&amp;"\RTDC"&amp;B136&amp;"\"&amp;TEXT(F136+1,"YYYY-MM-DD")</f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136" s="96" t="str">
        <f>astrogrep_path&amp;" /spath="&amp;search_path&amp;" /stypes=""*"&amp;B136&amp;"*"&amp;TEXT(I136-utc_offset/24,"YYYYMMDD")&amp;"*"" /stext="" "&amp;TEXT(I136-utc_offset/24,"HH")&amp;search_regexp&amp;""" /e /r /s"</f>
        <v>"C:\Program Files (x86)\AstroGrep\AstroGrep.exe" /spath="%USERPROFILE%\AppData\Local\Temp\OnboardLogs" /stypes="*4032*20160828*" /stext=" 02:.+((SYSTEM_STATE.+slice.+state.+changed )|(ment ac)|(system.+state.+changed )|(\|lc)|(penalty)|(\[timeout)|(PRM\|1\|D)|(kpr)|(kdp))" /e /r /s</v>
      </c>
      <c r="AG136" s="1" t="str">
        <f>IFERROR(IF(VALUE(LEFT(AD136,2))&lt;=2,"EC",IF(OR(VALUE(LEFT(AD136,2))=8,VALUE(LEFT(AD136,2))=18),"NW","Other")),"Other")</f>
        <v>EC</v>
      </c>
      <c r="AH136" s="100" t="str">
        <f t="shared" si="76"/>
        <v>"%USERPROFILE%\Documents\GitHub\eaglep3\Utilities\RefineRTDCRunTimes.py" --tripid 220-27 --locoid 4032 --swversion DE.1.0.7.0 --startMP 204:232983 --initTime 2016-08-27T19:19:38 --startdatetime 2016-08-27T19:26:25 --delay 2 --endMP 204:169 --enddatetime 2016-08-27T20:06:58 --enforcementcount 0 &gt;&gt;C:\Users\stu\Documents\GitHub\eaglep3-reporting\EC\2016-08-27-refined-times.txt</v>
      </c>
      <c r="AI136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{"issue":{"subject":"","project_id":79,"tracker_id":40,"status_id":1,"priority_id":2,"assigned_to_id":23,"start_date":"2016-08-27","description":"","custom_fields":[{"id":1,"name":"Subdivision","value":"EC"},{"id":4,"name":"Milepost","value":"23.2814"},{"id":17,"name":"Train ID","value":"220-27"},{"id":16,"name":"Locomotive ID","value":"4032"},{"id":130,"name":"Impact","value":""},{"id":150,"name":"Time of Event (Mountain Time)","value":"20:06:58"},{"id":151,"name":"Denver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628</v>
      </c>
      <c r="B137" s="7">
        <v>4029</v>
      </c>
      <c r="C137" s="24" t="s">
        <v>113</v>
      </c>
      <c r="D137" s="24" t="s">
        <v>133</v>
      </c>
      <c r="E137" s="15">
        <v>42609.787731481483</v>
      </c>
      <c r="F137" s="15">
        <v>42609.792164351849</v>
      </c>
      <c r="G137" s="7">
        <v>1</v>
      </c>
      <c r="H137" s="15" t="s">
        <v>338</v>
      </c>
      <c r="I137" s="15">
        <v>42609.816458333335</v>
      </c>
      <c r="J137" s="7">
        <v>0</v>
      </c>
      <c r="K137" s="132" t="str">
        <f>IF(ISEVEN(B137),(B137-1)&amp;"/"&amp;B137,B137&amp;"/"&amp;(B137+1))</f>
        <v>4029/4030</v>
      </c>
      <c r="L137" s="24" t="str">
        <f>VLOOKUP(A137,'Trips&amp;Operators'!$C$1:$E$10000,3,FALSE)</f>
        <v>STAMBAUGH</v>
      </c>
      <c r="M137" s="6">
        <f>I137-F137</f>
        <v>2.4293981485243421E-2</v>
      </c>
      <c r="N137" s="7">
        <f>24*60*SUM($M137:$M137)</f>
        <v>34.983333338750526</v>
      </c>
      <c r="O137" s="7"/>
      <c r="P137" s="7"/>
      <c r="Q137" s="25"/>
      <c r="R137" s="25"/>
      <c r="S137" s="37">
        <f>SUM(U137:U137)/IF(AG137="EC",12,1)</f>
        <v>1</v>
      </c>
      <c r="T137" s="52" t="str">
        <f>IF(ISEVEN(LEFT(AD137,4)),"Southbound","NorthBound")</f>
        <v>NorthBound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hh:mm:ss")&amp;"-0600',mode:absolute,to:'"&amp;TEXT(I137+1/24,"yyyy-MM-DD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https://search-rtdc-monitor-bjffxe2xuh6vdkpspy63sjmuny.us-east-1.es.amazonaws.com/_plugin/kibana/#/discover/Steve-Slow-Train-Analysis-(2080s-and-2083s)?_g=(refreshInterval:(display:Off,section:0,value:0),time:(from:'2016-08-27 17:54:20-0600',mode:absolute,to:'2016-08-27 20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37" s="54" t="str">
        <f>IF(AA137&lt;IF(AG137="EC",23,5.65),"Y","N")</f>
        <v>N</v>
      </c>
      <c r="X137" s="120">
        <f>VALUE(LEFT(AD137,4))-VALUE(LEFT(AD136,4))</f>
        <v>1</v>
      </c>
      <c r="Y137" s="69">
        <f>RIGHT(D137,LEN(D137)-4)/10000</f>
        <v>4.53E-2</v>
      </c>
      <c r="Z137" s="69">
        <f>RIGHT(H137,LEN(H137)-4)/10000</f>
        <v>23.331900000000001</v>
      </c>
      <c r="AA137" s="69">
        <f>ABS(Z137-Y137)</f>
        <v>23.2866</v>
      </c>
      <c r="AB137" s="66" t="e">
        <f>VLOOKUP(A137,Enforcements!$C$7:$J$21,8,0)</f>
        <v>#N/A</v>
      </c>
      <c r="AC137" s="62" t="e">
        <f>VLOOKUP(A137,Enforcements!$C$7:$E$21,3,0)</f>
        <v>#N/A</v>
      </c>
      <c r="AD137" s="63" t="str">
        <f>IF(LEN(A137)=6,"0"&amp;A137,A137)</f>
        <v>0221-27</v>
      </c>
      <c r="AE137" s="99" t="str">
        <f>"aws s3 cp "&amp;s3_bucket&amp;"/RTDC"&amp;B137&amp;"/"&amp;TEXT(F137,"YYYY-MM-DD")&amp;"/ "&amp;search_path&amp;"\RTDC"&amp;B137&amp;"\"&amp;TEXT(F137,"YYYY-MM-DD")&amp;" --recursive &amp; """&amp;walkandungz&amp;""" "&amp;search_path&amp;"\RTDC"&amp;B137&amp;"\"&amp;TEXT(F137,"YYYY-MM-DD")
&amp;" &amp; "&amp;"aws s3 cp "&amp;s3_bucket&amp;"/RTDC"&amp;B137&amp;"/"&amp;TEXT(F137+1,"YYYY-MM-DD")&amp;"/ "&amp;search_path&amp;"\RTDC"&amp;B137&amp;"\"&amp;TEXT(F137+1,"YYYY-MM-DD")&amp;" --recursive &amp; """&amp;walkandungz&amp;""" "&amp;search_path&amp;"\RTDC"&amp;B137&amp;"\"&amp;TEXT(F137+1,"YYYY-MM-DD")</f>
        <v>aws s3 cp s3://rtdc.mdm.uploadarchive/RTDC4029/2016-08-27/ "%USERPROFILE%\AppData\Local\Temp\OnboardLogs"\RTDC4029\2016-08-27 --recursive &amp; "%USERPROFILE%\Documents\GitHub\mrs-test-scripts\Headless Mode &amp; Sideloading\WalkAndUnGZ.bat" "%USERPROFILE%\AppData\Local\Temp\OnboardLogs"\RTDC4029\2016-08-27 &amp; aws s3 cp s3://rtdc.mdm.uploadarchive/RTDC4029/2016-08-28/ "%USERPROFILE%\AppData\Local\Temp\OnboardLogs"\RTDC4029\2016-08-28 --recursive &amp; "%USERPROFILE%\Documents\GitHub\mrs-test-scripts\Headless Mode &amp; Sideloading\WalkAndUnGZ.bat" "%USERPROFILE%\AppData\Local\Temp\OnboardLogs"\RTDC4029\2016-08-28</v>
      </c>
      <c r="AF137" s="96" t="str">
        <f>astrogrep_path&amp;" /spath="&amp;search_path&amp;" /stypes=""*"&amp;B137&amp;"*"&amp;TEXT(I137-utc_offset/24,"YYYYMMDD")&amp;"*"" /stext="" "&amp;TEXT(I137-utc_offset/24,"HH")&amp;search_regexp&amp;""" /e /r /s"</f>
        <v>"C:\Program Files (x86)\AstroGrep\AstroGrep.exe" /spath="%USERPROFILE%\AppData\Local\Temp\OnboardLogs" /stypes="*4029*20160828*" /stext=" 01:.+((SYSTEM_STATE.+slice.+state.+changed )|(ment ac)|(system.+state.+changed )|(\|lc)|(penalty)|(\[timeout)|(PRM\|1\|D)|(kpr)|(kdp))" /e /r /s</v>
      </c>
      <c r="AG137" s="1" t="str">
        <f>IFERROR(IF(VALUE(LEFT(AD137,2))&lt;=2,"EC",IF(OR(VALUE(LEFT(AD137,2))=8,VALUE(LEFT(AD137,2))=18),"NW","Other")),"Other")</f>
        <v>EC</v>
      </c>
      <c r="AH137" s="100" t="str">
        <f t="shared" si="76"/>
        <v>"%USERPROFILE%\Documents\GitHub\eaglep3\Utilities\RefineRTDCRunTimes.py" --tripid 221-27 --locoid 4029 --swversion DE.1.0.7.0 --startMP 204:453 --initTime 2016-08-27T18:54:20 --startdatetime 2016-08-27T19:00:43 --delay 1 --endMP 204:233319 --enddatetime 2016-08-27T19:35:42 --enforcementcount 0 &gt;&gt;C:\Users\stu\Documents\GitHub\eaglep3-reporting\EC\2016-08-27-refined-times.txt</v>
      </c>
      <c r="AI137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{"issue":{"subject":"","project_id":79,"tracker_id":40,"status_id":1,"priority_id":2,"assigned_to_id":23,"start_date":"2016-08-27","description":"","custom_fields":[{"id":1,"name":"Subdivision","value":"EC"},{"id":4,"name":"Milepost","value":"23.2866"},{"id":17,"name":"Train ID","value":"221-27"},{"id":16,"name":"Locomotive ID","value":"4029"},{"id":130,"name":"Impact","value":""},{"id":150,"name":"Time of Event (Mountain Time)","value":"19:35:42"},{"id":151,"name":"Denver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629</v>
      </c>
      <c r="B138" s="7">
        <v>4030</v>
      </c>
      <c r="C138" s="24" t="s">
        <v>113</v>
      </c>
      <c r="D138" s="24" t="s">
        <v>275</v>
      </c>
      <c r="E138" s="15">
        <v>42609.825428240743</v>
      </c>
      <c r="F138" s="15">
        <v>42609.83085648148</v>
      </c>
      <c r="G138" s="7">
        <v>1</v>
      </c>
      <c r="H138" s="15" t="s">
        <v>345</v>
      </c>
      <c r="I138" s="15">
        <v>42609.857025462959</v>
      </c>
      <c r="J138" s="7">
        <v>0</v>
      </c>
      <c r="K138" s="132" t="str">
        <f>IF(ISEVEN(B138),(B138-1)&amp;"/"&amp;B138,B138&amp;"/"&amp;(B138+1))</f>
        <v>4029/4030</v>
      </c>
      <c r="L138" s="24" t="str">
        <f>VLOOKUP(A138,'Trips&amp;Operators'!$C$1:$E$10000,3,FALSE)</f>
        <v>STAMBAUGH</v>
      </c>
      <c r="M138" s="6">
        <f>I138-F138</f>
        <v>2.6168981479713693E-2</v>
      </c>
      <c r="N138" s="7">
        <f>24*60*SUM($M138:$M138)</f>
        <v>37.683333330787718</v>
      </c>
      <c r="O138" s="7"/>
      <c r="P138" s="7"/>
      <c r="Q138" s="25"/>
      <c r="R138" s="25"/>
      <c r="S138" s="37">
        <f>SUM(U138:U138)/IF(AG138="EC",12,1)</f>
        <v>1</v>
      </c>
      <c r="T138" s="52" t="str">
        <f>IF(ISEVEN(LEFT(AD138,4)),"Southbound","NorthBound")</f>
        <v>Southbound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hh:mm:ss")&amp;"-0600',mode:absolute,to:'"&amp;TEXT(I138+1/24,"yyyy-MM-DD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https://search-rtdc-monitor-bjffxe2xuh6vdkpspy63sjmuny.us-east-1.es.amazonaws.com/_plugin/kibana/#/discover/Steve-Slow-Train-Analysis-(2080s-and-2083s)?_g=(refreshInterval:(display:Off,section:0,value:0),time:(from:'2016-08-27 18:48:37-0600',mode:absolute,to:'2016-08-27 21:34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38" s="54" t="str">
        <f>IF(AA138&lt;IF(AG138="EC",23,5.65),"Y","N")</f>
        <v>N</v>
      </c>
      <c r="X138" s="120">
        <f>VALUE(LEFT(AD138,4))-VALUE(LEFT(AD137,4))</f>
        <v>1</v>
      </c>
      <c r="Y138" s="69">
        <f>RIGHT(D138,LEN(D138)-4)/10000</f>
        <v>23.299099999999999</v>
      </c>
      <c r="Z138" s="69">
        <f>RIGHT(H138,LEN(H138)-4)/10000</f>
        <v>1.23E-2</v>
      </c>
      <c r="AA138" s="69">
        <f>ABS(Z138-Y138)</f>
        <v>23.286799999999999</v>
      </c>
      <c r="AB138" s="66" t="e">
        <f>VLOOKUP(A138,Enforcements!$C$7:$J$21,8,0)</f>
        <v>#N/A</v>
      </c>
      <c r="AC138" s="62" t="e">
        <f>VLOOKUP(A138,Enforcements!$C$7:$E$21,3,0)</f>
        <v>#N/A</v>
      </c>
      <c r="AD138" s="63" t="str">
        <f>IF(LEN(A138)=6,"0"&amp;A138,A138)</f>
        <v>0222-27</v>
      </c>
      <c r="AE138" s="99" t="str">
        <f>"aws s3 cp "&amp;s3_bucket&amp;"/RTDC"&amp;B138&amp;"/"&amp;TEXT(F138,"YYYY-MM-DD")&amp;"/ "&amp;search_path&amp;"\RTDC"&amp;B138&amp;"\"&amp;TEXT(F138,"YYYY-MM-DD")&amp;" --recursive &amp; """&amp;walkandungz&amp;""" "&amp;search_path&amp;"\RTDC"&amp;B138&amp;"\"&amp;TEXT(F138,"YYYY-MM-DD")
&amp;" &amp; "&amp;"aws s3 cp "&amp;s3_bucket&amp;"/RTDC"&amp;B138&amp;"/"&amp;TEXT(F138+1,"YYYY-MM-DD")&amp;"/ "&amp;search_path&amp;"\RTDC"&amp;B138&amp;"\"&amp;TEXT(F138+1,"YYYY-MM-DD")&amp;" --recursive &amp; """&amp;walkandungz&amp;""" "&amp;search_path&amp;"\RTDC"&amp;B138&amp;"\"&amp;TEXT(F138+1,"YYYY-MM-DD")</f>
        <v>aws s3 cp s3://rtdc.mdm.uploadarchive/RTDC4030/2016-08-27/ "%USERPROFILE%\AppData\Local\Temp\OnboardLogs"\RTDC4030\2016-08-27 --recursive &amp; "%USERPROFILE%\Documents\GitHub\mrs-test-scripts\Headless Mode &amp; Sideloading\WalkAndUnGZ.bat" "%USERPROFILE%\AppData\Local\Temp\OnboardLogs"\RTDC4030\2016-08-27 &amp; 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</v>
      </c>
      <c r="AF138" s="96" t="str">
        <f>astrogrep_path&amp;" /spath="&amp;search_path&amp;" /stypes=""*"&amp;B138&amp;"*"&amp;TEXT(I138-utc_offset/24,"YYYYMMDD")&amp;"*"" /stext="" "&amp;TEXT(I138-utc_offset/24,"HH")&amp;search_regexp&amp;""" /e /r /s"</f>
        <v>"C:\Program Files (x86)\AstroGrep\AstroGrep.exe" /spath="%USERPROFILE%\AppData\Local\Temp\OnboardLogs" /stypes="*4030*20160828*" /stext=" 02:.+((SYSTEM_STATE.+slice.+state.+changed )|(ment ac)|(system.+state.+changed )|(\|lc)|(penalty)|(\[timeout)|(PRM\|1\|D)|(kpr)|(kdp))" /e /r /s</v>
      </c>
      <c r="AG138" s="1" t="str">
        <f>IFERROR(IF(VALUE(LEFT(AD138,2))&lt;=2,"EC",IF(OR(VALUE(LEFT(AD138,2))=8,VALUE(LEFT(AD138,2))=18),"NW","Other")),"Other")</f>
        <v>EC</v>
      </c>
      <c r="AH138" s="100" t="str">
        <f t="shared" si="76"/>
        <v>"%USERPROFILE%\Documents\GitHub\eaglep3\Utilities\RefineRTDCRunTimes.py" --tripid 222-27 --locoid 4030 --swversion DE.1.0.7.0 --startMP 204:232991 --initTime 2016-08-27T19:48:37 --startdatetime 2016-08-27T19:56:26 --delay 1 --endMP 204:123 --enddatetime 2016-08-27T20:34:07 --enforcementcount 0 &gt;&gt;C:\Users\stu\Documents\GitHub\eaglep3-reporting\EC\2016-08-27-refined-times.txt</v>
      </c>
      <c r="AI138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{"issue":{"subject":"","project_id":79,"tracker_id":40,"status_id":1,"priority_id":2,"assigned_to_id":23,"start_date":"2016-08-27","description":"","custom_fields":[{"id":1,"name":"Subdivision","value":"EC"},{"id":4,"name":"Milepost","value":"23.2868"},{"id":17,"name":"Train ID","value":"222-27"},{"id":16,"name":"Locomotive ID","value":"4030"},{"id":130,"name":"Impact","value":""},{"id":150,"name":"Time of Event (Mountain Time)","value":"20:34:07"},{"id":151,"name":"Denver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630</v>
      </c>
      <c r="B139" s="7">
        <v>4025</v>
      </c>
      <c r="C139" s="24" t="s">
        <v>113</v>
      </c>
      <c r="D139" s="24" t="s">
        <v>135</v>
      </c>
      <c r="E139" s="15">
        <v>42609.807118055556</v>
      </c>
      <c r="F139" s="15">
        <v>42609.812731481485</v>
      </c>
      <c r="G139" s="7">
        <v>1</v>
      </c>
      <c r="H139" s="15" t="s">
        <v>149</v>
      </c>
      <c r="I139" s="15">
        <v>42609.837893518517</v>
      </c>
      <c r="J139" s="7">
        <v>0</v>
      </c>
      <c r="K139" s="132" t="str">
        <f>IF(ISEVEN(B139),(B139-1)&amp;"/"&amp;B139,B139&amp;"/"&amp;(B139+1))</f>
        <v>4025/4026</v>
      </c>
      <c r="L139" s="24" t="str">
        <f>VLOOKUP(A139,'Trips&amp;Operators'!$C$1:$E$10000,3,FALSE)</f>
        <v>HILLS</v>
      </c>
      <c r="M139" s="6">
        <f>I139-F139</f>
        <v>2.5162037032714579E-2</v>
      </c>
      <c r="N139" s="7">
        <f>24*60*SUM($M139:$M139)</f>
        <v>36.233333327108994</v>
      </c>
      <c r="O139" s="7"/>
      <c r="P139" s="7"/>
      <c r="Q139" s="25"/>
      <c r="R139" s="25"/>
      <c r="S139" s="37">
        <f>SUM(U139:U139)/IF(AG139="EC",12,1)</f>
        <v>1</v>
      </c>
      <c r="T139" s="52" t="str">
        <f>IF(ISEVEN(LEFT(AD139,4)),"Southbound","NorthBound")</f>
        <v>NorthBound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hh:mm:ss")&amp;"-0600',mode:absolute,to:'"&amp;TEXT(I139+1/24,"yyyy-MM-DD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https://search-rtdc-monitor-bjffxe2xuh6vdkpspy63sjmuny.us-east-1.es.amazonaws.com/_plugin/kibana/#/discover/Steve-Slow-Train-Analysis-(2080s-and-2083s)?_g=(refreshInterval:(display:Off,section:0,value:0),time:(from:'2016-08-27 18:22:15-0600',mode:absolute,to:'2016-08-27 21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39" s="54" t="str">
        <f>IF(AA139&lt;IF(AG139="EC",23,5.65),"Y","N")</f>
        <v>N</v>
      </c>
      <c r="X139" s="120">
        <f>VALUE(LEFT(AD139,4))-VALUE(LEFT(AD138,4))</f>
        <v>1</v>
      </c>
      <c r="Y139" s="69">
        <f>RIGHT(D139,LEN(D139)-4)/10000</f>
        <v>4.4900000000000002E-2</v>
      </c>
      <c r="Z139" s="69">
        <f>RIGHT(H139,LEN(H139)-4)/10000</f>
        <v>23.33</v>
      </c>
      <c r="AA139" s="69">
        <f>ABS(Z139-Y139)</f>
        <v>23.2851</v>
      </c>
      <c r="AB139" s="66" t="e">
        <f>VLOOKUP(A139,Enforcements!$C$7:$J$21,8,0)</f>
        <v>#N/A</v>
      </c>
      <c r="AC139" s="62" t="e">
        <f>VLOOKUP(A139,Enforcements!$C$7:$E$21,3,0)</f>
        <v>#N/A</v>
      </c>
      <c r="AD139" s="63" t="str">
        <f>IF(LEN(A139)=6,"0"&amp;A139,A139)</f>
        <v>0223-27</v>
      </c>
      <c r="AE139" s="99" t="str">
        <f>"aws s3 cp "&amp;s3_bucket&amp;"/RTDC"&amp;B139&amp;"/"&amp;TEXT(F139,"YYYY-MM-DD")&amp;"/ "&amp;search_path&amp;"\RTDC"&amp;B139&amp;"\"&amp;TEXT(F139,"YYYY-MM-DD")&amp;" --recursive &amp; """&amp;walkandungz&amp;""" "&amp;search_path&amp;"\RTDC"&amp;B139&amp;"\"&amp;TEXT(F139,"YYYY-MM-DD")
&amp;" &amp; "&amp;"aws s3 cp "&amp;s3_bucket&amp;"/RTDC"&amp;B139&amp;"/"&amp;TEXT(F139+1,"YYYY-MM-DD")&amp;"/ "&amp;search_path&amp;"\RTDC"&amp;B139&amp;"\"&amp;TEXT(F139+1,"YYYY-MM-DD")&amp;" --recursive &amp; """&amp;walkandungz&amp;""" "&amp;search_path&amp;"\RTDC"&amp;B139&amp;"\"&amp;TEXT(F139+1,"YYYY-MM-DD")</f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139" s="96" t="str">
        <f>astrogrep_path&amp;" /spath="&amp;search_path&amp;" /stypes=""*"&amp;B139&amp;"*"&amp;TEXT(I139-utc_offset/24,"YYYYMMDD")&amp;"*"" /stext="" "&amp;TEXT(I139-utc_offset/24,"HH")&amp;search_regexp&amp;""" /e /r /s"</f>
        <v>"C:\Program Files (x86)\AstroGrep\AstroGrep.exe" /spath="%USERPROFILE%\AppData\Local\Temp\OnboardLogs" /stypes="*4025*20160828*" /stext=" 02:.+((SYSTEM_STATE.+slice.+state.+changed )|(ment ac)|(system.+state.+changed )|(\|lc)|(penalty)|(\[timeout)|(PRM\|1\|D)|(kpr)|(kdp))" /e /r /s</v>
      </c>
      <c r="AG139" s="1" t="str">
        <f>IFERROR(IF(VALUE(LEFT(AD139,2))&lt;=2,"EC",IF(OR(VALUE(LEFT(AD139,2))=8,VALUE(LEFT(AD139,2))=18),"NW","Other")),"Other")</f>
        <v>EC</v>
      </c>
      <c r="AH139" s="100" t="str">
        <f t="shared" si="76"/>
        <v>"%USERPROFILE%\Documents\GitHub\eaglep3\Utilities\RefineRTDCRunTimes.py" --tripid 223-27 --locoid 4025 --swversion DE.1.0.7.0 --startMP 204:449 --initTime 2016-08-27T19:22:15 --startdatetime 2016-08-27T19:30:20 --delay 1 --endMP 204:233300 --enddatetime 2016-08-27T20:06:34 --enforcementcount 0 &gt;&gt;C:\Users\stu\Documents\GitHub\eaglep3-reporting\EC\2016-08-27-refined-times.txt</v>
      </c>
      <c r="AI139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{"issue":{"subject":"","project_id":79,"tracker_id":40,"status_id":1,"priority_id":2,"assigned_to_id":23,"start_date":"2016-08-27","description":"","custom_fields":[{"id":1,"name":"Subdivision","value":"EC"},{"id":4,"name":"Milepost","value":"23.2851"},{"id":17,"name":"Train ID","value":"223-27"},{"id":16,"name":"Locomotive ID","value":"4025"},{"id":130,"name":"Impact","value":""},{"id":150,"name":"Time of Event (Mountain Time)","value":"20:06:34"},{"id":151,"name":"Denver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631</v>
      </c>
      <c r="B140" s="7">
        <v>4026</v>
      </c>
      <c r="C140" s="24" t="s">
        <v>113</v>
      </c>
      <c r="D140" s="24" t="s">
        <v>347</v>
      </c>
      <c r="E140" s="15">
        <v>42609.839421296296</v>
      </c>
      <c r="F140" s="15">
        <v>42609.851550925923</v>
      </c>
      <c r="G140" s="7">
        <v>1</v>
      </c>
      <c r="H140" s="15" t="s">
        <v>187</v>
      </c>
      <c r="I140" s="15">
        <v>42609.879259259258</v>
      </c>
      <c r="J140" s="7">
        <v>0</v>
      </c>
      <c r="K140" s="132" t="str">
        <f>IF(ISEVEN(B140),(B140-1)&amp;"/"&amp;B140,B140&amp;"/"&amp;(B140+1))</f>
        <v>4025/4026</v>
      </c>
      <c r="L140" s="24" t="str">
        <f>VLOOKUP(A140,'Trips&amp;Operators'!$C$1:$E$10000,3,FALSE)</f>
        <v>HILLS</v>
      </c>
      <c r="M140" s="6">
        <f>I140-F140</f>
        <v>2.7708333334885538E-2</v>
      </c>
      <c r="N140" s="7">
        <f>24*60*SUM($M140:$M140)</f>
        <v>39.900000002235174</v>
      </c>
      <c r="O140" s="7"/>
      <c r="P140" s="7"/>
      <c r="Q140" s="25"/>
      <c r="R140" s="25"/>
      <c r="S140" s="37">
        <f>SUM(U140:U140)/IF(AG140="EC",12,1)</f>
        <v>1</v>
      </c>
      <c r="T140" s="52" t="str">
        <f>IF(ISEVEN(LEFT(AD140,4)),"Southbound","NorthBound")</f>
        <v>Southbound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https://search-rtdc-monitor-bjffxe2xuh6vdkpspy63sjmuny.us-east-1.es.amazonaws.com/_plugin/kibana/#/discover/Steve-Slow-Train-Analysis-(2080s-and-2083s)?_g=(refreshInterval:(display:Off,section:0,value:0),time:(from:'2016-08-27 19:08:46-0600',mode:absolute,to:'2016-08-27 22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40" s="54" t="str">
        <f>IF(AA140&lt;IF(AG140="EC",23,5.65),"Y","N")</f>
        <v>N</v>
      </c>
      <c r="X140" s="120">
        <f>VALUE(LEFT(AD140,4))-VALUE(LEFT(AD139,4))</f>
        <v>1</v>
      </c>
      <c r="Y140" s="69">
        <f>RIGHT(D140,LEN(D140)-4)/10000</f>
        <v>23.298500000000001</v>
      </c>
      <c r="Z140" s="69">
        <f>RIGHT(H140,LEN(H140)-4)/10000</f>
        <v>1.6E-2</v>
      </c>
      <c r="AA140" s="69">
        <f>ABS(Z140-Y140)</f>
        <v>23.282500000000002</v>
      </c>
      <c r="AB140" s="66" t="e">
        <f>VLOOKUP(A140,Enforcements!$C$7:$J$21,8,0)</f>
        <v>#N/A</v>
      </c>
      <c r="AC140" s="62" t="e">
        <f>VLOOKUP(A140,Enforcements!$C$7:$E$21,3,0)</f>
        <v>#N/A</v>
      </c>
      <c r="AD140" s="63" t="str">
        <f>IF(LEN(A140)=6,"0"&amp;A140,A140)</f>
        <v>0224-27</v>
      </c>
      <c r="AE140" s="99" t="str">
        <f>"aws s3 cp "&amp;s3_bucket&amp;"/RTDC"&amp;B140&amp;"/"&amp;TEXT(F140,"YYYY-MM-DD")&amp;"/ "&amp;search_path&amp;"\RTDC"&amp;B140&amp;"\"&amp;TEXT(F140,"YYYY-MM-DD")&amp;" --recursive &amp; """&amp;walkandungz&amp;""" "&amp;search_path&amp;"\RTDC"&amp;B140&amp;"\"&amp;TEXT(F140,"YYYY-MM-DD")
&amp;" &amp; "&amp;"aws s3 cp "&amp;s3_bucket&amp;"/RTDC"&amp;B140&amp;"/"&amp;TEXT(F140+1,"YYYY-MM-DD")&amp;"/ "&amp;search_path&amp;"\RTDC"&amp;B140&amp;"\"&amp;TEXT(F140+1,"YYYY-MM-DD")&amp;" --recursive &amp; """&amp;walkandungz&amp;""" "&amp;search_path&amp;"\RTDC"&amp;B140&amp;"\"&amp;TEXT(F140+1,"YYYY-MM-DD")</f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140" s="96" t="str">
        <f>astrogrep_path&amp;" /spath="&amp;search_path&amp;" /stypes=""*"&amp;B140&amp;"*"&amp;TEXT(I140-utc_offset/24,"YYYYMMDD")&amp;"*"" /stext="" "&amp;TEXT(I140-utc_offset/24,"HH")&amp;search_regexp&amp;""" /e /r /s"</f>
        <v>"C:\Program Files (x86)\AstroGrep\AstroGrep.exe" /spath="%USERPROFILE%\AppData\Local\Temp\OnboardLogs" /stypes="*4026*20160828*" /stext=" 03:.+((SYSTEM_STATE.+slice.+state.+changed )|(ment ac)|(system.+state.+changed )|(\|lc)|(penalty)|(\[timeout)|(PRM\|1\|D)|(kpr)|(kdp))" /e /r /s</v>
      </c>
      <c r="AG140" s="1" t="str">
        <f>IFERROR(IF(VALUE(LEFT(AD140,2))&lt;=2,"EC",IF(OR(VALUE(LEFT(AD140,2))=8,VALUE(LEFT(AD140,2))=18),"NW","Other")),"Other")</f>
        <v>EC</v>
      </c>
      <c r="AH140" s="100" t="str">
        <f t="shared" si="76"/>
        <v>"%USERPROFILE%\Documents\GitHub\eaglep3\Utilities\RefineRTDCRunTimes.py" --tripid 224-27 --locoid 4026 --swversion DE.1.0.7.0 --startMP 204:232985 --initTime 2016-08-27T20:08:46 --startdatetime 2016-08-27T20:26:14 --delay 1 --endMP 204:160 --enddatetime 2016-08-27T21:06:08 --enforcementcount 0 &gt;&gt;C:\Users\stu\Documents\GitHub\eaglep3-reporting\EC\2016-08-27-refined-times.txt</v>
      </c>
      <c r="AI140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{"issue":{"subject":"","project_id":79,"tracker_id":40,"status_id":1,"priority_id":2,"assigned_to_id":23,"start_date":"2016-08-27","description":"","custom_fields":[{"id":1,"name":"Subdivision","value":"EC"},{"id":4,"name":"Milepost","value":"23.2825"},{"id":17,"name":"Train ID","value":"224-27"},{"id":16,"name":"Locomotive ID","value":"4026"},{"id":130,"name":"Impact","value":""},{"id":150,"name":"Time of Event (Mountain Time)","value":"21:06:08"},{"id":151,"name":"Denver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632</v>
      </c>
      <c r="B141" s="7">
        <v>4020</v>
      </c>
      <c r="C141" s="24" t="s">
        <v>113</v>
      </c>
      <c r="D141" s="24" t="s">
        <v>214</v>
      </c>
      <c r="E141" s="15">
        <v>42609.83153935185</v>
      </c>
      <c r="F141" s="15">
        <v>42609.83357638889</v>
      </c>
      <c r="G141" s="7">
        <v>1</v>
      </c>
      <c r="H141" s="15" t="s">
        <v>417</v>
      </c>
      <c r="I141" s="15">
        <v>42609.859143518515</v>
      </c>
      <c r="J141" s="7">
        <v>0</v>
      </c>
      <c r="K141" s="132" t="str">
        <f>IF(ISEVEN(B141),(B141-1)&amp;"/"&amp;B141,B141&amp;"/"&amp;(B141+1))</f>
        <v>4019/4020</v>
      </c>
      <c r="L141" s="24" t="str">
        <f>VLOOKUP(A141,'Trips&amp;Operators'!$C$1:$E$10000,3,FALSE)</f>
        <v>CHANDLER</v>
      </c>
      <c r="M141" s="6">
        <f>I141-F141</f>
        <v>2.5567129625414964E-2</v>
      </c>
      <c r="N141" s="7">
        <f>24*60*SUM($M141:$M141)</f>
        <v>36.816666660597548</v>
      </c>
      <c r="O141" s="7"/>
      <c r="P141" s="7"/>
      <c r="Q141" s="25"/>
      <c r="R141" s="25"/>
      <c r="S141" s="37">
        <f>SUM(U141:U141)/IF(AG141="EC",12,1)</f>
        <v>1</v>
      </c>
      <c r="T141" s="52" t="str">
        <f>IF(ISEVEN(LEFT(AD141,4)),"Southbound","NorthBound")</f>
        <v>NorthBound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https://search-rtdc-monitor-bjffxe2xuh6vdkpspy63sjmuny.us-east-1.es.amazonaws.com/_plugin/kibana/#/discover/Steve-Slow-Train-Analysis-(2080s-and-2083s)?_g=(refreshInterval:(display:Off,section:0,value:0),time:(from:'2016-08-27 18:57:25-0600',mode:absolute,to:'2016-08-27 21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41" s="54" t="str">
        <f>IF(AA141&lt;IF(AG141="EC",23,5.65),"Y","N")</f>
        <v>N</v>
      </c>
      <c r="X141" s="120">
        <f>VALUE(LEFT(AD141,4))-VALUE(LEFT(AD140,4))</f>
        <v>1</v>
      </c>
      <c r="Y141" s="69">
        <f>RIGHT(D141,LEN(D141)-4)/10000</f>
        <v>4.7800000000000002E-2</v>
      </c>
      <c r="Z141" s="69">
        <f>RIGHT(H141,LEN(H141)-4)/10000</f>
        <v>23.329699999999999</v>
      </c>
      <c r="AA141" s="69">
        <f>ABS(Z141-Y141)</f>
        <v>23.2819</v>
      </c>
      <c r="AB141" s="66" t="e">
        <f>VLOOKUP(A141,Enforcements!$C$7:$J$21,8,0)</f>
        <v>#N/A</v>
      </c>
      <c r="AC141" s="62" t="e">
        <f>VLOOKUP(A141,Enforcements!$C$7:$E$21,3,0)</f>
        <v>#N/A</v>
      </c>
      <c r="AD141" s="63" t="str">
        <f>IF(LEN(A141)=6,"0"&amp;A141,A141)</f>
        <v>0225-27</v>
      </c>
      <c r="AE141" s="99" t="str">
        <f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141" s="96" t="str">
        <f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/stypes="*4020*20160828*" /stext=" 02:.+((SYSTEM_STATE.+slice.+state.+changed )|(ment ac)|(system.+state.+changed )|(\|lc)|(penalty)|(\[timeout)|(PRM\|1\|D)|(kpr)|(kdp))" /e /r /s</v>
      </c>
      <c r="AG141" s="1" t="str">
        <f>IFERROR(IF(VALUE(LEFT(AD141,2))&lt;=2,"EC",IF(OR(VALUE(LEFT(AD141,2))=8,VALUE(LEFT(AD141,2))=18),"NW","Other")),"Other")</f>
        <v>EC</v>
      </c>
      <c r="AH141" s="100" t="str">
        <f t="shared" si="76"/>
        <v>"%USERPROFILE%\Documents\GitHub\eaglep3\Utilities\RefineRTDCRunTimes.py" --tripid 225-27 --locoid 4020 --swversion DE.1.0.7.0 --startMP 204:478 --initTime 2016-08-27T19:57:25 --startdatetime 2016-08-27T20:00:21 --delay 1 --endMP 204:233297 --enddatetime 2016-08-27T20:37:10 --enforcementcount 0 &gt;&gt;C:\Users\stu\Documents\GitHub\eaglep3-reporting\EC\2016-08-27-refined-times.txt</v>
      </c>
      <c r="AI141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{"issue":{"subject":"","project_id":79,"tracker_id":40,"status_id":1,"priority_id":2,"assigned_to_id":23,"start_date":"2016-08-27","description":"","custom_fields":[{"id":1,"name":"Subdivision","value":"EC"},{"id":4,"name":"Milepost","value":"23.2819"},{"id":17,"name":"Train ID","value":"225-27"},{"id":16,"name":"Locomotive ID","value":"4020"},{"id":130,"name":"Impact","value":""},{"id":150,"name":"Time of Event (Mountain Time)","value":"20:37:10"},{"id":151,"name":"Denver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633</v>
      </c>
      <c r="B142" s="7">
        <v>4019</v>
      </c>
      <c r="C142" s="24" t="s">
        <v>113</v>
      </c>
      <c r="D142" s="24" t="s">
        <v>353</v>
      </c>
      <c r="E142" s="15">
        <v>42609.86991898148</v>
      </c>
      <c r="F142" s="15">
        <v>42609.87259259259</v>
      </c>
      <c r="G142" s="7">
        <v>1</v>
      </c>
      <c r="H142" s="15" t="s">
        <v>348</v>
      </c>
      <c r="I142" s="15">
        <v>42609.900983796295</v>
      </c>
      <c r="J142" s="7">
        <v>0</v>
      </c>
      <c r="K142" s="132" t="str">
        <f>IF(ISEVEN(B142),(B142-1)&amp;"/"&amp;B142,B142&amp;"/"&amp;(B142+1))</f>
        <v>4019/4020</v>
      </c>
      <c r="L142" s="24" t="str">
        <f>VLOOKUP(A142,'Trips&amp;Operators'!$C$1:$E$10000,3,FALSE)</f>
        <v>CHANDLER</v>
      </c>
      <c r="M142" s="6">
        <f>I142-F142</f>
        <v>2.8391203704813961E-2</v>
      </c>
      <c r="N142" s="7">
        <f>24*60*SUM($M142:$M142)</f>
        <v>40.883333334932104</v>
      </c>
      <c r="O142" s="7"/>
      <c r="P142" s="7"/>
      <c r="Q142" s="25"/>
      <c r="R142" s="25"/>
      <c r="S142" s="37">
        <f>SUM(U142:U142)/IF(AG142="EC",12,1)</f>
        <v>1</v>
      </c>
      <c r="T142" s="52" t="str">
        <f>IF(ISEVEN(LEFT(AD142,4)),"Southbound","NorthBound")</f>
        <v>Southbound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hh:mm:ss")&amp;"-0600',mode:absolute,to:'"&amp;TEXT(I142+1/24,"yyyy-MM-DD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https://search-rtdc-monitor-bjffxe2xuh6vdkpspy63sjmuny.us-east-1.es.amazonaws.com/_plugin/kibana/#/discover/Steve-Slow-Train-Analysis-(2080s-and-2083s)?_g=(refreshInterval:(display:Off,section:0,value:0),time:(from:'2016-08-27 19:52:41-0600',mode:absolute,to:'2016-08-27 22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42" s="54" t="str">
        <f>IF(AA142&lt;IF(AG142="EC",23,5.65),"Y","N")</f>
        <v>N</v>
      </c>
      <c r="X142" s="120">
        <f>VALUE(LEFT(AD142,4))-VALUE(LEFT(AD141,4))</f>
        <v>1</v>
      </c>
      <c r="Y142" s="69">
        <f>RIGHT(D142,LEN(D142)-4)/10000</f>
        <v>23.2974</v>
      </c>
      <c r="Z142" s="69">
        <f>RIGHT(H142,LEN(H142)-4)/10000</f>
        <v>1.7399999999999999E-2</v>
      </c>
      <c r="AA142" s="69">
        <f>ABS(Z142-Y142)</f>
        <v>23.28</v>
      </c>
      <c r="AB142" s="66" t="e">
        <f>VLOOKUP(A142,Enforcements!$C$7:$J$21,8,0)</f>
        <v>#N/A</v>
      </c>
      <c r="AC142" s="62" t="e">
        <f>VLOOKUP(A142,Enforcements!$C$7:$E$21,3,0)</f>
        <v>#N/A</v>
      </c>
      <c r="AD142" s="63" t="str">
        <f>IF(LEN(A142)=6,"0"&amp;A142,A142)</f>
        <v>0226-27</v>
      </c>
      <c r="AE142" s="99" t="str">
        <f>"aws s3 cp "&amp;s3_bucket&amp;"/RTDC"&amp;B142&amp;"/"&amp;TEXT(F142,"YYYY-MM-DD")&amp;"/ "&amp;search_path&amp;"\RTDC"&amp;B142&amp;"\"&amp;TEXT(F142,"YYYY-MM-DD")&amp;" --recursive &amp; """&amp;walkandungz&amp;""" "&amp;search_path&amp;"\RTDC"&amp;B142&amp;"\"&amp;TEXT(F142,"YYYY-MM-DD")
&amp;" &amp; "&amp;"aws s3 cp "&amp;s3_bucket&amp;"/RTDC"&amp;B142&amp;"/"&amp;TEXT(F142+1,"YYYY-MM-DD")&amp;"/ "&amp;search_path&amp;"\RTDC"&amp;B142&amp;"\"&amp;TEXT(F142+1,"YYYY-MM-DD")&amp;" --recursive &amp; """&amp;walkandungz&amp;""" "&amp;search_path&amp;"\RTDC"&amp;B142&amp;"\"&amp;TEXT(F142+1,"YYYY-MM-DD")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142" s="96" t="str">
        <f>astrogrep_path&amp;" /spath="&amp;search_path&amp;" /stypes=""*"&amp;B142&amp;"*"&amp;TEXT(I142-utc_offset/24,"YYYYMMDD")&amp;"*"" /stext="" "&amp;TEXT(I142-utc_offset/24,"HH")&amp;search_regexp&amp;""" /e /r /s"</f>
        <v>"C:\Program Files (x86)\AstroGrep\AstroGrep.exe" /spath="%USERPROFILE%\AppData\Local\Temp\OnboardLogs" /stypes="*4019*20160828*" /stext=" 03:.+((SYSTEM_STATE.+slice.+state.+changed )|(ment ac)|(system.+state.+changed )|(\|lc)|(penalty)|(\[timeout)|(PRM\|1\|D)|(kpr)|(kdp))" /e /r /s</v>
      </c>
      <c r="AG142" s="1" t="str">
        <f>IFERROR(IF(VALUE(LEFT(AD142,2))&lt;=2,"EC",IF(OR(VALUE(LEFT(AD142,2))=8,VALUE(LEFT(AD142,2))=18),"NW","Other")),"Other")</f>
        <v>EC</v>
      </c>
      <c r="AH142" s="100" t="str">
        <f t="shared" si="76"/>
        <v>"%USERPROFILE%\Documents\GitHub\eaglep3\Utilities\RefineRTDCRunTimes.py" --tripid 226-27 --locoid 4019 --swversion DE.1.0.7.0 --startMP 204:232974 --initTime 2016-08-27T20:52:41 --startdatetime 2016-08-27T20:56:32 --delay 1 --endMP 204:174 --enddatetime 2016-08-27T21:37:25 --enforcementcount 0 &gt;&gt;C:\Users\stu\Documents\GitHub\eaglep3-reporting\EC\2016-08-27-refined-times.txt</v>
      </c>
      <c r="AI142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{"issue":{"subject":"","project_id":79,"tracker_id":40,"status_id":1,"priority_id":2,"assigned_to_id":23,"start_date":"2016-08-27","description":"","custom_fields":[{"id":1,"name":"Subdivision","value":"EC"},{"id":4,"name":"Milepost","value":"23.28"},{"id":17,"name":"Train ID","value":"226-27"},{"id":16,"name":"Locomotive ID","value":"4019"},{"id":130,"name":"Impact","value":""},{"id":150,"name":"Time of Event (Mountain Time)","value":"21:37:25"},{"id":151,"name":"Denver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634</v>
      </c>
      <c r="B143" s="7">
        <v>4031</v>
      </c>
      <c r="C143" s="24" t="s">
        <v>113</v>
      </c>
      <c r="D143" s="24" t="s">
        <v>603</v>
      </c>
      <c r="E143" s="15">
        <v>42609.848807870374</v>
      </c>
      <c r="F143" s="15">
        <v>42609.854409722226</v>
      </c>
      <c r="G143" s="7">
        <v>6</v>
      </c>
      <c r="H143" s="15" t="s">
        <v>278</v>
      </c>
      <c r="I143" s="15">
        <v>42609.88013888889</v>
      </c>
      <c r="J143" s="7">
        <v>0</v>
      </c>
      <c r="K143" s="132" t="str">
        <f>IF(ISEVEN(B143),(B143-1)&amp;"/"&amp;B143,B143&amp;"/"&amp;(B143+1))</f>
        <v>4031/4032</v>
      </c>
      <c r="L143" s="24" t="str">
        <f>VLOOKUP(A143,'Trips&amp;Operators'!$C$1:$E$10000,3,FALSE)</f>
        <v>STURGEON</v>
      </c>
      <c r="M143" s="6">
        <f>I143-F143</f>
        <v>2.5729166663950309E-2</v>
      </c>
      <c r="N143" s="7">
        <f>24*60*SUM($M143:$M143)</f>
        <v>37.049999996088445</v>
      </c>
      <c r="O143" s="7"/>
      <c r="P143" s="7"/>
      <c r="Q143" s="25"/>
      <c r="R143" s="25"/>
      <c r="S143" s="37">
        <f>SUM(U143:U143)/IF(AG143="EC",12,1)</f>
        <v>1</v>
      </c>
      <c r="T143" s="52" t="str">
        <f>IF(ISEVEN(LEFT(AD143,4)),"Southbound","NorthBound")</f>
        <v>NorthBound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hh:mm:ss")&amp;"-0600',mode:absolute,to:'"&amp;TEXT(I143+1/24,"yyyy-MM-DD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https://search-rtdc-monitor-bjffxe2xuh6vdkpspy63sjmuny.us-east-1.es.amazonaws.com/_plugin/kibana/#/discover/Steve-Slow-Train-Analysis-(2080s-and-2083s)?_g=(refreshInterval:(display:Off,section:0,value:0),time:(from:'2016-08-27 19:22:17-0600',mode:absolute,to:'2016-08-27 22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43" s="54" t="str">
        <f>IF(AA143&lt;IF(AG143="EC",23,5.65),"Y","N")</f>
        <v>N</v>
      </c>
      <c r="X143" s="120">
        <f>VALUE(LEFT(AD143,4))-VALUE(LEFT(AD142,4))</f>
        <v>1</v>
      </c>
      <c r="Y143" s="69">
        <f>RIGHT(D143,LEN(D143)-4)/10000</f>
        <v>4.7699999999999999E-2</v>
      </c>
      <c r="Z143" s="69">
        <f>RIGHT(H143,LEN(H143)-4)/10000</f>
        <v>23.328199999999999</v>
      </c>
      <c r="AA143" s="69">
        <f>ABS(Z143-Y143)</f>
        <v>23.2805</v>
      </c>
      <c r="AB143" s="66" t="e">
        <f>VLOOKUP(A143,Enforcements!$C$7:$J$21,8,0)</f>
        <v>#N/A</v>
      </c>
      <c r="AC143" s="62" t="e">
        <f>VLOOKUP(A143,Enforcements!$C$7:$E$21,3,0)</f>
        <v>#N/A</v>
      </c>
      <c r="AD143" s="63" t="str">
        <f>IF(LEN(A143)=6,"0"&amp;A143,A143)</f>
        <v>0227-27</v>
      </c>
      <c r="AE143" s="99" t="str">
        <f>"aws s3 cp "&amp;s3_bucket&amp;"/RTDC"&amp;B143&amp;"/"&amp;TEXT(F143,"YYYY-MM-DD")&amp;"/ "&amp;search_path&amp;"\RTDC"&amp;B143&amp;"\"&amp;TEXT(F143,"YYYY-MM-DD")&amp;" --recursive &amp; """&amp;walkandungz&amp;""" "&amp;search_path&amp;"\RTDC"&amp;B143&amp;"\"&amp;TEXT(F143,"YYYY-MM-DD")
&amp;" &amp; "&amp;"aws s3 cp "&amp;s3_bucket&amp;"/RTDC"&amp;B143&amp;"/"&amp;TEXT(F143+1,"YYYY-MM-DD")&amp;"/ "&amp;search_path&amp;"\RTDC"&amp;B143&amp;"\"&amp;TEXT(F143+1,"YYYY-MM-DD")&amp;" --recursive &amp; """&amp;walkandungz&amp;""" "&amp;search_path&amp;"\RTDC"&amp;B143&amp;"\"&amp;TEXT(F143+1,"YYYY-MM-DD")</f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143" s="96" t="str">
        <f>astrogrep_path&amp;" /spath="&amp;search_path&amp;" /stypes=""*"&amp;B143&amp;"*"&amp;TEXT(I143-utc_offset/24,"YYYYMMDD")&amp;"*"" /stext="" "&amp;TEXT(I143-utc_offset/24,"HH")&amp;search_regexp&amp;""" /e /r /s"</f>
        <v>"C:\Program Files (x86)\AstroGrep\AstroGrep.exe" /spath="%USERPROFILE%\AppData\Local\Temp\OnboardLogs" /stypes="*4031*20160828*" /stext=" 03:.+((SYSTEM_STATE.+slice.+state.+changed )|(ment ac)|(system.+state.+changed )|(\|lc)|(penalty)|(\[timeout)|(PRM\|1\|D)|(kpr)|(kdp))" /e /r /s</v>
      </c>
      <c r="AG143" s="1" t="str">
        <f>IFERROR(IF(VALUE(LEFT(AD143,2))&lt;=2,"EC",IF(OR(VALUE(LEFT(AD143,2))=8,VALUE(LEFT(AD143,2))=18),"NW","Other")),"Other")</f>
        <v>EC</v>
      </c>
      <c r="AH143" s="100" t="str">
        <f t="shared" si="76"/>
        <v>"%USERPROFILE%\Documents\GitHub\eaglep3\Utilities\RefineRTDCRunTimes.py" --tripid 227-27 --locoid 4031 --swversion DE.1.0.7.0 --startMP 204:477 --initTime 2016-08-27T20:22:17 --startdatetime 2016-08-27T20:30:21 --delay 6 --endMP 204:233282 --enddatetime 2016-08-27T21:07:24 --enforcementcount 0 &gt;&gt;C:\Users\stu\Documents\GitHub\eaglep3-reporting\EC\2016-08-27-refined-times.txt</v>
      </c>
      <c r="AI143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{"issue":{"subject":"","project_id":79,"tracker_id":40,"status_id":1,"priority_id":2,"assigned_to_id":23,"start_date":"2016-08-27","description":"","custom_fields":[{"id":1,"name":"Subdivision","value":"EC"},{"id":4,"name":"Milepost","value":"23.2805"},{"id":17,"name":"Train ID","value":"227-27"},{"id":16,"name":"Locomotive ID","value":"4031"},{"id":130,"name":"Impact","value":""},{"id":150,"name":"Time of Event (Mountain Time)","value":"21:07:24"},{"id":151,"name":"Denver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635</v>
      </c>
      <c r="B144" s="7">
        <v>4032</v>
      </c>
      <c r="C144" s="24" t="s">
        <v>113</v>
      </c>
      <c r="D144" s="24" t="s">
        <v>636</v>
      </c>
      <c r="E144" s="15">
        <v>42609.887164351851</v>
      </c>
      <c r="F144" s="15">
        <v>42609.893379629626</v>
      </c>
      <c r="G144" s="7">
        <v>1</v>
      </c>
      <c r="H144" s="15" t="s">
        <v>354</v>
      </c>
      <c r="I144" s="15">
        <v>42609.921319444446</v>
      </c>
      <c r="J144" s="7">
        <v>0</v>
      </c>
      <c r="K144" s="132" t="str">
        <f>IF(ISEVEN(B144),(B144-1)&amp;"/"&amp;B144,B144&amp;"/"&amp;(B144+1))</f>
        <v>4031/4032</v>
      </c>
      <c r="L144" s="24" t="str">
        <f>VLOOKUP(A144,'Trips&amp;Operators'!$C$1:$E$10000,3,FALSE)</f>
        <v>STURGEON</v>
      </c>
      <c r="M144" s="6">
        <f>I144-F144</f>
        <v>2.7939814819546882E-2</v>
      </c>
      <c r="N144" s="7">
        <f>24*60*SUM($M144:$M144)</f>
        <v>40.23333334014751</v>
      </c>
      <c r="O144" s="7"/>
      <c r="P144" s="7"/>
      <c r="Q144" s="25"/>
      <c r="R144" s="25"/>
      <c r="S144" s="37">
        <f>SUM(U144:U144)/IF(AG144="EC",12,1)</f>
        <v>1</v>
      </c>
      <c r="T144" s="52" t="str">
        <f>IF(ISEVEN(LEFT(AD144,4)),"Southbound","NorthBound")</f>
        <v>Southbound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https://search-rtdc-monitor-bjffxe2xuh6vdkpspy63sjmuny.us-east-1.es.amazonaws.com/_plugin/kibana/#/discover/Steve-Slow-Train-Analysis-(2080s-and-2083s)?_g=(refreshInterval:(display:Off,section:0,value:0),time:(from:'2016-08-27 20:17:31-0600',mode:absolute,to:'2016-08-27 23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44" s="54" t="str">
        <f>IF(AA144&lt;IF(AG144="EC",23,5.65),"Y","N")</f>
        <v>N</v>
      </c>
      <c r="X144" s="120">
        <f>VALUE(LEFT(AD144,4))-VALUE(LEFT(AD143,4))</f>
        <v>1</v>
      </c>
      <c r="Y144" s="69">
        <f>RIGHT(D144,LEN(D144)-4)/10000</f>
        <v>23.2957</v>
      </c>
      <c r="Z144" s="69">
        <f>RIGHT(H144,LEN(H144)-4)/10000</f>
        <v>1.72E-2</v>
      </c>
      <c r="AA144" s="69">
        <f>ABS(Z144-Y144)</f>
        <v>23.278500000000001</v>
      </c>
      <c r="AB144" s="66" t="e">
        <f>VLOOKUP(A144,Enforcements!$C$7:$J$21,8,0)</f>
        <v>#N/A</v>
      </c>
      <c r="AC144" s="62" t="e">
        <f>VLOOKUP(A144,Enforcements!$C$7:$E$21,3,0)</f>
        <v>#N/A</v>
      </c>
      <c r="AD144" s="63" t="str">
        <f>IF(LEN(A144)=6,"0"&amp;A144,A144)</f>
        <v>0228-27</v>
      </c>
      <c r="AE144" s="99" t="str">
        <f>"aws s3 cp "&amp;s3_bucket&amp;"/RTDC"&amp;B144&amp;"/"&amp;TEXT(F144,"YYYY-MM-DD")&amp;"/ "&amp;search_path&amp;"\RTDC"&amp;B144&amp;"\"&amp;TEXT(F144,"YYYY-MM-DD")&amp;" --recursive &amp; """&amp;walkandungz&amp;""" "&amp;search_path&amp;"\RTDC"&amp;B144&amp;"\"&amp;TEXT(F144,"YYYY-MM-DD")
&amp;" &amp; "&amp;"aws s3 cp "&amp;s3_bucket&amp;"/RTDC"&amp;B144&amp;"/"&amp;TEXT(F144+1,"YYYY-MM-DD")&amp;"/ "&amp;search_path&amp;"\RTDC"&amp;B144&amp;"\"&amp;TEXT(F144+1,"YYYY-MM-DD")&amp;" --recursive &amp; """&amp;walkandungz&amp;""" "&amp;search_path&amp;"\RTDC"&amp;B144&amp;"\"&amp;TEXT(F144+1,"YYYY-MM-DD")</f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144" s="96" t="str">
        <f>astrogrep_path&amp;" /spath="&amp;search_path&amp;" /stypes=""*"&amp;B144&amp;"*"&amp;TEXT(I144-utc_offset/24,"YYYYMMDD")&amp;"*"" /stext="" "&amp;TEXT(I144-utc_offset/24,"HH")&amp;search_regexp&amp;""" /e /r /s"</f>
        <v>"C:\Program Files (x86)\AstroGrep\AstroGrep.exe" /spath="%USERPROFILE%\AppData\Local\Temp\OnboardLogs" /stypes="*4032*20160828*" /stext=" 04:.+((SYSTEM_STATE.+slice.+state.+changed )|(ment ac)|(system.+state.+changed )|(\|lc)|(penalty)|(\[timeout)|(PRM\|1\|D)|(kpr)|(kdp))" /e /r /s</v>
      </c>
      <c r="AG144" s="1" t="str">
        <f>IFERROR(IF(VALUE(LEFT(AD144,2))&lt;=2,"EC",IF(OR(VALUE(LEFT(AD144,2))=8,VALUE(LEFT(AD144,2))=18),"NW","Other")),"Other")</f>
        <v>EC</v>
      </c>
      <c r="AH144" s="100" t="str">
        <f t="shared" si="76"/>
        <v>"%USERPROFILE%\Documents\GitHub\eaglep3\Utilities\RefineRTDCRunTimes.py" --tripid 228-27 --locoid 4032 --swversion DE.1.0.7.0 --startMP 204:232957 --initTime 2016-08-27T21:17:31 --startdatetime 2016-08-27T21:26:28 --delay 1 --endMP 204:172 --enddatetime 2016-08-27T22:06:42 --enforcementcount 0 &gt;&gt;C:\Users\stu\Documents\GitHub\eaglep3-reporting\EC\2016-08-27-refined-times.txt</v>
      </c>
      <c r="AI144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{"issue":{"subject":"","project_id":79,"tracker_id":40,"status_id":1,"priority_id":2,"assigned_to_id":23,"start_date":"2016-08-27","description":"","custom_fields":[{"id":1,"name":"Subdivision","value":"EC"},{"id":4,"name":"Milepost","value":"23.2785"},{"id":17,"name":"Train ID","value":"228-27"},{"id":16,"name":"Locomotive ID","value":"4032"},{"id":130,"name":"Impact","value":""},{"id":150,"name":"Time of Event (Mountain Time)","value":"22:06:42"},{"id":151,"name":"Denver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637</v>
      </c>
      <c r="B145" s="7">
        <v>4029</v>
      </c>
      <c r="C145" s="24" t="s">
        <v>113</v>
      </c>
      <c r="D145" s="24" t="s">
        <v>198</v>
      </c>
      <c r="E145" s="15">
        <v>42609.868645833332</v>
      </c>
      <c r="F145" s="15">
        <v>42609.875324074077</v>
      </c>
      <c r="G145" s="7">
        <v>1</v>
      </c>
      <c r="H145" s="15" t="s">
        <v>260</v>
      </c>
      <c r="I145" s="15">
        <v>42609.899756944447</v>
      </c>
      <c r="J145" s="7">
        <v>0</v>
      </c>
      <c r="K145" s="132" t="str">
        <f>IF(ISEVEN(B145),(B145-1)&amp;"/"&amp;B145,B145&amp;"/"&amp;(B145+1))</f>
        <v>4029/4030</v>
      </c>
      <c r="L145" s="24" t="str">
        <f>VLOOKUP(A145,'Trips&amp;Operators'!$C$1:$E$10000,3,FALSE)</f>
        <v>STAMBAUGH</v>
      </c>
      <c r="M145" s="6">
        <f>I145-F145</f>
        <v>2.4432870370219462E-2</v>
      </c>
      <c r="N145" s="7">
        <f>24*60*SUM($M145:$M145)</f>
        <v>35.183333333116025</v>
      </c>
      <c r="O145" s="7"/>
      <c r="P145" s="7"/>
      <c r="Q145" s="25"/>
      <c r="R145" s="25"/>
      <c r="S145" s="37">
        <f>SUM(U145:U145)/IF(AG145="EC",12,1)</f>
        <v>1</v>
      </c>
      <c r="T145" s="52" t="str">
        <f>IF(ISEVEN(LEFT(AD145,4)),"Southbound","NorthBound")</f>
        <v>NorthBound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hh:mm:ss")&amp;"-0600',mode:absolute,to:'"&amp;TEXT(I145+1/24,"yyyy-MM-DD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https://search-rtdc-monitor-bjffxe2xuh6vdkpspy63sjmuny.us-east-1.es.amazonaws.com/_plugin/kibana/#/discover/Steve-Slow-Train-Analysis-(2080s-and-2083s)?_g=(refreshInterval:(display:Off,section:0,value:0),time:(from:'2016-08-27 19:50:51-0600',mode:absolute,to:'2016-08-27 22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45" s="54" t="str">
        <f>IF(AA145&lt;IF(AG145="EC",23,5.65),"Y","N")</f>
        <v>N</v>
      </c>
      <c r="X145" s="120">
        <f>VALUE(LEFT(AD145,4))-VALUE(LEFT(AD144,4))</f>
        <v>1</v>
      </c>
      <c r="Y145" s="69">
        <f>RIGHT(D145,LEN(D145)-4)/10000</f>
        <v>4.3499999999999997E-2</v>
      </c>
      <c r="Z145" s="69">
        <f>RIGHT(H145,LEN(H145)-4)/10000</f>
        <v>23.333200000000001</v>
      </c>
      <c r="AA145" s="69">
        <f>ABS(Z145-Y145)</f>
        <v>23.2897</v>
      </c>
      <c r="AB145" s="66" t="e">
        <f>VLOOKUP(A145,Enforcements!$C$7:$J$21,8,0)</f>
        <v>#N/A</v>
      </c>
      <c r="AC145" s="62" t="e">
        <f>VLOOKUP(A145,Enforcements!$C$7:$E$21,3,0)</f>
        <v>#N/A</v>
      </c>
      <c r="AD145" s="63" t="str">
        <f>IF(LEN(A145)=6,"0"&amp;A145,A145)</f>
        <v>0229-27</v>
      </c>
      <c r="AE145" s="99" t="str">
        <f>"aws s3 cp "&amp;s3_bucket&amp;"/RTDC"&amp;B145&amp;"/"&amp;TEXT(F145,"YYYY-MM-DD")&amp;"/ "&amp;search_path&amp;"\RTDC"&amp;B145&amp;"\"&amp;TEXT(F145,"YYYY-MM-DD")&amp;" --recursive &amp; """&amp;walkandungz&amp;""" "&amp;search_path&amp;"\RTDC"&amp;B145&amp;"\"&amp;TEXT(F145,"YYYY-MM-DD")
&amp;" &amp; "&amp;"aws s3 cp "&amp;s3_bucket&amp;"/RTDC"&amp;B145&amp;"/"&amp;TEXT(F145+1,"YYYY-MM-DD")&amp;"/ "&amp;search_path&amp;"\RTDC"&amp;B145&amp;"\"&amp;TEXT(F145+1,"YYYY-MM-DD")&amp;" --recursive &amp; """&amp;walkandungz&amp;""" "&amp;search_path&amp;"\RTDC"&amp;B145&amp;"\"&amp;TEXT(F145+1,"YYYY-MM-DD")</f>
        <v>aws s3 cp s3://rtdc.mdm.uploadarchive/RTDC4029/2016-08-27/ "%USERPROFILE%\AppData\Local\Temp\OnboardLogs"\RTDC4029\2016-08-27 --recursive &amp; "%USERPROFILE%\Documents\GitHub\mrs-test-scripts\Headless Mode &amp; Sideloading\WalkAndUnGZ.bat" "%USERPROFILE%\AppData\Local\Temp\OnboardLogs"\RTDC4029\2016-08-27 &amp; aws s3 cp s3://rtdc.mdm.uploadarchive/RTDC4029/2016-08-28/ "%USERPROFILE%\AppData\Local\Temp\OnboardLogs"\RTDC4029\2016-08-28 --recursive &amp; "%USERPROFILE%\Documents\GitHub\mrs-test-scripts\Headless Mode &amp; Sideloading\WalkAndUnGZ.bat" "%USERPROFILE%\AppData\Local\Temp\OnboardLogs"\RTDC4029\2016-08-28</v>
      </c>
      <c r="AF145" s="96" t="str">
        <f>astrogrep_path&amp;" /spath="&amp;search_path&amp;" /stypes=""*"&amp;B145&amp;"*"&amp;TEXT(I145-utc_offset/24,"YYYYMMDD")&amp;"*"" /stext="" "&amp;TEXT(I145-utc_offset/24,"HH")&amp;search_regexp&amp;""" /e /r /s"</f>
        <v>"C:\Program Files (x86)\AstroGrep\AstroGrep.exe" /spath="%USERPROFILE%\AppData\Local\Temp\OnboardLogs" /stypes="*4029*20160828*" /stext=" 03:.+((SYSTEM_STATE.+slice.+state.+changed )|(ment ac)|(system.+state.+changed )|(\|lc)|(penalty)|(\[timeout)|(PRM\|1\|D)|(kpr)|(kdp))" /e /r /s</v>
      </c>
      <c r="AG145" s="1" t="str">
        <f>IFERROR(IF(VALUE(LEFT(AD145,2))&lt;=2,"EC",IF(OR(VALUE(LEFT(AD145,2))=8,VALUE(LEFT(AD145,2))=18),"NW","Other")),"Other")</f>
        <v>EC</v>
      </c>
      <c r="AH145" s="100" t="str">
        <f t="shared" si="76"/>
        <v>"%USERPROFILE%\Documents\GitHub\eaglep3\Utilities\RefineRTDCRunTimes.py" --tripid 229-27 --locoid 4029 --swversion DE.1.0.7.0 --startMP 204:435 --initTime 2016-08-27T20:50:51 --startdatetime 2016-08-27T21:00:28 --delay 1 --endMP 204:233332 --enddatetime 2016-08-27T21:35:39 --enforcementcount 0 &gt;&gt;C:\Users\stu\Documents\GitHub\eaglep3-reporting\EC\2016-08-27-refined-times.txt</v>
      </c>
      <c r="AI145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{"issue":{"subject":"","project_id":79,"tracker_id":40,"status_id":1,"priority_id":2,"assigned_to_id":23,"start_date":"2016-08-27","description":"","custom_fields":[{"id":1,"name":"Subdivision","value":"EC"},{"id":4,"name":"Milepost","value":"23.2897"},{"id":17,"name":"Train ID","value":"229-27"},{"id":16,"name":"Locomotive ID","value":"4029"},{"id":130,"name":"Impact","value":""},{"id":150,"name":"Time of Event (Mountain Time)","value":"21:35:39"},{"id":151,"name":"Denver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638</v>
      </c>
      <c r="B146" s="7">
        <v>4030</v>
      </c>
      <c r="C146" s="24" t="s">
        <v>113</v>
      </c>
      <c r="D146" s="24" t="s">
        <v>639</v>
      </c>
      <c r="E146" s="15">
        <v>42609.903993055559</v>
      </c>
      <c r="F146" s="15">
        <v>42609.914247685185</v>
      </c>
      <c r="G146" s="7">
        <v>1</v>
      </c>
      <c r="H146" s="15" t="s">
        <v>207</v>
      </c>
      <c r="I146" s="15">
        <v>42609.940266203703</v>
      </c>
      <c r="J146" s="7">
        <v>0</v>
      </c>
      <c r="K146" s="132" t="str">
        <f>IF(ISEVEN(B146),(B146-1)&amp;"/"&amp;B146,B146&amp;"/"&amp;(B146+1))</f>
        <v>4029/4030</v>
      </c>
      <c r="L146" s="24" t="str">
        <f>VLOOKUP(A146,'Trips&amp;Operators'!$C$1:$E$10000,3,FALSE)</f>
        <v>STAMBAUGH</v>
      </c>
      <c r="M146" s="6">
        <f>I146-F146</f>
        <v>2.6018518517958E-2</v>
      </c>
      <c r="N146" s="7">
        <f>24*60*SUM($M146:$M146)</f>
        <v>37.46666666585952</v>
      </c>
      <c r="O146" s="7"/>
      <c r="P146" s="7"/>
      <c r="Q146" s="25"/>
      <c r="R146" s="25"/>
      <c r="S146" s="37">
        <f>SUM(U146:U146)/IF(AG146="EC",12,1)</f>
        <v>1</v>
      </c>
      <c r="T146" s="52" t="str">
        <f>IF(ISEVEN(LEFT(AD146,4)),"Southbound","NorthBound")</f>
        <v>Southbound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hh:mm:ss")&amp;"-0600',mode:absolute,to:'"&amp;TEXT(I146+1/24,"yyyy-MM-DD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https://search-rtdc-monitor-bjffxe2xuh6vdkpspy63sjmuny.us-east-1.es.amazonaws.com/_plugin/kibana/#/discover/Steve-Slow-Train-Analysis-(2080s-and-2083s)?_g=(refreshInterval:(display:Off,section:0,value:0),time:(from:'2016-08-27 20:41:45-0600',mode:absolute,to:'2016-08-27 23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46" s="54" t="str">
        <f>IF(AA146&lt;IF(AG146="EC",23,5.65),"Y","N")</f>
        <v>N</v>
      </c>
      <c r="X146" s="120">
        <f>VALUE(LEFT(AD146,4))-VALUE(LEFT(AD145,4))</f>
        <v>1</v>
      </c>
      <c r="Y146" s="69">
        <f>RIGHT(D146,LEN(D146)-4)/10000</f>
        <v>23.303000000000001</v>
      </c>
      <c r="Z146" s="69">
        <f>RIGHT(H146,LEN(H146)-4)/10000</f>
        <v>1.38E-2</v>
      </c>
      <c r="AA146" s="69">
        <f>ABS(Z146-Y146)</f>
        <v>23.289200000000001</v>
      </c>
      <c r="AB146" s="66" t="e">
        <f>VLOOKUP(A146,Enforcements!$C$7:$J$21,8,0)</f>
        <v>#N/A</v>
      </c>
      <c r="AC146" s="62" t="e">
        <f>VLOOKUP(A146,Enforcements!$C$7:$E$21,3,0)</f>
        <v>#N/A</v>
      </c>
      <c r="AD146" s="63" t="str">
        <f>IF(LEN(A146)=6,"0"&amp;A146,A146)</f>
        <v>0230-27</v>
      </c>
      <c r="AE146" s="99" t="str">
        <f>"aws s3 cp "&amp;s3_bucket&amp;"/RTDC"&amp;B146&amp;"/"&amp;TEXT(F146,"YYYY-MM-DD")&amp;"/ "&amp;search_path&amp;"\RTDC"&amp;B146&amp;"\"&amp;TEXT(F146,"YYYY-MM-DD")&amp;" --recursive &amp; """&amp;walkandungz&amp;""" "&amp;search_path&amp;"\RTDC"&amp;B146&amp;"\"&amp;TEXT(F146,"YYYY-MM-DD")
&amp;" &amp; "&amp;"aws s3 cp "&amp;s3_bucket&amp;"/RTDC"&amp;B146&amp;"/"&amp;TEXT(F146+1,"YYYY-MM-DD")&amp;"/ "&amp;search_path&amp;"\RTDC"&amp;B146&amp;"\"&amp;TEXT(F146+1,"YYYY-MM-DD")&amp;" --recursive &amp; """&amp;walkandungz&amp;""" "&amp;search_path&amp;"\RTDC"&amp;B146&amp;"\"&amp;TEXT(F146+1,"YYYY-MM-DD")</f>
        <v>aws s3 cp s3://rtdc.mdm.uploadarchive/RTDC4030/2016-08-27/ "%USERPROFILE%\AppData\Local\Temp\OnboardLogs"\RTDC4030\2016-08-27 --recursive &amp; "%USERPROFILE%\Documents\GitHub\mrs-test-scripts\Headless Mode &amp; Sideloading\WalkAndUnGZ.bat" "%USERPROFILE%\AppData\Local\Temp\OnboardLogs"\RTDC4030\2016-08-27 &amp; 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</v>
      </c>
      <c r="AF146" s="96" t="str">
        <f>astrogrep_path&amp;" /spath="&amp;search_path&amp;" /stypes=""*"&amp;B146&amp;"*"&amp;TEXT(I146-utc_offset/24,"YYYYMMDD")&amp;"*"" /stext="" "&amp;TEXT(I146-utc_offset/24,"HH")&amp;search_regexp&amp;""" /e /r /s"</f>
        <v>"C:\Program Files (x86)\AstroGrep\AstroGrep.exe" /spath="%USERPROFILE%\AppData\Local\Temp\OnboardLogs" /stypes="*4030*20160828*" /stext=" 04:.+((SYSTEM_STATE.+slice.+state.+changed )|(ment ac)|(system.+state.+changed )|(\|lc)|(penalty)|(\[timeout)|(PRM\|1\|D)|(kpr)|(kdp))" /e /r /s</v>
      </c>
      <c r="AG146" s="1" t="str">
        <f>IFERROR(IF(VALUE(LEFT(AD146,2))&lt;=2,"EC",IF(OR(VALUE(LEFT(AD146,2))=8,VALUE(LEFT(AD146,2))=18),"NW","Other")),"Other")</f>
        <v>EC</v>
      </c>
      <c r="AH146" s="100" t="str">
        <f t="shared" si="76"/>
        <v>"%USERPROFILE%\Documents\GitHub\eaglep3\Utilities\RefineRTDCRunTimes.py" --tripid 230-27 --locoid 4030 --swversion DE.1.0.7.0 --startMP 204:233030 --initTime 2016-08-27T21:41:45 --startdatetime 2016-08-27T21:56:31 --delay 1 --endMP 204:138 --enddatetime 2016-08-27T22:33:59 --enforcementcount 0 &gt;&gt;C:\Users\stu\Documents\GitHub\eaglep3-reporting\EC\2016-08-27-refined-times.txt</v>
      </c>
      <c r="AI146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{"issue":{"subject":"","project_id":79,"tracker_id":40,"status_id":1,"priority_id":2,"assigned_to_id":23,"start_date":"2016-08-27","description":"","custom_fields":[{"id":1,"name":"Subdivision","value":"EC"},{"id":4,"name":"Milepost","value":"23.2892"},{"id":17,"name":"Train ID","value":"230-27"},{"id":16,"name":"Locomotive ID","value":"4030"},{"id":130,"name":"Impact","value":""},{"id":150,"name":"Time of Event (Mountain Time)","value":"22:33:59"},{"id":151,"name":"Denver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640</v>
      </c>
      <c r="B147" s="7">
        <v>4025</v>
      </c>
      <c r="C147" s="24" t="s">
        <v>113</v>
      </c>
      <c r="D147" s="24" t="s">
        <v>154</v>
      </c>
      <c r="E147" s="15">
        <v>42609.880729166667</v>
      </c>
      <c r="F147" s="15">
        <v>42609.895995370367</v>
      </c>
      <c r="G147" s="7">
        <v>1</v>
      </c>
      <c r="H147" s="15" t="s">
        <v>200</v>
      </c>
      <c r="I147" s="15">
        <v>42609.921203703707</v>
      </c>
      <c r="J147" s="7">
        <v>0</v>
      </c>
      <c r="K147" s="132" t="str">
        <f>IF(ISEVEN(B147),(B147-1)&amp;"/"&amp;B147,B147&amp;"/"&amp;(B147+1))</f>
        <v>4025/4026</v>
      </c>
      <c r="L147" s="24" t="str">
        <f>VLOOKUP(A147,'Trips&amp;Operators'!$C$1:$E$10000,3,FALSE)</f>
        <v>HILLS</v>
      </c>
      <c r="M147" s="6">
        <f>I147-F147</f>
        <v>2.5208333339833189E-2</v>
      </c>
      <c r="N147" s="7">
        <f>24*60*SUM($M147:$M147)</f>
        <v>36.300000009359792</v>
      </c>
      <c r="O147" s="7"/>
      <c r="P147" s="7"/>
      <c r="Q147" s="25"/>
      <c r="R147" s="25"/>
      <c r="S147" s="37">
        <f>SUM(U147:U147)/IF(AG147="EC",12,1)</f>
        <v>1</v>
      </c>
      <c r="T147" s="52" t="str">
        <f>IF(ISEVEN(LEFT(AD147,4)),"Southbound","NorthBound")</f>
        <v>NorthBound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hh:mm:ss")&amp;"-0600',mode:absolute,to:'"&amp;TEXT(I147+1/24,"yyyy-MM-DD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https://search-rtdc-monitor-bjffxe2xuh6vdkpspy63sjmuny.us-east-1.es.amazonaws.com/_plugin/kibana/#/discover/Steve-Slow-Train-Analysis-(2080s-and-2083s)?_g=(refreshInterval:(display:Off,section:0,value:0),time:(from:'2016-08-27 20:08:15-0600',mode:absolute,to:'2016-08-27 23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47" s="54" t="str">
        <f>IF(AA147&lt;IF(AG147="EC",23,5.65),"Y","N")</f>
        <v>N</v>
      </c>
      <c r="X147" s="120">
        <f>VALUE(LEFT(AD147,4))-VALUE(LEFT(AD146,4))</f>
        <v>1</v>
      </c>
      <c r="Y147" s="69">
        <f>RIGHT(D147,LEN(D147)-4)/10000</f>
        <v>4.5100000000000001E-2</v>
      </c>
      <c r="Z147" s="69">
        <f>RIGHT(H147,LEN(H147)-4)/10000</f>
        <v>23.331199999999999</v>
      </c>
      <c r="AA147" s="69">
        <f>ABS(Z147-Y147)</f>
        <v>23.286099999999998</v>
      </c>
      <c r="AB147" s="66" t="e">
        <f>VLOOKUP(A147,Enforcements!$C$7:$J$21,8,0)</f>
        <v>#N/A</v>
      </c>
      <c r="AC147" s="62" t="e">
        <f>VLOOKUP(A147,Enforcements!$C$7:$E$21,3,0)</f>
        <v>#N/A</v>
      </c>
      <c r="AD147" s="63" t="str">
        <f>IF(LEN(A147)=6,"0"&amp;A147,A147)</f>
        <v>0231-27</v>
      </c>
      <c r="AE147" s="99" t="str">
        <f>"aws s3 cp "&amp;s3_bucket&amp;"/RTDC"&amp;B147&amp;"/"&amp;TEXT(F147,"YYYY-MM-DD")&amp;"/ "&amp;search_path&amp;"\RTDC"&amp;B147&amp;"\"&amp;TEXT(F147,"YYYY-MM-DD")&amp;" --recursive &amp; """&amp;walkandungz&amp;""" "&amp;search_path&amp;"\RTDC"&amp;B147&amp;"\"&amp;TEXT(F147,"YYYY-MM-DD")
&amp;" &amp; "&amp;"aws s3 cp "&amp;s3_bucket&amp;"/RTDC"&amp;B147&amp;"/"&amp;TEXT(F147+1,"YYYY-MM-DD")&amp;"/ "&amp;search_path&amp;"\RTDC"&amp;B147&amp;"\"&amp;TEXT(F147+1,"YYYY-MM-DD")&amp;" --recursive &amp; """&amp;walkandungz&amp;""" "&amp;search_path&amp;"\RTDC"&amp;B147&amp;"\"&amp;TEXT(F147+1,"YYYY-MM-DD")</f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147" s="96" t="str">
        <f>astrogrep_path&amp;" /spath="&amp;search_path&amp;" /stypes=""*"&amp;B147&amp;"*"&amp;TEXT(I147-utc_offset/24,"YYYYMMDD")&amp;"*"" /stext="" "&amp;TEXT(I147-utc_offset/24,"HH")&amp;search_regexp&amp;""" /e /r /s"</f>
        <v>"C:\Program Files (x86)\AstroGrep\AstroGrep.exe" /spath="%USERPROFILE%\AppData\Local\Temp\OnboardLogs" /stypes="*4025*20160828*" /stext=" 04:.+((SYSTEM_STATE.+slice.+state.+changed )|(ment ac)|(system.+state.+changed )|(\|lc)|(penalty)|(\[timeout)|(PRM\|1\|D)|(kpr)|(kdp))" /e /r /s</v>
      </c>
      <c r="AG147" s="1" t="str">
        <f>IFERROR(IF(VALUE(LEFT(AD147,2))&lt;=2,"EC",IF(OR(VALUE(LEFT(AD147,2))=8,VALUE(LEFT(AD147,2))=18),"NW","Other")),"Other")</f>
        <v>EC</v>
      </c>
      <c r="AH147" s="100" t="str">
        <f t="shared" si="76"/>
        <v>"%USERPROFILE%\Documents\GitHub\eaglep3\Utilities\RefineRTDCRunTimes.py" --tripid 231-27 --locoid 4025 --swversion DE.1.0.7.0 --startMP 204:451 --initTime 2016-08-27T21:08:15 --startdatetime 2016-08-27T21:30:14 --delay 1 --endMP 204:233312 --enddatetime 2016-08-27T22:06:32 --enforcementcount 0 &gt;&gt;C:\Users\stu\Documents\GitHub\eaglep3-reporting\EC\2016-08-27-refined-times.txt</v>
      </c>
      <c r="AI147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{"issue":{"subject":"","project_id":79,"tracker_id":40,"status_id":1,"priority_id":2,"assigned_to_id":23,"start_date":"2016-08-27","description":"","custom_fields":[{"id":1,"name":"Subdivision","value":"EC"},{"id":4,"name":"Milepost","value":"23.2861"},{"id":17,"name":"Train ID","value":"231-27"},{"id":16,"name":"Locomotive ID","value":"4025"},{"id":130,"name":"Impact","value":""},{"id":150,"name":"Time of Event (Mountain Time)","value":"22:06:32"},{"id":151,"name":"Denver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641</v>
      </c>
      <c r="B148" s="7">
        <v>4026</v>
      </c>
      <c r="C148" s="24" t="s">
        <v>113</v>
      </c>
      <c r="D148" s="24" t="s">
        <v>213</v>
      </c>
      <c r="E148" s="15">
        <v>42609.925034722219</v>
      </c>
      <c r="F148" s="15">
        <v>42609.935046296298</v>
      </c>
      <c r="G148" s="7">
        <v>1</v>
      </c>
      <c r="H148" s="15" t="s">
        <v>187</v>
      </c>
      <c r="I148" s="15">
        <v>42609.962604166663</v>
      </c>
      <c r="J148" s="7">
        <v>0</v>
      </c>
      <c r="K148" s="132" t="str">
        <f>IF(ISEVEN(B148),(B148-1)&amp;"/"&amp;B148,B148&amp;"/"&amp;(B148+1))</f>
        <v>4025/4026</v>
      </c>
      <c r="L148" s="24" t="str">
        <f>VLOOKUP(A148,'Trips&amp;Operators'!$C$1:$E$10000,3,FALSE)</f>
        <v>HILLS</v>
      </c>
      <c r="M148" s="6">
        <f>I148-F148</f>
        <v>2.7557870365853887E-2</v>
      </c>
      <c r="N148" s="7">
        <f>24*60*SUM($M148:$M148)</f>
        <v>39.683333326829597</v>
      </c>
      <c r="O148" s="7"/>
      <c r="P148" s="7"/>
      <c r="Q148" s="25"/>
      <c r="R148" s="25"/>
      <c r="S148" s="37">
        <f>SUM(U148:U148)/IF(AG148="EC",12,1)</f>
        <v>1</v>
      </c>
      <c r="T148" s="52" t="str">
        <f>IF(ISEVEN(LEFT(AD148,4)),"Southbound","NorthBound")</f>
        <v>Southbound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hh:mm:ss")&amp;"-0600',mode:absolute,to:'"&amp;TEXT(I148+1/24,"yyyy-MM-DD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https://search-rtdc-monitor-bjffxe2xuh6vdkpspy63sjmuny.us-east-1.es.amazonaws.com/_plugin/kibana/#/discover/Steve-Slow-Train-Analysis-(2080s-and-2083s)?_g=(refreshInterval:(display:Off,section:0,value:0),time:(from:'2016-08-27 21:12:03-0600',mode:absolute,to:'2016-08-28 00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48" s="54" t="str">
        <f>IF(AA148&lt;IF(AG148="EC",23,5.65),"Y","N")</f>
        <v>N</v>
      </c>
      <c r="X148" s="120">
        <f>VALUE(LEFT(AD148,4))-VALUE(LEFT(AD147,4))</f>
        <v>1</v>
      </c>
      <c r="Y148" s="69">
        <f>RIGHT(D148,LEN(D148)-4)/10000</f>
        <v>23.2989</v>
      </c>
      <c r="Z148" s="69">
        <f>RIGHT(H148,LEN(H148)-4)/10000</f>
        <v>1.6E-2</v>
      </c>
      <c r="AA148" s="69">
        <f>ABS(Z148-Y148)</f>
        <v>23.282900000000001</v>
      </c>
      <c r="AB148" s="66" t="e">
        <f>VLOOKUP(A148,Enforcements!$C$7:$J$21,8,0)</f>
        <v>#N/A</v>
      </c>
      <c r="AC148" s="62" t="e">
        <f>VLOOKUP(A148,Enforcements!$C$7:$E$21,3,0)</f>
        <v>#N/A</v>
      </c>
      <c r="AD148" s="63" t="str">
        <f>IF(LEN(A148)=6,"0"&amp;A148,A148)</f>
        <v>0232-27</v>
      </c>
      <c r="AE148" s="99" t="str">
        <f>"aws s3 cp "&amp;s3_bucket&amp;"/RTDC"&amp;B148&amp;"/"&amp;TEXT(F148,"YYYY-MM-DD")&amp;"/ "&amp;search_path&amp;"\RTDC"&amp;B148&amp;"\"&amp;TEXT(F148,"YYYY-MM-DD")&amp;" --recursive &amp; """&amp;walkandungz&amp;""" "&amp;search_path&amp;"\RTDC"&amp;B148&amp;"\"&amp;TEXT(F148,"YYYY-MM-DD")
&amp;" &amp; "&amp;"aws s3 cp "&amp;s3_bucket&amp;"/RTDC"&amp;B148&amp;"/"&amp;TEXT(F148+1,"YYYY-MM-DD")&amp;"/ "&amp;search_path&amp;"\RTDC"&amp;B148&amp;"\"&amp;TEXT(F148+1,"YYYY-MM-DD")&amp;" --recursive &amp; """&amp;walkandungz&amp;""" "&amp;search_path&amp;"\RTDC"&amp;B148&amp;"\"&amp;TEXT(F148+1,"YYYY-MM-DD")</f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148" s="96" t="str">
        <f>astrogrep_path&amp;" /spath="&amp;search_path&amp;" /stypes=""*"&amp;B148&amp;"*"&amp;TEXT(I148-utc_offset/24,"YYYYMMDD")&amp;"*"" /stext="" "&amp;TEXT(I148-utc_offset/24,"HH")&amp;search_regexp&amp;""" /e /r /s"</f>
        <v>"C:\Program Files (x86)\AstroGrep\AstroGrep.exe" /spath="%USERPROFILE%\AppData\Local\Temp\OnboardLogs" /stypes="*4026*20160828*" /stext=" 05:.+((SYSTEM_STATE.+slice.+state.+changed )|(ment ac)|(system.+state.+changed )|(\|lc)|(penalty)|(\[timeout)|(PRM\|1\|D)|(kpr)|(kdp))" /e /r /s</v>
      </c>
      <c r="AG148" s="1" t="str">
        <f>IFERROR(IF(VALUE(LEFT(AD148,2))&lt;=2,"EC",IF(OR(VALUE(LEFT(AD148,2))=8,VALUE(LEFT(AD148,2))=18),"NW","Other")),"Other")</f>
        <v>EC</v>
      </c>
      <c r="AH148" s="100" t="str">
        <f t="shared" si="76"/>
        <v>"%USERPROFILE%\Documents\GitHub\eaglep3\Utilities\RefineRTDCRunTimes.py" --tripid 232-27 --locoid 4026 --swversion DE.1.0.7.0 --startMP 204:232989 --initTime 2016-08-27T22:12:03 --startdatetime 2016-08-27T22:26:28 --delay 1 --endMP 204:160 --enddatetime 2016-08-27T23:06:09 --enforcementcount 0 &gt;&gt;C:\Users\stu\Documents\GitHub\eaglep3-reporting\EC\2016-08-27-refined-times.txt</v>
      </c>
      <c r="AI148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{"issue":{"subject":"","project_id":79,"tracker_id":40,"status_id":1,"priority_id":2,"assigned_to_id":23,"start_date":"2016-08-27","description":"","custom_fields":[{"id":1,"name":"Subdivision","value":"EC"},{"id":4,"name":"Milepost","value":"23.2829"},{"id":17,"name":"Train ID","value":"232-27"},{"id":16,"name":"Locomotive ID","value":"4026"},{"id":130,"name":"Impact","value":""},{"id":150,"name":"Time of Event (Mountain Time)","value":"23:06:09"},{"id":151,"name":"Denver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642</v>
      </c>
      <c r="B149" s="7">
        <v>4020</v>
      </c>
      <c r="C149" s="24" t="s">
        <v>113</v>
      </c>
      <c r="D149" s="24" t="s">
        <v>603</v>
      </c>
      <c r="E149" s="15">
        <v>42609.915451388886</v>
      </c>
      <c r="F149" s="15">
        <v>42609.916863425926</v>
      </c>
      <c r="G149" s="7">
        <v>1</v>
      </c>
      <c r="H149" s="15" t="s">
        <v>417</v>
      </c>
      <c r="I149" s="15">
        <v>42609.943912037037</v>
      </c>
      <c r="J149" s="7">
        <v>0</v>
      </c>
      <c r="K149" s="132" t="str">
        <f>IF(ISEVEN(B149),(B149-1)&amp;"/"&amp;B149,B149&amp;"/"&amp;(B149+1))</f>
        <v>4019/4020</v>
      </c>
      <c r="L149" s="24" t="str">
        <f>VLOOKUP(A149,'Trips&amp;Operators'!$C$1:$E$10000,3,FALSE)</f>
        <v>CHANDLER</v>
      </c>
      <c r="M149" s="6">
        <f>I149-F149</f>
        <v>2.7048611111240461E-2</v>
      </c>
      <c r="N149" s="7">
        <f>24*60*SUM($M149:$M149)</f>
        <v>38.950000000186265</v>
      </c>
      <c r="O149" s="7"/>
      <c r="P149" s="7"/>
      <c r="Q149" s="25"/>
      <c r="R149" s="25"/>
      <c r="S149" s="37">
        <f>SUM(U149:U149)/IF(AG149="EC",12,1)</f>
        <v>1</v>
      </c>
      <c r="T149" s="52" t="str">
        <f>IF(ISEVEN(LEFT(AD149,4)),"Southbound","NorthBound")</f>
        <v>NorthBound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hh:mm:ss")&amp;"-0600',mode:absolute,to:'"&amp;TEXT(I149+1/24,"yyyy-MM-DD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https://search-rtdc-monitor-bjffxe2xuh6vdkpspy63sjmuny.us-east-1.es.amazonaws.com/_plugin/kibana/#/discover/Steve-Slow-Train-Analysis-(2080s-and-2083s)?_g=(refreshInterval:(display:Off,section:0,value:0),time:(from:'2016-08-27 20:58:15-0600',mode:absolute,to:'2016-08-27 23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49" s="54" t="str">
        <f>IF(AA149&lt;IF(AG149="EC",23,5.65),"Y","N")</f>
        <v>N</v>
      </c>
      <c r="X149" s="120">
        <f>VALUE(LEFT(AD149,4))-VALUE(LEFT(AD148,4))</f>
        <v>1</v>
      </c>
      <c r="Y149" s="69">
        <f>RIGHT(D149,LEN(D149)-4)/10000</f>
        <v>4.7699999999999999E-2</v>
      </c>
      <c r="Z149" s="69">
        <f>RIGHT(H149,LEN(H149)-4)/10000</f>
        <v>23.329699999999999</v>
      </c>
      <c r="AA149" s="69">
        <f>ABS(Z149-Y149)</f>
        <v>23.282</v>
      </c>
      <c r="AB149" s="66">
        <f>VLOOKUP(A149,Enforcements!$C$7:$J$21,8,0)</f>
        <v>63069</v>
      </c>
      <c r="AC149" s="62" t="str">
        <f>VLOOKUP(A149,Enforcements!$C$7:$E$21,3,0)</f>
        <v>GRADE CROSSING</v>
      </c>
      <c r="AD149" s="63" t="str">
        <f>IF(LEN(A149)=6,"0"&amp;A149,A149)</f>
        <v>0233-27</v>
      </c>
      <c r="AE149" s="99" t="str">
        <f>"aws s3 cp "&amp;s3_bucket&amp;"/RTDC"&amp;B149&amp;"/"&amp;TEXT(F149,"YYYY-MM-DD")&amp;"/ "&amp;search_path&amp;"\RTDC"&amp;B149&amp;"\"&amp;TEXT(F149,"YYYY-MM-DD")&amp;" --recursive &amp; """&amp;walkandungz&amp;""" "&amp;search_path&amp;"\RTDC"&amp;B149&amp;"\"&amp;TEXT(F149,"YYYY-MM-DD")
&amp;" &amp; "&amp;"aws s3 cp "&amp;s3_bucket&amp;"/RTDC"&amp;B149&amp;"/"&amp;TEXT(F149+1,"YYYY-MM-DD")&amp;"/ "&amp;search_path&amp;"\RTDC"&amp;B149&amp;"\"&amp;TEXT(F149+1,"YYYY-MM-DD")&amp;" --recursive &amp; """&amp;walkandungz&amp;""" "&amp;search_path&amp;"\RTDC"&amp;B149&amp;"\"&amp;TEXT(F149+1,"YYYY-MM-DD")</f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149" s="96" t="str">
        <f>astrogrep_path&amp;" /spath="&amp;search_path&amp;" /stypes=""*"&amp;B149&amp;"*"&amp;TEXT(I149-utc_offset/24,"YYYYMMDD")&amp;"*"" /stext="" "&amp;TEXT(I149-utc_offset/24,"HH")&amp;search_regexp&amp;""" /e /r /s"</f>
        <v>"C:\Program Files (x86)\AstroGrep\AstroGrep.exe" /spath="%USERPROFILE%\AppData\Local\Temp\OnboardLogs" /stypes="*4020*20160828*" /stext=" 04:.+((SYSTEM_STATE.+slice.+state.+changed )|(ment ac)|(system.+state.+changed )|(\|lc)|(penalty)|(\[timeout)|(PRM\|1\|D)|(kpr)|(kdp))" /e /r /s</v>
      </c>
      <c r="AG149" s="1" t="str">
        <f>IFERROR(IF(VALUE(LEFT(AD149,2))&lt;=2,"EC",IF(OR(VALUE(LEFT(AD149,2))=8,VALUE(LEFT(AD149,2))=18),"NW","Other")),"Other")</f>
        <v>EC</v>
      </c>
      <c r="AH149" s="100" t="str">
        <f t="shared" si="76"/>
        <v>"%USERPROFILE%\Documents\GitHub\eaglep3\Utilities\RefineRTDCRunTimes.py" --tripid 233-27 --locoid 4020 --swversion DE.1.0.7.0 --startMP 204:477 --initTime 2016-08-27T21:58:15 --startdatetime 2016-08-27T22:00:17 --delay 1 --endMP 204:233297 --enddatetime 2016-08-27T22:39:14 --enforcementcount 0 &gt;&gt;C:\Users\stu\Documents\GitHub\eaglep3-reporting\EC\2016-08-27-refined-times.txt</v>
      </c>
      <c r="AI149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{"issue":{"subject":"","project_id":79,"tracker_id":40,"status_id":1,"priority_id":2,"assigned_to_id":23,"start_date":"2016-08-27","description":"","custom_fields":[{"id":1,"name":"Subdivision","value":"EC"},{"id":4,"name":"Milepost","value":"23.282"},{"id":17,"name":"Train ID","value":"233-27"},{"id":16,"name":"Locomotive ID","value":"4020"},{"id":130,"name":"Impact","value":""},{"id":150,"name":"Time of Event (Mountain Time)","value":"22:39:14"},{"id":151,"name":"Denver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643</v>
      </c>
      <c r="B150" s="7">
        <v>4019</v>
      </c>
      <c r="C150" s="24" t="s">
        <v>113</v>
      </c>
      <c r="D150" s="24" t="s">
        <v>412</v>
      </c>
      <c r="E150" s="15">
        <v>42609.954467592594</v>
      </c>
      <c r="F150" s="15">
        <v>42609.955821759257</v>
      </c>
      <c r="G150" s="7">
        <v>1</v>
      </c>
      <c r="H150" s="15" t="s">
        <v>153</v>
      </c>
      <c r="I150" s="15">
        <v>42609.986747685187</v>
      </c>
      <c r="J150" s="7">
        <v>0</v>
      </c>
      <c r="K150" s="132" t="str">
        <f>IF(ISEVEN(B150),(B150-1)&amp;"/"&amp;B150,B150&amp;"/"&amp;(B150+1))</f>
        <v>4019/4020</v>
      </c>
      <c r="L150" s="24" t="str">
        <f>VLOOKUP(A150,'Trips&amp;Operators'!$C$1:$E$10000,3,FALSE)</f>
        <v>CHANDLER</v>
      </c>
      <c r="M150" s="6">
        <f>I150-F150</f>
        <v>3.0925925930205267E-2</v>
      </c>
      <c r="N150" s="7">
        <f>24*60*SUM($M150:$M150)</f>
        <v>44.533333339495584</v>
      </c>
      <c r="O150" s="7"/>
      <c r="P150" s="7"/>
      <c r="Q150" s="25"/>
      <c r="R150" s="25"/>
      <c r="S150" s="37">
        <f>SUM(U150:U150)/IF(AG150="EC",12,1)</f>
        <v>1</v>
      </c>
      <c r="T150" s="52" t="str">
        <f>IF(ISEVEN(LEFT(AD150,4)),"Southbound","NorthBound")</f>
        <v>Southbound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hh:mm:ss")&amp;"-0600',mode:absolute,to:'"&amp;TEXT(I150+1/24,"yyyy-MM-DD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https://search-rtdc-monitor-bjffxe2xuh6vdkpspy63sjmuny.us-east-1.es.amazonaws.com/_plugin/kibana/#/discover/Steve-Slow-Train-Analysis-(2080s-and-2083s)?_g=(refreshInterval:(display:Off,section:0,value:0),time:(from:'2016-08-27 21:54:26-0600',mode:absolute,to:'2016-08-28 00:40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50" s="54" t="str">
        <f>IF(AA150&lt;IF(AG150="EC",23,5.65),"Y","N")</f>
        <v>N</v>
      </c>
      <c r="X150" s="120">
        <f>VALUE(LEFT(AD150,4))-VALUE(LEFT(AD149,4))</f>
        <v>1</v>
      </c>
      <c r="Y150" s="69">
        <f>RIGHT(D150,LEN(D150)-4)/10000</f>
        <v>23.2973</v>
      </c>
      <c r="Z150" s="69">
        <f>RIGHT(H150,LEN(H150)-4)/10000</f>
        <v>1.5599999999999999E-2</v>
      </c>
      <c r="AA150" s="69">
        <f>ABS(Z150-Y150)</f>
        <v>23.281700000000001</v>
      </c>
      <c r="AB150" s="66" t="e">
        <f>VLOOKUP(A150,Enforcements!$C$7:$J$21,8,0)</f>
        <v>#N/A</v>
      </c>
      <c r="AC150" s="62" t="e">
        <f>VLOOKUP(A150,Enforcements!$C$7:$E$21,3,0)</f>
        <v>#N/A</v>
      </c>
      <c r="AD150" s="63" t="str">
        <f>IF(LEN(A150)=6,"0"&amp;A150,A150)</f>
        <v>0234-27</v>
      </c>
      <c r="AE150" s="99" t="str">
        <f>"aws s3 cp "&amp;s3_bucket&amp;"/RTDC"&amp;B150&amp;"/"&amp;TEXT(F150,"YYYY-MM-DD")&amp;"/ "&amp;search_path&amp;"\RTDC"&amp;B150&amp;"\"&amp;TEXT(F150,"YYYY-MM-DD")&amp;" --recursive &amp; """&amp;walkandungz&amp;""" "&amp;search_path&amp;"\RTDC"&amp;B150&amp;"\"&amp;TEXT(F150,"YYYY-MM-DD")
&amp;" &amp; "&amp;"aws s3 cp "&amp;s3_bucket&amp;"/RTDC"&amp;B150&amp;"/"&amp;TEXT(F150+1,"YYYY-MM-DD")&amp;"/ "&amp;search_path&amp;"\RTDC"&amp;B150&amp;"\"&amp;TEXT(F150+1,"YYYY-MM-DD")&amp;" --recursive &amp; """&amp;walkandungz&amp;""" "&amp;search_path&amp;"\RTDC"&amp;B150&amp;"\"&amp;TEXT(F150+1,"YYYY-MM-DD")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150" s="96" t="str">
        <f>astrogrep_path&amp;" /spath="&amp;search_path&amp;" /stypes=""*"&amp;B150&amp;"*"&amp;TEXT(I150-utc_offset/24,"YYYYMMDD")&amp;"*"" /stext="" "&amp;TEXT(I150-utc_offset/24,"HH")&amp;search_regexp&amp;""" /e /r /s"</f>
        <v>"C:\Program Files (x86)\AstroGrep\AstroGrep.exe" /spath="%USERPROFILE%\AppData\Local\Temp\OnboardLogs" /stypes="*4019*20160828*" /stext=" 05:.+((SYSTEM_STATE.+slice.+state.+changed )|(ment ac)|(system.+state.+changed )|(\|lc)|(penalty)|(\[timeout)|(PRM\|1\|D)|(kpr)|(kdp))" /e /r /s</v>
      </c>
      <c r="AG150" s="1" t="str">
        <f>IFERROR(IF(VALUE(LEFT(AD150,2))&lt;=2,"EC",IF(OR(VALUE(LEFT(AD150,2))=8,VALUE(LEFT(AD150,2))=18),"NW","Other")),"Other")</f>
        <v>EC</v>
      </c>
      <c r="AH150" s="100" t="str">
        <f t="shared" si="76"/>
        <v>"%USERPROFILE%\Documents\GitHub\eaglep3\Utilities\RefineRTDCRunTimes.py" --tripid 234-27 --locoid 4019 --swversion DE.1.0.7.0 --startMP 204:232973 --initTime 2016-08-27T22:54:26 --startdatetime 2016-08-27T22:56:23 --delay 1 --endMP 204:156 --enddatetime 2016-08-27T23:40:55 --enforcementcount 0 &gt;&gt;C:\Users\stu\Documents\GitHub\eaglep3-reporting\EC\2016-08-27-refined-times.txt</v>
      </c>
      <c r="AI150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{"issue":{"subject":"","project_id":79,"tracker_id":40,"status_id":1,"priority_id":2,"assigned_to_id":23,"start_date":"2016-08-27","description":"","custom_fields":[{"id":1,"name":"Subdivision","value":"EC"},{"id":4,"name":"Milepost","value":"23.2817"},{"id":17,"name":"Train ID","value":"234-27"},{"id":16,"name":"Locomotive ID","value":"4019"},{"id":130,"name":"Impact","value":""},{"id":150,"name":"Time of Event (Mountain Time)","value":"23:40:55"},{"id":151,"name":"Denver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644</v>
      </c>
      <c r="B151" s="7">
        <v>4031</v>
      </c>
      <c r="C151" s="24" t="s">
        <v>113</v>
      </c>
      <c r="D151" s="24" t="s">
        <v>178</v>
      </c>
      <c r="E151" s="15">
        <v>42609.93173611111</v>
      </c>
      <c r="F151" s="15">
        <v>42609.937824074077</v>
      </c>
      <c r="G151" s="7">
        <v>1</v>
      </c>
      <c r="H151" s="15" t="s">
        <v>271</v>
      </c>
      <c r="I151" s="15">
        <v>42609.964583333334</v>
      </c>
      <c r="J151" s="7">
        <v>0</v>
      </c>
      <c r="K151" s="132" t="str">
        <f>IF(ISEVEN(B151),(B151-1)&amp;"/"&amp;B151,B151&amp;"/"&amp;(B151+1))</f>
        <v>4031/4032</v>
      </c>
      <c r="L151" s="24" t="str">
        <f>VLOOKUP(A151,'Trips&amp;Operators'!$C$1:$E$10000,3,FALSE)</f>
        <v>STURGEON</v>
      </c>
      <c r="M151" s="6">
        <f>I151-F151</f>
        <v>2.675925925723277E-2</v>
      </c>
      <c r="N151" s="7">
        <f>24*60*SUM($M151:$M151)</f>
        <v>38.533333330415189</v>
      </c>
      <c r="O151" s="7"/>
      <c r="P151" s="7"/>
      <c r="Q151" s="25"/>
      <c r="R151" s="25"/>
      <c r="S151" s="37">
        <f>SUM(U151:U151)/IF(AG151="EC",12,1)</f>
        <v>1</v>
      </c>
      <c r="T151" s="52" t="str">
        <f>IF(ISEVEN(LEFT(AD151,4)),"Southbound","NorthBound")</f>
        <v>NorthBound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hh:mm:ss")&amp;"-0600',mode:absolute,to:'"&amp;TEXT(I151+1/24,"yyyy-MM-DD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https://search-rtdc-monitor-bjffxe2xuh6vdkpspy63sjmuny.us-east-1.es.amazonaws.com/_plugin/kibana/#/discover/Steve-Slow-Train-Analysis-(2080s-and-2083s)?_g=(refreshInterval:(display:Off,section:0,value:0),time:(from:'2016-08-27 21:21:42-0600',mode:absolute,to:'2016-08-28 00:09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51" s="54" t="str">
        <f>IF(AA151&lt;IF(AG151="EC",23,5.65),"Y","N")</f>
        <v>N</v>
      </c>
      <c r="X151" s="120">
        <f>VALUE(LEFT(AD151,4))-VALUE(LEFT(AD150,4))</f>
        <v>1</v>
      </c>
      <c r="Y151" s="69">
        <f>RIGHT(D151,LEN(D151)-4)/10000</f>
        <v>4.7100000000000003E-2</v>
      </c>
      <c r="Z151" s="69">
        <f>RIGHT(H151,LEN(H151)-4)/10000</f>
        <v>23.330200000000001</v>
      </c>
      <c r="AA151" s="69">
        <f>ABS(Z151-Y151)</f>
        <v>23.283100000000001</v>
      </c>
      <c r="AB151" s="66" t="e">
        <f>VLOOKUP(A151,Enforcements!$C$7:$J$21,8,0)</f>
        <v>#N/A</v>
      </c>
      <c r="AC151" s="62" t="e">
        <f>VLOOKUP(A151,Enforcements!$C$7:$E$21,3,0)</f>
        <v>#N/A</v>
      </c>
      <c r="AD151" s="63" t="str">
        <f>IF(LEN(A151)=6,"0"&amp;A151,A151)</f>
        <v>0235-27</v>
      </c>
      <c r="AE151" s="99" t="str">
        <f>"aws s3 cp "&amp;s3_bucket&amp;"/RTDC"&amp;B151&amp;"/"&amp;TEXT(F151,"YYYY-MM-DD")&amp;"/ "&amp;search_path&amp;"\RTDC"&amp;B151&amp;"\"&amp;TEXT(F151,"YYYY-MM-DD")&amp;" --recursive &amp; """&amp;walkandungz&amp;""" "&amp;search_path&amp;"\RTDC"&amp;B151&amp;"\"&amp;TEXT(F151,"YYYY-MM-DD")
&amp;" &amp; "&amp;"aws s3 cp "&amp;s3_bucket&amp;"/RTDC"&amp;B151&amp;"/"&amp;TEXT(F151+1,"YYYY-MM-DD")&amp;"/ "&amp;search_path&amp;"\RTDC"&amp;B151&amp;"\"&amp;TEXT(F151+1,"YYYY-MM-DD")&amp;" --recursive &amp; """&amp;walkandungz&amp;""" "&amp;search_path&amp;"\RTDC"&amp;B151&amp;"\"&amp;TEXT(F151+1,"YYYY-MM-DD")</f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151" s="96" t="str">
        <f>astrogrep_path&amp;" /spath="&amp;search_path&amp;" /stypes=""*"&amp;B151&amp;"*"&amp;TEXT(I151-utc_offset/24,"YYYYMMDD")&amp;"*"" /stext="" "&amp;TEXT(I151-utc_offset/24,"HH")&amp;search_regexp&amp;""" /e /r /s"</f>
        <v>"C:\Program Files (x86)\AstroGrep\AstroGrep.exe" /spath="%USERPROFILE%\AppData\Local\Temp\OnboardLogs" /stypes="*4031*20160828*" /stext=" 05:.+((SYSTEM_STATE.+slice.+state.+changed )|(ment ac)|(system.+state.+changed )|(\|lc)|(penalty)|(\[timeout)|(PRM\|1\|D)|(kpr)|(kdp))" /e /r /s</v>
      </c>
      <c r="AG151" s="1" t="str">
        <f>IFERROR(IF(VALUE(LEFT(AD151,2))&lt;=2,"EC",IF(OR(VALUE(LEFT(AD151,2))=8,VALUE(LEFT(AD151,2))=18),"NW","Other")),"Other")</f>
        <v>EC</v>
      </c>
      <c r="AH151" s="100" t="str">
        <f t="shared" si="76"/>
        <v>"%USERPROFILE%\Documents\GitHub\eaglep3\Utilities\RefineRTDCRunTimes.py" --tripid 235-27 --locoid 4031 --swversion DE.1.0.7.0 --startMP 204:471 --initTime 2016-08-27T22:21:42 --startdatetime 2016-08-27T22:30:28 --delay 1 --endMP 204:233302 --enddatetime 2016-08-27T23:09:00 --enforcementcount 0 &gt;&gt;C:\Users\stu\Documents\GitHub\eaglep3-reporting\EC\2016-08-27-refined-times.txt</v>
      </c>
      <c r="AI151" s="149" t="str">
        <f t="shared" si="77"/>
        <v>echo {"issue":{"subject":"","project_id":79,"tracker_id":40,"status_id":1,"priority_id":2,"assigned_to_id":23,"start_date":"2016-08-27","description":"","custom_fields":[{"id":1,"name":"Subdivision","value":"EC"},{"id":4,"name":"Milepost","value":"23.2831"},{"id":17,"name":"Train ID","value":"235-27"},{"id":16,"name":"Locomotive ID","value":"4031"},{"id":130,"name":"Impact","value":""},{"id":150,"name":"Time of Event (Mountain Time)","value":"23:09:00"},{"id":151,"name":"Denver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s="23" customFormat="1" x14ac:dyDescent="0.25">
      <c r="A152" s="39" t="s">
        <v>645</v>
      </c>
      <c r="B152" s="7">
        <v>4032</v>
      </c>
      <c r="C152" s="24" t="s">
        <v>113</v>
      </c>
      <c r="D152" s="24" t="s">
        <v>353</v>
      </c>
      <c r="E152" s="15">
        <v>42609.968773148146</v>
      </c>
      <c r="F152" s="15">
        <v>42609.976712962962</v>
      </c>
      <c r="G152" s="7">
        <v>1</v>
      </c>
      <c r="H152" s="15" t="s">
        <v>646</v>
      </c>
      <c r="I152" s="15">
        <v>42610.003888888888</v>
      </c>
      <c r="J152" s="7">
        <v>0</v>
      </c>
      <c r="K152" s="132" t="str">
        <f>IF(ISEVEN(B152),(B152-1)&amp;"/"&amp;B152,B152&amp;"/"&amp;(B152+1))</f>
        <v>4031/4032</v>
      </c>
      <c r="L152" s="24" t="str">
        <f>VLOOKUP(A152,'Trips&amp;Operators'!$C$1:$E$10000,3,FALSE)</f>
        <v>STURGEON</v>
      </c>
      <c r="M152" s="6">
        <f>I152-F152</f>
        <v>2.7175925926712807E-2</v>
      </c>
      <c r="N152" s="7">
        <f>24*60*SUM($M152:$M152)</f>
        <v>39.133333334466442</v>
      </c>
      <c r="O152" s="7"/>
      <c r="P152" s="7"/>
      <c r="Q152" s="25"/>
      <c r="R152" s="25"/>
      <c r="S152" s="37">
        <f>SUM(U152:U152)/IF(AG152="EC",12,1)</f>
        <v>1</v>
      </c>
      <c r="T152" s="52" t="str">
        <f>IF(ISEVEN(LEFT(AD152,4)),"Southbound","NorthBound")</f>
        <v>Southbound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hh:mm:ss")&amp;"-0600',mode:absolute,to:'"&amp;TEXT(I152+1/24,"yyyy-MM-DD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https://search-rtdc-monitor-bjffxe2xuh6vdkpspy63sjmuny.us-east-1.es.amazonaws.com/_plugin/kibana/#/discover/Steve-Slow-Train-Analysis-(2080s-and-2083s)?_g=(refreshInterval:(display:Off,section:0,value:0),time:(from:'2016-08-27 22:15:02-0600',mode:absolute,to:'2016-08-28 01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52" s="54" t="str">
        <f>IF(AA152&lt;IF(AG152="EC",23,5.65),"Y","N")</f>
        <v>N</v>
      </c>
      <c r="X152" s="120">
        <f>VALUE(LEFT(AD152,4))-VALUE(LEFT(AD151,4))</f>
        <v>1</v>
      </c>
      <c r="Y152" s="69">
        <f>RIGHT(D152,LEN(D152)-4)/10000</f>
        <v>23.2974</v>
      </c>
      <c r="Z152" s="69">
        <f>RIGHT(H152,LEN(H152)-4)/10000</f>
        <v>1.78E-2</v>
      </c>
      <c r="AA152" s="69">
        <f>ABS(Z152-Y152)</f>
        <v>23.279599999999999</v>
      </c>
      <c r="AB152" s="66" t="e">
        <f>VLOOKUP(A152,Enforcements!$C$7:$J$21,8,0)</f>
        <v>#N/A</v>
      </c>
      <c r="AC152" s="62" t="e">
        <f>VLOOKUP(A152,Enforcements!$C$7:$E$21,3,0)</f>
        <v>#N/A</v>
      </c>
      <c r="AD152" s="63" t="str">
        <f>IF(LEN(A152)=6,"0"&amp;A152,A152)</f>
        <v>0236-27</v>
      </c>
      <c r="AE152" s="99" t="str">
        <f>"aws s3 cp "&amp;s3_bucket&amp;"/RTDC"&amp;B152&amp;"/"&amp;TEXT(F152,"YYYY-MM-DD")&amp;"/ "&amp;search_path&amp;"\RTDC"&amp;B152&amp;"\"&amp;TEXT(F152,"YYYY-MM-DD")&amp;" --recursive &amp; """&amp;walkandungz&amp;""" "&amp;search_path&amp;"\RTDC"&amp;B152&amp;"\"&amp;TEXT(F152,"YYYY-MM-DD")
&amp;" &amp; "&amp;"aws s3 cp "&amp;s3_bucket&amp;"/RTDC"&amp;B152&amp;"/"&amp;TEXT(F152+1,"YYYY-MM-DD")&amp;"/ "&amp;search_path&amp;"\RTDC"&amp;B152&amp;"\"&amp;TEXT(F152+1,"YYYY-MM-DD")&amp;" --recursive &amp; """&amp;walkandungz&amp;""" "&amp;search_path&amp;"\RTDC"&amp;B152&amp;"\"&amp;TEXT(F152+1,"YYYY-MM-DD")</f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152" s="96" t="str">
        <f>astrogrep_path&amp;" /spath="&amp;search_path&amp;" /stypes=""*"&amp;B152&amp;"*"&amp;TEXT(I152-utc_offset/24,"YYYYMMDD")&amp;"*"" /stext="" "&amp;TEXT(I152-utc_offset/24,"HH")&amp;search_regexp&amp;""" /e /r /s"</f>
        <v>"C:\Program Files (x86)\AstroGrep\AstroGrep.exe" /spath="%USERPROFILE%\AppData\Local\Temp\OnboardLogs" /stypes="*4032*20160828*" /stext=" 06:.+((SYSTEM_STATE.+slice.+state.+changed )|(ment ac)|(system.+state.+changed )|(\|lc)|(penalty)|(\[timeout)|(PRM\|1\|D)|(kpr)|(kdp))" /e /r /s</v>
      </c>
      <c r="AG152" s="1" t="str">
        <f>IFERROR(IF(VALUE(LEFT(AD152,2))&lt;=2,"EC",IF(OR(VALUE(LEFT(AD152,2))=8,VALUE(LEFT(AD152,2))=18),"NW","Other")),"Other")</f>
        <v>EC</v>
      </c>
      <c r="AH152" s="100" t="str">
        <f t="shared" si="76"/>
        <v>"%USERPROFILE%\Documents\GitHub\eaglep3\Utilities\RefineRTDCRunTimes.py" --tripid 236-27 --locoid 4032 --swversion DE.1.0.7.0 --startMP 204:232974 --initTime 2016-08-27T23:15:02 --startdatetime 2016-08-27T23:26:28 --delay 1 --endMP 204:178 --enddatetime 2016-08-28T00:05:36 --enforcementcount 0 &gt;&gt;C:\Users\stu\Documents\GitHub\eaglep3-reporting\EC\2016-08-27-refined-times.txt</v>
      </c>
      <c r="AI152" s="149" t="str">
        <f t="shared" si="77"/>
        <v>echo {"issue":{"subject":"","project_id":79,"tracker_id":40,"status_id":1,"priority_id":2,"assigned_to_id":23,"start_date":"2016-08-28","description":"","custom_fields":[{"id":1,"name":"Subdivision","value":"EC"},{"id":4,"name":"Milepost","value":"23.2796"},{"id":17,"name":"Train ID","value":"236-27"},{"id":16,"name":"Locomotive ID","value":"4032"},{"id":130,"name":"Impact","value":""},{"id":150,"name":"Time of Event (Mountain Time)","value":"00:05:36"},{"id":151,"name":"Denver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647</v>
      </c>
      <c r="B153" s="7">
        <v>4029</v>
      </c>
      <c r="C153" s="24" t="s">
        <v>113</v>
      </c>
      <c r="D153" s="24" t="s">
        <v>595</v>
      </c>
      <c r="E153" s="15">
        <v>42609.94226851852</v>
      </c>
      <c r="F153" s="15">
        <v>42609.958680555559</v>
      </c>
      <c r="G153" s="7">
        <v>1</v>
      </c>
      <c r="H153" s="15" t="s">
        <v>210</v>
      </c>
      <c r="I153" s="15">
        <v>42609.98337962963</v>
      </c>
      <c r="J153" s="7">
        <v>0</v>
      </c>
      <c r="K153" s="132" t="str">
        <f>IF(ISEVEN(B153),(B153-1)&amp;"/"&amp;B153,B153&amp;"/"&amp;(B153+1))</f>
        <v>4029/4030</v>
      </c>
      <c r="L153" s="24" t="str">
        <f>VLOOKUP(A153,'Trips&amp;Operators'!$C$1:$E$10000,3,FALSE)</f>
        <v>STAMBAUGH</v>
      </c>
      <c r="M153" s="6">
        <f>I153-F153</f>
        <v>2.4699074070667848E-2</v>
      </c>
      <c r="N153" s="7">
        <f>24*60*SUM($M153:$M153)</f>
        <v>35.566666661761701</v>
      </c>
      <c r="O153" s="7"/>
      <c r="P153" s="7"/>
      <c r="Q153" s="25"/>
      <c r="R153" s="25"/>
      <c r="S153" s="37">
        <f>SUM(U153:U153)/IF(AG153="EC",12,1)</f>
        <v>1</v>
      </c>
      <c r="T153" s="52" t="str">
        <f>IF(ISEVEN(LEFT(AD153,4)),"Southbound","NorthBound")</f>
        <v>NorthBound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hh:mm:ss")&amp;"-0600',mode:absolute,to:'"&amp;TEXT(I153+1/24,"yyyy-MM-DD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https://search-rtdc-monitor-bjffxe2xuh6vdkpspy63sjmuny.us-east-1.es.amazonaws.com/_plugin/kibana/#/discover/Steve-Slow-Train-Analysis-(2080s-and-2083s)?_g=(refreshInterval:(display:Off,section:0,value:0),time:(from:'2016-08-27 21:36:52-0600',mode:absolute,to:'2016-08-28 00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53" s="54" t="str">
        <f>IF(AA153&lt;IF(AG153="EC",23,5.65),"Y","N")</f>
        <v>N</v>
      </c>
      <c r="X153" s="120">
        <f t="shared" ref="X153:X157" si="78">VALUE(LEFT(AD153,4))-VALUE(LEFT(AD152,4))</f>
        <v>1</v>
      </c>
      <c r="Y153" s="69">
        <f>RIGHT(D153,LEN(D153)-4)/10000</f>
        <v>4.3299999999999998E-2</v>
      </c>
      <c r="Z153" s="69">
        <f>RIGHT(H153,LEN(H153)-4)/10000</f>
        <v>23.332000000000001</v>
      </c>
      <c r="AA153" s="69">
        <f>ABS(Z153-Y153)</f>
        <v>23.288700000000002</v>
      </c>
      <c r="AB153" s="66" t="e">
        <f>VLOOKUP(A153,Enforcements!$C$7:$J$21,8,0)</f>
        <v>#N/A</v>
      </c>
      <c r="AC153" s="62" t="e">
        <f>VLOOKUP(A153,Enforcements!$C$7:$E$21,3,0)</f>
        <v>#N/A</v>
      </c>
      <c r="AD153" s="63" t="str">
        <f>IF(LEN(A153)=6,"0"&amp;A153,A153)</f>
        <v>0237-27</v>
      </c>
      <c r="AE153" s="99" t="str">
        <f>"aws s3 cp "&amp;s3_bucket&amp;"/RTDC"&amp;B153&amp;"/"&amp;TEXT(F153,"YYYY-MM-DD")&amp;"/ "&amp;search_path&amp;"\RTDC"&amp;B153&amp;"\"&amp;TEXT(F153,"YYYY-MM-DD")&amp;" --recursive &amp; """&amp;walkandungz&amp;""" "&amp;search_path&amp;"\RTDC"&amp;B153&amp;"\"&amp;TEXT(F153,"YYYY-MM-DD")
&amp;" &amp; "&amp;"aws s3 cp "&amp;s3_bucket&amp;"/RTDC"&amp;B153&amp;"/"&amp;TEXT(F153+1,"YYYY-MM-DD")&amp;"/ "&amp;search_path&amp;"\RTDC"&amp;B153&amp;"\"&amp;TEXT(F153+1,"YYYY-MM-DD")&amp;" --recursive &amp; """&amp;walkandungz&amp;""" "&amp;search_path&amp;"\RTDC"&amp;B153&amp;"\"&amp;TEXT(F153+1,"YYYY-MM-DD")</f>
        <v>aws s3 cp s3://rtdc.mdm.uploadarchive/RTDC4029/2016-08-27/ "%USERPROFILE%\AppData\Local\Temp\OnboardLogs"\RTDC4029\2016-08-27 --recursive &amp; "%USERPROFILE%\Documents\GitHub\mrs-test-scripts\Headless Mode &amp; Sideloading\WalkAndUnGZ.bat" "%USERPROFILE%\AppData\Local\Temp\OnboardLogs"\RTDC4029\2016-08-27 &amp; aws s3 cp s3://rtdc.mdm.uploadarchive/RTDC4029/2016-08-28/ "%USERPROFILE%\AppData\Local\Temp\OnboardLogs"\RTDC4029\2016-08-28 --recursive &amp; "%USERPROFILE%\Documents\GitHub\mrs-test-scripts\Headless Mode &amp; Sideloading\WalkAndUnGZ.bat" "%USERPROFILE%\AppData\Local\Temp\OnboardLogs"\RTDC4029\2016-08-28</v>
      </c>
      <c r="AF153" s="96" t="str">
        <f>astrogrep_path&amp;" /spath="&amp;search_path&amp;" /stypes=""*"&amp;B153&amp;"*"&amp;TEXT(I153-utc_offset/24,"YYYYMMDD")&amp;"*"" /stext="" "&amp;TEXT(I153-utc_offset/24,"HH")&amp;search_regexp&amp;""" /e /r /s"</f>
        <v>"C:\Program Files (x86)\AstroGrep\AstroGrep.exe" /spath="%USERPROFILE%\AppData\Local\Temp\OnboardLogs" /stypes="*4029*20160828*" /stext=" 05:.+((SYSTEM_STATE.+slice.+state.+changed )|(ment ac)|(system.+state.+changed )|(\|lc)|(penalty)|(\[timeout)|(PRM\|1\|D)|(kpr)|(kdp))" /e /r /s</v>
      </c>
      <c r="AG153" s="1" t="str">
        <f>IFERROR(IF(VALUE(LEFT(AD153,2))&lt;=2,"EC",IF(OR(VALUE(LEFT(AD153,2))=8,VALUE(LEFT(AD153,2))=18),"NW","Other")),"Other")</f>
        <v>EC</v>
      </c>
      <c r="AH153" s="100" t="str">
        <f t="shared" ref="AH153:AH202" si="79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237-27 --locoid 4029 --swversion DE.1.0.7.0 --startMP 204:433 --initTime 2016-08-27T22:36:52 --startdatetime 2016-08-27T23:00:30 --delay 1 --endMP 204:233320 --enddatetime 2016-08-27T23:36:04 --enforcementcount 0 &gt;&gt;C:\Users\stu\Documents\GitHub\eaglep3-reporting\EC\2016-08-27-refined-times.txt</v>
      </c>
      <c r="AI153" s="149" t="str">
        <f t="shared" ref="AI153:AI202" si="80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AA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{"issue":{"subject":"","project_id":79,"tracker_id":40,"status_id":1,"priority_id":2,"assigned_to_id":23,"start_date":"2016-08-27","description":"","custom_fields":[{"id":1,"name":"Subdivision","value":"EC"},{"id":4,"name":"Milepost","value":"23.2887"},{"id":17,"name":"Train ID","value":"237-27"},{"id":16,"name":"Locomotive ID","value":"4029"},{"id":130,"name":"Impact","value":""},{"id":150,"name":"Time of Event (Mountain Time)","value":"23:36:04"},{"id":151,"name":"Denver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648</v>
      </c>
      <c r="B154" s="7">
        <v>4030</v>
      </c>
      <c r="C154" s="24" t="s">
        <v>113</v>
      </c>
      <c r="D154" s="24" t="s">
        <v>649</v>
      </c>
      <c r="E154" s="15">
        <v>42609.991631944446</v>
      </c>
      <c r="F154" s="15">
        <v>42609.999756944446</v>
      </c>
      <c r="G154" s="7">
        <v>2</v>
      </c>
      <c r="H154" s="15" t="s">
        <v>152</v>
      </c>
      <c r="I154" s="15">
        <v>42610.025254629632</v>
      </c>
      <c r="J154" s="7">
        <v>0</v>
      </c>
      <c r="K154" s="132" t="str">
        <f>IF(ISEVEN(B154),(B154-1)&amp;"/"&amp;B154,B154&amp;"/"&amp;(B154+1))</f>
        <v>4029/4030</v>
      </c>
      <c r="L154" s="24" t="str">
        <f>VLOOKUP(A154,'Trips&amp;Operators'!$C$1:$E$10000,3,FALSE)</f>
        <v>STAMBAUGH</v>
      </c>
      <c r="M154" s="6">
        <f>I154-F154</f>
        <v>2.5497685186564922E-2</v>
      </c>
      <c r="N154" s="7">
        <f>24*60*SUM($M154:$M154)</f>
        <v>36.716666668653488</v>
      </c>
      <c r="O154" s="7"/>
      <c r="P154" s="7"/>
      <c r="Q154" s="25"/>
      <c r="R154" s="25"/>
      <c r="S154" s="37">
        <f>SUM(U154:U154)/IF(AG154="EC",12,1)</f>
        <v>1</v>
      </c>
      <c r="T154" s="52" t="str">
        <f>IF(ISEVEN(LEFT(AD154,4)),"Southbound","NorthBound")</f>
        <v>Southbound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hh:mm:ss")&amp;"-0600',mode:absolute,to:'"&amp;TEXT(I154+1/24,"yyyy-MM-DD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https://search-rtdc-monitor-bjffxe2xuh6vdkpspy63sjmuny.us-east-1.es.amazonaws.com/_plugin/kibana/#/discover/Steve-Slow-Train-Analysis-(2080s-and-2083s)?_g=(refreshInterval:(display:Off,section:0,value:0),time:(from:'2016-08-27 22:47:57-0600',mode:absolute,to:'2016-08-28 01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54" s="54" t="str">
        <f>IF(AA154&lt;IF(AG154="EC",23,5.65),"Y","N")</f>
        <v>N</v>
      </c>
      <c r="X154" s="120">
        <f t="shared" si="78"/>
        <v>1</v>
      </c>
      <c r="Y154" s="69">
        <f>RIGHT(D154,LEN(D154)-4)/10000</f>
        <v>23.302499999999998</v>
      </c>
      <c r="Z154" s="69">
        <f>RIGHT(H154,LEN(H154)-4)/10000</f>
        <v>1.4999999999999999E-2</v>
      </c>
      <c r="AA154" s="69">
        <f>ABS(Z154-Y154)</f>
        <v>23.287499999999998</v>
      </c>
      <c r="AB154" s="66" t="e">
        <f>VLOOKUP(A154,Enforcements!$C$7:$J$21,8,0)</f>
        <v>#N/A</v>
      </c>
      <c r="AC154" s="62" t="e">
        <f>VLOOKUP(A154,Enforcements!$C$7:$E$21,3,0)</f>
        <v>#N/A</v>
      </c>
      <c r="AD154" s="63" t="str">
        <f>IF(LEN(A154)=6,"0"&amp;A154,A154)</f>
        <v>0238-27</v>
      </c>
      <c r="AE154" s="99" t="str">
        <f>"aws s3 cp "&amp;s3_bucket&amp;"/RTDC"&amp;B154&amp;"/"&amp;TEXT(F154,"YYYY-MM-DD")&amp;"/ "&amp;search_path&amp;"\RTDC"&amp;B154&amp;"\"&amp;TEXT(F154,"YYYY-MM-DD")&amp;" --recursive &amp; """&amp;walkandungz&amp;""" "&amp;search_path&amp;"\RTDC"&amp;B154&amp;"\"&amp;TEXT(F154,"YYYY-MM-DD")
&amp;" &amp; "&amp;"aws s3 cp "&amp;s3_bucket&amp;"/RTDC"&amp;B154&amp;"/"&amp;TEXT(F154+1,"YYYY-MM-DD")&amp;"/ "&amp;search_path&amp;"\RTDC"&amp;B154&amp;"\"&amp;TEXT(F154+1,"YYYY-MM-DD")&amp;" --recursive &amp; """&amp;walkandungz&amp;""" "&amp;search_path&amp;"\RTDC"&amp;B154&amp;"\"&amp;TEXT(F154+1,"YYYY-MM-DD")</f>
        <v>aws s3 cp s3://rtdc.mdm.uploadarchive/RTDC4030/2016-08-27/ "%USERPROFILE%\AppData\Local\Temp\OnboardLogs"\RTDC4030\2016-08-27 --recursive &amp; "%USERPROFILE%\Documents\GitHub\mrs-test-scripts\Headless Mode &amp; Sideloading\WalkAndUnGZ.bat" "%USERPROFILE%\AppData\Local\Temp\OnboardLogs"\RTDC4030\2016-08-27 &amp; 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</v>
      </c>
      <c r="AF154" s="96" t="str">
        <f>astrogrep_path&amp;" /spath="&amp;search_path&amp;" /stypes=""*"&amp;B154&amp;"*"&amp;TEXT(I154-utc_offset/24,"YYYYMMDD")&amp;"*"" /stext="" "&amp;TEXT(I154-utc_offset/24,"HH")&amp;search_regexp&amp;""" /e /r /s"</f>
        <v>"C:\Program Files (x86)\AstroGrep\AstroGrep.exe" /spath="%USERPROFILE%\AppData\Local\Temp\OnboardLogs" /stypes="*4030*20160828*" /stext=" 06:.+((SYSTEM_STATE.+slice.+state.+changed )|(ment ac)|(system.+state.+changed )|(\|lc)|(penalty)|(\[timeout)|(PRM\|1\|D)|(kpr)|(kdp))" /e /r /s</v>
      </c>
      <c r="AG154" s="1" t="str">
        <f>IFERROR(IF(VALUE(LEFT(AD154,2))&lt;=2,"EC",IF(OR(VALUE(LEFT(AD154,2))=8,VALUE(LEFT(AD154,2))=18),"NW","Other")),"Other")</f>
        <v>EC</v>
      </c>
      <c r="AH154" s="100" t="str">
        <f t="shared" si="79"/>
        <v>"%USERPROFILE%\Documents\GitHub\eaglep3\Utilities\RefineRTDCRunTimes.py" --tripid 238-27 --locoid 4030 --swversion DE.1.0.7.0 --startMP 204:233025 --initTime 2016-08-27T23:47:57 --startdatetime 2016-08-27T23:59:39 --delay 2 --endMP 204:150 --enddatetime 2016-08-28T00:36:22 --enforcementcount 0 &gt;&gt;C:\Users\stu\Documents\GitHub\eaglep3-reporting\EC\2016-08-27-refined-times.txt</v>
      </c>
      <c r="AI154" s="149" t="str">
        <f t="shared" si="80"/>
        <v>echo {"issue":{"subject":"","project_id":79,"tracker_id":40,"status_id":1,"priority_id":2,"assigned_to_id":23,"start_date":"2016-08-28","description":"","custom_fields":[{"id":1,"name":"Subdivision","value":"EC"},{"id":4,"name":"Milepost","value":"23.2875"},{"id":17,"name":"Train ID","value":"238-27"},{"id":16,"name":"Locomotive ID","value":"4030"},{"id":130,"name":"Impact","value":""},{"id":150,"name":"Time of Event (Mountain Time)","value":"00:36:22"},{"id":151,"name":"Denver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650</v>
      </c>
      <c r="B155" s="7">
        <v>4025</v>
      </c>
      <c r="C155" s="24" t="s">
        <v>113</v>
      </c>
      <c r="D155" s="24" t="s">
        <v>139</v>
      </c>
      <c r="E155" s="15">
        <v>42609.96802083333</v>
      </c>
      <c r="F155" s="15">
        <v>42609.97929398148</v>
      </c>
      <c r="G155" s="7">
        <v>2</v>
      </c>
      <c r="H155" s="15" t="s">
        <v>188</v>
      </c>
      <c r="I155" s="15">
        <v>42610.005937499998</v>
      </c>
      <c r="J155" s="7">
        <v>0</v>
      </c>
      <c r="K155" s="132" t="str">
        <f>IF(ISEVEN(B155),(B155-1)&amp;"/"&amp;B155,B155&amp;"/"&amp;(B155+1))</f>
        <v>4025/4026</v>
      </c>
      <c r="L155" s="24" t="str">
        <f>VLOOKUP(A155,'Trips&amp;Operators'!$C$1:$E$10000,3,FALSE)</f>
        <v>HILLS</v>
      </c>
      <c r="M155" s="6">
        <f>I155-F155</f>
        <v>2.6643518518540077E-2</v>
      </c>
      <c r="N155" s="7">
        <f>24*60*SUM($M155:$M155)</f>
        <v>38.366666666697711</v>
      </c>
      <c r="O155" s="7"/>
      <c r="P155" s="7"/>
      <c r="Q155" s="25"/>
      <c r="R155" s="25"/>
      <c r="S155" s="37">
        <f>SUM(U155:U155)/IF(AG155="EC",12,1)</f>
        <v>1</v>
      </c>
      <c r="T155" s="52" t="str">
        <f>IF(ISEVEN(LEFT(AD155,4)),"Southbound","NorthBound")</f>
        <v>NorthBound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hh:mm:ss")&amp;"-0600',mode:absolute,to:'"&amp;TEXT(I155+1/24,"yyyy-MM-DD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https://search-rtdc-monitor-bjffxe2xuh6vdkpspy63sjmuny.us-east-1.es.amazonaws.com/_plugin/kibana/#/discover/Steve-Slow-Train-Analysis-(2080s-and-2083s)?_g=(refreshInterval:(display:Off,section:0,value:0),time:(from:'2016-08-27 22:13:57-0600',mode:absolute,to:'2016-08-28 01:08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55" s="54" t="str">
        <f>IF(AA155&lt;IF(AG155="EC",23,5.65),"Y","N")</f>
        <v>N</v>
      </c>
      <c r="X155" s="120">
        <f t="shared" si="78"/>
        <v>1</v>
      </c>
      <c r="Y155" s="69">
        <f>RIGHT(D155,LEN(D155)-4)/10000</f>
        <v>4.6699999999999998E-2</v>
      </c>
      <c r="Z155" s="69">
        <f>RIGHT(H155,LEN(H155)-4)/10000</f>
        <v>23.3293</v>
      </c>
      <c r="AA155" s="69">
        <f>ABS(Z155-Y155)</f>
        <v>23.282599999999999</v>
      </c>
      <c r="AB155" s="66">
        <f>VLOOKUP(A155,Enforcements!$C$7:$J$21,8,0)</f>
        <v>190834</v>
      </c>
      <c r="AC155" s="62" t="str">
        <f>VLOOKUP(A155,Enforcements!$C$7:$E$21,3,0)</f>
        <v>PERMANENT SPEED RESTRICTION</v>
      </c>
      <c r="AD155" s="63" t="str">
        <f>IF(LEN(A155)=6,"0"&amp;A155,A155)</f>
        <v>0239-27</v>
      </c>
      <c r="AE155" s="99" t="str">
        <f>"aws s3 cp "&amp;s3_bucket&amp;"/RTDC"&amp;B155&amp;"/"&amp;TEXT(F155,"YYYY-MM-DD")&amp;"/ "&amp;search_path&amp;"\RTDC"&amp;B155&amp;"\"&amp;TEXT(F155,"YYYY-MM-DD")&amp;" --recursive &amp; """&amp;walkandungz&amp;""" "&amp;search_path&amp;"\RTDC"&amp;B155&amp;"\"&amp;TEXT(F155,"YYYY-MM-DD")
&amp;" &amp; "&amp;"aws s3 cp "&amp;s3_bucket&amp;"/RTDC"&amp;B155&amp;"/"&amp;TEXT(F155+1,"YYYY-MM-DD")&amp;"/ "&amp;search_path&amp;"\RTDC"&amp;B155&amp;"\"&amp;TEXT(F155+1,"YYYY-MM-DD")&amp;" --recursive &amp; """&amp;walkandungz&amp;""" "&amp;search_path&amp;"\RTDC"&amp;B155&amp;"\"&amp;TEXT(F155+1,"YYYY-MM-DD")</f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155" s="96" t="str">
        <f>astrogrep_path&amp;" /spath="&amp;search_path&amp;" /stypes=""*"&amp;B155&amp;"*"&amp;TEXT(I155-utc_offset/24,"YYYYMMDD")&amp;"*"" /stext="" "&amp;TEXT(I155-utc_offset/24,"HH")&amp;search_regexp&amp;""" /e /r /s"</f>
        <v>"C:\Program Files (x86)\AstroGrep\AstroGrep.exe" /spath="%USERPROFILE%\AppData\Local\Temp\OnboardLogs" /stypes="*4025*20160828*" /stext=" 06:.+((SYSTEM_STATE.+slice.+state.+changed )|(ment ac)|(system.+state.+changed )|(\|lc)|(penalty)|(\[timeout)|(PRM\|1\|D)|(kpr)|(kdp))" /e /r /s</v>
      </c>
      <c r="AG155" s="1" t="str">
        <f>IFERROR(IF(VALUE(LEFT(AD155,2))&lt;=2,"EC",IF(OR(VALUE(LEFT(AD155,2))=8,VALUE(LEFT(AD155,2))=18),"NW","Other")),"Other")</f>
        <v>EC</v>
      </c>
      <c r="AH155" s="100" t="str">
        <f t="shared" si="79"/>
        <v>"%USERPROFILE%\Documents\GitHub\eaglep3\Utilities\RefineRTDCRunTimes.py" --tripid 239-27 --locoid 4025 --swversion DE.1.0.7.0 --startMP 204:467 --initTime 2016-08-27T23:13:57 --startdatetime 2016-08-27T23:30:11 --delay 2 --endMP 204:233293 --enddatetime 2016-08-28T00:08:33 --enforcementcount 0 &gt;&gt;C:\Users\stu\Documents\GitHub\eaglep3-reporting\EC\2016-08-27-refined-times.txt</v>
      </c>
      <c r="AI155" s="149" t="str">
        <f t="shared" si="80"/>
        <v>echo {"issue":{"subject":"","project_id":79,"tracker_id":40,"status_id":1,"priority_id":2,"assigned_to_id":23,"start_date":"2016-08-28","description":"","custom_fields":[{"id":1,"name":"Subdivision","value":"EC"},{"id":4,"name":"Milepost","value":"23.2826"},{"id":17,"name":"Train ID","value":"239-27"},{"id":16,"name":"Locomotive ID","value":"4025"},{"id":130,"name":"Impact","value":""},{"id":150,"name":"Time of Event (Mountain Time)","value":"00:08:33"},{"id":151,"name":"Denver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651</v>
      </c>
      <c r="B156" s="7">
        <v>4026</v>
      </c>
      <c r="C156" s="24" t="s">
        <v>113</v>
      </c>
      <c r="D156" s="24" t="s">
        <v>273</v>
      </c>
      <c r="E156" s="15">
        <v>42610.007893518516</v>
      </c>
      <c r="F156" s="15">
        <v>42610.018229166664</v>
      </c>
      <c r="G156" s="7">
        <v>1</v>
      </c>
      <c r="H156" s="15" t="s">
        <v>652</v>
      </c>
      <c r="I156" s="15">
        <v>42610.045787037037</v>
      </c>
      <c r="J156" s="7">
        <v>0</v>
      </c>
      <c r="K156" s="132" t="str">
        <f>IF(ISEVEN(B156),(B156-1)&amp;"/"&amp;B156,B156&amp;"/"&amp;(B156+1))</f>
        <v>4025/4026</v>
      </c>
      <c r="L156" s="24" t="str">
        <f>VLOOKUP(A156,'Trips&amp;Operators'!$C$1:$E$10000,3,FALSE)</f>
        <v>HILLS</v>
      </c>
      <c r="M156" s="6">
        <f>I156-F156</f>
        <v>2.7557870373129845E-2</v>
      </c>
      <c r="N156" s="7">
        <f>24*60*SUM($M156:$M156)</f>
        <v>39.683333337306976</v>
      </c>
      <c r="O156" s="7"/>
      <c r="P156" s="7"/>
      <c r="Q156" s="25"/>
      <c r="R156" s="25"/>
      <c r="S156" s="37">
        <f>SUM(U156:U156)/IF(AG156="EC",12,1)</f>
        <v>1</v>
      </c>
      <c r="T156" s="52" t="str">
        <f>IF(ISEVEN(LEFT(AD156,4)),"Southbound","NorthBound")</f>
        <v>Southbound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hh:mm:ss")&amp;"-0600',mode:absolute,to:'"&amp;TEXT(I156+1/24,"yyyy-MM-DD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https://search-rtdc-monitor-bjffxe2xuh6vdkpspy63sjmuny.us-east-1.es.amazonaws.com/_plugin/kibana/#/discover/Steve-Slow-Train-Analysis-(2080s-and-2083s)?_g=(refreshInterval:(display:Off,section:0,value:0),time:(from:'2016-08-27 23:11:22-0600',mode:absolute,to:'2016-08-28 02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56" s="54" t="str">
        <f>IF(AA156&lt;IF(AG156="EC",23,5.65),"Y","N")</f>
        <v>N</v>
      </c>
      <c r="X156" s="120">
        <f t="shared" si="78"/>
        <v>1</v>
      </c>
      <c r="Y156" s="69">
        <f>RIGHT(D156,LEN(D156)-4)/10000</f>
        <v>23.299299999999999</v>
      </c>
      <c r="Z156" s="69">
        <f>RIGHT(H156,LEN(H156)-4)/10000</f>
        <v>0.1179</v>
      </c>
      <c r="AA156" s="69">
        <f>ABS(Z156-Y156)</f>
        <v>23.1814</v>
      </c>
      <c r="AB156" s="66" t="e">
        <f>VLOOKUP(A156,Enforcements!$C$7:$J$21,8,0)</f>
        <v>#N/A</v>
      </c>
      <c r="AC156" s="62" t="e">
        <f>VLOOKUP(A156,Enforcements!$C$7:$E$21,3,0)</f>
        <v>#N/A</v>
      </c>
      <c r="AD156" s="63" t="str">
        <f>IF(LEN(A156)=6,"0"&amp;A156,A156)</f>
        <v>0240-27</v>
      </c>
      <c r="AE156" s="99" t="str">
        <f>"aws s3 cp "&amp;s3_bucket&amp;"/RTDC"&amp;B156&amp;"/"&amp;TEXT(F156,"YYYY-MM-DD")&amp;"/ "&amp;search_path&amp;"\RTDC"&amp;B156&amp;"\"&amp;TEXT(F156,"YYYY-MM-DD")&amp;" --recursive &amp; """&amp;walkandungz&amp;""" "&amp;search_path&amp;"\RTDC"&amp;B156&amp;"\"&amp;TEXT(F156,"YYYY-MM-DD")
&amp;" &amp; "&amp;"aws s3 cp "&amp;s3_bucket&amp;"/RTDC"&amp;B156&amp;"/"&amp;TEXT(F156+1,"YYYY-MM-DD")&amp;"/ "&amp;search_path&amp;"\RTDC"&amp;B156&amp;"\"&amp;TEXT(F156+1,"YYYY-MM-DD")&amp;" --recursive &amp; """&amp;walkandungz&amp;""" "&amp;search_path&amp;"\RTDC"&amp;B156&amp;"\"&amp;TEXT(F156+1,"YYYY-MM-DD")</f>
        <v>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 &amp; aws s3 cp s3://rtdc.mdm.uploadarchive/RTDC4026/2016-08-29/ "%USERPROFILE%\AppData\Local\Temp\OnboardLogs"\RTDC4026\2016-08-29 --recursive &amp; "%USERPROFILE%\Documents\GitHub\mrs-test-scripts\Headless Mode &amp; Sideloading\WalkAndUnGZ.bat" "%USERPROFILE%\AppData\Local\Temp\OnboardLogs"\RTDC4026\2016-08-29</v>
      </c>
      <c r="AF156" s="96" t="str">
        <f>astrogrep_path&amp;" /spath="&amp;search_path&amp;" /stypes=""*"&amp;B156&amp;"*"&amp;TEXT(I156-utc_offset/24,"YYYYMMDD")&amp;"*"" /stext="" "&amp;TEXT(I156-utc_offset/24,"HH")&amp;search_regexp&amp;""" /e /r /s"</f>
        <v>"C:\Program Files (x86)\AstroGrep\AstroGrep.exe" /spath="%USERPROFILE%\AppData\Local\Temp\OnboardLogs" /stypes="*4026*20160828*" /stext=" 07:.+((SYSTEM_STATE.+slice.+state.+changed )|(ment ac)|(system.+state.+changed )|(\|lc)|(penalty)|(\[timeout)|(PRM\|1\|D)|(kpr)|(kdp))" /e /r /s</v>
      </c>
      <c r="AG156" s="1" t="str">
        <f>IFERROR(IF(VALUE(LEFT(AD156,2))&lt;=2,"EC",IF(OR(VALUE(LEFT(AD156,2))=8,VALUE(LEFT(AD156,2))=18),"NW","Other")),"Other")</f>
        <v>EC</v>
      </c>
      <c r="AH156" s="100" t="str">
        <f t="shared" si="79"/>
        <v>"%USERPROFILE%\Documents\GitHub\eaglep3\Utilities\RefineRTDCRunTimes.py" --tripid 240-27 --locoid 4026 --swversion DE.1.0.7.0 --startMP 204:232993 --initTime 2016-08-28T00:11:22 --startdatetime 2016-08-28T00:26:15 --delay 1 --endMP 204:1179 --enddatetime 2016-08-28T01:05:56 --enforcementcount 0 &gt;&gt;C:\Users\stu\Documents\GitHub\eaglep3-reporting\EC\2016-08-27-refined-times.txt</v>
      </c>
      <c r="AI156" s="149" t="str">
        <f t="shared" si="80"/>
        <v>echo {"issue":{"subject":"","project_id":79,"tracker_id":40,"status_id":1,"priority_id":2,"assigned_to_id":23,"start_date":"2016-08-28","description":"","custom_fields":[{"id":1,"name":"Subdivision","value":"EC"},{"id":4,"name":"Milepost","value":"23.1814"},{"id":17,"name":"Train ID","value":"240-27"},{"id":16,"name":"Locomotive ID","value":"4026"},{"id":130,"name":"Impact","value":""},{"id":150,"name":"Time of Event (Mountain Time)","value":"01:05:56"},{"id":151,"name":"Denver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653</v>
      </c>
      <c r="B157" s="7">
        <v>4020</v>
      </c>
      <c r="C157" s="24" t="s">
        <v>113</v>
      </c>
      <c r="D157" s="24" t="s">
        <v>154</v>
      </c>
      <c r="E157" s="15">
        <v>42609.995185185187</v>
      </c>
      <c r="F157" s="15">
        <v>42610.000173611108</v>
      </c>
      <c r="G157" s="7">
        <v>2</v>
      </c>
      <c r="H157" s="15" t="s">
        <v>278</v>
      </c>
      <c r="I157" s="15">
        <v>42610.026782407411</v>
      </c>
      <c r="J157" s="7">
        <v>0</v>
      </c>
      <c r="K157" s="132" t="str">
        <f>IF(ISEVEN(B157),(B157-1)&amp;"/"&amp;B157,B157&amp;"/"&amp;(B157+1))</f>
        <v>4019/4020</v>
      </c>
      <c r="L157" s="24" t="str">
        <f>VLOOKUP(A157,'Trips&amp;Operators'!$C$1:$E$10000,3,FALSE)</f>
        <v>CHANDLER</v>
      </c>
      <c r="M157" s="6">
        <f>I157-F157</f>
        <v>2.6608796302753035E-2</v>
      </c>
      <c r="N157" s="7">
        <f>24*60*SUM($M157:$M157)</f>
        <v>38.31666667596437</v>
      </c>
      <c r="O157" s="7"/>
      <c r="P157" s="7"/>
      <c r="Q157" s="25"/>
      <c r="R157" s="25"/>
      <c r="S157" s="37">
        <f>SUM(U157:U157)/IF(AG157="EC",12,1)</f>
        <v>1</v>
      </c>
      <c r="T157" s="52" t="str">
        <f>IF(ISEVEN(LEFT(AD157,4)),"Southbound","NorthBound")</f>
        <v>NorthBound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hh:mm:ss")&amp;"-0600',mode:absolute,to:'"&amp;TEXT(I157+1/24,"yyyy-MM-DD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https://search-rtdc-monitor-bjffxe2xuh6vdkpspy63sjmuny.us-east-1.es.amazonaws.com/_plugin/kibana/#/discover/Steve-Slow-Train-Analysis-(2080s-and-2083s)?_g=(refreshInterval:(display:Off,section:0,value:0),time:(from:'2016-08-27 22:53:04-0600',mode:absolute,to:'2016-08-28 01:38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57" s="54" t="str">
        <f>IF(AA157&lt;IF(AG157="EC",23,5.65),"Y","N")</f>
        <v>N</v>
      </c>
      <c r="X157" s="120">
        <f t="shared" si="78"/>
        <v>1</v>
      </c>
      <c r="Y157" s="69">
        <f>RIGHT(D157,LEN(D157)-4)/10000</f>
        <v>4.5100000000000001E-2</v>
      </c>
      <c r="Z157" s="69">
        <f>RIGHT(H157,LEN(H157)-4)/10000</f>
        <v>23.328199999999999</v>
      </c>
      <c r="AA157" s="69">
        <f>ABS(Z157-Y157)</f>
        <v>23.283099999999997</v>
      </c>
      <c r="AB157" s="66" t="e">
        <f>VLOOKUP(A157,Enforcements!$C$7:$J$21,8,0)</f>
        <v>#N/A</v>
      </c>
      <c r="AC157" s="62" t="e">
        <f>VLOOKUP(A157,Enforcements!$C$7:$E$21,3,0)</f>
        <v>#N/A</v>
      </c>
      <c r="AD157" s="63" t="str">
        <f>IF(LEN(A157)=6,"0"&amp;A157,A157)</f>
        <v>0241-27</v>
      </c>
      <c r="AE157" s="99" t="str">
        <f>"aws s3 cp "&amp;s3_bucket&amp;"/RTDC"&amp;B157&amp;"/"&amp;TEXT(F157,"YYYY-MM-DD")&amp;"/ "&amp;search_path&amp;"\RTDC"&amp;B157&amp;"\"&amp;TEXT(F157,"YYYY-MM-DD")&amp;" --recursive &amp; """&amp;walkandungz&amp;""" "&amp;search_path&amp;"\RTDC"&amp;B157&amp;"\"&amp;TEXT(F157,"YYYY-MM-DD")
&amp;" &amp; "&amp;"aws s3 cp "&amp;s3_bucket&amp;"/RTDC"&amp;B157&amp;"/"&amp;TEXT(F157+1,"YYYY-MM-DD")&amp;"/ "&amp;search_path&amp;"\RTDC"&amp;B157&amp;"\"&amp;TEXT(F157+1,"YYYY-MM-DD")&amp;" --recursive &amp; """&amp;walkandungz&amp;""" "&amp;search_path&amp;"\RTDC"&amp;B157&amp;"\"&amp;TEXT(F157+1,"YYYY-MM-DD")</f>
        <v>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 &amp; aws s3 cp s3://rtdc.mdm.uploadarchive/RTDC4020/2016-08-29/ "%USERPROFILE%\AppData\Local\Temp\OnboardLogs"\RTDC4020\2016-08-29 --recursive &amp; "%USERPROFILE%\Documents\GitHub\mrs-test-scripts\Headless Mode &amp; Sideloading\WalkAndUnGZ.bat" "%USERPROFILE%\AppData\Local\Temp\OnboardLogs"\RTDC4020\2016-08-29</v>
      </c>
      <c r="AF157" s="96" t="str">
        <f>astrogrep_path&amp;" /spath="&amp;search_path&amp;" /stypes=""*"&amp;B157&amp;"*"&amp;TEXT(I157-utc_offset/24,"YYYYMMDD")&amp;"*"" /stext="" "&amp;TEXT(I157-utc_offset/24,"HH")&amp;search_regexp&amp;""" /e /r /s"</f>
        <v>"C:\Program Files (x86)\AstroGrep\AstroGrep.exe" /spath="%USERPROFILE%\AppData\Local\Temp\OnboardLogs" /stypes="*4020*20160828*" /stext=" 06:.+((SYSTEM_STATE.+slice.+state.+changed )|(ment ac)|(system.+state.+changed )|(\|lc)|(penalty)|(\[timeout)|(PRM\|1\|D)|(kpr)|(kdp))" /e /r /s</v>
      </c>
      <c r="AG157" s="1" t="str">
        <f>IFERROR(IF(VALUE(LEFT(AD157,2))&lt;=2,"EC",IF(OR(VALUE(LEFT(AD157,2))=8,VALUE(LEFT(AD157,2))=18),"NW","Other")),"Other")</f>
        <v>EC</v>
      </c>
      <c r="AH157" s="100" t="str">
        <f t="shared" si="79"/>
        <v>"%USERPROFILE%\Documents\GitHub\eaglep3\Utilities\RefineRTDCRunTimes.py" --tripid 241-27 --locoid 4020 --swversion DE.1.0.7.0 --startMP 204:451 --initTime 2016-08-27T23:53:04 --startdatetime 2016-08-28T00:00:15 --delay 2 --endMP 204:233282 --enddatetime 2016-08-28T00:38:34 --enforcementcount 0 &gt;&gt;C:\Users\stu\Documents\GitHub\eaglep3-reporting\EC\2016-08-27-refined-times.txt</v>
      </c>
      <c r="AI157" s="149" t="str">
        <f t="shared" si="80"/>
        <v>echo {"issue":{"subject":"","project_id":79,"tracker_id":40,"status_id":1,"priority_id":2,"assigned_to_id":23,"start_date":"2016-08-28","description":"","custom_fields":[{"id":1,"name":"Subdivision","value":"EC"},{"id":4,"name":"Milepost","value":"23.2831"},{"id":17,"name":"Train ID","value":"241-27"},{"id":16,"name":"Locomotive ID","value":"4020"},{"id":130,"name":"Impact","value":""},{"id":150,"name":"Time of Event (Mountain Time)","value":"00:38:34"},{"id":151,"name":"Denver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654</v>
      </c>
      <c r="B158" s="7">
        <v>4019</v>
      </c>
      <c r="C158" s="24" t="s">
        <v>113</v>
      </c>
      <c r="D158" s="24" t="s">
        <v>330</v>
      </c>
      <c r="E158" s="15">
        <v>42610.03806712963</v>
      </c>
      <c r="F158" s="15">
        <v>42610.039479166669</v>
      </c>
      <c r="G158" s="7">
        <v>1</v>
      </c>
      <c r="H158" s="15" t="s">
        <v>348</v>
      </c>
      <c r="I158" s="15">
        <v>42610.069386574076</v>
      </c>
      <c r="J158" s="7">
        <v>0</v>
      </c>
      <c r="K158" s="132" t="str">
        <f>IF(ISEVEN(B158),(B158-1)&amp;"/"&amp;B158,B158&amp;"/"&amp;(B158+1))</f>
        <v>4019/4020</v>
      </c>
      <c r="L158" s="24" t="str">
        <f>VLOOKUP(A158,'Trips&amp;Operators'!$C$1:$E$10000,3,FALSE)</f>
        <v>CHANDLER</v>
      </c>
      <c r="M158" s="6">
        <f>I158-F158</f>
        <v>2.9907407406426501E-2</v>
      </c>
      <c r="N158" s="7">
        <f>24*60*SUM($M158:$M158)</f>
        <v>43.066666665254161</v>
      </c>
      <c r="O158" s="7"/>
      <c r="P158" s="7"/>
      <c r="Q158" s="25"/>
      <c r="R158" s="25"/>
      <c r="S158" s="37">
        <f>SUM(U158:U158)/IF(AG158="EC",12,1)</f>
        <v>1</v>
      </c>
      <c r="T158" s="52" t="str">
        <f>IF(ISEVEN(LEFT(AD158,4)),"Southbound","NorthBound")</f>
        <v>Southbound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hh:mm:ss")&amp;"-0600',mode:absolute,to:'"&amp;TEXT(I158+1/24,"yyyy-MM-DD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https://search-rtdc-monitor-bjffxe2xuh6vdkpspy63sjmuny.us-east-1.es.amazonaws.com/_plugin/kibana/#/discover/Steve-Slow-Train-Analysis-(2080s-and-2083s)?_g=(refreshInterval:(display:Off,section:0,value:0),time:(from:'2016-08-27 23:54:49-0600',mode:absolute,to:'2016-08-28 02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58" s="54" t="str">
        <f>IF(AA158&lt;IF(AG158="EC",23,5.65),"Y","N")</f>
        <v>N</v>
      </c>
      <c r="X158" s="120">
        <f>VALUE(LEFT(AD158,4))-VALUE(LEFT(AD157,4))</f>
        <v>1</v>
      </c>
      <c r="Y158" s="69">
        <f>RIGHT(D158,LEN(D158)-4)/10000</f>
        <v>23.296299999999999</v>
      </c>
      <c r="Z158" s="69">
        <f>RIGHT(H158,LEN(H158)-4)/10000</f>
        <v>1.7399999999999999E-2</v>
      </c>
      <c r="AA158" s="69">
        <f>ABS(Z158-Y158)</f>
        <v>23.2789</v>
      </c>
      <c r="AB158" s="66" t="e">
        <f>VLOOKUP(A158,Enforcements!$C$7:$J$21,8,0)</f>
        <v>#N/A</v>
      </c>
      <c r="AC158" s="62" t="e">
        <f>VLOOKUP(A158,Enforcements!$C$7:$E$21,3,0)</f>
        <v>#N/A</v>
      </c>
      <c r="AD158" s="63" t="str">
        <f>IF(LEN(A158)=6,"0"&amp;A158,A158)</f>
        <v>0242-27</v>
      </c>
      <c r="AE158" s="99" t="str">
        <f>"aws s3 cp "&amp;s3_bucket&amp;"/RTDC"&amp;B158&amp;"/"&amp;TEXT(F158,"YYYY-MM-DD")&amp;"/ "&amp;search_path&amp;"\RTDC"&amp;B158&amp;"\"&amp;TEXT(F158,"YYYY-MM-DD")&amp;" --recursive &amp; """&amp;walkandungz&amp;""" "&amp;search_path&amp;"\RTDC"&amp;B158&amp;"\"&amp;TEXT(F158,"YYYY-MM-DD")
&amp;" &amp; "&amp;"aws s3 cp "&amp;s3_bucket&amp;"/RTDC"&amp;B158&amp;"/"&amp;TEXT(F158+1,"YYYY-MM-DD")&amp;"/ "&amp;search_path&amp;"\RTDC"&amp;B158&amp;"\"&amp;TEXT(F158+1,"YYYY-MM-DD")&amp;" --recursive &amp; """&amp;walkandungz&amp;""" "&amp;search_path&amp;"\RTDC"&amp;B158&amp;"\"&amp;TEXT(F158+1,"YYYY-MM-DD")</f>
        <v>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 &amp; aws s3 cp s3://rtdc.mdm.uploadarchive/RTDC4019/2016-08-29/ "%USERPROFILE%\AppData\Local\Temp\OnboardLogs"\RTDC4019\2016-08-29 --recursive &amp; "%USERPROFILE%\Documents\GitHub\mrs-test-scripts\Headless Mode &amp; Sideloading\WalkAndUnGZ.bat" "%USERPROFILE%\AppData\Local\Temp\OnboardLogs"\RTDC4019\2016-08-29</v>
      </c>
      <c r="AF158" s="96" t="str">
        <f>astrogrep_path&amp;" /spath="&amp;search_path&amp;" /stypes=""*"&amp;B158&amp;"*"&amp;TEXT(I158-utc_offset/24,"YYYYMMDD")&amp;"*"" /stext="" "&amp;TEXT(I158-utc_offset/24,"HH")&amp;search_regexp&amp;""" /e /r /s"</f>
        <v>"C:\Program Files (x86)\AstroGrep\AstroGrep.exe" /spath="%USERPROFILE%\AppData\Local\Temp\OnboardLogs" /stypes="*4019*20160828*" /stext=" 07:.+((SYSTEM_STATE.+slice.+state.+changed )|(ment ac)|(system.+state.+changed )|(\|lc)|(penalty)|(\[timeout)|(PRM\|1\|D)|(kpr)|(kdp))" /e /r /s</v>
      </c>
      <c r="AG158" s="1" t="str">
        <f>IFERROR(IF(VALUE(LEFT(AD158,2))&lt;=2,"EC",IF(OR(VALUE(LEFT(AD158,2))=8,VALUE(LEFT(AD158,2))=18),"NW","Other")),"Other")</f>
        <v>EC</v>
      </c>
      <c r="AH158" s="100" t="str">
        <f t="shared" si="79"/>
        <v>"%USERPROFILE%\Documents\GitHub\eaglep3\Utilities\RefineRTDCRunTimes.py" --tripid 242-27 --locoid 4019 --swversion DE.1.0.7.0 --startMP 204:232963 --initTime 2016-08-28T00:54:49 --startdatetime 2016-08-28T00:56:51 --delay 1 --endMP 204:174 --enddatetime 2016-08-28T01:39:55 --enforcementcount 0 &gt;&gt;C:\Users\stu\Documents\GitHub\eaglep3-reporting\EC\2016-08-27-refined-times.txt</v>
      </c>
      <c r="AI158" s="149" t="str">
        <f t="shared" si="80"/>
        <v>echo {"issue":{"subject":"","project_id":79,"tracker_id":40,"status_id":1,"priority_id":2,"assigned_to_id":23,"start_date":"2016-08-28","description":"","custom_fields":[{"id":1,"name":"Subdivision","value":"EC"},{"id":4,"name":"Milepost","value":"23.2789"},{"id":17,"name":"Train ID","value":"242-27"},{"id":16,"name":"Locomotive ID","value":"4019"},{"id":130,"name":"Impact","value":""},{"id":150,"name":"Time of Event (Mountain Time)","value":"01:39:55"},{"id":151,"name":"Denver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655</v>
      </c>
      <c r="B159" s="7">
        <v>4031</v>
      </c>
      <c r="C159" s="24" t="s">
        <v>113</v>
      </c>
      <c r="D159" s="24" t="s">
        <v>109</v>
      </c>
      <c r="E159" s="15">
        <v>42610.013738425929</v>
      </c>
      <c r="F159" s="15">
        <v>42610.021249999998</v>
      </c>
      <c r="G159" s="7">
        <v>1</v>
      </c>
      <c r="H159" s="15" t="s">
        <v>656</v>
      </c>
      <c r="I159" s="15">
        <v>42610.048182870371</v>
      </c>
      <c r="J159" s="7">
        <v>0</v>
      </c>
      <c r="K159" s="132" t="str">
        <f>IF(ISEVEN(B159),(B159-1)&amp;"/"&amp;B159,B159&amp;"/"&amp;(B159+1))</f>
        <v>4031/4032</v>
      </c>
      <c r="L159" s="24" t="str">
        <f>VLOOKUP(A159,'Trips&amp;Operators'!$C$1:$E$10000,3,FALSE)</f>
        <v>STURGEON</v>
      </c>
      <c r="M159" s="6">
        <f>I159-F159</f>
        <v>2.6932870372547768E-2</v>
      </c>
      <c r="N159" s="7">
        <f>24*60*SUM($M159:$M159)</f>
        <v>38.783333336468786</v>
      </c>
      <c r="O159" s="7"/>
      <c r="P159" s="7"/>
      <c r="Q159" s="25"/>
      <c r="R159" s="25"/>
      <c r="S159" s="37">
        <f>SUM(U159:U159)/IF(AG159="EC",12,1)</f>
        <v>1</v>
      </c>
      <c r="T159" s="52" t="str">
        <f>IF(ISEVEN(LEFT(AD159,4)),"Southbound","NorthBound")</f>
        <v>NorthBound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6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hh:mm:ss")&amp;"-0600',mode:absolute,to:'"&amp;TEXT(I159+1/24,"yyyy-MM-DD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https://search-rtdc-monitor-bjffxe2xuh6vdkpspy63sjmuny.us-east-1.es.amazonaws.com/_plugin/kibana/#/discover/Steve-Slow-Train-Analysis-(2080s-and-2083s)?_g=(refreshInterval:(display:Off,section:0,value:0),time:(from:'2016-08-27 23:19:47-0600',mode:absolute,to:'2016-08-28 02:09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59" s="54" t="str">
        <f>IF(AA159&lt;IF(AG159="EC",23,5.65),"Y","N")</f>
        <v>N</v>
      </c>
      <c r="X159" s="120">
        <f t="shared" ref="X159:X167" si="81">VALUE(LEFT(AD159,4))-VALUE(LEFT(AD158,4))</f>
        <v>1</v>
      </c>
      <c r="Y159" s="69">
        <f>RIGHT(D159,LEN(D159)-4)/10000</f>
        <v>4.6199999999999998E-2</v>
      </c>
      <c r="Z159" s="69">
        <f>RIGHT(H159,LEN(H159)-4)/10000</f>
        <v>23.328499999999998</v>
      </c>
      <c r="AA159" s="69">
        <f>ABS(Z159-Y159)</f>
        <v>23.282299999999999</v>
      </c>
      <c r="AB159" s="66" t="e">
        <f>VLOOKUP(A159,Enforcements!$C$7:$J$21,8,0)</f>
        <v>#N/A</v>
      </c>
      <c r="AC159" s="62" t="e">
        <f>VLOOKUP(A159,Enforcements!$C$7:$E$21,3,0)</f>
        <v>#N/A</v>
      </c>
      <c r="AD159" s="63" t="str">
        <f>IF(LEN(A159)=6,"0"&amp;A159,A159)</f>
        <v>0243-27</v>
      </c>
      <c r="AE159" s="99" t="str">
        <f>"aws s3 cp "&amp;s3_bucket&amp;"/RTDC"&amp;B159&amp;"/"&amp;TEXT(F159,"YYYY-MM-DD")&amp;"/ "&amp;search_path&amp;"\RTDC"&amp;B159&amp;"\"&amp;TEXT(F159,"YYYY-MM-DD")&amp;" --recursive &amp; """&amp;walkandungz&amp;""" "&amp;search_path&amp;"\RTDC"&amp;B159&amp;"\"&amp;TEXT(F159,"YYYY-MM-DD")
&amp;" &amp; "&amp;"aws s3 cp "&amp;s3_bucket&amp;"/RTDC"&amp;B159&amp;"/"&amp;TEXT(F159+1,"YYYY-MM-DD")&amp;"/ "&amp;search_path&amp;"\RTDC"&amp;B159&amp;"\"&amp;TEXT(F159+1,"YYYY-MM-DD")&amp;" --recursive &amp; """&amp;walkandungz&amp;""" "&amp;search_path&amp;"\RTDC"&amp;B159&amp;"\"&amp;TEXT(F159+1,"YYYY-MM-DD")</f>
        <v>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 &amp; 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</v>
      </c>
      <c r="AF159" s="96" t="str">
        <f>astrogrep_path&amp;" /spath="&amp;search_path&amp;" /stypes=""*"&amp;B159&amp;"*"&amp;TEXT(I159-utc_offset/24,"YYYYMMDD")&amp;"*"" /stext="" "&amp;TEXT(I159-utc_offset/24,"HH")&amp;search_regexp&amp;""" /e /r /s"</f>
        <v>"C:\Program Files (x86)\AstroGrep\AstroGrep.exe" /spath="%USERPROFILE%\AppData\Local\Temp\OnboardLogs" /stypes="*4031*20160828*" /stext=" 07:.+((SYSTEM_STATE.+slice.+state.+changed )|(ment ac)|(system.+state.+changed )|(\|lc)|(penalty)|(\[timeout)|(PRM\|1\|D)|(kpr)|(kdp))" /e /r /s</v>
      </c>
      <c r="AG159" s="1" t="str">
        <f>IFERROR(IF(VALUE(LEFT(AD159,2))&lt;=2,"EC",IF(OR(VALUE(LEFT(AD159,2))=8,VALUE(LEFT(AD159,2))=18),"NW","Other")),"Other")</f>
        <v>EC</v>
      </c>
      <c r="AH159" s="100" t="str">
        <f t="shared" si="79"/>
        <v>"%USERPROFILE%\Documents\GitHub\eaglep3\Utilities\RefineRTDCRunTimes.py" --tripid 243-27 --locoid 4031 --swversion DE.1.0.7.0 --startMP 204:462 --initTime 2016-08-28T00:19:47 --startdatetime 2016-08-28T00:30:36 --delay 1 --endMP 204:233285 --enddatetime 2016-08-28T01:09:23 --enforcementcount 0 &gt;&gt;C:\Users\stu\Documents\GitHub\eaglep3-reporting\EC\2016-08-27-refined-times.txt</v>
      </c>
      <c r="AI159" s="149" t="str">
        <f t="shared" si="80"/>
        <v>echo {"issue":{"subject":"","project_id":79,"tracker_id":40,"status_id":1,"priority_id":2,"assigned_to_id":23,"start_date":"2016-08-28","description":"","custom_fields":[{"id":1,"name":"Subdivision","value":"EC"},{"id":4,"name":"Milepost","value":"23.2823"},{"id":17,"name":"Train ID","value":"243-27"},{"id":16,"name":"Locomotive ID","value":"4031"},{"id":130,"name":"Impact","value":""},{"id":150,"name":"Time of Event (Mountain Time)","value":"01:09:23"},{"id":151,"name":"Denver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657</v>
      </c>
      <c r="B160" s="7">
        <v>4032</v>
      </c>
      <c r="C160" s="24" t="s">
        <v>113</v>
      </c>
      <c r="D160" s="24" t="s">
        <v>353</v>
      </c>
      <c r="E160" s="15">
        <v>42610.053182870368</v>
      </c>
      <c r="F160" s="15">
        <v>42610.06</v>
      </c>
      <c r="G160" s="7">
        <v>2</v>
      </c>
      <c r="H160" s="15" t="s">
        <v>131</v>
      </c>
      <c r="I160" s="15">
        <v>42610.093958333331</v>
      </c>
      <c r="J160" s="7">
        <v>0</v>
      </c>
      <c r="K160" s="132" t="str">
        <f>IF(ISEVEN(B160),(B160-1)&amp;"/"&amp;B160,B160&amp;"/"&amp;(B160+1))</f>
        <v>4031/4032</v>
      </c>
      <c r="L160" s="24" t="str">
        <f>VLOOKUP(A160,'Trips&amp;Operators'!$C$1:$E$10000,3,FALSE)</f>
        <v>STURGEON</v>
      </c>
      <c r="M160" s="6">
        <f>I160-F160</f>
        <v>3.3958333333430346E-2</v>
      </c>
      <c r="N160" s="7">
        <f>24*60*SUM($M160:$M160)</f>
        <v>48.900000000139698</v>
      </c>
      <c r="O160" s="7"/>
      <c r="P160" s="7"/>
      <c r="Q160" s="25"/>
      <c r="R160" s="25"/>
      <c r="S160" s="37">
        <f>SUM(U160:U160)/IF(AG160="EC",12,1)</f>
        <v>1</v>
      </c>
      <c r="T160" s="52" t="str">
        <f>IF(ISEVEN(LEFT(AD160,4)),"Southbound","NorthBound")</f>
        <v>Southbound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6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hh:mm:ss")&amp;"-0600',mode:absolute,to:'"&amp;TEXT(I160+1/24,"yyyy-MM-DD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https://search-rtdc-monitor-bjffxe2xuh6vdkpspy63sjmuny.us-east-1.es.amazonaws.com/_plugin/kibana/#/discover/Steve-Slow-Train-Analysis-(2080s-and-2083s)?_g=(refreshInterval:(display:Off,section:0,value:0),time:(from:'2016-08-28 00:16:35-0600',mode:absolute,to:'2016-08-28 03:15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60" s="54" t="str">
        <f>IF(AA160&lt;IF(AG160="EC",23,5.65),"Y","N")</f>
        <v>N</v>
      </c>
      <c r="X160" s="120">
        <f t="shared" si="81"/>
        <v>1</v>
      </c>
      <c r="Y160" s="69">
        <f>RIGHT(D160,LEN(D160)-4)/10000</f>
        <v>23.2974</v>
      </c>
      <c r="Z160" s="69">
        <f>RIGHT(H160,LEN(H160)-4)/10000</f>
        <v>1.5800000000000002E-2</v>
      </c>
      <c r="AA160" s="69">
        <f>ABS(Z160-Y160)</f>
        <v>23.281600000000001</v>
      </c>
      <c r="AB160" s="66" t="e">
        <f>VLOOKUP(A160,Enforcements!$C$7:$J$21,8,0)</f>
        <v>#N/A</v>
      </c>
      <c r="AC160" s="62" t="e">
        <f>VLOOKUP(A160,Enforcements!$C$7:$E$21,3,0)</f>
        <v>#N/A</v>
      </c>
      <c r="AD160" s="63" t="str">
        <f>IF(LEN(A160)=6,"0"&amp;A160,A160)</f>
        <v>0244-27</v>
      </c>
      <c r="AE160" s="99" t="str">
        <f>"aws s3 cp "&amp;s3_bucket&amp;"/RTDC"&amp;B160&amp;"/"&amp;TEXT(F160,"YYYY-MM-DD")&amp;"/ "&amp;search_path&amp;"\RTDC"&amp;B160&amp;"\"&amp;TEXT(F160,"YYYY-MM-DD")&amp;" --recursive &amp; """&amp;walkandungz&amp;""" "&amp;search_path&amp;"\RTDC"&amp;B160&amp;"\"&amp;TEXT(F160,"YYYY-MM-DD")
&amp;" &amp; "&amp;"aws s3 cp "&amp;s3_bucket&amp;"/RTDC"&amp;B160&amp;"/"&amp;TEXT(F160+1,"YYYY-MM-DD")&amp;"/ "&amp;search_path&amp;"\RTDC"&amp;B160&amp;"\"&amp;TEXT(F160+1,"YYYY-MM-DD")&amp;" --recursive &amp; """&amp;walkandungz&amp;""" "&amp;search_path&amp;"\RTDC"&amp;B160&amp;"\"&amp;TEXT(F160+1,"YYYY-MM-DD")</f>
        <v>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 &amp; aws s3 cp s3://rtdc.mdm.uploadarchive/RTDC4032/2016-08-29/ "%USERPROFILE%\AppData\Local\Temp\OnboardLogs"\RTDC4032\2016-08-29 --recursive &amp; "%USERPROFILE%\Documents\GitHub\mrs-test-scripts\Headless Mode &amp; Sideloading\WalkAndUnGZ.bat" "%USERPROFILE%\AppData\Local\Temp\OnboardLogs"\RTDC4032\2016-08-29</v>
      </c>
      <c r="AF160" s="96" t="str">
        <f>astrogrep_path&amp;" /spath="&amp;search_path&amp;" /stypes=""*"&amp;B160&amp;"*"&amp;TEXT(I160-utc_offset/24,"YYYYMMDD")&amp;"*"" /stext="" "&amp;TEXT(I160-utc_offset/24,"HH")&amp;search_regexp&amp;""" /e /r /s"</f>
        <v>"C:\Program Files (x86)\AstroGrep\AstroGrep.exe" /spath="%USERPROFILE%\AppData\Local\Temp\OnboardLogs" /stypes="*4032*20160828*" /stext=" 08:.+((SYSTEM_STATE.+slice.+state.+changed )|(ment ac)|(system.+state.+changed )|(\|lc)|(penalty)|(\[timeout)|(PRM\|1\|D)|(kpr)|(kdp))" /e /r /s</v>
      </c>
      <c r="AG160" s="1" t="str">
        <f>IFERROR(IF(VALUE(LEFT(AD160,2))&lt;=2,"EC",IF(OR(VALUE(LEFT(AD160,2))=8,VALUE(LEFT(AD160,2))=18),"NW","Other")),"Other")</f>
        <v>EC</v>
      </c>
      <c r="AH160" s="100" t="str">
        <f t="shared" si="79"/>
        <v>"%USERPROFILE%\Documents\GitHub\eaglep3\Utilities\RefineRTDCRunTimes.py" --tripid 244-27 --locoid 4032 --swversion DE.1.0.7.0 --startMP 204:232974 --initTime 2016-08-28T01:16:35 --startdatetime 2016-08-28T01:26:24 --delay 2 --endMP 204:158 --enddatetime 2016-08-28T02:15:18 --enforcementcount 0 &gt;&gt;C:\Users\stu\Documents\GitHub\eaglep3-reporting\EC\2016-08-27-refined-times.txt</v>
      </c>
      <c r="AI160" s="149" t="str">
        <f t="shared" si="80"/>
        <v>echo {"issue":{"subject":"","project_id":79,"tracker_id":40,"status_id":1,"priority_id":2,"assigned_to_id":23,"start_date":"2016-08-28","description":"","custom_fields":[{"id":1,"name":"Subdivision","value":"EC"},{"id":4,"name":"Milepost","value":"23.2816"},{"id":17,"name":"Train ID","value":"244-27"},{"id":16,"name":"Locomotive ID","value":"4032"},{"id":130,"name":"Impact","value":""},{"id":150,"name":"Time of Event (Mountain Time)","value":"02:15:18"},{"id":151,"name":"Denver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658</v>
      </c>
      <c r="B161" s="7">
        <v>4029</v>
      </c>
      <c r="C161" s="24" t="s">
        <v>113</v>
      </c>
      <c r="D161" s="24" t="s">
        <v>138</v>
      </c>
      <c r="E161" s="15">
        <v>42610.026643518519</v>
      </c>
      <c r="F161" s="15">
        <v>42610.042141203703</v>
      </c>
      <c r="G161" s="7">
        <v>1</v>
      </c>
      <c r="H161" s="15" t="s">
        <v>199</v>
      </c>
      <c r="I161" s="15">
        <v>42610.068136574075</v>
      </c>
      <c r="J161" s="7">
        <v>0</v>
      </c>
      <c r="K161" s="132" t="str">
        <f>IF(ISEVEN(B161),(B161-1)&amp;"/"&amp;B161,B161&amp;"/"&amp;(B161+1))</f>
        <v>4029/4030</v>
      </c>
      <c r="L161" s="24" t="str">
        <f>VLOOKUP(A161,'Trips&amp;Operators'!$C$1:$E$10000,3,FALSE)</f>
        <v>STAMBAUGH</v>
      </c>
      <c r="M161" s="6">
        <f>I161-F161</f>
        <v>2.5995370371674653E-2</v>
      </c>
      <c r="N161" s="7">
        <f>24*60*SUM($M161:$M161)</f>
        <v>37.433333335211501</v>
      </c>
      <c r="O161" s="7"/>
      <c r="P161" s="7"/>
      <c r="Q161" s="25"/>
      <c r="R161" s="25"/>
      <c r="S161" s="37">
        <f>SUM(U161:U161)/IF(AG161="EC",12,1)</f>
        <v>1</v>
      </c>
      <c r="T161" s="52" t="str">
        <f>IF(ISEVEN(LEFT(AD161,4)),"Southbound","NorthBound")</f>
        <v>NorthBound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6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hh:mm:ss")&amp;"-0600',mode:absolute,to:'"&amp;TEXT(I161+1/24,"yyyy-MM-DD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https://search-rtdc-monitor-bjffxe2xuh6vdkpspy63sjmuny.us-east-1.es.amazonaws.com/_plugin/kibana/#/discover/Steve-Slow-Train-Analysis-(2080s-and-2083s)?_g=(refreshInterval:(display:Off,section:0,value:0),time:(from:'2016-08-27 23:38:22-0600',mode:absolute,to:'2016-08-28 02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61" s="54" t="str">
        <f>IF(AA161&lt;IF(AG161="EC",23,5.65),"Y","N")</f>
        <v>N</v>
      </c>
      <c r="X161" s="120">
        <f t="shared" si="81"/>
        <v>1</v>
      </c>
      <c r="Y161" s="69">
        <f>RIGHT(D161,LEN(D161)-4)/10000</f>
        <v>4.6899999999999997E-2</v>
      </c>
      <c r="Z161" s="69">
        <f>RIGHT(H161,LEN(H161)-4)/10000</f>
        <v>23.332699999999999</v>
      </c>
      <c r="AA161" s="69">
        <f>ABS(Z161-Y161)</f>
        <v>23.285799999999998</v>
      </c>
      <c r="AB161" s="66" t="e">
        <f>VLOOKUP(A161,Enforcements!$C$7:$J$21,8,0)</f>
        <v>#N/A</v>
      </c>
      <c r="AC161" s="62" t="e">
        <f>VLOOKUP(A161,Enforcements!$C$7:$E$21,3,0)</f>
        <v>#N/A</v>
      </c>
      <c r="AD161" s="63" t="str">
        <f>IF(LEN(A161)=6,"0"&amp;A161,A161)</f>
        <v>0245-27</v>
      </c>
      <c r="AE161" s="99" t="str">
        <f>"aws s3 cp "&amp;s3_bucket&amp;"/RTDC"&amp;B161&amp;"/"&amp;TEXT(F161,"YYYY-MM-DD")&amp;"/ "&amp;search_path&amp;"\RTDC"&amp;B161&amp;"\"&amp;TEXT(F161,"YYYY-MM-DD")&amp;" --recursive &amp; """&amp;walkandungz&amp;""" "&amp;search_path&amp;"\RTDC"&amp;B161&amp;"\"&amp;TEXT(F161,"YYYY-MM-DD")
&amp;" &amp; "&amp;"aws s3 cp "&amp;s3_bucket&amp;"/RTDC"&amp;B161&amp;"/"&amp;TEXT(F161+1,"YYYY-MM-DD")&amp;"/ "&amp;search_path&amp;"\RTDC"&amp;B161&amp;"\"&amp;TEXT(F161+1,"YYYY-MM-DD")&amp;" --recursive &amp; """&amp;walkandungz&amp;""" "&amp;search_path&amp;"\RTDC"&amp;B161&amp;"\"&amp;TEXT(F161+1,"YYYY-MM-DD")</f>
        <v>aws s3 cp s3://rtdc.mdm.uploadarchive/RTDC4029/2016-08-28/ "%USERPROFILE%\AppData\Local\Temp\OnboardLogs"\RTDC4029\2016-08-28 --recursive &amp; "%USERPROFILE%\Documents\GitHub\mrs-test-scripts\Headless Mode &amp; Sideloading\WalkAndUnGZ.bat" "%USERPROFILE%\AppData\Local\Temp\OnboardLogs"\RTDC4029\2016-08-28 &amp; aws s3 cp s3://rtdc.mdm.uploadarchive/RTDC4029/2016-08-29/ "%USERPROFILE%\AppData\Local\Temp\OnboardLogs"\RTDC4029\2016-08-29 --recursive &amp; "%USERPROFILE%\Documents\GitHub\mrs-test-scripts\Headless Mode &amp; Sideloading\WalkAndUnGZ.bat" "%USERPROFILE%\AppData\Local\Temp\OnboardLogs"\RTDC4029\2016-08-29</v>
      </c>
      <c r="AF161" s="96" t="str">
        <f>astrogrep_path&amp;" /spath="&amp;search_path&amp;" /stypes=""*"&amp;B161&amp;"*"&amp;TEXT(I161-utc_offset/24,"YYYYMMDD")&amp;"*"" /stext="" "&amp;TEXT(I161-utc_offset/24,"HH")&amp;search_regexp&amp;""" /e /r /s"</f>
        <v>"C:\Program Files (x86)\AstroGrep\AstroGrep.exe" /spath="%USERPROFILE%\AppData\Local\Temp\OnboardLogs" /stypes="*4029*20160828*" /stext=" 07:.+((SYSTEM_STATE.+slice.+state.+changed )|(ment ac)|(system.+state.+changed )|(\|lc)|(penalty)|(\[timeout)|(PRM\|1\|D)|(kpr)|(kdp))" /e /r /s</v>
      </c>
      <c r="AG161" s="1" t="str">
        <f>IFERROR(IF(VALUE(LEFT(AD161,2))&lt;=2,"EC",IF(OR(VALUE(LEFT(AD161,2))=8,VALUE(LEFT(AD161,2))=18),"NW","Other")),"Other")</f>
        <v>EC</v>
      </c>
      <c r="AH161" s="100" t="str">
        <f t="shared" si="79"/>
        <v>"%USERPROFILE%\Documents\GitHub\eaglep3\Utilities\RefineRTDCRunTimes.py" --tripid 245-27 --locoid 4029 --swversion DE.1.0.7.0 --startMP 204:469 --initTime 2016-08-28T00:38:22 --startdatetime 2016-08-28T01:00:41 --delay 1 --endMP 204:233327 --enddatetime 2016-08-28T01:38:07 --enforcementcount 0 &gt;&gt;C:\Users\stu\Documents\GitHub\eaglep3-reporting\EC\2016-08-27-refined-times.txt</v>
      </c>
      <c r="AI161" s="149" t="str">
        <f t="shared" si="80"/>
        <v>echo {"issue":{"subject":"","project_id":79,"tracker_id":40,"status_id":1,"priority_id":2,"assigned_to_id":23,"start_date":"2016-08-28","description":"","custom_fields":[{"id":1,"name":"Subdivision","value":"EC"},{"id":4,"name":"Milepost","value":"23.2858"},{"id":17,"name":"Train ID","value":"245-27"},{"id":16,"name":"Locomotive ID","value":"4029"},{"id":130,"name":"Impact","value":""},{"id":150,"name":"Time of Event (Mountain Time)","value":"01:38:07"},{"id":151,"name":"Denver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659</v>
      </c>
      <c r="B162" s="7">
        <v>4030</v>
      </c>
      <c r="C162" s="24" t="s">
        <v>113</v>
      </c>
      <c r="D162" s="24" t="s">
        <v>272</v>
      </c>
      <c r="E162" s="15">
        <v>42610.074999999997</v>
      </c>
      <c r="F162" s="15">
        <v>42610.080995370372</v>
      </c>
      <c r="G162" s="7">
        <v>1</v>
      </c>
      <c r="H162" s="15" t="s">
        <v>197</v>
      </c>
      <c r="I162" s="15">
        <v>42610.106909722221</v>
      </c>
      <c r="J162" s="7">
        <v>0</v>
      </c>
      <c r="K162" s="132" t="str">
        <f>IF(ISEVEN(B162),(B162-1)&amp;"/"&amp;B162,B162&amp;"/"&amp;(B162+1))</f>
        <v>4029/4030</v>
      </c>
      <c r="L162" s="24" t="str">
        <f>VLOOKUP(A162,'Trips&amp;Operators'!$C$1:$E$10000,3,FALSE)</f>
        <v>STAMBAUGH</v>
      </c>
      <c r="M162" s="6">
        <f>I162-F162</f>
        <v>2.5914351848769002E-2</v>
      </c>
      <c r="N162" s="7">
        <f>24*60*SUM($M162:$M162)</f>
        <v>37.316666662227362</v>
      </c>
      <c r="O162" s="7"/>
      <c r="P162" s="7"/>
      <c r="Q162" s="25"/>
      <c r="R162" s="25"/>
      <c r="S162" s="37">
        <f>SUM(U162:U162)/IF(AG162="EC",12,1)</f>
        <v>1</v>
      </c>
      <c r="T162" s="52" t="str">
        <f>IF(ISEVEN(LEFT(AD162,4)),"Southbound","NorthBound")</f>
        <v>Southbound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06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hh:mm:ss")&amp;"-0600',mode:absolute,to:'"&amp;TEXT(I162+1/24,"yyyy-MM-DD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https://search-rtdc-monitor-bjffxe2xuh6vdkpspy63sjmuny.us-east-1.es.amazonaws.com/_plugin/kibana/#/discover/Steve-Slow-Train-Analysis-(2080s-and-2083s)?_g=(refreshInterval:(display:Off,section:0,value:0),time:(from:'2016-08-28 00:48:00-0600',mode:absolute,to:'2016-08-28 03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62" s="54" t="str">
        <f>IF(AA162&lt;IF(AG162="EC",23,5.65),"Y","N")</f>
        <v>N</v>
      </c>
      <c r="X162" s="120">
        <f t="shared" si="81"/>
        <v>1</v>
      </c>
      <c r="Y162" s="69">
        <f>RIGHT(D162,LEN(D162)-4)/10000</f>
        <v>23.300999999999998</v>
      </c>
      <c r="Z162" s="69">
        <f>RIGHT(H162,LEN(H162)-4)/10000</f>
        <v>1.6500000000000001E-2</v>
      </c>
      <c r="AA162" s="69">
        <f>ABS(Z162-Y162)</f>
        <v>23.284499999999998</v>
      </c>
      <c r="AB162" s="66" t="e">
        <f>VLOOKUP(A162,Enforcements!$C$7:$J$21,8,0)</f>
        <v>#N/A</v>
      </c>
      <c r="AC162" s="62" t="e">
        <f>VLOOKUP(A162,Enforcements!$C$7:$E$21,3,0)</f>
        <v>#N/A</v>
      </c>
      <c r="AD162" s="63" t="str">
        <f>IF(LEN(A162)=6,"0"&amp;A162,A162)</f>
        <v>0246-27</v>
      </c>
      <c r="AE162" s="99" t="str">
        <f>"aws s3 cp "&amp;s3_bucket&amp;"/RTDC"&amp;B162&amp;"/"&amp;TEXT(F162,"YYYY-MM-DD")&amp;"/ "&amp;search_path&amp;"\RTDC"&amp;B162&amp;"\"&amp;TEXT(F162,"YYYY-MM-DD")&amp;" --recursive &amp; """&amp;walkandungz&amp;""" "&amp;search_path&amp;"\RTDC"&amp;B162&amp;"\"&amp;TEXT(F162,"YYYY-MM-DD")
&amp;" &amp; "&amp;"aws s3 cp "&amp;s3_bucket&amp;"/RTDC"&amp;B162&amp;"/"&amp;TEXT(F162+1,"YYYY-MM-DD")&amp;"/ "&amp;search_path&amp;"\RTDC"&amp;B162&amp;"\"&amp;TEXT(F162+1,"YYYY-MM-DD")&amp;" --recursive &amp; """&amp;walkandungz&amp;""" "&amp;search_path&amp;"\RTDC"&amp;B162&amp;"\"&amp;TEXT(F162+1,"YYYY-MM-DD")</f>
        <v>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 &amp; aws s3 cp s3://rtdc.mdm.uploadarchive/RTDC4030/2016-08-29/ "%USERPROFILE%\AppData\Local\Temp\OnboardLogs"\RTDC4030\2016-08-29 --recursive &amp; "%USERPROFILE%\Documents\GitHub\mrs-test-scripts\Headless Mode &amp; Sideloading\WalkAndUnGZ.bat" "%USERPROFILE%\AppData\Local\Temp\OnboardLogs"\RTDC4030\2016-08-29</v>
      </c>
      <c r="AF162" s="96" t="str">
        <f>astrogrep_path&amp;" /spath="&amp;search_path&amp;" /stypes=""*"&amp;B162&amp;"*"&amp;TEXT(I162-utc_offset/24,"YYYYMMDD")&amp;"*"" /stext="" "&amp;TEXT(I162-utc_offset/24,"HH")&amp;search_regexp&amp;""" /e /r /s"</f>
        <v>"C:\Program Files (x86)\AstroGrep\AstroGrep.exe" /spath="%USERPROFILE%\AppData\Local\Temp\OnboardLogs" /stypes="*4030*20160828*" /stext=" 08:.+((SYSTEM_STATE.+slice.+state.+changed )|(ment ac)|(system.+state.+changed )|(\|lc)|(penalty)|(\[timeout)|(PRM\|1\|D)|(kpr)|(kdp))" /e /r /s</v>
      </c>
      <c r="AG162" s="1" t="str">
        <f>IFERROR(IF(VALUE(LEFT(AD162,2))&lt;=2,"EC",IF(OR(VALUE(LEFT(AD162,2))=8,VALUE(LEFT(AD162,2))=18),"NW","Other")),"Other")</f>
        <v>EC</v>
      </c>
      <c r="AH162" s="100" t="str">
        <f t="shared" si="79"/>
        <v>"%USERPROFILE%\Documents\GitHub\eaglep3\Utilities\RefineRTDCRunTimes.py" --tripid 246-27 --locoid 4030 --swversion DE.1.0.7.0 --startMP 204:233010 --initTime 2016-08-28T01:48:00 --startdatetime 2016-08-28T01:56:38 --delay 1 --endMP 204:165 --enddatetime 2016-08-28T02:33:57 --enforcementcount 0 &gt;&gt;C:\Users\stu\Documents\GitHub\eaglep3-reporting\EC\2016-08-27-refined-times.txt</v>
      </c>
      <c r="AI162" s="149" t="str">
        <f t="shared" si="80"/>
        <v>echo {"issue":{"subject":"","project_id":79,"tracker_id":40,"status_id":1,"priority_id":2,"assigned_to_id":23,"start_date":"2016-08-28","description":"","custom_fields":[{"id":1,"name":"Subdivision","value":"EC"},{"id":4,"name":"Milepost","value":"23.2845"},{"id":17,"name":"Train ID","value":"246-27"},{"id":16,"name":"Locomotive ID","value":"4030"},{"id":130,"name":"Impact","value":""},{"id":150,"name":"Time of Event (Mountain Time)","value":"02:33:57"},{"id":151,"name":"Denver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501</v>
      </c>
      <c r="B163" s="7">
        <v>4008</v>
      </c>
      <c r="C163" s="24" t="s">
        <v>113</v>
      </c>
      <c r="D163" s="24" t="s">
        <v>282</v>
      </c>
      <c r="E163" s="15">
        <v>42609.226990740739</v>
      </c>
      <c r="F163" s="15">
        <v>42609.235069444447</v>
      </c>
      <c r="G163" s="7">
        <v>1</v>
      </c>
      <c r="H163" s="15" t="s">
        <v>373</v>
      </c>
      <c r="I163" s="15">
        <v>42609.245949074073</v>
      </c>
      <c r="J163" s="7">
        <v>0</v>
      </c>
      <c r="K163" s="132" t="str">
        <f>IF(ISEVEN(B163),(B163-1)&amp;"/"&amp;B163,B163&amp;"/"&amp;(B163+1))</f>
        <v>4007/4008</v>
      </c>
      <c r="L163" s="24" t="str">
        <f>VLOOKUP(A163,'Trips&amp;Operators'!$C$1:$E$10000,3,FALSE)</f>
        <v>YORK</v>
      </c>
      <c r="M163" s="6">
        <f>I163-F163</f>
        <v>1.0879629626288079E-2</v>
      </c>
      <c r="N163" s="7">
        <f>24*60*SUM($M163:$M163)</f>
        <v>15.666666661854833</v>
      </c>
      <c r="O163" s="7"/>
      <c r="P163" s="7"/>
      <c r="Q163" s="25"/>
      <c r="R163" s="25"/>
      <c r="S163" s="37">
        <f>SUM(U163:U163)/IF(AG163="EC",12,1)</f>
        <v>1</v>
      </c>
      <c r="T163" s="52" t="str">
        <f>IF(ISEVEN(LEFT(AD163,4)),"Southbound","NorthBound")</f>
        <v>Southbound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hh:mm:ss")&amp;"-0600',mode:absolute,to:'"&amp;TEXT(I163+1/24,"yyyy-MM-DD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https://search-rtdc-monitor-bjffxe2xuh6vdkpspy63sjmuny.us-east-1.es.amazonaws.com/_plugin/kibana/#/discover/Steve-Slow-Train-Analysis-(2080s-and-2083s)?_g=(refreshInterval:(display:Off,section:0,value:0),time:(from:'2016-08-27 04:26:52-0600',mode:absolute,to:'2016-08-27 06:54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63" s="54" t="str">
        <f>IF(AA163&lt;IF(AG163="EC",23,5.65),"Y","N")</f>
        <v>N</v>
      </c>
      <c r="X163" s="120">
        <f t="shared" si="81"/>
        <v>1554</v>
      </c>
      <c r="Y163" s="69">
        <f>RIGHT(D163,LEN(D163)-4)/10000</f>
        <v>5.8628</v>
      </c>
      <c r="Z163" s="69">
        <f>RIGHT(H163,LEN(H163)-4)/10000</f>
        <v>8.7400000000000005E-2</v>
      </c>
      <c r="AA163" s="69">
        <f>ABS(Z163-Y163)</f>
        <v>5.7754000000000003</v>
      </c>
      <c r="AB163" s="66" t="e">
        <f>VLOOKUP(A163,Enforcements!$C$7:$J$21,8,0)</f>
        <v>#N/A</v>
      </c>
      <c r="AC163" s="62" t="e">
        <f>VLOOKUP(A163,Enforcements!$C$7:$E$21,3,0)</f>
        <v>#N/A</v>
      </c>
      <c r="AD163" s="63" t="str">
        <f>IF(LEN(A163)=6,"0"&amp;A163,A163)</f>
        <v>1800-27</v>
      </c>
      <c r="AE163" s="99" t="str">
        <f>"aws s3 cp "&amp;s3_bucket&amp;"/RTDC"&amp;B163&amp;"/"&amp;TEXT(F163,"YYYY-MM-DD")&amp;"/ "&amp;search_path&amp;"\RTDC"&amp;B163&amp;"\"&amp;TEXT(F163,"YYYY-MM-DD")&amp;" --recursive &amp; """&amp;walkandungz&amp;""" "&amp;search_path&amp;"\RTDC"&amp;B163&amp;"\"&amp;TEXT(F163,"YYYY-MM-DD")
&amp;" &amp; "&amp;"aws s3 cp "&amp;s3_bucket&amp;"/RTDC"&amp;B163&amp;"/"&amp;TEXT(F163+1,"YYYY-MM-DD")&amp;"/ "&amp;search_path&amp;"\RTDC"&amp;B163&amp;"\"&amp;TEXT(F163+1,"YYYY-MM-DD")&amp;" --recursive &amp; """&amp;walkandungz&amp;""" "&amp;search_path&amp;"\RTDC"&amp;B163&amp;"\"&amp;TEXT(F163+1,"YYYY-MM-DD")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63" s="96" t="str">
        <f>astrogrep_path&amp;" /spath="&amp;search_path&amp;" /stypes=""*"&amp;B163&amp;"*"&amp;TEXT(I163-utc_offset/24,"YYYYMMDD")&amp;"*"" /stext="" "&amp;TEXT(I163-utc_offset/24,"HH")&amp;search_regexp&amp;""" /e /r /s"</f>
        <v>"C:\Program Files (x86)\AstroGrep\AstroGrep.exe" /spath="%USERPROFILE%\AppData\Local\Temp\OnboardLogs" /stypes="*4008*20160827*" /stext=" 11:.+((SYSTEM_STATE.+slice.+state.+changed )|(ment ac)|(system.+state.+changed )|(\|lc)|(penalty)|(\[timeout)|(PRM\|1\|D)|(kpr)|(kdp))" /e /r /s</v>
      </c>
      <c r="AG163" s="1" t="str">
        <f>IFERROR(IF(VALUE(LEFT(AD163,2))&lt;=2,"EC",IF(OR(VALUE(LEFT(AD163,2))=8,VALUE(LEFT(AD163,2))=18),"NW","Other")),"Other")</f>
        <v>NW</v>
      </c>
      <c r="AH163" s="100" t="str">
        <f t="shared" si="79"/>
        <v>"%USERPROFILE%\Documents\GitHub\eaglep3\Utilities\RefineRTDCRunTimes.py" --tripid 1800-27 --locoid 4008 --swversion DE.1.0.7.0 --startMP 300:58628 --initTime 2016-08-27T05:26:52 --startdatetime 2016-08-27T05:38:30 --delay 1 --endMP 204:874 --enddatetime 2016-08-27T05:54:10 --enforcementcount 0 &gt;&gt;C:\Users\stu\Documents\GitHub\eaglep3-reporting\EC\2016-08-27-refined-times.txt</v>
      </c>
      <c r="AI163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{"issue":{"subject":"","project_id":79,"tracker_id":40,"status_id":1,"priority_id":2,"assigned_to_id":23,"start_date":"2016-08-27","description":"","custom_fields":[{"id":1,"name":"Subdivision","value":"NW"},{"id":4,"name":"Milepost","value":"5.7754"},{"id":17,"name":"Train ID","value":"1800-27"},{"id":16,"name":"Locomotive ID","value":"4008"},{"id":130,"name":"Impact","value":""},{"id":150,"name":"Time of Event (Mountain Time)","value":"05:54:10"},{"id":151,"name":"Denver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502</v>
      </c>
      <c r="B164" s="7">
        <v>4007</v>
      </c>
      <c r="C164" s="24" t="s">
        <v>113</v>
      </c>
      <c r="D164" s="24" t="s">
        <v>503</v>
      </c>
      <c r="E164" s="15">
        <v>42609.246979166666</v>
      </c>
      <c r="F164" s="15">
        <v>42609.264849537038</v>
      </c>
      <c r="G164" s="7">
        <v>1</v>
      </c>
      <c r="H164" s="15" t="s">
        <v>504</v>
      </c>
      <c r="I164" s="15">
        <v>42609.273888888885</v>
      </c>
      <c r="J164" s="7">
        <v>0</v>
      </c>
      <c r="K164" s="132" t="str">
        <f>IF(ISEVEN(B164),(B164-1)&amp;"/"&amp;B164,B164&amp;"/"&amp;(B164+1))</f>
        <v>4007/4008</v>
      </c>
      <c r="L164" s="24" t="str">
        <f>VLOOKUP(A164,'Trips&amp;Operators'!$C$1:$E$10000,3,FALSE)</f>
        <v>YORK</v>
      </c>
      <c r="M164" s="6">
        <f>I164-F164</f>
        <v>9.0393518476048484E-3</v>
      </c>
      <c r="N164" s="7">
        <f>24*60*SUM($M164:$M164)</f>
        <v>13.016666660550982</v>
      </c>
      <c r="O164" s="7"/>
      <c r="P164" s="7"/>
      <c r="Q164" s="25"/>
      <c r="R164" s="25"/>
      <c r="S164" s="37">
        <f>SUM(U164:U164)/IF(AG164="EC",12,1)</f>
        <v>1</v>
      </c>
      <c r="T164" s="52" t="str">
        <f>IF(ISEVEN(LEFT(AD164,4)),"Southbound","NorthBound")</f>
        <v>NorthBound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hh:mm:ss")&amp;"-0600',mode:absolute,to:'"&amp;TEXT(I164+1/24,"yyyy-MM-DD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https://search-rtdc-monitor-bjffxe2xuh6vdkpspy63sjmuny.us-east-1.es.amazonaws.com/_plugin/kibana/#/discover/Steve-Slow-Train-Analysis-(2080s-and-2083s)?_g=(refreshInterval:(display:Off,section:0,value:0),time:(from:'2016-08-27 04:55:39-0600',mode:absolute,to:'2016-08-27 07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64" s="54" t="str">
        <f>IF(AA164&lt;IF(AG164="EC",23,5.65),"Y","N")</f>
        <v>N</v>
      </c>
      <c r="X164" s="120">
        <f t="shared" si="81"/>
        <v>1</v>
      </c>
      <c r="Y164" s="69">
        <f>RIGHT(D164,LEN(D164)-4)/10000</f>
        <v>0.1168</v>
      </c>
      <c r="Z164" s="69">
        <f>RIGHT(H164,LEN(H164)-4)/10000</f>
        <v>5.8933</v>
      </c>
      <c r="AA164" s="69">
        <f>ABS(Z164-Y164)</f>
        <v>5.7765000000000004</v>
      </c>
      <c r="AB164" s="66" t="e">
        <f>VLOOKUP(A164,Enforcements!$C$7:$J$21,8,0)</f>
        <v>#N/A</v>
      </c>
      <c r="AC164" s="62" t="e">
        <f>VLOOKUP(A164,Enforcements!$C$7:$E$21,3,0)</f>
        <v>#N/A</v>
      </c>
      <c r="AD164" s="63" t="str">
        <f>IF(LEN(A164)=6,"0"&amp;A164,A164)</f>
        <v>1801-27</v>
      </c>
      <c r="AE164" s="99" t="str">
        <f>"aws s3 cp "&amp;s3_bucket&amp;"/RTDC"&amp;B164&amp;"/"&amp;TEXT(F164,"YYYY-MM-DD")&amp;"/ "&amp;search_path&amp;"\RTDC"&amp;B164&amp;"\"&amp;TEXT(F164,"YYYY-MM-DD")&amp;" --recursive &amp; """&amp;walkandungz&amp;""" "&amp;search_path&amp;"\RTDC"&amp;B164&amp;"\"&amp;TEXT(F164,"YYYY-MM-DD")
&amp;" &amp; "&amp;"aws s3 cp "&amp;s3_bucket&amp;"/RTDC"&amp;B164&amp;"/"&amp;TEXT(F164+1,"YYYY-MM-DD")&amp;"/ "&amp;search_path&amp;"\RTDC"&amp;B164&amp;"\"&amp;TEXT(F164+1,"YYYY-MM-DD")&amp;" --recursive &amp; """&amp;walkandungz&amp;""" "&amp;search_path&amp;"\RTDC"&amp;B164&amp;"\"&amp;TEXT(F164+1,"YYYY-MM-DD")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64" s="96" t="str">
        <f>astrogrep_path&amp;" /spath="&amp;search_path&amp;" /stypes=""*"&amp;B164&amp;"*"&amp;TEXT(I164-utc_offset/24,"YYYYMMDD")&amp;"*"" /stext="" "&amp;TEXT(I164-utc_offset/24,"HH")&amp;search_regexp&amp;""" /e /r /s"</f>
        <v>"C:\Program Files (x86)\AstroGrep\AstroGrep.exe" /spath="%USERPROFILE%\AppData\Local\Temp\OnboardLogs" /stypes="*4007*20160827*" /stext=" 12:.+((SYSTEM_STATE.+slice.+state.+changed )|(ment ac)|(system.+state.+changed )|(\|lc)|(penalty)|(\[timeout)|(PRM\|1\|D)|(kpr)|(kdp))" /e /r /s</v>
      </c>
      <c r="AG164" s="1" t="str">
        <f>IFERROR(IF(VALUE(LEFT(AD164,2))&lt;=2,"EC",IF(OR(VALUE(LEFT(AD164,2))=8,VALUE(LEFT(AD164,2))=18),"NW","Other")),"Other")</f>
        <v>NW</v>
      </c>
      <c r="AH164" s="100" t="str">
        <f t="shared" si="79"/>
        <v>"%USERPROFILE%\Documents\GitHub\eaglep3\Utilities\RefineRTDCRunTimes.py" --tripid 1801-27 --locoid 4007 --swversion DE.1.0.7.0 --startMP 204:1168 --initTime 2016-08-27T05:55:39 --startdatetime 2016-08-27T06:21:23 --delay 1 --endMP 300:58933 --enddatetime 2016-08-27T06:34:24 --enforcementcount 0 &gt;&gt;C:\Users\stu\Documents\GitHub\eaglep3-reporting\EC\2016-08-27-refined-times.txt</v>
      </c>
      <c r="AI164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{"issue":{"subject":"","project_id":79,"tracker_id":40,"status_id":1,"priority_id":2,"assigned_to_id":23,"start_date":"2016-08-27","description":"","custom_fields":[{"id":1,"name":"Subdivision","value":"NW"},{"id":4,"name":"Milepost","value":"5.7765"},{"id":17,"name":"Train ID","value":"1801-27"},{"id":16,"name":"Locomotive ID","value":"4007"},{"id":130,"name":"Impact","value":""},{"id":150,"name":"Time of Event (Mountain Time)","value":"06:34:24"},{"id":151,"name":"Denver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505</v>
      </c>
      <c r="B165" s="7">
        <v>4008</v>
      </c>
      <c r="C165" s="24" t="s">
        <v>113</v>
      </c>
      <c r="D165" s="24" t="s">
        <v>506</v>
      </c>
      <c r="E165" s="15">
        <v>42609.275219907409</v>
      </c>
      <c r="F165" s="15">
        <v>42609.276493055557</v>
      </c>
      <c r="G165" s="7">
        <v>1</v>
      </c>
      <c r="H165" s="15" t="s">
        <v>507</v>
      </c>
      <c r="I165" s="15">
        <v>42609.287835648145</v>
      </c>
      <c r="J165" s="7">
        <v>0</v>
      </c>
      <c r="K165" s="132" t="str">
        <f>IF(ISEVEN(B165),(B165-1)&amp;"/"&amp;B165,B165&amp;"/"&amp;(B165+1))</f>
        <v>4007/4008</v>
      </c>
      <c r="L165" s="24" t="str">
        <f>VLOOKUP(A165,'Trips&amp;Operators'!$C$1:$E$10000,3,FALSE)</f>
        <v>YORK</v>
      </c>
      <c r="M165" s="6">
        <f>I165-F165</f>
        <v>1.134259258833481E-2</v>
      </c>
      <c r="N165" s="7">
        <f>24*60*SUM($M165:$M165)</f>
        <v>16.333333327202126</v>
      </c>
      <c r="O165" s="7"/>
      <c r="P165" s="7"/>
      <c r="Q165" s="25"/>
      <c r="R165" s="25"/>
      <c r="S165" s="37">
        <f>SUM(U165:U165)/IF(AG165="EC",12,1)</f>
        <v>1</v>
      </c>
      <c r="T165" s="52" t="str">
        <f>IF(ISEVEN(LEFT(AD165,4)),"Southbound","NorthBound")</f>
        <v>Southbound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hh:mm:ss")&amp;"-0600',mode:absolute,to:'"&amp;TEXT(I165+1/24,"yyyy-MM-DD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https://search-rtdc-monitor-bjffxe2xuh6vdkpspy63sjmuny.us-east-1.es.amazonaws.com/_plugin/kibana/#/discover/Steve-Slow-Train-Analysis-(2080s-and-2083s)?_g=(refreshInterval:(display:Off,section:0,value:0),time:(from:'2016-08-27 05:36:19-0600',mode:absolute,to:'2016-08-27 07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65" s="54" t="str">
        <f>IF(AA165&lt;IF(AG165="EC",23,5.65),"Y","N")</f>
        <v>N</v>
      </c>
      <c r="X165" s="120">
        <f t="shared" si="81"/>
        <v>1</v>
      </c>
      <c r="Y165" s="69">
        <f>RIGHT(D165,LEN(D165)-4)/10000</f>
        <v>5.8619000000000003</v>
      </c>
      <c r="Z165" s="69">
        <f>RIGHT(H165,LEN(H165)-4)/10000</f>
        <v>8.2000000000000003E-2</v>
      </c>
      <c r="AA165" s="69">
        <f>ABS(Z165-Y165)</f>
        <v>5.7799000000000005</v>
      </c>
      <c r="AB165" s="66" t="e">
        <f>VLOOKUP(A165,Enforcements!$C$7:$J$21,8,0)</f>
        <v>#N/A</v>
      </c>
      <c r="AC165" s="62" t="e">
        <f>VLOOKUP(A165,Enforcements!$C$7:$E$21,3,0)</f>
        <v>#N/A</v>
      </c>
      <c r="AD165" s="63" t="str">
        <f>IF(LEN(A165)=6,"0"&amp;A165,A165)</f>
        <v>1802-27</v>
      </c>
      <c r="AE165" s="99" t="str">
        <f>"aws s3 cp "&amp;s3_bucket&amp;"/RTDC"&amp;B165&amp;"/"&amp;TEXT(F165,"YYYY-MM-DD")&amp;"/ "&amp;search_path&amp;"\RTDC"&amp;B165&amp;"\"&amp;TEXT(F165,"YYYY-MM-DD")&amp;" --recursive &amp; """&amp;walkandungz&amp;""" "&amp;search_path&amp;"\RTDC"&amp;B165&amp;"\"&amp;TEXT(F165,"YYYY-MM-DD")
&amp;" &amp; "&amp;"aws s3 cp "&amp;s3_bucket&amp;"/RTDC"&amp;B165&amp;"/"&amp;TEXT(F165+1,"YYYY-MM-DD")&amp;"/ "&amp;search_path&amp;"\RTDC"&amp;B165&amp;"\"&amp;TEXT(F165+1,"YYYY-MM-DD")&amp;" --recursive &amp; """&amp;walkandungz&amp;""" "&amp;search_path&amp;"\RTDC"&amp;B165&amp;"\"&amp;TEXT(F165+1,"YYYY-MM-DD")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65" s="96" t="str">
        <f>astrogrep_path&amp;" /spath="&amp;search_path&amp;" /stypes=""*"&amp;B165&amp;"*"&amp;TEXT(I165-utc_offset/24,"YYYYMMDD")&amp;"*"" /stext="" "&amp;TEXT(I165-utc_offset/24,"HH")&amp;search_regexp&amp;""" /e /r /s"</f>
        <v>"C:\Program Files (x86)\AstroGrep\AstroGrep.exe" /spath="%USERPROFILE%\AppData\Local\Temp\OnboardLogs" /stypes="*4008*20160827*" /stext=" 12:.+((SYSTEM_STATE.+slice.+state.+changed )|(ment ac)|(system.+state.+changed )|(\|lc)|(penalty)|(\[timeout)|(PRM\|1\|D)|(kpr)|(kdp))" /e /r /s</v>
      </c>
      <c r="AG165" s="1" t="str">
        <f>IFERROR(IF(VALUE(LEFT(AD165,2))&lt;=2,"EC",IF(OR(VALUE(LEFT(AD165,2))=8,VALUE(LEFT(AD165,2))=18),"NW","Other")),"Other")</f>
        <v>NW</v>
      </c>
      <c r="AH165" s="100" t="str">
        <f t="shared" si="79"/>
        <v>"%USERPROFILE%\Documents\GitHub\eaglep3\Utilities\RefineRTDCRunTimes.py" --tripid 1802-27 --locoid 4008 --swversion DE.1.0.7.0 --startMP 300:58619 --initTime 2016-08-27T06:36:19 --startdatetime 2016-08-27T06:38:09 --delay 1 --endMP 204:820 --enddatetime 2016-08-27T06:54:29 --enforcementcount 0 &gt;&gt;C:\Users\stu\Documents\GitHub\eaglep3-reporting\EC\2016-08-27-refined-times.txt</v>
      </c>
      <c r="AI165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{"issue":{"subject":"","project_id":79,"tracker_id":40,"status_id":1,"priority_id":2,"assigned_to_id":23,"start_date":"2016-08-27","description":"","custom_fields":[{"id":1,"name":"Subdivision","value":"NW"},{"id":4,"name":"Milepost","value":"5.7799"},{"id":17,"name":"Train ID","value":"1802-27"},{"id":16,"name":"Locomotive ID","value":"4008"},{"id":130,"name":"Impact","value":""},{"id":150,"name":"Time of Event (Mountain Time)","value":"06:54:29"},{"id":151,"name":"Denver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508</v>
      </c>
      <c r="B166" s="7">
        <v>4007</v>
      </c>
      <c r="C166" s="24" t="s">
        <v>113</v>
      </c>
      <c r="D166" s="24" t="s">
        <v>509</v>
      </c>
      <c r="E166" s="15">
        <v>42609.288888888892</v>
      </c>
      <c r="F166" s="15">
        <v>42609.306423611109</v>
      </c>
      <c r="G166" s="7">
        <v>1</v>
      </c>
      <c r="H166" s="15" t="s">
        <v>510</v>
      </c>
      <c r="I166" s="15">
        <v>42609.31521990741</v>
      </c>
      <c r="J166" s="7">
        <v>0</v>
      </c>
      <c r="K166" s="132" t="str">
        <f>IF(ISEVEN(B166),(B166-1)&amp;"/"&amp;B166,B166&amp;"/"&amp;(B166+1))</f>
        <v>4007/4008</v>
      </c>
      <c r="L166" s="24" t="str">
        <f>VLOOKUP(A166,'Trips&amp;Operators'!$C$1:$E$10000,3,FALSE)</f>
        <v>YORK</v>
      </c>
      <c r="M166" s="6">
        <f>I166-F166</f>
        <v>8.7962963007157668E-3</v>
      </c>
      <c r="N166" s="7">
        <f>24*60*SUM($M166:$M166)</f>
        <v>12.666666673030704</v>
      </c>
      <c r="O166" s="7"/>
      <c r="P166" s="7"/>
      <c r="Q166" s="25"/>
      <c r="R166" s="25"/>
      <c r="S166" s="37">
        <f>SUM(U166:U166)/IF(AG166="EC",12,1)</f>
        <v>1</v>
      </c>
      <c r="T166" s="52" t="str">
        <f>IF(ISEVEN(LEFT(AD166,4)),"Southbound","NorthBound")</f>
        <v>NorthBound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hh:mm:ss")&amp;"-0600',mode:absolute,to:'"&amp;TEXT(I166+1/24,"yyyy-MM-DD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https://search-rtdc-monitor-bjffxe2xuh6vdkpspy63sjmuny.us-east-1.es.amazonaws.com/_plugin/kibana/#/discover/Steve-Slow-Train-Analysis-(2080s-and-2083s)?_g=(refreshInterval:(display:Off,section:0,value:0),time:(from:'2016-08-27 05:56:00-0600',mode:absolute,to:'2016-08-27 08:33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66" s="54" t="str">
        <f>IF(AA166&lt;IF(AG166="EC",23,5.65),"Y","N")</f>
        <v>N</v>
      </c>
      <c r="X166" s="120">
        <f t="shared" si="81"/>
        <v>1</v>
      </c>
      <c r="Y166" s="69">
        <f>RIGHT(D166,LEN(D166)-4)/10000</f>
        <v>0.1109</v>
      </c>
      <c r="Z166" s="69">
        <f>RIGHT(H166,LEN(H166)-4)/10000</f>
        <v>5.8952</v>
      </c>
      <c r="AA166" s="69">
        <f>ABS(Z166-Y166)</f>
        <v>5.7843</v>
      </c>
      <c r="AB166" s="66" t="e">
        <f>VLOOKUP(A166,Enforcements!$C$7:$J$21,8,0)</f>
        <v>#N/A</v>
      </c>
      <c r="AC166" s="62" t="e">
        <f>VLOOKUP(A166,Enforcements!$C$7:$E$21,3,0)</f>
        <v>#N/A</v>
      </c>
      <c r="AD166" s="63" t="str">
        <f>IF(LEN(A166)=6,"0"&amp;A166,A166)</f>
        <v>1803-27</v>
      </c>
      <c r="AE166" s="99" t="str">
        <f>"aws s3 cp "&amp;s3_bucket&amp;"/RTDC"&amp;B166&amp;"/"&amp;TEXT(F166,"YYYY-MM-DD")&amp;"/ "&amp;search_path&amp;"\RTDC"&amp;B166&amp;"\"&amp;TEXT(F166,"YYYY-MM-DD")&amp;" --recursive &amp; """&amp;walkandungz&amp;""" "&amp;search_path&amp;"\RTDC"&amp;B166&amp;"\"&amp;TEXT(F166,"YYYY-MM-DD")
&amp;" &amp; "&amp;"aws s3 cp "&amp;s3_bucket&amp;"/RTDC"&amp;B166&amp;"/"&amp;TEXT(F166+1,"YYYY-MM-DD")&amp;"/ "&amp;search_path&amp;"\RTDC"&amp;B166&amp;"\"&amp;TEXT(F166+1,"YYYY-MM-DD")&amp;" --recursive &amp; """&amp;walkandungz&amp;""" "&amp;search_path&amp;"\RTDC"&amp;B166&amp;"\"&amp;TEXT(F166+1,"YYYY-MM-DD")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66" s="96" t="str">
        <f>astrogrep_path&amp;" /spath="&amp;search_path&amp;" /stypes=""*"&amp;B166&amp;"*"&amp;TEXT(I166-utc_offset/24,"YYYYMMDD")&amp;"*"" /stext="" "&amp;TEXT(I166-utc_offset/24,"HH")&amp;search_regexp&amp;""" /e /r /s"</f>
        <v>"C:\Program Files (x86)\AstroGrep\AstroGrep.exe" /spath="%USERPROFILE%\AppData\Local\Temp\OnboardLogs" /stypes="*4007*20160827*" /stext=" 13:.+((SYSTEM_STATE.+slice.+state.+changed )|(ment ac)|(system.+state.+changed )|(\|lc)|(penalty)|(\[timeout)|(PRM\|1\|D)|(kpr)|(kdp))" /e /r /s</v>
      </c>
      <c r="AG166" s="1" t="str">
        <f>IFERROR(IF(VALUE(LEFT(AD166,2))&lt;=2,"EC",IF(OR(VALUE(LEFT(AD166,2))=8,VALUE(LEFT(AD166,2))=18),"NW","Other")),"Other")</f>
        <v>NW</v>
      </c>
      <c r="AH166" s="100" t="str">
        <f t="shared" si="79"/>
        <v>"%USERPROFILE%\Documents\GitHub\eaglep3\Utilities\RefineRTDCRunTimes.py" --tripid 1803-27 --locoid 4007 --swversion DE.1.0.7.0 --startMP 204:1109 --initTime 2016-08-27T06:56:00 --startdatetime 2016-08-27T07:21:15 --delay 1 --endMP 300:58952 --enddatetime 2016-08-27T07:33:55 --enforcementcount 0 &gt;&gt;C:\Users\stu\Documents\GitHub\eaglep3-reporting\EC\2016-08-27-refined-times.txt</v>
      </c>
      <c r="AI166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{"issue":{"subject":"","project_id":79,"tracker_id":40,"status_id":1,"priority_id":2,"assigned_to_id":23,"start_date":"2016-08-27","description":"","custom_fields":[{"id":1,"name":"Subdivision","value":"NW"},{"id":4,"name":"Milepost","value":"5.7843"},{"id":17,"name":"Train ID","value":"1803-27"},{"id":16,"name":"Locomotive ID","value":"4007"},{"id":130,"name":"Impact","value":""},{"id":150,"name":"Time of Event (Mountain Time)","value":"07:33:55"},{"id":151,"name":"Denver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511</v>
      </c>
      <c r="B167" s="7">
        <v>4008</v>
      </c>
      <c r="C167" s="24" t="s">
        <v>113</v>
      </c>
      <c r="D167" s="24" t="s">
        <v>512</v>
      </c>
      <c r="E167" s="15">
        <v>42609.316643518519</v>
      </c>
      <c r="F167" s="15">
        <v>42609.317893518521</v>
      </c>
      <c r="G167" s="7">
        <v>1</v>
      </c>
      <c r="H167" s="15" t="s">
        <v>513</v>
      </c>
      <c r="I167" s="15">
        <v>42609.32917824074</v>
      </c>
      <c r="J167" s="7">
        <v>0</v>
      </c>
      <c r="K167" s="132" t="str">
        <f>IF(ISEVEN(B167),(B167-1)&amp;"/"&amp;B167,B167&amp;"/"&amp;(B167+1))</f>
        <v>4007/4008</v>
      </c>
      <c r="L167" s="24" t="str">
        <f>VLOOKUP(A167,'Trips&amp;Operators'!$C$1:$E$10000,3,FALSE)</f>
        <v>YORK</v>
      </c>
      <c r="M167" s="6">
        <f>I167-F167</f>
        <v>1.1284722218988463E-2</v>
      </c>
      <c r="N167" s="7">
        <f>24*60*SUM($M167:$M167)</f>
        <v>16.249999995343387</v>
      </c>
      <c r="O167" s="7"/>
      <c r="P167" s="7"/>
      <c r="Q167" s="25"/>
      <c r="R167" s="25"/>
      <c r="S167" s="37">
        <f>SUM(U167:U167)/IF(AG167="EC",12,1)</f>
        <v>1</v>
      </c>
      <c r="T167" s="52" t="str">
        <f>IF(ISEVEN(LEFT(AD167,4)),"Southbound","NorthBound")</f>
        <v>Southbound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hh:mm:ss")&amp;"-0600',mode:absolute,to:'"&amp;TEXT(I167+1/24,"yyyy-MM-DD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https://search-rtdc-monitor-bjffxe2xuh6vdkpspy63sjmuny.us-east-1.es.amazonaws.com/_plugin/kibana/#/discover/Steve-Slow-Train-Analysis-(2080s-and-2083s)?_g=(refreshInterval:(display:Off,section:0,value:0),time:(from:'2016-08-27 06:35:58-0600',mode:absolute,to:'2016-08-27 08:54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67" s="54" t="str">
        <f>IF(AA167&lt;IF(AG167="EC",23,5.65),"Y","N")</f>
        <v>N</v>
      </c>
      <c r="X167" s="120">
        <f t="shared" si="81"/>
        <v>1</v>
      </c>
      <c r="Y167" s="69">
        <f>RIGHT(D167,LEN(D167)-4)/10000</f>
        <v>5.8638000000000003</v>
      </c>
      <c r="Z167" s="69">
        <f>RIGHT(H167,LEN(H167)-4)/10000</f>
        <v>8.0299999999999996E-2</v>
      </c>
      <c r="AA167" s="69">
        <f>ABS(Z167-Y167)</f>
        <v>5.7835000000000001</v>
      </c>
      <c r="AB167" s="66" t="e">
        <f>VLOOKUP(A167,Enforcements!$C$7:$J$21,8,0)</f>
        <v>#N/A</v>
      </c>
      <c r="AC167" s="62" t="e">
        <f>VLOOKUP(A167,Enforcements!$C$7:$E$21,3,0)</f>
        <v>#N/A</v>
      </c>
      <c r="AD167" s="63" t="str">
        <f>IF(LEN(A167)=6,"0"&amp;A167,A167)</f>
        <v>1804-27</v>
      </c>
      <c r="AE167" s="99" t="str">
        <f>"aws s3 cp "&amp;s3_bucket&amp;"/RTDC"&amp;B167&amp;"/"&amp;TEXT(F167,"YYYY-MM-DD")&amp;"/ "&amp;search_path&amp;"\RTDC"&amp;B167&amp;"\"&amp;TEXT(F167,"YYYY-MM-DD")&amp;" --recursive &amp; """&amp;walkandungz&amp;""" "&amp;search_path&amp;"\RTDC"&amp;B167&amp;"\"&amp;TEXT(F167,"YYYY-MM-DD")
&amp;" &amp; "&amp;"aws s3 cp "&amp;s3_bucket&amp;"/RTDC"&amp;B167&amp;"/"&amp;TEXT(F167+1,"YYYY-MM-DD")&amp;"/ "&amp;search_path&amp;"\RTDC"&amp;B167&amp;"\"&amp;TEXT(F167+1,"YYYY-MM-DD")&amp;" --recursive &amp; """&amp;walkandungz&amp;""" "&amp;search_path&amp;"\RTDC"&amp;B167&amp;"\"&amp;TEXT(F167+1,"YYYY-MM-DD")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67" s="96" t="str">
        <f>astrogrep_path&amp;" /spath="&amp;search_path&amp;" /stypes=""*"&amp;B167&amp;"*"&amp;TEXT(I167-utc_offset/24,"YYYYMMDD")&amp;"*"" /stext="" "&amp;TEXT(I167-utc_offset/24,"HH")&amp;search_regexp&amp;""" /e /r /s"</f>
        <v>"C:\Program Files (x86)\AstroGrep\AstroGrep.exe" /spath="%USERPROFILE%\AppData\Local\Temp\OnboardLogs" /stypes="*4008*20160827*" /stext=" 13:.+((SYSTEM_STATE.+slice.+state.+changed )|(ment ac)|(system.+state.+changed )|(\|lc)|(penalty)|(\[timeout)|(PRM\|1\|D)|(kpr)|(kdp))" /e /r /s</v>
      </c>
      <c r="AG167" s="1" t="str">
        <f>IFERROR(IF(VALUE(LEFT(AD167,2))&lt;=2,"EC",IF(OR(VALUE(LEFT(AD167,2))=8,VALUE(LEFT(AD167,2))=18),"NW","Other")),"Other")</f>
        <v>NW</v>
      </c>
      <c r="AH167" s="100" t="str">
        <f t="shared" si="79"/>
        <v>"%USERPROFILE%\Documents\GitHub\eaglep3\Utilities\RefineRTDCRunTimes.py" --tripid 1804-27 --locoid 4008 --swversion DE.1.0.7.0 --startMP 300:58638 --initTime 2016-08-27T07:35:58 --startdatetime 2016-08-27T07:37:46 --delay 1 --endMP 204:803 --enddatetime 2016-08-27T07:54:01 --enforcementcount 0 &gt;&gt;C:\Users\stu\Documents\GitHub\eaglep3-reporting\EC\2016-08-27-refined-times.txt</v>
      </c>
      <c r="AI167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{"issue":{"subject":"","project_id":79,"tracker_id":40,"status_id":1,"priority_id":2,"assigned_to_id":23,"start_date":"2016-08-27","description":"","custom_fields":[{"id":1,"name":"Subdivision","value":"NW"},{"id":4,"name":"Milepost","value":"5.7835"},{"id":17,"name":"Train ID","value":"1804-27"},{"id":16,"name":"Locomotive ID","value":"4008"},{"id":130,"name":"Impact","value":""},{"id":150,"name":"Time of Event (Mountain Time)","value":"07:54:01"},{"id":151,"name":"Denver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514</v>
      </c>
      <c r="B168" s="7">
        <v>4007</v>
      </c>
      <c r="C168" s="24" t="s">
        <v>113</v>
      </c>
      <c r="D168" s="24" t="s">
        <v>350</v>
      </c>
      <c r="E168" s="15">
        <v>42609.330208333333</v>
      </c>
      <c r="F168" s="15">
        <v>42609.348229166666</v>
      </c>
      <c r="G168" s="7">
        <v>1</v>
      </c>
      <c r="H168" s="15" t="s">
        <v>515</v>
      </c>
      <c r="I168" s="15">
        <v>42609.357210648152</v>
      </c>
      <c r="J168" s="7">
        <v>0</v>
      </c>
      <c r="K168" s="132" t="str">
        <f>IF(ISEVEN(B168),(B168-1)&amp;"/"&amp;B168,B168&amp;"/"&amp;(B168+1))</f>
        <v>4007/4008</v>
      </c>
      <c r="L168" s="24" t="str">
        <f>VLOOKUP(A168,'Trips&amp;Operators'!$C$1:$E$10000,3,FALSE)</f>
        <v>YORK</v>
      </c>
      <c r="M168" s="6">
        <f>I168-F168</f>
        <v>8.9814814855344594E-3</v>
      </c>
      <c r="N168" s="7">
        <f>24*60*SUM($M168:$M168)</f>
        <v>12.933333339169621</v>
      </c>
      <c r="O168" s="7"/>
      <c r="P168" s="7"/>
      <c r="Q168" s="25"/>
      <c r="R168" s="25"/>
      <c r="S168" s="37">
        <f>SUM(U168:U168)/IF(AG168="EC",12,1)</f>
        <v>1</v>
      </c>
      <c r="T168" s="52" t="str">
        <f>IF(ISEVEN(LEFT(AD168,4)),"Southbound","NorthBound")</f>
        <v>NorthBound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hh:mm:ss")&amp;"-0600',mode:absolute,to:'"&amp;TEXT(I168+1/24,"yyyy-MM-DD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https://search-rtdc-monitor-bjffxe2xuh6vdkpspy63sjmuny.us-east-1.es.amazonaws.com/_plugin/kibana/#/discover/Steve-Slow-Train-Analysis-(2080s-and-2083s)?_g=(refreshInterval:(display:Off,section:0,value:0),time:(from:'2016-08-27 06:55:30-0600',mode:absolute,to:'2016-08-27 09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68" s="54" t="str">
        <f>IF(AA168&lt;IF(AG168="EC",23,5.65),"Y","N")</f>
        <v>N</v>
      </c>
      <c r="X168" s="120">
        <f>VALUE(LEFT(AD168,4))-VALUE(LEFT(AD167,4))</f>
        <v>1</v>
      </c>
      <c r="Y168" s="69">
        <f>RIGHT(D168,LEN(D168)-4)/10000</f>
        <v>0.10979999999999999</v>
      </c>
      <c r="Z168" s="69">
        <f>RIGHT(H168,LEN(H168)-4)/10000</f>
        <v>5.8959999999999999</v>
      </c>
      <c r="AA168" s="69">
        <f>ABS(Z168-Y168)</f>
        <v>5.7862</v>
      </c>
      <c r="AB168" s="66" t="e">
        <f>VLOOKUP(A168,Enforcements!$C$7:$J$21,8,0)</f>
        <v>#N/A</v>
      </c>
      <c r="AC168" s="62" t="e">
        <f>VLOOKUP(A168,Enforcements!$C$7:$E$21,3,0)</f>
        <v>#N/A</v>
      </c>
      <c r="AD168" s="63" t="str">
        <f>IF(LEN(A168)=6,"0"&amp;A168,A168)</f>
        <v>1805-27</v>
      </c>
      <c r="AE168" s="99" t="str">
        <f>"aws s3 cp "&amp;s3_bucket&amp;"/RTDC"&amp;B168&amp;"/"&amp;TEXT(F168,"YYYY-MM-DD")&amp;"/ "&amp;search_path&amp;"\RTDC"&amp;B168&amp;"\"&amp;TEXT(F168,"YYYY-MM-DD")&amp;" --recursive &amp; """&amp;walkandungz&amp;""" "&amp;search_path&amp;"\RTDC"&amp;B168&amp;"\"&amp;TEXT(F168,"YYYY-MM-DD")
&amp;" &amp; "&amp;"aws s3 cp "&amp;s3_bucket&amp;"/RTDC"&amp;B168&amp;"/"&amp;TEXT(F168+1,"YYYY-MM-DD")&amp;"/ "&amp;search_path&amp;"\RTDC"&amp;B168&amp;"\"&amp;TEXT(F168+1,"YYYY-MM-DD")&amp;" --recursive &amp; """&amp;walkandungz&amp;""" "&amp;search_path&amp;"\RTDC"&amp;B168&amp;"\"&amp;TEXT(F168+1,"YYYY-MM-DD")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68" s="96" t="str">
        <f>astrogrep_path&amp;" /spath="&amp;search_path&amp;" /stypes=""*"&amp;B168&amp;"*"&amp;TEXT(I168-utc_offset/24,"YYYYMMDD")&amp;"*"" /stext="" "&amp;TEXT(I168-utc_offset/24,"HH")&amp;search_regexp&amp;""" /e /r /s"</f>
        <v>"C:\Program Files (x86)\AstroGrep\AstroGrep.exe" /spath="%USERPROFILE%\AppData\Local\Temp\OnboardLogs" /stypes="*4007*20160827*" /stext=" 14:.+((SYSTEM_STATE.+slice.+state.+changed )|(ment ac)|(system.+state.+changed )|(\|lc)|(penalty)|(\[timeout)|(PRM\|1\|D)|(kpr)|(kdp))" /e /r /s</v>
      </c>
      <c r="AG168" s="1" t="str">
        <f>IFERROR(IF(VALUE(LEFT(AD168,2))&lt;=2,"EC",IF(OR(VALUE(LEFT(AD168,2))=8,VALUE(LEFT(AD168,2))=18),"NW","Other")),"Other")</f>
        <v>NW</v>
      </c>
      <c r="AH168" s="100" t="str">
        <f t="shared" si="79"/>
        <v>"%USERPROFILE%\Documents\GitHub\eaglep3\Utilities\RefineRTDCRunTimes.py" --tripid 1805-27 --locoid 4007 --swversion DE.1.0.7.0 --startMP 204:1098 --initTime 2016-08-27T07:55:30 --startdatetime 2016-08-27T08:21:27 --delay 1 --endMP 300:58960 --enddatetime 2016-08-27T08:34:23 --enforcementcount 0 &gt;&gt;C:\Users\stu\Documents\GitHub\eaglep3-reporting\EC\2016-08-27-refined-times.txt</v>
      </c>
      <c r="AI168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{"issue":{"subject":"","project_id":79,"tracker_id":40,"status_id":1,"priority_id":2,"assigned_to_id":23,"start_date":"2016-08-27","description":"","custom_fields":[{"id":1,"name":"Subdivision","value":"NW"},{"id":4,"name":"Milepost","value":"5.7862"},{"id":17,"name":"Train ID","value":"1805-27"},{"id":16,"name":"Locomotive ID","value":"4007"},{"id":130,"name":"Impact","value":""},{"id":150,"name":"Time of Event (Mountain Time)","value":"08:34:23"},{"id":151,"name":"Denver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516</v>
      </c>
      <c r="B169" s="7">
        <v>4008</v>
      </c>
      <c r="C169" s="24" t="s">
        <v>113</v>
      </c>
      <c r="D169" s="24" t="s">
        <v>371</v>
      </c>
      <c r="E169" s="15">
        <v>42609.358657407407</v>
      </c>
      <c r="F169" s="15">
        <v>42609.359884259262</v>
      </c>
      <c r="G169" s="7">
        <v>1</v>
      </c>
      <c r="H169" s="15" t="s">
        <v>517</v>
      </c>
      <c r="I169" s="15">
        <v>42609.370787037034</v>
      </c>
      <c r="J169" s="7">
        <v>0</v>
      </c>
      <c r="K169" s="132" t="str">
        <f>IF(ISEVEN(B169),(B169-1)&amp;"/"&amp;B169,B169&amp;"/"&amp;(B169+1))</f>
        <v>4007/4008</v>
      </c>
      <c r="L169" s="24" t="str">
        <f>VLOOKUP(A169,'Trips&amp;Operators'!$C$1:$E$10000,3,FALSE)</f>
        <v>YORK</v>
      </c>
      <c r="M169" s="6">
        <f>I169-F169</f>
        <v>1.0902777772571426E-2</v>
      </c>
      <c r="N169" s="7">
        <f>24*60*SUM($M169:$M169)</f>
        <v>15.699999992502853</v>
      </c>
      <c r="O169" s="7"/>
      <c r="P169" s="7"/>
      <c r="Q169" s="25"/>
      <c r="R169" s="25"/>
      <c r="S169" s="37">
        <f>SUM(U169:U169)/IF(AG169="EC",12,1)</f>
        <v>1</v>
      </c>
      <c r="T169" s="52" t="str">
        <f>IF(ISEVEN(LEFT(AD169,4)),"Southbound","NorthBound")</f>
        <v>Southbound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hh:mm:ss")&amp;"-0600',mode:absolute,to:'"&amp;TEXT(I169+1/24,"yyyy-MM-DD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https://search-rtdc-monitor-bjffxe2xuh6vdkpspy63sjmuny.us-east-1.es.amazonaws.com/_plugin/kibana/#/discover/Steve-Slow-Train-Analysis-(2080s-and-2083s)?_g=(refreshInterval:(display:Off,section:0,value:0),time:(from:'2016-08-27 07:36:28-0600',mode:absolute,to:'2016-08-27 09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69" s="54" t="str">
        <f>IF(AA169&lt;IF(AG169="EC",23,5.65),"Y","N")</f>
        <v>N</v>
      </c>
      <c r="X169" s="120">
        <f>VALUE(LEFT(AD169,4))-VALUE(LEFT(AD168,4))</f>
        <v>1</v>
      </c>
      <c r="Y169" s="69">
        <f>RIGHT(D169,LEN(D169)-4)/10000</f>
        <v>5.8635999999999999</v>
      </c>
      <c r="Z169" s="69">
        <f>RIGHT(H169,LEN(H169)-4)/10000</f>
        <v>8.1100000000000005E-2</v>
      </c>
      <c r="AA169" s="69">
        <f>ABS(Z169-Y169)</f>
        <v>5.7824999999999998</v>
      </c>
      <c r="AB169" s="66" t="e">
        <f>VLOOKUP(A169,Enforcements!$C$7:$J$21,8,0)</f>
        <v>#N/A</v>
      </c>
      <c r="AC169" s="62" t="e">
        <f>VLOOKUP(A169,Enforcements!$C$7:$E$21,3,0)</f>
        <v>#N/A</v>
      </c>
      <c r="AD169" s="63" t="str">
        <f>IF(LEN(A169)=6,"0"&amp;A169,A169)</f>
        <v>1806-27</v>
      </c>
      <c r="AE169" s="99" t="str">
        <f>"aws s3 cp "&amp;s3_bucket&amp;"/RTDC"&amp;B169&amp;"/"&amp;TEXT(F169,"YYYY-MM-DD")&amp;"/ "&amp;search_path&amp;"\RTDC"&amp;B169&amp;"\"&amp;TEXT(F169,"YYYY-MM-DD")&amp;" --recursive &amp; """&amp;walkandungz&amp;""" "&amp;search_path&amp;"\RTDC"&amp;B169&amp;"\"&amp;TEXT(F169,"YYYY-MM-DD")
&amp;" &amp; "&amp;"aws s3 cp "&amp;s3_bucket&amp;"/RTDC"&amp;B169&amp;"/"&amp;TEXT(F169+1,"YYYY-MM-DD")&amp;"/ "&amp;search_path&amp;"\RTDC"&amp;B169&amp;"\"&amp;TEXT(F169+1,"YYYY-MM-DD")&amp;" --recursive &amp; """&amp;walkandungz&amp;""" "&amp;search_path&amp;"\RTDC"&amp;B169&amp;"\"&amp;TEXT(F169+1,"YYYY-MM-DD")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69" s="96" t="str">
        <f>astrogrep_path&amp;" /spath="&amp;search_path&amp;" /stypes=""*"&amp;B169&amp;"*"&amp;TEXT(I169-utc_offset/24,"YYYYMMDD")&amp;"*"" /stext="" "&amp;TEXT(I169-utc_offset/24,"HH")&amp;search_regexp&amp;""" /e /r /s"</f>
        <v>"C:\Program Files (x86)\AstroGrep\AstroGrep.exe" /spath="%USERPROFILE%\AppData\Local\Temp\OnboardLogs" /stypes="*4008*20160827*" /stext=" 14:.+((SYSTEM_STATE.+slice.+state.+changed )|(ment ac)|(system.+state.+changed )|(\|lc)|(penalty)|(\[timeout)|(PRM\|1\|D)|(kpr)|(kdp))" /e /r /s</v>
      </c>
      <c r="AG169" s="1" t="str">
        <f>IFERROR(IF(VALUE(LEFT(AD169,2))&lt;=2,"EC",IF(OR(VALUE(LEFT(AD169,2))=8,VALUE(LEFT(AD169,2))=18),"NW","Other")),"Other")</f>
        <v>NW</v>
      </c>
      <c r="AH169" s="100" t="str">
        <f t="shared" si="79"/>
        <v>"%USERPROFILE%\Documents\GitHub\eaglep3\Utilities\RefineRTDCRunTimes.py" --tripid 1806-27 --locoid 4008 --swversion DE.1.0.7.0 --startMP 300:58636 --initTime 2016-08-27T08:36:28 --startdatetime 2016-08-27T08:38:14 --delay 1 --endMP 204:811 --enddatetime 2016-08-27T08:53:56 --enforcementcount 0 &gt;&gt;C:\Users\stu\Documents\GitHub\eaglep3-reporting\EC\2016-08-27-refined-times.txt</v>
      </c>
      <c r="AI169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{"issue":{"subject":"","project_id":79,"tracker_id":40,"status_id":1,"priority_id":2,"assigned_to_id":23,"start_date":"2016-08-27","description":"","custom_fields":[{"id":1,"name":"Subdivision","value":"NW"},{"id":4,"name":"Milepost","value":"5.7825"},{"id":17,"name":"Train ID","value":"1806-27"},{"id":16,"name":"Locomotive ID","value":"4008"},{"id":130,"name":"Impact","value":""},{"id":150,"name":"Time of Event (Mountain Time)","value":"08:53:56"},{"id":151,"name":"Denver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518</v>
      </c>
      <c r="B170" s="7">
        <v>4007</v>
      </c>
      <c r="C170" s="24" t="s">
        <v>113</v>
      </c>
      <c r="D170" s="24" t="s">
        <v>509</v>
      </c>
      <c r="E170" s="15">
        <v>42609.37158564815</v>
      </c>
      <c r="F170" s="15">
        <v>42609.389988425923</v>
      </c>
      <c r="G170" s="7">
        <v>1</v>
      </c>
      <c r="H170" s="15" t="s">
        <v>519</v>
      </c>
      <c r="I170" s="15">
        <v>42609.398634259262</v>
      </c>
      <c r="J170" s="7">
        <v>0</v>
      </c>
      <c r="K170" s="132" t="str">
        <f>IF(ISEVEN(B170),(B170-1)&amp;"/"&amp;B170,B170&amp;"/"&amp;(B170+1))</f>
        <v>4007/4008</v>
      </c>
      <c r="L170" s="24" t="str">
        <f>VLOOKUP(A170,'Trips&amp;Operators'!$C$1:$E$10000,3,FALSE)</f>
        <v>YORK</v>
      </c>
      <c r="M170" s="6">
        <f>I170-F170</f>
        <v>8.6458333389600739E-3</v>
      </c>
      <c r="N170" s="7">
        <f>24*60*SUM($M170:$M170)</f>
        <v>12.450000008102506</v>
      </c>
      <c r="O170" s="7"/>
      <c r="P170" s="7"/>
      <c r="Q170" s="25"/>
      <c r="R170" s="25"/>
      <c r="S170" s="37">
        <f>SUM(U170:U170)/IF(AG170="EC",12,1)</f>
        <v>1</v>
      </c>
      <c r="T170" s="52" t="str">
        <f>IF(ISEVEN(LEFT(AD170,4)),"Southbound","NorthBound")</f>
        <v>NorthBound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hh:mm:ss")&amp;"-0600',mode:absolute,to:'"&amp;TEXT(I170+1/24,"yyyy-MM-DD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https://search-rtdc-monitor-bjffxe2xuh6vdkpspy63sjmuny.us-east-1.es.amazonaws.com/_plugin/kibana/#/discover/Steve-Slow-Train-Analysis-(2080s-and-2083s)?_g=(refreshInterval:(display:Off,section:0,value:0),time:(from:'2016-08-27 07:55:05-0600',mode:absolute,to:'2016-08-27 10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0" s="54" t="str">
        <f>IF(AA170&lt;IF(AG170="EC",23,5.65),"Y","N")</f>
        <v>N</v>
      </c>
      <c r="X170" s="120">
        <f>VALUE(LEFT(AD170,4))-VALUE(LEFT(AD169,4))</f>
        <v>1</v>
      </c>
      <c r="Y170" s="69">
        <f>RIGHT(D170,LEN(D170)-4)/10000</f>
        <v>0.1109</v>
      </c>
      <c r="Z170" s="69">
        <f>RIGHT(H170,LEN(H170)-4)/10000</f>
        <v>5.8944000000000001</v>
      </c>
      <c r="AA170" s="69">
        <f>ABS(Z170-Y170)</f>
        <v>5.7835000000000001</v>
      </c>
      <c r="AB170" s="66" t="e">
        <f>VLOOKUP(A170,Enforcements!$C$7:$J$21,8,0)</f>
        <v>#N/A</v>
      </c>
      <c r="AC170" s="62" t="e">
        <f>VLOOKUP(A170,Enforcements!$C$7:$E$21,3,0)</f>
        <v>#N/A</v>
      </c>
      <c r="AD170" s="63" t="str">
        <f>IF(LEN(A170)=6,"0"&amp;A170,A170)</f>
        <v>1807-27</v>
      </c>
      <c r="AE170" s="99" t="str">
        <f>"aws s3 cp "&amp;s3_bucket&amp;"/RTDC"&amp;B170&amp;"/"&amp;TEXT(F170,"YYYY-MM-DD")&amp;"/ "&amp;search_path&amp;"\RTDC"&amp;B170&amp;"\"&amp;TEXT(F170,"YYYY-MM-DD")&amp;" --recursive &amp; """&amp;walkandungz&amp;""" "&amp;search_path&amp;"\RTDC"&amp;B170&amp;"\"&amp;TEXT(F170,"YYYY-MM-DD")
&amp;" &amp; "&amp;"aws s3 cp "&amp;s3_bucket&amp;"/RTDC"&amp;B170&amp;"/"&amp;TEXT(F170+1,"YYYY-MM-DD")&amp;"/ "&amp;search_path&amp;"\RTDC"&amp;B170&amp;"\"&amp;TEXT(F170+1,"YYYY-MM-DD")&amp;" --recursive &amp; """&amp;walkandungz&amp;""" "&amp;search_path&amp;"\RTDC"&amp;B170&amp;"\"&amp;TEXT(F170+1,"YYYY-MM-DD")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70" s="96" t="str">
        <f>astrogrep_path&amp;" /spath="&amp;search_path&amp;" /stypes=""*"&amp;B170&amp;"*"&amp;TEXT(I170-utc_offset/24,"YYYYMMDD")&amp;"*"" /stext="" "&amp;TEXT(I170-utc_offset/24,"HH")&amp;search_regexp&amp;""" /e /r /s"</f>
        <v>"C:\Program Files (x86)\AstroGrep\AstroGrep.exe" /spath="%USERPROFILE%\AppData\Local\Temp\OnboardLogs" /stypes="*4007*20160827*" /stext=" 15:.+((SYSTEM_STATE.+slice.+state.+changed )|(ment ac)|(system.+state.+changed )|(\|lc)|(penalty)|(\[timeout)|(PRM\|1\|D)|(kpr)|(kdp))" /e /r /s</v>
      </c>
      <c r="AG170" s="1" t="str">
        <f>IFERROR(IF(VALUE(LEFT(AD170,2))&lt;=2,"EC",IF(OR(VALUE(LEFT(AD170,2))=8,VALUE(LEFT(AD170,2))=18),"NW","Other")),"Other")</f>
        <v>NW</v>
      </c>
      <c r="AH170" s="100" t="str">
        <f t="shared" si="79"/>
        <v>"%USERPROFILE%\Documents\GitHub\eaglep3\Utilities\RefineRTDCRunTimes.py" --tripid 1807-27 --locoid 4007 --swversion DE.1.0.7.0 --startMP 204:1109 --initTime 2016-08-27T08:55:05 --startdatetime 2016-08-27T09:21:35 --delay 1 --endMP 300:58944 --enddatetime 2016-08-27T09:34:02 --enforcementcount 0 &gt;&gt;C:\Users\stu\Documents\GitHub\eaglep3-reporting\EC\2016-08-27-refined-times.txt</v>
      </c>
      <c r="AI170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{"issue":{"subject":"","project_id":79,"tracker_id":40,"status_id":1,"priority_id":2,"assigned_to_id":23,"start_date":"2016-08-27","description":"","custom_fields":[{"id":1,"name":"Subdivision","value":"NW"},{"id":4,"name":"Milepost","value":"5.7835"},{"id":17,"name":"Train ID","value":"1807-27"},{"id":16,"name":"Locomotive ID","value":"4007"},{"id":130,"name":"Impact","value":""},{"id":150,"name":"Time of Event (Mountain Time)","value":"09:34:02"},{"id":151,"name":"Denver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520</v>
      </c>
      <c r="B171" s="7">
        <v>4008</v>
      </c>
      <c r="C171" s="24" t="s">
        <v>113</v>
      </c>
      <c r="D171" s="24" t="s">
        <v>521</v>
      </c>
      <c r="E171" s="15">
        <v>42609.399699074071</v>
      </c>
      <c r="F171" s="15">
        <v>42609.401099537034</v>
      </c>
      <c r="G171" s="7">
        <v>1</v>
      </c>
      <c r="H171" s="15" t="s">
        <v>369</v>
      </c>
      <c r="I171" s="15">
        <v>42609.41238425926</v>
      </c>
      <c r="J171" s="7">
        <v>0</v>
      </c>
      <c r="K171" s="132" t="str">
        <f>IF(ISEVEN(B171),(B171-1)&amp;"/"&amp;B171,B171&amp;"/"&amp;(B171+1))</f>
        <v>4007/4008</v>
      </c>
      <c r="L171" s="24" t="str">
        <f>VLOOKUP(A171,'Trips&amp;Operators'!$C$1:$E$10000,3,FALSE)</f>
        <v>YORK</v>
      </c>
      <c r="M171" s="6">
        <f>I171-F171</f>
        <v>1.1284722226264421E-2</v>
      </c>
      <c r="N171" s="7">
        <f>24*60*SUM($M171:$M171)</f>
        <v>16.250000005820766</v>
      </c>
      <c r="O171" s="7"/>
      <c r="P171" s="7"/>
      <c r="Q171" s="25"/>
      <c r="R171" s="25"/>
      <c r="S171" s="37">
        <f>SUM(U171:U171)/IF(AG171="EC",12,1)</f>
        <v>1</v>
      </c>
      <c r="T171" s="52" t="str">
        <f>IF(ISEVEN(LEFT(AD171,4)),"Southbound","NorthBound")</f>
        <v>Southbound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hh:mm:ss")&amp;"-0600',mode:absolute,to:'"&amp;TEXT(I171+1/24,"yyyy-MM-DD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https://search-rtdc-monitor-bjffxe2xuh6vdkpspy63sjmuny.us-east-1.es.amazonaws.com/_plugin/kibana/#/discover/Steve-Slow-Train-Analysis-(2080s-and-2083s)?_g=(refreshInterval:(display:Off,section:0,value:0),time:(from:'2016-08-27 08:35:34-0600',mode:absolute,to:'2016-08-27 10:53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1" s="54" t="str">
        <f>IF(AA171&lt;IF(AG171="EC",23,5.65),"Y","N")</f>
        <v>N</v>
      </c>
      <c r="X171" s="120">
        <f>VALUE(LEFT(AD171,4))-VALUE(LEFT(AD170,4))</f>
        <v>1</v>
      </c>
      <c r="Y171" s="69">
        <f>RIGHT(D171,LEN(D171)-4)/10000</f>
        <v>5.8630000000000004</v>
      </c>
      <c r="Z171" s="69">
        <f>RIGHT(H171,LEN(H171)-4)/10000</f>
        <v>7.8899999999999998E-2</v>
      </c>
      <c r="AA171" s="69">
        <f>ABS(Z171-Y171)</f>
        <v>5.7841000000000005</v>
      </c>
      <c r="AB171" s="66" t="e">
        <f>VLOOKUP(A171,Enforcements!$C$7:$J$21,8,0)</f>
        <v>#N/A</v>
      </c>
      <c r="AC171" s="62" t="e">
        <f>VLOOKUP(A171,Enforcements!$C$7:$E$21,3,0)</f>
        <v>#N/A</v>
      </c>
      <c r="AD171" s="63" t="str">
        <f>IF(LEN(A171)=6,"0"&amp;A171,A171)</f>
        <v>1808-27</v>
      </c>
      <c r="AE171" s="99" t="str">
        <f>"aws s3 cp "&amp;s3_bucket&amp;"/RTDC"&amp;B171&amp;"/"&amp;TEXT(F171,"YYYY-MM-DD")&amp;"/ "&amp;search_path&amp;"\RTDC"&amp;B171&amp;"\"&amp;TEXT(F171,"YYYY-MM-DD")&amp;" --recursive &amp; """&amp;walkandungz&amp;""" "&amp;search_path&amp;"\RTDC"&amp;B171&amp;"\"&amp;TEXT(F171,"YYYY-MM-DD")
&amp;" &amp; "&amp;"aws s3 cp "&amp;s3_bucket&amp;"/RTDC"&amp;B171&amp;"/"&amp;TEXT(F171+1,"YYYY-MM-DD")&amp;"/ "&amp;search_path&amp;"\RTDC"&amp;B171&amp;"\"&amp;TEXT(F171+1,"YYYY-MM-DD")&amp;" --recursive &amp; """&amp;walkandungz&amp;""" "&amp;search_path&amp;"\RTDC"&amp;B171&amp;"\"&amp;TEXT(F171+1,"YYYY-MM-DD")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71" s="96" t="str">
        <f>astrogrep_path&amp;" /spath="&amp;search_path&amp;" /stypes=""*"&amp;B171&amp;"*"&amp;TEXT(I171-utc_offset/24,"YYYYMMDD")&amp;"*"" /stext="" "&amp;TEXT(I171-utc_offset/24,"HH")&amp;search_regexp&amp;""" /e /r /s"</f>
        <v>"C:\Program Files (x86)\AstroGrep\AstroGrep.exe" /spath="%USERPROFILE%\AppData\Local\Temp\OnboardLogs" /stypes="*4008*20160827*" /stext=" 15:.+((SYSTEM_STATE.+slice.+state.+changed )|(ment ac)|(system.+state.+changed )|(\|lc)|(penalty)|(\[timeout)|(PRM\|1\|D)|(kpr)|(kdp))" /e /r /s</v>
      </c>
      <c r="AG171" s="1" t="str">
        <f>IFERROR(IF(VALUE(LEFT(AD171,2))&lt;=2,"EC",IF(OR(VALUE(LEFT(AD171,2))=8,VALUE(LEFT(AD171,2))=18),"NW","Other")),"Other")</f>
        <v>NW</v>
      </c>
      <c r="AH171" s="100" t="str">
        <f t="shared" si="79"/>
        <v>"%USERPROFILE%\Documents\GitHub\eaglep3\Utilities\RefineRTDCRunTimes.py" --tripid 1808-27 --locoid 4008 --swversion DE.1.0.7.0 --startMP 300:58630 --initTime 2016-08-27T09:35:34 --startdatetime 2016-08-27T09:37:35 --delay 1 --endMP 204:789 --enddatetime 2016-08-27T09:53:50 --enforcementcount 0 &gt;&gt;C:\Users\stu\Documents\GitHub\eaglep3-reporting\EC\2016-08-27-refined-times.txt</v>
      </c>
      <c r="AI171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{"issue":{"subject":"","project_id":79,"tracker_id":40,"status_id":1,"priority_id":2,"assigned_to_id":23,"start_date":"2016-08-27","description":"","custom_fields":[{"id":1,"name":"Subdivision","value":"NW"},{"id":4,"name":"Milepost","value":"5.7841"},{"id":17,"name":"Train ID","value":"1808-27"},{"id":16,"name":"Locomotive ID","value":"4008"},{"id":130,"name":"Impact","value":""},{"id":150,"name":"Time of Event (Mountain Time)","value":"09:53:50"},{"id":151,"name":"Denver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522</v>
      </c>
      <c r="B172" s="7">
        <v>4007</v>
      </c>
      <c r="C172" s="24" t="s">
        <v>113</v>
      </c>
      <c r="D172" s="24" t="s">
        <v>523</v>
      </c>
      <c r="E172" s="15">
        <v>42609.413298611114</v>
      </c>
      <c r="F172" s="15">
        <v>42609.431493055556</v>
      </c>
      <c r="G172" s="7">
        <v>1</v>
      </c>
      <c r="H172" s="15" t="s">
        <v>287</v>
      </c>
      <c r="I172" s="15">
        <v>42609.440787037034</v>
      </c>
      <c r="J172" s="7">
        <v>0</v>
      </c>
      <c r="K172" s="132" t="str">
        <f>IF(ISEVEN(B172),(B172-1)&amp;"/"&amp;B172,B172&amp;"/"&amp;(B172+1))</f>
        <v>4007/4008</v>
      </c>
      <c r="L172" s="24" t="str">
        <f>VLOOKUP(A172,'Trips&amp;Operators'!$C$1:$E$10000,3,FALSE)</f>
        <v>YORK</v>
      </c>
      <c r="M172" s="6">
        <f>I172-F172</f>
        <v>9.29398147854954E-3</v>
      </c>
      <c r="N172" s="7">
        <f>24*60*SUM($M172:$M172)</f>
        <v>13.383333329111338</v>
      </c>
      <c r="O172" s="7"/>
      <c r="P172" s="7"/>
      <c r="Q172" s="25"/>
      <c r="R172" s="25"/>
      <c r="S172" s="37">
        <f>SUM(U172:U172)/IF(AG172="EC",12,1)</f>
        <v>1</v>
      </c>
      <c r="T172" s="52" t="str">
        <f>IF(ISEVEN(LEFT(AD172,4)),"Southbound","NorthBound")</f>
        <v>NorthBound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hh:mm:ss")&amp;"-0600',mode:absolute,to:'"&amp;TEXT(I172+1/24,"yyyy-MM-DD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https://search-rtdc-monitor-bjffxe2xuh6vdkpspy63sjmuny.us-east-1.es.amazonaws.com/_plugin/kibana/#/discover/Steve-Slow-Train-Analysis-(2080s-and-2083s)?_g=(refreshInterval:(display:Off,section:0,value:0),time:(from:'2016-08-27 08:55:09-0600',mode:absolute,to:'2016-08-27 11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2" s="54" t="str">
        <f>IF(AA172&lt;IF(AG172="EC",23,5.65),"Y","N")</f>
        <v>N</v>
      </c>
      <c r="X172" s="120">
        <f>VALUE(LEFT(AD172,4))-VALUE(LEFT(AD171,4))</f>
        <v>1</v>
      </c>
      <c r="Y172" s="69">
        <f>RIGHT(D172,LEN(D172)-4)/10000</f>
        <v>0.1074</v>
      </c>
      <c r="Z172" s="69">
        <f>RIGHT(H172,LEN(H172)-4)/10000</f>
        <v>5.8945999999999996</v>
      </c>
      <c r="AA172" s="69">
        <f>ABS(Z172-Y172)</f>
        <v>5.7871999999999995</v>
      </c>
      <c r="AB172" s="66" t="e">
        <f>VLOOKUP(A172,Enforcements!$C$7:$J$21,8,0)</f>
        <v>#N/A</v>
      </c>
      <c r="AC172" s="62" t="e">
        <f>VLOOKUP(A172,Enforcements!$C$7:$E$21,3,0)</f>
        <v>#N/A</v>
      </c>
      <c r="AD172" s="63" t="str">
        <f>IF(LEN(A172)=6,"0"&amp;A172,A172)</f>
        <v>1809-27</v>
      </c>
      <c r="AE172" s="99" t="str">
        <f>"aws s3 cp "&amp;s3_bucket&amp;"/RTDC"&amp;B172&amp;"/"&amp;TEXT(F172,"YYYY-MM-DD")&amp;"/ "&amp;search_path&amp;"\RTDC"&amp;B172&amp;"\"&amp;TEXT(F172,"YYYY-MM-DD")&amp;" --recursive &amp; """&amp;walkandungz&amp;""" "&amp;search_path&amp;"\RTDC"&amp;B172&amp;"\"&amp;TEXT(F172,"YYYY-MM-DD")
&amp;" &amp; "&amp;"aws s3 cp "&amp;s3_bucket&amp;"/RTDC"&amp;B172&amp;"/"&amp;TEXT(F172+1,"YYYY-MM-DD")&amp;"/ "&amp;search_path&amp;"\RTDC"&amp;B172&amp;"\"&amp;TEXT(F172+1,"YYYY-MM-DD")&amp;" --recursive &amp; """&amp;walkandungz&amp;""" "&amp;search_path&amp;"\RTDC"&amp;B172&amp;"\"&amp;TEXT(F172+1,"YYYY-MM-DD")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72" s="96" t="str">
        <f>astrogrep_path&amp;" /spath="&amp;search_path&amp;" /stypes=""*"&amp;B172&amp;"*"&amp;TEXT(I172-utc_offset/24,"YYYYMMDD")&amp;"*"" /stext="" "&amp;TEXT(I172-utc_offset/24,"HH")&amp;search_regexp&amp;""" /e /r /s"</f>
        <v>"C:\Program Files (x86)\AstroGrep\AstroGrep.exe" /spath="%USERPROFILE%\AppData\Local\Temp\OnboardLogs" /stypes="*4007*20160827*" /stext=" 16:.+((SYSTEM_STATE.+slice.+state.+changed )|(ment ac)|(system.+state.+changed )|(\|lc)|(penalty)|(\[timeout)|(PRM\|1\|D)|(kpr)|(kdp))" /e /r /s</v>
      </c>
      <c r="AG172" s="1" t="str">
        <f>IFERROR(IF(VALUE(LEFT(AD172,2))&lt;=2,"EC",IF(OR(VALUE(LEFT(AD172,2))=8,VALUE(LEFT(AD172,2))=18),"NW","Other")),"Other")</f>
        <v>NW</v>
      </c>
      <c r="AH172" s="100" t="str">
        <f t="shared" si="79"/>
        <v>"%USERPROFILE%\Documents\GitHub\eaglep3\Utilities\RefineRTDCRunTimes.py" --tripid 1809-27 --locoid 4007 --swversion DE.1.0.7.0 --startMP 204:1074 --initTime 2016-08-27T09:55:09 --startdatetime 2016-08-27T10:21:21 --delay 1 --endMP 300:58946 --enddatetime 2016-08-27T10:34:44 --enforcementcount 0 &gt;&gt;C:\Users\stu\Documents\GitHub\eaglep3-reporting\EC\2016-08-27-refined-times.txt</v>
      </c>
      <c r="AI172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{"issue":{"subject":"","project_id":79,"tracker_id":40,"status_id":1,"priority_id":2,"assigned_to_id":23,"start_date":"2016-08-27","description":"","custom_fields":[{"id":1,"name":"Subdivision","value":"NW"},{"id":4,"name":"Milepost","value":"5.7872"},{"id":17,"name":"Train ID","value":"1809-27"},{"id":16,"name":"Locomotive ID","value":"4007"},{"id":130,"name":"Impact","value":""},{"id":150,"name":"Time of Event (Mountain Time)","value":"10:34:44"},{"id":151,"name":"Denver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526</v>
      </c>
      <c r="B173" s="7">
        <v>4008</v>
      </c>
      <c r="C173" s="24" t="s">
        <v>113</v>
      </c>
      <c r="D173" s="24" t="s">
        <v>512</v>
      </c>
      <c r="E173" s="15">
        <v>42609.442025462966</v>
      </c>
      <c r="F173" s="15">
        <v>42609.443240740744</v>
      </c>
      <c r="G173" s="7">
        <v>0</v>
      </c>
      <c r="H173" s="15" t="s">
        <v>527</v>
      </c>
      <c r="I173" s="15">
        <v>42609.453981481478</v>
      </c>
      <c r="J173" s="7">
        <v>0</v>
      </c>
      <c r="K173" s="132" t="str">
        <f>IF(ISEVEN(B173),(B173-1)&amp;"/"&amp;B173,B173&amp;"/"&amp;(B173+1))</f>
        <v>4007/4008</v>
      </c>
      <c r="L173" s="24" t="str">
        <f>VLOOKUP(A173,'Trips&amp;Operators'!$C$1:$E$10000,3,FALSE)</f>
        <v>YORK</v>
      </c>
      <c r="M173" s="6">
        <f>I173-F173</f>
        <v>1.0740740734036081E-2</v>
      </c>
      <c r="N173" s="7">
        <f>24*60*SUM($M173:$M173)</f>
        <v>15.466666657011956</v>
      </c>
      <c r="O173" s="7"/>
      <c r="P173" s="7"/>
      <c r="Q173" s="25"/>
      <c r="R173" s="25"/>
      <c r="S173" s="37">
        <f>SUM(U173:U173)/IF(AG173="EC",12,1)</f>
        <v>1</v>
      </c>
      <c r="T173" s="52" t="str">
        <f>IF(ISEVEN(LEFT(AD173,4)),"Southbound","NorthBound")</f>
        <v>Southbound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https://search-rtdc-monitor-bjffxe2xuh6vdkpspy63sjmuny.us-east-1.es.amazonaws.com/_plugin/kibana/#/discover/Steve-Slow-Train-Analysis-(2080s-and-2083s)?_g=(refreshInterval:(display:Off,section:0,value:0),time:(from:'2016-08-27 09:36:31-0600',mode:absolute,to:'2016-08-27 11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3" s="54" t="str">
        <f>IF(AA173&lt;IF(AG173="EC",23,5.65),"Y","N")</f>
        <v>N</v>
      </c>
      <c r="X173" s="120">
        <f>VALUE(LEFT(AD173,4))-VALUE(LEFT(AD172,4))</f>
        <v>1</v>
      </c>
      <c r="Y173" s="69">
        <f>RIGHT(D173,LEN(D173)-4)/10000</f>
        <v>5.8638000000000003</v>
      </c>
      <c r="Z173" s="69">
        <f>RIGHT(H173,LEN(H173)-4)/10000</f>
        <v>8.3099999999999993E-2</v>
      </c>
      <c r="AA173" s="69">
        <f>ABS(Z173-Y173)</f>
        <v>5.7807000000000004</v>
      </c>
      <c r="AB173" s="66" t="e">
        <f>VLOOKUP(A173,Enforcements!$C$7:$J$21,8,0)</f>
        <v>#N/A</v>
      </c>
      <c r="AC173" s="62" t="e">
        <f>VLOOKUP(A173,Enforcements!$C$7:$E$21,3,0)</f>
        <v>#N/A</v>
      </c>
      <c r="AD173" s="63" t="str">
        <f>IF(LEN(A173)=6,"0"&amp;A173,A173)</f>
        <v>1810-27</v>
      </c>
      <c r="AE173" s="99" t="str">
        <f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73" s="96" t="str">
        <f>astrogrep_path&amp;" /spath="&amp;search_path&amp;" /stypes=""*"&amp;B173&amp;"*"&amp;TEXT(I173-utc_offset/24,"YYYYMMDD")&amp;"*"" /stext="" "&amp;TEXT(I173-utc_offset/24,"HH")&amp;search_regexp&amp;""" /e /r /s"</f>
        <v>"C:\Program Files (x86)\AstroGrep\AstroGrep.exe" /spath="%USERPROFILE%\AppData\Local\Temp\OnboardLogs" /stypes="*4008*20160827*" /stext=" 16:.+((SYSTEM_STATE.+slice.+state.+changed )|(ment ac)|(system.+state.+changed )|(\|lc)|(penalty)|(\[timeout)|(PRM\|1\|D)|(kpr)|(kdp))" /e /r /s</v>
      </c>
      <c r="AG173" s="1" t="str">
        <f>IFERROR(IF(VALUE(LEFT(AD173,2))&lt;=2,"EC",IF(OR(VALUE(LEFT(AD173,2))=8,VALUE(LEFT(AD173,2))=18),"NW","Other")),"Other")</f>
        <v>NW</v>
      </c>
      <c r="AH173" s="100" t="str">
        <f t="shared" si="79"/>
        <v>"%USERPROFILE%\Documents\GitHub\eaglep3\Utilities\RefineRTDCRunTimes.py" --tripid 1810-27 --locoid 4008 --swversion DE.1.0.7.0 --startMP 300:58638 --initTime 2016-08-27T10:36:31 --startdatetime 2016-08-27T10:38:16 --delay 0 --endMP 204:831 --enddatetime 2016-08-27T10:53:44 --enforcementcount 0 &gt;&gt;C:\Users\stu\Documents\GitHub\eaglep3-reporting\EC\2016-08-27-refined-times.txt</v>
      </c>
      <c r="AI173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{"issue":{"subject":"","project_id":79,"tracker_id":40,"status_id":1,"priority_id":2,"assigned_to_id":23,"start_date":"2016-08-27","description":"","custom_fields":[{"id":1,"name":"Subdivision","value":"NW"},{"id":4,"name":"Milepost","value":"5.7807"},{"id":17,"name":"Train ID","value":"1810-27"},{"id":16,"name":"Locomotive ID","value":"4008"},{"id":130,"name":"Impact","value":""},{"id":150,"name":"Time of Event (Mountain Time)","value":"10:53:44"},{"id":151,"name":"Denver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528</v>
      </c>
      <c r="B174" s="7">
        <v>4007</v>
      </c>
      <c r="C174" s="24" t="s">
        <v>113</v>
      </c>
      <c r="D174" s="24" t="s">
        <v>372</v>
      </c>
      <c r="E174" s="15">
        <v>42609.454837962963</v>
      </c>
      <c r="F174" s="15">
        <v>42609.473402777781</v>
      </c>
      <c r="G174" s="7">
        <v>1</v>
      </c>
      <c r="H174" s="15" t="s">
        <v>287</v>
      </c>
      <c r="I174" s="15">
        <v>42609.482905092591</v>
      </c>
      <c r="J174" s="7">
        <v>0</v>
      </c>
      <c r="K174" s="132" t="str">
        <f>IF(ISEVEN(B174),(B174-1)&amp;"/"&amp;B174,B174&amp;"/"&amp;(B174+1))</f>
        <v>4007/4008</v>
      </c>
      <c r="L174" s="24" t="str">
        <f>VLOOKUP(A174,'Trips&amp;Operators'!$C$1:$E$10000,3,FALSE)</f>
        <v>YORK</v>
      </c>
      <c r="M174" s="6">
        <f>I174-F174</f>
        <v>9.5023148096515797E-3</v>
      </c>
      <c r="N174" s="7">
        <f>24*60*SUM($M174:$M174)</f>
        <v>13.683333325898275</v>
      </c>
      <c r="O174" s="7"/>
      <c r="P174" s="7"/>
      <c r="Q174" s="25"/>
      <c r="R174" s="25"/>
      <c r="S174" s="37">
        <f>SUM(U174:U174)/IF(AG174="EC",12,1)</f>
        <v>1</v>
      </c>
      <c r="T174" s="52" t="str">
        <f>IF(ISEVEN(LEFT(AD174,4)),"Southbound","NorthBound")</f>
        <v>NorthBound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hh:mm:ss")&amp;"-0600',mode:absolute,to:'"&amp;TEXT(I174+1/24,"yyyy-MM-DD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https://search-rtdc-monitor-bjffxe2xuh6vdkpspy63sjmuny.us-east-1.es.amazonaws.com/_plugin/kibana/#/discover/Steve-Slow-Train-Analysis-(2080s-and-2083s)?_g=(refreshInterval:(display:Off,section:0,value:0),time:(from:'2016-08-27 09:54:58-0600',mode:absolute,to:'2016-08-27 12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4" s="54" t="str">
        <f>IF(AA174&lt;IF(AG174="EC",23,5.65),"Y","N")</f>
        <v>N</v>
      </c>
      <c r="X174" s="120">
        <f t="shared" ref="X174:X179" si="82">VALUE(LEFT(AD174,4))-VALUE(LEFT(AD173,4))</f>
        <v>1</v>
      </c>
      <c r="Y174" s="69">
        <f>RIGHT(D174,LEN(D174)-4)/10000</f>
        <v>0.1118</v>
      </c>
      <c r="Z174" s="69">
        <f>RIGHT(H174,LEN(H174)-4)/10000</f>
        <v>5.8945999999999996</v>
      </c>
      <c r="AA174" s="69">
        <f>ABS(Z174-Y174)</f>
        <v>5.7827999999999999</v>
      </c>
      <c r="AB174" s="66" t="e">
        <f>VLOOKUP(A174,Enforcements!$C$7:$J$21,8,0)</f>
        <v>#N/A</v>
      </c>
      <c r="AC174" s="62" t="e">
        <f>VLOOKUP(A174,Enforcements!$C$7:$E$21,3,0)</f>
        <v>#N/A</v>
      </c>
      <c r="AD174" s="63" t="str">
        <f>IF(LEN(A174)=6,"0"&amp;A174,A174)</f>
        <v>1811-27</v>
      </c>
      <c r="AE174" s="99" t="str">
        <f>"aws s3 cp "&amp;s3_bucket&amp;"/RTDC"&amp;B174&amp;"/"&amp;TEXT(F174,"YYYY-MM-DD")&amp;"/ "&amp;search_path&amp;"\RTDC"&amp;B174&amp;"\"&amp;TEXT(F174,"YYYY-MM-DD")&amp;" --recursive &amp; """&amp;walkandungz&amp;""" "&amp;search_path&amp;"\RTDC"&amp;B174&amp;"\"&amp;TEXT(F174,"YYYY-MM-DD")
&amp;" &amp; "&amp;"aws s3 cp "&amp;s3_bucket&amp;"/RTDC"&amp;B174&amp;"/"&amp;TEXT(F174+1,"YYYY-MM-DD")&amp;"/ "&amp;search_path&amp;"\RTDC"&amp;B174&amp;"\"&amp;TEXT(F174+1,"YYYY-MM-DD")&amp;" --recursive &amp; """&amp;walkandungz&amp;""" "&amp;search_path&amp;"\RTDC"&amp;B174&amp;"\"&amp;TEXT(F174+1,"YYYY-MM-DD")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74" s="96" t="str">
        <f>astrogrep_path&amp;" /spath="&amp;search_path&amp;" /stypes=""*"&amp;B174&amp;"*"&amp;TEXT(I174-utc_offset/24,"YYYYMMDD")&amp;"*"" /stext="" "&amp;TEXT(I174-utc_offset/24,"HH")&amp;search_regexp&amp;""" /e /r /s"</f>
        <v>"C:\Program Files (x86)\AstroGrep\AstroGrep.exe" /spath="%USERPROFILE%\AppData\Local\Temp\OnboardLogs" /stypes="*4007*20160827*" /stext=" 17:.+((SYSTEM_STATE.+slice.+state.+changed )|(ment ac)|(system.+state.+changed )|(\|lc)|(penalty)|(\[timeout)|(PRM\|1\|D)|(kpr)|(kdp))" /e /r /s</v>
      </c>
      <c r="AG174" s="1" t="str">
        <f>IFERROR(IF(VALUE(LEFT(AD174,2))&lt;=2,"EC",IF(OR(VALUE(LEFT(AD174,2))=8,VALUE(LEFT(AD174,2))=18),"NW","Other")),"Other")</f>
        <v>NW</v>
      </c>
      <c r="AH174" s="100" t="str">
        <f t="shared" si="79"/>
        <v>"%USERPROFILE%\Documents\GitHub\eaglep3\Utilities\RefineRTDCRunTimes.py" --tripid 1811-27 --locoid 4007 --swversion DE.1.0.7.0 --startMP 204:1118 --initTime 2016-08-27T10:54:58 --startdatetime 2016-08-27T11:21:42 --delay 1 --endMP 300:58946 --enddatetime 2016-08-27T11:35:23 --enforcementcount 0 &gt;&gt;C:\Users\stu\Documents\GitHub\eaglep3-reporting\EC\2016-08-27-refined-times.txt</v>
      </c>
      <c r="AI174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{"issue":{"subject":"","project_id":79,"tracker_id":40,"status_id":1,"priority_id":2,"assigned_to_id":23,"start_date":"2016-08-27","description":"","custom_fields":[{"id":1,"name":"Subdivision","value":"NW"},{"id":4,"name":"Milepost","value":"5.7828"},{"id":17,"name":"Train ID","value":"1811-27"},{"id":16,"name":"Locomotive ID","value":"4007"},{"id":130,"name":"Impact","value":""},{"id":150,"name":"Time of Event (Mountain Time)","value":"11:35:23"},{"id":151,"name":"Denver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529</v>
      </c>
      <c r="B175" s="7">
        <v>4008</v>
      </c>
      <c r="C175" s="24" t="s">
        <v>113</v>
      </c>
      <c r="D175" s="24" t="s">
        <v>268</v>
      </c>
      <c r="E175" s="15">
        <v>42609.483715277776</v>
      </c>
      <c r="F175" s="15">
        <v>42609.485000000001</v>
      </c>
      <c r="G175" s="7">
        <v>1</v>
      </c>
      <c r="H175" s="15" t="s">
        <v>530</v>
      </c>
      <c r="I175" s="15">
        <v>42609.496215277781</v>
      </c>
      <c r="J175" s="7">
        <v>0</v>
      </c>
      <c r="K175" s="132" t="str">
        <f>IF(ISEVEN(B175),(B175-1)&amp;"/"&amp;B175,B175&amp;"/"&amp;(B175+1))</f>
        <v>4007/4008</v>
      </c>
      <c r="L175" s="24" t="str">
        <f>VLOOKUP(A175,'Trips&amp;Operators'!$C$1:$E$10000,3,FALSE)</f>
        <v>YORK</v>
      </c>
      <c r="M175" s="6">
        <f>I175-F175</f>
        <v>1.1215277780138422E-2</v>
      </c>
      <c r="N175" s="7">
        <f>24*60*SUM($M175:$M175)</f>
        <v>16.150000003399327</v>
      </c>
      <c r="O175" s="7"/>
      <c r="P175" s="7"/>
      <c r="Q175" s="25"/>
      <c r="R175" s="25"/>
      <c r="S175" s="37">
        <f>SUM(U175:U175)/IF(AG175="EC",12,1)</f>
        <v>1</v>
      </c>
      <c r="T175" s="52" t="str">
        <f>IF(ISEVEN(LEFT(AD175,4)),"Southbound","NorthBound")</f>
        <v>Southbound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hh:mm:ss")&amp;"-0600',mode:absolute,to:'"&amp;TEXT(I175+1/24,"yyyy-MM-DD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https://search-rtdc-monitor-bjffxe2xuh6vdkpspy63sjmuny.us-east-1.es.amazonaws.com/_plugin/kibana/#/discover/Steve-Slow-Train-Analysis-(2080s-and-2083s)?_g=(refreshInterval:(display:Off,section:0,value:0),time:(from:'2016-08-27 10:36:33-0600',mode:absolute,to:'2016-08-27 12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5" s="54" t="str">
        <f>IF(AA175&lt;IF(AG175="EC",23,5.65),"Y","N")</f>
        <v>N</v>
      </c>
      <c r="X175" s="120">
        <f t="shared" si="82"/>
        <v>1</v>
      </c>
      <c r="Y175" s="69">
        <f>RIGHT(D175,LEN(D175)-4)/10000</f>
        <v>5.8625999999999996</v>
      </c>
      <c r="Z175" s="69">
        <f>RIGHT(H175,LEN(H175)-4)/10000</f>
        <v>7.9399999999999998E-2</v>
      </c>
      <c r="AA175" s="69">
        <f>ABS(Z175-Y175)</f>
        <v>5.7831999999999999</v>
      </c>
      <c r="AB175" s="66" t="e">
        <f>VLOOKUP(A175,Enforcements!$C$7:$J$21,8,0)</f>
        <v>#N/A</v>
      </c>
      <c r="AC175" s="62" t="e">
        <f>VLOOKUP(A175,Enforcements!$C$7:$E$21,3,0)</f>
        <v>#N/A</v>
      </c>
      <c r="AD175" s="63" t="str">
        <f>IF(LEN(A175)=6,"0"&amp;A175,A175)</f>
        <v>1812-27</v>
      </c>
      <c r="AE175" s="99" t="str">
        <f>"aws s3 cp "&amp;s3_bucket&amp;"/RTDC"&amp;B175&amp;"/"&amp;TEXT(F175,"YYYY-MM-DD")&amp;"/ "&amp;search_path&amp;"\RTDC"&amp;B175&amp;"\"&amp;TEXT(F175,"YYYY-MM-DD")&amp;" --recursive &amp; """&amp;walkandungz&amp;""" "&amp;search_path&amp;"\RTDC"&amp;B175&amp;"\"&amp;TEXT(F175,"YYYY-MM-DD")
&amp;" &amp; "&amp;"aws s3 cp "&amp;s3_bucket&amp;"/RTDC"&amp;B175&amp;"/"&amp;TEXT(F175+1,"YYYY-MM-DD")&amp;"/ "&amp;search_path&amp;"\RTDC"&amp;B175&amp;"\"&amp;TEXT(F175+1,"YYYY-MM-DD")&amp;" --recursive &amp; """&amp;walkandungz&amp;""" "&amp;search_path&amp;"\RTDC"&amp;B175&amp;"\"&amp;TEXT(F175+1,"YYYY-MM-DD")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75" s="96" t="str">
        <f>astrogrep_path&amp;" /spath="&amp;search_path&amp;" /stypes=""*"&amp;B175&amp;"*"&amp;TEXT(I175-utc_offset/24,"YYYYMMDD")&amp;"*"" /stext="" "&amp;TEXT(I175-utc_offset/24,"HH")&amp;search_regexp&amp;""" /e /r /s"</f>
        <v>"C:\Program Files (x86)\AstroGrep\AstroGrep.exe" /spath="%USERPROFILE%\AppData\Local\Temp\OnboardLogs" /stypes="*4008*20160827*" /stext=" 17:.+((SYSTEM_STATE.+slice.+state.+changed )|(ment ac)|(system.+state.+changed )|(\|lc)|(penalty)|(\[timeout)|(PRM\|1\|D)|(kpr)|(kdp))" /e /r /s</v>
      </c>
      <c r="AG175" s="1" t="str">
        <f>IFERROR(IF(VALUE(LEFT(AD175,2))&lt;=2,"EC",IF(OR(VALUE(LEFT(AD175,2))=8,VALUE(LEFT(AD175,2))=18),"NW","Other")),"Other")</f>
        <v>NW</v>
      </c>
      <c r="AH175" s="100" t="str">
        <f t="shared" si="79"/>
        <v>"%USERPROFILE%\Documents\GitHub\eaglep3\Utilities\RefineRTDCRunTimes.py" --tripid 1812-27 --locoid 4008 --swversion DE.1.0.7.0 --startMP 300:58626 --initTime 2016-08-27T11:36:33 --startdatetime 2016-08-27T11:38:24 --delay 1 --endMP 204:794 --enddatetime 2016-08-27T11:54:33 --enforcementcount 0 &gt;&gt;C:\Users\stu\Documents\GitHub\eaglep3-reporting\EC\2016-08-27-refined-times.txt</v>
      </c>
      <c r="AI175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{"issue":{"subject":"","project_id":79,"tracker_id":40,"status_id":1,"priority_id":2,"assigned_to_id":23,"start_date":"2016-08-27","description":"","custom_fields":[{"id":1,"name":"Subdivision","value":"NW"},{"id":4,"name":"Milepost","value":"5.7832"},{"id":17,"name":"Train ID","value":"1812-27"},{"id":16,"name":"Locomotive ID","value":"4008"},{"id":130,"name":"Impact","value":""},{"id":150,"name":"Time of Event (Mountain Time)","value":"11:54:33"},{"id":151,"name":"Denver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531</v>
      </c>
      <c r="B176" s="7">
        <v>4007</v>
      </c>
      <c r="C176" s="24" t="s">
        <v>113</v>
      </c>
      <c r="D176" s="24" t="s">
        <v>368</v>
      </c>
      <c r="E176" s="15">
        <v>42609.49732638889</v>
      </c>
      <c r="F176" s="15">
        <v>42609.515011574076</v>
      </c>
      <c r="G176" s="7">
        <v>1</v>
      </c>
      <c r="H176" s="15" t="s">
        <v>519</v>
      </c>
      <c r="I176" s="15">
        <v>42609.523958333331</v>
      </c>
      <c r="J176" s="7">
        <v>0</v>
      </c>
      <c r="K176" s="132" t="str">
        <f>IF(ISEVEN(B176),(B176-1)&amp;"/"&amp;B176,B176&amp;"/"&amp;(B176+1))</f>
        <v>4007/4008</v>
      </c>
      <c r="L176" s="24" t="str">
        <f>VLOOKUP(A176,'Trips&amp;Operators'!$C$1:$E$10000,3,FALSE)</f>
        <v>YORK</v>
      </c>
      <c r="M176" s="6">
        <f>I176-F176</f>
        <v>8.9467592551955022E-3</v>
      </c>
      <c r="N176" s="7">
        <f>24*60*SUM($M176:$M176)</f>
        <v>12.883333327481523</v>
      </c>
      <c r="O176" s="7"/>
      <c r="P176" s="7"/>
      <c r="Q176" s="25"/>
      <c r="R176" s="25"/>
      <c r="S176" s="37">
        <f>SUM(U176:U176)/IF(AG176="EC",12,1)</f>
        <v>1</v>
      </c>
      <c r="T176" s="52" t="str">
        <f>IF(ISEVEN(LEFT(AD176,4)),"Southbound","NorthBound")</f>
        <v>NorthBound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hh:mm:ss")&amp;"-0600',mode:absolute,to:'"&amp;TEXT(I176+1/24,"yyyy-MM-DD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https://search-rtdc-monitor-bjffxe2xuh6vdkpspy63sjmuny.us-east-1.es.amazonaws.com/_plugin/kibana/#/discover/Steve-Slow-Train-Analysis-(2080s-and-2083s)?_g=(refreshInterval:(display:Off,section:0,value:0),time:(from:'2016-08-27 10:56:09-0600',mode:absolute,to:'2016-08-27 13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6" s="54" t="str">
        <f>IF(AA176&lt;IF(AG176="EC",23,5.65),"Y","N")</f>
        <v>N</v>
      </c>
      <c r="X176" s="120">
        <f t="shared" si="82"/>
        <v>1</v>
      </c>
      <c r="Y176" s="69">
        <f>RIGHT(D176,LEN(D176)-4)/10000</f>
        <v>0.1095</v>
      </c>
      <c r="Z176" s="69">
        <f>RIGHT(H176,LEN(H176)-4)/10000</f>
        <v>5.8944000000000001</v>
      </c>
      <c r="AA176" s="69">
        <f>ABS(Z176-Y176)</f>
        <v>5.7849000000000004</v>
      </c>
      <c r="AB176" s="66" t="e">
        <f>VLOOKUP(A176,Enforcements!$C$7:$J$21,8,0)</f>
        <v>#N/A</v>
      </c>
      <c r="AC176" s="62" t="e">
        <f>VLOOKUP(A176,Enforcements!$C$7:$E$21,3,0)</f>
        <v>#N/A</v>
      </c>
      <c r="AD176" s="63" t="str">
        <f>IF(LEN(A176)=6,"0"&amp;A176,A176)</f>
        <v>1813-27</v>
      </c>
      <c r="AE176" s="99" t="str">
        <f>"aws s3 cp "&amp;s3_bucket&amp;"/RTDC"&amp;B176&amp;"/"&amp;TEXT(F176,"YYYY-MM-DD")&amp;"/ "&amp;search_path&amp;"\RTDC"&amp;B176&amp;"\"&amp;TEXT(F176,"YYYY-MM-DD")&amp;" --recursive &amp; """&amp;walkandungz&amp;""" "&amp;search_path&amp;"\RTDC"&amp;B176&amp;"\"&amp;TEXT(F176,"YYYY-MM-DD")
&amp;" &amp; "&amp;"aws s3 cp "&amp;s3_bucket&amp;"/RTDC"&amp;B176&amp;"/"&amp;TEXT(F176+1,"YYYY-MM-DD")&amp;"/ "&amp;search_path&amp;"\RTDC"&amp;B176&amp;"\"&amp;TEXT(F176+1,"YYYY-MM-DD")&amp;" --recursive &amp; """&amp;walkandungz&amp;""" "&amp;search_path&amp;"\RTDC"&amp;B176&amp;"\"&amp;TEXT(F176+1,"YYYY-MM-DD")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76" s="96" t="str">
        <f>astrogrep_path&amp;" /spath="&amp;search_path&amp;" /stypes=""*"&amp;B176&amp;"*"&amp;TEXT(I176-utc_offset/24,"YYYYMMDD")&amp;"*"" /stext="" "&amp;TEXT(I176-utc_offset/24,"HH")&amp;search_regexp&amp;""" /e /r /s"</f>
        <v>"C:\Program Files (x86)\AstroGrep\AstroGrep.exe" /spath="%USERPROFILE%\AppData\Local\Temp\OnboardLogs" /stypes="*4007*20160827*" /stext=" 18:.+((SYSTEM_STATE.+slice.+state.+changed )|(ment ac)|(system.+state.+changed )|(\|lc)|(penalty)|(\[timeout)|(PRM\|1\|D)|(kpr)|(kdp))" /e /r /s</v>
      </c>
      <c r="AG176" s="1" t="str">
        <f>IFERROR(IF(VALUE(LEFT(AD176,2))&lt;=2,"EC",IF(OR(VALUE(LEFT(AD176,2))=8,VALUE(LEFT(AD176,2))=18),"NW","Other")),"Other")</f>
        <v>NW</v>
      </c>
      <c r="AH176" s="100" t="str">
        <f t="shared" si="79"/>
        <v>"%USERPROFILE%\Documents\GitHub\eaglep3\Utilities\RefineRTDCRunTimes.py" --tripid 1813-27 --locoid 4007 --swversion DE.1.0.7.0 --startMP 204:1095 --initTime 2016-08-27T11:56:09 --startdatetime 2016-08-27T12:21:37 --delay 1 --endMP 300:58944 --enddatetime 2016-08-27T12:34:30 --enforcementcount 0 &gt;&gt;C:\Users\stu\Documents\GitHub\eaglep3-reporting\EC\2016-08-27-refined-times.txt</v>
      </c>
      <c r="AI176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{"issue":{"subject":"","project_id":79,"tracker_id":40,"status_id":1,"priority_id":2,"assigned_to_id":23,"start_date":"2016-08-27","description":"","custom_fields":[{"id":1,"name":"Subdivision","value":"NW"},{"id":4,"name":"Milepost","value":"5.7849"},{"id":17,"name":"Train ID","value":"1813-27"},{"id":16,"name":"Locomotive ID","value":"4007"},{"id":130,"name":"Impact","value":""},{"id":150,"name":"Time of Event (Mountain Time)","value":"12:34:30"},{"id":151,"name":"Denver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532</v>
      </c>
      <c r="B177" s="7">
        <v>4008</v>
      </c>
      <c r="C177" s="24" t="s">
        <v>113</v>
      </c>
      <c r="D177" s="24" t="s">
        <v>533</v>
      </c>
      <c r="E177" s="15">
        <v>42609.525462962964</v>
      </c>
      <c r="F177" s="15">
        <v>42609.526747685188</v>
      </c>
      <c r="G177" s="7">
        <v>1</v>
      </c>
      <c r="H177" s="15" t="s">
        <v>534</v>
      </c>
      <c r="I177" s="15">
        <v>42609.537557870368</v>
      </c>
      <c r="J177" s="7">
        <v>0</v>
      </c>
      <c r="K177" s="132" t="str">
        <f>IF(ISEVEN(B177),(B177-1)&amp;"/"&amp;B177,B177&amp;"/"&amp;(B177+1))</f>
        <v>4007/4008</v>
      </c>
      <c r="L177" s="24" t="str">
        <f>VLOOKUP(A177,'Trips&amp;Operators'!$C$1:$E$10000,3,FALSE)</f>
        <v>YORK</v>
      </c>
      <c r="M177" s="6">
        <f>I177-F177</f>
        <v>1.081018518016208E-2</v>
      </c>
      <c r="N177" s="7">
        <f>24*60*SUM($M177:$M177)</f>
        <v>15.566666659433395</v>
      </c>
      <c r="O177" s="7"/>
      <c r="P177" s="7"/>
      <c r="Q177" s="25"/>
      <c r="R177" s="25"/>
      <c r="S177" s="37">
        <f>SUM(U177:U177)/IF(AG177="EC",12,1)</f>
        <v>1</v>
      </c>
      <c r="T177" s="52" t="str">
        <f>IF(ISEVEN(LEFT(AD177,4)),"Southbound","NorthBound")</f>
        <v>Southbound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hh:mm:ss")&amp;"-0600',mode:absolute,to:'"&amp;TEXT(I177+1/24,"yyyy-MM-DD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https://search-rtdc-monitor-bjffxe2xuh6vdkpspy63sjmuny.us-east-1.es.amazonaws.com/_plugin/kibana/#/discover/Steve-Slow-Train-Analysis-(2080s-and-2083s)?_g=(refreshInterval:(display:Off,section:0,value:0),time:(from:'2016-08-27 11:36:40-0600',mode:absolute,to:'2016-08-27 13:54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7" s="54" t="str">
        <f>IF(AA177&lt;IF(AG177="EC",23,5.65),"Y","N")</f>
        <v>N</v>
      </c>
      <c r="X177" s="120">
        <f t="shared" si="82"/>
        <v>1</v>
      </c>
      <c r="Y177" s="69">
        <f>RIGHT(D177,LEN(D177)-4)/10000</f>
        <v>5.8624000000000001</v>
      </c>
      <c r="Z177" s="69">
        <f>RIGHT(H177,LEN(H177)-4)/10000</f>
        <v>7.9699999999999993E-2</v>
      </c>
      <c r="AA177" s="69">
        <f>ABS(Z177-Y177)</f>
        <v>5.7827000000000002</v>
      </c>
      <c r="AB177" s="66" t="e">
        <f>VLOOKUP(A177,Enforcements!$C$7:$J$21,8,0)</f>
        <v>#N/A</v>
      </c>
      <c r="AC177" s="62" t="e">
        <f>VLOOKUP(A177,Enforcements!$C$7:$E$21,3,0)</f>
        <v>#N/A</v>
      </c>
      <c r="AD177" s="63" t="str">
        <f>IF(LEN(A177)=6,"0"&amp;A177,A177)</f>
        <v>1814-27</v>
      </c>
      <c r="AE177" s="99" t="str">
        <f>"aws s3 cp "&amp;s3_bucket&amp;"/RTDC"&amp;B177&amp;"/"&amp;TEXT(F177,"YYYY-MM-DD")&amp;"/ "&amp;search_path&amp;"\RTDC"&amp;B177&amp;"\"&amp;TEXT(F177,"YYYY-MM-DD")&amp;" --recursive &amp; """&amp;walkandungz&amp;""" "&amp;search_path&amp;"\RTDC"&amp;B177&amp;"\"&amp;TEXT(F177,"YYYY-MM-DD")
&amp;" &amp; "&amp;"aws s3 cp "&amp;s3_bucket&amp;"/RTDC"&amp;B177&amp;"/"&amp;TEXT(F177+1,"YYYY-MM-DD")&amp;"/ "&amp;search_path&amp;"\RTDC"&amp;B177&amp;"\"&amp;TEXT(F177+1,"YYYY-MM-DD")&amp;" --recursive &amp; """&amp;walkandungz&amp;""" "&amp;search_path&amp;"\RTDC"&amp;B177&amp;"\"&amp;TEXT(F177+1,"YYYY-MM-DD")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77" s="96" t="str">
        <f>astrogrep_path&amp;" /spath="&amp;search_path&amp;" /stypes=""*"&amp;B177&amp;"*"&amp;TEXT(I177-utc_offset/24,"YYYYMMDD")&amp;"*"" /stext="" "&amp;TEXT(I177-utc_offset/24,"HH")&amp;search_regexp&amp;""" /e /r /s"</f>
        <v>"C:\Program Files (x86)\AstroGrep\AstroGrep.exe" /spath="%USERPROFILE%\AppData\Local\Temp\OnboardLogs" /stypes="*4008*20160827*" /stext=" 18:.+((SYSTEM_STATE.+slice.+state.+changed )|(ment ac)|(system.+state.+changed )|(\|lc)|(penalty)|(\[timeout)|(PRM\|1\|D)|(kpr)|(kdp))" /e /r /s</v>
      </c>
      <c r="AG177" s="1" t="str">
        <f>IFERROR(IF(VALUE(LEFT(AD177,2))&lt;=2,"EC",IF(OR(VALUE(LEFT(AD177,2))=8,VALUE(LEFT(AD177,2))=18),"NW","Other")),"Other")</f>
        <v>NW</v>
      </c>
      <c r="AH177" s="100" t="str">
        <f t="shared" si="79"/>
        <v>"%USERPROFILE%\Documents\GitHub\eaglep3\Utilities\RefineRTDCRunTimes.py" --tripid 1814-27 --locoid 4008 --swversion DE.1.0.7.0 --startMP 300:58624 --initTime 2016-08-27T12:36:40 --startdatetime 2016-08-27T12:38:31 --delay 1 --endMP 204:797 --enddatetime 2016-08-27T12:54:05 --enforcementcount 0 &gt;&gt;C:\Users\stu\Documents\GitHub\eaglep3-reporting\EC\2016-08-27-refined-times.txt</v>
      </c>
      <c r="AI177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{"issue":{"subject":"","project_id":79,"tracker_id":40,"status_id":1,"priority_id":2,"assigned_to_id":23,"start_date":"2016-08-27","description":"","custom_fields":[{"id":1,"name":"Subdivision","value":"NW"},{"id":4,"name":"Milepost","value":"5.7827"},{"id":17,"name":"Train ID","value":"1814-27"},{"id":16,"name":"Locomotive ID","value":"4008"},{"id":130,"name":"Impact","value":""},{"id":150,"name":"Time of Event (Mountain Time)","value":"12:54:05"},{"id":151,"name":"Denver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535</v>
      </c>
      <c r="B178" s="7">
        <v>4007</v>
      </c>
      <c r="C178" s="24" t="s">
        <v>113</v>
      </c>
      <c r="D178" s="24" t="s">
        <v>536</v>
      </c>
      <c r="E178" s="15">
        <v>42609.538472222222</v>
      </c>
      <c r="F178" s="15">
        <v>42609.556423611109</v>
      </c>
      <c r="G178" s="7">
        <v>1</v>
      </c>
      <c r="H178" s="15" t="s">
        <v>537</v>
      </c>
      <c r="I178" s="15">
        <v>42609.565312500003</v>
      </c>
      <c r="J178" s="7">
        <v>0</v>
      </c>
      <c r="K178" s="132" t="str">
        <f>IF(ISEVEN(B178),(B178-1)&amp;"/"&amp;B178,B178&amp;"/"&amp;(B178+1))</f>
        <v>4007/4008</v>
      </c>
      <c r="L178" s="24" t="str">
        <f>VLOOKUP(A178,'Trips&amp;Operators'!$C$1:$E$10000,3,FALSE)</f>
        <v>YORK</v>
      </c>
      <c r="M178" s="6">
        <f>I178-F178</f>
        <v>8.8888888931251131E-3</v>
      </c>
      <c r="N178" s="7">
        <f>24*60*SUM($M178:$M178)</f>
        <v>12.800000006100163</v>
      </c>
      <c r="O178" s="7"/>
      <c r="P178" s="7"/>
      <c r="Q178" s="25"/>
      <c r="R178" s="25"/>
      <c r="S178" s="37">
        <f>SUM(U178:U178)/IF(AG178="EC",12,1)</f>
        <v>1</v>
      </c>
      <c r="T178" s="52" t="str">
        <f>IF(ISEVEN(LEFT(AD178,4)),"Southbound","NorthBound")</f>
        <v>NorthBound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hh:mm:ss")&amp;"-0600',mode:absolute,to:'"&amp;TEXT(I178+1/24,"yyyy-MM-DD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https://search-rtdc-monitor-bjffxe2xuh6vdkpspy63sjmuny.us-east-1.es.amazonaws.com/_plugin/kibana/#/discover/Steve-Slow-Train-Analysis-(2080s-and-2083s)?_g=(refreshInterval:(display:Off,section:0,value:0),time:(from:'2016-08-27 11:55:24-0600',mode:absolute,to:'2016-08-27 14:34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8" s="54" t="str">
        <f>IF(AA178&lt;IF(AG178="EC",23,5.65),"Y","N")</f>
        <v>N</v>
      </c>
      <c r="X178" s="120">
        <f t="shared" si="82"/>
        <v>1</v>
      </c>
      <c r="Y178" s="69">
        <f>RIGHT(D178,LEN(D178)-4)/10000</f>
        <v>0.1084</v>
      </c>
      <c r="Z178" s="69">
        <f>RIGHT(H178,LEN(H178)-4)/10000</f>
        <v>5.8940999999999999</v>
      </c>
      <c r="AA178" s="69">
        <f>ABS(Z178-Y178)</f>
        <v>5.7857000000000003</v>
      </c>
      <c r="AB178" s="66" t="e">
        <f>VLOOKUP(A178,Enforcements!$C$7:$J$21,8,0)</f>
        <v>#N/A</v>
      </c>
      <c r="AC178" s="62" t="e">
        <f>VLOOKUP(A178,Enforcements!$C$7:$E$21,3,0)</f>
        <v>#N/A</v>
      </c>
      <c r="AD178" s="63" t="str">
        <f>IF(LEN(A178)=6,"0"&amp;A178,A178)</f>
        <v>1815-27</v>
      </c>
      <c r="AE178" s="99" t="str">
        <f>"aws s3 cp "&amp;s3_bucket&amp;"/RTDC"&amp;B178&amp;"/"&amp;TEXT(F178,"YYYY-MM-DD")&amp;"/ "&amp;search_path&amp;"\RTDC"&amp;B178&amp;"\"&amp;TEXT(F178,"YYYY-MM-DD")&amp;" --recursive &amp; """&amp;walkandungz&amp;""" "&amp;search_path&amp;"\RTDC"&amp;B178&amp;"\"&amp;TEXT(F178,"YYYY-MM-DD")
&amp;" &amp; "&amp;"aws s3 cp "&amp;s3_bucket&amp;"/RTDC"&amp;B178&amp;"/"&amp;TEXT(F178+1,"YYYY-MM-DD")&amp;"/ "&amp;search_path&amp;"\RTDC"&amp;B178&amp;"\"&amp;TEXT(F178+1,"YYYY-MM-DD")&amp;" --recursive &amp; """&amp;walkandungz&amp;""" "&amp;search_path&amp;"\RTDC"&amp;B178&amp;"\"&amp;TEXT(F178+1,"YYYY-MM-DD")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78" s="96" t="str">
        <f>astrogrep_path&amp;" /spath="&amp;search_path&amp;" /stypes=""*"&amp;B178&amp;"*"&amp;TEXT(I178-utc_offset/24,"YYYYMMDD")&amp;"*"" /stext="" "&amp;TEXT(I178-utc_offset/24,"HH")&amp;search_regexp&amp;""" /e /r /s"</f>
        <v>"C:\Program Files (x86)\AstroGrep\AstroGrep.exe" /spath="%USERPROFILE%\AppData\Local\Temp\OnboardLogs" /stypes="*4007*20160827*" /stext=" 19:.+((SYSTEM_STATE.+slice.+state.+changed )|(ment ac)|(system.+state.+changed )|(\|lc)|(penalty)|(\[timeout)|(PRM\|1\|D)|(kpr)|(kdp))" /e /r /s</v>
      </c>
      <c r="AG178" s="1" t="str">
        <f>IFERROR(IF(VALUE(LEFT(AD178,2))&lt;=2,"EC",IF(OR(VALUE(LEFT(AD178,2))=8,VALUE(LEFT(AD178,2))=18),"NW","Other")),"Other")</f>
        <v>NW</v>
      </c>
      <c r="AH178" s="100" t="str">
        <f t="shared" si="79"/>
        <v>"%USERPROFILE%\Documents\GitHub\eaglep3\Utilities\RefineRTDCRunTimes.py" --tripid 1815-27 --locoid 4007 --swversion DE.1.0.7.0 --startMP 204:1084 --initTime 2016-08-27T12:55:24 --startdatetime 2016-08-27T13:21:15 --delay 1 --endMP 300:58941 --enddatetime 2016-08-27T13:34:03 --enforcementcount 0 &gt;&gt;C:\Users\stu\Documents\GitHub\eaglep3-reporting\EC\2016-08-27-refined-times.txt</v>
      </c>
      <c r="AI178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{"issue":{"subject":"","project_id":79,"tracker_id":40,"status_id":1,"priority_id":2,"assigned_to_id":23,"start_date":"2016-08-27","description":"","custom_fields":[{"id":1,"name":"Subdivision","value":"NW"},{"id":4,"name":"Milepost","value":"5.7857"},{"id":17,"name":"Train ID","value":"1815-27"},{"id":16,"name":"Locomotive ID","value":"4007"},{"id":130,"name":"Impact","value":""},{"id":150,"name":"Time of Event (Mountain Time)","value":"13:34:03"},{"id":151,"name":"Denver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538</v>
      </c>
      <c r="B179" s="7">
        <v>4008</v>
      </c>
      <c r="C179" s="24" t="s">
        <v>113</v>
      </c>
      <c r="D179" s="24" t="s">
        <v>533</v>
      </c>
      <c r="E179" s="15">
        <v>42609.566944444443</v>
      </c>
      <c r="F179" s="15">
        <v>42609.569351851853</v>
      </c>
      <c r="G179" s="7">
        <v>1</v>
      </c>
      <c r="H179" s="15" t="s">
        <v>539</v>
      </c>
      <c r="I179" s="15">
        <v>42609.582511574074</v>
      </c>
      <c r="J179" s="7">
        <v>0</v>
      </c>
      <c r="K179" s="132" t="str">
        <f>IF(ISEVEN(B179),(B179-1)&amp;"/"&amp;B179,B179&amp;"/"&amp;(B179+1))</f>
        <v>4007/4008</v>
      </c>
      <c r="L179" s="24" t="str">
        <f>VLOOKUP(A179,'Trips&amp;Operators'!$C$1:$E$10000,3,FALSE)</f>
        <v>YORK</v>
      </c>
      <c r="M179" s="6">
        <f>I179-F179</f>
        <v>1.3159722220734693E-2</v>
      </c>
      <c r="N179" s="7">
        <f>24*60*SUM($M179:$M179)</f>
        <v>18.949999997857958</v>
      </c>
      <c r="O179" s="7"/>
      <c r="P179" s="7"/>
      <c r="Q179" s="25"/>
      <c r="R179" s="25"/>
      <c r="S179" s="37">
        <f>SUM(U179:U179)/IF(AG179="EC",12,1)</f>
        <v>1</v>
      </c>
      <c r="T179" s="52" t="str">
        <f>IF(ISEVEN(LEFT(AD179,4)),"Southbound","NorthBound")</f>
        <v>Southbound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hh:mm:ss")&amp;"-0600',mode:absolute,to:'"&amp;TEXT(I179+1/24,"yyyy-MM-DD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https://search-rtdc-monitor-bjffxe2xuh6vdkpspy63sjmuny.us-east-1.es.amazonaws.com/_plugin/kibana/#/discover/Steve-Slow-Train-Analysis-(2080s-and-2083s)?_g=(refreshInterval:(display:Off,section:0,value:0),time:(from:'2016-08-27 12:36:24-0600',mode:absolute,to:'2016-08-27 14:58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9" s="54" t="str">
        <f>IF(AA179&lt;IF(AG179="EC",23,5.65),"Y","N")</f>
        <v>N</v>
      </c>
      <c r="X179" s="120">
        <f t="shared" si="82"/>
        <v>1</v>
      </c>
      <c r="Y179" s="69">
        <f>RIGHT(D179,LEN(D179)-4)/10000</f>
        <v>5.8624000000000001</v>
      </c>
      <c r="Z179" s="69">
        <f>RIGHT(H179,LEN(H179)-4)/10000</f>
        <v>8.7300000000000003E-2</v>
      </c>
      <c r="AA179" s="69">
        <f>ABS(Z179-Y179)</f>
        <v>5.7751000000000001</v>
      </c>
      <c r="AB179" s="66" t="e">
        <f>VLOOKUP(A179,Enforcements!$C$7:$J$21,8,0)</f>
        <v>#N/A</v>
      </c>
      <c r="AC179" s="62" t="e">
        <f>VLOOKUP(A179,Enforcements!$C$7:$E$21,3,0)</f>
        <v>#N/A</v>
      </c>
      <c r="AD179" s="63" t="str">
        <f>IF(LEN(A179)=6,"0"&amp;A179,A179)</f>
        <v>1816-27</v>
      </c>
      <c r="AE179" s="99" t="str">
        <f>"aws s3 cp "&amp;s3_bucket&amp;"/RTDC"&amp;B179&amp;"/"&amp;TEXT(F179,"YYYY-MM-DD")&amp;"/ "&amp;search_path&amp;"\RTDC"&amp;B179&amp;"\"&amp;TEXT(F179,"YYYY-MM-DD")&amp;" --recursive &amp; """&amp;walkandungz&amp;""" "&amp;search_path&amp;"\RTDC"&amp;B179&amp;"\"&amp;TEXT(F179,"YYYY-MM-DD")
&amp;" &amp; "&amp;"aws s3 cp "&amp;s3_bucket&amp;"/RTDC"&amp;B179&amp;"/"&amp;TEXT(F179+1,"YYYY-MM-DD")&amp;"/ "&amp;search_path&amp;"\RTDC"&amp;B179&amp;"\"&amp;TEXT(F179+1,"YYYY-MM-DD")&amp;" --recursive &amp; """&amp;walkandungz&amp;""" "&amp;search_path&amp;"\RTDC"&amp;B179&amp;"\"&amp;TEXT(F179+1,"YYYY-MM-DD")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79" s="96" t="str">
        <f>astrogrep_path&amp;" /spath="&amp;search_path&amp;" /stypes=""*"&amp;B179&amp;"*"&amp;TEXT(I179-utc_offset/24,"YYYYMMDD")&amp;"*"" /stext="" "&amp;TEXT(I179-utc_offset/24,"HH")&amp;search_regexp&amp;""" /e /r /s"</f>
        <v>"C:\Program Files (x86)\AstroGrep\AstroGrep.exe" /spath="%USERPROFILE%\AppData\Local\Temp\OnboardLogs" /stypes="*4008*20160827*" /stext=" 19:.+((SYSTEM_STATE.+slice.+state.+changed )|(ment ac)|(system.+state.+changed )|(\|lc)|(penalty)|(\[timeout)|(PRM\|1\|D)|(kpr)|(kdp))" /e /r /s</v>
      </c>
      <c r="AG179" s="1" t="str">
        <f>IFERROR(IF(VALUE(LEFT(AD179,2))&lt;=2,"EC",IF(OR(VALUE(LEFT(AD179,2))=8,VALUE(LEFT(AD179,2))=18),"NW","Other")),"Other")</f>
        <v>NW</v>
      </c>
      <c r="AH179" s="100" t="str">
        <f t="shared" si="79"/>
        <v>"%USERPROFILE%\Documents\GitHub\eaglep3\Utilities\RefineRTDCRunTimes.py" --tripid 1816-27 --locoid 4008 --swversion DE.1.0.7.0 --startMP 300:58624 --initTime 2016-08-27T13:36:24 --startdatetime 2016-08-27T13:39:52 --delay 1 --endMP 204:873 --enddatetime 2016-08-27T13:58:49 --enforcementcount 0 &gt;&gt;C:\Users\stu\Documents\GitHub\eaglep3-reporting\EC\2016-08-27-refined-times.txt</v>
      </c>
      <c r="AI179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{"issue":{"subject":"","project_id":79,"tracker_id":40,"status_id":1,"priority_id":2,"assigned_to_id":23,"start_date":"2016-08-27","description":"","custom_fields":[{"id":1,"name":"Subdivision","value":"NW"},{"id":4,"name":"Milepost","value":"5.7751"},{"id":17,"name":"Train ID","value":"1816-27"},{"id":16,"name":"Locomotive ID","value":"4008"},{"id":130,"name":"Impact","value":""},{"id":150,"name":"Time of Event (Mountain Time)","value":"13:58:49"},{"id":151,"name":"Denver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540</v>
      </c>
      <c r="B180" s="7">
        <v>4007</v>
      </c>
      <c r="C180" s="24" t="s">
        <v>113</v>
      </c>
      <c r="D180" s="24" t="s">
        <v>541</v>
      </c>
      <c r="E180" s="15">
        <v>42609.588252314818</v>
      </c>
      <c r="F180" s="15">
        <v>42609.598124999997</v>
      </c>
      <c r="G180" s="7">
        <v>2</v>
      </c>
      <c r="H180" s="15" t="s">
        <v>515</v>
      </c>
      <c r="I180" s="15">
        <v>42609.607766203706</v>
      </c>
      <c r="J180" s="7">
        <v>0</v>
      </c>
      <c r="K180" s="132" t="str">
        <f>IF(ISEVEN(B180),(B180-1)&amp;"/"&amp;B180,B180&amp;"/"&amp;(B180+1))</f>
        <v>4007/4008</v>
      </c>
      <c r="L180" s="24" t="str">
        <f>VLOOKUP(A180,'Trips&amp;Operators'!$C$1:$E$10000,3,FALSE)</f>
        <v>DE LA ROSA</v>
      </c>
      <c r="M180" s="6">
        <f>I180-F180</f>
        <v>9.6412037091795355E-3</v>
      </c>
      <c r="N180" s="7">
        <f>24*60*SUM($M180:$M180)</f>
        <v>13.883333341218531</v>
      </c>
      <c r="O180" s="7"/>
      <c r="P180" s="7"/>
      <c r="Q180" s="25"/>
      <c r="R180" s="25"/>
      <c r="S180" s="37">
        <f>SUM(U180:U180)/IF(AG180="EC",12,1)</f>
        <v>1</v>
      </c>
      <c r="T180" s="52" t="str">
        <f>IF(ISEVEN(LEFT(AD180,4)),"Southbound","NorthBound")</f>
        <v>NorthBound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hh:mm:ss")&amp;"-0600',mode:absolute,to:'"&amp;TEXT(I180+1/24,"yyyy-MM-DD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https://search-rtdc-monitor-bjffxe2xuh6vdkpspy63sjmuny.us-east-1.es.amazonaws.com/_plugin/kibana/#/discover/Steve-Slow-Train-Analysis-(2080s-and-2083s)?_g=(refreshInterval:(display:Off,section:0,value:0),time:(from:'2016-08-27 13:07:05-0600',mode:absolute,to:'2016-08-27 15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80" s="54" t="str">
        <f>IF(AA180&lt;IF(AG180="EC",23,5.65),"Y","N")</f>
        <v>N</v>
      </c>
      <c r="X180" s="120">
        <f>VALUE(LEFT(AD180,4))-VALUE(LEFT(AD179,4))</f>
        <v>1</v>
      </c>
      <c r="Y180" s="69">
        <f>RIGHT(D180,LEN(D180)-4)/10000</f>
        <v>0.1172</v>
      </c>
      <c r="Z180" s="69">
        <f>RIGHT(H180,LEN(H180)-4)/10000</f>
        <v>5.8959999999999999</v>
      </c>
      <c r="AA180" s="69">
        <f>ABS(Z180-Y180)</f>
        <v>5.7787999999999995</v>
      </c>
      <c r="AB180" s="66" t="e">
        <f>VLOOKUP(A180,Enforcements!$C$7:$J$21,8,0)</f>
        <v>#N/A</v>
      </c>
      <c r="AC180" s="62" t="e">
        <f>VLOOKUP(A180,Enforcements!$C$7:$E$21,3,0)</f>
        <v>#N/A</v>
      </c>
      <c r="AD180" s="63" t="str">
        <f>IF(LEN(A180)=6,"0"&amp;A180,A180)</f>
        <v>1817-27</v>
      </c>
      <c r="AE180" s="99" t="str">
        <f>"aws s3 cp "&amp;s3_bucket&amp;"/RTDC"&amp;B180&amp;"/"&amp;TEXT(F180,"YYYY-MM-DD")&amp;"/ "&amp;search_path&amp;"\RTDC"&amp;B180&amp;"\"&amp;TEXT(F180,"YYYY-MM-DD")&amp;" --recursive &amp; """&amp;walkandungz&amp;""" "&amp;search_path&amp;"\RTDC"&amp;B180&amp;"\"&amp;TEXT(F180,"YYYY-MM-DD")
&amp;" &amp; "&amp;"aws s3 cp "&amp;s3_bucket&amp;"/RTDC"&amp;B180&amp;"/"&amp;TEXT(F180+1,"YYYY-MM-DD")&amp;"/ "&amp;search_path&amp;"\RTDC"&amp;B180&amp;"\"&amp;TEXT(F180+1,"YYYY-MM-DD")&amp;" --recursive &amp; """&amp;walkandungz&amp;""" "&amp;search_path&amp;"\RTDC"&amp;B180&amp;"\"&amp;TEXT(F180+1,"YYYY-MM-DD")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80" s="96" t="str">
        <f>astrogrep_path&amp;" /spath="&amp;search_path&amp;" /stypes=""*"&amp;B180&amp;"*"&amp;TEXT(I180-utc_offset/24,"YYYYMMDD")&amp;"*"" /stext="" "&amp;TEXT(I180-utc_offset/24,"HH")&amp;search_regexp&amp;""" /e /r /s"</f>
        <v>"C:\Program Files (x86)\AstroGrep\AstroGrep.exe" /spath="%USERPROFILE%\AppData\Local\Temp\OnboardLogs" /stypes="*4007*20160827*" /stext=" 20:.+((SYSTEM_STATE.+slice.+state.+changed )|(ment ac)|(system.+state.+changed )|(\|lc)|(penalty)|(\[timeout)|(PRM\|1\|D)|(kpr)|(kdp))" /e /r /s</v>
      </c>
      <c r="AG180" s="1" t="str">
        <f>IFERROR(IF(VALUE(LEFT(AD180,2))&lt;=2,"EC",IF(OR(VALUE(LEFT(AD180,2))=8,VALUE(LEFT(AD180,2))=18),"NW","Other")),"Other")</f>
        <v>NW</v>
      </c>
      <c r="AH180" s="100" t="str">
        <f t="shared" si="79"/>
        <v>"%USERPROFILE%\Documents\GitHub\eaglep3\Utilities\RefineRTDCRunTimes.py" --tripid 1817-27 --locoid 4007 --swversion DE.1.0.7.0 --startMP 204:1172 --initTime 2016-08-27T14:07:05 --startdatetime 2016-08-27T14:21:18 --delay 2 --endMP 300:58960 --enddatetime 2016-08-27T14:35:11 --enforcementcount 0 &gt;&gt;C:\Users\stu\Documents\GitHub\eaglep3-reporting\EC\2016-08-27-refined-times.txt</v>
      </c>
      <c r="AI180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{"issue":{"subject":"","project_id":79,"tracker_id":40,"status_id":1,"priority_id":2,"assigned_to_id":23,"start_date":"2016-08-27","description":"","custom_fields":[{"id":1,"name":"Subdivision","value":"NW"},{"id":4,"name":"Milepost","value":"5.7788"},{"id":17,"name":"Train ID","value":"1817-27"},{"id":16,"name":"Locomotive ID","value":"4007"},{"id":130,"name":"Impact","value":""},{"id":150,"name":"Time of Event (Mountain Time)","value":"14:35:11"},{"id":151,"name":"Denver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542</v>
      </c>
      <c r="B181" s="7">
        <v>4008</v>
      </c>
      <c r="C181" s="24" t="s">
        <v>113</v>
      </c>
      <c r="D181" s="24" t="s">
        <v>521</v>
      </c>
      <c r="E181" s="15">
        <v>42609.608900462961</v>
      </c>
      <c r="F181" s="15">
        <v>42609.610891203702</v>
      </c>
      <c r="G181" s="7">
        <v>1</v>
      </c>
      <c r="H181" s="15" t="s">
        <v>543</v>
      </c>
      <c r="I181" s="15">
        <v>42609.62122685185</v>
      </c>
      <c r="J181" s="7">
        <v>0</v>
      </c>
      <c r="K181" s="132" t="str">
        <f>IF(ISEVEN(B181),(B181-1)&amp;"/"&amp;B181,B181&amp;"/"&amp;(B181+1))</f>
        <v>4007/4008</v>
      </c>
      <c r="L181" s="24" t="str">
        <f>VLOOKUP(A181,'Trips&amp;Operators'!$C$1:$E$10000,3,FALSE)</f>
        <v>DE LA ROSA</v>
      </c>
      <c r="M181" s="6">
        <f>I181-F181</f>
        <v>1.0335648148611654E-2</v>
      </c>
      <c r="N181" s="7">
        <f>24*60*SUM($M181:$M181)</f>
        <v>14.883333334000781</v>
      </c>
      <c r="O181" s="7"/>
      <c r="P181" s="7"/>
      <c r="Q181" s="25"/>
      <c r="R181" s="25"/>
      <c r="S181" s="37">
        <f>SUM(U181:U181)/IF(AG181="EC",12,1)</f>
        <v>1</v>
      </c>
      <c r="T181" s="52" t="str">
        <f>IF(ISEVEN(LEFT(AD181,4)),"Southbound","NorthBound")</f>
        <v>Southbound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hh:mm:ss")&amp;"-0600',mode:absolute,to:'"&amp;TEXT(I181+1/24,"yyyy-MM-DD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https://search-rtdc-monitor-bjffxe2xuh6vdkpspy63sjmuny.us-east-1.es.amazonaws.com/_plugin/kibana/#/discover/Steve-Slow-Train-Analysis-(2080s-and-2083s)?_g=(refreshInterval:(display:Off,section:0,value:0),time:(from:'2016-08-27 13:36:49-0600',mode:absolute,to:'2016-08-27 15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81" s="54" t="str">
        <f>IF(AA181&lt;IF(AG181="EC",23,5.65),"Y","N")</f>
        <v>N</v>
      </c>
      <c r="X181" s="120">
        <f>VALUE(LEFT(AD181,4))-VALUE(LEFT(AD180,4))</f>
        <v>1</v>
      </c>
      <c r="Y181" s="69">
        <f>RIGHT(D181,LEN(D181)-4)/10000</f>
        <v>5.8630000000000004</v>
      </c>
      <c r="Z181" s="69">
        <f>RIGHT(H181,LEN(H181)-4)/10000</f>
        <v>7.3300000000000004E-2</v>
      </c>
      <c r="AA181" s="69">
        <f>ABS(Z181-Y181)</f>
        <v>5.7897000000000007</v>
      </c>
      <c r="AB181" s="66" t="e">
        <f>VLOOKUP(A181,Enforcements!$C$7:$J$21,8,0)</f>
        <v>#N/A</v>
      </c>
      <c r="AC181" s="62" t="e">
        <f>VLOOKUP(A181,Enforcements!$C$7:$E$21,3,0)</f>
        <v>#N/A</v>
      </c>
      <c r="AD181" s="63" t="str">
        <f>IF(LEN(A181)=6,"0"&amp;A181,A181)</f>
        <v>1818-27</v>
      </c>
      <c r="AE181" s="99" t="str">
        <f>"aws s3 cp "&amp;s3_bucket&amp;"/RTDC"&amp;B181&amp;"/"&amp;TEXT(F181,"YYYY-MM-DD")&amp;"/ "&amp;search_path&amp;"\RTDC"&amp;B181&amp;"\"&amp;TEXT(F181,"YYYY-MM-DD")&amp;" --recursive &amp; """&amp;walkandungz&amp;""" "&amp;search_path&amp;"\RTDC"&amp;B181&amp;"\"&amp;TEXT(F181,"YYYY-MM-DD")
&amp;" &amp; "&amp;"aws s3 cp "&amp;s3_bucket&amp;"/RTDC"&amp;B181&amp;"/"&amp;TEXT(F181+1,"YYYY-MM-DD")&amp;"/ "&amp;search_path&amp;"\RTDC"&amp;B181&amp;"\"&amp;TEXT(F181+1,"YYYY-MM-DD")&amp;" --recursive &amp; """&amp;walkandungz&amp;""" "&amp;search_path&amp;"\RTDC"&amp;B181&amp;"\"&amp;TEXT(F181+1,"YYYY-MM-DD")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81" s="96" t="str">
        <f>astrogrep_path&amp;" /spath="&amp;search_path&amp;" /stypes=""*"&amp;B181&amp;"*"&amp;TEXT(I181-utc_offset/24,"YYYYMMDD")&amp;"*"" /stext="" "&amp;TEXT(I181-utc_offset/24,"HH")&amp;search_regexp&amp;""" /e /r /s"</f>
        <v>"C:\Program Files (x86)\AstroGrep\AstroGrep.exe" /spath="%USERPROFILE%\AppData\Local\Temp\OnboardLogs" /stypes="*4008*20160827*" /stext=" 20:.+((SYSTEM_STATE.+slice.+state.+changed )|(ment ac)|(system.+state.+changed )|(\|lc)|(penalty)|(\[timeout)|(PRM\|1\|D)|(kpr)|(kdp))" /e /r /s</v>
      </c>
      <c r="AG181" s="1" t="str">
        <f>IFERROR(IF(VALUE(LEFT(AD181,2))&lt;=2,"EC",IF(OR(VALUE(LEFT(AD181,2))=8,VALUE(LEFT(AD181,2))=18),"NW","Other")),"Other")</f>
        <v>NW</v>
      </c>
      <c r="AH181" s="100" t="str">
        <f t="shared" si="79"/>
        <v>"%USERPROFILE%\Documents\GitHub\eaglep3\Utilities\RefineRTDCRunTimes.py" --tripid 1818-27 --locoid 4008 --swversion DE.1.0.7.0 --startMP 300:58630 --initTime 2016-08-27T14:36:49 --startdatetime 2016-08-27T14:39:41 --delay 1 --endMP 204:733 --enddatetime 2016-08-27T14:54:34 --enforcementcount 0 &gt;&gt;C:\Users\stu\Documents\GitHub\eaglep3-reporting\EC\2016-08-27-refined-times.txt</v>
      </c>
      <c r="AI181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{"issue":{"subject":"","project_id":79,"tracker_id":40,"status_id":1,"priority_id":2,"assigned_to_id":23,"start_date":"2016-08-27","description":"","custom_fields":[{"id":1,"name":"Subdivision","value":"NW"},{"id":4,"name":"Milepost","value":"5.7897"},{"id":17,"name":"Train ID","value":"1818-27"},{"id":16,"name":"Locomotive ID","value":"4008"},{"id":130,"name":"Impact","value":""},{"id":150,"name":"Time of Event (Mountain Time)","value":"14:54:34"},{"id":151,"name":"Denver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544</v>
      </c>
      <c r="B182" s="7">
        <v>4007</v>
      </c>
      <c r="C182" s="24" t="s">
        <v>113</v>
      </c>
      <c r="D182" s="24" t="s">
        <v>545</v>
      </c>
      <c r="E182" s="15">
        <v>42609.636030092595</v>
      </c>
      <c r="F182" s="15">
        <v>42609.639814814815</v>
      </c>
      <c r="G182" s="7">
        <v>1</v>
      </c>
      <c r="H182" s="15" t="s">
        <v>537</v>
      </c>
      <c r="I182" s="15">
        <v>42609.649270833332</v>
      </c>
      <c r="J182" s="7">
        <v>0</v>
      </c>
      <c r="K182" s="132" t="str">
        <f>IF(ISEVEN(B182),(B182-1)&amp;"/"&amp;B182,B182&amp;"/"&amp;(B182+1))</f>
        <v>4007/4008</v>
      </c>
      <c r="L182" s="24" t="str">
        <f>VLOOKUP(A182,'Trips&amp;Operators'!$C$1:$E$10000,3,FALSE)</f>
        <v>DE LA ROSA</v>
      </c>
      <c r="M182" s="6">
        <f>I182-F182</f>
        <v>9.4560185170848854E-3</v>
      </c>
      <c r="N182" s="7">
        <f>24*60*SUM($M182:$M182)</f>
        <v>13.616666664602235</v>
      </c>
      <c r="O182" s="7"/>
      <c r="P182" s="7"/>
      <c r="Q182" s="25"/>
      <c r="R182" s="25"/>
      <c r="S182" s="37">
        <f>SUM(U182:U182)/IF(AG182="EC",12,1)</f>
        <v>1</v>
      </c>
      <c r="T182" s="52" t="str">
        <f>IF(ISEVEN(LEFT(AD182,4)),"Southbound","NorthBound")</f>
        <v>NorthBound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hh:mm:ss")&amp;"-0600',mode:absolute,to:'"&amp;TEXT(I182+1/24,"yyyy-MM-DD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https://search-rtdc-monitor-bjffxe2xuh6vdkpspy63sjmuny.us-east-1.es.amazonaws.com/_plugin/kibana/#/discover/Steve-Slow-Train-Analysis-(2080s-and-2083s)?_g=(refreshInterval:(display:Off,section:0,value:0),time:(from:'2016-08-27 14:15:53-0600',mode:absolute,to:'2016-08-27 16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82" s="54" t="str">
        <f>IF(AA182&lt;IF(AG182="EC",23,5.65),"Y","N")</f>
        <v>N</v>
      </c>
      <c r="X182" s="120">
        <f>VALUE(LEFT(AD182,4))-VALUE(LEFT(AD181,4))</f>
        <v>1</v>
      </c>
      <c r="Y182" s="69">
        <f>RIGHT(D182,LEN(D182)-4)/10000</f>
        <v>0.10440000000000001</v>
      </c>
      <c r="Z182" s="69">
        <f>RIGHT(H182,LEN(H182)-4)/10000</f>
        <v>5.8940999999999999</v>
      </c>
      <c r="AA182" s="69">
        <f>ABS(Z182-Y182)</f>
        <v>5.7896999999999998</v>
      </c>
      <c r="AB182" s="66" t="e">
        <f>VLOOKUP(A182,Enforcements!$C$7:$J$21,8,0)</f>
        <v>#N/A</v>
      </c>
      <c r="AC182" s="62" t="e">
        <f>VLOOKUP(A182,Enforcements!$C$7:$E$21,3,0)</f>
        <v>#N/A</v>
      </c>
      <c r="AD182" s="63" t="str">
        <f>IF(LEN(A182)=6,"0"&amp;A182,A182)</f>
        <v>1819-27</v>
      </c>
      <c r="AE182" s="99" t="str">
        <f>"aws s3 cp "&amp;s3_bucket&amp;"/RTDC"&amp;B182&amp;"/"&amp;TEXT(F182,"YYYY-MM-DD")&amp;"/ "&amp;search_path&amp;"\RTDC"&amp;B182&amp;"\"&amp;TEXT(F182,"YYYY-MM-DD")&amp;" --recursive &amp; """&amp;walkandungz&amp;""" "&amp;search_path&amp;"\RTDC"&amp;B182&amp;"\"&amp;TEXT(F182,"YYYY-MM-DD")
&amp;" &amp; "&amp;"aws s3 cp "&amp;s3_bucket&amp;"/RTDC"&amp;B182&amp;"/"&amp;TEXT(F182+1,"YYYY-MM-DD")&amp;"/ "&amp;search_path&amp;"\RTDC"&amp;B182&amp;"\"&amp;TEXT(F182+1,"YYYY-MM-DD")&amp;" --recursive &amp; """&amp;walkandungz&amp;""" "&amp;search_path&amp;"\RTDC"&amp;B182&amp;"\"&amp;TEXT(F182+1,"YYYY-MM-DD")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82" s="96" t="str">
        <f>astrogrep_path&amp;" /spath="&amp;search_path&amp;" /stypes=""*"&amp;B182&amp;"*"&amp;TEXT(I182-utc_offset/24,"YYYYMMDD")&amp;"*"" /stext="" "&amp;TEXT(I182-utc_offset/24,"HH")&amp;search_regexp&amp;""" /e /r /s"</f>
        <v>"C:\Program Files (x86)\AstroGrep\AstroGrep.exe" /spath="%USERPROFILE%\AppData\Local\Temp\OnboardLogs" /stypes="*4007*20160827*" /stext=" 21:.+((SYSTEM_STATE.+slice.+state.+changed )|(ment ac)|(system.+state.+changed )|(\|lc)|(penalty)|(\[timeout)|(PRM\|1\|D)|(kpr)|(kdp))" /e /r /s</v>
      </c>
      <c r="AG182" s="1" t="str">
        <f>IFERROR(IF(VALUE(LEFT(AD182,2))&lt;=2,"EC",IF(OR(VALUE(LEFT(AD182,2))=8,VALUE(LEFT(AD182,2))=18),"NW","Other")),"Other")</f>
        <v>NW</v>
      </c>
      <c r="AH182" s="100" t="str">
        <f t="shared" si="79"/>
        <v>"%USERPROFILE%\Documents\GitHub\eaglep3\Utilities\RefineRTDCRunTimes.py" --tripid 1819-27 --locoid 4007 --swversion DE.1.0.7.0 --startMP 204:1044 --initTime 2016-08-27T15:15:53 --startdatetime 2016-08-27T15:21:20 --delay 1 --endMP 300:58941 --enddatetime 2016-08-27T15:34:57 --enforcementcount 0 &gt;&gt;C:\Users\stu\Documents\GitHub\eaglep3-reporting\EC\2016-08-27-refined-times.txt</v>
      </c>
      <c r="AI182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{"issue":{"subject":"","project_id":79,"tracker_id":40,"status_id":1,"priority_id":2,"assigned_to_id":23,"start_date":"2016-08-27","description":"","custom_fields":[{"id":1,"name":"Subdivision","value":"NW"},{"id":4,"name":"Milepost","value":"5.7897"},{"id":17,"name":"Train ID","value":"1819-27"},{"id":16,"name":"Locomotive ID","value":"4007"},{"id":130,"name":"Impact","value":""},{"id":150,"name":"Time of Event (Mountain Time)","value":"15:34:57"},{"id":151,"name":"Denver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547</v>
      </c>
      <c r="B183" s="7">
        <v>4008</v>
      </c>
      <c r="C183" s="24" t="s">
        <v>113</v>
      </c>
      <c r="D183" s="24" t="s">
        <v>548</v>
      </c>
      <c r="E183" s="15">
        <v>42609.650324074071</v>
      </c>
      <c r="F183" s="15">
        <v>42609.652129629627</v>
      </c>
      <c r="G183" s="7">
        <v>1</v>
      </c>
      <c r="H183" s="15" t="s">
        <v>549</v>
      </c>
      <c r="I183" s="15">
        <v>42609.663113425922</v>
      </c>
      <c r="J183" s="7">
        <v>0</v>
      </c>
      <c r="K183" s="132" t="str">
        <f>IF(ISEVEN(B183),(B183-1)&amp;"/"&amp;B183,B183&amp;"/"&amp;(B183+1))</f>
        <v>4007/4008</v>
      </c>
      <c r="L183" s="24" t="str">
        <f>VLOOKUP(A183,'Trips&amp;Operators'!$C$1:$E$10000,3,FALSE)</f>
        <v>DE LA ROSA</v>
      </c>
      <c r="M183" s="6">
        <f>I183-F183</f>
        <v>1.0983796295477077E-2</v>
      </c>
      <c r="N183" s="7">
        <f>24*60*SUM($M183:$M183)</f>
        <v>15.816666665486991</v>
      </c>
      <c r="O183" s="7"/>
      <c r="P183" s="7"/>
      <c r="Q183" s="25"/>
      <c r="R183" s="25"/>
      <c r="S183" s="37">
        <f>SUM(U183:U183)/IF(AG183="EC",12,1)</f>
        <v>1</v>
      </c>
      <c r="T183" s="52" t="str">
        <f>IF(ISEVEN(LEFT(AD183,4)),"Southbound","NorthBound")</f>
        <v>Southbound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hh:mm:ss")&amp;"-0600',mode:absolute,to:'"&amp;TEXT(I183+1/24,"yyyy-MM-DD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https://search-rtdc-monitor-bjffxe2xuh6vdkpspy63sjmuny.us-east-1.es.amazonaws.com/_plugin/kibana/#/discover/Steve-Slow-Train-Analysis-(2080s-and-2083s)?_g=(refreshInterval:(display:Off,section:0,value:0),time:(from:'2016-08-27 14:36:28-0600',mode:absolute,to:'2016-08-27 16:54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83" s="54" t="str">
        <f>IF(AA183&lt;IF(AG183="EC",23,5.65),"Y","N")</f>
        <v>N</v>
      </c>
      <c r="X183" s="120">
        <f>VALUE(LEFT(AD183,4))-VALUE(LEFT(AD182,4))</f>
        <v>1</v>
      </c>
      <c r="Y183" s="69">
        <f>RIGHT(D183,LEN(D183)-4)/10000</f>
        <v>5.8623000000000003</v>
      </c>
      <c r="Z183" s="69">
        <f>RIGHT(H183,LEN(H183)-4)/10000</f>
        <v>6.9099999999999995E-2</v>
      </c>
      <c r="AA183" s="69">
        <f>ABS(Z183-Y183)</f>
        <v>5.7932000000000006</v>
      </c>
      <c r="AB183" s="66" t="e">
        <f>VLOOKUP(A183,Enforcements!$C$7:$J$21,8,0)</f>
        <v>#N/A</v>
      </c>
      <c r="AC183" s="62" t="e">
        <f>VLOOKUP(A183,Enforcements!$C$7:$E$21,3,0)</f>
        <v>#N/A</v>
      </c>
      <c r="AD183" s="63" t="str">
        <f>IF(LEN(A183)=6,"0"&amp;A183,A183)</f>
        <v>1820-27</v>
      </c>
      <c r="AE183" s="99" t="str">
        <f>"aws s3 cp "&amp;s3_bucket&amp;"/RTDC"&amp;B183&amp;"/"&amp;TEXT(F183,"YYYY-MM-DD")&amp;"/ "&amp;search_path&amp;"\RTDC"&amp;B183&amp;"\"&amp;TEXT(F183,"YYYY-MM-DD")&amp;" --recursive &amp; """&amp;walkandungz&amp;""" "&amp;search_path&amp;"\RTDC"&amp;B183&amp;"\"&amp;TEXT(F183,"YYYY-MM-DD")
&amp;" &amp; "&amp;"aws s3 cp "&amp;s3_bucket&amp;"/RTDC"&amp;B183&amp;"/"&amp;TEXT(F183+1,"YYYY-MM-DD")&amp;"/ "&amp;search_path&amp;"\RTDC"&amp;B183&amp;"\"&amp;TEXT(F183+1,"YYYY-MM-DD")&amp;" --recursive &amp; """&amp;walkandungz&amp;""" "&amp;search_path&amp;"\RTDC"&amp;B183&amp;"\"&amp;TEXT(F183+1,"YYYY-MM-DD")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83" s="96" t="str">
        <f>astrogrep_path&amp;" /spath="&amp;search_path&amp;" /stypes=""*"&amp;B183&amp;"*"&amp;TEXT(I183-utc_offset/24,"YYYYMMDD")&amp;"*"" /stext="" "&amp;TEXT(I183-utc_offset/24,"HH")&amp;search_regexp&amp;""" /e /r /s"</f>
        <v>"C:\Program Files (x86)\AstroGrep\AstroGrep.exe" /spath="%USERPROFILE%\AppData\Local\Temp\OnboardLogs" /stypes="*4008*20160827*" /stext=" 21:.+((SYSTEM_STATE.+slice.+state.+changed )|(ment ac)|(system.+state.+changed )|(\|lc)|(penalty)|(\[timeout)|(PRM\|1\|D)|(kpr)|(kdp))" /e /r /s</v>
      </c>
      <c r="AG183" s="1" t="str">
        <f>IFERROR(IF(VALUE(LEFT(AD183,2))&lt;=2,"EC",IF(OR(VALUE(LEFT(AD183,2))=8,VALUE(LEFT(AD183,2))=18),"NW","Other")),"Other")</f>
        <v>NW</v>
      </c>
      <c r="AH183" s="100" t="str">
        <f t="shared" si="79"/>
        <v>"%USERPROFILE%\Documents\GitHub\eaglep3\Utilities\RefineRTDCRunTimes.py" --tripid 1820-27 --locoid 4008 --swversion DE.1.0.7.0 --startMP 300:58623 --initTime 2016-08-27T15:36:28 --startdatetime 2016-08-27T15:39:04 --delay 1 --endMP 204:691 --enddatetime 2016-08-27T15:54:53 --enforcementcount 0 &gt;&gt;C:\Users\stu\Documents\GitHub\eaglep3-reporting\EC\2016-08-27-refined-times.txt</v>
      </c>
      <c r="AI183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{"issue":{"subject":"","project_id":79,"tracker_id":40,"status_id":1,"priority_id":2,"assigned_to_id":23,"start_date":"2016-08-27","description":"","custom_fields":[{"id":1,"name":"Subdivision","value":"NW"},{"id":4,"name":"Milepost","value":"5.7932"},{"id":17,"name":"Train ID","value":"1820-27"},{"id":16,"name":"Locomotive ID","value":"4008"},{"id":130,"name":"Impact","value":""},{"id":150,"name":"Time of Event (Mountain Time)","value":"15:54:53"},{"id":151,"name":"Denver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550</v>
      </c>
      <c r="B184" s="7">
        <v>4007</v>
      </c>
      <c r="C184" s="24" t="s">
        <v>113</v>
      </c>
      <c r="D184" s="24" t="s">
        <v>283</v>
      </c>
      <c r="E184" s="15">
        <v>42609.676608796297</v>
      </c>
      <c r="F184" s="15">
        <v>42609.681481481479</v>
      </c>
      <c r="G184" s="7">
        <v>1</v>
      </c>
      <c r="H184" s="15" t="s">
        <v>515</v>
      </c>
      <c r="I184" s="15">
        <v>42609.69085648148</v>
      </c>
      <c r="J184" s="7">
        <v>0</v>
      </c>
      <c r="K184" s="132" t="str">
        <f>IF(ISEVEN(B184),(B184-1)&amp;"/"&amp;B184,B184&amp;"/"&amp;(B184+1))</f>
        <v>4007/4008</v>
      </c>
      <c r="L184" s="24" t="str">
        <f>VLOOKUP(A184,'Trips&amp;Operators'!$C$1:$E$10000,3,FALSE)</f>
        <v>DE LA ROSA</v>
      </c>
      <c r="M184" s="6">
        <f>I184-F184</f>
        <v>9.3750000014551915E-3</v>
      </c>
      <c r="N184" s="7">
        <f>24*60*SUM($M184:$M184)</f>
        <v>13.500000002095476</v>
      </c>
      <c r="O184" s="7"/>
      <c r="P184" s="7"/>
      <c r="Q184" s="25"/>
      <c r="R184" s="25"/>
      <c r="S184" s="37">
        <f>SUM(U184:U184)/IF(AG184="EC",12,1)</f>
        <v>1</v>
      </c>
      <c r="T184" s="52" t="str">
        <f>IF(ISEVEN(LEFT(AD184,4)),"Southbound","NorthBound")</f>
        <v>NorthBound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hh:mm:ss")&amp;"-0600',mode:absolute,to:'"&amp;TEXT(I184+1/24,"yyyy-MM-DD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https://search-rtdc-monitor-bjffxe2xuh6vdkpspy63sjmuny.us-east-1.es.amazonaws.com/_plugin/kibana/#/discover/Steve-Slow-Train-Analysis-(2080s-and-2083s)?_g=(refreshInterval:(display:Off,section:0,value:0),time:(from:'2016-08-27 15:14:19-0600',mode:absolute,to:'2016-08-27 17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84" s="54" t="str">
        <f>IF(AA184&lt;IF(AG184="EC",23,5.65),"Y","N")</f>
        <v>N</v>
      </c>
      <c r="X184" s="120">
        <f>VALUE(LEFT(AD184,4))-VALUE(LEFT(AD183,4))</f>
        <v>1</v>
      </c>
      <c r="Y184" s="69">
        <f>RIGHT(D184,LEN(D184)-4)/10000</f>
        <v>9.8799999999999999E-2</v>
      </c>
      <c r="Z184" s="69">
        <f>RIGHT(H184,LEN(H184)-4)/10000</f>
        <v>5.8959999999999999</v>
      </c>
      <c r="AA184" s="69">
        <f>ABS(Z184-Y184)</f>
        <v>5.7972000000000001</v>
      </c>
      <c r="AB184" s="66" t="e">
        <f>VLOOKUP(A184,Enforcements!$C$7:$J$21,8,0)</f>
        <v>#N/A</v>
      </c>
      <c r="AC184" s="62" t="e">
        <f>VLOOKUP(A184,Enforcements!$C$7:$E$21,3,0)</f>
        <v>#N/A</v>
      </c>
      <c r="AD184" s="63" t="str">
        <f>IF(LEN(A184)=6,"0"&amp;A184,A184)</f>
        <v>1821-27</v>
      </c>
      <c r="AE184" s="99" t="str">
        <f>"aws s3 cp "&amp;s3_bucket&amp;"/RTDC"&amp;B184&amp;"/"&amp;TEXT(F184,"YYYY-MM-DD")&amp;"/ "&amp;search_path&amp;"\RTDC"&amp;B184&amp;"\"&amp;TEXT(F184,"YYYY-MM-DD")&amp;" --recursive &amp; """&amp;walkandungz&amp;""" "&amp;search_path&amp;"\RTDC"&amp;B184&amp;"\"&amp;TEXT(F184,"YYYY-MM-DD")
&amp;" &amp; "&amp;"aws s3 cp "&amp;s3_bucket&amp;"/RTDC"&amp;B184&amp;"/"&amp;TEXT(F184+1,"YYYY-MM-DD")&amp;"/ "&amp;search_path&amp;"\RTDC"&amp;B184&amp;"\"&amp;TEXT(F184+1,"YYYY-MM-DD")&amp;" --recursive &amp; """&amp;walkandungz&amp;""" "&amp;search_path&amp;"\RTDC"&amp;B184&amp;"\"&amp;TEXT(F184+1,"YYYY-MM-DD")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84" s="96" t="str">
        <f>astrogrep_path&amp;" /spath="&amp;search_path&amp;" /stypes=""*"&amp;B184&amp;"*"&amp;TEXT(I184-utc_offset/24,"YYYYMMDD")&amp;"*"" /stext="" "&amp;TEXT(I184-utc_offset/24,"HH")&amp;search_regexp&amp;""" /e /r /s"</f>
        <v>"C:\Program Files (x86)\AstroGrep\AstroGrep.exe" /spath="%USERPROFILE%\AppData\Local\Temp\OnboardLogs" /stypes="*4007*20160827*" /stext=" 22:.+((SYSTEM_STATE.+slice.+state.+changed )|(ment ac)|(system.+state.+changed )|(\|lc)|(penalty)|(\[timeout)|(PRM\|1\|D)|(kpr)|(kdp))" /e /r /s</v>
      </c>
      <c r="AG184" s="1" t="str">
        <f>IFERROR(IF(VALUE(LEFT(AD184,2))&lt;=2,"EC",IF(OR(VALUE(LEFT(AD184,2))=8,VALUE(LEFT(AD184,2))=18),"NW","Other")),"Other")</f>
        <v>NW</v>
      </c>
      <c r="AH184" s="100" t="str">
        <f t="shared" si="79"/>
        <v>"%USERPROFILE%\Documents\GitHub\eaglep3\Utilities\RefineRTDCRunTimes.py" --tripid 1821-27 --locoid 4007 --swversion DE.1.0.7.0 --startMP 204:988 --initTime 2016-08-27T16:14:19 --startdatetime 2016-08-27T16:21:20 --delay 1 --endMP 300:58960 --enddatetime 2016-08-27T16:34:50 --enforcementcount 0 &gt;&gt;C:\Users\stu\Documents\GitHub\eaglep3-reporting\EC\2016-08-27-refined-times.txt</v>
      </c>
      <c r="AI184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{"issue":{"subject":"","project_id":79,"tracker_id":40,"status_id":1,"priority_id":2,"assigned_to_id":23,"start_date":"2016-08-27","description":"","custom_fields":[{"id":1,"name":"Subdivision","value":"NW"},{"id":4,"name":"Milepost","value":"5.7972"},{"id":17,"name":"Train ID","value":"1821-27"},{"id":16,"name":"Locomotive ID","value":"4007"},{"id":130,"name":"Impact","value":""},{"id":150,"name":"Time of Event (Mountain Time)","value":"16:34:50"},{"id":151,"name":"Denver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551</v>
      </c>
      <c r="B185" s="7">
        <v>4008</v>
      </c>
      <c r="C185" s="24" t="s">
        <v>113</v>
      </c>
      <c r="D185" s="24" t="s">
        <v>512</v>
      </c>
      <c r="E185" s="15">
        <v>42609.691967592589</v>
      </c>
      <c r="F185" s="15">
        <v>42609.693657407406</v>
      </c>
      <c r="G185" s="7">
        <v>1</v>
      </c>
      <c r="H185" s="15" t="s">
        <v>552</v>
      </c>
      <c r="I185" s="15">
        <v>42609.70453703704</v>
      </c>
      <c r="J185" s="7">
        <v>0</v>
      </c>
      <c r="K185" s="132" t="str">
        <f>IF(ISEVEN(B185),(B185-1)&amp;"/"&amp;B185,B185&amp;"/"&amp;(B185+1))</f>
        <v>4007/4008</v>
      </c>
      <c r="L185" s="24" t="str">
        <f>VLOOKUP(A185,'Trips&amp;Operators'!$C$1:$E$10000,3,FALSE)</f>
        <v>DE LA ROSA</v>
      </c>
      <c r="M185" s="6">
        <f>I185-F185</f>
        <v>1.0879629633564036E-2</v>
      </c>
      <c r="N185" s="7">
        <f>24*60*SUM($M185:$M185)</f>
        <v>15.666666672332212</v>
      </c>
      <c r="O185" s="7"/>
      <c r="P185" s="7"/>
      <c r="Q185" s="25"/>
      <c r="R185" s="25"/>
      <c r="S185" s="37">
        <f>SUM(U185:U185)/IF(AG185="EC",12,1)</f>
        <v>1</v>
      </c>
      <c r="T185" s="52" t="str">
        <f>IF(ISEVEN(LEFT(AD185,4)),"Southbound","NorthBound")</f>
        <v>Southbound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hh:mm:ss")&amp;"-0600',mode:absolute,to:'"&amp;TEXT(I185+1/24,"yyyy-MM-DD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https://search-rtdc-monitor-bjffxe2xuh6vdkpspy63sjmuny.us-east-1.es.amazonaws.com/_plugin/kibana/#/discover/Steve-Slow-Train-Analysis-(2080s-and-2083s)?_g=(refreshInterval:(display:Off,section:0,value:0),time:(from:'2016-08-27 15:36:26-0600',mode:absolute,to:'2016-08-27 17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85" s="54" t="str">
        <f>IF(AA185&lt;IF(AG185="EC",23,5.65),"Y","N")</f>
        <v>N</v>
      </c>
      <c r="X185" s="120">
        <f>VALUE(LEFT(AD185,4))-VALUE(LEFT(AD184,4))</f>
        <v>1</v>
      </c>
      <c r="Y185" s="69">
        <f>RIGHT(D185,LEN(D185)-4)/10000</f>
        <v>5.8638000000000003</v>
      </c>
      <c r="Z185" s="69">
        <f>RIGHT(H185,LEN(H185)-4)/10000</f>
        <v>7.5200000000000003E-2</v>
      </c>
      <c r="AA185" s="69">
        <f>ABS(Z185-Y185)</f>
        <v>5.7886000000000006</v>
      </c>
      <c r="AB185" s="66" t="e">
        <f>VLOOKUP(A185,Enforcements!$C$7:$J$21,8,0)</f>
        <v>#N/A</v>
      </c>
      <c r="AC185" s="62" t="e">
        <f>VLOOKUP(A185,Enforcements!$C$7:$E$21,3,0)</f>
        <v>#N/A</v>
      </c>
      <c r="AD185" s="63" t="str">
        <f>IF(LEN(A185)=6,"0"&amp;A185,A185)</f>
        <v>1822-27</v>
      </c>
      <c r="AE185" s="99" t="str">
        <f>"aws s3 cp "&amp;s3_bucket&amp;"/RTDC"&amp;B185&amp;"/"&amp;TEXT(F185,"YYYY-MM-DD")&amp;"/ "&amp;search_path&amp;"\RTDC"&amp;B185&amp;"\"&amp;TEXT(F185,"YYYY-MM-DD")&amp;" --recursive &amp; """&amp;walkandungz&amp;""" "&amp;search_path&amp;"\RTDC"&amp;B185&amp;"\"&amp;TEXT(F185,"YYYY-MM-DD")
&amp;" &amp; "&amp;"aws s3 cp "&amp;s3_bucket&amp;"/RTDC"&amp;B185&amp;"/"&amp;TEXT(F185+1,"YYYY-MM-DD")&amp;"/ "&amp;search_path&amp;"\RTDC"&amp;B185&amp;"\"&amp;TEXT(F185+1,"YYYY-MM-DD")&amp;" --recursive &amp; """&amp;walkandungz&amp;""" "&amp;search_path&amp;"\RTDC"&amp;B185&amp;"\"&amp;TEXT(F185+1,"YYYY-MM-DD")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85" s="96" t="str">
        <f>astrogrep_path&amp;" /spath="&amp;search_path&amp;" /stypes=""*"&amp;B185&amp;"*"&amp;TEXT(I185-utc_offset/24,"YYYYMMDD")&amp;"*"" /stext="" "&amp;TEXT(I185-utc_offset/24,"HH")&amp;search_regexp&amp;""" /e /r /s"</f>
        <v>"C:\Program Files (x86)\AstroGrep\AstroGrep.exe" /spath="%USERPROFILE%\AppData\Local\Temp\OnboardLogs" /stypes="*4008*20160827*" /stext=" 22:.+((SYSTEM_STATE.+slice.+state.+changed )|(ment ac)|(system.+state.+changed )|(\|lc)|(penalty)|(\[timeout)|(PRM\|1\|D)|(kpr)|(kdp))" /e /r /s</v>
      </c>
      <c r="AG185" s="1" t="str">
        <f>IFERROR(IF(VALUE(LEFT(AD185,2))&lt;=2,"EC",IF(OR(VALUE(LEFT(AD185,2))=8,VALUE(LEFT(AD185,2))=18),"NW","Other")),"Other")</f>
        <v>NW</v>
      </c>
      <c r="AH185" s="100" t="str">
        <f t="shared" si="79"/>
        <v>"%USERPROFILE%\Documents\GitHub\eaglep3\Utilities\RefineRTDCRunTimes.py" --tripid 1822-27 --locoid 4008 --swversion DE.1.0.7.0 --startMP 300:58638 --initTime 2016-08-27T16:36:26 --startdatetime 2016-08-27T16:38:52 --delay 1 --endMP 204:752 --enddatetime 2016-08-27T16:54:32 --enforcementcount 0 &gt;&gt;C:\Users\stu\Documents\GitHub\eaglep3-reporting\EC\2016-08-27-refined-times.txt</v>
      </c>
      <c r="AI185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{"issue":{"subject":"","project_id":79,"tracker_id":40,"status_id":1,"priority_id":2,"assigned_to_id":23,"start_date":"2016-08-27","description":"","custom_fields":[{"id":1,"name":"Subdivision","value":"NW"},{"id":4,"name":"Milepost","value":"5.7886"},{"id":17,"name":"Train ID","value":"1822-27"},{"id":16,"name":"Locomotive ID","value":"4008"},{"id":130,"name":"Impact","value":""},{"id":150,"name":"Time of Event (Mountain Time)","value":"16:54:32"},{"id":151,"name":"Denver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553</v>
      </c>
      <c r="B186" s="7">
        <v>4007</v>
      </c>
      <c r="C186" s="24" t="s">
        <v>113</v>
      </c>
      <c r="D186" s="24" t="s">
        <v>288</v>
      </c>
      <c r="E186" s="15">
        <v>42609.716400462959</v>
      </c>
      <c r="F186" s="15">
        <v>42609.723090277781</v>
      </c>
      <c r="G186" s="7">
        <v>4</v>
      </c>
      <c r="H186" s="15" t="s">
        <v>554</v>
      </c>
      <c r="I186" s="15">
        <v>42609.732627314814</v>
      </c>
      <c r="J186" s="7">
        <v>0</v>
      </c>
      <c r="K186" s="132" t="str">
        <f>IF(ISEVEN(B186),(B186-1)&amp;"/"&amp;B186,B186&amp;"/"&amp;(B186+1))</f>
        <v>4007/4008</v>
      </c>
      <c r="L186" s="24" t="str">
        <f>VLOOKUP(A186,'Trips&amp;Operators'!$C$1:$E$10000,3,FALSE)</f>
        <v>DE LA ROSA</v>
      </c>
      <c r="M186" s="6">
        <f>I186-F186</f>
        <v>9.5370370327145793E-3</v>
      </c>
      <c r="N186" s="7">
        <f>24*60*SUM($M186:$M186)</f>
        <v>13.733333327108994</v>
      </c>
      <c r="O186" s="7"/>
      <c r="P186" s="7"/>
      <c r="Q186" s="25"/>
      <c r="R186" s="25"/>
      <c r="S186" s="37">
        <f>SUM(U186:U186)/IF(AG186="EC",12,1)</f>
        <v>1</v>
      </c>
      <c r="T186" s="52" t="str">
        <f>IF(ISEVEN(LEFT(AD186,4)),"Southbound","NorthBound")</f>
        <v>NorthBound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hh:mm:ss")&amp;"-0600',mode:absolute,to:'"&amp;TEXT(I186+1/24,"yyyy-MM-DD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https://search-rtdc-monitor-bjffxe2xuh6vdkpspy63sjmuny.us-east-1.es.amazonaws.com/_plugin/kibana/#/discover/Steve-Slow-Train-Analysis-(2080s-and-2083s)?_g=(refreshInterval:(display:Off,section:0,value:0),time:(from:'2016-08-27 16:11:37-0600',mode:absolute,to:'2016-08-27 18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86" s="54" t="str">
        <f>IF(AA186&lt;IF(AG186="EC",23,5.65),"Y","N")</f>
        <v>N</v>
      </c>
      <c r="X186" s="120">
        <f>VALUE(LEFT(AD186,4))-VALUE(LEFT(AD185,4))</f>
        <v>1</v>
      </c>
      <c r="Y186" s="69">
        <f>RIGHT(D186,LEN(D186)-4)/10000</f>
        <v>0.10390000000000001</v>
      </c>
      <c r="Z186" s="69">
        <f>RIGHT(H186,LEN(H186)-4)/10000</f>
        <v>5.8954000000000004</v>
      </c>
      <c r="AA186" s="69">
        <f>ABS(Z186-Y186)</f>
        <v>5.7915000000000001</v>
      </c>
      <c r="AB186" s="66" t="e">
        <f>VLOOKUP(A186,Enforcements!$C$7:$J$21,8,0)</f>
        <v>#N/A</v>
      </c>
      <c r="AC186" s="62" t="e">
        <f>VLOOKUP(A186,Enforcements!$C$7:$E$21,3,0)</f>
        <v>#N/A</v>
      </c>
      <c r="AD186" s="63" t="str">
        <f>IF(LEN(A186)=6,"0"&amp;A186,A186)</f>
        <v>1823-27</v>
      </c>
      <c r="AE186" s="99" t="str">
        <f>"aws s3 cp "&amp;s3_bucket&amp;"/RTDC"&amp;B186&amp;"/"&amp;TEXT(F186,"YYYY-MM-DD")&amp;"/ "&amp;search_path&amp;"\RTDC"&amp;B186&amp;"\"&amp;TEXT(F186,"YYYY-MM-DD")&amp;" --recursive &amp; """&amp;walkandungz&amp;""" "&amp;search_path&amp;"\RTDC"&amp;B186&amp;"\"&amp;TEXT(F186,"YYYY-MM-DD")
&amp;" &amp; "&amp;"aws s3 cp "&amp;s3_bucket&amp;"/RTDC"&amp;B186&amp;"/"&amp;TEXT(F186+1,"YYYY-MM-DD")&amp;"/ "&amp;search_path&amp;"\RTDC"&amp;B186&amp;"\"&amp;TEXT(F186+1,"YYYY-MM-DD")&amp;" --recursive &amp; """&amp;walkandungz&amp;""" "&amp;search_path&amp;"\RTDC"&amp;B186&amp;"\"&amp;TEXT(F186+1,"YYYY-MM-DD")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86" s="96" t="str">
        <f>astrogrep_path&amp;" /spath="&amp;search_path&amp;" /stypes=""*"&amp;B186&amp;"*"&amp;TEXT(I186-utc_offset/24,"YYYYMMDD")&amp;"*"" /stext="" "&amp;TEXT(I186-utc_offset/24,"HH")&amp;search_regexp&amp;""" /e /r /s"</f>
        <v>"C:\Program Files (x86)\AstroGrep\AstroGrep.exe" /spath="%USERPROFILE%\AppData\Local\Temp\OnboardLogs" /stypes="*4007*20160827*" /stext=" 23:.+((SYSTEM_STATE.+slice.+state.+changed )|(ment ac)|(system.+state.+changed )|(\|lc)|(penalty)|(\[timeout)|(PRM\|1\|D)|(kpr)|(kdp))" /e /r /s</v>
      </c>
      <c r="AG186" s="1" t="str">
        <f>IFERROR(IF(VALUE(LEFT(AD186,2))&lt;=2,"EC",IF(OR(VALUE(LEFT(AD186,2))=8,VALUE(LEFT(AD186,2))=18),"NW","Other")),"Other")</f>
        <v>NW</v>
      </c>
      <c r="AH186" s="100" t="str">
        <f t="shared" si="79"/>
        <v>"%USERPROFILE%\Documents\GitHub\eaglep3\Utilities\RefineRTDCRunTimes.py" --tripid 1823-27 --locoid 4007 --swversion DE.1.0.7.0 --startMP 204:1039 --initTime 2016-08-27T17:11:37 --startdatetime 2016-08-27T17:21:15 --delay 4 --endMP 300:58954 --enddatetime 2016-08-27T17:34:59 --enforcementcount 0 &gt;&gt;C:\Users\stu\Documents\GitHub\eaglep3-reporting\EC\2016-08-27-refined-times.txt</v>
      </c>
      <c r="AI186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{"issue":{"subject":"","project_id":79,"tracker_id":40,"status_id":1,"priority_id":2,"assigned_to_id":23,"start_date":"2016-08-27","description":"","custom_fields":[{"id":1,"name":"Subdivision","value":"NW"},{"id":4,"name":"Milepost","value":"5.7915"},{"id":17,"name":"Train ID","value":"1823-27"},{"id":16,"name":"Locomotive ID","value":"4007"},{"id":130,"name":"Impact","value":""},{"id":150,"name":"Time of Event (Mountain Time)","value":"17:34:59"},{"id":151,"name":"Denver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555</v>
      </c>
      <c r="B187" s="7">
        <v>4008</v>
      </c>
      <c r="C187" s="24" t="s">
        <v>113</v>
      </c>
      <c r="D187" s="24" t="s">
        <v>286</v>
      </c>
      <c r="E187" s="15">
        <v>42609.733622685184</v>
      </c>
      <c r="F187" s="15">
        <v>42609.735069444447</v>
      </c>
      <c r="G187" s="7">
        <v>1</v>
      </c>
      <c r="H187" s="15" t="s">
        <v>556</v>
      </c>
      <c r="I187" s="15">
        <v>42609.74659722222</v>
      </c>
      <c r="J187" s="7">
        <v>0</v>
      </c>
      <c r="K187" s="132" t="str">
        <f>IF(ISEVEN(B187),(B187-1)&amp;"/"&amp;B187,B187&amp;"/"&amp;(B187+1))</f>
        <v>4007/4008</v>
      </c>
      <c r="L187" s="24" t="str">
        <f>VLOOKUP(A187,'Trips&amp;Operators'!$C$1:$E$10000,3,FALSE)</f>
        <v>DE LA ROSA</v>
      </c>
      <c r="M187" s="6">
        <f>I187-F187</f>
        <v>1.1527777773153502E-2</v>
      </c>
      <c r="N187" s="7">
        <f>24*60*SUM($M187:$M187)</f>
        <v>16.599999993341044</v>
      </c>
      <c r="O187" s="7"/>
      <c r="P187" s="7"/>
      <c r="Q187" s="25"/>
      <c r="R187" s="25"/>
      <c r="S187" s="37">
        <f>SUM(U187:U187)/IF(AG187="EC",12,1)</f>
        <v>1</v>
      </c>
      <c r="T187" s="52" t="str">
        <f>IF(ISEVEN(LEFT(AD187,4)),"Southbound","NorthBound")</f>
        <v>Southbound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hh:mm:ss")&amp;"-0600',mode:absolute,to:'"&amp;TEXT(I187+1/24,"yyyy-MM-DD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https://search-rtdc-monitor-bjffxe2xuh6vdkpspy63sjmuny.us-east-1.es.amazonaws.com/_plugin/kibana/#/discover/Steve-Slow-Train-Analysis-(2080s-and-2083s)?_g=(refreshInterval:(display:Off,section:0,value:0),time:(from:'2016-08-27 16:36:25-0600',mode:absolute,to:'2016-08-27 18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87" s="54" t="str">
        <f>IF(AA187&lt;IF(AG187="EC",23,5.65),"Y","N")</f>
        <v>N</v>
      </c>
      <c r="X187" s="120">
        <f>VALUE(LEFT(AD187,4))-VALUE(LEFT(AD186,4))</f>
        <v>1</v>
      </c>
      <c r="Y187" s="69">
        <f>RIGHT(D187,LEN(D187)-4)/10000</f>
        <v>5.8632</v>
      </c>
      <c r="Z187" s="69">
        <f>RIGHT(H187,LEN(H187)-4)/10000</f>
        <v>7.2400000000000006E-2</v>
      </c>
      <c r="AA187" s="69">
        <f>ABS(Z187-Y187)</f>
        <v>5.7907999999999999</v>
      </c>
      <c r="AB187" s="66" t="e">
        <f>VLOOKUP(A187,Enforcements!$C$7:$J$21,8,0)</f>
        <v>#N/A</v>
      </c>
      <c r="AC187" s="62" t="e">
        <f>VLOOKUP(A187,Enforcements!$C$7:$E$21,3,0)</f>
        <v>#N/A</v>
      </c>
      <c r="AD187" s="63" t="str">
        <f>IF(LEN(A187)=6,"0"&amp;A187,A187)</f>
        <v>1824-27</v>
      </c>
      <c r="AE187" s="99" t="str">
        <f>"aws s3 cp "&amp;s3_bucket&amp;"/RTDC"&amp;B187&amp;"/"&amp;TEXT(F187,"YYYY-MM-DD")&amp;"/ "&amp;search_path&amp;"\RTDC"&amp;B187&amp;"\"&amp;TEXT(F187,"YYYY-MM-DD")&amp;" --recursive &amp; """&amp;walkandungz&amp;""" "&amp;search_path&amp;"\RTDC"&amp;B187&amp;"\"&amp;TEXT(F187,"YYYY-MM-DD")
&amp;" &amp; "&amp;"aws s3 cp "&amp;s3_bucket&amp;"/RTDC"&amp;B187&amp;"/"&amp;TEXT(F187+1,"YYYY-MM-DD")&amp;"/ "&amp;search_path&amp;"\RTDC"&amp;B187&amp;"\"&amp;TEXT(F187+1,"YYYY-MM-DD")&amp;" --recursive &amp; """&amp;walkandungz&amp;""" "&amp;search_path&amp;"\RTDC"&amp;B187&amp;"\"&amp;TEXT(F187+1,"YYYY-MM-DD")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87" s="96" t="str">
        <f>astrogrep_path&amp;" /spath="&amp;search_path&amp;" /stypes=""*"&amp;B187&amp;"*"&amp;TEXT(I187-utc_offset/24,"YYYYMMDD")&amp;"*"" /stext="" "&amp;TEXT(I187-utc_offset/24,"HH")&amp;search_regexp&amp;""" /e /r /s"</f>
        <v>"C:\Program Files (x86)\AstroGrep\AstroGrep.exe" /spath="%USERPROFILE%\AppData\Local\Temp\OnboardLogs" /stypes="*4008*20160827*" /stext=" 23:.+((SYSTEM_STATE.+slice.+state.+changed )|(ment ac)|(system.+state.+changed )|(\|lc)|(penalty)|(\[timeout)|(PRM\|1\|D)|(kpr)|(kdp))" /e /r /s</v>
      </c>
      <c r="AG187" s="1" t="str">
        <f>IFERROR(IF(VALUE(LEFT(AD187,2))&lt;=2,"EC",IF(OR(VALUE(LEFT(AD187,2))=8,VALUE(LEFT(AD187,2))=18),"NW","Other")),"Other")</f>
        <v>NW</v>
      </c>
      <c r="AH187" s="100" t="str">
        <f t="shared" si="79"/>
        <v>"%USERPROFILE%\Documents\GitHub\eaglep3\Utilities\RefineRTDCRunTimes.py" --tripid 1824-27 --locoid 4008 --swversion DE.1.0.7.0 --startMP 300:58632 --initTime 2016-08-27T17:36:25 --startdatetime 2016-08-27T17:38:30 --delay 1 --endMP 204:724 --enddatetime 2016-08-27T17:55:06 --enforcementcount 0 &gt;&gt;C:\Users\stu\Documents\GitHub\eaglep3-reporting\EC\2016-08-27-refined-times.txt</v>
      </c>
      <c r="AI187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{"issue":{"subject":"","project_id":79,"tracker_id":40,"status_id":1,"priority_id":2,"assigned_to_id":23,"start_date":"2016-08-27","description":"","custom_fields":[{"id":1,"name":"Subdivision","value":"NW"},{"id":4,"name":"Milepost","value":"5.7908"},{"id":17,"name":"Train ID","value":"1824-27"},{"id":16,"name":"Locomotive ID","value":"4008"},{"id":130,"name":"Impact","value":""},{"id":150,"name":"Time of Event (Mountain Time)","value":"17:55:06"},{"id":151,"name":"Denver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557</v>
      </c>
      <c r="B188" s="7">
        <v>4007</v>
      </c>
      <c r="C188" s="24" t="s">
        <v>113</v>
      </c>
      <c r="D188" s="24" t="s">
        <v>558</v>
      </c>
      <c r="E188" s="15">
        <v>42609.761805555558</v>
      </c>
      <c r="F188" s="15">
        <v>42609.764780092592</v>
      </c>
      <c r="G188" s="7">
        <v>1</v>
      </c>
      <c r="H188" s="15" t="s">
        <v>559</v>
      </c>
      <c r="I188" s="15">
        <v>42609.774363425924</v>
      </c>
      <c r="J188" s="7">
        <v>0</v>
      </c>
      <c r="K188" s="132" t="str">
        <f>IF(ISEVEN(B188),(B188-1)&amp;"/"&amp;B188,B188&amp;"/"&amp;(B188+1))</f>
        <v>4007/4008</v>
      </c>
      <c r="L188" s="24" t="str">
        <f>VLOOKUP(A188,'Trips&amp;Operators'!$C$1:$E$10000,3,FALSE)</f>
        <v>DE LA ROSA</v>
      </c>
      <c r="M188" s="6">
        <f>I188-F188</f>
        <v>9.5833333325572312E-3</v>
      </c>
      <c r="N188" s="7">
        <f>24*60*SUM($M188:$M188)</f>
        <v>13.799999998882413</v>
      </c>
      <c r="O188" s="7"/>
      <c r="P188" s="7"/>
      <c r="Q188" s="25"/>
      <c r="R188" s="25"/>
      <c r="S188" s="37">
        <f>SUM(U188:U188)/IF(AG188="EC",12,1)</f>
        <v>1</v>
      </c>
      <c r="T188" s="52" t="str">
        <f>IF(ISEVEN(LEFT(AD188,4)),"Southbound","NorthBound")</f>
        <v>NorthBound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hh:mm:ss")&amp;"-0600',mode:absolute,to:'"&amp;TEXT(I188+1/24,"yyyy-MM-DD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https://search-rtdc-monitor-bjffxe2xuh6vdkpspy63sjmuny.us-east-1.es.amazonaws.com/_plugin/kibana/#/discover/Steve-Slow-Train-Analysis-(2080s-and-2083s)?_g=(refreshInterval:(display:Off,section:0,value:0),time:(from:'2016-08-27 17:17:00-0600',mode:absolute,to:'2016-08-27 19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88" s="54" t="str">
        <f>IF(AA188&lt;IF(AG188="EC",23,5.65),"Y","N")</f>
        <v>N</v>
      </c>
      <c r="X188" s="120">
        <f>VALUE(LEFT(AD188,4))-VALUE(LEFT(AD187,4))</f>
        <v>1</v>
      </c>
      <c r="Y188" s="69">
        <f>RIGHT(D188,LEN(D188)-4)/10000</f>
        <v>0.1013</v>
      </c>
      <c r="Z188" s="69">
        <f>RIGHT(H188,LEN(H188)-4)/10000</f>
        <v>5.8943000000000003</v>
      </c>
      <c r="AA188" s="69">
        <f>ABS(Z188-Y188)</f>
        <v>5.7930000000000001</v>
      </c>
      <c r="AB188" s="66" t="e">
        <f>VLOOKUP(A188,Enforcements!$C$7:$J$21,8,0)</f>
        <v>#N/A</v>
      </c>
      <c r="AC188" s="62" t="e">
        <f>VLOOKUP(A188,Enforcements!$C$7:$E$21,3,0)</f>
        <v>#N/A</v>
      </c>
      <c r="AD188" s="63" t="str">
        <f>IF(LEN(A188)=6,"0"&amp;A188,A188)</f>
        <v>1825-27</v>
      </c>
      <c r="AE188" s="99" t="str">
        <f>"aws s3 cp "&amp;s3_bucket&amp;"/RTDC"&amp;B188&amp;"/"&amp;TEXT(F188,"YYYY-MM-DD")&amp;"/ "&amp;search_path&amp;"\RTDC"&amp;B188&amp;"\"&amp;TEXT(F188,"YYYY-MM-DD")&amp;" --recursive &amp; """&amp;walkandungz&amp;""" "&amp;search_path&amp;"\RTDC"&amp;B188&amp;"\"&amp;TEXT(F188,"YYYY-MM-DD")
&amp;" &amp; "&amp;"aws s3 cp "&amp;s3_bucket&amp;"/RTDC"&amp;B188&amp;"/"&amp;TEXT(F188+1,"YYYY-MM-DD")&amp;"/ "&amp;search_path&amp;"\RTDC"&amp;B188&amp;"\"&amp;TEXT(F188+1,"YYYY-MM-DD")&amp;" --recursive &amp; """&amp;walkandungz&amp;""" "&amp;search_path&amp;"\RTDC"&amp;B188&amp;"\"&amp;TEXT(F188+1,"YYYY-MM-DD")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88" s="96" t="str">
        <f>astrogrep_path&amp;" /spath="&amp;search_path&amp;" /stypes=""*"&amp;B188&amp;"*"&amp;TEXT(I188-utc_offset/24,"YYYYMMDD")&amp;"*"" /stext="" "&amp;TEXT(I188-utc_offset/24,"HH")&amp;search_regexp&amp;""" /e /r /s"</f>
        <v>"C:\Program Files (x86)\AstroGrep\AstroGrep.exe" /spath="%USERPROFILE%\AppData\Local\Temp\OnboardLogs" /stypes="*4007*20160828*" /stext=" 00:.+((SYSTEM_STATE.+slice.+state.+changed )|(ment ac)|(system.+state.+changed )|(\|lc)|(penalty)|(\[timeout)|(PRM\|1\|D)|(kpr)|(kdp))" /e /r /s</v>
      </c>
      <c r="AG188" s="1" t="str">
        <f>IFERROR(IF(VALUE(LEFT(AD188,2))&lt;=2,"EC",IF(OR(VALUE(LEFT(AD188,2))=8,VALUE(LEFT(AD188,2))=18),"NW","Other")),"Other")</f>
        <v>NW</v>
      </c>
      <c r="AH188" s="100" t="str">
        <f t="shared" si="79"/>
        <v>"%USERPROFILE%\Documents\GitHub\eaglep3\Utilities\RefineRTDCRunTimes.py" --tripid 1825-27 --locoid 4007 --swversion DE.1.0.7.0 --startMP 204:1013 --initTime 2016-08-27T18:17:00 --startdatetime 2016-08-27T18:21:17 --delay 1 --endMP 300:58943 --enddatetime 2016-08-27T18:35:05 --enforcementcount 0 &gt;&gt;C:\Users\stu\Documents\GitHub\eaglep3-reporting\EC\2016-08-27-refined-times.txt</v>
      </c>
      <c r="AI188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{"issue":{"subject":"","project_id":79,"tracker_id":40,"status_id":1,"priority_id":2,"assigned_to_id":23,"start_date":"2016-08-27","description":"","custom_fields":[{"id":1,"name":"Subdivision","value":"NW"},{"id":4,"name":"Milepost","value":"5.793"},{"id":17,"name":"Train ID","value":"1825-27"},{"id":16,"name":"Locomotive ID","value":"4007"},{"id":130,"name":"Impact","value":""},{"id":150,"name":"Time of Event (Mountain Time)","value":"18:35:05"},{"id":151,"name":"Denver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560</v>
      </c>
      <c r="B189" s="7">
        <v>4008</v>
      </c>
      <c r="C189" s="24" t="s">
        <v>113</v>
      </c>
      <c r="D189" s="24" t="s">
        <v>521</v>
      </c>
      <c r="E189" s="15">
        <v>42609.775451388887</v>
      </c>
      <c r="F189" s="15">
        <v>42609.777754629627</v>
      </c>
      <c r="G189" s="7">
        <v>1</v>
      </c>
      <c r="H189" s="15" t="s">
        <v>561</v>
      </c>
      <c r="I189" s="15">
        <v>42609.789097222223</v>
      </c>
      <c r="J189" s="7">
        <v>0</v>
      </c>
      <c r="K189" s="132" t="str">
        <f>IF(ISEVEN(B189),(B189-1)&amp;"/"&amp;B189,B189&amp;"/"&amp;(B189+1))</f>
        <v>4007/4008</v>
      </c>
      <c r="L189" s="24" t="str">
        <f>VLOOKUP(A189,'Trips&amp;Operators'!$C$1:$E$10000,3,FALSE)</f>
        <v>DE LA ROSA</v>
      </c>
      <c r="M189" s="6">
        <f>I189-F189</f>
        <v>1.1342592595610768E-2</v>
      </c>
      <c r="N189" s="7">
        <f>24*60*SUM($M189:$M189)</f>
        <v>16.333333337679505</v>
      </c>
      <c r="O189" s="7"/>
      <c r="P189" s="7"/>
      <c r="Q189" s="25"/>
      <c r="R189" s="25"/>
      <c r="S189" s="37">
        <f>SUM(U189:U189)/IF(AG189="EC",12,1)</f>
        <v>1</v>
      </c>
      <c r="T189" s="52" t="str">
        <f>IF(ISEVEN(LEFT(AD189,4)),"Southbound","NorthBound")</f>
        <v>Southbound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hh:mm:ss")&amp;"-0600',mode:absolute,to:'"&amp;TEXT(I189+1/24,"yyyy-MM-DD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https://search-rtdc-monitor-bjffxe2xuh6vdkpspy63sjmuny.us-east-1.es.amazonaws.com/_plugin/kibana/#/discover/Steve-Slow-Train-Analysis-(2080s-and-2083s)?_g=(refreshInterval:(display:Off,section:0,value:0),time:(from:'2016-08-27 17:36:39-0600',mode:absolute,to:'2016-08-27 19:56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89" s="54" t="str">
        <f>IF(AA189&lt;IF(AG189="EC",23,5.65),"Y","N")</f>
        <v>N</v>
      </c>
      <c r="X189" s="120">
        <f>VALUE(LEFT(AD189,4))-VALUE(LEFT(AD188,4))</f>
        <v>1</v>
      </c>
      <c r="Y189" s="69">
        <f>RIGHT(D189,LEN(D189)-4)/10000</f>
        <v>5.8630000000000004</v>
      </c>
      <c r="Z189" s="69">
        <f>RIGHT(H189,LEN(H189)-4)/10000</f>
        <v>8.0399999999999999E-2</v>
      </c>
      <c r="AA189" s="69">
        <f>ABS(Z189-Y189)</f>
        <v>5.7826000000000004</v>
      </c>
      <c r="AB189" s="66" t="e">
        <f>VLOOKUP(A189,Enforcements!$C$7:$J$21,8,0)</f>
        <v>#N/A</v>
      </c>
      <c r="AC189" s="62" t="e">
        <f>VLOOKUP(A189,Enforcements!$C$7:$E$21,3,0)</f>
        <v>#N/A</v>
      </c>
      <c r="AD189" s="63" t="str">
        <f>IF(LEN(A189)=6,"0"&amp;A189,A189)</f>
        <v>1826-27</v>
      </c>
      <c r="AE189" s="99" t="str">
        <f>"aws s3 cp "&amp;s3_bucket&amp;"/RTDC"&amp;B189&amp;"/"&amp;TEXT(F189,"YYYY-MM-DD")&amp;"/ "&amp;search_path&amp;"\RTDC"&amp;B189&amp;"\"&amp;TEXT(F189,"YYYY-MM-DD")&amp;" --recursive &amp; """&amp;walkandungz&amp;""" "&amp;search_path&amp;"\RTDC"&amp;B189&amp;"\"&amp;TEXT(F189,"YYYY-MM-DD")
&amp;" &amp; "&amp;"aws s3 cp "&amp;s3_bucket&amp;"/RTDC"&amp;B189&amp;"/"&amp;TEXT(F189+1,"YYYY-MM-DD")&amp;"/ "&amp;search_path&amp;"\RTDC"&amp;B189&amp;"\"&amp;TEXT(F189+1,"YYYY-MM-DD")&amp;" --recursive &amp; """&amp;walkandungz&amp;""" "&amp;search_path&amp;"\RTDC"&amp;B189&amp;"\"&amp;TEXT(F189+1,"YYYY-MM-DD")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89" s="96" t="str">
        <f>astrogrep_path&amp;" /spath="&amp;search_path&amp;" /stypes=""*"&amp;B189&amp;"*"&amp;TEXT(I189-utc_offset/24,"YYYYMMDD")&amp;"*"" /stext="" "&amp;TEXT(I189-utc_offset/24,"HH")&amp;search_regexp&amp;""" /e /r /s"</f>
        <v>"C:\Program Files (x86)\AstroGrep\AstroGrep.exe" /spath="%USERPROFILE%\AppData\Local\Temp\OnboardLogs" /stypes="*4008*20160828*" /stext=" 00:.+((SYSTEM_STATE.+slice.+state.+changed )|(ment ac)|(system.+state.+changed )|(\|lc)|(penalty)|(\[timeout)|(PRM\|1\|D)|(kpr)|(kdp))" /e /r /s</v>
      </c>
      <c r="AG189" s="1" t="str">
        <f>IFERROR(IF(VALUE(LEFT(AD189,2))&lt;=2,"EC",IF(OR(VALUE(LEFT(AD189,2))=8,VALUE(LEFT(AD189,2))=18),"NW","Other")),"Other")</f>
        <v>NW</v>
      </c>
      <c r="AH189" s="100" t="str">
        <f t="shared" si="79"/>
        <v>"%USERPROFILE%\Documents\GitHub\eaglep3\Utilities\RefineRTDCRunTimes.py" --tripid 1826-27 --locoid 4008 --swversion DE.1.0.7.0 --startMP 300:58630 --initTime 2016-08-27T18:36:39 --startdatetime 2016-08-27T18:39:58 --delay 1 --endMP 204:804 --enddatetime 2016-08-27T18:56:18 --enforcementcount 0 &gt;&gt;C:\Users\stu\Documents\GitHub\eaglep3-reporting\EC\2016-08-27-refined-times.txt</v>
      </c>
      <c r="AI189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{"issue":{"subject":"","project_id":79,"tracker_id":40,"status_id":1,"priority_id":2,"assigned_to_id":23,"start_date":"2016-08-27","description":"","custom_fields":[{"id":1,"name":"Subdivision","value":"NW"},{"id":4,"name":"Milepost","value":"5.7826"},{"id":17,"name":"Train ID","value":"1826-27"},{"id":16,"name":"Locomotive ID","value":"4008"},{"id":130,"name":"Impact","value":""},{"id":150,"name":"Time of Event (Mountain Time)","value":"18:56:18"},{"id":151,"name":"Denver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562</v>
      </c>
      <c r="B190" s="7">
        <v>4007</v>
      </c>
      <c r="C190" s="24" t="s">
        <v>113</v>
      </c>
      <c r="D190" s="24" t="s">
        <v>563</v>
      </c>
      <c r="E190" s="15">
        <v>42609.802997685183</v>
      </c>
      <c r="F190" s="15">
        <v>42609.806458333333</v>
      </c>
      <c r="G190" s="7">
        <v>1</v>
      </c>
      <c r="H190" s="15" t="s">
        <v>285</v>
      </c>
      <c r="I190" s="15">
        <v>42609.817199074074</v>
      </c>
      <c r="J190" s="7">
        <v>0</v>
      </c>
      <c r="K190" s="132" t="str">
        <f>IF(ISEVEN(B190),(B190-1)&amp;"/"&amp;B190,B190&amp;"/"&amp;(B190+1))</f>
        <v>4007/4008</v>
      </c>
      <c r="L190" s="24" t="str">
        <f>VLOOKUP(A190,'Trips&amp;Operators'!$C$1:$E$10000,3,FALSE)</f>
        <v>DE LA ROSA</v>
      </c>
      <c r="M190" s="6">
        <f>I190-F190</f>
        <v>1.0740740741312038E-2</v>
      </c>
      <c r="N190" s="7">
        <f>24*60*SUM($M190:$M190)</f>
        <v>15.466666667489335</v>
      </c>
      <c r="O190" s="7"/>
      <c r="P190" s="7"/>
      <c r="Q190" s="25"/>
      <c r="R190" s="25"/>
      <c r="S190" s="37">
        <f>SUM(U190:U190)/IF(AG190="EC",12,1)</f>
        <v>1</v>
      </c>
      <c r="T190" s="52" t="str">
        <f>IF(ISEVEN(LEFT(AD190,4)),"Southbound","NorthBound")</f>
        <v>NorthBound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hh:mm:ss")&amp;"-0600',mode:absolute,to:'"&amp;TEXT(I190+1/24,"yyyy-MM-DD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https://search-rtdc-monitor-bjffxe2xuh6vdkpspy63sjmuny.us-east-1.es.amazonaws.com/_plugin/kibana/#/discover/Steve-Slow-Train-Analysis-(2080s-and-2083s)?_g=(refreshInterval:(display:Off,section:0,value:0),time:(from:'2016-08-27 18:16:19-0600',mode:absolute,to:'2016-08-27 20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0" s="54" t="str">
        <f>IF(AA190&lt;IF(AG190="EC",23,5.65),"Y","N")</f>
        <v>N</v>
      </c>
      <c r="X190" s="120">
        <f>VALUE(LEFT(AD190,4))-VALUE(LEFT(AD189,4))</f>
        <v>1</v>
      </c>
      <c r="Y190" s="69">
        <f>RIGHT(D190,LEN(D190)-4)/10000</f>
        <v>0.109</v>
      </c>
      <c r="Z190" s="69">
        <f>RIGHT(H190,LEN(H190)-4)/10000</f>
        <v>5.8949999999999996</v>
      </c>
      <c r="AA190" s="69">
        <f>ABS(Z190-Y190)</f>
        <v>5.7859999999999996</v>
      </c>
      <c r="AB190" s="66" t="e">
        <f>VLOOKUP(A190,Enforcements!$C$7:$J$21,8,0)</f>
        <v>#N/A</v>
      </c>
      <c r="AC190" s="62" t="e">
        <f>VLOOKUP(A190,Enforcements!$C$7:$E$21,3,0)</f>
        <v>#N/A</v>
      </c>
      <c r="AD190" s="63" t="str">
        <f>IF(LEN(A190)=6,"0"&amp;A190,A190)</f>
        <v>1827-27</v>
      </c>
      <c r="AE190" s="99" t="str">
        <f>"aws s3 cp "&amp;s3_bucket&amp;"/RTDC"&amp;B190&amp;"/"&amp;TEXT(F190,"YYYY-MM-DD")&amp;"/ "&amp;search_path&amp;"\RTDC"&amp;B190&amp;"\"&amp;TEXT(F190,"YYYY-MM-DD")&amp;" --recursive &amp; """&amp;walkandungz&amp;""" "&amp;search_path&amp;"\RTDC"&amp;B190&amp;"\"&amp;TEXT(F190,"YYYY-MM-DD")
&amp;" &amp; "&amp;"aws s3 cp "&amp;s3_bucket&amp;"/RTDC"&amp;B190&amp;"/"&amp;TEXT(F190+1,"YYYY-MM-DD")&amp;"/ "&amp;search_path&amp;"\RTDC"&amp;B190&amp;"\"&amp;TEXT(F190+1,"YYYY-MM-DD")&amp;" --recursive &amp; """&amp;walkandungz&amp;""" "&amp;search_path&amp;"\RTDC"&amp;B190&amp;"\"&amp;TEXT(F190+1,"YYYY-MM-DD")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90" s="96" t="str">
        <f>astrogrep_path&amp;" /spath="&amp;search_path&amp;" /stypes=""*"&amp;B190&amp;"*"&amp;TEXT(I190-utc_offset/24,"YYYYMMDD")&amp;"*"" /stext="" "&amp;TEXT(I190-utc_offset/24,"HH")&amp;search_regexp&amp;""" /e /r /s"</f>
        <v>"C:\Program Files (x86)\AstroGrep\AstroGrep.exe" /spath="%USERPROFILE%\AppData\Local\Temp\OnboardLogs" /stypes="*4007*20160828*" /stext=" 01:.+((SYSTEM_STATE.+slice.+state.+changed )|(ment ac)|(system.+state.+changed )|(\|lc)|(penalty)|(\[timeout)|(PRM\|1\|D)|(kpr)|(kdp))" /e /r /s</v>
      </c>
      <c r="AG190" s="1" t="str">
        <f>IFERROR(IF(VALUE(LEFT(AD190,2))&lt;=2,"EC",IF(OR(VALUE(LEFT(AD190,2))=8,VALUE(LEFT(AD190,2))=18),"NW","Other")),"Other")</f>
        <v>NW</v>
      </c>
      <c r="AH190" s="100" t="str">
        <f t="shared" si="79"/>
        <v>"%USERPROFILE%\Documents\GitHub\eaglep3\Utilities\RefineRTDCRunTimes.py" --tripid 1827-27 --locoid 4007 --swversion DE.1.0.7.0 --startMP 204:1090 --initTime 2016-08-27T19:16:19 --startdatetime 2016-08-27T19:21:18 --delay 1 --endMP 300:58950 --enddatetime 2016-08-27T19:36:46 --enforcementcount 0 &gt;&gt;C:\Users\stu\Documents\GitHub\eaglep3-reporting\EC\2016-08-27-refined-times.txt</v>
      </c>
      <c r="AI190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{"issue":{"subject":"","project_id":79,"tracker_id":40,"status_id":1,"priority_id":2,"assigned_to_id":23,"start_date":"2016-08-27","description":"","custom_fields":[{"id":1,"name":"Subdivision","value":"NW"},{"id":4,"name":"Milepost","value":"5.786"},{"id":17,"name":"Train ID","value":"1827-27"},{"id":16,"name":"Locomotive ID","value":"4007"},{"id":130,"name":"Impact","value":""},{"id":150,"name":"Time of Event (Mountain Time)","value":"19:36:46"},{"id":151,"name":"Denver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s="23" customFormat="1" x14ac:dyDescent="0.25">
      <c r="A191" s="39" t="s">
        <v>564</v>
      </c>
      <c r="B191" s="7">
        <v>4008</v>
      </c>
      <c r="C191" s="24" t="s">
        <v>113</v>
      </c>
      <c r="D191" s="24" t="s">
        <v>286</v>
      </c>
      <c r="E191" s="15">
        <v>42609.818252314813</v>
      </c>
      <c r="F191" s="15">
        <v>42609.820011574076</v>
      </c>
      <c r="G191" s="7">
        <v>1</v>
      </c>
      <c r="H191" s="15" t="s">
        <v>565</v>
      </c>
      <c r="I191" s="15">
        <v>42609.830937500003</v>
      </c>
      <c r="J191" s="7">
        <v>0</v>
      </c>
      <c r="K191" s="132" t="str">
        <f>IF(ISEVEN(B191),(B191-1)&amp;"/"&amp;B191,B191&amp;"/"&amp;(B191+1))</f>
        <v>4007/4008</v>
      </c>
      <c r="L191" s="24" t="str">
        <f>VLOOKUP(A191,'Trips&amp;Operators'!$C$1:$E$10000,3,FALSE)</f>
        <v>DE LA ROSA</v>
      </c>
      <c r="M191" s="6">
        <f>I191-F191</f>
        <v>1.0925925926130731E-2</v>
      </c>
      <c r="N191" s="7">
        <f>24*60*SUM($M191:$M191)</f>
        <v>15.733333333628252</v>
      </c>
      <c r="O191" s="7"/>
      <c r="P191" s="7"/>
      <c r="Q191" s="25"/>
      <c r="R191" s="25"/>
      <c r="S191" s="37">
        <f>SUM(U191:U191)/IF(AG191="EC",12,1)</f>
        <v>1</v>
      </c>
      <c r="T191" s="52" t="str">
        <f>IF(ISEVEN(LEFT(AD191,4)),"Southbound","NorthBound")</f>
        <v>Southbound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hh:mm:ss")&amp;"-0600',mode:absolute,to:'"&amp;TEXT(I191+1/24,"yyyy-MM-DD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https://search-rtdc-monitor-bjffxe2xuh6vdkpspy63sjmuny.us-east-1.es.amazonaws.com/_plugin/kibana/#/discover/Steve-Slow-Train-Analysis-(2080s-and-2083s)?_g=(refreshInterval:(display:Off,section:0,value:0),time:(from:'2016-08-27 18:38:17-0600',mode:absolute,to:'2016-08-27 20:56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91" s="54" t="str">
        <f>IF(AA191&lt;IF(AG191="EC",23,5.65),"Y","N")</f>
        <v>N</v>
      </c>
      <c r="X191" s="120">
        <f t="shared" ref="X191:X202" si="83">VALUE(LEFT(AD191,4))-VALUE(LEFT(AD190,4))</f>
        <v>1</v>
      </c>
      <c r="Y191" s="69">
        <f>RIGHT(D191,LEN(D191)-4)/10000</f>
        <v>5.8632</v>
      </c>
      <c r="Z191" s="69">
        <f>RIGHT(H191,LEN(H191)-4)/10000</f>
        <v>7.3099999999999998E-2</v>
      </c>
      <c r="AA191" s="69">
        <f>ABS(Z191-Y191)</f>
        <v>5.7900999999999998</v>
      </c>
      <c r="AB191" s="66" t="e">
        <f>VLOOKUP(A191,Enforcements!$C$7:$J$21,8,0)</f>
        <v>#N/A</v>
      </c>
      <c r="AC191" s="62" t="e">
        <f>VLOOKUP(A191,Enforcements!$C$7:$E$21,3,0)</f>
        <v>#N/A</v>
      </c>
      <c r="AD191" s="63" t="str">
        <f>IF(LEN(A191)=6,"0"&amp;A191,A191)</f>
        <v>1828-27</v>
      </c>
      <c r="AE191" s="99" t="str">
        <f>"aws s3 cp "&amp;s3_bucket&amp;"/RTDC"&amp;B191&amp;"/"&amp;TEXT(F191,"YYYY-MM-DD")&amp;"/ "&amp;search_path&amp;"\RTDC"&amp;B191&amp;"\"&amp;TEXT(F191,"YYYY-MM-DD")&amp;" --recursive &amp; """&amp;walkandungz&amp;""" "&amp;search_path&amp;"\RTDC"&amp;B191&amp;"\"&amp;TEXT(F191,"YYYY-MM-DD")
&amp;" &amp; "&amp;"aws s3 cp "&amp;s3_bucket&amp;"/RTDC"&amp;B191&amp;"/"&amp;TEXT(F191+1,"YYYY-MM-DD")&amp;"/ "&amp;search_path&amp;"\RTDC"&amp;B191&amp;"\"&amp;TEXT(F191+1,"YYYY-MM-DD")&amp;" --recursive &amp; """&amp;walkandungz&amp;""" "&amp;search_path&amp;"\RTDC"&amp;B191&amp;"\"&amp;TEXT(F191+1,"YYYY-MM-DD")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91" s="96" t="str">
        <f>astrogrep_path&amp;" /spath="&amp;search_path&amp;" /stypes=""*"&amp;B191&amp;"*"&amp;TEXT(I191-utc_offset/24,"YYYYMMDD")&amp;"*"" /stext="" "&amp;TEXT(I191-utc_offset/24,"HH")&amp;search_regexp&amp;""" /e /r /s"</f>
        <v>"C:\Program Files (x86)\AstroGrep\AstroGrep.exe" /spath="%USERPROFILE%\AppData\Local\Temp\OnboardLogs" /stypes="*4008*20160828*" /stext=" 01:.+((SYSTEM_STATE.+slice.+state.+changed )|(ment ac)|(system.+state.+changed )|(\|lc)|(penalty)|(\[timeout)|(PRM\|1\|D)|(kpr)|(kdp))" /e /r /s</v>
      </c>
      <c r="AG191" s="1" t="str">
        <f>IFERROR(IF(VALUE(LEFT(AD191,2))&lt;=2,"EC",IF(OR(VALUE(LEFT(AD191,2))=8,VALUE(LEFT(AD191,2))=18),"NW","Other")),"Other")</f>
        <v>NW</v>
      </c>
      <c r="AH191" s="100" t="str">
        <f t="shared" si="79"/>
        <v>"%USERPROFILE%\Documents\GitHub\eaglep3\Utilities\RefineRTDCRunTimes.py" --tripid 1828-27 --locoid 4008 --swversion DE.1.0.7.0 --startMP 300:58632 --initTime 2016-08-27T19:38:17 --startdatetime 2016-08-27T19:40:49 --delay 1 --endMP 204:731 --enddatetime 2016-08-27T19:56:33 --enforcementcount 0 &gt;&gt;C:\Users\stu\Documents\GitHub\eaglep3-reporting\EC\2016-08-27-refined-times.txt</v>
      </c>
      <c r="AI191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{"issue":{"subject":"","project_id":79,"tracker_id":40,"status_id":1,"priority_id":2,"assigned_to_id":23,"start_date":"2016-08-27","description":"","custom_fields":[{"id":1,"name":"Subdivision","value":"NW"},{"id":4,"name":"Milepost","value":"5.7901"},{"id":17,"name":"Train ID","value":"1828-27"},{"id":16,"name":"Locomotive ID","value":"4008"},{"id":130,"name":"Impact","value":""},{"id":150,"name":"Time of Event (Mountain Time)","value":"19:56:33"},{"id":151,"name":"Denver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566</v>
      </c>
      <c r="B192" s="7">
        <v>4007</v>
      </c>
      <c r="C192" s="24" t="s">
        <v>113</v>
      </c>
      <c r="D192" s="24" t="s">
        <v>567</v>
      </c>
      <c r="E192" s="15">
        <v>42609.844814814816</v>
      </c>
      <c r="F192" s="15">
        <v>42609.848136574074</v>
      </c>
      <c r="G192" s="7">
        <v>1</v>
      </c>
      <c r="H192" s="15" t="s">
        <v>370</v>
      </c>
      <c r="I192" s="15">
        <v>42609.858182870368</v>
      </c>
      <c r="J192" s="7">
        <v>0</v>
      </c>
      <c r="K192" s="132" t="str">
        <f>IF(ISEVEN(B192),(B192-1)&amp;"/"&amp;B192,B192&amp;"/"&amp;(B192+1))</f>
        <v>4007/4008</v>
      </c>
      <c r="L192" s="24" t="str">
        <f>VLOOKUP(A192,'Trips&amp;Operators'!$C$1:$E$10000,3,FALSE)</f>
        <v>DE LA ROSA</v>
      </c>
      <c r="M192" s="6">
        <f>I192-F192</f>
        <v>1.0046296294603962E-2</v>
      </c>
      <c r="N192" s="7">
        <f>24*60*SUM($M192:$M192)</f>
        <v>14.466666664229706</v>
      </c>
      <c r="O192" s="7"/>
      <c r="P192" s="7"/>
      <c r="Q192" s="25"/>
      <c r="R192" s="25"/>
      <c r="S192" s="37">
        <f>SUM(U192:U192)/IF(AG192="EC",12,1)</f>
        <v>1</v>
      </c>
      <c r="T192" s="52" t="str">
        <f>IF(ISEVEN(LEFT(AD192,4)),"Southbound","NorthBound")</f>
        <v>NorthBound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hh:mm:ss")&amp;"-0600',mode:absolute,to:'"&amp;TEXT(I192+1/24,"yyyy-MM-DD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https://search-rtdc-monitor-bjffxe2xuh6vdkpspy63sjmuny.us-east-1.es.amazonaws.com/_plugin/kibana/#/discover/Steve-Slow-Train-Analysis-(2080s-and-2083s)?_g=(refreshInterval:(display:Off,section:0,value:0),time:(from:'2016-08-27 19:16:32-0600',mode:absolute,to:'2016-08-27 21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2" s="54" t="str">
        <f>IF(AA192&lt;IF(AG192="EC",23,5.65),"Y","N")</f>
        <v>N</v>
      </c>
      <c r="X192" s="120">
        <f t="shared" si="83"/>
        <v>1</v>
      </c>
      <c r="Y192" s="69">
        <f>RIGHT(D192,LEN(D192)-4)/10000</f>
        <v>0.1009</v>
      </c>
      <c r="Z192" s="69">
        <f>RIGHT(H192,LEN(H192)-4)/10000</f>
        <v>5.8956</v>
      </c>
      <c r="AA192" s="69">
        <f>ABS(Z192-Y192)</f>
        <v>5.7946999999999997</v>
      </c>
      <c r="AB192" s="66" t="e">
        <f>VLOOKUP(A192,Enforcements!$C$7:$J$21,8,0)</f>
        <v>#N/A</v>
      </c>
      <c r="AC192" s="62" t="e">
        <f>VLOOKUP(A192,Enforcements!$C$7:$E$21,3,0)</f>
        <v>#N/A</v>
      </c>
      <c r="AD192" s="63" t="str">
        <f>IF(LEN(A192)=6,"0"&amp;A192,A192)</f>
        <v>1829-27</v>
      </c>
      <c r="AE192" s="99" t="str">
        <f>"aws s3 cp "&amp;s3_bucket&amp;"/RTDC"&amp;B192&amp;"/"&amp;TEXT(F192,"YYYY-MM-DD")&amp;"/ "&amp;search_path&amp;"\RTDC"&amp;B192&amp;"\"&amp;TEXT(F192,"YYYY-MM-DD")&amp;" --recursive &amp; """&amp;walkandungz&amp;""" "&amp;search_path&amp;"\RTDC"&amp;B192&amp;"\"&amp;TEXT(F192,"YYYY-MM-DD")
&amp;" &amp; "&amp;"aws s3 cp "&amp;s3_bucket&amp;"/RTDC"&amp;B192&amp;"/"&amp;TEXT(F192+1,"YYYY-MM-DD")&amp;"/ "&amp;search_path&amp;"\RTDC"&amp;B192&amp;"\"&amp;TEXT(F192+1,"YYYY-MM-DD")&amp;" --recursive &amp; """&amp;walkandungz&amp;""" "&amp;search_path&amp;"\RTDC"&amp;B192&amp;"\"&amp;TEXT(F192+1,"YYYY-MM-DD")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92" s="96" t="str">
        <f>astrogrep_path&amp;" /spath="&amp;search_path&amp;" /stypes=""*"&amp;B192&amp;"*"&amp;TEXT(I192-utc_offset/24,"YYYYMMDD")&amp;"*"" /stext="" "&amp;TEXT(I192-utc_offset/24,"HH")&amp;search_regexp&amp;""" /e /r /s"</f>
        <v>"C:\Program Files (x86)\AstroGrep\AstroGrep.exe" /spath="%USERPROFILE%\AppData\Local\Temp\OnboardLogs" /stypes="*4007*20160828*" /stext=" 02:.+((SYSTEM_STATE.+slice.+state.+changed )|(ment ac)|(system.+state.+changed )|(\|lc)|(penalty)|(\[timeout)|(PRM\|1\|D)|(kpr)|(kdp))" /e /r /s</v>
      </c>
      <c r="AG192" s="1" t="str">
        <f>IFERROR(IF(VALUE(LEFT(AD192,2))&lt;=2,"EC",IF(OR(VALUE(LEFT(AD192,2))=8,VALUE(LEFT(AD192,2))=18),"NW","Other")),"Other")</f>
        <v>NW</v>
      </c>
      <c r="AH192" s="100" t="str">
        <f t="shared" si="79"/>
        <v>"%USERPROFILE%\Documents\GitHub\eaglep3\Utilities\RefineRTDCRunTimes.py" --tripid 1829-27 --locoid 4007 --swversion DE.1.0.7.0 --startMP 204:1009 --initTime 2016-08-27T20:16:32 --startdatetime 2016-08-27T20:21:19 --delay 1 --endMP 300:58956 --enddatetime 2016-08-27T20:35:47 --enforcementcount 0 &gt;&gt;C:\Users\stu\Documents\GitHub\eaglep3-reporting\EC\2016-08-27-refined-times.txt</v>
      </c>
      <c r="AI192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{"issue":{"subject":"","project_id":79,"tracker_id":40,"status_id":1,"priority_id":2,"assigned_to_id":23,"start_date":"2016-08-27","description":"","custom_fields":[{"id":1,"name":"Subdivision","value":"NW"},{"id":4,"name":"Milepost","value":"5.7947"},{"id":17,"name":"Train ID","value":"1829-27"},{"id":16,"name":"Locomotive ID","value":"4007"},{"id":130,"name":"Impact","value":""},{"id":150,"name":"Time of Event (Mountain Time)","value":"20:35:47"},{"id":151,"name":"Denver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570</v>
      </c>
      <c r="B193" s="7">
        <v>4008</v>
      </c>
      <c r="C193" s="24" t="s">
        <v>113</v>
      </c>
      <c r="D193" s="24" t="s">
        <v>374</v>
      </c>
      <c r="E193" s="15">
        <v>42609.859259259261</v>
      </c>
      <c r="F193" s="15">
        <v>42609.860983796294</v>
      </c>
      <c r="G193" s="7">
        <v>1</v>
      </c>
      <c r="H193" s="15" t="s">
        <v>543</v>
      </c>
      <c r="I193" s="15">
        <v>42609.871354166666</v>
      </c>
      <c r="J193" s="7">
        <v>0</v>
      </c>
      <c r="K193" s="132" t="str">
        <f>IF(ISEVEN(B193),(B193-1)&amp;"/"&amp;B193,B193&amp;"/"&amp;(B193+1))</f>
        <v>4007/4008</v>
      </c>
      <c r="L193" s="24" t="str">
        <f>VLOOKUP(A193,'Trips&amp;Operators'!$C$1:$E$10000,3,FALSE)</f>
        <v>DE LA ROSA</v>
      </c>
      <c r="M193" s="6">
        <f>I193-F193</f>
        <v>1.0370370371674653E-2</v>
      </c>
      <c r="N193" s="7">
        <f>24*60*SUM($M193:$M193)</f>
        <v>14.933333335211501</v>
      </c>
      <c r="O193" s="7"/>
      <c r="P193" s="7"/>
      <c r="Q193" s="25"/>
      <c r="R193" s="25"/>
      <c r="S193" s="37">
        <f>SUM(U193:U193)/IF(AG193="EC",12,1)</f>
        <v>1</v>
      </c>
      <c r="T193" s="52" t="str">
        <f>IF(ISEVEN(LEFT(AD193,4)),"Southbound","NorthBound")</f>
        <v>Southbound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hh:mm:ss")&amp;"-0600',mode:absolute,to:'"&amp;TEXT(I193+1/24,"yyyy-MM-DD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https://search-rtdc-monitor-bjffxe2xuh6vdkpspy63sjmuny.us-east-1.es.amazonaws.com/_plugin/kibana/#/discover/Steve-Slow-Train-Analysis-(2080s-and-2083s)?_g=(refreshInterval:(display:Off,section:0,value:0),time:(from:'2016-08-27 19:37:20-0600',mode:absolute,to:'2016-08-27 21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93" s="54" t="str">
        <f>IF(AA193&lt;IF(AG193="EC",23,5.65),"Y","N")</f>
        <v>N</v>
      </c>
      <c r="X193" s="120">
        <f t="shared" si="83"/>
        <v>1</v>
      </c>
      <c r="Y193" s="69">
        <f>RIGHT(D193,LEN(D193)-4)/10000</f>
        <v>5.8639999999999999</v>
      </c>
      <c r="Z193" s="69">
        <f>RIGHT(H193,LEN(H193)-4)/10000</f>
        <v>7.3300000000000004E-2</v>
      </c>
      <c r="AA193" s="69">
        <f>ABS(Z193-Y193)</f>
        <v>5.7907000000000002</v>
      </c>
      <c r="AB193" s="66" t="e">
        <f>VLOOKUP(A193,Enforcements!$C$7:$J$21,8,0)</f>
        <v>#N/A</v>
      </c>
      <c r="AC193" s="62" t="e">
        <f>VLOOKUP(A193,Enforcements!$C$7:$E$21,3,0)</f>
        <v>#N/A</v>
      </c>
      <c r="AD193" s="63" t="str">
        <f>IF(LEN(A193)=6,"0"&amp;A193,A193)</f>
        <v>1830-27</v>
      </c>
      <c r="AE193" s="99" t="str">
        <f>"aws s3 cp "&amp;s3_bucket&amp;"/RTDC"&amp;B193&amp;"/"&amp;TEXT(F193,"YYYY-MM-DD")&amp;"/ "&amp;search_path&amp;"\RTDC"&amp;B193&amp;"\"&amp;TEXT(F193,"YYYY-MM-DD")&amp;" --recursive &amp; """&amp;walkandungz&amp;""" "&amp;search_path&amp;"\RTDC"&amp;B193&amp;"\"&amp;TEXT(F193,"YYYY-MM-DD")
&amp;" &amp; "&amp;"aws s3 cp "&amp;s3_bucket&amp;"/RTDC"&amp;B193&amp;"/"&amp;TEXT(F193+1,"YYYY-MM-DD")&amp;"/ "&amp;search_path&amp;"\RTDC"&amp;B193&amp;"\"&amp;TEXT(F193+1,"YYYY-MM-DD")&amp;" --recursive &amp; """&amp;walkandungz&amp;""" "&amp;search_path&amp;"\RTDC"&amp;B193&amp;"\"&amp;TEXT(F193+1,"YYYY-MM-DD")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93" s="96" t="str">
        <f>astrogrep_path&amp;" /spath="&amp;search_path&amp;" /stypes=""*"&amp;B193&amp;"*"&amp;TEXT(I193-utc_offset/24,"YYYYMMDD")&amp;"*"" /stext="" "&amp;TEXT(I193-utc_offset/24,"HH")&amp;search_regexp&amp;""" /e /r /s"</f>
        <v>"C:\Program Files (x86)\AstroGrep\AstroGrep.exe" /spath="%USERPROFILE%\AppData\Local\Temp\OnboardLogs" /stypes="*4008*20160828*" /stext=" 02:.+((SYSTEM_STATE.+slice.+state.+changed )|(ment ac)|(system.+state.+changed )|(\|lc)|(penalty)|(\[timeout)|(PRM\|1\|D)|(kpr)|(kdp))" /e /r /s</v>
      </c>
      <c r="AG193" s="1" t="str">
        <f>IFERROR(IF(VALUE(LEFT(AD193,2))&lt;=2,"EC",IF(OR(VALUE(LEFT(AD193,2))=8,VALUE(LEFT(AD193,2))=18),"NW","Other")),"Other")</f>
        <v>NW</v>
      </c>
      <c r="AH193" s="100" t="str">
        <f t="shared" si="79"/>
        <v>"%USERPROFILE%\Documents\GitHub\eaglep3\Utilities\RefineRTDCRunTimes.py" --tripid 1830-27 --locoid 4008 --swversion DE.1.0.7.0 --startMP 300:58640 --initTime 2016-08-27T20:37:20 --startdatetime 2016-08-27T20:39:49 --delay 1 --endMP 204:733 --enddatetime 2016-08-27T20:54:45 --enforcementcount 0 &gt;&gt;C:\Users\stu\Documents\GitHub\eaglep3-reporting\EC\2016-08-27-refined-times.txt</v>
      </c>
      <c r="AI193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{"issue":{"subject":"","project_id":79,"tracker_id":40,"status_id":1,"priority_id":2,"assigned_to_id":23,"start_date":"2016-08-27","description":"","custom_fields":[{"id":1,"name":"Subdivision","value":"NW"},{"id":4,"name":"Milepost","value":"5.7907"},{"id":17,"name":"Train ID","value":"1830-27"},{"id":16,"name":"Locomotive ID","value":"4008"},{"id":130,"name":"Impact","value":""},{"id":150,"name":"Time of Event (Mountain Time)","value":"20:54:45"},{"id":151,"name":"Denver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571</v>
      </c>
      <c r="B194" s="7">
        <v>4007</v>
      </c>
      <c r="C194" s="24" t="s">
        <v>113</v>
      </c>
      <c r="D194" s="24" t="s">
        <v>572</v>
      </c>
      <c r="E194" s="15">
        <v>42609.886354166665</v>
      </c>
      <c r="F194" s="15">
        <v>42609.889803240738</v>
      </c>
      <c r="G194" s="7">
        <v>1</v>
      </c>
      <c r="H194" s="15" t="s">
        <v>515</v>
      </c>
      <c r="I194" s="15">
        <v>42609.899687500001</v>
      </c>
      <c r="J194" s="7">
        <v>0</v>
      </c>
      <c r="K194" s="132" t="str">
        <f>IF(ISEVEN(B194),(B194-1)&amp;"/"&amp;B194,B194&amp;"/"&amp;(B194+1))</f>
        <v>4007/4008</v>
      </c>
      <c r="L194" s="24" t="str">
        <f>VLOOKUP(A194,'Trips&amp;Operators'!$C$1:$E$10000,3,FALSE)</f>
        <v>DE LA ROSA</v>
      </c>
      <c r="M194" s="6">
        <f>I194-F194</f>
        <v>9.8842592633445747E-3</v>
      </c>
      <c r="N194" s="7">
        <f>24*60*SUM($M194:$M194)</f>
        <v>14.233333339216188</v>
      </c>
      <c r="O194" s="7"/>
      <c r="P194" s="7"/>
      <c r="Q194" s="25"/>
      <c r="R194" s="25"/>
      <c r="S194" s="37">
        <f>SUM(U194:U194)/IF(AG194="EC",12,1)</f>
        <v>1</v>
      </c>
      <c r="T194" s="52" t="str">
        <f>IF(ISEVEN(LEFT(AD194,4)),"Southbound","NorthBound")</f>
        <v>NorthBound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hh:mm:ss")&amp;"-0600',mode:absolute,to:'"&amp;TEXT(I194+1/24,"yyyy-MM-DD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https://search-rtdc-monitor-bjffxe2xuh6vdkpspy63sjmuny.us-east-1.es.amazonaws.com/_plugin/kibana/#/discover/Steve-Slow-Train-Analysis-(2080s-and-2083s)?_g=(refreshInterval:(display:Off,section:0,value:0),time:(from:'2016-08-27 20:16:21-0600',mode:absolute,to:'2016-08-27 22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4" s="54" t="str">
        <f>IF(AA194&lt;IF(AG194="EC",23,5.65),"Y","N")</f>
        <v>N</v>
      </c>
      <c r="X194" s="120">
        <f t="shared" si="83"/>
        <v>1</v>
      </c>
      <c r="Y194" s="69">
        <f>RIGHT(D194,LEN(D194)-4)/10000</f>
        <v>0.10059999999999999</v>
      </c>
      <c r="Z194" s="69">
        <f>RIGHT(H194,LEN(H194)-4)/10000</f>
        <v>5.8959999999999999</v>
      </c>
      <c r="AA194" s="69">
        <f>ABS(Z194-Y194)</f>
        <v>5.7953999999999999</v>
      </c>
      <c r="AB194" s="66" t="e">
        <f>VLOOKUP(A194,Enforcements!$C$7:$J$21,8,0)</f>
        <v>#N/A</v>
      </c>
      <c r="AC194" s="62" t="e">
        <f>VLOOKUP(A194,Enforcements!$C$7:$E$21,3,0)</f>
        <v>#N/A</v>
      </c>
      <c r="AD194" s="63" t="str">
        <f>IF(LEN(A194)=6,"0"&amp;A194,A194)</f>
        <v>1831-27</v>
      </c>
      <c r="AE194" s="99" t="str">
        <f>"aws s3 cp "&amp;s3_bucket&amp;"/RTDC"&amp;B194&amp;"/"&amp;TEXT(F194,"YYYY-MM-DD")&amp;"/ "&amp;search_path&amp;"\RTDC"&amp;B194&amp;"\"&amp;TEXT(F194,"YYYY-MM-DD")&amp;" --recursive &amp; """&amp;walkandungz&amp;""" "&amp;search_path&amp;"\RTDC"&amp;B194&amp;"\"&amp;TEXT(F194,"YYYY-MM-DD")
&amp;" &amp; "&amp;"aws s3 cp "&amp;s3_bucket&amp;"/RTDC"&amp;B194&amp;"/"&amp;TEXT(F194+1,"YYYY-MM-DD")&amp;"/ "&amp;search_path&amp;"\RTDC"&amp;B194&amp;"\"&amp;TEXT(F194+1,"YYYY-MM-DD")&amp;" --recursive &amp; """&amp;walkandungz&amp;""" "&amp;search_path&amp;"\RTDC"&amp;B194&amp;"\"&amp;TEXT(F194+1,"YYYY-MM-DD")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94" s="96" t="str">
        <f>astrogrep_path&amp;" /spath="&amp;search_path&amp;" /stypes=""*"&amp;B194&amp;"*"&amp;TEXT(I194-utc_offset/24,"YYYYMMDD")&amp;"*"" /stext="" "&amp;TEXT(I194-utc_offset/24,"HH")&amp;search_regexp&amp;""" /e /r /s"</f>
        <v>"C:\Program Files (x86)\AstroGrep\AstroGrep.exe" /spath="%USERPROFILE%\AppData\Local\Temp\OnboardLogs" /stypes="*4007*20160828*" /stext=" 03:.+((SYSTEM_STATE.+slice.+state.+changed )|(ment ac)|(system.+state.+changed )|(\|lc)|(penalty)|(\[timeout)|(PRM\|1\|D)|(kpr)|(kdp))" /e /r /s</v>
      </c>
      <c r="AG194" s="1" t="str">
        <f>IFERROR(IF(VALUE(LEFT(AD194,2))&lt;=2,"EC",IF(OR(VALUE(LEFT(AD194,2))=8,VALUE(LEFT(AD194,2))=18),"NW","Other")),"Other")</f>
        <v>NW</v>
      </c>
      <c r="AH194" s="100" t="str">
        <f t="shared" si="79"/>
        <v>"%USERPROFILE%\Documents\GitHub\eaglep3\Utilities\RefineRTDCRunTimes.py" --tripid 1831-27 --locoid 4007 --swversion DE.1.0.7.0 --startMP 204:1006 --initTime 2016-08-27T21:16:21 --startdatetime 2016-08-27T21:21:19 --delay 1 --endMP 300:58960 --enddatetime 2016-08-27T21:35:33 --enforcementcount 0 &gt;&gt;C:\Users\stu\Documents\GitHub\eaglep3-reporting\EC\2016-08-27-refined-times.txt</v>
      </c>
      <c r="AI194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{"issue":{"subject":"","project_id":79,"tracker_id":40,"status_id":1,"priority_id":2,"assigned_to_id":23,"start_date":"2016-08-27","description":"","custom_fields":[{"id":1,"name":"Subdivision","value":"NW"},{"id":4,"name":"Milepost","value":"5.7954"},{"id":17,"name":"Train ID","value":"1831-27"},{"id":16,"name":"Locomotive ID","value":"4007"},{"id":130,"name":"Impact","value":""},{"id":150,"name":"Time of Event (Mountain Time)","value":"21:35:33"},{"id":151,"name":"Denver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573</v>
      </c>
      <c r="B195" s="7">
        <v>4008</v>
      </c>
      <c r="C195" s="24" t="s">
        <v>113</v>
      </c>
      <c r="D195" s="24" t="s">
        <v>284</v>
      </c>
      <c r="E195" s="15">
        <v>42609.900601851848</v>
      </c>
      <c r="F195" s="15">
        <v>42609.902326388888</v>
      </c>
      <c r="G195" s="7">
        <v>2</v>
      </c>
      <c r="H195" s="15" t="s">
        <v>574</v>
      </c>
      <c r="I195" s="15">
        <v>42609.913055555553</v>
      </c>
      <c r="J195" s="7">
        <v>0</v>
      </c>
      <c r="K195" s="132" t="str">
        <f>IF(ISEVEN(B195),(B195-1)&amp;"/"&amp;B195,B195&amp;"/"&amp;(B195+1))</f>
        <v>4007/4008</v>
      </c>
      <c r="L195" s="24" t="str">
        <f>VLOOKUP(A195,'Trips&amp;Operators'!$C$1:$E$10000,3,FALSE)</f>
        <v>DE LA ROSA</v>
      </c>
      <c r="M195" s="6">
        <f>I195-F195</f>
        <v>1.0729166664532386E-2</v>
      </c>
      <c r="N195" s="7">
        <f>24*60*SUM($M195:$M195)</f>
        <v>15.449999996926636</v>
      </c>
      <c r="O195" s="7"/>
      <c r="P195" s="7"/>
      <c r="Q195" s="25"/>
      <c r="R195" s="25"/>
      <c r="S195" s="37">
        <f>SUM(U195:U195)/IF(AG195="EC",12,1)</f>
        <v>1</v>
      </c>
      <c r="T195" s="52" t="str">
        <f>IF(ISEVEN(LEFT(AD195,4)),"Southbound","NorthBound")</f>
        <v>Southbound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hh:mm:ss")&amp;"-0600',mode:absolute,to:'"&amp;TEXT(I195+1/24,"yyyy-MM-DD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https://search-rtdc-monitor-bjffxe2xuh6vdkpspy63sjmuny.us-east-1.es.amazonaws.com/_plugin/kibana/#/discover/Steve-Slow-Train-Analysis-(2080s-and-2083s)?_g=(refreshInterval:(display:Off,section:0,value:0),time:(from:'2016-08-27 20:36:52-0600',mode:absolute,to:'2016-08-27 22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95" s="54" t="str">
        <f>IF(AA195&lt;IF(AG195="EC",23,5.65),"Y","N")</f>
        <v>N</v>
      </c>
      <c r="X195" s="120">
        <f t="shared" si="83"/>
        <v>1</v>
      </c>
      <c r="Y195" s="69">
        <f>RIGHT(D195,LEN(D195)-4)/10000</f>
        <v>5.8648999999999996</v>
      </c>
      <c r="Z195" s="69">
        <f>RIGHT(H195,LEN(H195)-4)/10000</f>
        <v>7.6799999999999993E-2</v>
      </c>
      <c r="AA195" s="69">
        <f>ABS(Z195-Y195)</f>
        <v>5.7880999999999991</v>
      </c>
      <c r="AB195" s="66" t="e">
        <f>VLOOKUP(A195,Enforcements!$C$7:$J$21,8,0)</f>
        <v>#N/A</v>
      </c>
      <c r="AC195" s="62" t="e">
        <f>VLOOKUP(A195,Enforcements!$C$7:$E$21,3,0)</f>
        <v>#N/A</v>
      </c>
      <c r="AD195" s="63" t="str">
        <f>IF(LEN(A195)=6,"0"&amp;A195,A195)</f>
        <v>1832-27</v>
      </c>
      <c r="AE195" s="99" t="str">
        <f>"aws s3 cp "&amp;s3_bucket&amp;"/RTDC"&amp;B195&amp;"/"&amp;TEXT(F195,"YYYY-MM-DD")&amp;"/ "&amp;search_path&amp;"\RTDC"&amp;B195&amp;"\"&amp;TEXT(F195,"YYYY-MM-DD")&amp;" --recursive &amp; """&amp;walkandungz&amp;""" "&amp;search_path&amp;"\RTDC"&amp;B195&amp;"\"&amp;TEXT(F195,"YYYY-MM-DD")
&amp;" &amp; "&amp;"aws s3 cp "&amp;s3_bucket&amp;"/RTDC"&amp;B195&amp;"/"&amp;TEXT(F195+1,"YYYY-MM-DD")&amp;"/ "&amp;search_path&amp;"\RTDC"&amp;B195&amp;"\"&amp;TEXT(F195+1,"YYYY-MM-DD")&amp;" --recursive &amp; """&amp;walkandungz&amp;""" "&amp;search_path&amp;"\RTDC"&amp;B195&amp;"\"&amp;TEXT(F195+1,"YYYY-MM-DD")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95" s="96" t="str">
        <f>astrogrep_path&amp;" /spath="&amp;search_path&amp;" /stypes=""*"&amp;B195&amp;"*"&amp;TEXT(I195-utc_offset/24,"YYYYMMDD")&amp;"*"" /stext="" "&amp;TEXT(I195-utc_offset/24,"HH")&amp;search_regexp&amp;""" /e /r /s"</f>
        <v>"C:\Program Files (x86)\AstroGrep\AstroGrep.exe" /spath="%USERPROFILE%\AppData\Local\Temp\OnboardLogs" /stypes="*4008*20160828*" /stext=" 03:.+((SYSTEM_STATE.+slice.+state.+changed )|(ment ac)|(system.+state.+changed )|(\|lc)|(penalty)|(\[timeout)|(PRM\|1\|D)|(kpr)|(kdp))" /e /r /s</v>
      </c>
      <c r="AG195" s="1" t="str">
        <f>IFERROR(IF(VALUE(LEFT(AD195,2))&lt;=2,"EC",IF(OR(VALUE(LEFT(AD195,2))=8,VALUE(LEFT(AD195,2))=18),"NW","Other")),"Other")</f>
        <v>NW</v>
      </c>
      <c r="AH195" s="100" t="str">
        <f t="shared" si="79"/>
        <v>"%USERPROFILE%\Documents\GitHub\eaglep3\Utilities\RefineRTDCRunTimes.py" --tripid 1832-27 --locoid 4008 --swversion DE.1.0.7.0 --startMP 300:58649 --initTime 2016-08-27T21:36:52 --startdatetime 2016-08-27T21:39:21 --delay 2 --endMP 204:768 --enddatetime 2016-08-27T21:54:48 --enforcementcount 0 &gt;&gt;C:\Users\stu\Documents\GitHub\eaglep3-reporting\EC\2016-08-27-refined-times.txt</v>
      </c>
      <c r="AI195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{"issue":{"subject":"","project_id":79,"tracker_id":40,"status_id":1,"priority_id":2,"assigned_to_id":23,"start_date":"2016-08-27","description":"","custom_fields":[{"id":1,"name":"Subdivision","value":"NW"},{"id":4,"name":"Milepost","value":"5.7881"},{"id":17,"name":"Train ID","value":"1832-27"},{"id":16,"name":"Locomotive ID","value":"4008"},{"id":130,"name":"Impact","value":""},{"id":150,"name":"Time of Event (Mountain Time)","value":"21:54:48"},{"id":151,"name":"Denver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575</v>
      </c>
      <c r="B196" s="7">
        <v>4007</v>
      </c>
      <c r="C196" s="24" t="s">
        <v>113</v>
      </c>
      <c r="D196" s="24" t="s">
        <v>576</v>
      </c>
      <c r="E196" s="15">
        <v>42609.926550925928</v>
      </c>
      <c r="F196" s="15">
        <v>42609.931469907409</v>
      </c>
      <c r="G196" s="7">
        <v>1</v>
      </c>
      <c r="H196" s="15" t="s">
        <v>519</v>
      </c>
      <c r="I196" s="15">
        <v>42609.941018518519</v>
      </c>
      <c r="J196" s="7">
        <v>0</v>
      </c>
      <c r="K196" s="132" t="str">
        <f>IF(ISEVEN(B196),(B196-1)&amp;"/"&amp;B196,B196&amp;"/"&amp;(B196+1))</f>
        <v>4007/4008</v>
      </c>
      <c r="L196" s="24" t="str">
        <f>VLOOKUP(A196,'Trips&amp;Operators'!$C$1:$E$10000,3,FALSE)</f>
        <v>DE LA ROSA</v>
      </c>
      <c r="M196" s="6">
        <f>I196-F196</f>
        <v>9.5486111094942316E-3</v>
      </c>
      <c r="N196" s="7">
        <f>24*60*SUM($M196:$M196)</f>
        <v>13.749999997671694</v>
      </c>
      <c r="O196" s="7"/>
      <c r="P196" s="7"/>
      <c r="Q196" s="25"/>
      <c r="R196" s="25"/>
      <c r="S196" s="37">
        <f>SUM(U196:U196)/IF(AG196="EC",12,1)</f>
        <v>1</v>
      </c>
      <c r="T196" s="52" t="str">
        <f>IF(ISEVEN(LEFT(AD196,4)),"Southbound","NorthBound")</f>
        <v>NorthBound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hh:mm:ss")&amp;"-0600',mode:absolute,to:'"&amp;TEXT(I196+1/24,"yyyy-MM-DD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https://search-rtdc-monitor-bjffxe2xuh6vdkpspy63sjmuny.us-east-1.es.amazonaws.com/_plugin/kibana/#/discover/Steve-Slow-Train-Analysis-(2080s-and-2083s)?_g=(refreshInterval:(display:Off,section:0,value:0),time:(from:'2016-08-27 21:14:14-0600',mode:absolute,to:'2016-08-27 23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6" s="54" t="str">
        <f>IF(AA196&lt;IF(AG196="EC",23,5.65),"Y","N")</f>
        <v>N</v>
      </c>
      <c r="X196" s="120">
        <f t="shared" si="83"/>
        <v>1</v>
      </c>
      <c r="Y196" s="69">
        <f>RIGHT(D196,LEN(D196)-4)/10000</f>
        <v>0.1014</v>
      </c>
      <c r="Z196" s="69">
        <f>RIGHT(H196,LEN(H196)-4)/10000</f>
        <v>5.8944000000000001</v>
      </c>
      <c r="AA196" s="69">
        <f>ABS(Z196-Y196)</f>
        <v>5.7930000000000001</v>
      </c>
      <c r="AB196" s="66" t="e">
        <f>VLOOKUP(A196,Enforcements!$C$7:$J$21,8,0)</f>
        <v>#N/A</v>
      </c>
      <c r="AC196" s="62" t="e">
        <f>VLOOKUP(A196,Enforcements!$C$7:$E$21,3,0)</f>
        <v>#N/A</v>
      </c>
      <c r="AD196" s="63" t="str">
        <f>IF(LEN(A196)=6,"0"&amp;A196,A196)</f>
        <v>1833-27</v>
      </c>
      <c r="AE196" s="99" t="str">
        <f>"aws s3 cp "&amp;s3_bucket&amp;"/RTDC"&amp;B196&amp;"/"&amp;TEXT(F196,"YYYY-MM-DD")&amp;"/ "&amp;search_path&amp;"\RTDC"&amp;B196&amp;"\"&amp;TEXT(F196,"YYYY-MM-DD")&amp;" --recursive &amp; """&amp;walkandungz&amp;""" "&amp;search_path&amp;"\RTDC"&amp;B196&amp;"\"&amp;TEXT(F196,"YYYY-MM-DD")
&amp;" &amp; "&amp;"aws s3 cp "&amp;s3_bucket&amp;"/RTDC"&amp;B196&amp;"/"&amp;TEXT(F196+1,"YYYY-MM-DD")&amp;"/ "&amp;search_path&amp;"\RTDC"&amp;B196&amp;"\"&amp;TEXT(F196+1,"YYYY-MM-DD")&amp;" --recursive &amp; """&amp;walkandungz&amp;""" "&amp;search_path&amp;"\RTDC"&amp;B196&amp;"\"&amp;TEXT(F196+1,"YYYY-MM-DD")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96" s="96" t="str">
        <f>astrogrep_path&amp;" /spath="&amp;search_path&amp;" /stypes=""*"&amp;B196&amp;"*"&amp;TEXT(I196-utc_offset/24,"YYYYMMDD")&amp;"*"" /stext="" "&amp;TEXT(I196-utc_offset/24,"HH")&amp;search_regexp&amp;""" /e /r /s"</f>
        <v>"C:\Program Files (x86)\AstroGrep\AstroGrep.exe" /spath="%USERPROFILE%\AppData\Local\Temp\OnboardLogs" /stypes="*4007*20160828*" /stext=" 04:.+((SYSTEM_STATE.+slice.+state.+changed )|(ment ac)|(system.+state.+changed )|(\|lc)|(penalty)|(\[timeout)|(PRM\|1\|D)|(kpr)|(kdp))" /e /r /s</v>
      </c>
      <c r="AG196" s="1" t="str">
        <f>IFERROR(IF(VALUE(LEFT(AD196,2))&lt;=2,"EC",IF(OR(VALUE(LEFT(AD196,2))=8,VALUE(LEFT(AD196,2))=18),"NW","Other")),"Other")</f>
        <v>NW</v>
      </c>
      <c r="AH196" s="100" t="str">
        <f t="shared" si="79"/>
        <v>"%USERPROFILE%\Documents\GitHub\eaglep3\Utilities\RefineRTDCRunTimes.py" --tripid 1833-27 --locoid 4007 --swversion DE.1.0.7.0 --startMP 204:1014 --initTime 2016-08-27T22:14:14 --startdatetime 2016-08-27T22:21:19 --delay 1 --endMP 300:58944 --enddatetime 2016-08-27T22:35:04 --enforcementcount 0 &gt;&gt;C:\Users\stu\Documents\GitHub\eaglep3-reporting\EC\2016-08-27-refined-times.txt</v>
      </c>
      <c r="AI196" s="149" t="str">
        <f t="shared" si="80"/>
        <v>echo {"issue":{"subject":"","project_id":79,"tracker_id":40,"status_id":1,"priority_id":2,"assigned_to_id":23,"start_date":"2016-08-27","description":"","custom_fields":[{"id":1,"name":"Subdivision","value":"NW"},{"id":4,"name":"Milepost","value":"5.793"},{"id":17,"name":"Train ID","value":"1833-27"},{"id":16,"name":"Locomotive ID","value":"4007"},{"id":130,"name":"Impact","value":""},{"id":150,"name":"Time of Event (Mountain Time)","value":"22:35:04"},{"id":151,"name":"Denver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311</v>
      </c>
      <c r="B197" s="7">
        <v>4014</v>
      </c>
      <c r="C197" s="24" t="s">
        <v>113</v>
      </c>
      <c r="D197" s="24" t="s">
        <v>355</v>
      </c>
      <c r="E197" s="15">
        <v>42608.785810185182</v>
      </c>
      <c r="F197" s="15">
        <v>42608.786840277775</v>
      </c>
      <c r="G197" s="7">
        <v>1</v>
      </c>
      <c r="H197" s="15" t="s">
        <v>280</v>
      </c>
      <c r="I197" s="15">
        <v>42608.811724537038</v>
      </c>
      <c r="J197" s="7">
        <v>0</v>
      </c>
      <c r="K197" s="132" t="str">
        <f>IF(ISEVEN(B197),(B197-1)&amp;"/"&amp;B197,B197&amp;"/"&amp;(B197+1))</f>
        <v>4013/4014</v>
      </c>
      <c r="L197" s="24" t="e">
        <f>VLOOKUP(A197,'Trips&amp;Operators'!$C$1:$E$10000,3,FALSE)</f>
        <v>#N/A</v>
      </c>
      <c r="M197" s="6">
        <f>I197-F197</f>
        <v>2.4884259262762498E-2</v>
      </c>
      <c r="N197" s="7">
        <f>24*60*SUM($M197:$M197)</f>
        <v>35.833333338377997</v>
      </c>
      <c r="O197" s="7"/>
      <c r="P197" s="7"/>
      <c r="Q197" s="25"/>
      <c r="R197" s="25"/>
      <c r="S197" s="37">
        <f>SUM(U197:U197)/IF(AG197="EC",12,1)</f>
        <v>1</v>
      </c>
      <c r="T197" s="52" t="str">
        <f>IF(ISEVEN(LEFT(AD197,4)),"Southbound","NorthBound")</f>
        <v>NorthBound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hh:mm:ss")&amp;"-0600',mode:absolute,to:'"&amp;TEXT(I197+1/24,"yyyy-MM-DD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https://search-rtdc-monitor-bjffxe2xuh6vdkpspy63sjmuny.us-east-1.es.amazonaws.com/_plugin/kibana/#/discover/Steve-Slow-Train-Analysis-(2080s-and-2083s)?_g=(refreshInterval:(display:Off,section:0,value:0),time:(from:'2016-08-26 17:51:34-0600',mode:absolute,to:'2016-08-26 20:28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7" s="54" t="str">
        <f>IF(AA197&lt;IF(AG197="EC",23,5.65),"Y","N")</f>
        <v>Y</v>
      </c>
      <c r="X197" s="120">
        <f t="shared" si="83"/>
        <v>-1530</v>
      </c>
      <c r="Y197" s="69">
        <f>RIGHT(D197,LEN(D197)-4)/10000</f>
        <v>4.8800000000000003E-2</v>
      </c>
      <c r="Z197" s="69">
        <f>RIGHT(H197,LEN(H197)-4)/10000</f>
        <v>2.3304</v>
      </c>
      <c r="AA197" s="69">
        <f>ABS(Z197-Y197)</f>
        <v>2.2816000000000001</v>
      </c>
      <c r="AB197" s="66" t="e">
        <f>VLOOKUP(A197,Enforcements!$C$7:$J$21,8,0)</f>
        <v>#N/A</v>
      </c>
      <c r="AC197" s="62" t="e">
        <f>VLOOKUP(A197,Enforcements!$C$7:$E$21,3,0)</f>
        <v>#N/A</v>
      </c>
      <c r="AD197" s="63" t="str">
        <f>IF(LEN(A197)=6,"0"&amp;A197,A197)</f>
        <v>0303-26</v>
      </c>
      <c r="AE197" s="99" t="str">
        <f>"aws s3 cp "&amp;s3_bucket&amp;"/RTDC"&amp;B197&amp;"/"&amp;TEXT(F197,"YYYY-MM-DD")&amp;"/ "&amp;search_path&amp;"\RTDC"&amp;B197&amp;"\"&amp;TEXT(F197,"YYYY-MM-DD")&amp;" --recursive &amp; """&amp;walkandungz&amp;""" "&amp;search_path&amp;"\RTDC"&amp;B197&amp;"\"&amp;TEXT(F197,"YYYY-MM-DD")
&amp;" &amp; "&amp;"aws s3 cp "&amp;s3_bucket&amp;"/RTDC"&amp;B197&amp;"/"&amp;TEXT(F197+1,"YYYY-MM-DD")&amp;"/ "&amp;search_path&amp;"\RTDC"&amp;B197&amp;"\"&amp;TEXT(F197+1,"YYYY-MM-DD")&amp;" --recursive &amp; """&amp;walkandungz&amp;""" "&amp;search_path&amp;"\RTDC"&amp;B197&amp;"\"&amp;TEXT(F197+1,"YYYY-MM-DD")</f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197" s="96" t="str">
        <f>astrogrep_path&amp;" /spath="&amp;search_path&amp;" /stypes=""*"&amp;B197&amp;"*"&amp;TEXT(I197-utc_offset/24,"YYYYMMDD")&amp;"*"" /stext="" "&amp;TEXT(I197-utc_offset/24,"HH")&amp;search_regexp&amp;""" /e /r /s"</f>
        <v>"C:\Program Files (x86)\AstroGrep\AstroGrep.exe" /spath="%USERPROFILE%\AppData\Local\Temp\OnboardLogs" /stypes="*4014*20160827*" /stext=" 01:.+((SYSTEM_STATE.+slice.+state.+changed )|(ment ac)|(system.+state.+changed )|(\|lc)|(penalty)|(\[timeout)|(PRM\|1\|D)|(kpr)|(kdp))" /e /r /s</v>
      </c>
      <c r="AG197" s="1" t="str">
        <f>IFERROR(IF(VALUE(LEFT(AD197,2))&lt;=2,"EC",IF(OR(VALUE(LEFT(AD197,2))=8,VALUE(LEFT(AD197,2))=18),"NW","Other")),"Other")</f>
        <v>Other</v>
      </c>
      <c r="AH197" s="100" t="str">
        <f t="shared" si="79"/>
        <v>"%USERPROFILE%\Documents\GitHub\eaglep3\Utilities\RefineRTDCRunTimes.py" --tripid 303-26 --locoid 4014 --swversion DE.1.0.7.0 --startMP 204:488 --initTime 2016-08-26T18:51:34 --startdatetime 2016-08-26T18:53:03 --delay 1 --endMP 300:23304 --enddatetime 2016-08-26T19:28:53 --enforcementcount 0 &gt;&gt;C:\Users\stu\Documents\GitHub\eaglep3-reporting\EC\2016-08-27-refined-times.txt</v>
      </c>
      <c r="AI197" s="149" t="str">
        <f t="shared" si="80"/>
        <v>echo {"issue":{"subject":"","project_id":79,"tracker_id":40,"status_id":1,"priority_id":2,"assigned_to_id":23,"start_date":"2016-08-26","description":"","custom_fields":[{"id":1,"name":"Subdivision","value":"Other"},{"id":4,"name":"Milepost","value":"2.2816"},{"id":17,"name":"Train ID","value":"303-26"},{"id":16,"name":"Locomotive ID","value":"4014"},{"id":130,"name":"Impact","value":""},{"id":150,"name":"Time of Event (Mountain Time)","value":"19:28:53"},{"id":151,"name":"Denver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660</v>
      </c>
      <c r="B198" s="7">
        <v>4042</v>
      </c>
      <c r="C198" s="24" t="s">
        <v>113</v>
      </c>
      <c r="D198" s="24" t="s">
        <v>340</v>
      </c>
      <c r="E198" s="15">
        <v>42609.776956018519</v>
      </c>
      <c r="F198" s="15">
        <v>25568.958333333332</v>
      </c>
      <c r="G198" s="7">
        <v>1</v>
      </c>
      <c r="H198" s="15" t="s">
        <v>661</v>
      </c>
      <c r="I198" s="15">
        <v>25568.958333333332</v>
      </c>
      <c r="J198" s="7">
        <v>0</v>
      </c>
      <c r="K198" s="132" t="str">
        <f>IF(ISEVEN(B198),(B198-1)&amp;"/"&amp;B198,B198&amp;"/"&amp;(B198+1))</f>
        <v>4041/4042</v>
      </c>
      <c r="L198" s="24" t="str">
        <f>VLOOKUP(A198,'Trips&amp;Operators'!$C$1:$E$10000,3,FALSE)</f>
        <v>SHOOK</v>
      </c>
      <c r="M198" s="6">
        <f>I198-F198</f>
        <v>0</v>
      </c>
      <c r="N198" s="7">
        <f>24*60*SUM($M198:$M198)</f>
        <v>0</v>
      </c>
      <c r="O198" s="7"/>
      <c r="P198" s="7"/>
      <c r="Q198" s="25"/>
      <c r="R198" s="25"/>
      <c r="S198" s="37">
        <f>SUM(U198:U198)/IF(AG198="EC",12,1)</f>
        <v>1</v>
      </c>
      <c r="T198" s="52" t="str">
        <f>IF(ISEVEN(LEFT(AD198,4)),"Southbound","NorthBound")</f>
        <v>NorthBound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hh:mm:ss")&amp;"-0600',mode:absolute,to:'"&amp;TEXT(I198+1/24,"yyyy-MM-DD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https://search-rtdc-monitor-bjffxe2xuh6vdkpspy63sjmuny.us-east-1.es.amazonaws.com/_plugin/kibana/#/discover/Steve-Slow-Train-Analysis-(2080s-and-2083s)?_g=(refreshInterval:(display:Off,section:0,value:0),time:(from:'2016-08-27 17:38:49-0600',mode:absolute,to:'1970-01-01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8" s="54" t="str">
        <f>IF(AA198&lt;IF(AG198="EC",23,5.65),"Y","N")</f>
        <v>Y</v>
      </c>
      <c r="X198" s="120">
        <f t="shared" si="83"/>
        <v>0</v>
      </c>
      <c r="Y198" s="69">
        <f>RIGHT(D198,LEN(D198)-4)/10000</f>
        <v>4.7300000000000002E-2</v>
      </c>
      <c r="Z198" s="69">
        <f>RIGHT(H198,LEN(H198)-4)/10000</f>
        <v>2.3296999999999999</v>
      </c>
      <c r="AA198" s="69">
        <f>ABS(Z198-Y198)</f>
        <v>2.2824</v>
      </c>
      <c r="AB198" s="66" t="e">
        <f>VLOOKUP(A198,Enforcements!$C$7:$J$21,8,0)</f>
        <v>#N/A</v>
      </c>
      <c r="AC198" s="62" t="e">
        <f>VLOOKUP(A198,Enforcements!$C$7:$E$21,3,0)</f>
        <v>#N/A</v>
      </c>
      <c r="AD198" s="63" t="str">
        <f>IF(LEN(A198)=6,"0"&amp;A198,A198)</f>
        <v>0303-27</v>
      </c>
      <c r="AE198" s="99" t="str">
        <f>"aws s3 cp "&amp;s3_bucket&amp;"/RTDC"&amp;B198&amp;"/"&amp;TEXT(F198,"YYYY-MM-DD")&amp;"/ "&amp;search_path&amp;"\RTDC"&amp;B198&amp;"\"&amp;TEXT(F198,"YYYY-MM-DD")&amp;" --recursive &amp; """&amp;walkandungz&amp;""" "&amp;search_path&amp;"\RTDC"&amp;B198&amp;"\"&amp;TEXT(F198,"YYYY-MM-DD")
&amp;" &amp; "&amp;"aws s3 cp "&amp;s3_bucket&amp;"/RTDC"&amp;B198&amp;"/"&amp;TEXT(F198+1,"YYYY-MM-DD")&amp;"/ "&amp;search_path&amp;"\RTDC"&amp;B198&amp;"\"&amp;TEXT(F198+1,"YYYY-MM-DD")&amp;" --recursive &amp; """&amp;walkandungz&amp;""" "&amp;search_path&amp;"\RTDC"&amp;B198&amp;"\"&amp;TEXT(F198+1,"YYYY-MM-DD")</f>
        <v>aws s3 cp s3://rtdc.mdm.uploadarchive/RTDC4042/1969-12-31/ "%USERPROFILE%\AppData\Local\Temp\OnboardLogs"\RTDC4042\1969-12-31 --recursive &amp; "%USERPROFILE%\Documents\GitHub\mrs-test-scripts\Headless Mode &amp; Sideloading\WalkAndUnGZ.bat" "%USERPROFILE%\AppData\Local\Temp\OnboardLogs"\RTDC4042\1969-12-31 &amp; aws s3 cp s3://rtdc.mdm.uploadarchive/RTDC4042/1970-01-01/ "%USERPROFILE%\AppData\Local\Temp\OnboardLogs"\RTDC4042\1970-01-01 --recursive &amp; "%USERPROFILE%\Documents\GitHub\mrs-test-scripts\Headless Mode &amp; Sideloading\WalkAndUnGZ.bat" "%USERPROFILE%\AppData\Local\Temp\OnboardLogs"\RTDC4042\1970-01-01</v>
      </c>
      <c r="AF198" s="96" t="str">
        <f>astrogrep_path&amp;" /spath="&amp;search_path&amp;" /stypes=""*"&amp;B198&amp;"*"&amp;TEXT(I198-utc_offset/24,"YYYYMMDD")&amp;"*"" /stext="" "&amp;TEXT(I198-utc_offset/24,"HH")&amp;search_regexp&amp;""" /e /r /s"</f>
        <v>"C:\Program Files (x86)\AstroGrep\AstroGrep.exe" /spath="%USERPROFILE%\AppData\Local\Temp\OnboardLogs" /stypes="*4042*19700101*" /stext=" 05:.+((SYSTEM_STATE.+slice.+state.+changed )|(ment ac)|(system.+state.+changed )|(\|lc)|(penalty)|(\[timeout)|(PRM\|1\|D)|(kpr)|(kdp))" /e /r /s</v>
      </c>
      <c r="AG198" s="1" t="str">
        <f>IFERROR(IF(VALUE(LEFT(AD198,2))&lt;=2,"EC",IF(OR(VALUE(LEFT(AD198,2))=8,VALUE(LEFT(AD198,2))=18),"NW","Other")),"Other")</f>
        <v>Other</v>
      </c>
      <c r="AH198" s="100" t="str">
        <f t="shared" si="79"/>
        <v>"%USERPROFILE%\Documents\GitHub\eaglep3\Utilities\RefineRTDCRunTimes.py" --tripid 303-27 --locoid 4042 --swversion DE.1.0.7.0 --startMP 204:473 --initTime 2016-08-27T18:38:49 --startdatetime 1969-12-31T23:00:00 --delay 1 --endMP 300:23297 --enddatetime 1969-12-31T23:00:00 --enforcementcount 0 &gt;&gt;C:\Users\stu\Documents\GitHub\eaglep3-reporting\EC\2016-08-27-refined-times.txt</v>
      </c>
      <c r="AI198" s="149" t="str">
        <f t="shared" si="80"/>
        <v>echo {"issue":{"subject":"","project_id":79,"tracker_id":40,"status_id":1,"priority_id":2,"assigned_to_id":23,"start_date":"1969-12-31","description":"","custom_fields":[{"id":1,"name":"Subdivision","value":"Other"},{"id":4,"name":"Milepost","value":"2.2824"},{"id":17,"name":"Train ID","value":"303-27"},{"id":16,"name":"Locomotive ID","value":"4042"},{"id":130,"name":"Impact","value":""},{"id":150,"name":"Time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660</v>
      </c>
      <c r="B199" s="7">
        <v>4042</v>
      </c>
      <c r="C199" s="24" t="s">
        <v>113</v>
      </c>
      <c r="D199" s="24" t="s">
        <v>340</v>
      </c>
      <c r="E199" s="15">
        <v>42609.776956018519</v>
      </c>
      <c r="F199" s="15">
        <v>25568.958333333332</v>
      </c>
      <c r="G199" s="7">
        <v>1</v>
      </c>
      <c r="H199" s="15" t="s">
        <v>661</v>
      </c>
      <c r="I199" s="15">
        <v>25568.958333333332</v>
      </c>
      <c r="J199" s="7">
        <v>0</v>
      </c>
      <c r="K199" s="132" t="str">
        <f>IF(ISEVEN(B199),(B199-1)&amp;"/"&amp;B199,B199&amp;"/"&amp;(B199+1))</f>
        <v>4041/4042</v>
      </c>
      <c r="L199" s="24" t="str">
        <f>VLOOKUP(A199,'Trips&amp;Operators'!$C$1:$E$10000,3,FALSE)</f>
        <v>SHOOK</v>
      </c>
      <c r="M199" s="6">
        <f>I199-F199</f>
        <v>0</v>
      </c>
      <c r="N199" s="7">
        <f>24*60*SUM($M199:$M199)</f>
        <v>0</v>
      </c>
      <c r="O199" s="7"/>
      <c r="P199" s="7"/>
      <c r="Q199" s="25"/>
      <c r="R199" s="25"/>
      <c r="S199" s="37">
        <f>SUM(U199:U199)/IF(AG199="EC",12,1)</f>
        <v>1</v>
      </c>
      <c r="T199" s="52" t="str">
        <f>IF(ISEVEN(LEFT(AD199,4)),"Southbound","NorthBound")</f>
        <v>NorthBound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hh:mm:ss")&amp;"-0600',mode:absolute,to:'"&amp;TEXT(I199+1/24,"yyyy-MM-DD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https://search-rtdc-monitor-bjffxe2xuh6vdkpspy63sjmuny.us-east-1.es.amazonaws.com/_plugin/kibana/#/discover/Steve-Slow-Train-Analysis-(2080s-and-2083s)?_g=(refreshInterval:(display:Off,section:0,value:0),time:(from:'2016-08-27 17:38:49-0600',mode:absolute,to:'1970-01-01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9" s="54" t="str">
        <f>IF(AA199&lt;IF(AG199="EC",23,5.65),"Y","N")</f>
        <v>Y</v>
      </c>
      <c r="X199" s="120">
        <f t="shared" si="83"/>
        <v>0</v>
      </c>
      <c r="Y199" s="69">
        <f>RIGHT(D199,LEN(D199)-4)/10000</f>
        <v>4.7300000000000002E-2</v>
      </c>
      <c r="Z199" s="69">
        <f>RIGHT(H199,LEN(H199)-4)/10000</f>
        <v>2.3296999999999999</v>
      </c>
      <c r="AA199" s="69">
        <f>ABS(Z199-Y199)</f>
        <v>2.2824</v>
      </c>
      <c r="AB199" s="66" t="e">
        <f>VLOOKUP(A199,Enforcements!$C$7:$J$21,8,0)</f>
        <v>#N/A</v>
      </c>
      <c r="AC199" s="62" t="e">
        <f>VLOOKUP(A199,Enforcements!$C$7:$E$21,3,0)</f>
        <v>#N/A</v>
      </c>
      <c r="AD199" s="63" t="str">
        <f>IF(LEN(A199)=6,"0"&amp;A199,A199)</f>
        <v>0303-27</v>
      </c>
      <c r="AE199" s="99" t="str">
        <f>"aws s3 cp "&amp;s3_bucket&amp;"/RTDC"&amp;B199&amp;"/"&amp;TEXT(F199,"YYYY-MM-DD")&amp;"/ "&amp;search_path&amp;"\RTDC"&amp;B199&amp;"\"&amp;TEXT(F199,"YYYY-MM-DD")&amp;" --recursive &amp; """&amp;walkandungz&amp;""" "&amp;search_path&amp;"\RTDC"&amp;B199&amp;"\"&amp;TEXT(F199,"YYYY-MM-DD")
&amp;" &amp; "&amp;"aws s3 cp "&amp;s3_bucket&amp;"/RTDC"&amp;B199&amp;"/"&amp;TEXT(F199+1,"YYYY-MM-DD")&amp;"/ "&amp;search_path&amp;"\RTDC"&amp;B199&amp;"\"&amp;TEXT(F199+1,"YYYY-MM-DD")&amp;" --recursive &amp; """&amp;walkandungz&amp;""" "&amp;search_path&amp;"\RTDC"&amp;B199&amp;"\"&amp;TEXT(F199+1,"YYYY-MM-DD")</f>
        <v>aws s3 cp s3://rtdc.mdm.uploadarchive/RTDC4042/1969-12-31/ "%USERPROFILE%\AppData\Local\Temp\OnboardLogs"\RTDC4042\1969-12-31 --recursive &amp; "%USERPROFILE%\Documents\GitHub\mrs-test-scripts\Headless Mode &amp; Sideloading\WalkAndUnGZ.bat" "%USERPROFILE%\AppData\Local\Temp\OnboardLogs"\RTDC4042\1969-12-31 &amp; aws s3 cp s3://rtdc.mdm.uploadarchive/RTDC4042/1970-01-01/ "%USERPROFILE%\AppData\Local\Temp\OnboardLogs"\RTDC4042\1970-01-01 --recursive &amp; "%USERPROFILE%\Documents\GitHub\mrs-test-scripts\Headless Mode &amp; Sideloading\WalkAndUnGZ.bat" "%USERPROFILE%\AppData\Local\Temp\OnboardLogs"\RTDC4042\1970-01-01</v>
      </c>
      <c r="AF199" s="96" t="str">
        <f>astrogrep_path&amp;" /spath="&amp;search_path&amp;" /stypes=""*"&amp;B199&amp;"*"&amp;TEXT(I199-utc_offset/24,"YYYYMMDD")&amp;"*"" /stext="" "&amp;TEXT(I199-utc_offset/24,"HH")&amp;search_regexp&amp;""" /e /r /s"</f>
        <v>"C:\Program Files (x86)\AstroGrep\AstroGrep.exe" /spath="%USERPROFILE%\AppData\Local\Temp\OnboardLogs" /stypes="*4042*19700101*" /stext=" 05:.+((SYSTEM_STATE.+slice.+state.+changed )|(ment ac)|(system.+state.+changed )|(\|lc)|(penalty)|(\[timeout)|(PRM\|1\|D)|(kpr)|(kdp))" /e /r /s</v>
      </c>
      <c r="AG199" s="1" t="str">
        <f>IFERROR(IF(VALUE(LEFT(AD199,2))&lt;=2,"EC",IF(OR(VALUE(LEFT(AD199,2))=8,VALUE(LEFT(AD199,2))=18),"NW","Other")),"Other")</f>
        <v>Other</v>
      </c>
      <c r="AH199" s="100" t="str">
        <f t="shared" si="79"/>
        <v>"%USERPROFILE%\Documents\GitHub\eaglep3\Utilities\RefineRTDCRunTimes.py" --tripid 303-27 --locoid 4042 --swversion DE.1.0.7.0 --startMP 204:473 --initTime 2016-08-27T18:38:49 --startdatetime 1969-12-31T23:00:00 --delay 1 --endMP 300:23297 --enddatetime 1969-12-31T23:00:00 --enforcementcount 0 &gt;&gt;C:\Users\stu\Documents\GitHub\eaglep3-reporting\EC\2016-08-27-refined-times.txt</v>
      </c>
      <c r="AI199" s="149" t="str">
        <f t="shared" si="80"/>
        <v>echo {"issue":{"subject":"","project_id":79,"tracker_id":40,"status_id":1,"priority_id":2,"assigned_to_id":23,"start_date":"1969-12-31","description":"","custom_fields":[{"id":1,"name":"Subdivision","value":"Other"},{"id":4,"name":"Milepost","value":"2.2824"},{"id":17,"name":"Train ID","value":"303-27"},{"id":16,"name":"Locomotive ID","value":"4042"},{"id":130,"name":"Impact","value":""},{"id":150,"name":"Time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313</v>
      </c>
      <c r="B200" s="7">
        <v>4025</v>
      </c>
      <c r="C200" s="24" t="s">
        <v>113</v>
      </c>
      <c r="D200" s="24" t="s">
        <v>356</v>
      </c>
      <c r="E200" s="15">
        <v>42608.805092592593</v>
      </c>
      <c r="F200" s="15">
        <v>42608.806087962963</v>
      </c>
      <c r="G200" s="7">
        <v>1</v>
      </c>
      <c r="H200" s="15" t="s">
        <v>357</v>
      </c>
      <c r="I200" s="15">
        <v>42608.815972222219</v>
      </c>
      <c r="J200" s="7">
        <v>0</v>
      </c>
      <c r="K200" s="132" t="str">
        <f>IF(ISEVEN(B200),(B200-1)&amp;"/"&amp;B200,B200&amp;"/"&amp;(B200+1))</f>
        <v>4025/4026</v>
      </c>
      <c r="L200" s="24" t="e">
        <f>VLOOKUP(A200,'Trips&amp;Operators'!$C$1:$E$10000,3,FALSE)</f>
        <v>#N/A</v>
      </c>
      <c r="M200" s="6">
        <f>I200-F200</f>
        <v>9.8842592560686171E-3</v>
      </c>
      <c r="N200" s="7">
        <f>24*60*SUM($M200:$M200)</f>
        <v>14.233333328738809</v>
      </c>
      <c r="O200" s="7"/>
      <c r="P200" s="7"/>
      <c r="Q200" s="25"/>
      <c r="R200" s="25"/>
      <c r="S200" s="37">
        <f>SUM(U200:U200)/IF(AG200="EC",12,1)</f>
        <v>1</v>
      </c>
      <c r="T200" s="52" t="str">
        <f>IF(ISEVEN(LEFT(AD200,4)),"Southbound","NorthBound")</f>
        <v>NorthBound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hh:mm:ss")&amp;"-0600',mode:absolute,to:'"&amp;TEXT(I200+1/24,"yyyy-MM-DD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https://search-rtdc-monitor-bjffxe2xuh6vdkpspy63sjmuny.us-east-1.es.amazonaws.com/_plugin/kibana/#/discover/Steve-Slow-Train-Analysis-(2080s-and-2083s)?_g=(refreshInterval:(display:Off,section:0,value:0),time:(from:'2016-08-26 18:19:20-0600',mode:absolute,to:'2016-08-26 20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00" s="54" t="str">
        <f>IF(AA200&lt;IF(AG200="EC",23,5.65),"Y","N")</f>
        <v>Y</v>
      </c>
      <c r="X200" s="120">
        <f t="shared" si="83"/>
        <v>2</v>
      </c>
      <c r="Y200" s="69">
        <f>RIGHT(D200,LEN(D200)-4)/10000</f>
        <v>0.1416</v>
      </c>
      <c r="Z200" s="69">
        <f>RIGHT(H200,LEN(H200)-4)/10000</f>
        <v>2.331</v>
      </c>
      <c r="AA200" s="69">
        <f>ABS(Z200-Y200)</f>
        <v>2.1894</v>
      </c>
      <c r="AB200" s="66" t="e">
        <f>VLOOKUP(A200,Enforcements!$C$7:$J$21,8,0)</f>
        <v>#N/A</v>
      </c>
      <c r="AC200" s="62" t="e">
        <f>VLOOKUP(A200,Enforcements!$C$7:$E$21,3,0)</f>
        <v>#N/A</v>
      </c>
      <c r="AD200" s="63" t="str">
        <f>IF(LEN(A200)=6,"0"&amp;A200,A200)</f>
        <v>0305-26</v>
      </c>
      <c r="AE200" s="99" t="str">
        <f>"aws s3 cp "&amp;s3_bucket&amp;"/RTDC"&amp;B200&amp;"/"&amp;TEXT(F200,"YYYY-MM-DD")&amp;"/ "&amp;search_path&amp;"\RTDC"&amp;B200&amp;"\"&amp;TEXT(F200,"YYYY-MM-DD")&amp;" --recursive &amp; """&amp;walkandungz&amp;""" "&amp;search_path&amp;"\RTDC"&amp;B200&amp;"\"&amp;TEXT(F200,"YYYY-MM-DD")
&amp;" &amp; "&amp;"aws s3 cp "&amp;s3_bucket&amp;"/RTDC"&amp;B200&amp;"/"&amp;TEXT(F200+1,"YYYY-MM-DD")&amp;"/ "&amp;search_path&amp;"\RTDC"&amp;B200&amp;"\"&amp;TEXT(F200+1,"YYYY-MM-DD")&amp;" --recursive &amp; """&amp;walkandungz&amp;""" "&amp;search_path&amp;"\RTDC"&amp;B200&amp;"\"&amp;TEXT(F200+1,"YYYY-MM-DD")</f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200" s="96" t="str">
        <f>astrogrep_path&amp;" /spath="&amp;search_path&amp;" /stypes=""*"&amp;B200&amp;"*"&amp;TEXT(I200-utc_offset/24,"YYYYMMDD")&amp;"*"" /stext="" "&amp;TEXT(I200-utc_offset/24,"HH")&amp;search_regexp&amp;""" /e /r /s"</f>
        <v>"C:\Program Files (x86)\AstroGrep\AstroGrep.exe" /spath="%USERPROFILE%\AppData\Local\Temp\OnboardLogs" /stypes="*4025*20160827*" /stext=" 01:.+((SYSTEM_STATE.+slice.+state.+changed )|(ment ac)|(system.+state.+changed )|(\|lc)|(penalty)|(\[timeout)|(PRM\|1\|D)|(kpr)|(kdp))" /e /r /s</v>
      </c>
      <c r="AG200" s="1" t="str">
        <f>IFERROR(IF(VALUE(LEFT(AD200,2))&lt;=2,"EC",IF(OR(VALUE(LEFT(AD200,2))=8,VALUE(LEFT(AD200,2))=18),"NW","Other")),"Other")</f>
        <v>Other</v>
      </c>
      <c r="AH200" s="100" t="str">
        <f t="shared" si="79"/>
        <v>"%USERPROFILE%\Documents\GitHub\eaglep3\Utilities\RefineRTDCRunTimes.py" --tripid 305-26 --locoid 4025 --swversion DE.1.0.7.0 --startMP 204:1416 --initTime 2016-08-26T19:19:20 --startdatetime 2016-08-26T19:20:46 --delay 1 --endMP 300:23310 --enddatetime 2016-08-26T19:35:00 --enforcementcount 0 &gt;&gt;C:\Users\stu\Documents\GitHub\eaglep3-reporting\EC\2016-08-27-refined-times.txt</v>
      </c>
      <c r="AI200" s="149" t="str">
        <f t="shared" si="80"/>
        <v>echo {"issue":{"subject":"","project_id":79,"tracker_id":40,"status_id":1,"priority_id":2,"assigned_to_id":23,"start_date":"2016-08-26","description":"","custom_fields":[{"id":1,"name":"Subdivision","value":"Other"},{"id":4,"name":"Milepost","value":"2.1894"},{"id":17,"name":"Train ID","value":"305-26"},{"id":16,"name":"Locomotive ID","value":"4025"},{"id":130,"name":"Impact","value":""},{"id":150,"name":"Time of Event (Mountain Time)","value":"19:35:00"},{"id":151,"name":"Denver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662</v>
      </c>
      <c r="B201" s="7">
        <v>4009</v>
      </c>
      <c r="C201" s="24" t="s">
        <v>113</v>
      </c>
      <c r="D201" s="24" t="s">
        <v>335</v>
      </c>
      <c r="E201" s="15">
        <v>42609.819988425923</v>
      </c>
      <c r="F201" s="15">
        <v>25568.958333333332</v>
      </c>
      <c r="G201" s="7">
        <v>1</v>
      </c>
      <c r="H201" s="15" t="s">
        <v>280</v>
      </c>
      <c r="I201" s="15">
        <v>25568.958333333332</v>
      </c>
      <c r="J201" s="7">
        <v>0</v>
      </c>
      <c r="K201" s="132" t="str">
        <f>IF(ISEVEN(B201),(B201-1)&amp;"/"&amp;B201,B201&amp;"/"&amp;(B201+1))</f>
        <v>4009/4010</v>
      </c>
      <c r="L201" s="24" t="str">
        <f>VLOOKUP(A201,'Trips&amp;Operators'!$C$1:$E$10000,3,FALSE)</f>
        <v>WEBSTER</v>
      </c>
      <c r="M201" s="6">
        <f>I201-F201</f>
        <v>0</v>
      </c>
      <c r="N201" s="7">
        <f>24*60*SUM($M201:$M201)</f>
        <v>0</v>
      </c>
      <c r="O201" s="7"/>
      <c r="P201" s="7"/>
      <c r="Q201" s="25"/>
      <c r="R201" s="25"/>
      <c r="S201" s="37">
        <f>SUM(U201:U201)/IF(AG201="EC",12,1)</f>
        <v>1</v>
      </c>
      <c r="T201" s="52" t="str">
        <f>IF(ISEVEN(LEFT(AD201,4)),"Southbound","NorthBound")</f>
        <v>NorthBound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hh:mm:ss")&amp;"-0600',mode:absolute,to:'"&amp;TEXT(I201+1/24,"yyyy-MM-DD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https://search-rtdc-monitor-bjffxe2xuh6vdkpspy63sjmuny.us-east-1.es.amazonaws.com/_plugin/kibana/#/discover/Steve-Slow-Train-Analysis-(2080s-and-2083s)?_g=(refreshInterval:(display:Off,section:0,value:0),time:(from:'2016-08-27 18:40:47-0600',mode:absolute,to:'1970-01-01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01" s="54" t="str">
        <f>IF(AA201&lt;IF(AG201="EC",23,5.65),"Y","N")</f>
        <v>Y</v>
      </c>
      <c r="X201" s="120">
        <f t="shared" si="83"/>
        <v>2</v>
      </c>
      <c r="Y201" s="69">
        <f>RIGHT(D201,LEN(D201)-4)/10000</f>
        <v>4.58E-2</v>
      </c>
      <c r="Z201" s="69">
        <f>RIGHT(H201,LEN(H201)-4)/10000</f>
        <v>2.3304</v>
      </c>
      <c r="AA201" s="69">
        <f>ABS(Z201-Y201)</f>
        <v>2.2846000000000002</v>
      </c>
      <c r="AB201" s="66" t="e">
        <f>VLOOKUP(A201,Enforcements!$C$7:$J$21,8,0)</f>
        <v>#N/A</v>
      </c>
      <c r="AC201" s="62" t="e">
        <f>VLOOKUP(A201,Enforcements!$C$7:$E$21,3,0)</f>
        <v>#N/A</v>
      </c>
      <c r="AD201" s="63" t="str">
        <f>IF(LEN(A201)=6,"0"&amp;A201,A201)</f>
        <v>0307-27</v>
      </c>
      <c r="AE201" s="99" t="str">
        <f>"aws s3 cp "&amp;s3_bucket&amp;"/RTDC"&amp;B201&amp;"/"&amp;TEXT(F201,"YYYY-MM-DD")&amp;"/ "&amp;search_path&amp;"\RTDC"&amp;B201&amp;"\"&amp;TEXT(F201,"YYYY-MM-DD")&amp;" --recursive &amp; """&amp;walkandungz&amp;""" "&amp;search_path&amp;"\RTDC"&amp;B201&amp;"\"&amp;TEXT(F201,"YYYY-MM-DD")
&amp;" &amp; "&amp;"aws s3 cp "&amp;s3_bucket&amp;"/RTDC"&amp;B201&amp;"/"&amp;TEXT(F201+1,"YYYY-MM-DD")&amp;"/ "&amp;search_path&amp;"\RTDC"&amp;B201&amp;"\"&amp;TEXT(F201+1,"YYYY-MM-DD")&amp;" --recursive &amp; """&amp;walkandungz&amp;""" "&amp;search_path&amp;"\RTDC"&amp;B201&amp;"\"&amp;TEXT(F201+1,"YYYY-MM-DD")</f>
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</c>
      <c r="AF201" s="96" t="str">
        <f>astrogrep_path&amp;" /spath="&amp;search_path&amp;" /stypes=""*"&amp;B201&amp;"*"&amp;TEXT(I201-utc_offset/24,"YYYYMMDD")&amp;"*"" /stext="" "&amp;TEXT(I201-utc_offset/24,"HH")&amp;search_regexp&amp;""" /e /r /s"</f>
        <v>"C:\Program Files (x86)\AstroGrep\AstroGrep.exe" /spath="%USERPROFILE%\AppData\Local\Temp\OnboardLogs" /stypes="*4009*19700101*" /stext=" 05:.+((SYSTEM_STATE.+slice.+state.+changed )|(ment ac)|(system.+state.+changed )|(\|lc)|(penalty)|(\[timeout)|(PRM\|1\|D)|(kpr)|(kdp))" /e /r /s</v>
      </c>
      <c r="AG201" s="1" t="str">
        <f>IFERROR(IF(VALUE(LEFT(AD201,2))&lt;=2,"EC",IF(OR(VALUE(LEFT(AD201,2))=8,VALUE(LEFT(AD201,2))=18),"NW","Other")),"Other")</f>
        <v>Other</v>
      </c>
      <c r="AH201" s="100" t="str">
        <f t="shared" si="79"/>
        <v>"%USERPROFILE%\Documents\GitHub\eaglep3\Utilities\RefineRTDCRunTimes.py" --tripid 307-27 --locoid 4009 --swversion DE.1.0.7.0 --startMP 204:458 --initTime 2016-08-27T19:40:47 --startdatetime 1969-12-31T23:00:00 --delay 1 --endMP 300:23304 --enddatetime 1969-12-31T23:00:00 --enforcementcount 0 &gt;&gt;C:\Users\stu\Documents\GitHub\eaglep3-reporting\EC\2016-08-27-refined-times.txt</v>
      </c>
      <c r="AI201" s="149" t="str">
        <f t="shared" si="80"/>
        <v>echo {"issue":{"subject":"","project_id":79,"tracker_id":40,"status_id":1,"priority_id":2,"assigned_to_id":23,"start_date":"1969-12-31","description":"","custom_fields":[{"id":1,"name":"Subdivision","value":"Other"},{"id":4,"name":"Milepost","value":"2.2846"},{"id":17,"name":"Train ID","value":"307-27"},{"id":16,"name":"Locomotive ID","value":"4009"},{"id":130,"name":"Impact","value":""},{"id":150,"name":"Time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662</v>
      </c>
      <c r="B202" s="7">
        <v>4009</v>
      </c>
      <c r="C202" s="24" t="s">
        <v>113</v>
      </c>
      <c r="D202" s="24" t="s">
        <v>335</v>
      </c>
      <c r="E202" s="15">
        <v>42609.819988425923</v>
      </c>
      <c r="F202" s="15">
        <v>25568.958333333332</v>
      </c>
      <c r="G202" s="7">
        <v>1</v>
      </c>
      <c r="H202" s="15" t="s">
        <v>280</v>
      </c>
      <c r="I202" s="15">
        <v>25568.958333333332</v>
      </c>
      <c r="J202" s="7">
        <v>0</v>
      </c>
      <c r="K202" s="132" t="str">
        <f>IF(ISEVEN(B202),(B202-1)&amp;"/"&amp;B202,B202&amp;"/"&amp;(B202+1))</f>
        <v>4009/4010</v>
      </c>
      <c r="L202" s="24" t="str">
        <f>VLOOKUP(A202,'Trips&amp;Operators'!$C$1:$E$10000,3,FALSE)</f>
        <v>WEBSTER</v>
      </c>
      <c r="M202" s="6">
        <f>I202-F202</f>
        <v>0</v>
      </c>
      <c r="N202" s="7">
        <f>24*60*SUM($M202:$M202)</f>
        <v>0</v>
      </c>
      <c r="O202" s="7"/>
      <c r="P202" s="7"/>
      <c r="Q202" s="25"/>
      <c r="R202" s="25"/>
      <c r="S202" s="37">
        <f>SUM(U202:U202)/IF(AG202="EC",12,1)</f>
        <v>1</v>
      </c>
      <c r="T202" s="52" t="str">
        <f>IF(ISEVEN(LEFT(AD202,4)),"Southbound","NorthBound")</f>
        <v>NorthBound</v>
      </c>
      <c r="U202" s="12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hh:mm:ss")&amp;"-0600',mode:absolute,to:'"&amp;TEXT(I202+1/24,"yyyy-MM-DD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https://search-rtdc-monitor-bjffxe2xuh6vdkpspy63sjmuny.us-east-1.es.amazonaws.com/_plugin/kibana/#/discover/Steve-Slow-Train-Analysis-(2080s-and-2083s)?_g=(refreshInterval:(display:Off,section:0,value:0),time:(from:'2016-08-27 18:40:47-0600',mode:absolute,to:'1970-01-01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02" s="54" t="str">
        <f>IF(AA202&lt;IF(AG202="EC",23,5.65),"Y","N")</f>
        <v>Y</v>
      </c>
      <c r="X202" s="120">
        <f t="shared" si="83"/>
        <v>0</v>
      </c>
      <c r="Y202" s="69">
        <f>RIGHT(D202,LEN(D202)-4)/10000</f>
        <v>4.58E-2</v>
      </c>
      <c r="Z202" s="69">
        <f>RIGHT(H202,LEN(H202)-4)/10000</f>
        <v>2.3304</v>
      </c>
      <c r="AA202" s="69">
        <f>ABS(Z202-Y202)</f>
        <v>2.2846000000000002</v>
      </c>
      <c r="AB202" s="66" t="e">
        <f>VLOOKUP(A202,Enforcements!$C$7:$J$21,8,0)</f>
        <v>#N/A</v>
      </c>
      <c r="AC202" s="62" t="e">
        <f>VLOOKUP(A202,Enforcements!$C$7:$E$21,3,0)</f>
        <v>#N/A</v>
      </c>
      <c r="AD202" s="63" t="str">
        <f>IF(LEN(A202)=6,"0"&amp;A202,A202)</f>
        <v>0307-27</v>
      </c>
      <c r="AE202" s="99" t="str">
        <f>"aws s3 cp "&amp;s3_bucket&amp;"/RTDC"&amp;B202&amp;"/"&amp;TEXT(F202,"YYYY-MM-DD")&amp;"/ "&amp;search_path&amp;"\RTDC"&amp;B202&amp;"\"&amp;TEXT(F202,"YYYY-MM-DD")&amp;" --recursive &amp; """&amp;walkandungz&amp;""" "&amp;search_path&amp;"\RTDC"&amp;B202&amp;"\"&amp;TEXT(F202,"YYYY-MM-DD")
&amp;" &amp; "&amp;"aws s3 cp "&amp;s3_bucket&amp;"/RTDC"&amp;B202&amp;"/"&amp;TEXT(F202+1,"YYYY-MM-DD")&amp;"/ "&amp;search_path&amp;"\RTDC"&amp;B202&amp;"\"&amp;TEXT(F202+1,"YYYY-MM-DD")&amp;" --recursive &amp; """&amp;walkandungz&amp;""" "&amp;search_path&amp;"\RTDC"&amp;B202&amp;"\"&amp;TEXT(F202+1,"YYYY-MM-DD")</f>
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</c>
      <c r="AF202" s="96" t="str">
        <f>astrogrep_path&amp;" /spath="&amp;search_path&amp;" /stypes=""*"&amp;B202&amp;"*"&amp;TEXT(I202-utc_offset/24,"YYYYMMDD")&amp;"*"" /stext="" "&amp;TEXT(I202-utc_offset/24,"HH")&amp;search_regexp&amp;""" /e /r /s"</f>
        <v>"C:\Program Files (x86)\AstroGrep\AstroGrep.exe" /spath="%USERPROFILE%\AppData\Local\Temp\OnboardLogs" /stypes="*4009*19700101*" /stext=" 05:.+((SYSTEM_STATE.+slice.+state.+changed )|(ment ac)|(system.+state.+changed )|(\|lc)|(penalty)|(\[timeout)|(PRM\|1\|D)|(kpr)|(kdp))" /e /r /s</v>
      </c>
      <c r="AG202" s="1" t="str">
        <f>IFERROR(IF(VALUE(LEFT(AD202,2))&lt;=2,"EC",IF(OR(VALUE(LEFT(AD202,2))=8,VALUE(LEFT(AD202,2))=18),"NW","Other")),"Other")</f>
        <v>Other</v>
      </c>
      <c r="AH202" s="100" t="str">
        <f t="shared" si="79"/>
        <v>"%USERPROFILE%\Documents\GitHub\eaglep3\Utilities\RefineRTDCRunTimes.py" --tripid 307-27 --locoid 4009 --swversion DE.1.0.7.0 --startMP 204:458 --initTime 2016-08-27T19:40:47 --startdatetime 1969-12-31T23:00:00 --delay 1 --endMP 300:23304 --enddatetime 1969-12-31T23:00:00 --enforcementcount 0 &gt;&gt;C:\Users\stu\Documents\GitHub\eaglep3-reporting\EC\2016-08-27-refined-times.txt</v>
      </c>
      <c r="AI202" s="149" t="str">
        <f t="shared" si="80"/>
        <v>echo {"issue":{"subject":"","project_id":79,"tracker_id":40,"status_id":1,"priority_id":2,"assigned_to_id":23,"start_date":"1969-12-31","description":"","custom_fields":[{"id":1,"name":"Subdivision","value":"Other"},{"id":4,"name":"Milepost","value":"2.2846"},{"id":17,"name":"Train ID","value":"307-27"},{"id":16,"name":"Locomotive ID","value":"4009"},{"id":130,"name":"Impact","value":""},{"id":150,"name":"Time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319</v>
      </c>
      <c r="B203" s="7">
        <v>4002</v>
      </c>
      <c r="C203" s="24" t="s">
        <v>113</v>
      </c>
      <c r="D203" s="24" t="s">
        <v>358</v>
      </c>
      <c r="E203" s="15">
        <v>42609.049791666665</v>
      </c>
      <c r="F203" s="15">
        <v>42609.050740740742</v>
      </c>
      <c r="G203" s="7">
        <v>1</v>
      </c>
      <c r="H203" s="15" t="s">
        <v>267</v>
      </c>
      <c r="I203" s="15">
        <v>42609.058206018519</v>
      </c>
      <c r="J203" s="7">
        <v>0</v>
      </c>
      <c r="K203" s="132" t="str">
        <f>IF(ISEVEN(B203),(B203-1)&amp;"/"&amp;B203,B203&amp;"/"&amp;(B203+1))</f>
        <v>4001/4002</v>
      </c>
      <c r="L203" s="24" t="str">
        <f>VLOOKUP(A203,'Trips&amp;Operators'!$C$1:$E$10000,3,FALSE)</f>
        <v>YANAI</v>
      </c>
      <c r="M203" s="6">
        <f>I203-F203</f>
        <v>7.4652777766459621E-3</v>
      </c>
      <c r="N203" s="7">
        <f>24*60*SUM($M203:$M203)</f>
        <v>10.749999998370185</v>
      </c>
      <c r="O203" s="7"/>
      <c r="P203" s="7"/>
      <c r="Q203" s="25"/>
      <c r="R203" s="25"/>
      <c r="S203" s="37">
        <f>SUM(U203:U203)/IF(AG203="EC",12,1)</f>
        <v>1</v>
      </c>
      <c r="T203" s="52" t="str">
        <f>IF(ISEVEN(LEFT(AD203,4)),"Southbound","NorthBound")</f>
        <v>NorthBound</v>
      </c>
      <c r="U203" s="12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https://search-rtdc-monitor-bjffxe2xuh6vdkpspy63sjmuny.us-east-1.es.amazonaws.com/_plugin/kibana/#/discover/Steve-Slow-Train-Analysis-(2080s-and-2083s)?_g=(refreshInterval:(display:Off,section:0,value:0),time:(from:'2016-08-27 00:11:42-0600',mode:absolute,to:'2016-08-27 02:23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03" s="54" t="str">
        <f>IF(AA203&lt;IF(AG203="EC",23,5.65),"Y","N")</f>
        <v>Y</v>
      </c>
      <c r="X203" s="120">
        <f>VALUE(LEFT(AD203,4))-VALUE(LEFT(AD202,4))</f>
        <v>2</v>
      </c>
      <c r="Y203" s="69">
        <f>RIGHT(D203,LEN(D203)-4)/10000</f>
        <v>4.9700000000000001E-2</v>
      </c>
      <c r="Z203" s="69">
        <f>RIGHT(H203,LEN(H203)-4)/10000</f>
        <v>2.3302</v>
      </c>
      <c r="AA203" s="69">
        <f>ABS(Z203-Y203)</f>
        <v>2.2805</v>
      </c>
      <c r="AB203" s="66" t="e">
        <f>VLOOKUP(A203,Enforcements!$C$7:$J$21,8,0)</f>
        <v>#N/A</v>
      </c>
      <c r="AC203" s="62" t="e">
        <f>VLOOKUP(A203,Enforcements!$C$7:$E$21,3,0)</f>
        <v>#N/A</v>
      </c>
      <c r="AD203" s="63" t="str">
        <f>IF(LEN(A203)=6,"0"&amp;A203,A203)</f>
        <v>0309-26</v>
      </c>
      <c r="AE203" s="99" t="str">
        <f>"aws s3 cp "&amp;s3_bucket&amp;"/RTDC"&amp;B203&amp;"/"&amp;TEXT(F203,"YYYY-MM-DD")&amp;"/ "&amp;search_path&amp;"\RTDC"&amp;B203&amp;"\"&amp;TEXT(F203,"YYYY-MM-DD")&amp;" --recursive &amp; """&amp;walkandungz&amp;""" "&amp;search_path&amp;"\RTDC"&amp;B203&amp;"\"&amp;TEXT(F203,"YYYY-MM-DD")
&amp;" &amp; "&amp;"aws s3 cp "&amp;s3_bucket&amp;"/RTDC"&amp;B203&amp;"/"&amp;TEXT(F203+1,"YYYY-MM-DD")&amp;"/ "&amp;search_path&amp;"\RTDC"&amp;B203&amp;"\"&amp;TEXT(F203+1,"YYYY-MM-DD")&amp;" --recursive &amp; """&amp;walkandungz&amp;""" "&amp;search_path&amp;"\RTDC"&amp;B203&amp;"\"&amp;TEXT(F203+1,"YYYY-MM-DD")</f>
        <v>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 &amp; 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</v>
      </c>
      <c r="AF203" s="96" t="str">
        <f>astrogrep_path&amp;" /spath="&amp;search_path&amp;" /stypes=""*"&amp;B203&amp;"*"&amp;TEXT(I203-utc_offset/24,"YYYYMMDD")&amp;"*"" /stext="" "&amp;TEXT(I203-utc_offset/24,"HH")&amp;search_regexp&amp;""" /e /r /s"</f>
        <v>"C:\Program Files (x86)\AstroGrep\AstroGrep.exe" /spath="%USERPROFILE%\AppData\Local\Temp\OnboardLogs" /stypes="*4002*20160827*" /stext=" 07:.+((SYSTEM_STATE.+slice.+state.+changed )|(ment ac)|(system.+state.+changed )|(\|lc)|(penalty)|(\[timeout)|(PRM\|1\|D)|(kpr)|(kdp))" /e /r /s</v>
      </c>
      <c r="AG203" s="1" t="str">
        <f>IFERROR(IF(VALUE(LEFT(AD203,2))&lt;=2,"EC",IF(OR(VALUE(LEFT(AD203,2))=8,VALUE(LEFT(AD203,2))=18),"NW","Other")),"Other")</f>
        <v>Other</v>
      </c>
      <c r="AH203" s="100" t="str">
        <f t="shared" ref="AH203:AH208" si="84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309-26 --locoid 4002 --swversion DE.1.0.7.0 --startMP 204:497 --initTime 2016-08-27T01:11:42 --startdatetime 2016-08-27T01:13:04 --delay 1 --endMP 300:23302 --enddatetime 2016-08-27T01:23:49 --enforcementcount 0 &gt;&gt;C:\Users\stu\Documents\GitHub\eaglep3-reporting\EC\2016-08-27-refined-times.txt</v>
      </c>
      <c r="AI203" s="149" t="str">
        <f t="shared" ref="AI203:AI208" si="85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AA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{"issue":{"subject":"","project_id":79,"tracker_id":40,"status_id":1,"priority_id":2,"assigned_to_id":23,"start_date":"2016-08-27","description":"","custom_fields":[{"id":1,"name":"Subdivision","value":"Other"},{"id":4,"name":"Milepost","value":"2.2805"},{"id":17,"name":"Train ID","value":"309-26"},{"id":16,"name":"Locomotive ID","value":"4002"},{"id":130,"name":"Impact","value":""},{"id":150,"name":"Time of Event (Mountain Time)","value":"01:23:49"},{"id":151,"name":"Denver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321</v>
      </c>
      <c r="B204" s="7">
        <v>4040</v>
      </c>
      <c r="C204" s="24" t="s">
        <v>113</v>
      </c>
      <c r="D204" s="24" t="s">
        <v>359</v>
      </c>
      <c r="E204" s="15">
        <v>42609.071203703701</v>
      </c>
      <c r="F204" s="15">
        <v>42609.071886574071</v>
      </c>
      <c r="G204" s="7">
        <v>0</v>
      </c>
      <c r="H204" s="15" t="s">
        <v>204</v>
      </c>
      <c r="I204" s="15">
        <v>42609.079016203701</v>
      </c>
      <c r="J204" s="7">
        <v>0</v>
      </c>
      <c r="K204" s="132" t="str">
        <f>IF(ISEVEN(B204),(B204-1)&amp;"/"&amp;B204,B204&amp;"/"&amp;(B204+1))</f>
        <v>4039/4040</v>
      </c>
      <c r="L204" s="24" t="str">
        <f>VLOOKUP(A204,'Trips&amp;Operators'!$C$1:$E$10000,3,FALSE)</f>
        <v>CHANDLER</v>
      </c>
      <c r="M204" s="6">
        <f>I204-F204</f>
        <v>7.1296296300715767E-3</v>
      </c>
      <c r="N204" s="7">
        <f>24*60*SUM($M204:$M204)</f>
        <v>10.26666666730307</v>
      </c>
      <c r="O204" s="7"/>
      <c r="P204" s="7"/>
      <c r="Q204" s="25"/>
      <c r="R204" s="25"/>
      <c r="S204" s="37">
        <f>SUM(U204:U204)/IF(AG204="EC",12,1)</f>
        <v>1</v>
      </c>
      <c r="T204" s="52" t="str">
        <f>IF(ISEVEN(LEFT(AD204,4)),"Southbound","NorthBound")</f>
        <v>NorthBound</v>
      </c>
      <c r="U204" s="12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https://search-rtdc-monitor-bjffxe2xuh6vdkpspy63sjmuny.us-east-1.es.amazonaws.com/_plugin/kibana/#/discover/Steve-Slow-Train-Analysis-(2080s-and-2083s)?_g=(refreshInterval:(display:Off,section:0,value:0),time:(from:'2016-08-27 00:42:32-0600',mode:absolute,to:'2016-08-27 02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204" s="54" t="str">
        <f>IF(AA204&lt;IF(AG204="EC",23,5.65),"Y","N")</f>
        <v>Y</v>
      </c>
      <c r="X204" s="120">
        <f>VALUE(LEFT(AD204,4))-VALUE(LEFT(AD203,4))</f>
        <v>2</v>
      </c>
      <c r="Y204" s="69">
        <f>RIGHT(D204,LEN(D204)-4)/10000</f>
        <v>4.9099999999999998E-2</v>
      </c>
      <c r="Z204" s="69">
        <f>RIGHT(H204,LEN(H204)-4)/10000</f>
        <v>2.3306</v>
      </c>
      <c r="AA204" s="69">
        <f>ABS(Z204-Y204)</f>
        <v>2.2814999999999999</v>
      </c>
      <c r="AB204" s="66" t="e">
        <f>VLOOKUP(A204,Enforcements!$C$7:$J$21,8,0)</f>
        <v>#N/A</v>
      </c>
      <c r="AC204" s="62" t="e">
        <f>VLOOKUP(A204,Enforcements!$C$7:$E$21,3,0)</f>
        <v>#N/A</v>
      </c>
      <c r="AD204" s="63" t="str">
        <f>IF(LEN(A204)=6,"0"&amp;A204,A204)</f>
        <v>0311-26</v>
      </c>
      <c r="AE204" s="99" t="str">
        <f>"aws s3 cp "&amp;s3_bucket&amp;"/RTDC"&amp;B204&amp;"/"&amp;TEXT(F204,"YYYY-MM-DD")&amp;"/ "&amp;search_path&amp;"\RTDC"&amp;B204&amp;"\"&amp;TEXT(F204,"YYYY-MM-DD")&amp;" --recursive &amp; """&amp;walkandungz&amp;""" "&amp;search_path&amp;"\RTDC"&amp;B204&amp;"\"&amp;TEXT(F204,"YYYY-MM-DD")
&amp;" &amp; "&amp;"aws s3 cp "&amp;s3_bucket&amp;"/RTDC"&amp;B204&amp;"/"&amp;TEXT(F204+1,"YYYY-MM-DD")&amp;"/ "&amp;search_path&amp;"\RTDC"&amp;B204&amp;"\"&amp;TEXT(F204+1,"YYYY-MM-DD")&amp;" --recursive &amp; """&amp;walkandungz&amp;""" "&amp;search_path&amp;"\RTDC"&amp;B204&amp;"\"&amp;TEXT(F204+1,"YYYY-MM-DD")</f>
        <v>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 &amp; aws s3 cp s3://rtdc.mdm.uploadarchive/RTDC4040/2016-08-28/ "%USERPROFILE%\AppData\Local\Temp\OnboardLogs"\RTDC4040\2016-08-28 --recursive &amp; "%USERPROFILE%\Documents\GitHub\mrs-test-scripts\Headless Mode &amp; Sideloading\WalkAndUnGZ.bat" "%USERPROFILE%\AppData\Local\Temp\OnboardLogs"\RTDC4040\2016-08-28</v>
      </c>
      <c r="AF204" s="96" t="str">
        <f>astrogrep_path&amp;" /spath="&amp;search_path&amp;" /stypes=""*"&amp;B204&amp;"*"&amp;TEXT(I204-utc_offset/24,"YYYYMMDD")&amp;"*"" /stext="" "&amp;TEXT(I204-utc_offset/24,"HH")&amp;search_regexp&amp;""" /e /r /s"</f>
        <v>"C:\Program Files (x86)\AstroGrep\AstroGrep.exe" /spath="%USERPROFILE%\AppData\Local\Temp\OnboardLogs" /stypes="*4040*20160827*" /stext=" 07:.+((SYSTEM_STATE.+slice.+state.+changed )|(ment ac)|(system.+state.+changed )|(\|lc)|(penalty)|(\[timeout)|(PRM\|1\|D)|(kpr)|(kdp))" /e /r /s</v>
      </c>
      <c r="AG204" s="1" t="str">
        <f>IFERROR(IF(VALUE(LEFT(AD204,2))&lt;=2,"EC",IF(OR(VALUE(LEFT(AD204,2))=8,VALUE(LEFT(AD204,2))=18),"NW","Other")),"Other")</f>
        <v>Other</v>
      </c>
      <c r="AH204" s="100" t="str">
        <f t="shared" si="84"/>
        <v>"%USERPROFILE%\Documents\GitHub\eaglep3\Utilities\RefineRTDCRunTimes.py" --tripid 311-26 --locoid 4040 --swversion DE.1.0.7.0 --startMP 204:491 --initTime 2016-08-27T01:42:32 --startdatetime 2016-08-27T01:43:31 --delay 0 --endMP 300:23306 --enddatetime 2016-08-27T01:53:47 --enforcementcount 0 &gt;&gt;C:\Users\stu\Documents\GitHub\eaglep3-reporting\EC\2016-08-27-refined-times.txt</v>
      </c>
      <c r="AI204" s="149" t="str">
        <f t="shared" si="85"/>
        <v>echo {"issue":{"subject":"","project_id":79,"tracker_id":40,"status_id":1,"priority_id":2,"assigned_to_id":23,"start_date":"2016-08-27","description":"","custom_fields":[{"id":1,"name":"Subdivision","value":"Other"},{"id":4,"name":"Milepost","value":"2.2815"},{"id":17,"name":"Train ID","value":"311-26"},{"id":16,"name":"Locomotive ID","value":"4040"},{"id":130,"name":"Impact","value":""},{"id":150,"name":"Time of Event (Mountain Time)","value":"01:53:47"},{"id":151,"name":"Denver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663</v>
      </c>
      <c r="B205" s="7">
        <v>4020</v>
      </c>
      <c r="C205" s="24" t="s">
        <v>113</v>
      </c>
      <c r="D205" s="24" t="s">
        <v>467</v>
      </c>
      <c r="E205" s="15">
        <v>42610.072314814817</v>
      </c>
      <c r="F205" s="15">
        <v>25568.958333333332</v>
      </c>
      <c r="G205" s="7">
        <v>1</v>
      </c>
      <c r="H205" s="15" t="s">
        <v>364</v>
      </c>
      <c r="I205" s="15">
        <v>25568.958333333332</v>
      </c>
      <c r="J205" s="7">
        <v>0</v>
      </c>
      <c r="K205" s="132" t="str">
        <f>IF(ISEVEN(B205),(B205-1)&amp;"/"&amp;B205,B205&amp;"/"&amp;(B205+1))</f>
        <v>4019/4020</v>
      </c>
      <c r="L205" s="24" t="str">
        <f>VLOOKUP(A205,'Trips&amp;Operators'!$C$1:$E$10000,3,FALSE)</f>
        <v>CHANDLER</v>
      </c>
      <c r="M205" s="6">
        <f>I205-F205</f>
        <v>0</v>
      </c>
      <c r="N205" s="7">
        <f>24*60*SUM($M205:$M205)</f>
        <v>0</v>
      </c>
      <c r="O205" s="7"/>
      <c r="P205" s="7"/>
      <c r="Q205" s="25"/>
      <c r="R205" s="25"/>
      <c r="S205" s="37">
        <f>SUM(U205:U205)/IF(AG205="EC",12,1)</f>
        <v>1</v>
      </c>
      <c r="T205" s="52" t="str">
        <f>IF(ISEVEN(LEFT(AD205,4)),"Southbound","NorthBound")</f>
        <v>NorthBound</v>
      </c>
      <c r="U205" s="12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https://search-rtdc-monitor-bjffxe2xuh6vdkpspy63sjmuny.us-east-1.es.amazonaws.com/_plugin/kibana/#/discover/Steve-Slow-Train-Analysis-(2080s-and-2083s)?_g=(refreshInterval:(display:Off,section:0,value:0),time:(from:'2016-08-28 00:44:08-0600',mode:absolute,to:'1970-01-01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05" s="54" t="str">
        <f>IF(AA205&lt;IF(AG205="EC",23,5.65),"Y","N")</f>
        <v>Y</v>
      </c>
      <c r="X205" s="120">
        <f>VALUE(LEFT(AD205,4))-VALUE(LEFT(AD204,4))</f>
        <v>0</v>
      </c>
      <c r="Y205" s="69">
        <f>RIGHT(D205,LEN(D205)-4)/10000</f>
        <v>5.04E-2</v>
      </c>
      <c r="Z205" s="69">
        <f>RIGHT(H205,LEN(H205)-4)/10000</f>
        <v>2.3298999999999999</v>
      </c>
      <c r="AA205" s="69">
        <f>ABS(Z205-Y205)</f>
        <v>2.2794999999999996</v>
      </c>
      <c r="AB205" s="66" t="e">
        <f>VLOOKUP(A205,Enforcements!$C$7:$J$21,8,0)</f>
        <v>#N/A</v>
      </c>
      <c r="AC205" s="62" t="e">
        <f>VLOOKUP(A205,Enforcements!$C$7:$E$21,3,0)</f>
        <v>#N/A</v>
      </c>
      <c r="AD205" s="63" t="str">
        <f>IF(LEN(A205)=6,"0"&amp;A205,A205)</f>
        <v>0311-27</v>
      </c>
      <c r="AE205" s="99" t="str">
        <f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205" s="96" t="str">
        <f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/stypes="*4020*19700101*" /stext=" 05:.+((SYSTEM_STATE.+slice.+state.+changed )|(ment ac)|(system.+state.+changed )|(\|lc)|(penalty)|(\[timeout)|(PRM\|1\|D)|(kpr)|(kdp))" /e /r /s</v>
      </c>
      <c r="AG205" s="1" t="str">
        <f>IFERROR(IF(VALUE(LEFT(AD205,2))&lt;=2,"EC",IF(OR(VALUE(LEFT(AD205,2))=8,VALUE(LEFT(AD205,2))=18),"NW","Other")),"Other")</f>
        <v>Other</v>
      </c>
      <c r="AH205" s="100" t="str">
        <f t="shared" si="84"/>
        <v>"%USERPROFILE%\Documents\GitHub\eaglep3\Utilities\RefineRTDCRunTimes.py" --tripid 311-27 --locoid 4020 --swversion DE.1.0.7.0 --startMP 204:504 --initTime 2016-08-28T01:44:08 --startdatetime 1969-12-31T23:00:00 --delay 1 --endMP 300:23299 --enddatetime 1969-12-31T23:00:00 --enforcementcount 0 &gt;&gt;C:\Users\stu\Documents\GitHub\eaglep3-reporting\EC\2016-08-27-refined-times.txt</v>
      </c>
      <c r="AI205" s="14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{"issue":{"subject":"","project_id":79,"tracker_id":40,"status_id":1,"priority_id":2,"assigned_to_id":23,"start_date":"1969-12-31","description":"","custom_fields":[{"id":1,"name":"Subdivision","value":"Other"},{"id":4,"name":"Milepost","value":"2.2795"},{"id":17,"name":"Train ID","value":"311-27"},{"id":16,"name":"Locomotive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663</v>
      </c>
      <c r="B206" s="7">
        <v>4020</v>
      </c>
      <c r="C206" s="24" t="s">
        <v>113</v>
      </c>
      <c r="D206" s="24" t="s">
        <v>467</v>
      </c>
      <c r="E206" s="15">
        <v>42610.072314814817</v>
      </c>
      <c r="F206" s="15">
        <v>25568.958333333332</v>
      </c>
      <c r="G206" s="7">
        <v>1</v>
      </c>
      <c r="H206" s="15" t="s">
        <v>364</v>
      </c>
      <c r="I206" s="15">
        <v>25568.958333333332</v>
      </c>
      <c r="J206" s="7">
        <v>0</v>
      </c>
      <c r="K206" s="132" t="str">
        <f>IF(ISEVEN(B206),(B206-1)&amp;"/"&amp;B206,B206&amp;"/"&amp;(B206+1))</f>
        <v>4019/4020</v>
      </c>
      <c r="L206" s="24" t="str">
        <f>VLOOKUP(A206,'Trips&amp;Operators'!$C$1:$E$10000,3,FALSE)</f>
        <v>CHANDLER</v>
      </c>
      <c r="M206" s="6">
        <f>I206-F206</f>
        <v>0</v>
      </c>
      <c r="N206" s="7">
        <f>24*60*SUM($M206:$M206)</f>
        <v>0</v>
      </c>
      <c r="O206" s="7"/>
      <c r="P206" s="7"/>
      <c r="Q206" s="25"/>
      <c r="R206" s="25"/>
      <c r="S206" s="37">
        <f>SUM(U206:U206)/IF(AG206="EC",12,1)</f>
        <v>1</v>
      </c>
      <c r="T206" s="52" t="str">
        <f>IF(ISEVEN(LEFT(AD206,4)),"Southbound","NorthBound")</f>
        <v>NorthBound</v>
      </c>
      <c r="U206" s="12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https://search-rtdc-monitor-bjffxe2xuh6vdkpspy63sjmuny.us-east-1.es.amazonaws.com/_plugin/kibana/#/discover/Steve-Slow-Train-Analysis-(2080s-and-2083s)?_g=(refreshInterval:(display:Off,section:0,value:0),time:(from:'2016-08-28 00:44:08-0600',mode:absolute,to:'1970-01-01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06" s="54" t="str">
        <f>IF(AA206&lt;IF(AG206="EC",23,5.65),"Y","N")</f>
        <v>Y</v>
      </c>
      <c r="X206" s="120">
        <f>VALUE(LEFT(AD206,4))-VALUE(LEFT(AD205,4))</f>
        <v>0</v>
      </c>
      <c r="Y206" s="69">
        <f>RIGHT(D206,LEN(D206)-4)/10000</f>
        <v>5.04E-2</v>
      </c>
      <c r="Z206" s="69">
        <f>RIGHT(H206,LEN(H206)-4)/10000</f>
        <v>2.3298999999999999</v>
      </c>
      <c r="AA206" s="69">
        <f>ABS(Z206-Y206)</f>
        <v>2.2794999999999996</v>
      </c>
      <c r="AB206" s="66" t="e">
        <f>VLOOKUP(A206,Enforcements!$C$7:$J$21,8,0)</f>
        <v>#N/A</v>
      </c>
      <c r="AC206" s="62" t="e">
        <f>VLOOKUP(A206,Enforcements!$C$7:$E$21,3,0)</f>
        <v>#N/A</v>
      </c>
      <c r="AD206" s="63" t="str">
        <f>IF(LEN(A206)=6,"0"&amp;A206,A206)</f>
        <v>0311-27</v>
      </c>
      <c r="AE206" s="99" t="str">
        <f>"aws s3 cp "&amp;s3_bucket&amp;"/RTDC"&amp;B206&amp;"/"&amp;TEXT(F206,"YYYY-MM-DD")&amp;"/ "&amp;search_path&amp;"\RTDC"&amp;B206&amp;"\"&amp;TEXT(F206,"YYYY-MM-DD")&amp;" --recursive &amp; """&amp;walkandungz&amp;""" "&amp;search_path&amp;"\RTDC"&amp;B206&amp;"\"&amp;TEXT(F206,"YYYY-MM-DD")
&amp;" &amp; "&amp;"aws s3 cp "&amp;s3_bucket&amp;"/RTDC"&amp;B206&amp;"/"&amp;TEXT(F206+1,"YYYY-MM-DD")&amp;"/ "&amp;search_path&amp;"\RTDC"&amp;B206&amp;"\"&amp;TEXT(F206+1,"YYYY-MM-DD")&amp;" --recursive &amp; """&amp;walkandungz&amp;""" "&amp;search_path&amp;"\RTDC"&amp;B206&amp;"\"&amp;TEXT(F206+1,"YYYY-MM-DD")</f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206" s="96" t="str">
        <f>astrogrep_path&amp;" /spath="&amp;search_path&amp;" /stypes=""*"&amp;B206&amp;"*"&amp;TEXT(I206-utc_offset/24,"YYYYMMDD")&amp;"*"" /stext="" "&amp;TEXT(I206-utc_offset/24,"HH")&amp;search_regexp&amp;""" /e /r /s"</f>
        <v>"C:\Program Files (x86)\AstroGrep\AstroGrep.exe" /spath="%USERPROFILE%\AppData\Local\Temp\OnboardLogs" /stypes="*4020*19700101*" /stext=" 05:.+((SYSTEM_STATE.+slice.+state.+changed )|(ment ac)|(system.+state.+changed )|(\|lc)|(penalty)|(\[timeout)|(PRM\|1\|D)|(kpr)|(kdp))" /e /r /s</v>
      </c>
      <c r="AG206" s="1" t="str">
        <f>IFERROR(IF(VALUE(LEFT(AD206,2))&lt;=2,"EC",IF(OR(VALUE(LEFT(AD206,2))=8,VALUE(LEFT(AD206,2))=18),"NW","Other")),"Other")</f>
        <v>Other</v>
      </c>
      <c r="AH206" s="100" t="str">
        <f t="shared" si="84"/>
        <v>"%USERPROFILE%\Documents\GitHub\eaglep3\Utilities\RefineRTDCRunTimes.py" --tripid 311-27 --locoid 4020 --swversion DE.1.0.7.0 --startMP 204:504 --initTime 2016-08-28T01:44:08 --startdatetime 1969-12-31T23:00:00 --delay 1 --endMP 300:23299 --enddatetime 1969-12-31T23:00:00 --enforcementcount 0 &gt;&gt;C:\Users\stu\Documents\GitHub\eaglep3-reporting\EC\2016-08-27-refined-times.txt</v>
      </c>
      <c r="AI206" s="14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{"issue":{"subject":"","project_id":79,"tracker_id":40,"status_id":1,"priority_id":2,"assigned_to_id":23,"start_date":"1969-12-31","description":"","custom_fields":[{"id":1,"name":"Subdivision","value":"Other"},{"id":4,"name":"Milepost","value":"2.2795"},{"id":17,"name":"Train ID","value":"311-27"},{"id":16,"name":"Locomotive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323</v>
      </c>
      <c r="B207" s="7">
        <v>4027</v>
      </c>
      <c r="C207" s="24" t="s">
        <v>113</v>
      </c>
      <c r="D207" s="24" t="s">
        <v>133</v>
      </c>
      <c r="E207" s="15">
        <v>42609.10491898148</v>
      </c>
      <c r="F207" s="15">
        <v>42609.106990740744</v>
      </c>
      <c r="G207" s="7">
        <v>1</v>
      </c>
      <c r="H207" s="15" t="s">
        <v>204</v>
      </c>
      <c r="I207" s="15">
        <v>42609.113449074073</v>
      </c>
      <c r="J207" s="7">
        <v>0</v>
      </c>
      <c r="K207" s="132" t="str">
        <f>IF(ISEVEN(B207),(B207-1)&amp;"/"&amp;B207,B207&amp;"/"&amp;(B207+1))</f>
        <v>4027/4028</v>
      </c>
      <c r="L207" s="24" t="str">
        <f>VLOOKUP(A207,'Trips&amp;Operators'!$C$1:$E$10000,3,FALSE)</f>
        <v>ARVIDSON</v>
      </c>
      <c r="M207" s="6">
        <f>I207-F207</f>
        <v>6.4583333296468481E-3</v>
      </c>
      <c r="N207" s="7">
        <f>24*60*SUM($M207:$M207)</f>
        <v>9.2999999946914613</v>
      </c>
      <c r="O207" s="7"/>
      <c r="P207" s="7"/>
      <c r="Q207" s="25"/>
      <c r="R207" s="25"/>
      <c r="S207" s="37">
        <f>SUM(U207:U207)/IF(AG207="EC",12,1)</f>
        <v>1</v>
      </c>
      <c r="T207" s="52" t="str">
        <f>IF(ISEVEN(LEFT(AD207,4)),"Southbound","NorthBound")</f>
        <v>NorthBound</v>
      </c>
      <c r="U207" s="12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hh:mm:ss")&amp;"-0600',mode:absolute,to:'"&amp;TEXT(I207+1/24,"yyyy-MM-DD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https://search-rtdc-monitor-bjffxe2xuh6vdkpspy63sjmuny.us-east-1.es.amazonaws.com/_plugin/kibana/#/discover/Steve-Slow-Train-Analysis-(2080s-and-2083s)?_g=(refreshInterval:(display:Off,section:0,value:0),time:(from:'2016-08-27 01:31:05-0600',mode:absolute,to:'2016-08-27 03:43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07" s="54" t="str">
        <f>IF(AA207&lt;IF(AG207="EC",23,5.65),"Y","N")</f>
        <v>Y</v>
      </c>
      <c r="X207" s="120">
        <f>VALUE(LEFT(AD207,4))-VALUE(LEFT(AD206,4))</f>
        <v>2</v>
      </c>
      <c r="Y207" s="69">
        <f>RIGHT(D207,LEN(D207)-4)/10000</f>
        <v>4.53E-2</v>
      </c>
      <c r="Z207" s="69">
        <f>RIGHT(H207,LEN(H207)-4)/10000</f>
        <v>2.3306</v>
      </c>
      <c r="AA207" s="69">
        <f>ABS(Z207-Y207)</f>
        <v>2.2852999999999999</v>
      </c>
      <c r="AB207" s="66" t="e">
        <f>VLOOKUP(A207,Enforcements!$C$7:$J$21,8,0)</f>
        <v>#N/A</v>
      </c>
      <c r="AC207" s="62" t="e">
        <f>VLOOKUP(A207,Enforcements!$C$7:$E$21,3,0)</f>
        <v>#N/A</v>
      </c>
      <c r="AD207" s="63" t="str">
        <f>IF(LEN(A207)=6,"0"&amp;A207,A207)</f>
        <v>0313-26</v>
      </c>
      <c r="AE207" s="99" t="str">
        <f>"aws s3 cp "&amp;s3_bucket&amp;"/RTDC"&amp;B207&amp;"/"&amp;TEXT(F207,"YYYY-MM-DD")&amp;"/ "&amp;search_path&amp;"\RTDC"&amp;B207&amp;"\"&amp;TEXT(F207,"YYYY-MM-DD")&amp;" --recursive &amp; """&amp;walkandungz&amp;""" "&amp;search_path&amp;"\RTDC"&amp;B207&amp;"\"&amp;TEXT(F207,"YYYY-MM-DD")
&amp;" &amp; "&amp;"aws s3 cp "&amp;s3_bucket&amp;"/RTDC"&amp;B207&amp;"/"&amp;TEXT(F207+1,"YYYY-MM-DD")&amp;"/ "&amp;search_path&amp;"\RTDC"&amp;B207&amp;"\"&amp;TEXT(F207+1,"YYYY-MM-DD")&amp;" --recursive &amp; """&amp;walkandungz&amp;""" "&amp;search_path&amp;"\RTDC"&amp;B207&amp;"\"&amp;TEXT(F207+1,"YYYY-MM-DD")</f>
        <v>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 &amp; aws s3 cp s3://rtdc.mdm.uploadarchive/RTDC4027/2016-08-28/ "%USERPROFILE%\AppData\Local\Temp\OnboardLogs"\RTDC4027\2016-08-28 --recursive &amp; "%USERPROFILE%\Documents\GitHub\mrs-test-scripts\Headless Mode &amp; Sideloading\WalkAndUnGZ.bat" "%USERPROFILE%\AppData\Local\Temp\OnboardLogs"\RTDC4027\2016-08-28</v>
      </c>
      <c r="AF207" s="96" t="str">
        <f>astrogrep_path&amp;" /spath="&amp;search_path&amp;" /stypes=""*"&amp;B207&amp;"*"&amp;TEXT(I207-utc_offset/24,"YYYYMMDD")&amp;"*"" /stext="" "&amp;TEXT(I207-utc_offset/24,"HH")&amp;search_regexp&amp;""" /e /r /s"</f>
        <v>"C:\Program Files (x86)\AstroGrep\AstroGrep.exe" /spath="%USERPROFILE%\AppData\Local\Temp\OnboardLogs" /stypes="*4027*20160827*" /stext=" 08:.+((SYSTEM_STATE.+slice.+state.+changed )|(ment ac)|(system.+state.+changed )|(\|lc)|(penalty)|(\[timeout)|(PRM\|1\|D)|(kpr)|(kdp))" /e /r /s</v>
      </c>
      <c r="AG207" s="1" t="str">
        <f>IFERROR(IF(VALUE(LEFT(AD207,2))&lt;=2,"EC",IF(OR(VALUE(LEFT(AD207,2))=8,VALUE(LEFT(AD207,2))=18),"NW","Other")),"Other")</f>
        <v>Other</v>
      </c>
      <c r="AH207" s="100" t="str">
        <f t="shared" si="84"/>
        <v>"%USERPROFILE%\Documents\GitHub\eaglep3\Utilities\RefineRTDCRunTimes.py" --tripid 313-26 --locoid 4027 --swversion DE.1.0.7.0 --startMP 204:453 --initTime 2016-08-27T02:31:05 --startdatetime 2016-08-27T02:34:04 --delay 1 --endMP 300:23306 --enddatetime 2016-08-27T02:43:22 --enforcementcount 0 &gt;&gt;C:\Users\stu\Documents\GitHub\eaglep3-reporting\EC\2016-08-27-refined-times.txt</v>
      </c>
      <c r="AI207" s="149" t="str">
        <f t="shared" si="85"/>
        <v>echo {"issue":{"subject":"","project_id":79,"tracker_id":40,"status_id":1,"priority_id":2,"assigned_to_id":23,"start_date":"2016-08-27","description":"","custom_fields":[{"id":1,"name":"Subdivision","value":"Other"},{"id":4,"name":"Milepost","value":"2.2853"},{"id":17,"name":"Train ID","value":"313-26"},{"id":16,"name":"Locomotive ID","value":"4027"},{"id":130,"name":"Impact","value":""},{"id":150,"name":"Time of Event (Mountain Time)","value":"02:43:22"},{"id":151,"name":"Denver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323</v>
      </c>
      <c r="B208" s="7">
        <v>4027</v>
      </c>
      <c r="C208" s="24" t="s">
        <v>113</v>
      </c>
      <c r="D208" s="24" t="s">
        <v>133</v>
      </c>
      <c r="E208" s="15">
        <v>42609.10491898148</v>
      </c>
      <c r="F208" s="15">
        <v>42609.106990740744</v>
      </c>
      <c r="G208" s="7">
        <v>1</v>
      </c>
      <c r="H208" s="15" t="s">
        <v>204</v>
      </c>
      <c r="I208" s="15">
        <v>42609.113449074073</v>
      </c>
      <c r="J208" s="7">
        <v>0</v>
      </c>
      <c r="K208" s="132" t="str">
        <f>IF(ISEVEN(B208),(B208-1)&amp;"/"&amp;B208,B208&amp;"/"&amp;(B208+1))</f>
        <v>4027/4028</v>
      </c>
      <c r="L208" s="24" t="str">
        <f>VLOOKUP(A208,'Trips&amp;Operators'!$C$1:$E$10000,3,FALSE)</f>
        <v>ARVIDSON</v>
      </c>
      <c r="M208" s="6">
        <f>I208-F208</f>
        <v>6.4583333296468481E-3</v>
      </c>
      <c r="N208" s="7">
        <f>24*60*SUM($M208:$M208)</f>
        <v>9.2999999946914613</v>
      </c>
      <c r="O208" s="7"/>
      <c r="P208" s="7"/>
      <c r="Q208" s="25"/>
      <c r="R208" s="25"/>
      <c r="S208" s="37">
        <f>SUM(U208:U208)/IF(AG208="EC",12,1)</f>
        <v>1</v>
      </c>
      <c r="T208" s="52" t="str">
        <f>IF(ISEVEN(LEFT(AD208,4)),"Southbound","NorthBound")</f>
        <v>NorthBound</v>
      </c>
      <c r="U208" s="12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hh:mm:ss")&amp;"-0600',mode:absolute,to:'"&amp;TEXT(I208+1/24,"yyyy-MM-DD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https://search-rtdc-monitor-bjffxe2xuh6vdkpspy63sjmuny.us-east-1.es.amazonaws.com/_plugin/kibana/#/discover/Steve-Slow-Train-Analysis-(2080s-and-2083s)?_g=(refreshInterval:(display:Off,section:0,value:0),time:(from:'2016-08-27 01:31:05-0600',mode:absolute,to:'2016-08-27 03:43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08" s="54" t="str">
        <f>IF(AA208&lt;IF(AG208="EC",23,5.65),"Y","N")</f>
        <v>Y</v>
      </c>
      <c r="X208" s="120">
        <f>VALUE(LEFT(AD208,4))-VALUE(LEFT(AD207,4))</f>
        <v>0</v>
      </c>
      <c r="Y208" s="69">
        <f>RIGHT(D208,LEN(D208)-4)/10000</f>
        <v>4.53E-2</v>
      </c>
      <c r="Z208" s="69">
        <f>RIGHT(H208,LEN(H208)-4)/10000</f>
        <v>2.3306</v>
      </c>
      <c r="AA208" s="69">
        <f>ABS(Z208-Y208)</f>
        <v>2.2852999999999999</v>
      </c>
      <c r="AB208" s="66" t="e">
        <f>VLOOKUP(A208,Enforcements!$C$7:$J$21,8,0)</f>
        <v>#N/A</v>
      </c>
      <c r="AC208" s="62" t="e">
        <f>VLOOKUP(A208,Enforcements!$C$7:$E$21,3,0)</f>
        <v>#N/A</v>
      </c>
      <c r="AD208" s="63" t="str">
        <f>IF(LEN(A208)=6,"0"&amp;A208,A208)</f>
        <v>0313-26</v>
      </c>
      <c r="AE208" s="99" t="str">
        <f>"aws s3 cp "&amp;s3_bucket&amp;"/RTDC"&amp;B208&amp;"/"&amp;TEXT(F208,"YYYY-MM-DD")&amp;"/ "&amp;search_path&amp;"\RTDC"&amp;B208&amp;"\"&amp;TEXT(F208,"YYYY-MM-DD")&amp;" --recursive &amp; """&amp;walkandungz&amp;""" "&amp;search_path&amp;"\RTDC"&amp;B208&amp;"\"&amp;TEXT(F208,"YYYY-MM-DD")
&amp;" &amp; "&amp;"aws s3 cp "&amp;s3_bucket&amp;"/RTDC"&amp;B208&amp;"/"&amp;TEXT(F208+1,"YYYY-MM-DD")&amp;"/ "&amp;search_path&amp;"\RTDC"&amp;B208&amp;"\"&amp;TEXT(F208+1,"YYYY-MM-DD")&amp;" --recursive &amp; """&amp;walkandungz&amp;""" "&amp;search_path&amp;"\RTDC"&amp;B208&amp;"\"&amp;TEXT(F208+1,"YYYY-MM-DD")</f>
        <v>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 &amp; aws s3 cp s3://rtdc.mdm.uploadarchive/RTDC4027/2016-08-28/ "%USERPROFILE%\AppData\Local\Temp\OnboardLogs"\RTDC4027\2016-08-28 --recursive &amp; "%USERPROFILE%\Documents\GitHub\mrs-test-scripts\Headless Mode &amp; Sideloading\WalkAndUnGZ.bat" "%USERPROFILE%\AppData\Local\Temp\OnboardLogs"\RTDC4027\2016-08-28</v>
      </c>
      <c r="AF208" s="96" t="str">
        <f>astrogrep_path&amp;" /spath="&amp;search_path&amp;" /stypes=""*"&amp;B208&amp;"*"&amp;TEXT(I208-utc_offset/24,"YYYYMMDD")&amp;"*"" /stext="" "&amp;TEXT(I208-utc_offset/24,"HH")&amp;search_regexp&amp;""" /e /r /s"</f>
        <v>"C:\Program Files (x86)\AstroGrep\AstroGrep.exe" /spath="%USERPROFILE%\AppData\Local\Temp\OnboardLogs" /stypes="*4027*20160827*" /stext=" 08:.+((SYSTEM_STATE.+slice.+state.+changed )|(ment ac)|(system.+state.+changed )|(\|lc)|(penalty)|(\[timeout)|(PRM\|1\|D)|(kpr)|(kdp))" /e /r /s</v>
      </c>
      <c r="AG208" s="1" t="str">
        <f>IFERROR(IF(VALUE(LEFT(AD208,2))&lt;=2,"EC",IF(OR(VALUE(LEFT(AD208,2))=8,VALUE(LEFT(AD208,2))=18),"NW","Other")),"Other")</f>
        <v>Other</v>
      </c>
      <c r="AH208" s="100" t="str">
        <f t="shared" si="84"/>
        <v>"%USERPROFILE%\Documents\GitHub\eaglep3\Utilities\RefineRTDCRunTimes.py" --tripid 313-26 --locoid 4027 --swversion DE.1.0.7.0 --startMP 204:453 --initTime 2016-08-27T02:31:05 --startdatetime 2016-08-27T02:34:04 --delay 1 --endMP 300:23306 --enddatetime 2016-08-27T02:43:22 --enforcementcount 0 &gt;&gt;C:\Users\stu\Documents\GitHub\eaglep3-reporting\EC\2016-08-27-refined-times.txt</v>
      </c>
      <c r="AI208" s="149" t="str">
        <f t="shared" si="85"/>
        <v>echo {"issue":{"subject":"","project_id":79,"tracker_id":40,"status_id":1,"priority_id":2,"assigned_to_id":23,"start_date":"2016-08-27","description":"","custom_fields":[{"id":1,"name":"Subdivision","value":"Other"},{"id":4,"name":"Milepost","value":"2.2853"},{"id":17,"name":"Train ID","value":"313-26"},{"id":16,"name":"Locomotive ID","value":"4027"},{"id":130,"name":"Impact","value":""},{"id":150,"name":"Time of Event (Mountain Time)","value":"02:43:22"},{"id":151,"name":"Denver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323</v>
      </c>
      <c r="B209" s="7">
        <v>4027</v>
      </c>
      <c r="C209" s="24" t="s">
        <v>113</v>
      </c>
      <c r="D209" s="24" t="s">
        <v>133</v>
      </c>
      <c r="E209" s="15">
        <v>42609.10491898148</v>
      </c>
      <c r="F209" s="15">
        <v>42609.105925925927</v>
      </c>
      <c r="G209" s="7">
        <v>1</v>
      </c>
      <c r="H209" s="15" t="s">
        <v>204</v>
      </c>
      <c r="I209" s="15">
        <v>42609.115208333336</v>
      </c>
      <c r="J209" s="7">
        <v>0</v>
      </c>
      <c r="K209" s="132" t="str">
        <f>IF(ISEVEN(B209),(B209-1)&amp;"/"&amp;B209,B209&amp;"/"&amp;(B209+1))</f>
        <v>4027/4028</v>
      </c>
      <c r="L209" s="24" t="str">
        <f>VLOOKUP(A209,'Trips&amp;Operators'!$C$1:$E$10000,3,FALSE)</f>
        <v>ARVIDSON</v>
      </c>
      <c r="M209" s="6">
        <f>I209-F209</f>
        <v>9.2824074090458453E-3</v>
      </c>
      <c r="N209" s="7">
        <f>24*60*SUM($M209:$M209)</f>
        <v>13.366666669026017</v>
      </c>
      <c r="O209" s="7"/>
      <c r="P209" s="7"/>
      <c r="Q209" s="25"/>
      <c r="R209" s="25"/>
      <c r="S209" s="37">
        <f>SUM(U209:U209)/IF(AG209="EC",12,1)</f>
        <v>1</v>
      </c>
      <c r="T209" s="52" t="str">
        <f>IF(ISEVEN(LEFT(AD209,4)),"Southbound","NorthBound")</f>
        <v>NorthBound</v>
      </c>
      <c r="U209" s="12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hh:mm:ss")&amp;"-0600',mode:absolute,to:'"&amp;TEXT(I209+1/24,"yyyy-MM-DD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https://search-rtdc-monitor-bjffxe2xuh6vdkpspy63sjmuny.us-east-1.es.amazonaws.com/_plugin/kibana/#/discover/Steve-Slow-Train-Analysis-(2080s-and-2083s)?_g=(refreshInterval:(display:Off,section:0,value:0),time:(from:'2016-08-27 01:31:05-0600',mode:absolute,to:'2016-08-27 03:45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09" s="54" t="str">
        <f>IF(AA209&lt;IF(AG209="EC",23,5.65),"Y","N")</f>
        <v>Y</v>
      </c>
      <c r="X209" s="120">
        <f>VALUE(LEFT(AD209,4))-VALUE(LEFT(AD208,4))</f>
        <v>0</v>
      </c>
      <c r="Y209" s="69">
        <f>RIGHT(D209,LEN(D209)-4)/10000</f>
        <v>4.53E-2</v>
      </c>
      <c r="Z209" s="69">
        <f>RIGHT(H209,LEN(H209)-4)/10000</f>
        <v>2.3306</v>
      </c>
      <c r="AA209" s="69">
        <f>ABS(Z209-Y209)</f>
        <v>2.2852999999999999</v>
      </c>
      <c r="AB209" s="66" t="e">
        <f>VLOOKUP(A209,Enforcements!$C$7:$J$21,8,0)</f>
        <v>#N/A</v>
      </c>
      <c r="AC209" s="62" t="e">
        <f>VLOOKUP(A209,Enforcements!$C$7:$E$21,3,0)</f>
        <v>#N/A</v>
      </c>
      <c r="AD209" s="63" t="str">
        <f>IF(LEN(A209)=6,"0"&amp;A209,A209)</f>
        <v>0313-26</v>
      </c>
      <c r="AE209" s="99" t="str">
        <f>"aws s3 cp "&amp;s3_bucket&amp;"/RTDC"&amp;B209&amp;"/"&amp;TEXT(F209,"YYYY-MM-DD")&amp;"/ "&amp;search_path&amp;"\RTDC"&amp;B209&amp;"\"&amp;TEXT(F209,"YYYY-MM-DD")&amp;" --recursive &amp; """&amp;walkandungz&amp;""" "&amp;search_path&amp;"\RTDC"&amp;B209&amp;"\"&amp;TEXT(F209,"YYYY-MM-DD")
&amp;" &amp; "&amp;"aws s3 cp "&amp;s3_bucket&amp;"/RTDC"&amp;B209&amp;"/"&amp;TEXT(F209+1,"YYYY-MM-DD")&amp;"/ "&amp;search_path&amp;"\RTDC"&amp;B209&amp;"\"&amp;TEXT(F209+1,"YYYY-MM-DD")&amp;" --recursive &amp; """&amp;walkandungz&amp;""" "&amp;search_path&amp;"\RTDC"&amp;B209&amp;"\"&amp;TEXT(F209+1,"YYYY-MM-DD")</f>
        <v>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 &amp; aws s3 cp s3://rtdc.mdm.uploadarchive/RTDC4027/2016-08-28/ "%USERPROFILE%\AppData\Local\Temp\OnboardLogs"\RTDC4027\2016-08-28 --recursive &amp; "%USERPROFILE%\Documents\GitHub\mrs-test-scripts\Headless Mode &amp; Sideloading\WalkAndUnGZ.bat" "%USERPROFILE%\AppData\Local\Temp\OnboardLogs"\RTDC4027\2016-08-28</v>
      </c>
      <c r="AF209" s="96" t="str">
        <f>astrogrep_path&amp;" /spath="&amp;search_path&amp;" /stypes=""*"&amp;B209&amp;"*"&amp;TEXT(I209-utc_offset/24,"YYYYMMDD")&amp;"*"" /stext="" "&amp;TEXT(I209-utc_offset/24,"HH")&amp;search_regexp&amp;""" /e /r /s"</f>
        <v>"C:\Program Files (x86)\AstroGrep\AstroGrep.exe" /spath="%USERPROFILE%\AppData\Local\Temp\OnboardLogs" /stypes="*4027*20160827*" /stext=" 08:.+((SYSTEM_STATE.+slice.+state.+changed )|(ment ac)|(system.+state.+changed )|(\|lc)|(penalty)|(\[timeout)|(PRM\|1\|D)|(kpr)|(kdp))" /e /r /s</v>
      </c>
      <c r="AG209" s="1" t="str">
        <f>IFERROR(IF(VALUE(LEFT(AD209,2))&lt;=2,"EC",IF(OR(VALUE(LEFT(AD209,2))=8,VALUE(LEFT(AD209,2))=18),"NW","Other")),"Other")</f>
        <v>Other</v>
      </c>
      <c r="AH209" s="100" t="str">
        <f t="shared" ref="AH209:AH234" si="86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313-26 --locoid 4027 --swversion DE.1.0.7.0 --startMP 204:453 --initTime 2016-08-27T02:31:05 --startdatetime 2016-08-27T02:32:32 --delay 1 --endMP 300:23306 --enddatetime 2016-08-27T02:45:54 --enforcementcount 0 &gt;&gt;C:\Users\stu\Documents\GitHub\eaglep3-reporting\EC\2016-08-27-refined-times.txt</v>
      </c>
      <c r="AI209" s="149" t="str">
        <f t="shared" ref="AI209:AI234" si="87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AA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{"issue":{"subject":"","project_id":79,"tracker_id":40,"status_id":1,"priority_id":2,"assigned_to_id":23,"start_date":"2016-08-27","description":"","custom_fields":[{"id":1,"name":"Subdivision","value":"Other"},{"id":4,"name":"Milepost","value":"2.2853"},{"id":17,"name":"Train ID","value":"313-26"},{"id":16,"name":"Locomotive ID","value":"4027"},{"id":130,"name":"Impact","value":""},{"id":150,"name":"Time of Event (Mountain Time)","value":"02:45:54"},{"id":151,"name":"Denver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664</v>
      </c>
      <c r="B210" s="7">
        <v>4031</v>
      </c>
      <c r="C210" s="24" t="s">
        <v>113</v>
      </c>
      <c r="D210" s="24" t="s">
        <v>346</v>
      </c>
      <c r="E210" s="15">
        <v>42610.096250000002</v>
      </c>
      <c r="F210" s="15">
        <v>42610.09778935185</v>
      </c>
      <c r="G210" s="7">
        <v>1</v>
      </c>
      <c r="H210" s="15" t="s">
        <v>665</v>
      </c>
      <c r="I210" s="15">
        <v>42610.103831018518</v>
      </c>
      <c r="J210" s="7">
        <v>0</v>
      </c>
      <c r="K210" s="132" t="str">
        <f>IF(ISEVEN(B210),(B210-1)&amp;"/"&amp;B210,B210&amp;"/"&amp;(B210+1))</f>
        <v>4031/4032</v>
      </c>
      <c r="L210" s="24" t="str">
        <f>VLOOKUP(A210,'Trips&amp;Operators'!$C$1:$E$10000,3,FALSE)</f>
        <v>STURGEON</v>
      </c>
      <c r="M210" s="6">
        <f>I210-F210</f>
        <v>6.0416666674427688E-3</v>
      </c>
      <c r="N210" s="7">
        <f>24*60*SUM($M210:$M210)</f>
        <v>8.7000000011175871</v>
      </c>
      <c r="O210" s="7"/>
      <c r="P210" s="7"/>
      <c r="Q210" s="25"/>
      <c r="R210" s="25"/>
      <c r="S210" s="37">
        <f>SUM(U210:U210)/IF(AG210="EC",12,1)</f>
        <v>1</v>
      </c>
      <c r="T210" s="52" t="str">
        <f>IF(ISEVEN(LEFT(AD210,4)),"Southbound","NorthBound")</f>
        <v>NorthBound</v>
      </c>
      <c r="U210" s="12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hh:mm:ss")&amp;"-0600',mode:absolute,to:'"&amp;TEXT(I210+1/24,"yyyy-MM-DD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https://search-rtdc-monitor-bjffxe2xuh6vdkpspy63sjmuny.us-east-1.es.amazonaws.com/_plugin/kibana/#/discover/Steve-Slow-Train-Analysis-(2080s-and-2083s)?_g=(refreshInterval:(display:Off,section:0,value:0),time:(from:'2016-08-28 01:18:36-0600',mode:absolute,to:'2016-08-28 03:29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10" s="54" t="str">
        <f>IF(AA210&lt;IF(AG210="EC",23,5.65),"Y","N")</f>
        <v>Y</v>
      </c>
      <c r="X210" s="120">
        <f>VALUE(LEFT(AD210,4))-VALUE(LEFT(AD209,4))</f>
        <v>0</v>
      </c>
      <c r="Y210" s="69">
        <f>RIGHT(D210,LEN(D210)-4)/10000</f>
        <v>4.82E-2</v>
      </c>
      <c r="Z210" s="69">
        <f>RIGHT(H210,LEN(H210)-4)/10000</f>
        <v>2.3311999999999999</v>
      </c>
      <c r="AA210" s="69">
        <f>ABS(Z210-Y210)</f>
        <v>2.2829999999999999</v>
      </c>
      <c r="AB210" s="66" t="e">
        <f>VLOOKUP(A210,Enforcements!$C$7:$J$21,8,0)</f>
        <v>#N/A</v>
      </c>
      <c r="AC210" s="62" t="e">
        <f>VLOOKUP(A210,Enforcements!$C$7:$E$21,3,0)</f>
        <v>#N/A</v>
      </c>
      <c r="AD210" s="63" t="str">
        <f>IF(LEN(A210)=6,"0"&amp;A210,A210)</f>
        <v>0313-27</v>
      </c>
      <c r="AE210" s="99" t="str">
        <f>"aws s3 cp "&amp;s3_bucket&amp;"/RTDC"&amp;B210&amp;"/"&amp;TEXT(F210,"YYYY-MM-DD")&amp;"/ "&amp;search_path&amp;"\RTDC"&amp;B210&amp;"\"&amp;TEXT(F210,"YYYY-MM-DD")&amp;" --recursive &amp; """&amp;walkandungz&amp;""" "&amp;search_path&amp;"\RTDC"&amp;B210&amp;"\"&amp;TEXT(F210,"YYYY-MM-DD")
&amp;" &amp; "&amp;"aws s3 cp "&amp;s3_bucket&amp;"/RTDC"&amp;B210&amp;"/"&amp;TEXT(F210+1,"YYYY-MM-DD")&amp;"/ "&amp;search_path&amp;"\RTDC"&amp;B210&amp;"\"&amp;TEXT(F210+1,"YYYY-MM-DD")&amp;" --recursive &amp; """&amp;walkandungz&amp;""" "&amp;search_path&amp;"\RTDC"&amp;B210&amp;"\"&amp;TEXT(F210+1,"YYYY-MM-DD")</f>
        <v>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 &amp; 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</v>
      </c>
      <c r="AF210" s="96" t="str">
        <f>astrogrep_path&amp;" /spath="&amp;search_path&amp;" /stypes=""*"&amp;B210&amp;"*"&amp;TEXT(I210-utc_offset/24,"YYYYMMDD")&amp;"*"" /stext="" "&amp;TEXT(I210-utc_offset/24,"HH")&amp;search_regexp&amp;""" /e /r /s"</f>
        <v>"C:\Program Files (x86)\AstroGrep\AstroGrep.exe" /spath="%USERPROFILE%\AppData\Local\Temp\OnboardLogs" /stypes="*4031*20160828*" /stext=" 08:.+((SYSTEM_STATE.+slice.+state.+changed )|(ment ac)|(system.+state.+changed )|(\|lc)|(penalty)|(\[timeout)|(PRM\|1\|D)|(kpr)|(kdp))" /e /r /s</v>
      </c>
      <c r="AG210" s="1" t="str">
        <f>IFERROR(IF(VALUE(LEFT(AD210,2))&lt;=2,"EC",IF(OR(VALUE(LEFT(AD210,2))=8,VALUE(LEFT(AD210,2))=18),"NW","Other")),"Other")</f>
        <v>Other</v>
      </c>
      <c r="AH210" s="100" t="str">
        <f t="shared" si="86"/>
        <v>"%USERPROFILE%\Documents\GitHub\eaglep3\Utilities\RefineRTDCRunTimes.py" --tripid 313-27 --locoid 4031 --swversion DE.1.0.7.0 --startMP 204:482 --initTime 2016-08-28T02:18:36 --startdatetime 2016-08-28T02:20:49 --delay 1 --endMP 300:23312 --enddatetime 2016-08-28T02:29:31 --enforcementcount 0 &gt;&gt;C:\Users\stu\Documents\GitHub\eaglep3-reporting\EC\2016-08-27-refined-times.txt</v>
      </c>
      <c r="AI210" s="149" t="str">
        <f t="shared" si="87"/>
        <v>echo {"issue":{"subject":"","project_id":79,"tracker_id":40,"status_id":1,"priority_id":2,"assigned_to_id":23,"start_date":"2016-08-28","description":"","custom_fields":[{"id":1,"name":"Subdivision","value":"Other"},{"id":4,"name":"Milepost","value":"2.283"},{"id":17,"name":"Train ID","value":"313-27"},{"id":16,"name":"Locomotive ID","value":"4031"},{"id":130,"name":"Impact","value":""},{"id":150,"name":"Time of Event (Mountain Time)","value":"02:29:31"},{"id":151,"name":"Denver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664</v>
      </c>
      <c r="B211" s="7">
        <v>4031</v>
      </c>
      <c r="C211" s="24" t="s">
        <v>113</v>
      </c>
      <c r="D211" s="24" t="s">
        <v>346</v>
      </c>
      <c r="E211" s="15">
        <v>42610.096250000002</v>
      </c>
      <c r="F211" s="15">
        <v>42610.09778935185</v>
      </c>
      <c r="G211" s="7">
        <v>1</v>
      </c>
      <c r="H211" s="15" t="s">
        <v>665</v>
      </c>
      <c r="I211" s="15">
        <v>42610.103831018518</v>
      </c>
      <c r="J211" s="7">
        <v>0</v>
      </c>
      <c r="K211" s="132" t="str">
        <f>IF(ISEVEN(B211),(B211-1)&amp;"/"&amp;B211,B211&amp;"/"&amp;(B211+1))</f>
        <v>4031/4032</v>
      </c>
      <c r="L211" s="24" t="str">
        <f>VLOOKUP(A211,'Trips&amp;Operators'!$C$1:$E$10000,3,FALSE)</f>
        <v>STURGEON</v>
      </c>
      <c r="M211" s="6">
        <f>I211-F211</f>
        <v>6.0416666674427688E-3</v>
      </c>
      <c r="N211" s="7">
        <f>24*60*SUM($M211:$M211)</f>
        <v>8.7000000011175871</v>
      </c>
      <c r="O211" s="7"/>
      <c r="P211" s="7"/>
      <c r="Q211" s="25"/>
      <c r="R211" s="25"/>
      <c r="S211" s="37">
        <f>SUM(U211:U211)/IF(AG211="EC",12,1)</f>
        <v>1</v>
      </c>
      <c r="T211" s="52" t="str">
        <f>IF(ISEVEN(LEFT(AD211,4)),"Southbound","NorthBound")</f>
        <v>NorthBound</v>
      </c>
      <c r="U211" s="12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6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hh:mm:ss")&amp;"-0600',mode:absolute,to:'"&amp;TEXT(I211+1/24,"yyyy-MM-DD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https://search-rtdc-monitor-bjffxe2xuh6vdkpspy63sjmuny.us-east-1.es.amazonaws.com/_plugin/kibana/#/discover/Steve-Slow-Train-Analysis-(2080s-and-2083s)?_g=(refreshInterval:(display:Off,section:0,value:0),time:(from:'2016-08-28 01:18:36-0600',mode:absolute,to:'2016-08-28 03:29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11" s="54" t="str">
        <f>IF(AA211&lt;IF(AG211="EC",23,5.65),"Y","N")</f>
        <v>Y</v>
      </c>
      <c r="X211" s="120">
        <f>VALUE(LEFT(AD211,4))-VALUE(LEFT(AD210,4))</f>
        <v>0</v>
      </c>
      <c r="Y211" s="69">
        <f>RIGHT(D211,LEN(D211)-4)/10000</f>
        <v>4.82E-2</v>
      </c>
      <c r="Z211" s="69">
        <f>RIGHT(H211,LEN(H211)-4)/10000</f>
        <v>2.3311999999999999</v>
      </c>
      <c r="AA211" s="69">
        <f>ABS(Z211-Y211)</f>
        <v>2.2829999999999999</v>
      </c>
      <c r="AB211" s="66" t="e">
        <f>VLOOKUP(A211,Enforcements!$C$7:$J$21,8,0)</f>
        <v>#N/A</v>
      </c>
      <c r="AC211" s="62" t="e">
        <f>VLOOKUP(A211,Enforcements!$C$7:$E$21,3,0)</f>
        <v>#N/A</v>
      </c>
      <c r="AD211" s="63" t="str">
        <f>IF(LEN(A211)=6,"0"&amp;A211,A211)</f>
        <v>0313-27</v>
      </c>
      <c r="AE211" s="99" t="str">
        <f>"aws s3 cp "&amp;s3_bucket&amp;"/RTDC"&amp;B211&amp;"/"&amp;TEXT(F211,"YYYY-MM-DD")&amp;"/ "&amp;search_path&amp;"\RTDC"&amp;B211&amp;"\"&amp;TEXT(F211,"YYYY-MM-DD")&amp;" --recursive &amp; """&amp;walkandungz&amp;""" "&amp;search_path&amp;"\RTDC"&amp;B211&amp;"\"&amp;TEXT(F211,"YYYY-MM-DD")
&amp;" &amp; "&amp;"aws s3 cp "&amp;s3_bucket&amp;"/RTDC"&amp;B211&amp;"/"&amp;TEXT(F211+1,"YYYY-MM-DD")&amp;"/ "&amp;search_path&amp;"\RTDC"&amp;B211&amp;"\"&amp;TEXT(F211+1,"YYYY-MM-DD")&amp;" --recursive &amp; """&amp;walkandungz&amp;""" "&amp;search_path&amp;"\RTDC"&amp;B211&amp;"\"&amp;TEXT(F211+1,"YYYY-MM-DD")</f>
        <v>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 &amp; 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</v>
      </c>
      <c r="AF211" s="96" t="str">
        <f>astrogrep_path&amp;" /spath="&amp;search_path&amp;" /stypes=""*"&amp;B211&amp;"*"&amp;TEXT(I211-utc_offset/24,"YYYYMMDD")&amp;"*"" /stext="" "&amp;TEXT(I211-utc_offset/24,"HH")&amp;search_regexp&amp;""" /e /r /s"</f>
        <v>"C:\Program Files (x86)\AstroGrep\AstroGrep.exe" /spath="%USERPROFILE%\AppData\Local\Temp\OnboardLogs" /stypes="*4031*20160828*" /stext=" 08:.+((SYSTEM_STATE.+slice.+state.+changed )|(ment ac)|(system.+state.+changed )|(\|lc)|(penalty)|(\[timeout)|(PRM\|1\|D)|(kpr)|(kdp))" /e /r /s</v>
      </c>
      <c r="AG211" s="1" t="str">
        <f>IFERROR(IF(VALUE(LEFT(AD211,2))&lt;=2,"EC",IF(OR(VALUE(LEFT(AD211,2))=8,VALUE(LEFT(AD211,2))=18),"NW","Other")),"Other")</f>
        <v>Other</v>
      </c>
      <c r="AH211" s="100" t="str">
        <f t="shared" si="86"/>
        <v>"%USERPROFILE%\Documents\GitHub\eaglep3\Utilities\RefineRTDCRunTimes.py" --tripid 313-27 --locoid 4031 --swversion DE.1.0.7.0 --startMP 204:482 --initTime 2016-08-28T02:18:36 --startdatetime 2016-08-28T02:20:49 --delay 1 --endMP 300:23312 --enddatetime 2016-08-28T02:29:31 --enforcementcount 0 &gt;&gt;C:\Users\stu\Documents\GitHub\eaglep3-reporting\EC\2016-08-27-refined-times.txt</v>
      </c>
      <c r="AI211" s="149" t="str">
        <f t="shared" si="87"/>
        <v>echo {"issue":{"subject":"","project_id":79,"tracker_id":40,"status_id":1,"priority_id":2,"assigned_to_id":23,"start_date":"2016-08-28","description":"","custom_fields":[{"id":1,"name":"Subdivision","value":"Other"},{"id":4,"name":"Milepost","value":"2.283"},{"id":17,"name":"Train ID","value":"313-27"},{"id":16,"name":"Locomotive ID","value":"4031"},{"id":130,"name":"Impact","value":""},{"id":150,"name":"Time of Event (Mountain Time)","value":"02:29:31"},{"id":151,"name":"Denver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281</v>
      </c>
      <c r="B212" s="7">
        <v>4042</v>
      </c>
      <c r="C212" s="24" t="s">
        <v>113</v>
      </c>
      <c r="D212" s="24" t="s">
        <v>178</v>
      </c>
      <c r="E212" s="15">
        <v>42608.093298611115</v>
      </c>
      <c r="F212" s="15">
        <v>42608.094050925924</v>
      </c>
      <c r="G212" s="7">
        <v>1</v>
      </c>
      <c r="H212" s="15" t="s">
        <v>280</v>
      </c>
      <c r="I212" s="15">
        <v>42608.103032407409</v>
      </c>
      <c r="J212" s="7">
        <v>0</v>
      </c>
      <c r="K212" s="132" t="str">
        <f>IF(ISEVEN(B212),(B212-1)&amp;"/"&amp;B212,B212&amp;"/"&amp;(B212+1))</f>
        <v>4041/4042</v>
      </c>
      <c r="L212" s="24" t="e">
        <f>VLOOKUP(A212,'Trips&amp;Operators'!$C$1:$E$10000,3,FALSE)</f>
        <v>#N/A</v>
      </c>
      <c r="M212" s="6">
        <f>I212-F212</f>
        <v>8.9814814855344594E-3</v>
      </c>
      <c r="N212" s="7">
        <f>24*60*SUM($M212:$M212)</f>
        <v>12.933333339169621</v>
      </c>
      <c r="O212" s="7"/>
      <c r="P212" s="7"/>
      <c r="Q212" s="25"/>
      <c r="R212" s="25"/>
      <c r="S212" s="37">
        <f>SUM(U212:U212)/IF(AG212="EC",12,1)</f>
        <v>1</v>
      </c>
      <c r="T212" s="52" t="str">
        <f>IF(ISEVEN(LEFT(AD212,4)),"Southbound","NorthBound")</f>
        <v>NorthBound</v>
      </c>
      <c r="U212" s="12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6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hh:mm:ss")&amp;"-0600',mode:absolute,to:'"&amp;TEXT(I212+1/24,"yyyy-MM-DD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https://search-rtdc-monitor-bjffxe2xuh6vdkpspy63sjmuny.us-east-1.es.amazonaws.com/_plugin/kibana/#/discover/Steve-Slow-Train-Analysis-(2080s-and-2083s)?_g=(refreshInterval:(display:Off,section:0,value:0),time:(from:'2016-08-26 01:14:21-0600',mode:absolute,to:'2016-08-26 03:28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12" s="54" t="str">
        <f>IF(AA212&lt;IF(AG212="EC",23,5.65),"Y","N")</f>
        <v>Y</v>
      </c>
      <c r="X212" s="120">
        <f>VALUE(LEFT(AD212,4))-VALUE(LEFT(AD211,4))</f>
        <v>2</v>
      </c>
      <c r="Y212" s="69">
        <f>RIGHT(D212,LEN(D212)-4)/10000</f>
        <v>4.7100000000000003E-2</v>
      </c>
      <c r="Z212" s="69">
        <f>RIGHT(H212,LEN(H212)-4)/10000</f>
        <v>2.3304</v>
      </c>
      <c r="AA212" s="69">
        <f>ABS(Z212-Y212)</f>
        <v>2.2833000000000001</v>
      </c>
      <c r="AB212" s="66" t="e">
        <f>VLOOKUP(A212,Enforcements!$C$7:$J$21,8,0)</f>
        <v>#N/A</v>
      </c>
      <c r="AC212" s="62" t="e">
        <f>VLOOKUP(A212,Enforcements!$C$7:$E$21,3,0)</f>
        <v>#N/A</v>
      </c>
      <c r="AD212" s="63" t="str">
        <f>IF(LEN(A212)=6,"0"&amp;A212,A212)</f>
        <v>0315-25</v>
      </c>
      <c r="AE212" s="99" t="str">
        <f>"aws s3 cp "&amp;s3_bucket&amp;"/RTDC"&amp;B212&amp;"/"&amp;TEXT(F212,"YYYY-MM-DD")&amp;"/ "&amp;search_path&amp;"\RTDC"&amp;B212&amp;"\"&amp;TEXT(F212,"YYYY-MM-DD")&amp;" --recursive &amp; """&amp;walkandungz&amp;""" "&amp;search_path&amp;"\RTDC"&amp;B212&amp;"\"&amp;TEXT(F212,"YYYY-MM-DD")
&amp;" &amp; "&amp;"aws s3 cp "&amp;s3_bucket&amp;"/RTDC"&amp;B212&amp;"/"&amp;TEXT(F212+1,"YYYY-MM-DD")&amp;"/ "&amp;search_path&amp;"\RTDC"&amp;B212&amp;"\"&amp;TEXT(F212+1,"YYYY-MM-DD")&amp;" --recursive &amp; """&amp;walkandungz&amp;""" "&amp;search_path&amp;"\RTDC"&amp;B212&amp;"\"&amp;TEXT(F212+1,"YYYY-MM-DD")</f>
        <v>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 &amp; 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</v>
      </c>
      <c r="AF212" s="96" t="str">
        <f>astrogrep_path&amp;" /spath="&amp;search_path&amp;" /stypes=""*"&amp;B212&amp;"*"&amp;TEXT(I212-utc_offset/24,"YYYYMMDD")&amp;"*"" /stext="" "&amp;TEXT(I212-utc_offset/24,"HH")&amp;search_regexp&amp;""" /e /r /s"</f>
        <v>"C:\Program Files (x86)\AstroGrep\AstroGrep.exe" /spath="%USERPROFILE%\AppData\Local\Temp\OnboardLogs" /stypes="*4042*20160826*" /stext=" 08:.+((SYSTEM_STATE.+slice.+state.+changed )|(ment ac)|(system.+state.+changed )|(\|lc)|(penalty)|(\[timeout)|(PRM\|1\|D)|(kpr)|(kdp))" /e /r /s</v>
      </c>
      <c r="AG212" s="1" t="str">
        <f>IFERROR(IF(VALUE(LEFT(AD212,2))&lt;=2,"EC",IF(OR(VALUE(LEFT(AD212,2))=8,VALUE(LEFT(AD212,2))=18),"NW","Other")),"Other")</f>
        <v>Other</v>
      </c>
      <c r="AH212" s="100" t="str">
        <f t="shared" si="86"/>
        <v>"%USERPROFILE%\Documents\GitHub\eaglep3\Utilities\RefineRTDCRunTimes.py" --tripid 315-25 --locoid 4042 --swversion DE.1.0.7.0 --startMP 204:471 --initTime 2016-08-26T02:14:21 --startdatetime 2016-08-26T02:15:26 --delay 1 --endMP 300:23304 --enddatetime 2016-08-26T02:28:22 --enforcementcount 0 &gt;&gt;C:\Users\stu\Documents\GitHub\eaglep3-reporting\EC\2016-08-27-refined-times.txt</v>
      </c>
      <c r="AI212" s="149" t="str">
        <f t="shared" si="87"/>
        <v>echo {"issue":{"subject":"","project_id":79,"tracker_id":40,"status_id":1,"priority_id":2,"assigned_to_id":23,"start_date":"2016-08-26","description":"","custom_fields":[{"id":1,"name":"Subdivision","value":"Other"},{"id":4,"name":"Milepost","value":"2.2833"},{"id":17,"name":"Train ID","value":"315-25"},{"id":16,"name":"Locomotive ID","value":"4042"},{"id":130,"name":"Impact","value":""},{"id":150,"name":"Time of Event (Mountain Time)","value":"02:28:22"},{"id":151,"name":"Denver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666</v>
      </c>
      <c r="B213" s="7">
        <v>4003</v>
      </c>
      <c r="C213" s="24" t="s">
        <v>113</v>
      </c>
      <c r="D213" s="24" t="s">
        <v>125</v>
      </c>
      <c r="E213" s="15">
        <v>42609.114884259259</v>
      </c>
      <c r="F213" s="15">
        <v>25568.958333333332</v>
      </c>
      <c r="G213" s="7">
        <v>2</v>
      </c>
      <c r="H213" s="15" t="s">
        <v>357</v>
      </c>
      <c r="I213" s="15">
        <v>25568.958333333332</v>
      </c>
      <c r="J213" s="7">
        <v>0</v>
      </c>
      <c r="K213" s="132" t="str">
        <f>IF(ISEVEN(B213),(B213-1)&amp;"/"&amp;B213,B213&amp;"/"&amp;(B213+1))</f>
        <v>4003/4004</v>
      </c>
      <c r="L213" s="24" t="str">
        <f>VLOOKUP(A213,'Trips&amp;Operators'!$C$1:$E$10000,3,FALSE)</f>
        <v>HAITHCOX</v>
      </c>
      <c r="M213" s="6">
        <f>I213-F213</f>
        <v>0</v>
      </c>
      <c r="N213" s="7">
        <f>24*60*SUM($M213:$M213)</f>
        <v>0</v>
      </c>
      <c r="O213" s="7"/>
      <c r="P213" s="7"/>
      <c r="Q213" s="25"/>
      <c r="R213" s="25"/>
      <c r="S213" s="37">
        <f>SUM(U213:U213)/IF(AG213="EC",12,1)</f>
        <v>1</v>
      </c>
      <c r="T213" s="52" t="str">
        <f>IF(ISEVEN(LEFT(AD213,4)),"Southbound","NorthBound")</f>
        <v>NorthBound</v>
      </c>
      <c r="U213" s="12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6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hh:mm:ss")&amp;"-0600',mode:absolute,to:'"&amp;TEXT(I213+1/24,"yyyy-MM-DD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https://search-rtdc-monitor-bjffxe2xuh6vdkpspy63sjmuny.us-east-1.es.amazonaws.com/_plugin/kibana/#/discover/Steve-Slow-Train-Analysis-(2080s-and-2083s)?_g=(refreshInterval:(display:Off,section:0,value:0),time:(from:'2016-08-27 01:45:26-0600',mode:absolute,to:'1970-01-01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213" s="54" t="str">
        <f>IF(AA213&lt;IF(AG213="EC",23,5.65),"Y","N")</f>
        <v>Y</v>
      </c>
      <c r="X213" s="120">
        <f>VALUE(LEFT(AD213,4))-VALUE(LEFT(AD212,4))</f>
        <v>0</v>
      </c>
      <c r="Y213" s="69">
        <f>RIGHT(D213,LEN(D213)-4)/10000</f>
        <v>4.5499999999999999E-2</v>
      </c>
      <c r="Z213" s="69">
        <f>RIGHT(H213,LEN(H213)-4)/10000</f>
        <v>2.331</v>
      </c>
      <c r="AA213" s="69">
        <f>ABS(Z213-Y213)</f>
        <v>2.2854999999999999</v>
      </c>
      <c r="AB213" s="66" t="e">
        <f>VLOOKUP(A213,Enforcements!$C$7:$J$21,8,0)</f>
        <v>#N/A</v>
      </c>
      <c r="AC213" s="62" t="e">
        <f>VLOOKUP(A213,Enforcements!$C$7:$E$21,3,0)</f>
        <v>#N/A</v>
      </c>
      <c r="AD213" s="63" t="str">
        <f>IF(LEN(A213)=6,"0"&amp;A213,A213)</f>
        <v>0315-26</v>
      </c>
      <c r="AE213" s="99" t="str">
        <f>"aws s3 cp "&amp;s3_bucket&amp;"/RTDC"&amp;B213&amp;"/"&amp;TEXT(F213,"YYYY-MM-DD")&amp;"/ "&amp;search_path&amp;"\RTDC"&amp;B213&amp;"\"&amp;TEXT(F213,"YYYY-MM-DD")&amp;" --recursive &amp; """&amp;walkandungz&amp;""" "&amp;search_path&amp;"\RTDC"&amp;B213&amp;"\"&amp;TEXT(F213,"YYYY-MM-DD")
&amp;" &amp; "&amp;"aws s3 cp "&amp;s3_bucket&amp;"/RTDC"&amp;B213&amp;"/"&amp;TEXT(F213+1,"YYYY-MM-DD")&amp;"/ "&amp;search_path&amp;"\RTDC"&amp;B213&amp;"\"&amp;TEXT(F213+1,"YYYY-MM-DD")&amp;" --recursive &amp; """&amp;walkandungz&amp;""" "&amp;search_path&amp;"\RTDC"&amp;B213&amp;"\"&amp;TEXT(F213+1,"YYYY-MM-DD")</f>
        <v>aws s3 cp s3://rtdc.mdm.uploadarchive/RTDC4003/1969-12-31/ "%USERPROFILE%\AppData\Local\Temp\OnboardLogs"\RTDC4003\1969-12-31 --recursive &amp; "%USERPROFILE%\Documents\GitHub\mrs-test-scripts\Headless Mode &amp; Sideloading\WalkAndUnGZ.bat" "%USERPROFILE%\AppData\Local\Temp\OnboardLogs"\RTDC4003\1969-12-31 &amp; aws s3 cp s3://rtdc.mdm.uploadarchive/RTDC4003/1970-01-01/ "%USERPROFILE%\AppData\Local\Temp\OnboardLogs"\RTDC4003\1970-01-01 --recursive &amp; "%USERPROFILE%\Documents\GitHub\mrs-test-scripts\Headless Mode &amp; Sideloading\WalkAndUnGZ.bat" "%USERPROFILE%\AppData\Local\Temp\OnboardLogs"\RTDC4003\1970-01-01</v>
      </c>
      <c r="AF213" s="96" t="str">
        <f>astrogrep_path&amp;" /spath="&amp;search_path&amp;" /stypes=""*"&amp;B213&amp;"*"&amp;TEXT(I213-utc_offset/24,"YYYYMMDD")&amp;"*"" /stext="" "&amp;TEXT(I213-utc_offset/24,"HH")&amp;search_regexp&amp;""" /e /r /s"</f>
        <v>"C:\Program Files (x86)\AstroGrep\AstroGrep.exe" /spath="%USERPROFILE%\AppData\Local\Temp\OnboardLogs" /stypes="*4003*19700101*" /stext=" 05:.+((SYSTEM_STATE.+slice.+state.+changed )|(ment ac)|(system.+state.+changed )|(\|lc)|(penalty)|(\[timeout)|(PRM\|1\|D)|(kpr)|(kdp))" /e /r /s</v>
      </c>
      <c r="AG213" s="1" t="str">
        <f>IFERROR(IF(VALUE(LEFT(AD213,2))&lt;=2,"EC",IF(OR(VALUE(LEFT(AD213,2))=8,VALUE(LEFT(AD213,2))=18),"NW","Other")),"Other")</f>
        <v>Other</v>
      </c>
      <c r="AH213" s="100" t="str">
        <f t="shared" si="86"/>
        <v>"%USERPROFILE%\Documents\GitHub\eaglep3\Utilities\RefineRTDCRunTimes.py" --tripid 315-26 --locoid 4003 --swversion DE.1.0.7.0 --startMP 204:455 --initTime 2016-08-27T02:45:26 --startdatetime 1969-12-31T23:00:00 --delay 2 --endMP 300:23310 --enddatetime 1969-12-31T23:00:00 --enforcementcount 0 &gt;&gt;C:\Users\stu\Documents\GitHub\eaglep3-reporting\EC\2016-08-27-refined-times.txt</v>
      </c>
      <c r="AI213" s="149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{"issue":{"subject":"","project_id":79,"tracker_id":40,"status_id":1,"priority_id":2,"assigned_to_id":23,"start_date":"1969-12-31","description":"","custom_fields":[{"id":1,"name":"Subdivision","value":"Other"},{"id":4,"name":"Milepost","value":"2.2855"},{"id":17,"name":"Train ID","value":"315-26"},{"id":16,"name":"Locomotive ID","value":"4003"},{"id":130,"name":"Impact","value":""},{"id":150,"name":"Time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666</v>
      </c>
      <c r="B214" s="7">
        <v>4003</v>
      </c>
      <c r="C214" s="24" t="s">
        <v>113</v>
      </c>
      <c r="D214" s="24" t="s">
        <v>125</v>
      </c>
      <c r="E214" s="15">
        <v>42609.114884259259</v>
      </c>
      <c r="F214" s="15">
        <v>25568.958333333332</v>
      </c>
      <c r="G214" s="7">
        <v>2</v>
      </c>
      <c r="H214" s="15" t="s">
        <v>357</v>
      </c>
      <c r="I214" s="15">
        <v>25568.958333333332</v>
      </c>
      <c r="J214" s="7">
        <v>0</v>
      </c>
      <c r="K214" s="132" t="str">
        <f>IF(ISEVEN(B214),(B214-1)&amp;"/"&amp;B214,B214&amp;"/"&amp;(B214+1))</f>
        <v>4003/4004</v>
      </c>
      <c r="L214" s="24" t="str">
        <f>VLOOKUP(A214,'Trips&amp;Operators'!$C$1:$E$10000,3,FALSE)</f>
        <v>HAITHCOX</v>
      </c>
      <c r="M214" s="6">
        <f>I214-F214</f>
        <v>0</v>
      </c>
      <c r="N214" s="7">
        <f>24*60*SUM($M214:$M214)</f>
        <v>0</v>
      </c>
      <c r="O214" s="7"/>
      <c r="P214" s="7"/>
      <c r="Q214" s="25"/>
      <c r="R214" s="25"/>
      <c r="S214" s="37">
        <f>SUM(U214:U214)/IF(AG214="EC",12,1)</f>
        <v>1</v>
      </c>
      <c r="T214" s="52" t="str">
        <f>IF(ISEVEN(LEFT(AD214,4)),"Southbound","NorthBound")</f>
        <v>NorthBound</v>
      </c>
      <c r="U214" s="12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6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hh:mm:ss")&amp;"-0600',mode:absolute,to:'"&amp;TEXT(I214+1/24,"yyyy-MM-DD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https://search-rtdc-monitor-bjffxe2xuh6vdkpspy63sjmuny.us-east-1.es.amazonaws.com/_plugin/kibana/#/discover/Steve-Slow-Train-Analysis-(2080s-and-2083s)?_g=(refreshInterval:(display:Off,section:0,value:0),time:(from:'2016-08-27 01:45:26-0600',mode:absolute,to:'1970-01-01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214" s="54" t="str">
        <f>IF(AA214&lt;IF(AG214="EC",23,5.65),"Y","N")</f>
        <v>Y</v>
      </c>
      <c r="X214" s="120">
        <f>VALUE(LEFT(AD214,4))-VALUE(LEFT(AD213,4))</f>
        <v>0</v>
      </c>
      <c r="Y214" s="69">
        <f>RIGHT(D214,LEN(D214)-4)/10000</f>
        <v>4.5499999999999999E-2</v>
      </c>
      <c r="Z214" s="69">
        <f>RIGHT(H214,LEN(H214)-4)/10000</f>
        <v>2.331</v>
      </c>
      <c r="AA214" s="69">
        <f>ABS(Z214-Y214)</f>
        <v>2.2854999999999999</v>
      </c>
      <c r="AB214" s="66" t="e">
        <f>VLOOKUP(A214,Enforcements!$C$7:$J$21,8,0)</f>
        <v>#N/A</v>
      </c>
      <c r="AC214" s="62" t="e">
        <f>VLOOKUP(A214,Enforcements!$C$7:$E$21,3,0)</f>
        <v>#N/A</v>
      </c>
      <c r="AD214" s="63" t="str">
        <f>IF(LEN(A214)=6,"0"&amp;A214,A214)</f>
        <v>0315-26</v>
      </c>
      <c r="AE214" s="99" t="str">
        <f>"aws s3 cp "&amp;s3_bucket&amp;"/RTDC"&amp;B214&amp;"/"&amp;TEXT(F214,"YYYY-MM-DD")&amp;"/ "&amp;search_path&amp;"\RTDC"&amp;B214&amp;"\"&amp;TEXT(F214,"YYYY-MM-DD")&amp;" --recursive &amp; """&amp;walkandungz&amp;""" "&amp;search_path&amp;"\RTDC"&amp;B214&amp;"\"&amp;TEXT(F214,"YYYY-MM-DD")
&amp;" &amp; "&amp;"aws s3 cp "&amp;s3_bucket&amp;"/RTDC"&amp;B214&amp;"/"&amp;TEXT(F214+1,"YYYY-MM-DD")&amp;"/ "&amp;search_path&amp;"\RTDC"&amp;B214&amp;"\"&amp;TEXT(F214+1,"YYYY-MM-DD")&amp;" --recursive &amp; """&amp;walkandungz&amp;""" "&amp;search_path&amp;"\RTDC"&amp;B214&amp;"\"&amp;TEXT(F214+1,"YYYY-MM-DD")</f>
        <v>aws s3 cp s3://rtdc.mdm.uploadarchive/RTDC4003/1969-12-31/ "%USERPROFILE%\AppData\Local\Temp\OnboardLogs"\RTDC4003\1969-12-31 --recursive &amp; "%USERPROFILE%\Documents\GitHub\mrs-test-scripts\Headless Mode &amp; Sideloading\WalkAndUnGZ.bat" "%USERPROFILE%\AppData\Local\Temp\OnboardLogs"\RTDC4003\1969-12-31 &amp; aws s3 cp s3://rtdc.mdm.uploadarchive/RTDC4003/1970-01-01/ "%USERPROFILE%\AppData\Local\Temp\OnboardLogs"\RTDC4003\1970-01-01 --recursive &amp; "%USERPROFILE%\Documents\GitHub\mrs-test-scripts\Headless Mode &amp; Sideloading\WalkAndUnGZ.bat" "%USERPROFILE%\AppData\Local\Temp\OnboardLogs"\RTDC4003\1970-01-01</v>
      </c>
      <c r="AF214" s="96" t="str">
        <f>astrogrep_path&amp;" /spath="&amp;search_path&amp;" /stypes=""*"&amp;B214&amp;"*"&amp;TEXT(I214-utc_offset/24,"YYYYMMDD")&amp;"*"" /stext="" "&amp;TEXT(I214-utc_offset/24,"HH")&amp;search_regexp&amp;""" /e /r /s"</f>
        <v>"C:\Program Files (x86)\AstroGrep\AstroGrep.exe" /spath="%USERPROFILE%\AppData\Local\Temp\OnboardLogs" /stypes="*4003*19700101*" /stext=" 05:.+((SYSTEM_STATE.+slice.+state.+changed )|(ment ac)|(system.+state.+changed )|(\|lc)|(penalty)|(\[timeout)|(PRM\|1\|D)|(kpr)|(kdp))" /e /r /s</v>
      </c>
      <c r="AG214" s="1" t="str">
        <f>IFERROR(IF(VALUE(LEFT(AD214,2))&lt;=2,"EC",IF(OR(VALUE(LEFT(AD214,2))=8,VALUE(LEFT(AD214,2))=18),"NW","Other")),"Other")</f>
        <v>Other</v>
      </c>
      <c r="AH214" s="100" t="str">
        <f t="shared" si="86"/>
        <v>"%USERPROFILE%\Documents\GitHub\eaglep3\Utilities\RefineRTDCRunTimes.py" --tripid 315-26 --locoid 4003 --swversion DE.1.0.7.0 --startMP 204:455 --initTime 2016-08-27T02:45:26 --startdatetime 1969-12-31T23:00:00 --delay 2 --endMP 300:23310 --enddatetime 1969-12-31T23:00:00 --enforcementcount 0 &gt;&gt;C:\Users\stu\Documents\GitHub\eaglep3-reporting\EC\2016-08-27-refined-times.txt</v>
      </c>
      <c r="AI214" s="149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{"issue":{"subject":"","project_id":79,"tracker_id":40,"status_id":1,"priority_id":2,"assigned_to_id":23,"start_date":"1969-12-31","description":"","custom_fields":[{"id":1,"name":"Subdivision","value":"Other"},{"id":4,"name":"Milepost","value":"2.2855"},{"id":17,"name":"Train ID","value":"315-26"},{"id":16,"name":"Locomotive ID","value":"4003"},{"id":130,"name":"Impact","value":""},{"id":150,"name":"Time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304</v>
      </c>
      <c r="B215" s="7">
        <v>4020</v>
      </c>
      <c r="C215" s="24" t="s">
        <v>113</v>
      </c>
      <c r="D215" s="24" t="s">
        <v>375</v>
      </c>
      <c r="E215" s="15">
        <v>42608.353773148148</v>
      </c>
      <c r="F215" s="15">
        <v>42608.35460648148</v>
      </c>
      <c r="G215" s="7">
        <v>1</v>
      </c>
      <c r="H215" s="15" t="s">
        <v>376</v>
      </c>
      <c r="I215" s="15">
        <v>42608.363171296296</v>
      </c>
      <c r="J215" s="7">
        <v>0</v>
      </c>
      <c r="K215" s="132" t="str">
        <f>IF(ISEVEN(B215),(B215-1)&amp;"/"&amp;B215,B215&amp;"/"&amp;(B215+1))</f>
        <v>4019/4020</v>
      </c>
      <c r="L215" s="24" t="e">
        <f>VLOOKUP(A215,'Trips&amp;Operators'!$C$1:$E$10000,3,FALSE)</f>
        <v>#N/A</v>
      </c>
      <c r="M215" s="6">
        <f>I215-F215</f>
        <v>8.5648148160544224E-3</v>
      </c>
      <c r="N215" s="7">
        <f>24*60*SUM($M215:$M215)</f>
        <v>12.333333335118368</v>
      </c>
      <c r="O215" s="7"/>
      <c r="P215" s="7"/>
      <c r="Q215" s="25"/>
      <c r="R215" s="25"/>
      <c r="S215" s="37">
        <f>SUM(U215:U215)/IF(AG215="EC",12,1)</f>
        <v>1</v>
      </c>
      <c r="T215" s="52" t="str">
        <f>IF(ISEVEN(LEFT(AD215,4)),"Southbound","NorthBound")</f>
        <v>NorthBound</v>
      </c>
      <c r="U215" s="12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06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hh:mm:ss")&amp;"-0600',mode:absolute,to:'"&amp;TEXT(I215+1/24,"yyyy-MM-DD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https://search-rtdc-monitor-bjffxe2xuh6vdkpspy63sjmuny.us-east-1.es.amazonaws.com/_plugin/kibana/#/discover/Steve-Slow-Train-Analysis-(2080s-and-2083s)?_g=(refreshInterval:(display:Off,section:0,value:0),time:(from:'2016-08-26 07:29:26-0600',mode:absolute,to:'2016-08-26 09:42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15" s="54" t="str">
        <f>IF(AA215&lt;IF(AG215="EC",23,5.65),"Y","N")</f>
        <v>Y</v>
      </c>
      <c r="X215" s="120">
        <f>VALUE(LEFT(AD215,4))-VALUE(LEFT(AD214,4))</f>
        <v>588</v>
      </c>
      <c r="Y215" s="69">
        <f>RIGHT(D215,LEN(D215)-4)/10000</f>
        <v>0.1002</v>
      </c>
      <c r="Z215" s="69">
        <f>RIGHT(H215,LEN(H215)-4)/10000</f>
        <v>2.4260000000000002</v>
      </c>
      <c r="AA215" s="69">
        <f>ABS(Z215-Y215)</f>
        <v>2.3258000000000001</v>
      </c>
      <c r="AB215" s="66" t="e">
        <f>VLOOKUP(A215,Enforcements!$C$7:$J$21,8,0)</f>
        <v>#N/A</v>
      </c>
      <c r="AC215" s="62" t="e">
        <f>VLOOKUP(A215,Enforcements!$C$7:$E$21,3,0)</f>
        <v>#N/A</v>
      </c>
      <c r="AD215" s="63" t="str">
        <f>IF(LEN(A215)=6,"0"&amp;A215,A215)</f>
        <v>0903-26</v>
      </c>
      <c r="AE215" s="99" t="str">
        <f>"aws s3 cp "&amp;s3_bucket&amp;"/RTDC"&amp;B215&amp;"/"&amp;TEXT(F215,"YYYY-MM-DD")&amp;"/ "&amp;search_path&amp;"\RTDC"&amp;B215&amp;"\"&amp;TEXT(F215,"YYYY-MM-DD")&amp;" --recursive &amp; """&amp;walkandungz&amp;""" "&amp;search_path&amp;"\RTDC"&amp;B215&amp;"\"&amp;TEXT(F215,"YYYY-MM-DD")
&amp;" &amp; "&amp;"aws s3 cp "&amp;s3_bucket&amp;"/RTDC"&amp;B215&amp;"/"&amp;TEXT(F215+1,"YYYY-MM-DD")&amp;"/ "&amp;search_path&amp;"\RTDC"&amp;B215&amp;"\"&amp;TEXT(F215+1,"YYYY-MM-DD")&amp;" --recursive &amp; """&amp;walkandungz&amp;""" "&amp;search_path&amp;"\RTDC"&amp;B215&amp;"\"&amp;TEXT(F215+1,"YYYY-MM-DD")</f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AF215" s="96" t="str">
        <f>astrogrep_path&amp;" /spath="&amp;search_path&amp;" /stypes=""*"&amp;B215&amp;"*"&amp;TEXT(I215-utc_offset/24,"YYYYMMDD")&amp;"*"" /stext="" "&amp;TEXT(I215-utc_offset/24,"HH")&amp;search_regexp&amp;""" /e /r /s"</f>
        <v>"C:\Program Files (x86)\AstroGrep\AstroGrep.exe" /spath="%USERPROFILE%\AppData\Local\Temp\OnboardLogs" /stypes="*4020*20160826*" /stext=" 14:.+((SYSTEM_STATE.+slice.+state.+changed )|(ment ac)|(system.+state.+changed )|(\|lc)|(penalty)|(\[timeout)|(PRM\|1\|D)|(kpr)|(kdp))" /e /r /s</v>
      </c>
      <c r="AG215" s="1" t="str">
        <f>IFERROR(IF(VALUE(LEFT(AD215,2))&lt;=2,"EC",IF(OR(VALUE(LEFT(AD215,2))=8,VALUE(LEFT(AD215,2))=18),"NW","Other")),"Other")</f>
        <v>Other</v>
      </c>
      <c r="AH215" s="100" t="str">
        <f t="shared" si="86"/>
        <v>"%USERPROFILE%\Documents\GitHub\eaglep3\Utilities\RefineRTDCRunTimes.py" --tripid 903-26 --locoid 4020 --swversion DE.1.0.7.0 --startMP 204:1002 --initTime 2016-08-26T08:29:26 --startdatetime 2016-08-26T08:30:38 --delay 1 --endMP 300:24260 --enddatetime 2016-08-26T08:42:58 --enforcementcount 0 &gt;&gt;C:\Users\stu\Documents\GitHub\eaglep3-reporting\EC\2016-08-27-refined-times.txt</v>
      </c>
      <c r="AI215" s="149" t="str">
        <f t="shared" si="87"/>
        <v>echo {"issue":{"subject":"","project_id":79,"tracker_id":40,"status_id":1,"priority_id":2,"assigned_to_id":23,"start_date":"2016-08-26","description":"","custom_fields":[{"id":1,"name":"Subdivision","value":"Other"},{"id":4,"name":"Milepost","value":"2.3258"},{"id":17,"name":"Train ID","value":"903-26"},{"id":16,"name":"Locomotive ID","value":"4020"},{"id":130,"name":"Impact","value":""},{"id":150,"name":"Time of Event (Mountain Time)","value":"08:42:58"},{"id":151,"name":"Denver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306</v>
      </c>
      <c r="B216" s="7">
        <v>4019</v>
      </c>
      <c r="C216" s="24" t="s">
        <v>113</v>
      </c>
      <c r="D216" s="24" t="s">
        <v>377</v>
      </c>
      <c r="E216" s="15">
        <v>42608.63521990741</v>
      </c>
      <c r="F216" s="15">
        <v>42608.636608796296</v>
      </c>
      <c r="G216" s="7">
        <v>2</v>
      </c>
      <c r="H216" s="15" t="s">
        <v>378</v>
      </c>
      <c r="I216" s="15">
        <v>42608.63863425926</v>
      </c>
      <c r="J216" s="7">
        <v>0</v>
      </c>
      <c r="K216" s="132" t="str">
        <f>IF(ISEVEN(B216),(B216-1)&amp;"/"&amp;B216,B216&amp;"/"&amp;(B216+1))</f>
        <v>4019/4020</v>
      </c>
      <c r="L216" s="24" t="e">
        <f>VLOOKUP(A216,'Trips&amp;Operators'!$C$1:$E$10000,3,FALSE)</f>
        <v>#N/A</v>
      </c>
      <c r="M216" s="6">
        <f>I216-F216</f>
        <v>2.0254629635019228E-3</v>
      </c>
      <c r="N216" s="7">
        <f>24*60*SUM($M216:$M216)</f>
        <v>2.9166666674427688</v>
      </c>
      <c r="O216" s="7"/>
      <c r="P216" s="7"/>
      <c r="Q216" s="25"/>
      <c r="R216" s="25"/>
      <c r="S216" s="37">
        <f>SUM(U216:U216)/IF(AG216="EC",12,1)</f>
        <v>0</v>
      </c>
      <c r="T216" s="52" t="str">
        <f>IF(ISEVEN(LEFT(AD216,4)),"Southbound","NorthBound")</f>
        <v>Southbound</v>
      </c>
      <c r="U216" s="12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hh:mm:ss")&amp;"-0600',mode:absolute,to:'"&amp;TEXT(I216+1/24,"yyyy-MM-DD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https://search-rtdc-monitor-bjffxe2xuh6vdkpspy63sjmuny.us-east-1.es.amazonaws.com/_plugin/kibana/#/discover/Steve-Slow-Train-Analysis-(2080s-and-2083s)?_g=(refreshInterval:(display:Off,section:0,value:0),time:(from:'2016-08-26 14:14:43-0600',mode:absolute,to:'2016-08-26 16:19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16" s="54" t="str">
        <f>IF(AA216&lt;IF(AG216="EC",23,5.65),"Y","N")</f>
        <v>Y</v>
      </c>
      <c r="X216" s="120">
        <f>VALUE(LEFT(AD216,4))-VALUE(LEFT(AD215,4))</f>
        <v>1</v>
      </c>
      <c r="Y216" s="69">
        <f>RIGHT(D216,LEN(D216)-4)/10000</f>
        <v>2.5442</v>
      </c>
      <c r="Z216" s="69">
        <f>RIGHT(H216,LEN(H216)-4)/10000</f>
        <v>2.4401999999999999</v>
      </c>
      <c r="AA216" s="69">
        <f>ABS(Z216-Y216)</f>
        <v>0.10400000000000009</v>
      </c>
      <c r="AB216" s="66" t="e">
        <f>VLOOKUP(A216,Enforcements!$C$7:$J$21,8,0)</f>
        <v>#N/A</v>
      </c>
      <c r="AC216" s="62" t="e">
        <f>VLOOKUP(A216,Enforcements!$C$7:$E$21,3,0)</f>
        <v>#N/A</v>
      </c>
      <c r="AD216" s="63" t="str">
        <f>IF(LEN(A216)=6,"0"&amp;A216,A216)</f>
        <v>0904-26</v>
      </c>
      <c r="AE216" s="99" t="str">
        <f>"aws s3 cp "&amp;s3_bucket&amp;"/RTDC"&amp;B216&amp;"/"&amp;TEXT(F216,"YYYY-MM-DD")&amp;"/ "&amp;search_path&amp;"\RTDC"&amp;B216&amp;"\"&amp;TEXT(F216,"YYYY-MM-DD")&amp;" --recursive &amp; """&amp;walkandungz&amp;""" "&amp;search_path&amp;"\RTDC"&amp;B216&amp;"\"&amp;TEXT(F216,"YYYY-MM-DD")
&amp;" &amp; "&amp;"aws s3 cp "&amp;s3_bucket&amp;"/RTDC"&amp;B216&amp;"/"&amp;TEXT(F216+1,"YYYY-MM-DD")&amp;"/ "&amp;search_path&amp;"\RTDC"&amp;B216&amp;"\"&amp;TEXT(F216+1,"YYYY-MM-DD")&amp;" --recursive &amp; """&amp;walkandungz&amp;""" "&amp;search_path&amp;"\RTDC"&amp;B216&amp;"\"&amp;TEXT(F216+1,"YYYY-MM-DD")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216" s="96" t="str">
        <f>astrogrep_path&amp;" /spath="&amp;search_path&amp;" /stypes=""*"&amp;B216&amp;"*"&amp;TEXT(I216-utc_offset/24,"YYYYMMDD")&amp;"*"" /stext="" "&amp;TEXT(I216-utc_offset/24,"HH")&amp;search_regexp&amp;""" /e /r /s"</f>
        <v>"C:\Program Files (x86)\AstroGrep\AstroGrep.exe" /spath="%USERPROFILE%\AppData\Local\Temp\OnboardLogs" /stypes="*4019*20160826*" /stext=" 21:.+((SYSTEM_STATE.+slice.+state.+changed )|(ment ac)|(system.+state.+changed )|(\|lc)|(penalty)|(\[timeout)|(PRM\|1\|D)|(kpr)|(kdp))" /e /r /s</v>
      </c>
      <c r="AG216" s="1" t="str">
        <f>IFERROR(IF(VALUE(LEFT(AD216,2))&lt;=2,"EC",IF(OR(VALUE(LEFT(AD216,2))=8,VALUE(LEFT(AD216,2))=18),"NW","Other")),"Other")</f>
        <v>Other</v>
      </c>
      <c r="AH216" s="100" t="str">
        <f t="shared" si="86"/>
        <v>"%USERPROFILE%\Documents\GitHub\eaglep3\Utilities\RefineRTDCRunTimes.py" --tripid 904-26 --locoid 4019 --swversion DE.1.0.7.0 --startMP 300:25442 --initTime 2016-08-26T15:14:43 --startdatetime 2016-08-26T15:16:43 --delay 2 --endMP 300:24402 --enddatetime 2016-08-26T15:19:38 --enforcementcount 0 &gt;&gt;C:\Users\stu\Documents\GitHub\eaglep3-reporting\EC\2016-08-27-refined-times.txt</v>
      </c>
      <c r="AI216" s="149" t="str">
        <f t="shared" si="87"/>
        <v>echo {"issue":{"subject":"","project_id":79,"tracker_id":40,"status_id":1,"priority_id":2,"assigned_to_id":23,"start_date":"2016-08-26","description":"","custom_fields":[{"id":1,"name":"Subdivision","value":"Other"},{"id":4,"name":"Milepost","value":"0.104"},{"id":17,"name":"Train ID","value":"904-26"},{"id":16,"name":"Locomotive ID","value":"4019"},{"id":130,"name":"Impact","value":""},{"id":150,"name":"Time of Event (Mountain Time)","value":"15:19:38"},{"id":151,"name":"Denver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312</v>
      </c>
      <c r="B217" s="7">
        <v>4019</v>
      </c>
      <c r="C217" s="24" t="s">
        <v>113</v>
      </c>
      <c r="D217" s="24" t="s">
        <v>379</v>
      </c>
      <c r="E217" s="15">
        <v>42608.797858796293</v>
      </c>
      <c r="F217" s="15">
        <v>42608.798657407409</v>
      </c>
      <c r="G217" s="7">
        <v>1</v>
      </c>
      <c r="H217" s="15" t="s">
        <v>380</v>
      </c>
      <c r="I217" s="15">
        <v>42608.80741898148</v>
      </c>
      <c r="J217" s="7">
        <v>0</v>
      </c>
      <c r="K217" s="132" t="str">
        <f>IF(ISEVEN(B217),(B217-1)&amp;"/"&amp;B217,B217&amp;"/"&amp;(B217+1))</f>
        <v>4019/4020</v>
      </c>
      <c r="L217" s="24" t="e">
        <f>VLOOKUP(A217,'Trips&amp;Operators'!$C$1:$E$10000,3,FALSE)</f>
        <v>#N/A</v>
      </c>
      <c r="M217" s="6">
        <f>I217-F217</f>
        <v>8.7615740703768097E-3</v>
      </c>
      <c r="N217" s="7">
        <f>24*60*SUM($M217:$M217)</f>
        <v>12.616666661342606</v>
      </c>
      <c r="O217" s="7"/>
      <c r="P217" s="7"/>
      <c r="Q217" s="25"/>
      <c r="R217" s="25"/>
      <c r="S217" s="37">
        <f>SUM(U217:U217)/IF(AG217="EC",12,1)</f>
        <v>0</v>
      </c>
      <c r="T217" s="52" t="str">
        <f>IF(ISEVEN(LEFT(AD217,4)),"Southbound","NorthBound")</f>
        <v>Southbound</v>
      </c>
      <c r="U217" s="12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>"https://search-rtdc-monitor-bjffxe2xuh6vdkpspy63sjmuny.us-east-1.es.amazonaws.com/_plugin/kibana/#/discover/Steve-Slow-Train-Analysis-(2080s-and-2083s)?_g=(refreshInterval:(display:Off,section:0,value:0),time:(from:'"&amp;TEXT(E217-1/24,"yyyy-MM-DD hh:mm:ss")&amp;"-0600',mode:absolute,to:'"&amp;TEXT(I217+1/24,"yyyy-MM-DD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217&amp;"%22')),sort:!(Time,asc))"</f>
        <v>https://search-rtdc-monitor-bjffxe2xuh6vdkpspy63sjmuny.us-east-1.es.amazonaws.com/_plugin/kibana/#/discover/Steve-Slow-Train-Analysis-(2080s-and-2083s)?_g=(refreshInterval:(display:Off,section:0,value:0),time:(from:'2016-08-26 18:08:55-0600',mode:absolute,to:'2016-08-26 20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17" s="54" t="str">
        <f>IF(AA217&lt;IF(AG217="EC",23,5.65),"Y","N")</f>
        <v>Y</v>
      </c>
      <c r="X217" s="120">
        <f>VALUE(LEFT(AD217,4))-VALUE(LEFT(AD216,4))</f>
        <v>2</v>
      </c>
      <c r="Y217" s="69">
        <f>RIGHT(D217,LEN(D217)-4)/10000</f>
        <v>5.8634000000000004</v>
      </c>
      <c r="Z217" s="69">
        <f>RIGHT(H217,LEN(H217)-4)/10000</f>
        <v>2.8786</v>
      </c>
      <c r="AA217" s="69">
        <f>ABS(Z217-Y217)</f>
        <v>2.9848000000000003</v>
      </c>
      <c r="AB217" s="66" t="e">
        <f>VLOOKUP(A217,Enforcements!$C$7:$J$21,8,0)</f>
        <v>#N/A</v>
      </c>
      <c r="AC217" s="62" t="e">
        <f>VLOOKUP(A217,Enforcements!$C$7:$E$21,3,0)</f>
        <v>#N/A</v>
      </c>
      <c r="AD217" s="63" t="str">
        <f>IF(LEN(A217)=6,"0"&amp;A217,A217)</f>
        <v>0906-26</v>
      </c>
      <c r="AE217" s="99" t="str">
        <f>"aws s3 cp "&amp;s3_bucket&amp;"/RTDC"&amp;B217&amp;"/"&amp;TEXT(F217,"YYYY-MM-DD")&amp;"/ "&amp;search_path&amp;"\RTDC"&amp;B217&amp;"\"&amp;TEXT(F217,"YYYY-MM-DD")&amp;" --recursive &amp; """&amp;walkandungz&amp;""" "&amp;search_path&amp;"\RTDC"&amp;B217&amp;"\"&amp;TEXT(F217,"YYYY-MM-DD")
&amp;" &amp; "&amp;"aws s3 cp "&amp;s3_bucket&amp;"/RTDC"&amp;B217&amp;"/"&amp;TEXT(F217+1,"YYYY-MM-DD")&amp;"/ "&amp;search_path&amp;"\RTDC"&amp;B217&amp;"\"&amp;TEXT(F217+1,"YYYY-MM-DD")&amp;" --recursive &amp; """&amp;walkandungz&amp;""" "&amp;search_path&amp;"\RTDC"&amp;B217&amp;"\"&amp;TEXT(F217+1,"YYYY-MM-DD")</f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217" s="96" t="str">
        <f>astrogrep_path&amp;" /spath="&amp;search_path&amp;" /stypes=""*"&amp;B217&amp;"*"&amp;TEXT(I217-utc_offset/24,"YYYYMMDD")&amp;"*"" /stext="" "&amp;TEXT(I217-utc_offset/24,"HH")&amp;search_regexp&amp;""" /e /r /s"</f>
        <v>"C:\Program Files (x86)\AstroGrep\AstroGrep.exe" /spath="%USERPROFILE%\AppData\Local\Temp\OnboardLogs" /stypes="*4019*20160827*" /stext=" 01:.+((SYSTEM_STATE.+slice.+state.+changed )|(ment ac)|(system.+state.+changed )|(\|lc)|(penalty)|(\[timeout)|(PRM\|1\|D)|(kpr)|(kdp))" /e /r /s</v>
      </c>
      <c r="AG217" s="1" t="str">
        <f>IFERROR(IF(VALUE(LEFT(AD217,2))&lt;=2,"EC",IF(OR(VALUE(LEFT(AD217,2))=8,VALUE(LEFT(AD217,2))=18),"NW","Other")),"Other")</f>
        <v>Other</v>
      </c>
      <c r="AH217" s="100" t="str">
        <f t="shared" si="86"/>
        <v>"%USERPROFILE%\Documents\GitHub\eaglep3\Utilities\RefineRTDCRunTimes.py" --tripid 906-26 --locoid 4019 --swversion DE.1.0.7.0 --startMP 300:58634 --initTime 2016-08-26T19:08:55 --startdatetime 2016-08-26T19:10:04 --delay 1 --endMP 300:28786 --enddatetime 2016-08-26T19:22:41 --enforcementcount 0 &gt;&gt;C:\Users\stu\Documents\GitHub\eaglep3-reporting\EC\2016-08-27-refined-times.txt</v>
      </c>
      <c r="AI217" s="149" t="str">
        <f t="shared" si="87"/>
        <v>echo {"issue":{"subject":"","project_id":79,"tracker_id":40,"status_id":1,"priority_id":2,"assigned_to_id":23,"start_date":"2016-08-26","description":"","custom_fields":[{"id":1,"name":"Subdivision","value":"Other"},{"id":4,"name":"Milepost","value":"2.9848"},{"id":17,"name":"Train ID","value":"906-26"},{"id":16,"name":"Locomotive ID","value":"4019"},{"id":130,"name":"Impact","value":""},{"id":150,"name":"Time of Event (Mountain Time)","value":"19:22:41"},{"id":151,"name":"Denver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315</v>
      </c>
      <c r="B218" s="7">
        <v>4012</v>
      </c>
      <c r="C218" s="24" t="s">
        <v>113</v>
      </c>
      <c r="D218" s="24" t="s">
        <v>381</v>
      </c>
      <c r="E218" s="15">
        <v>42608.941828703704</v>
      </c>
      <c r="F218" s="15">
        <v>42608.942615740743</v>
      </c>
      <c r="G218" s="7">
        <v>1</v>
      </c>
      <c r="H218" s="15" t="s">
        <v>382</v>
      </c>
      <c r="I218" s="15">
        <v>42608.94803240741</v>
      </c>
      <c r="J218" s="7">
        <v>0</v>
      </c>
      <c r="K218" s="132" t="str">
        <f>IF(ISEVEN(B218),(B218-1)&amp;"/"&amp;B218,B218&amp;"/"&amp;(B218+1))</f>
        <v>4011/4012</v>
      </c>
      <c r="L218" s="24" t="e">
        <f>VLOOKUP(A218,'Trips&amp;Operators'!$C$1:$E$10000,3,FALSE)</f>
        <v>#N/A</v>
      </c>
      <c r="M218" s="6">
        <f>I218-F218</f>
        <v>5.4166666668606922E-3</v>
      </c>
      <c r="N218" s="7">
        <f>24*60*SUM($M218:$M218)</f>
        <v>7.8000000002793968</v>
      </c>
      <c r="O218" s="7"/>
      <c r="P218" s="7"/>
      <c r="Q218" s="25"/>
      <c r="R218" s="25"/>
      <c r="S218" s="37">
        <f>SUM(U218:U218)/IF(AG218="EC",12,1)</f>
        <v>0</v>
      </c>
      <c r="T218" s="52" t="str">
        <f>IF(ISEVEN(LEFT(AD218,4)),"Southbound","NorthBound")</f>
        <v>Southbound</v>
      </c>
      <c r="U218" s="12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>"https://search-rtdc-monitor-bjffxe2xuh6vdkpspy63sjmuny.us-east-1.es.amazonaws.com/_plugin/kibana/#/discover/Steve-Slow-Train-Analysis-(2080s-and-2083s)?_g=(refreshInterval:(display:Off,section:0,value:0),time:(from:'"&amp;TEXT(E218-1/24,"yyyy-MM-DD hh:mm:ss")&amp;"-0600',mode:absolute,to:'"&amp;TEXT(I218+1/24,"yyyy-MM-DD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https://search-rtdc-monitor-bjffxe2xuh6vdkpspy63sjmuny.us-east-1.es.amazonaws.com/_plugin/kibana/#/discover/Steve-Slow-Train-Analysis-(2080s-and-2083s)?_g=(refreshInterval:(display:Off,section:0,value:0),time:(from:'2016-08-26 21:36:14-0600',mode:absolute,to:'2016-08-26 23:45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18" s="54" t="str">
        <f>IF(AA218&lt;IF(AG218="EC",23,5.65),"Y","N")</f>
        <v>Y</v>
      </c>
      <c r="X218" s="120">
        <f>VALUE(LEFT(AD218,4))-VALUE(LEFT(AD217,4))</f>
        <v>2</v>
      </c>
      <c r="Y218" s="69">
        <f>RIGHT(D218,LEN(D218)-4)/10000</f>
        <v>5.8647</v>
      </c>
      <c r="Z218" s="69">
        <f>RIGHT(H218,LEN(H218)-4)/10000</f>
        <v>2.1575000000000002</v>
      </c>
      <c r="AA218" s="69">
        <f>ABS(Z218-Y218)</f>
        <v>3.7071999999999998</v>
      </c>
      <c r="AB218" s="66" t="e">
        <f>VLOOKUP(A218,Enforcements!$C$7:$J$21,8,0)</f>
        <v>#N/A</v>
      </c>
      <c r="AC218" s="62" t="e">
        <f>VLOOKUP(A218,Enforcements!$C$7:$E$21,3,0)</f>
        <v>#N/A</v>
      </c>
      <c r="AD218" s="63" t="str">
        <f>IF(LEN(A218)=6,"0"&amp;A218,A218)</f>
        <v>0908-26</v>
      </c>
      <c r="AE218" s="99" t="str">
        <f>"aws s3 cp "&amp;s3_bucket&amp;"/RTDC"&amp;B218&amp;"/"&amp;TEXT(F218,"YYYY-MM-DD")&amp;"/ "&amp;search_path&amp;"\RTDC"&amp;B218&amp;"\"&amp;TEXT(F218,"YYYY-MM-DD")&amp;" --recursive &amp; """&amp;walkandungz&amp;""" "&amp;search_path&amp;"\RTDC"&amp;B218&amp;"\"&amp;TEXT(F218,"YYYY-MM-DD")
&amp;" &amp; "&amp;"aws s3 cp "&amp;s3_bucket&amp;"/RTDC"&amp;B218&amp;"/"&amp;TEXT(F218+1,"YYYY-MM-DD")&amp;"/ "&amp;search_path&amp;"\RTDC"&amp;B218&amp;"\"&amp;TEXT(F218+1,"YYYY-MM-DD")&amp;" --recursive &amp; """&amp;walkandungz&amp;""" "&amp;search_path&amp;"\RTDC"&amp;B218&amp;"\"&amp;TEXT(F218+1,"YYYY-MM-DD")</f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218" s="96" t="str">
        <f>astrogrep_path&amp;" /spath="&amp;search_path&amp;" /stypes=""*"&amp;B218&amp;"*"&amp;TEXT(I218-utc_offset/24,"YYYYMMDD")&amp;"*"" /stext="" "&amp;TEXT(I218-utc_offset/24,"HH")&amp;search_regexp&amp;""" /e /r /s"</f>
        <v>"C:\Program Files (x86)\AstroGrep\AstroGrep.exe" /spath="%USERPROFILE%\AppData\Local\Temp\OnboardLogs" /stypes="*4012*20160827*" /stext=" 04:.+((SYSTEM_STATE.+slice.+state.+changed )|(ment ac)|(system.+state.+changed )|(\|lc)|(penalty)|(\[timeout)|(PRM\|1\|D)|(kpr)|(kdp))" /e /r /s</v>
      </c>
      <c r="AG218" s="1" t="str">
        <f>IFERROR(IF(VALUE(LEFT(AD218,2))&lt;=2,"EC",IF(OR(VALUE(LEFT(AD218,2))=8,VALUE(LEFT(AD218,2))=18),"NW","Other")),"Other")</f>
        <v>Other</v>
      </c>
      <c r="AH218" s="100" t="str">
        <f t="shared" si="86"/>
        <v>"%USERPROFILE%\Documents\GitHub\eaglep3\Utilities\RefineRTDCRunTimes.py" --tripid 908-26 --locoid 4012 --swversion DE.1.0.7.0 --startMP 300:58647 --initTime 2016-08-26T22:36:14 --startdatetime 2016-08-26T22:37:22 --delay 1 --endMP 300:21575 --enddatetime 2016-08-26T22:45:10 --enforcementcount 0 &gt;&gt;C:\Users\stu\Documents\GitHub\eaglep3-reporting\EC\2016-08-27-refined-times.txt</v>
      </c>
      <c r="AI218" s="149" t="str">
        <f t="shared" si="87"/>
        <v>echo {"issue":{"subject":"","project_id":79,"tracker_id":40,"status_id":1,"priority_id":2,"assigned_to_id":23,"start_date":"2016-08-26","description":"","custom_fields":[{"id":1,"name":"Subdivision","value":"Other"},{"id":4,"name":"Milepost","value":"3.7072"},{"id":17,"name":"Train ID","value":"908-26"},{"id":16,"name":"Locomotive ID","value":"4012"},{"id":130,"name":"Impact","value":""},{"id":150,"name":"Time of Event (Mountain Time)","value":"22:45:10"},{"id":151,"name":"Denver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585</v>
      </c>
      <c r="B219" s="7">
        <v>4008</v>
      </c>
      <c r="C219" s="24" t="s">
        <v>113</v>
      </c>
      <c r="D219" s="24" t="s">
        <v>268</v>
      </c>
      <c r="E219" s="15">
        <v>42609.942164351851</v>
      </c>
      <c r="F219" s="15">
        <v>42609.943865740737</v>
      </c>
      <c r="G219" s="7">
        <v>1</v>
      </c>
      <c r="H219" s="15" t="s">
        <v>586</v>
      </c>
      <c r="I219" s="15">
        <v>42609.948298611111</v>
      </c>
      <c r="J219" s="7">
        <v>0</v>
      </c>
      <c r="K219" s="132" t="str">
        <f>IF(ISEVEN(B219),(B219-1)&amp;"/"&amp;B219,B219&amp;"/"&amp;(B219+1))</f>
        <v>4007/4008</v>
      </c>
      <c r="L219" s="24" t="str">
        <f>VLOOKUP(A219,'Trips&amp;Operators'!$C$1:$E$10000,3,FALSE)</f>
        <v>DE LA ROSA</v>
      </c>
      <c r="M219" s="6">
        <f>I219-F219</f>
        <v>4.432870373420883E-3</v>
      </c>
      <c r="N219" s="7">
        <f>24*60*SUM($M219:$M219)</f>
        <v>6.3833333377260715</v>
      </c>
      <c r="O219" s="7"/>
      <c r="P219" s="7"/>
      <c r="Q219" s="25"/>
      <c r="R219" s="25"/>
      <c r="S219" s="37">
        <f>SUM(U219:U219)/IF(AG219="EC",12,1)</f>
        <v>0</v>
      </c>
      <c r="T219" s="52" t="str">
        <f>IF(ISEVEN(LEFT(AD219,4)),"Southbound","NorthBound")</f>
        <v>Southbound</v>
      </c>
      <c r="U219" s="12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>"https://search-rtdc-monitor-bjffxe2xuh6vdkpspy63sjmuny.us-east-1.es.amazonaws.com/_plugin/kibana/#/discover/Steve-Slow-Train-Analysis-(2080s-and-2083s)?_g=(refreshInterval:(display:Off,section:0,value:0),time:(from:'"&amp;TEXT(E219-1/24,"yyyy-MM-DD hh:mm:ss")&amp;"-0600',mode:absolute,to:'"&amp;TEXT(I219+1/24,"yyyy-MM-DD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https://search-rtdc-monitor-bjffxe2xuh6vdkpspy63sjmuny.us-east-1.es.amazonaws.com/_plugin/kibana/#/discover/Steve-Slow-Train-Analysis-(2080s-and-2083s)?_g=(refreshInterval:(display:Off,section:0,value:0),time:(from:'2016-08-27 21:36:43-0600',mode:absolute,to:'2016-08-27 23:45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219" s="54" t="str">
        <f>IF(AA219&lt;IF(AG219="EC",23,5.65),"Y","N")</f>
        <v>Y</v>
      </c>
      <c r="X219" s="120">
        <f>VALUE(LEFT(AD219,4))-VALUE(LEFT(AD218,4))</f>
        <v>994</v>
      </c>
      <c r="Y219" s="69">
        <f>RIGHT(D219,LEN(D219)-4)/10000</f>
        <v>5.8625999999999996</v>
      </c>
      <c r="Z219" s="69">
        <f>RIGHT(H219,LEN(H219)-4)/10000</f>
        <v>2.1511</v>
      </c>
      <c r="AA219" s="69">
        <f>ABS(Z219-Y219)</f>
        <v>3.7114999999999996</v>
      </c>
      <c r="AB219" s="66" t="e">
        <f>VLOOKUP(A219,Enforcements!$C$7:$J$21,8,0)</f>
        <v>#N/A</v>
      </c>
      <c r="AC219" s="62" t="e">
        <f>VLOOKUP(A219,Enforcements!$C$7:$E$21,3,0)</f>
        <v>#N/A</v>
      </c>
      <c r="AD219" s="63" t="str">
        <f>IF(LEN(A219)=6,"0"&amp;A219,A219)</f>
        <v>1902-27</v>
      </c>
      <c r="AE219" s="99" t="str">
        <f>"aws s3 cp "&amp;s3_bucket&amp;"/RTDC"&amp;B219&amp;"/"&amp;TEXT(F219,"YYYY-MM-DD")&amp;"/ "&amp;search_path&amp;"\RTDC"&amp;B219&amp;"\"&amp;TEXT(F219,"YYYY-MM-DD")&amp;" --recursive &amp; """&amp;walkandungz&amp;""" "&amp;search_path&amp;"\RTDC"&amp;B219&amp;"\"&amp;TEXT(F219,"YYYY-MM-DD")
&amp;" &amp; "&amp;"aws s3 cp "&amp;s3_bucket&amp;"/RTDC"&amp;B219&amp;"/"&amp;TEXT(F219+1,"YYYY-MM-DD")&amp;"/ "&amp;search_path&amp;"\RTDC"&amp;B219&amp;"\"&amp;TEXT(F219+1,"YYYY-MM-DD")&amp;" --recursive &amp; """&amp;walkandungz&amp;""" "&amp;search_path&amp;"\RTDC"&amp;B219&amp;"\"&amp;TEXT(F219+1,"YYYY-MM-DD")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219" s="96" t="str">
        <f>astrogrep_path&amp;" /spath="&amp;search_path&amp;" /stypes=""*"&amp;B219&amp;"*"&amp;TEXT(I219-utc_offset/24,"YYYYMMDD")&amp;"*"" /stext="" "&amp;TEXT(I219-utc_offset/24,"HH")&amp;search_regexp&amp;""" /e /r /s"</f>
        <v>"C:\Program Files (x86)\AstroGrep\AstroGrep.exe" /spath="%USERPROFILE%\AppData\Local\Temp\OnboardLogs" /stypes="*4008*20160828*" /stext=" 04:.+((SYSTEM_STATE.+slice.+state.+changed )|(ment ac)|(system.+state.+changed )|(\|lc)|(penalty)|(\[timeout)|(PRM\|1\|D)|(kpr)|(kdp))" /e /r /s</v>
      </c>
      <c r="AG219" s="1" t="str">
        <f>IFERROR(IF(VALUE(LEFT(AD219,2))&lt;=2,"EC",IF(OR(VALUE(LEFT(AD219,2))=8,VALUE(LEFT(AD219,2))=18),"NW","Other")),"Other")</f>
        <v>Other</v>
      </c>
      <c r="AH219" s="100" t="str">
        <f t="shared" si="86"/>
        <v>"%USERPROFILE%\Documents\GitHub\eaglep3\Utilities\RefineRTDCRunTimes.py" --tripid 1902-27 --locoid 4008 --swversion DE.1.0.7.0 --startMP 300:58626 --initTime 2016-08-27T22:36:43 --startdatetime 2016-08-27T22:39:10 --delay 1 --endMP 300:21511 --enddatetime 2016-08-27T22:45:33 --enforcementcount 0 &gt;&gt;C:\Users\stu\Documents\GitHub\eaglep3-reporting\EC\2016-08-27-refined-times.txt</v>
      </c>
      <c r="AI219" s="149" t="str">
        <f t="shared" si="87"/>
        <v>echo {"issue":{"subject":"","project_id":79,"tracker_id":40,"status_id":1,"priority_id":2,"assigned_to_id":23,"start_date":"2016-08-27","description":"","custom_fields":[{"id":1,"name":"Subdivision","value":"Other"},{"id":4,"name":"Milepost","value":"3.7115"},{"id":17,"name":"Train ID","value":"1902-27"},{"id":16,"name":"Locomotive ID","value":"4008"},{"id":130,"name":"Impact","value":""},{"id":150,"name":"Time of Event (Mountain Time)","value":"22:45:33"},{"id":151,"name":"Denver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585</v>
      </c>
      <c r="B220" s="7">
        <v>4008</v>
      </c>
      <c r="C220" s="24" t="s">
        <v>113</v>
      </c>
      <c r="D220" s="24" t="s">
        <v>268</v>
      </c>
      <c r="E220" s="15">
        <v>42609.942164351851</v>
      </c>
      <c r="F220" s="15">
        <v>42609.943865740737</v>
      </c>
      <c r="G220" s="7">
        <v>1</v>
      </c>
      <c r="H220" s="15" t="s">
        <v>586</v>
      </c>
      <c r="I220" s="15">
        <v>42609.948298611111</v>
      </c>
      <c r="J220" s="7">
        <v>0</v>
      </c>
      <c r="K220" s="132" t="str">
        <f>IF(ISEVEN(B220),(B220-1)&amp;"/"&amp;B220,B220&amp;"/"&amp;(B220+1))</f>
        <v>4007/4008</v>
      </c>
      <c r="L220" s="24" t="str">
        <f>VLOOKUP(A220,'Trips&amp;Operators'!$C$1:$E$10000,3,FALSE)</f>
        <v>DE LA ROSA</v>
      </c>
      <c r="M220" s="6">
        <f>I220-F220</f>
        <v>4.432870373420883E-3</v>
      </c>
      <c r="N220" s="7">
        <f>24*60*SUM($M220:$M220)</f>
        <v>6.3833333377260715</v>
      </c>
      <c r="O220" s="7"/>
      <c r="P220" s="7"/>
      <c r="Q220" s="25"/>
      <c r="R220" s="25"/>
      <c r="S220" s="37">
        <f>SUM(U220:U220)/IF(AG220="EC",12,1)</f>
        <v>0</v>
      </c>
      <c r="T220" s="52" t="str">
        <f>IF(ISEVEN(LEFT(AD220,4)),"Southbound","NorthBound")</f>
        <v>Southbound</v>
      </c>
      <c r="U220" s="12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>"https://search-rtdc-monitor-bjffxe2xuh6vdkpspy63sjmuny.us-east-1.es.amazonaws.com/_plugin/kibana/#/discover/Steve-Slow-Train-Analysis-(2080s-and-2083s)?_g=(refreshInterval:(display:Off,section:0,value:0),time:(from:'"&amp;TEXT(E220-1/24,"yyyy-MM-DD hh:mm:ss")&amp;"-0600',mode:absolute,to:'"&amp;TEXT(I220+1/24,"yyyy-MM-DD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220&amp;"%22')),sort:!(Time,asc))"</f>
        <v>https://search-rtdc-monitor-bjffxe2xuh6vdkpspy63sjmuny.us-east-1.es.amazonaws.com/_plugin/kibana/#/discover/Steve-Slow-Train-Analysis-(2080s-and-2083s)?_g=(refreshInterval:(display:Off,section:0,value:0),time:(from:'2016-08-27 21:36:43-0600',mode:absolute,to:'2016-08-27 23:45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220" s="54" t="str">
        <f>IF(AA220&lt;IF(AG220="EC",23,5.65),"Y","N")</f>
        <v>Y</v>
      </c>
      <c r="X220" s="120">
        <f>VALUE(LEFT(AD220,4))-VALUE(LEFT(AD219,4))</f>
        <v>0</v>
      </c>
      <c r="Y220" s="69">
        <f>RIGHT(D220,LEN(D220)-4)/10000</f>
        <v>5.8625999999999996</v>
      </c>
      <c r="Z220" s="69">
        <f>RIGHT(H220,LEN(H220)-4)/10000</f>
        <v>2.1511</v>
      </c>
      <c r="AA220" s="69">
        <f>ABS(Z220-Y220)</f>
        <v>3.7114999999999996</v>
      </c>
      <c r="AB220" s="66" t="e">
        <f>VLOOKUP(A220,Enforcements!$C$7:$J$21,8,0)</f>
        <v>#N/A</v>
      </c>
      <c r="AC220" s="62" t="e">
        <f>VLOOKUP(A220,Enforcements!$C$7:$E$21,3,0)</f>
        <v>#N/A</v>
      </c>
      <c r="AD220" s="63" t="str">
        <f>IF(LEN(A220)=6,"0"&amp;A220,A220)</f>
        <v>1902-27</v>
      </c>
      <c r="AE220" s="99" t="str">
        <f>"aws s3 cp "&amp;s3_bucket&amp;"/RTDC"&amp;B220&amp;"/"&amp;TEXT(F220,"YYYY-MM-DD")&amp;"/ "&amp;search_path&amp;"\RTDC"&amp;B220&amp;"\"&amp;TEXT(F220,"YYYY-MM-DD")&amp;" --recursive &amp; """&amp;walkandungz&amp;""" "&amp;search_path&amp;"\RTDC"&amp;B220&amp;"\"&amp;TEXT(F220,"YYYY-MM-DD")
&amp;" &amp; "&amp;"aws s3 cp "&amp;s3_bucket&amp;"/RTDC"&amp;B220&amp;"/"&amp;TEXT(F220+1,"YYYY-MM-DD")&amp;"/ "&amp;search_path&amp;"\RTDC"&amp;B220&amp;"\"&amp;TEXT(F220+1,"YYYY-MM-DD")&amp;" --recursive &amp; """&amp;walkandungz&amp;""" "&amp;search_path&amp;"\RTDC"&amp;B220&amp;"\"&amp;TEXT(F220+1,"YYYY-MM-DD")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220" s="96" t="str">
        <f>astrogrep_path&amp;" /spath="&amp;search_path&amp;" /stypes=""*"&amp;B220&amp;"*"&amp;TEXT(I220-utc_offset/24,"YYYYMMDD")&amp;"*"" /stext="" "&amp;TEXT(I220-utc_offset/24,"HH")&amp;search_regexp&amp;""" /e /r /s"</f>
        <v>"C:\Program Files (x86)\AstroGrep\AstroGrep.exe" /spath="%USERPROFILE%\AppData\Local\Temp\OnboardLogs" /stypes="*4008*20160828*" /stext=" 04:.+((SYSTEM_STATE.+slice.+state.+changed )|(ment ac)|(system.+state.+changed )|(\|lc)|(penalty)|(\[timeout)|(PRM\|1\|D)|(kpr)|(kdp))" /e /r /s</v>
      </c>
      <c r="AG220" s="1" t="str">
        <f>IFERROR(IF(VALUE(LEFT(AD220,2))&lt;=2,"EC",IF(OR(VALUE(LEFT(AD220,2))=8,VALUE(LEFT(AD220,2))=18),"NW","Other")),"Other")</f>
        <v>Other</v>
      </c>
      <c r="AH220" s="100" t="str">
        <f t="shared" si="86"/>
        <v>"%USERPROFILE%\Documents\GitHub\eaglep3\Utilities\RefineRTDCRunTimes.py" --tripid 1902-27 --locoid 4008 --swversion DE.1.0.7.0 --startMP 300:58626 --initTime 2016-08-27T22:36:43 --startdatetime 2016-08-27T22:39:10 --delay 1 --endMP 300:21511 --enddatetime 2016-08-27T22:45:33 --enforcementcount 0 &gt;&gt;C:\Users\stu\Documents\GitHub\eaglep3-reporting\EC\2016-08-27-refined-times.txt</v>
      </c>
      <c r="AI220" s="149" t="str">
        <f t="shared" si="87"/>
        <v>echo {"issue":{"subject":"","project_id":79,"tracker_id":40,"status_id":1,"priority_id":2,"assigned_to_id":23,"start_date":"2016-08-27","description":"","custom_fields":[{"id":1,"name":"Subdivision","value":"Other"},{"id":4,"name":"Milepost","value":"3.7115"},{"id":17,"name":"Train ID","value":"1902-27"},{"id":16,"name":"Locomotive ID","value":"4008"},{"id":130,"name":"Impact","value":""},{"id":150,"name":"Time of Event (Mountain Time)","value":"22:45:33"},{"id":151,"name":"Denver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667</v>
      </c>
      <c r="B221" s="7">
        <v>4012</v>
      </c>
      <c r="C221" s="24" t="s">
        <v>113</v>
      </c>
      <c r="D221" s="24" t="s">
        <v>360</v>
      </c>
      <c r="E221" s="15">
        <v>42609.826331018521</v>
      </c>
      <c r="F221" s="15">
        <v>42609.835243055553</v>
      </c>
      <c r="G221" s="7">
        <v>11</v>
      </c>
      <c r="H221" s="15" t="s">
        <v>668</v>
      </c>
      <c r="I221" s="15">
        <v>42609.839479166665</v>
      </c>
      <c r="J221" s="7">
        <v>0</v>
      </c>
      <c r="K221" s="132" t="str">
        <f>IF(ISEVEN(B221),(B221-1)&amp;"/"&amp;B221,B221&amp;"/"&amp;(B221+1))</f>
        <v>4011/4012</v>
      </c>
      <c r="L221" s="24" t="str">
        <f>VLOOKUP(A221,'Trips&amp;Operators'!$C$1:$E$10000,3,FALSE)</f>
        <v>YANAI</v>
      </c>
      <c r="M221" s="6">
        <f>I221-F221</f>
        <v>4.2361111118225381E-3</v>
      </c>
      <c r="N221" s="7">
        <f>24*60*SUM($M221:$M221)</f>
        <v>6.1000000010244548</v>
      </c>
      <c r="O221" s="7"/>
      <c r="P221" s="7"/>
      <c r="Q221" s="25"/>
      <c r="R221" s="25"/>
      <c r="S221" s="37">
        <f>SUM(U221:U221)/IF(AG221="EC",12,1)</f>
        <v>0</v>
      </c>
      <c r="T221" s="52" t="e">
        <f>IF(ISEVEN(LEFT(AD221,4)),"Southbound","NorthBound")</f>
        <v>#VALUE!</v>
      </c>
      <c r="U221" s="12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>"https://search-rtdc-monitor-bjffxe2xuh6vdkpspy63sjmuny.us-east-1.es.amazonaws.com/_plugin/kibana/#/discover/Steve-Slow-Train-Analysis-(2080s-and-2083s)?_g=(refreshInterval:(display:Off,section:0,value:0),time:(from:'"&amp;TEXT(E221-1/24,"yyyy-MM-DD hh:mm:ss")&amp;"-0600',mode:absolute,to:'"&amp;TEXT(I221+1/24,"yyyy-MM-DD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221&amp;"%22')),sort:!(Time,asc))"</f>
        <v>https://search-rtdc-monitor-bjffxe2xuh6vdkpspy63sjmuny.us-east-1.es.amazonaws.com/_plugin/kibana/#/discover/Steve-Slow-Train-Analysis-(2080s-and-2083s)?_g=(refreshInterval:(display:Off,section:0,value:0),time:(from:'2016-08-27 18:49:55-0600',mode:absolute,to:'2016-08-27 21:08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21" s="54" t="str">
        <f>IF(AA221&lt;IF(AG221="EC",23,5.65),"Y","N")</f>
        <v>Y</v>
      </c>
      <c r="X221" s="120" t="e">
        <f>VALUE(LEFT(AD221,4))-VALUE(LEFT(AD220,4))</f>
        <v>#VALUE!</v>
      </c>
      <c r="Y221" s="69">
        <f>RIGHT(D221,LEN(D221)-4)/10000</f>
        <v>2.3346</v>
      </c>
      <c r="Z221" s="69">
        <f>RIGHT(H221,LEN(H221)-4)/10000</f>
        <v>0.19470000000000001</v>
      </c>
      <c r="AA221" s="69">
        <f>ABS(Z221-Y221)</f>
        <v>2.1398999999999999</v>
      </c>
      <c r="AB221" s="66" t="e">
        <f>VLOOKUP(A221,Enforcements!$C$7:$J$21,8,0)</f>
        <v>#N/A</v>
      </c>
      <c r="AC221" s="62" t="e">
        <f>VLOOKUP(A221,Enforcements!$C$7:$E$21,3,0)</f>
        <v>#N/A</v>
      </c>
      <c r="AD221" s="63" t="str">
        <f>IF(LEN(A221)=6,"0"&amp;A221,A221)</f>
        <v>60-27</v>
      </c>
      <c r="AE221" s="99" t="str">
        <f>"aws s3 cp "&amp;s3_bucket&amp;"/RTDC"&amp;B221&amp;"/"&amp;TEXT(F221,"YYYY-MM-DD")&amp;"/ "&amp;search_path&amp;"\RTDC"&amp;B221&amp;"\"&amp;TEXT(F221,"YYYY-MM-DD")&amp;" --recursive &amp; """&amp;walkandungz&amp;""" "&amp;search_path&amp;"\RTDC"&amp;B221&amp;"\"&amp;TEXT(F221,"YYYY-MM-DD")
&amp;" &amp; "&amp;"aws s3 cp "&amp;s3_bucket&amp;"/RTDC"&amp;B221&amp;"/"&amp;TEXT(F221+1,"YYYY-MM-DD")&amp;"/ "&amp;search_path&amp;"\RTDC"&amp;B221&amp;"\"&amp;TEXT(F221+1,"YYYY-MM-DD")&amp;" --recursive &amp; """&amp;walkandungz&amp;""" "&amp;search_path&amp;"\RTDC"&amp;B221&amp;"\"&amp;TEXT(F221+1,"YYYY-MM-DD")</f>
        <v>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 &amp; aws s3 cp s3://rtdc.mdm.uploadarchive/RTDC4012/2016-08-28/ "%USERPROFILE%\AppData\Local\Temp\OnboardLogs"\RTDC4012\2016-08-28 --recursive &amp; "%USERPROFILE%\Documents\GitHub\mrs-test-scripts\Headless Mode &amp; Sideloading\WalkAndUnGZ.bat" "%USERPROFILE%\AppData\Local\Temp\OnboardLogs"\RTDC4012\2016-08-28</v>
      </c>
      <c r="AF221" s="96" t="str">
        <f>astrogrep_path&amp;" /spath="&amp;search_path&amp;" /stypes=""*"&amp;B221&amp;"*"&amp;TEXT(I221-utc_offset/24,"YYYYMMDD")&amp;"*"" /stext="" "&amp;TEXT(I221-utc_offset/24,"HH")&amp;search_regexp&amp;""" /e /r /s"</f>
        <v>"C:\Program Files (x86)\AstroGrep\AstroGrep.exe" /spath="%USERPROFILE%\AppData\Local\Temp\OnboardLogs" /stypes="*4012*20160828*" /stext=" 02:.+((SYSTEM_STATE.+slice.+state.+changed )|(ment ac)|(system.+state.+changed )|(\|lc)|(penalty)|(\[timeout)|(PRM\|1\|D)|(kpr)|(kdp))" /e /r /s</v>
      </c>
      <c r="AG221" s="1" t="str">
        <f>IFERROR(IF(VALUE(LEFT(AD221,2))&lt;=2,"EC",IF(OR(VALUE(LEFT(AD221,2))=8,VALUE(LEFT(AD221,2))=18),"NW","Other")),"Other")</f>
        <v>Other</v>
      </c>
      <c r="AH221" s="100" t="str">
        <f t="shared" si="86"/>
        <v>"%USERPROFILE%\Documents\GitHub\eaglep3\Utilities\RefineRTDCRunTimes.py" --tripid 60-27 --locoid 4012 --swversion DE.1.0.7.0 --startMP 300:23346 --initTime 2016-08-27T19:49:55 --startdatetime 2016-08-27T20:02:45 --delay 11 --endMP 204:1947 --enddatetime 2016-08-27T20:08:51 --enforcementcount 0 &gt;&gt;C:\Users\stu\Documents\GitHub\eaglep3-reporting\EC\2016-08-27-refined-times.txt</v>
      </c>
      <c r="AI221" s="149" t="str">
        <f t="shared" si="87"/>
        <v>echo {"issue":{"subject":"","project_id":79,"tracker_id":40,"status_id":1,"priority_id":2,"assigned_to_id":23,"start_date":"2016-08-27","description":"","custom_fields":[{"id":1,"name":"Subdivision","value":"Other"},{"id":4,"name":"Milepost","value":"2.1399"},{"id":17,"name":"Train ID","value":"60-27"},{"id":16,"name":"Locomotive ID","value":"4012"},{"id":130,"name":"Impact","value":""},{"id":150,"name":"Time of Event (Mountain Time)","value":"20:08:51"},{"id":151,"name":"Denver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667</v>
      </c>
      <c r="B222" s="7">
        <v>4012</v>
      </c>
      <c r="C222" s="24" t="s">
        <v>113</v>
      </c>
      <c r="D222" s="24" t="s">
        <v>360</v>
      </c>
      <c r="E222" s="15">
        <v>42609.826331018521</v>
      </c>
      <c r="F222" s="15">
        <v>42609.835243055553</v>
      </c>
      <c r="G222" s="7">
        <v>11</v>
      </c>
      <c r="H222" s="15" t="s">
        <v>668</v>
      </c>
      <c r="I222" s="15">
        <v>42609.839479166665</v>
      </c>
      <c r="J222" s="7">
        <v>0</v>
      </c>
      <c r="K222" s="132" t="str">
        <f>IF(ISEVEN(B222),(B222-1)&amp;"/"&amp;B222,B222&amp;"/"&amp;(B222+1))</f>
        <v>4011/4012</v>
      </c>
      <c r="L222" s="24" t="str">
        <f>VLOOKUP(A222,'Trips&amp;Operators'!$C$1:$E$10000,3,FALSE)</f>
        <v>YANAI</v>
      </c>
      <c r="M222" s="6">
        <f>I222-F222</f>
        <v>4.2361111118225381E-3</v>
      </c>
      <c r="N222" s="7">
        <f>24*60*SUM($M222:$M222)</f>
        <v>6.1000000010244548</v>
      </c>
      <c r="O222" s="7"/>
      <c r="P222" s="7"/>
      <c r="Q222" s="25"/>
      <c r="R222" s="25"/>
      <c r="S222" s="37">
        <f>SUM(U222:U222)/IF(AG222="EC",12,1)</f>
        <v>0</v>
      </c>
      <c r="T222" s="52" t="e">
        <f>IF(ISEVEN(LEFT(AD222,4)),"Southbound","NorthBound")</f>
        <v>#VALUE!</v>
      </c>
      <c r="U222" s="12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6" t="str">
        <f>"https://search-rtdc-monitor-bjffxe2xuh6vdkpspy63sjmuny.us-east-1.es.amazonaws.com/_plugin/kibana/#/discover/Steve-Slow-Train-Analysis-(2080s-and-2083s)?_g=(refreshInterval:(display:Off,section:0,value:0),time:(from:'"&amp;TEXT(E222-1/24,"yyyy-MM-DD hh:mm:ss")&amp;"-0600',mode:absolute,to:'"&amp;TEXT(I222+1/24,"yyyy-MM-DD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222&amp;"%22')),sort:!(Time,asc))"</f>
        <v>https://search-rtdc-monitor-bjffxe2xuh6vdkpspy63sjmuny.us-east-1.es.amazonaws.com/_plugin/kibana/#/discover/Steve-Slow-Train-Analysis-(2080s-and-2083s)?_g=(refreshInterval:(display:Off,section:0,value:0),time:(from:'2016-08-27 18:49:55-0600',mode:absolute,to:'2016-08-27 21:08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22" s="54" t="str">
        <f>IF(AA222&lt;IF(AG222="EC",23,5.65),"Y","N")</f>
        <v>Y</v>
      </c>
      <c r="X222" s="120" t="e">
        <f>VALUE(LEFT(AD222,4))-VALUE(LEFT(AD221,4))</f>
        <v>#VALUE!</v>
      </c>
      <c r="Y222" s="69">
        <f>RIGHT(D222,LEN(D222)-4)/10000</f>
        <v>2.3346</v>
      </c>
      <c r="Z222" s="69">
        <f>RIGHT(H222,LEN(H222)-4)/10000</f>
        <v>0.19470000000000001</v>
      </c>
      <c r="AA222" s="69">
        <f>ABS(Z222-Y222)</f>
        <v>2.1398999999999999</v>
      </c>
      <c r="AB222" s="66" t="e">
        <f>VLOOKUP(A222,Enforcements!$C$7:$J$21,8,0)</f>
        <v>#N/A</v>
      </c>
      <c r="AC222" s="62" t="e">
        <f>VLOOKUP(A222,Enforcements!$C$7:$E$21,3,0)</f>
        <v>#N/A</v>
      </c>
      <c r="AD222" s="63" t="str">
        <f>IF(LEN(A222)=6,"0"&amp;A222,A222)</f>
        <v>60-27</v>
      </c>
      <c r="AE222" s="99" t="str">
        <f>"aws s3 cp "&amp;s3_bucket&amp;"/RTDC"&amp;B222&amp;"/"&amp;TEXT(F222,"YYYY-MM-DD")&amp;"/ "&amp;search_path&amp;"\RTDC"&amp;B222&amp;"\"&amp;TEXT(F222,"YYYY-MM-DD")&amp;" --recursive &amp; """&amp;walkandungz&amp;""" "&amp;search_path&amp;"\RTDC"&amp;B222&amp;"\"&amp;TEXT(F222,"YYYY-MM-DD")
&amp;" &amp; "&amp;"aws s3 cp "&amp;s3_bucket&amp;"/RTDC"&amp;B222&amp;"/"&amp;TEXT(F222+1,"YYYY-MM-DD")&amp;"/ "&amp;search_path&amp;"\RTDC"&amp;B222&amp;"\"&amp;TEXT(F222+1,"YYYY-MM-DD")&amp;" --recursive &amp; """&amp;walkandungz&amp;""" "&amp;search_path&amp;"\RTDC"&amp;B222&amp;"\"&amp;TEXT(F222+1,"YYYY-MM-DD")</f>
        <v>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 &amp; aws s3 cp s3://rtdc.mdm.uploadarchive/RTDC4012/2016-08-28/ "%USERPROFILE%\AppData\Local\Temp\OnboardLogs"\RTDC4012\2016-08-28 --recursive &amp; "%USERPROFILE%\Documents\GitHub\mrs-test-scripts\Headless Mode &amp; Sideloading\WalkAndUnGZ.bat" "%USERPROFILE%\AppData\Local\Temp\OnboardLogs"\RTDC4012\2016-08-28</v>
      </c>
      <c r="AF222" s="96" t="str">
        <f>astrogrep_path&amp;" /spath="&amp;search_path&amp;" /stypes=""*"&amp;B222&amp;"*"&amp;TEXT(I222-utc_offset/24,"YYYYMMDD")&amp;"*"" /stext="" "&amp;TEXT(I222-utc_offset/24,"HH")&amp;search_regexp&amp;""" /e /r /s"</f>
        <v>"C:\Program Files (x86)\AstroGrep\AstroGrep.exe" /spath="%USERPROFILE%\AppData\Local\Temp\OnboardLogs" /stypes="*4012*20160828*" /stext=" 02:.+((SYSTEM_STATE.+slice.+state.+changed )|(ment ac)|(system.+state.+changed )|(\|lc)|(penalty)|(\[timeout)|(PRM\|1\|D)|(kpr)|(kdp))" /e /r /s</v>
      </c>
      <c r="AG222" s="1" t="str">
        <f>IFERROR(IF(VALUE(LEFT(AD222,2))&lt;=2,"EC",IF(OR(VALUE(LEFT(AD222,2))=8,VALUE(LEFT(AD222,2))=18),"NW","Other")),"Other")</f>
        <v>Other</v>
      </c>
      <c r="AH222" s="100" t="str">
        <f t="shared" si="86"/>
        <v>"%USERPROFILE%\Documents\GitHub\eaglep3\Utilities\RefineRTDCRunTimes.py" --tripid 60-27 --locoid 4012 --swversion DE.1.0.7.0 --startMP 300:23346 --initTime 2016-08-27T19:49:55 --startdatetime 2016-08-27T20:02:45 --delay 11 --endMP 204:1947 --enddatetime 2016-08-27T20:08:51 --enforcementcount 0 &gt;&gt;C:\Users\stu\Documents\GitHub\eaglep3-reporting\EC\2016-08-27-refined-times.txt</v>
      </c>
      <c r="AI222" s="149" t="str">
        <f t="shared" si="87"/>
        <v>echo {"issue":{"subject":"","project_id":79,"tracker_id":40,"status_id":1,"priority_id":2,"assigned_to_id":23,"start_date":"2016-08-27","description":"","custom_fields":[{"id":1,"name":"Subdivision","value":"Other"},{"id":4,"name":"Milepost","value":"2.1399"},{"id":17,"name":"Train ID","value":"60-27"},{"id":16,"name":"Locomotive ID","value":"4012"},{"id":130,"name":"Impact","value":""},{"id":150,"name":"Time of Event (Mountain Time)","value":"20:08:51"},{"id":151,"name":"Denver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669</v>
      </c>
      <c r="B223" s="7">
        <v>4038</v>
      </c>
      <c r="C223" s="24" t="s">
        <v>113</v>
      </c>
      <c r="D223" s="24" t="s">
        <v>438</v>
      </c>
      <c r="E223" s="15">
        <v>42609.594039351854</v>
      </c>
      <c r="F223" s="15">
        <v>25568.958333333332</v>
      </c>
      <c r="G223" s="7">
        <v>1</v>
      </c>
      <c r="H223" s="15" t="s">
        <v>670</v>
      </c>
      <c r="I223" s="15">
        <v>25568.958333333332</v>
      </c>
      <c r="J223" s="7">
        <v>0</v>
      </c>
      <c r="K223" s="132" t="str">
        <f>IF(ISEVEN(B223),(B223-1)&amp;"/"&amp;B223,B223&amp;"/"&amp;(B223+1))</f>
        <v>4037/4038</v>
      </c>
      <c r="L223" s="24" t="str">
        <f>VLOOKUP(A223,'Trips&amp;Operators'!$C$1:$E$10000,3,FALSE)</f>
        <v>YANAI</v>
      </c>
      <c r="M223" s="6">
        <f>I223-F223</f>
        <v>0</v>
      </c>
      <c r="N223" s="7">
        <f>24*60*SUM($M223:$M223)</f>
        <v>0</v>
      </c>
      <c r="O223" s="7"/>
      <c r="P223" s="7"/>
      <c r="Q223" s="25"/>
      <c r="R223" s="25"/>
      <c r="S223" s="37">
        <f>SUM(U223:U223)/IF(AG223="EC",12,1)</f>
        <v>0</v>
      </c>
      <c r="T223" s="52" t="e">
        <f>IF(ISEVEN(LEFT(AD223,4)),"Southbound","NorthBound")</f>
        <v>#VALUE!</v>
      </c>
      <c r="U223" s="12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6" t="str">
        <f>"https://search-rtdc-monitor-bjffxe2xuh6vdkpspy63sjmuny.us-east-1.es.amazonaws.com/_plugin/kibana/#/discover/Steve-Slow-Train-Analysis-(2080s-and-2083s)?_g=(refreshInterval:(display:Off,section:0,value:0),time:(from:'"&amp;TEXT(E223-1/24,"yyyy-MM-DD hh:mm:ss")&amp;"-0600',mode:absolute,to:'"&amp;TEXT(I223+1/24,"yyyy-MM-DD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223&amp;"%22')),sort:!(Time,asc))"</f>
        <v>https://search-rtdc-monitor-bjffxe2xuh6vdkpspy63sjmuny.us-east-1.es.amazonaws.com/_plugin/kibana/#/discover/Steve-Slow-Train-Analysis-(2080s-and-2083s)?_g=(refreshInterval:(display:Off,section:0,value:0),time:(from:'2016-08-27 13:15:25-0600',mode:absolute,to:'1970-01-01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23" s="54" t="str">
        <f>IF(AA223&lt;IF(AG223="EC",23,5.65),"Y","N")</f>
        <v>Y</v>
      </c>
      <c r="X223" s="120" t="e">
        <f>VALUE(LEFT(AD223,4))-VALUE(LEFT(AD222,4))</f>
        <v>#VALUE!</v>
      </c>
      <c r="Y223" s="69">
        <f>RIGHT(D223,LEN(D223)-4)/10000</f>
        <v>0.1515</v>
      </c>
      <c r="Z223" s="69">
        <f>RIGHT(H223,LEN(H223)-4)/10000</f>
        <v>0.15129999999999999</v>
      </c>
      <c r="AA223" s="69">
        <f>ABS(Z223-Y223)</f>
        <v>2.0000000000000573E-4</v>
      </c>
      <c r="AB223" s="66" t="e">
        <f>VLOOKUP(A223,Enforcements!$C$7:$J$21,8,0)</f>
        <v>#N/A</v>
      </c>
      <c r="AC223" s="62" t="e">
        <f>VLOOKUP(A223,Enforcements!$C$7:$E$21,3,0)</f>
        <v>#N/A</v>
      </c>
      <c r="AD223" s="63" t="str">
        <f>IF(LEN(A223)=6,"0"&amp;A223,A223)</f>
        <v>61-27</v>
      </c>
      <c r="AE223" s="99" t="str">
        <f>"aws s3 cp "&amp;s3_bucket&amp;"/RTDC"&amp;B223&amp;"/"&amp;TEXT(F223,"YYYY-MM-DD")&amp;"/ "&amp;search_path&amp;"\RTDC"&amp;B223&amp;"\"&amp;TEXT(F223,"YYYY-MM-DD")&amp;" --recursive &amp; """&amp;walkandungz&amp;""" "&amp;search_path&amp;"\RTDC"&amp;B223&amp;"\"&amp;TEXT(F223,"YYYY-MM-DD")
&amp;" &amp; "&amp;"aws s3 cp "&amp;s3_bucket&amp;"/RTDC"&amp;B223&amp;"/"&amp;TEXT(F223+1,"YYYY-MM-DD")&amp;"/ "&amp;search_path&amp;"\RTDC"&amp;B223&amp;"\"&amp;TEXT(F223+1,"YYYY-MM-DD")&amp;" --recursive &amp; """&amp;walkandungz&amp;""" "&amp;search_path&amp;"\RTDC"&amp;B223&amp;"\"&amp;TEXT(F223+1,"YYYY-MM-DD")</f>
        <v>aws s3 cp s3://rtdc.mdm.uploadarchive/RTDC4038/1969-12-31/ "%USERPROFILE%\AppData\Local\Temp\OnboardLogs"\RTDC4038\1969-12-31 --recursive &amp; "%USERPROFILE%\Documents\GitHub\mrs-test-scripts\Headless Mode &amp; Sideloading\WalkAndUnGZ.bat" "%USERPROFILE%\AppData\Local\Temp\OnboardLogs"\RTDC4038\1969-12-31 &amp; aws s3 cp s3://rtdc.mdm.uploadarchive/RTDC4038/1970-01-01/ "%USERPROFILE%\AppData\Local\Temp\OnboardLogs"\RTDC4038\1970-01-01 --recursive &amp; "%USERPROFILE%\Documents\GitHub\mrs-test-scripts\Headless Mode &amp; Sideloading\WalkAndUnGZ.bat" "%USERPROFILE%\AppData\Local\Temp\OnboardLogs"\RTDC4038\1970-01-01</v>
      </c>
      <c r="AF223" s="96" t="str">
        <f>astrogrep_path&amp;" /spath="&amp;search_path&amp;" /stypes=""*"&amp;B223&amp;"*"&amp;TEXT(I223-utc_offset/24,"YYYYMMDD")&amp;"*"" /stext="" "&amp;TEXT(I223-utc_offset/24,"HH")&amp;search_regexp&amp;""" /e /r /s"</f>
        <v>"C:\Program Files (x86)\AstroGrep\AstroGrep.exe" /spath="%USERPROFILE%\AppData\Local\Temp\OnboardLogs" /stypes="*4038*19700101*" /stext=" 05:.+((SYSTEM_STATE.+slice.+state.+changed )|(ment ac)|(system.+state.+changed )|(\|lc)|(penalty)|(\[timeout)|(PRM\|1\|D)|(kpr)|(kdp))" /e /r /s</v>
      </c>
      <c r="AG223" s="1" t="str">
        <f>IFERROR(IF(VALUE(LEFT(AD223,2))&lt;=2,"EC",IF(OR(VALUE(LEFT(AD223,2))=8,VALUE(LEFT(AD223,2))=18),"NW","Other")),"Other")</f>
        <v>Other</v>
      </c>
      <c r="AH223" s="100" t="str">
        <f t="shared" si="86"/>
        <v>"%USERPROFILE%\Documents\GitHub\eaglep3\Utilities\RefineRTDCRunTimes.py" --tripid 61-27 --locoid 4038 --swversion DE.1.0.7.0 --startMP 204:1515 --initTime 2016-08-27T14:15:25 --startdatetime 1969-12-31T23:00:00 --delay 1 --endMP 204:1513 --enddatetime 1969-12-31T23:00:00 --enforcementcount 0 &gt;&gt;C:\Users\stu\Documents\GitHub\eaglep3-reporting\EC\2016-08-27-refined-times.txt</v>
      </c>
      <c r="AI223" s="149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0.000200000000000006"},{"id":17,"name":"Train ID","value":"61-27"},{"id":16,"name":"Locomotive ID","value":"4038"},{"id":130,"name":"Impact","value":""},{"id":150,"name":"Time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669</v>
      </c>
      <c r="B224" s="7">
        <v>4038</v>
      </c>
      <c r="C224" s="24" t="s">
        <v>113</v>
      </c>
      <c r="D224" s="24" t="s">
        <v>438</v>
      </c>
      <c r="E224" s="15">
        <v>42609.594039351854</v>
      </c>
      <c r="F224" s="15">
        <v>25568.958333333332</v>
      </c>
      <c r="G224" s="7">
        <v>1</v>
      </c>
      <c r="H224" s="15" t="s">
        <v>670</v>
      </c>
      <c r="I224" s="15">
        <v>25568.958333333332</v>
      </c>
      <c r="J224" s="7">
        <v>0</v>
      </c>
      <c r="K224" s="132" t="str">
        <f>IF(ISEVEN(B224),(B224-1)&amp;"/"&amp;B224,B224&amp;"/"&amp;(B224+1))</f>
        <v>4037/4038</v>
      </c>
      <c r="L224" s="24" t="str">
        <f>VLOOKUP(A224,'Trips&amp;Operators'!$C$1:$E$10000,3,FALSE)</f>
        <v>YANAI</v>
      </c>
      <c r="M224" s="6">
        <f>I224-F224</f>
        <v>0</v>
      </c>
      <c r="N224" s="7">
        <f>24*60*SUM($M224:$M224)</f>
        <v>0</v>
      </c>
      <c r="O224" s="7"/>
      <c r="P224" s="7"/>
      <c r="Q224" s="25"/>
      <c r="R224" s="25"/>
      <c r="S224" s="37">
        <f>SUM(U224:U224)/IF(AG224="EC",12,1)</f>
        <v>0</v>
      </c>
      <c r="T224" s="52" t="e">
        <f>IF(ISEVEN(LEFT(AD224,4)),"Southbound","NorthBound")</f>
        <v>#VALUE!</v>
      </c>
      <c r="U224" s="12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6" t="str">
        <f>"https://search-rtdc-monitor-bjffxe2xuh6vdkpspy63sjmuny.us-east-1.es.amazonaws.com/_plugin/kibana/#/discover/Steve-Slow-Train-Analysis-(2080s-and-2083s)?_g=(refreshInterval:(display:Off,section:0,value:0),time:(from:'"&amp;TEXT(E224-1/24,"yyyy-MM-DD hh:mm:ss")&amp;"-0600',mode:absolute,to:'"&amp;TEXT(I224+1/24,"yyyy-MM-DD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224&amp;"%22')),sort:!(Time,asc))"</f>
        <v>https://search-rtdc-monitor-bjffxe2xuh6vdkpspy63sjmuny.us-east-1.es.amazonaws.com/_plugin/kibana/#/discover/Steve-Slow-Train-Analysis-(2080s-and-2083s)?_g=(refreshInterval:(display:Off,section:0,value:0),time:(from:'2016-08-27 13:15:25-0600',mode:absolute,to:'1970-01-01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24" s="54" t="str">
        <f>IF(AA224&lt;IF(AG224="EC",23,5.65),"Y","N")</f>
        <v>Y</v>
      </c>
      <c r="X224" s="120" t="e">
        <f>VALUE(LEFT(AD224,4))-VALUE(LEFT(AD223,4))</f>
        <v>#VALUE!</v>
      </c>
      <c r="Y224" s="69">
        <f>RIGHT(D224,LEN(D224)-4)/10000</f>
        <v>0.1515</v>
      </c>
      <c r="Z224" s="69">
        <f>RIGHT(H224,LEN(H224)-4)/10000</f>
        <v>0.15129999999999999</v>
      </c>
      <c r="AA224" s="69">
        <f>ABS(Z224-Y224)</f>
        <v>2.0000000000000573E-4</v>
      </c>
      <c r="AB224" s="66" t="e">
        <f>VLOOKUP(A224,Enforcements!$C$7:$J$21,8,0)</f>
        <v>#N/A</v>
      </c>
      <c r="AC224" s="62" t="e">
        <f>VLOOKUP(A224,Enforcements!$C$7:$E$21,3,0)</f>
        <v>#N/A</v>
      </c>
      <c r="AD224" s="63" t="str">
        <f>IF(LEN(A224)=6,"0"&amp;A224,A224)</f>
        <v>61-27</v>
      </c>
      <c r="AE224" s="99" t="str">
        <f>"aws s3 cp "&amp;s3_bucket&amp;"/RTDC"&amp;B224&amp;"/"&amp;TEXT(F224,"YYYY-MM-DD")&amp;"/ "&amp;search_path&amp;"\RTDC"&amp;B224&amp;"\"&amp;TEXT(F224,"YYYY-MM-DD")&amp;" --recursive &amp; """&amp;walkandungz&amp;""" "&amp;search_path&amp;"\RTDC"&amp;B224&amp;"\"&amp;TEXT(F224,"YYYY-MM-DD")
&amp;" &amp; "&amp;"aws s3 cp "&amp;s3_bucket&amp;"/RTDC"&amp;B224&amp;"/"&amp;TEXT(F224+1,"YYYY-MM-DD")&amp;"/ "&amp;search_path&amp;"\RTDC"&amp;B224&amp;"\"&amp;TEXT(F224+1,"YYYY-MM-DD")&amp;" --recursive &amp; """&amp;walkandungz&amp;""" "&amp;search_path&amp;"\RTDC"&amp;B224&amp;"\"&amp;TEXT(F224+1,"YYYY-MM-DD")</f>
        <v>aws s3 cp s3://rtdc.mdm.uploadarchive/RTDC4038/1969-12-31/ "%USERPROFILE%\AppData\Local\Temp\OnboardLogs"\RTDC4038\1969-12-31 --recursive &amp; "%USERPROFILE%\Documents\GitHub\mrs-test-scripts\Headless Mode &amp; Sideloading\WalkAndUnGZ.bat" "%USERPROFILE%\AppData\Local\Temp\OnboardLogs"\RTDC4038\1969-12-31 &amp; aws s3 cp s3://rtdc.mdm.uploadarchive/RTDC4038/1970-01-01/ "%USERPROFILE%\AppData\Local\Temp\OnboardLogs"\RTDC4038\1970-01-01 --recursive &amp; "%USERPROFILE%\Documents\GitHub\mrs-test-scripts\Headless Mode &amp; Sideloading\WalkAndUnGZ.bat" "%USERPROFILE%\AppData\Local\Temp\OnboardLogs"\RTDC4038\1970-01-01</v>
      </c>
      <c r="AF224" s="96" t="str">
        <f>astrogrep_path&amp;" /spath="&amp;search_path&amp;" /stypes=""*"&amp;B224&amp;"*"&amp;TEXT(I224-utc_offset/24,"YYYYMMDD")&amp;"*"" /stext="" "&amp;TEXT(I224-utc_offset/24,"HH")&amp;search_regexp&amp;""" /e /r /s"</f>
        <v>"C:\Program Files (x86)\AstroGrep\AstroGrep.exe" /spath="%USERPROFILE%\AppData\Local\Temp\OnboardLogs" /stypes="*4038*19700101*" /stext=" 05:.+((SYSTEM_STATE.+slice.+state.+changed )|(ment ac)|(system.+state.+changed )|(\|lc)|(penalty)|(\[timeout)|(PRM\|1\|D)|(kpr)|(kdp))" /e /r /s</v>
      </c>
      <c r="AG224" s="1" t="str">
        <f>IFERROR(IF(VALUE(LEFT(AD224,2))&lt;=2,"EC",IF(OR(VALUE(LEFT(AD224,2))=8,VALUE(LEFT(AD224,2))=18),"NW","Other")),"Other")</f>
        <v>Other</v>
      </c>
      <c r="AH224" s="100" t="str">
        <f t="shared" si="86"/>
        <v>"%USERPROFILE%\Documents\GitHub\eaglep3\Utilities\RefineRTDCRunTimes.py" --tripid 61-27 --locoid 4038 --swversion DE.1.0.7.0 --startMP 204:1515 --initTime 2016-08-27T14:15:25 --startdatetime 1969-12-31T23:00:00 --delay 1 --endMP 204:1513 --enddatetime 1969-12-31T23:00:00 --enforcementcount 0 &gt;&gt;C:\Users\stu\Documents\GitHub\eaglep3-reporting\EC\2016-08-27-refined-times.txt</v>
      </c>
      <c r="AI224" s="149" t="str">
        <f t="shared" si="87"/>
        <v>echo {"issue":{"subject":"","project_id":79,"tracker_id":40,"status_id":1,"priority_id":2,"assigned_to_id":23,"start_date":"1969-12-31","description":"","custom_fields":[{"id":1,"name":"Subdivision","value":"Other"},{"id":4,"name":"Milepost","value":"0.000200000000000006"},{"id":17,"name":"Train ID","value":"61-27"},{"id":16,"name":"Locomotive ID","value":"4038"},{"id":130,"name":"Impact","value":""},{"id":150,"name":"Time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 t="s">
        <v>308</v>
      </c>
      <c r="B225" s="7">
        <v>4043</v>
      </c>
      <c r="C225" s="24" t="s">
        <v>113</v>
      </c>
      <c r="D225" s="24" t="s">
        <v>360</v>
      </c>
      <c r="E225" s="15">
        <v>42608.739930555559</v>
      </c>
      <c r="F225" s="15">
        <v>42608.743576388886</v>
      </c>
      <c r="G225" s="7">
        <v>5</v>
      </c>
      <c r="H225" s="15" t="s">
        <v>361</v>
      </c>
      <c r="I225" s="15">
        <v>42608.751886574071</v>
      </c>
      <c r="J225" s="7">
        <v>0</v>
      </c>
      <c r="K225" s="132" t="str">
        <f>IF(ISEVEN(B225),(B225-1)&amp;"/"&amp;B225,B225&amp;"/"&amp;(B225+1))</f>
        <v>4043/4044</v>
      </c>
      <c r="L225" s="24" t="e">
        <f>VLOOKUP(A225,'Trips&amp;Operators'!$C$1:$E$10000,3,FALSE)</f>
        <v>#N/A</v>
      </c>
      <c r="M225" s="6">
        <f>I225-F225</f>
        <v>8.3101851851097308E-3</v>
      </c>
      <c r="N225" s="7">
        <f>24*60*SUM($M225:$M225)</f>
        <v>11.966666666558012</v>
      </c>
      <c r="O225" s="7"/>
      <c r="P225" s="7"/>
      <c r="Q225" s="25"/>
      <c r="R225" s="25"/>
      <c r="S225" s="37">
        <f>SUM(U225:U225)/IF(AG225="EC",12,1)</f>
        <v>0</v>
      </c>
      <c r="T225" s="52" t="e">
        <f>IF(ISEVEN(LEFT(AD225,4)),"Southbound","NorthBound")</f>
        <v>#VALUE!</v>
      </c>
      <c r="U225" s="12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06" t="str">
        <f>"https://search-rtdc-monitor-bjffxe2xuh6vdkpspy63sjmuny.us-east-1.es.amazonaws.com/_plugin/kibana/#/discover/Steve-Slow-Train-Analysis-(2080s-and-2083s)?_g=(refreshInterval:(display:Off,section:0,value:0),time:(from:'"&amp;TEXT(E225-1/24,"yyyy-MM-DD hh:mm:ss")&amp;"-0600',mode:absolute,to:'"&amp;TEXT(I225+1/24,"yyyy-MM-DD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225&amp;"%22')),sort:!(Time,asc))"</f>
        <v>https://search-rtdc-monitor-bjffxe2xuh6vdkpspy63sjmuny.us-east-1.es.amazonaws.com/_plugin/kibana/#/discover/Steve-Slow-Train-Analysis-(2080s-and-2083s)?_g=(refreshInterval:(display:Off,section:0,value:0),time:(from:'2016-08-26 16:45:30-0600',mode:absolute,to:'2016-08-26 19:02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225" s="54" t="str">
        <f>IF(AA225&lt;IF(AG225="EC",23,5.65),"Y","N")</f>
        <v>Y</v>
      </c>
      <c r="X225" s="120" t="e">
        <f>VALUE(LEFT(AD225,4))-VALUE(LEFT(AD224,4))</f>
        <v>#VALUE!</v>
      </c>
      <c r="Y225" s="69">
        <f>RIGHT(D225,LEN(D225)-4)/10000</f>
        <v>2.3346</v>
      </c>
      <c r="Z225" s="69">
        <f>RIGHT(H225,LEN(H225)-4)/10000</f>
        <v>0.09</v>
      </c>
      <c r="AA225" s="69">
        <f>ABS(Z225-Y225)</f>
        <v>2.2446000000000002</v>
      </c>
      <c r="AB225" s="66" t="e">
        <f>VLOOKUP(A225,Enforcements!$C$7:$J$21,8,0)</f>
        <v>#N/A</v>
      </c>
      <c r="AC225" s="62" t="e">
        <f>VLOOKUP(A225,Enforcements!$C$7:$E$21,3,0)</f>
        <v>#N/A</v>
      </c>
      <c r="AD225" s="63" t="str">
        <f>IF(LEN(A225)=6,"0"&amp;A225,A225)</f>
        <v>62-26</v>
      </c>
      <c r="AE225" s="99" t="str">
        <f>"aws s3 cp "&amp;s3_bucket&amp;"/RTDC"&amp;B225&amp;"/"&amp;TEXT(F225,"YYYY-MM-DD")&amp;"/ "&amp;search_path&amp;"\RTDC"&amp;B225&amp;"\"&amp;TEXT(F225,"YYYY-MM-DD")&amp;" --recursive &amp; """&amp;walkandungz&amp;""" "&amp;search_path&amp;"\RTDC"&amp;B225&amp;"\"&amp;TEXT(F225,"YYYY-MM-DD")
&amp;" &amp; "&amp;"aws s3 cp "&amp;s3_bucket&amp;"/RTDC"&amp;B225&amp;"/"&amp;TEXT(F225+1,"YYYY-MM-DD")&amp;"/ "&amp;search_path&amp;"\RTDC"&amp;B225&amp;"\"&amp;TEXT(F225+1,"YYYY-MM-DD")&amp;" --recursive &amp; """&amp;walkandungz&amp;""" "&amp;search_path&amp;"\RTDC"&amp;B225&amp;"\"&amp;TEXT(F225+1,"YYYY-MM-DD")</f>
        <v>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 &amp; aws s3 cp s3://rtdc.mdm.uploadarchive/RTDC4043/2016-08-27/ "%USERPROFILE%\AppData\Local\Temp\OnboardLogs"\RTDC4043\2016-08-27 --recursive &amp; "%USERPROFILE%\Documents\GitHub\mrs-test-scripts\Headless Mode &amp; Sideloading\WalkAndUnGZ.bat" "%USERPROFILE%\AppData\Local\Temp\OnboardLogs"\RTDC4043\2016-08-27</v>
      </c>
      <c r="AF225" s="96" t="str">
        <f>astrogrep_path&amp;" /spath="&amp;search_path&amp;" /stypes=""*"&amp;B225&amp;"*"&amp;TEXT(I225-utc_offset/24,"YYYYMMDD")&amp;"*"" /stext="" "&amp;TEXT(I225-utc_offset/24,"HH")&amp;search_regexp&amp;""" /e /r /s"</f>
        <v>"C:\Program Files (x86)\AstroGrep\AstroGrep.exe" /spath="%USERPROFILE%\AppData\Local\Temp\OnboardLogs" /stypes="*4043*20160827*" /stext=" 00:.+((SYSTEM_STATE.+slice.+state.+changed )|(ment ac)|(system.+state.+changed )|(\|lc)|(penalty)|(\[timeout)|(PRM\|1\|D)|(kpr)|(kdp))" /e /r /s</v>
      </c>
      <c r="AG225" s="1" t="str">
        <f>IFERROR(IF(VALUE(LEFT(AD225,2))&lt;=2,"EC",IF(OR(VALUE(LEFT(AD225,2))=8,VALUE(LEFT(AD225,2))=18),"NW","Other")),"Other")</f>
        <v>Other</v>
      </c>
      <c r="AH225" s="100" t="str">
        <f t="shared" si="86"/>
        <v>"%USERPROFILE%\Documents\GitHub\eaglep3\Utilities\RefineRTDCRunTimes.py" --tripid 62-26 --locoid 4043 --swversion DE.1.0.7.0 --startMP 300:23346 --initTime 2016-08-26T17:45:30 --startdatetime 2016-08-26T17:50:45 --delay 5 --endMP 204:900 --enddatetime 2016-08-26T18:02:43 --enforcementcount 0 &gt;&gt;C:\Users\stu\Documents\GitHub\eaglep3-reporting\EC\2016-08-27-refined-times.txt</v>
      </c>
      <c r="AI225" s="149" t="str">
        <f t="shared" si="87"/>
        <v>echo {"issue":{"subject":"","project_id":79,"tracker_id":40,"status_id":1,"priority_id":2,"assigned_to_id":23,"start_date":"2016-08-26","description":"","custom_fields":[{"id":1,"name":"Subdivision","value":"Other"},{"id":4,"name":"Milepost","value":"2.2446"},{"id":17,"name":"Train ID","value":"62-26"},{"id":16,"name":"Locomotive ID","value":"4043"},{"id":130,"name":"Impact","value":""},{"id":150,"name":"Time of Event (Mountain Time)","value":"18:02:43"},{"id":151,"name":"Denver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5"/>
      <c r="AK225" s="55"/>
      <c r="AL225" s="55"/>
    </row>
    <row r="226" spans="1:38" x14ac:dyDescent="0.25">
      <c r="A226" s="39" t="s">
        <v>671</v>
      </c>
      <c r="B226" s="7">
        <v>4025</v>
      </c>
      <c r="C226" s="24" t="s">
        <v>113</v>
      </c>
      <c r="D226" s="24" t="s">
        <v>672</v>
      </c>
      <c r="E226" s="15">
        <v>42610.053414351853</v>
      </c>
      <c r="F226" s="15">
        <v>42610.060208333336</v>
      </c>
      <c r="G226" s="7">
        <v>1</v>
      </c>
      <c r="H226" s="15" t="s">
        <v>673</v>
      </c>
      <c r="I226" s="15">
        <v>42610.085497685184</v>
      </c>
      <c r="J226" s="7">
        <v>0</v>
      </c>
      <c r="K226" s="132" t="str">
        <f>IF(ISEVEN(B226),(B226-1)&amp;"/"&amp;B226,B226&amp;"/"&amp;(B226+1))</f>
        <v>4025/4026</v>
      </c>
      <c r="L226" s="24" t="str">
        <f>VLOOKUP(A226,'Trips&amp;Operators'!$C$1:$E$10000,3,FALSE)</f>
        <v>GOLIGHTLY</v>
      </c>
      <c r="M226" s="6">
        <f>I226-F226</f>
        <v>2.5289351848186925E-2</v>
      </c>
      <c r="N226" s="7">
        <f>24*60*SUM($M226:$M226)</f>
        <v>36.416666661389172</v>
      </c>
      <c r="O226" s="7"/>
      <c r="P226" s="7"/>
      <c r="Q226" s="25"/>
      <c r="R226" s="25"/>
      <c r="S226" s="37">
        <f>SUM(U226:U226)/IF(AG226="EC",12,1)</f>
        <v>0</v>
      </c>
      <c r="T226" s="52" t="e">
        <f>IF(ISEVEN(LEFT(AD226,4)),"Southbound","NorthBound")</f>
        <v>#VALUE!</v>
      </c>
      <c r="U226" s="12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06" t="str">
        <f>"https://search-rtdc-monitor-bjffxe2xuh6vdkpspy63sjmuny.us-east-1.es.amazonaws.com/_plugin/kibana/#/discover/Steve-Slow-Train-Analysis-(2080s-and-2083s)?_g=(refreshInterval:(display:Off,section:0,value:0),time:(from:'"&amp;TEXT(E226-1/24,"yyyy-MM-DD hh:mm:ss")&amp;"-0600',mode:absolute,to:'"&amp;TEXT(I226+1/24,"yyyy-MM-DD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226&amp;"%22')),sort:!(Time,asc))"</f>
        <v>https://search-rtdc-monitor-bjffxe2xuh6vdkpspy63sjmuny.us-east-1.es.amazonaws.com/_plugin/kibana/#/discover/Steve-Slow-Train-Analysis-(2080s-and-2083s)?_g=(refreshInterval:(display:Off,section:0,value:0),time:(from:'2016-08-28 00:16:55-0600',mode:absolute,to:'2016-08-28 03:03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26" s="54" t="str">
        <f>IF(AA226&lt;IF(AG226="EC",23,5.65),"Y","N")</f>
        <v>N</v>
      </c>
      <c r="X226" s="120" t="e">
        <f>VALUE(LEFT(AD226,4))-VALUE(LEFT(AD225,4))</f>
        <v>#VALUE!</v>
      </c>
      <c r="Y226" s="69">
        <f>RIGHT(D226,LEN(D226)-4)/10000</f>
        <v>0.14879999999999999</v>
      </c>
      <c r="Z226" s="69">
        <f>RIGHT(H226,LEN(H226)-4)/10000</f>
        <v>23.328800000000001</v>
      </c>
      <c r="AA226" s="69">
        <f>ABS(Z226-Y226)</f>
        <v>23.18</v>
      </c>
      <c r="AB226" s="66" t="e">
        <f>VLOOKUP(A226,Enforcements!$C$7:$J$21,8,0)</f>
        <v>#N/A</v>
      </c>
      <c r="AC226" s="62" t="e">
        <f>VLOOKUP(A226,Enforcements!$C$7:$E$21,3,0)</f>
        <v>#N/A</v>
      </c>
      <c r="AD226" s="63" t="str">
        <f>IF(LEN(A226)=6,"0"&amp;A226,A226)</f>
        <v>63-27</v>
      </c>
      <c r="AE226" s="99" t="str">
        <f>"aws s3 cp "&amp;s3_bucket&amp;"/RTDC"&amp;B226&amp;"/"&amp;TEXT(F226,"YYYY-MM-DD")&amp;"/ "&amp;search_path&amp;"\RTDC"&amp;B226&amp;"\"&amp;TEXT(F226,"YYYY-MM-DD")&amp;" --recursive &amp; """&amp;walkandungz&amp;""" "&amp;search_path&amp;"\RTDC"&amp;B226&amp;"\"&amp;TEXT(F226,"YYYY-MM-DD")
&amp;" &amp; "&amp;"aws s3 cp "&amp;s3_bucket&amp;"/RTDC"&amp;B226&amp;"/"&amp;TEXT(F226+1,"YYYY-MM-DD")&amp;"/ "&amp;search_path&amp;"\RTDC"&amp;B226&amp;"\"&amp;TEXT(F226+1,"YYYY-MM-DD")&amp;" --recursive &amp; """&amp;walkandungz&amp;""" "&amp;search_path&amp;"\RTDC"&amp;B226&amp;"\"&amp;TEXT(F226+1,"YYYY-MM-DD")</f>
        <v>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 &amp; aws s3 cp s3://rtdc.mdm.uploadarchive/RTDC4025/2016-08-29/ "%USERPROFILE%\AppData\Local\Temp\OnboardLogs"\RTDC4025\2016-08-29 --recursive &amp; "%USERPROFILE%\Documents\GitHub\mrs-test-scripts\Headless Mode &amp; Sideloading\WalkAndUnGZ.bat" "%USERPROFILE%\AppData\Local\Temp\OnboardLogs"\RTDC4025\2016-08-29</v>
      </c>
      <c r="AF226" s="96" t="str">
        <f>astrogrep_path&amp;" /spath="&amp;search_path&amp;" /stypes=""*"&amp;B226&amp;"*"&amp;TEXT(I226-utc_offset/24,"YYYYMMDD")&amp;"*"" /stext="" "&amp;TEXT(I226-utc_offset/24,"HH")&amp;search_regexp&amp;""" /e /r /s"</f>
        <v>"C:\Program Files (x86)\AstroGrep\AstroGrep.exe" /spath="%USERPROFILE%\AppData\Local\Temp\OnboardLogs" /stypes="*4025*20160828*" /stext=" 08:.+((SYSTEM_STATE.+slice.+state.+changed )|(ment ac)|(system.+state.+changed )|(\|lc)|(penalty)|(\[timeout)|(PRM\|1\|D)|(kpr)|(kdp))" /e /r /s</v>
      </c>
      <c r="AG226" s="1" t="str">
        <f>IFERROR(IF(VALUE(LEFT(AD226,2))&lt;=2,"EC",IF(OR(VALUE(LEFT(AD226,2))=8,VALUE(LEFT(AD226,2))=18),"NW","Other")),"Other")</f>
        <v>Other</v>
      </c>
      <c r="AH226" s="100" t="str">
        <f t="shared" si="86"/>
        <v>"%USERPROFILE%\Documents\GitHub\eaglep3\Utilities\RefineRTDCRunTimes.py" --tripid 63-27 --locoid 4025 --swversion DE.1.0.7.0 --startMP 204:1488 --initTime 2016-08-28T01:16:55 --startdatetime 2016-08-28T01:26:42 --delay 1 --endMP 204:233288 --enddatetime 2016-08-28T02:03:07 --enforcementcount 0 &gt;&gt;C:\Users\stu\Documents\GitHub\eaglep3-reporting\EC\2016-08-27-refined-times.txt</v>
      </c>
      <c r="AI226" s="149" t="str">
        <f t="shared" si="87"/>
        <v>echo {"issue":{"subject":"","project_id":79,"tracker_id":40,"status_id":1,"priority_id":2,"assigned_to_id":23,"start_date":"2016-08-28","description":"","custom_fields":[{"id":1,"name":"Subdivision","value":"Other"},{"id":4,"name":"Milepost","value":"23.18"},{"id":17,"name":"Train ID","value":"63-27"},{"id":16,"name":"Locomotive ID","value":"4025"},{"id":130,"name":"Impact","value":""},{"id":150,"name":"Time of Event (Mountain Time)","value":"02:03:07"},{"id":151,"name":"Denver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5"/>
      <c r="AK226" s="55"/>
      <c r="AL226" s="55"/>
    </row>
    <row r="227" spans="1:38" x14ac:dyDescent="0.25">
      <c r="A227" s="39" t="s">
        <v>671</v>
      </c>
      <c r="B227" s="7">
        <v>4025</v>
      </c>
      <c r="C227" s="24" t="s">
        <v>113</v>
      </c>
      <c r="D227" s="24" t="s">
        <v>672</v>
      </c>
      <c r="E227" s="15">
        <v>42610.053414351853</v>
      </c>
      <c r="F227" s="15">
        <v>42610.060208333336</v>
      </c>
      <c r="G227" s="7">
        <v>1</v>
      </c>
      <c r="H227" s="15" t="s">
        <v>673</v>
      </c>
      <c r="I227" s="15">
        <v>42610.085497685184</v>
      </c>
      <c r="J227" s="7">
        <v>0</v>
      </c>
      <c r="K227" s="132" t="str">
        <f>IF(ISEVEN(B227),(B227-1)&amp;"/"&amp;B227,B227&amp;"/"&amp;(B227+1))</f>
        <v>4025/4026</v>
      </c>
      <c r="L227" s="24" t="str">
        <f>VLOOKUP(A227,'Trips&amp;Operators'!$C$1:$E$10000,3,FALSE)</f>
        <v>GOLIGHTLY</v>
      </c>
      <c r="M227" s="6">
        <f>I227-F227</f>
        <v>2.5289351848186925E-2</v>
      </c>
      <c r="N227" s="7">
        <f>24*60*SUM($M227:$M227)</f>
        <v>36.416666661389172</v>
      </c>
      <c r="O227" s="7"/>
      <c r="P227" s="7"/>
      <c r="Q227" s="25"/>
      <c r="R227" s="25"/>
      <c r="S227" s="37">
        <f>SUM(U227:U227)/IF(AG227="EC",12,1)</f>
        <v>0</v>
      </c>
      <c r="T227" s="52" t="e">
        <f>IF(ISEVEN(LEFT(AD227,4)),"Southbound","NorthBound")</f>
        <v>#VALUE!</v>
      </c>
      <c r="U227" s="12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06" t="str">
        <f>"https://search-rtdc-monitor-bjffxe2xuh6vdkpspy63sjmuny.us-east-1.es.amazonaws.com/_plugin/kibana/#/discover/Steve-Slow-Train-Analysis-(2080s-and-2083s)?_g=(refreshInterval:(display:Off,section:0,value:0),time:(from:'"&amp;TEXT(E227-1/24,"yyyy-MM-DD hh:mm:ss")&amp;"-0600',mode:absolute,to:'"&amp;TEXT(I227+1/24,"yyyy-MM-DD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227&amp;"%22')),sort:!(Time,asc))"</f>
        <v>https://search-rtdc-monitor-bjffxe2xuh6vdkpspy63sjmuny.us-east-1.es.amazonaws.com/_plugin/kibana/#/discover/Steve-Slow-Train-Analysis-(2080s-and-2083s)?_g=(refreshInterval:(display:Off,section:0,value:0),time:(from:'2016-08-28 00:16:55-0600',mode:absolute,to:'2016-08-28 03:03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27" s="54" t="str">
        <f>IF(AA227&lt;IF(AG227="EC",23,5.65),"Y","N")</f>
        <v>N</v>
      </c>
      <c r="X227" s="120" t="e">
        <f>VALUE(LEFT(AD227,4))-VALUE(LEFT(AD226,4))</f>
        <v>#VALUE!</v>
      </c>
      <c r="Y227" s="69">
        <f>RIGHT(D227,LEN(D227)-4)/10000</f>
        <v>0.14879999999999999</v>
      </c>
      <c r="Z227" s="69">
        <f>RIGHT(H227,LEN(H227)-4)/10000</f>
        <v>23.328800000000001</v>
      </c>
      <c r="AA227" s="69">
        <f>ABS(Z227-Y227)</f>
        <v>23.18</v>
      </c>
      <c r="AB227" s="66" t="e">
        <f>VLOOKUP(A227,Enforcements!$C$7:$J$21,8,0)</f>
        <v>#N/A</v>
      </c>
      <c r="AC227" s="62" t="e">
        <f>VLOOKUP(A227,Enforcements!$C$7:$E$21,3,0)</f>
        <v>#N/A</v>
      </c>
      <c r="AD227" s="63" t="str">
        <f>IF(LEN(A227)=6,"0"&amp;A227,A227)</f>
        <v>63-27</v>
      </c>
      <c r="AE227" s="99" t="str">
        <f>"aws s3 cp "&amp;s3_bucket&amp;"/RTDC"&amp;B227&amp;"/"&amp;TEXT(F227,"YYYY-MM-DD")&amp;"/ "&amp;search_path&amp;"\RTDC"&amp;B227&amp;"\"&amp;TEXT(F227,"YYYY-MM-DD")&amp;" --recursive &amp; """&amp;walkandungz&amp;""" "&amp;search_path&amp;"\RTDC"&amp;B227&amp;"\"&amp;TEXT(F227,"YYYY-MM-DD")
&amp;" &amp; "&amp;"aws s3 cp "&amp;s3_bucket&amp;"/RTDC"&amp;B227&amp;"/"&amp;TEXT(F227+1,"YYYY-MM-DD")&amp;"/ "&amp;search_path&amp;"\RTDC"&amp;B227&amp;"\"&amp;TEXT(F227+1,"YYYY-MM-DD")&amp;" --recursive &amp; """&amp;walkandungz&amp;""" "&amp;search_path&amp;"\RTDC"&amp;B227&amp;"\"&amp;TEXT(F227+1,"YYYY-MM-DD")</f>
        <v>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 &amp; aws s3 cp s3://rtdc.mdm.uploadarchive/RTDC4025/2016-08-29/ "%USERPROFILE%\AppData\Local\Temp\OnboardLogs"\RTDC4025\2016-08-29 --recursive &amp; "%USERPROFILE%\Documents\GitHub\mrs-test-scripts\Headless Mode &amp; Sideloading\WalkAndUnGZ.bat" "%USERPROFILE%\AppData\Local\Temp\OnboardLogs"\RTDC4025\2016-08-29</v>
      </c>
      <c r="AF227" s="96" t="str">
        <f>astrogrep_path&amp;" /spath="&amp;search_path&amp;" /stypes=""*"&amp;B227&amp;"*"&amp;TEXT(I227-utc_offset/24,"YYYYMMDD")&amp;"*"" /stext="" "&amp;TEXT(I227-utc_offset/24,"HH")&amp;search_regexp&amp;""" /e /r /s"</f>
        <v>"C:\Program Files (x86)\AstroGrep\AstroGrep.exe" /spath="%USERPROFILE%\AppData\Local\Temp\OnboardLogs" /stypes="*4025*20160828*" /stext=" 08:.+((SYSTEM_STATE.+slice.+state.+changed )|(ment ac)|(system.+state.+changed )|(\|lc)|(penalty)|(\[timeout)|(PRM\|1\|D)|(kpr)|(kdp))" /e /r /s</v>
      </c>
      <c r="AG227" s="1" t="str">
        <f>IFERROR(IF(VALUE(LEFT(AD227,2))&lt;=2,"EC",IF(OR(VALUE(LEFT(AD227,2))=8,VALUE(LEFT(AD227,2))=18),"NW","Other")),"Other")</f>
        <v>Other</v>
      </c>
      <c r="AH227" s="100" t="str">
        <f t="shared" si="86"/>
        <v>"%USERPROFILE%\Documents\GitHub\eaglep3\Utilities\RefineRTDCRunTimes.py" --tripid 63-27 --locoid 4025 --swversion DE.1.0.7.0 --startMP 204:1488 --initTime 2016-08-28T01:16:55 --startdatetime 2016-08-28T01:26:42 --delay 1 --endMP 204:233288 --enddatetime 2016-08-28T02:03:07 --enforcementcount 0 &gt;&gt;C:\Users\stu\Documents\GitHub\eaglep3-reporting\EC\2016-08-27-refined-times.txt</v>
      </c>
      <c r="AI227" s="149" t="str">
        <f t="shared" si="87"/>
        <v>echo {"issue":{"subject":"","project_id":79,"tracker_id":40,"status_id":1,"priority_id":2,"assigned_to_id":23,"start_date":"2016-08-28","description":"","custom_fields":[{"id":1,"name":"Subdivision","value":"Other"},{"id":4,"name":"Milepost","value":"23.18"},{"id":17,"name":"Train ID","value":"63-27"},{"id":16,"name":"Locomotive ID","value":"4025"},{"id":130,"name":"Impact","value":""},{"id":150,"name":"Time of Event (Mountain Time)","value":"02:03:07"},{"id":151,"name":"Denver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5"/>
      <c r="AK227" s="55"/>
      <c r="AL227" s="55"/>
    </row>
    <row r="228" spans="1:38" x14ac:dyDescent="0.25">
      <c r="A228" s="39" t="s">
        <v>310</v>
      </c>
      <c r="B228" s="7">
        <v>4004</v>
      </c>
      <c r="C228" s="24" t="s">
        <v>113</v>
      </c>
      <c r="D228" s="24" t="s">
        <v>362</v>
      </c>
      <c r="E228" s="15">
        <v>42608.833969907406</v>
      </c>
      <c r="F228" s="15">
        <v>42608.835694444446</v>
      </c>
      <c r="G228" s="7">
        <v>2</v>
      </c>
      <c r="H228" s="15" t="s">
        <v>153</v>
      </c>
      <c r="I228" s="15">
        <v>42608.842905092592</v>
      </c>
      <c r="J228" s="7">
        <v>0</v>
      </c>
      <c r="K228" s="132" t="str">
        <f>IF(ISEVEN(B228),(B228-1)&amp;"/"&amp;B228,B228&amp;"/"&amp;(B228+1))</f>
        <v>4003/4004</v>
      </c>
      <c r="L228" s="24" t="e">
        <f>VLOOKUP(A228,'Trips&amp;Operators'!$C$1:$E$10000,3,FALSE)</f>
        <v>#N/A</v>
      </c>
      <c r="M228" s="6">
        <f>I228-F228</f>
        <v>7.2106481457012706E-3</v>
      </c>
      <c r="N228" s="7">
        <f>24*60*SUM($M228:$M228)</f>
        <v>10.38333332980983</v>
      </c>
      <c r="O228" s="7"/>
      <c r="P228" s="7"/>
      <c r="Q228" s="25"/>
      <c r="R228" s="25"/>
      <c r="S228" s="37">
        <f>SUM(U228:U228)/IF(AG228="EC",12,1)</f>
        <v>0</v>
      </c>
      <c r="T228" s="52" t="e">
        <f>IF(ISEVEN(LEFT(AD228,4)),"Southbound","NorthBound")</f>
        <v>#VALUE!</v>
      </c>
      <c r="U228" s="12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06" t="str">
        <f>"https://search-rtdc-monitor-bjffxe2xuh6vdkpspy63sjmuny.us-east-1.es.amazonaws.com/_plugin/kibana/#/discover/Steve-Slow-Train-Analysis-(2080s-and-2083s)?_g=(refreshInterval:(display:Off,section:0,value:0),time:(from:'"&amp;TEXT(E228-1/24,"yyyy-MM-DD hh:mm:ss")&amp;"-0600',mode:absolute,to:'"&amp;TEXT(I228+1/24,"yyyy-MM-DD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228&amp;"%22')),sort:!(Time,asc))"</f>
        <v>https://search-rtdc-monitor-bjffxe2xuh6vdkpspy63sjmuny.us-east-1.es.amazonaws.com/_plugin/kibana/#/discover/Steve-Slow-Train-Analysis-(2080s-and-2083s)?_g=(refreshInterval:(display:Off,section:0,value:0),time:(from:'2016-08-26 19:00:55-0600',mode:absolute,to:'2016-08-26 21:13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228" s="54" t="str">
        <f>IF(AA228&lt;IF(AG228="EC",23,5.65),"Y","N")</f>
        <v>Y</v>
      </c>
      <c r="X228" s="120" t="e">
        <f>VALUE(LEFT(AD228,4))-VALUE(LEFT(AD227,4))</f>
        <v>#VALUE!</v>
      </c>
      <c r="Y228" s="69">
        <f>RIGHT(D228,LEN(D228)-4)/10000</f>
        <v>1.8891</v>
      </c>
      <c r="Z228" s="69">
        <f>RIGHT(H228,LEN(H228)-4)/10000</f>
        <v>1.5599999999999999E-2</v>
      </c>
      <c r="AA228" s="69">
        <f>ABS(Z228-Y228)</f>
        <v>1.8734999999999999</v>
      </c>
      <c r="AB228" s="66" t="e">
        <f>VLOOKUP(A228,Enforcements!$C$7:$J$21,8,0)</f>
        <v>#N/A</v>
      </c>
      <c r="AC228" s="62" t="e">
        <f>VLOOKUP(A228,Enforcements!$C$7:$E$21,3,0)</f>
        <v>#N/A</v>
      </c>
      <c r="AD228" s="63" t="str">
        <f>IF(LEN(A228)=6,"0"&amp;A228,A228)</f>
        <v>64-26</v>
      </c>
      <c r="AE228" s="99" t="str">
        <f>"aws s3 cp "&amp;s3_bucket&amp;"/RTDC"&amp;B228&amp;"/"&amp;TEXT(F228,"YYYY-MM-DD")&amp;"/ "&amp;search_path&amp;"\RTDC"&amp;B228&amp;"\"&amp;TEXT(F228,"YYYY-MM-DD")&amp;" --recursive &amp; """&amp;walkandungz&amp;""" "&amp;search_path&amp;"\RTDC"&amp;B228&amp;"\"&amp;TEXT(F228,"YYYY-MM-DD")
&amp;" &amp; "&amp;"aws s3 cp "&amp;s3_bucket&amp;"/RTDC"&amp;B228&amp;"/"&amp;TEXT(F228+1,"YYYY-MM-DD")&amp;"/ "&amp;search_path&amp;"\RTDC"&amp;B228&amp;"\"&amp;TEXT(F228+1,"YYYY-MM-DD")&amp;" --recursive &amp; """&amp;walkandungz&amp;""" "&amp;search_path&amp;"\RTDC"&amp;B228&amp;"\"&amp;TEXT(F228+1,"YYYY-MM-DD")</f>
        <v>aws s3 cp s3://rtdc.mdm.uploadarchive/RTDC4004/2016-08-26/ "%USERPROFILE%\AppData\Local\Temp\OnboardLogs"\RTDC4004\2016-08-26 --recursive &amp; "%USERPROFILE%\Documents\GitHub\mrs-test-scripts\Headless Mode &amp; Sideloading\WalkAndUnGZ.bat" "%USERPROFILE%\AppData\Local\Temp\OnboardLogs"\RTDC4004\2016-08-26 &amp; aws s3 cp s3://rtdc.mdm.uploadarchive/RTDC4004/2016-08-27/ "%USERPROFILE%\AppData\Local\Temp\OnboardLogs"\RTDC4004\2016-08-27 --recursive &amp; "%USERPROFILE%\Documents\GitHub\mrs-test-scripts\Headless Mode &amp; Sideloading\WalkAndUnGZ.bat" "%USERPROFILE%\AppData\Local\Temp\OnboardLogs"\RTDC4004\2016-08-27</v>
      </c>
      <c r="AF228" s="96" t="str">
        <f>astrogrep_path&amp;" /spath="&amp;search_path&amp;" /stypes=""*"&amp;B228&amp;"*"&amp;TEXT(I228-utc_offset/24,"YYYYMMDD")&amp;"*"" /stext="" "&amp;TEXT(I228-utc_offset/24,"HH")&amp;search_regexp&amp;""" /e /r /s"</f>
        <v>"C:\Program Files (x86)\AstroGrep\AstroGrep.exe" /spath="%USERPROFILE%\AppData\Local\Temp\OnboardLogs" /stypes="*4004*20160827*" /stext=" 02:.+((SYSTEM_STATE.+slice.+state.+changed )|(ment ac)|(system.+state.+changed )|(\|lc)|(penalty)|(\[timeout)|(PRM\|1\|D)|(kpr)|(kdp))" /e /r /s</v>
      </c>
      <c r="AG228" s="1" t="str">
        <f>IFERROR(IF(VALUE(LEFT(AD228,2))&lt;=2,"EC",IF(OR(VALUE(LEFT(AD228,2))=8,VALUE(LEFT(AD228,2))=18),"NW","Other")),"Other")</f>
        <v>Other</v>
      </c>
      <c r="AH228" s="100" t="str">
        <f t="shared" si="86"/>
        <v>"%USERPROFILE%\Documents\GitHub\eaglep3\Utilities\RefineRTDCRunTimes.py" --tripid 64-26 --locoid 4004 --swversion DE.1.0.7.0 --startMP 204:18891 --initTime 2016-08-26T20:00:55 --startdatetime 2016-08-26T20:03:24 --delay 2 --endMP 204:156 --enddatetime 2016-08-26T20:13:47 --enforcementcount 0 &gt;&gt;C:\Users\stu\Documents\GitHub\eaglep3-reporting\EC\2016-08-27-refined-times.txt</v>
      </c>
      <c r="AI228" s="149" t="str">
        <f t="shared" si="87"/>
        <v>echo {"issue":{"subject":"","project_id":79,"tracker_id":40,"status_id":1,"priority_id":2,"assigned_to_id":23,"start_date":"2016-08-26","description":"","custom_fields":[{"id":1,"name":"Subdivision","value":"Other"},{"id":4,"name":"Milepost","value":"1.8735"},{"id":17,"name":"Train ID","value":"64-26"},{"id":16,"name":"Locomotive ID","value":"4004"},{"id":130,"name":"Impact","value":""},{"id":150,"name":"Time of Event (Mountain Time)","value":"20:13:47"},{"id":151,"name":"Denver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5"/>
      <c r="AK228" s="55"/>
      <c r="AL228" s="55"/>
    </row>
    <row r="229" spans="1:38" x14ac:dyDescent="0.25">
      <c r="A229" s="39" t="s">
        <v>674</v>
      </c>
      <c r="B229" s="7">
        <v>4026</v>
      </c>
      <c r="C229" s="24" t="s">
        <v>113</v>
      </c>
      <c r="D229" s="24" t="s">
        <v>675</v>
      </c>
      <c r="E229" s="15">
        <v>42610.087685185186</v>
      </c>
      <c r="F229" s="15">
        <v>42610.091168981482</v>
      </c>
      <c r="G229" s="7">
        <v>1</v>
      </c>
      <c r="H229" s="15" t="s">
        <v>132</v>
      </c>
      <c r="I229" s="15">
        <v>42610.119398148148</v>
      </c>
      <c r="J229" s="7">
        <v>0</v>
      </c>
      <c r="K229" s="132" t="str">
        <f>IF(ISEVEN(B229),(B229-1)&amp;"/"&amp;B229,B229&amp;"/"&amp;(B229+1))</f>
        <v>4025/4026</v>
      </c>
      <c r="L229" s="24" t="str">
        <f>VLOOKUP(A229,'Trips&amp;Operators'!$C$1:$E$10000,3,FALSE)</f>
        <v>GOLIGHTLY</v>
      </c>
      <c r="M229" s="6">
        <f>I229-F229</f>
        <v>2.8229166666278616E-2</v>
      </c>
      <c r="N229" s="7">
        <f>24*60*SUM($M229:$M229)</f>
        <v>40.649999999441206</v>
      </c>
      <c r="O229" s="7"/>
      <c r="P229" s="7"/>
      <c r="Q229" s="25"/>
      <c r="R229" s="25"/>
      <c r="S229" s="37">
        <f>SUM(U229:U229)/IF(AG229="EC",12,1)</f>
        <v>0</v>
      </c>
      <c r="T229" s="52" t="e">
        <f>IF(ISEVEN(LEFT(AD229,4)),"Southbound","NorthBound")</f>
        <v>#VALUE!</v>
      </c>
      <c r="U229" s="12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06" t="str">
        <f>"https://search-rtdc-monitor-bjffxe2xuh6vdkpspy63sjmuny.us-east-1.es.amazonaws.com/_plugin/kibana/#/discover/Steve-Slow-Train-Analysis-(2080s-and-2083s)?_g=(refreshInterval:(display:Off,section:0,value:0),time:(from:'"&amp;TEXT(E229-1/24,"yyyy-MM-DD hh:mm:ss")&amp;"-0600',mode:absolute,to:'"&amp;TEXT(I229+1/24,"yyyy-MM-DD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229&amp;"%22')),sort:!(Time,asc))"</f>
        <v>https://search-rtdc-monitor-bjffxe2xuh6vdkpspy63sjmuny.us-east-1.es.amazonaws.com/_plugin/kibana/#/discover/Steve-Slow-Train-Analysis-(2080s-and-2083s)?_g=(refreshInterval:(display:Off,section:0,value:0),time:(from:'2016-08-28 01:06:16-0600',mode:absolute,to:'2016-08-28 03:51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29" s="54" t="str">
        <f>IF(AA229&lt;IF(AG229="EC",23,5.65),"Y","N")</f>
        <v>N</v>
      </c>
      <c r="X229" s="120" t="e">
        <f>VALUE(LEFT(AD229,4))-VALUE(LEFT(AD228,4))</f>
        <v>#VALUE!</v>
      </c>
      <c r="Y229" s="69">
        <f>RIGHT(D229,LEN(D229)-4)/10000</f>
        <v>23.298999999999999</v>
      </c>
      <c r="Z229" s="69">
        <f>RIGHT(H229,LEN(H229)-4)/10000</f>
        <v>1.47E-2</v>
      </c>
      <c r="AA229" s="69">
        <f>ABS(Z229-Y229)</f>
        <v>23.284299999999998</v>
      </c>
      <c r="AB229" s="66" t="e">
        <f>VLOOKUP(A229,Enforcements!$C$7:$J$21,8,0)</f>
        <v>#N/A</v>
      </c>
      <c r="AC229" s="62" t="e">
        <f>VLOOKUP(A229,Enforcements!$C$7:$E$21,3,0)</f>
        <v>#N/A</v>
      </c>
      <c r="AD229" s="63" t="str">
        <f>IF(LEN(A229)=6,"0"&amp;A229,A229)</f>
        <v>64-27</v>
      </c>
      <c r="AE229" s="99" t="str">
        <f>"aws s3 cp "&amp;s3_bucket&amp;"/RTDC"&amp;B229&amp;"/"&amp;TEXT(F229,"YYYY-MM-DD")&amp;"/ "&amp;search_path&amp;"\RTDC"&amp;B229&amp;"\"&amp;TEXT(F229,"YYYY-MM-DD")&amp;" --recursive &amp; """&amp;walkandungz&amp;""" "&amp;search_path&amp;"\RTDC"&amp;B229&amp;"\"&amp;TEXT(F229,"YYYY-MM-DD")
&amp;" &amp; "&amp;"aws s3 cp "&amp;s3_bucket&amp;"/RTDC"&amp;B229&amp;"/"&amp;TEXT(F229+1,"YYYY-MM-DD")&amp;"/ "&amp;search_path&amp;"\RTDC"&amp;B229&amp;"\"&amp;TEXT(F229+1,"YYYY-MM-DD")&amp;" --recursive &amp; """&amp;walkandungz&amp;""" "&amp;search_path&amp;"\RTDC"&amp;B229&amp;"\"&amp;TEXT(F229+1,"YYYY-MM-DD")</f>
        <v>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 &amp; aws s3 cp s3://rtdc.mdm.uploadarchive/RTDC4026/2016-08-29/ "%USERPROFILE%\AppData\Local\Temp\OnboardLogs"\RTDC4026\2016-08-29 --recursive &amp; "%USERPROFILE%\Documents\GitHub\mrs-test-scripts\Headless Mode &amp; Sideloading\WalkAndUnGZ.bat" "%USERPROFILE%\AppData\Local\Temp\OnboardLogs"\RTDC4026\2016-08-29</v>
      </c>
      <c r="AF229" s="96" t="str">
        <f>astrogrep_path&amp;" /spath="&amp;search_path&amp;" /stypes=""*"&amp;B229&amp;"*"&amp;TEXT(I229-utc_offset/24,"YYYYMMDD")&amp;"*"" /stext="" "&amp;TEXT(I229-utc_offset/24,"HH")&amp;search_regexp&amp;""" /e /r /s"</f>
        <v>"C:\Program Files (x86)\AstroGrep\AstroGrep.exe" /spath="%USERPROFILE%\AppData\Local\Temp\OnboardLogs" /stypes="*4026*20160828*" /stext=" 08:.+((SYSTEM_STATE.+slice.+state.+changed )|(ment ac)|(system.+state.+changed )|(\|lc)|(penalty)|(\[timeout)|(PRM\|1\|D)|(kpr)|(kdp))" /e /r /s</v>
      </c>
      <c r="AG229" s="1" t="str">
        <f>IFERROR(IF(VALUE(LEFT(AD229,2))&lt;=2,"EC",IF(OR(VALUE(LEFT(AD229,2))=8,VALUE(LEFT(AD229,2))=18),"NW","Other")),"Other")</f>
        <v>Other</v>
      </c>
      <c r="AH229" s="100" t="str">
        <f t="shared" si="86"/>
        <v>"%USERPROFILE%\Documents\GitHub\eaglep3\Utilities\RefineRTDCRunTimes.py" --tripid 64-27 --locoid 4026 --swversion DE.1.0.7.0 --startMP 204:232990 --initTime 2016-08-28T02:06:16 --startdatetime 2016-08-28T02:11:17 --delay 1 --endMP 204:147 --enddatetime 2016-08-28T02:51:56 --enforcementcount 0 &gt;&gt;C:\Users\stu\Documents\GitHub\eaglep3-reporting\EC\2016-08-27-refined-times.txt</v>
      </c>
      <c r="AI229" s="149" t="str">
        <f t="shared" si="87"/>
        <v>echo {"issue":{"subject":"","project_id":79,"tracker_id":40,"status_id":1,"priority_id":2,"assigned_to_id":23,"start_date":"2016-08-28","description":"","custom_fields":[{"id":1,"name":"Subdivision","value":"Other"},{"id":4,"name":"Milepost","value":"23.2843"},{"id":17,"name":"Train ID","value":"64-27"},{"id":16,"name":"Locomotive ID","value":"4026"},{"id":130,"name":"Impact","value":""},{"id":150,"name":"Time of Event (Mountain Time)","value":"02:51:56"},{"id":151,"name":"Denver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5"/>
      <c r="AK229" s="55"/>
      <c r="AL229" s="55"/>
    </row>
    <row r="230" spans="1:38" x14ac:dyDescent="0.25">
      <c r="A230" s="39" t="s">
        <v>674</v>
      </c>
      <c r="B230" s="7">
        <v>4026</v>
      </c>
      <c r="C230" s="24" t="s">
        <v>113</v>
      </c>
      <c r="D230" s="24" t="s">
        <v>675</v>
      </c>
      <c r="E230" s="15">
        <v>42610.087685185186</v>
      </c>
      <c r="F230" s="15">
        <v>42610.091168981482</v>
      </c>
      <c r="G230" s="7">
        <v>1</v>
      </c>
      <c r="H230" s="15" t="s">
        <v>132</v>
      </c>
      <c r="I230" s="15">
        <v>42610.119398148148</v>
      </c>
      <c r="J230" s="7">
        <v>0</v>
      </c>
      <c r="K230" s="132" t="str">
        <f>IF(ISEVEN(B230),(B230-1)&amp;"/"&amp;B230,B230&amp;"/"&amp;(B230+1))</f>
        <v>4025/4026</v>
      </c>
      <c r="L230" s="24" t="str">
        <f>VLOOKUP(A230,'Trips&amp;Operators'!$C$1:$E$10000,3,FALSE)</f>
        <v>GOLIGHTLY</v>
      </c>
      <c r="M230" s="6">
        <f>I230-F230</f>
        <v>2.8229166666278616E-2</v>
      </c>
      <c r="N230" s="7">
        <f>24*60*SUM($M230:$M230)</f>
        <v>40.649999999441206</v>
      </c>
      <c r="O230" s="7"/>
      <c r="P230" s="7"/>
      <c r="Q230" s="25"/>
      <c r="R230" s="25"/>
      <c r="S230" s="37">
        <f>SUM(U230:U230)/IF(AG230="EC",12,1)</f>
        <v>0</v>
      </c>
      <c r="T230" s="52" t="e">
        <f>IF(ISEVEN(LEFT(AD230,4)),"Southbound","NorthBound")</f>
        <v>#VALUE!</v>
      </c>
      <c r="U230" s="12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06" t="str">
        <f>"https://search-rtdc-monitor-bjffxe2xuh6vdkpspy63sjmuny.us-east-1.es.amazonaws.com/_plugin/kibana/#/discover/Steve-Slow-Train-Analysis-(2080s-and-2083s)?_g=(refreshInterval:(display:Off,section:0,value:0),time:(from:'"&amp;TEXT(E230-1/24,"yyyy-MM-DD hh:mm:ss")&amp;"-0600',mode:absolute,to:'"&amp;TEXT(I230+1/24,"yyyy-MM-DD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230&amp;"%22')),sort:!(Time,asc))"</f>
        <v>https://search-rtdc-monitor-bjffxe2xuh6vdkpspy63sjmuny.us-east-1.es.amazonaws.com/_plugin/kibana/#/discover/Steve-Slow-Train-Analysis-(2080s-and-2083s)?_g=(refreshInterval:(display:Off,section:0,value:0),time:(from:'2016-08-28 01:06:16-0600',mode:absolute,to:'2016-08-28 03:51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30" s="54" t="str">
        <f>IF(AA230&lt;IF(AG230="EC",23,5.65),"Y","N")</f>
        <v>N</v>
      </c>
      <c r="X230" s="120" t="e">
        <f>VALUE(LEFT(AD230,4))-VALUE(LEFT(AD229,4))</f>
        <v>#VALUE!</v>
      </c>
      <c r="Y230" s="69">
        <f>RIGHT(D230,LEN(D230)-4)/10000</f>
        <v>23.298999999999999</v>
      </c>
      <c r="Z230" s="69">
        <f>RIGHT(H230,LEN(H230)-4)/10000</f>
        <v>1.47E-2</v>
      </c>
      <c r="AA230" s="69">
        <f>ABS(Z230-Y230)</f>
        <v>23.284299999999998</v>
      </c>
      <c r="AB230" s="66" t="e">
        <f>VLOOKUP(A230,Enforcements!$C$7:$J$21,8,0)</f>
        <v>#N/A</v>
      </c>
      <c r="AC230" s="62" t="e">
        <f>VLOOKUP(A230,Enforcements!$C$7:$E$21,3,0)</f>
        <v>#N/A</v>
      </c>
      <c r="AD230" s="63" t="str">
        <f>IF(LEN(A230)=6,"0"&amp;A230,A230)</f>
        <v>64-27</v>
      </c>
      <c r="AE230" s="99" t="str">
        <f>"aws s3 cp "&amp;s3_bucket&amp;"/RTDC"&amp;B230&amp;"/"&amp;TEXT(F230,"YYYY-MM-DD")&amp;"/ "&amp;search_path&amp;"\RTDC"&amp;B230&amp;"\"&amp;TEXT(F230,"YYYY-MM-DD")&amp;" --recursive &amp; """&amp;walkandungz&amp;""" "&amp;search_path&amp;"\RTDC"&amp;B230&amp;"\"&amp;TEXT(F230,"YYYY-MM-DD")
&amp;" &amp; "&amp;"aws s3 cp "&amp;s3_bucket&amp;"/RTDC"&amp;B230&amp;"/"&amp;TEXT(F230+1,"YYYY-MM-DD")&amp;"/ "&amp;search_path&amp;"\RTDC"&amp;B230&amp;"\"&amp;TEXT(F230+1,"YYYY-MM-DD")&amp;" --recursive &amp; """&amp;walkandungz&amp;""" "&amp;search_path&amp;"\RTDC"&amp;B230&amp;"\"&amp;TEXT(F230+1,"YYYY-MM-DD")</f>
        <v>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 &amp; aws s3 cp s3://rtdc.mdm.uploadarchive/RTDC4026/2016-08-29/ "%USERPROFILE%\AppData\Local\Temp\OnboardLogs"\RTDC4026\2016-08-29 --recursive &amp; "%USERPROFILE%\Documents\GitHub\mrs-test-scripts\Headless Mode &amp; Sideloading\WalkAndUnGZ.bat" "%USERPROFILE%\AppData\Local\Temp\OnboardLogs"\RTDC4026\2016-08-29</v>
      </c>
      <c r="AF230" s="96" t="str">
        <f>astrogrep_path&amp;" /spath="&amp;search_path&amp;" /stypes=""*"&amp;B230&amp;"*"&amp;TEXT(I230-utc_offset/24,"YYYYMMDD")&amp;"*"" /stext="" "&amp;TEXT(I230-utc_offset/24,"HH")&amp;search_regexp&amp;""" /e /r /s"</f>
        <v>"C:\Program Files (x86)\AstroGrep\AstroGrep.exe" /spath="%USERPROFILE%\AppData\Local\Temp\OnboardLogs" /stypes="*4026*20160828*" /stext=" 08:.+((SYSTEM_STATE.+slice.+state.+changed )|(ment ac)|(system.+state.+changed )|(\|lc)|(penalty)|(\[timeout)|(PRM\|1\|D)|(kpr)|(kdp))" /e /r /s</v>
      </c>
      <c r="AG230" s="1" t="str">
        <f>IFERROR(IF(VALUE(LEFT(AD230,2))&lt;=2,"EC",IF(OR(VALUE(LEFT(AD230,2))=8,VALUE(LEFT(AD230,2))=18),"NW","Other")),"Other")</f>
        <v>Other</v>
      </c>
      <c r="AH230" s="100" t="str">
        <f t="shared" si="86"/>
        <v>"%USERPROFILE%\Documents\GitHub\eaglep3\Utilities\RefineRTDCRunTimes.py" --tripid 64-27 --locoid 4026 --swversion DE.1.0.7.0 --startMP 204:232990 --initTime 2016-08-28T02:06:16 --startdatetime 2016-08-28T02:11:17 --delay 1 --endMP 204:147 --enddatetime 2016-08-28T02:51:56 --enforcementcount 0 &gt;&gt;C:\Users\stu\Documents\GitHub\eaglep3-reporting\EC\2016-08-27-refined-times.txt</v>
      </c>
      <c r="AI230" s="149" t="str">
        <f t="shared" si="87"/>
        <v>echo {"issue":{"subject":"","project_id":79,"tracker_id":40,"status_id":1,"priority_id":2,"assigned_to_id":23,"start_date":"2016-08-28","description":"","custom_fields":[{"id":1,"name":"Subdivision","value":"Other"},{"id":4,"name":"Milepost","value":"23.2843"},{"id":17,"name":"Train ID","value":"64-27"},{"id":16,"name":"Locomotive ID","value":"4026"},{"id":130,"name":"Impact","value":""},{"id":150,"name":"Time of Event (Mountain Time)","value":"02:51:56"},{"id":151,"name":"Denver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5"/>
      <c r="AK230" s="55"/>
      <c r="AL230" s="55"/>
    </row>
    <row r="231" spans="1:38" x14ac:dyDescent="0.25">
      <c r="A231" s="39" t="s">
        <v>307</v>
      </c>
      <c r="B231" s="7">
        <v>4031</v>
      </c>
      <c r="C231" s="24" t="s">
        <v>113</v>
      </c>
      <c r="D231" s="24" t="s">
        <v>363</v>
      </c>
      <c r="E231" s="15">
        <v>42608.643819444442</v>
      </c>
      <c r="F231" s="15">
        <v>42608.645567129628</v>
      </c>
      <c r="G231" s="7">
        <v>2</v>
      </c>
      <c r="H231" s="15" t="s">
        <v>364</v>
      </c>
      <c r="I231" s="15">
        <v>42608.65415509259</v>
      </c>
      <c r="J231" s="7">
        <v>0</v>
      </c>
      <c r="K231" s="132" t="str">
        <f>IF(ISEVEN(B231),(B231-1)&amp;"/"&amp;B231,B231&amp;"/"&amp;(B231+1))</f>
        <v>4031/4032</v>
      </c>
      <c r="L231" s="24" t="e">
        <f>VLOOKUP(A231,'Trips&amp;Operators'!$C$1:$E$10000,3,FALSE)</f>
        <v>#N/A</v>
      </c>
      <c r="M231" s="6">
        <f>I231-F231</f>
        <v>8.5879629623377696E-3</v>
      </c>
      <c r="N231" s="7">
        <f>24*60*SUM($M231:$M231)</f>
        <v>12.366666665766388</v>
      </c>
      <c r="O231" s="7"/>
      <c r="P231" s="7"/>
      <c r="Q231" s="25"/>
      <c r="R231" s="25"/>
      <c r="S231" s="37">
        <f>SUM(U231:U231)/IF(AG231="EC",12,1)</f>
        <v>0</v>
      </c>
      <c r="T231" s="52" t="e">
        <f>IF(ISEVEN(LEFT(AD231,4)),"Southbound","NorthBound")</f>
        <v>#VALUE!</v>
      </c>
      <c r="U231" s="12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06" t="str">
        <f>"https://search-rtdc-monitor-bjffxe2xuh6vdkpspy63sjmuny.us-east-1.es.amazonaws.com/_plugin/kibana/#/discover/Steve-Slow-Train-Analysis-(2080s-and-2083s)?_g=(refreshInterval:(display:Off,section:0,value:0),time:(from:'"&amp;TEXT(E231-1/24,"yyyy-MM-DD hh:mm:ss")&amp;"-0600',mode:absolute,to:'"&amp;TEXT(I231+1/24,"yyyy-MM-DD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231&amp;"%22')),sort:!(Time,asc))"</f>
        <v>https://search-rtdc-monitor-bjffxe2xuh6vdkpspy63sjmuny.us-east-1.es.amazonaws.com/_plugin/kibana/#/discover/Steve-Slow-Train-Analysis-(2080s-and-2083s)?_g=(refreshInterval:(display:Off,section:0,value:0),time:(from:'2016-08-26 14:27:06-0600',mode:absolute,to:'2016-08-26 16:41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31" s="54" t="str">
        <f>IF(AA231&lt;IF(AG231="EC",23,5.65),"Y","N")</f>
        <v>Y</v>
      </c>
      <c r="X231" s="120" t="e">
        <f>VALUE(LEFT(AD231,4))-VALUE(LEFT(AD230,4))</f>
        <v>#VALUE!</v>
      </c>
      <c r="Y231" s="69">
        <f>RIGHT(D231,LEN(D231)-4)/10000</f>
        <v>5.2900000000000003E-2</v>
      </c>
      <c r="Z231" s="69">
        <f>RIGHT(H231,LEN(H231)-4)/10000</f>
        <v>2.3298999999999999</v>
      </c>
      <c r="AA231" s="69">
        <f>ABS(Z231-Y231)</f>
        <v>2.2769999999999997</v>
      </c>
      <c r="AB231" s="66" t="e">
        <f>VLOOKUP(A231,Enforcements!$C$7:$J$21,8,0)</f>
        <v>#N/A</v>
      </c>
      <c r="AC231" s="62" t="e">
        <f>VLOOKUP(A231,Enforcements!$C$7:$E$21,3,0)</f>
        <v>#N/A</v>
      </c>
      <c r="AD231" s="63" t="str">
        <f>IF(LEN(A231)=6,"0"&amp;A231,A231)</f>
        <v>65-26</v>
      </c>
      <c r="AE231" s="99" t="str">
        <f>"aws s3 cp "&amp;s3_bucket&amp;"/RTDC"&amp;B231&amp;"/"&amp;TEXT(F231,"YYYY-MM-DD")&amp;"/ "&amp;search_path&amp;"\RTDC"&amp;B231&amp;"\"&amp;TEXT(F231,"YYYY-MM-DD")&amp;" --recursive &amp; """&amp;walkandungz&amp;""" "&amp;search_path&amp;"\RTDC"&amp;B231&amp;"\"&amp;TEXT(F231,"YYYY-MM-DD")
&amp;" &amp; "&amp;"aws s3 cp "&amp;s3_bucket&amp;"/RTDC"&amp;B231&amp;"/"&amp;TEXT(F231+1,"YYYY-MM-DD")&amp;"/ "&amp;search_path&amp;"\RTDC"&amp;B231&amp;"\"&amp;TEXT(F231+1,"YYYY-MM-DD")&amp;" --recursive &amp; """&amp;walkandungz&amp;""" "&amp;search_path&amp;"\RTDC"&amp;B231&amp;"\"&amp;TEXT(F231+1,"YYYY-MM-DD")</f>
        <v>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 &amp; 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</v>
      </c>
      <c r="AF231" s="96" t="str">
        <f>astrogrep_path&amp;" /spath="&amp;search_path&amp;" /stypes=""*"&amp;B231&amp;"*"&amp;TEXT(I231-utc_offset/24,"YYYYMMDD")&amp;"*"" /stext="" "&amp;TEXT(I231-utc_offset/24,"HH")&amp;search_regexp&amp;""" /e /r /s"</f>
        <v>"C:\Program Files (x86)\AstroGrep\AstroGrep.exe" /spath="%USERPROFILE%\AppData\Local\Temp\OnboardLogs" /stypes="*4031*20160826*" /stext=" 21:.+((SYSTEM_STATE.+slice.+state.+changed )|(ment ac)|(system.+state.+changed )|(\|lc)|(penalty)|(\[timeout)|(PRM\|1\|D)|(kpr)|(kdp))" /e /r /s</v>
      </c>
      <c r="AG231" s="1" t="str">
        <f>IFERROR(IF(VALUE(LEFT(AD231,2))&lt;=2,"EC",IF(OR(VALUE(LEFT(AD231,2))=8,VALUE(LEFT(AD231,2))=18),"NW","Other")),"Other")</f>
        <v>Other</v>
      </c>
      <c r="AH231" s="100" t="str">
        <f t="shared" si="86"/>
        <v>"%USERPROFILE%\Documents\GitHub\eaglep3\Utilities\RefineRTDCRunTimes.py" --tripid 65-26 --locoid 4031 --swversion DE.1.0.7.0 --startMP 204:529 --initTime 2016-08-26T15:27:06 --startdatetime 2016-08-26T15:29:37 --delay 2 --endMP 300:23299 --enddatetime 2016-08-26T15:41:59 --enforcementcount 0 &gt;&gt;C:\Users\stu\Documents\GitHub\eaglep3-reporting\EC\2016-08-27-refined-times.txt</v>
      </c>
      <c r="AI231" s="149" t="str">
        <f t="shared" si="87"/>
        <v>echo {"issue":{"subject":"","project_id":79,"tracker_id":40,"status_id":1,"priority_id":2,"assigned_to_id":23,"start_date":"2016-08-26","description":"","custom_fields":[{"id":1,"name":"Subdivision","value":"Other"},{"id":4,"name":"Milepost","value":"2.277"},{"id":17,"name":"Train ID","value":"65-26"},{"id":16,"name":"Locomotive ID","value":"4031"},{"id":130,"name":"Impact","value":""},{"id":150,"name":"Time of Event (Mountain Time)","value":"15:41:59"},{"id":151,"name":"Denver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5"/>
      <c r="AK231" s="55"/>
      <c r="AL231" s="55"/>
    </row>
    <row r="232" spans="1:38" x14ac:dyDescent="0.25">
      <c r="A232" s="39" t="s">
        <v>314</v>
      </c>
      <c r="B232" s="7">
        <v>4044</v>
      </c>
      <c r="C232" s="24" t="s">
        <v>113</v>
      </c>
      <c r="D232" s="24" t="s">
        <v>365</v>
      </c>
      <c r="E232" s="15">
        <v>42608.894270833334</v>
      </c>
      <c r="F232" s="15">
        <v>42608.895162037035</v>
      </c>
      <c r="G232" s="7">
        <v>1</v>
      </c>
      <c r="H232" s="15" t="s">
        <v>149</v>
      </c>
      <c r="I232" s="15">
        <v>42608.918356481481</v>
      </c>
      <c r="J232" s="7">
        <v>0</v>
      </c>
      <c r="K232" s="132" t="str">
        <f>IF(ISEVEN(B232),(B232-1)&amp;"/"&amp;B232,B232&amp;"/"&amp;(B232+1))</f>
        <v>4043/4044</v>
      </c>
      <c r="L232" s="24" t="e">
        <f>VLOOKUP(A232,'Trips&amp;Operators'!$C$1:$E$10000,3,FALSE)</f>
        <v>#N/A</v>
      </c>
      <c r="M232" s="6">
        <f>I232-F232</f>
        <v>2.3194444445834961E-2</v>
      </c>
      <c r="N232" s="7">
        <f>24*60*SUM($M232:$M232)</f>
        <v>33.400000002002344</v>
      </c>
      <c r="O232" s="7"/>
      <c r="P232" s="7"/>
      <c r="Q232" s="25"/>
      <c r="R232" s="25"/>
      <c r="S232" s="37">
        <f>SUM(U232:U232)/IF(AG232="EC",12,1)</f>
        <v>0</v>
      </c>
      <c r="T232" s="52" t="e">
        <f>IF(ISEVEN(LEFT(AD232,4)),"Southbound","NorthBound")</f>
        <v>#VALUE!</v>
      </c>
      <c r="U232" s="12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06" t="str">
        <f>"https://search-rtdc-monitor-bjffxe2xuh6vdkpspy63sjmuny.us-east-1.es.amazonaws.com/_plugin/kibana/#/discover/Steve-Slow-Train-Analysis-(2080s-and-2083s)?_g=(refreshInterval:(display:Off,section:0,value:0),time:(from:'"&amp;TEXT(E232-1/24,"yyyy-MM-DD hh:mm:ss")&amp;"-0600',mode:absolute,to:'"&amp;TEXT(I232+1/24,"yyyy-MM-DD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232&amp;"%22')),sort:!(Time,asc))"</f>
        <v>https://search-rtdc-monitor-bjffxe2xuh6vdkpspy63sjmuny.us-east-1.es.amazonaws.com/_plugin/kibana/#/discover/Steve-Slow-Train-Analysis-(2080s-and-2083s)?_g=(refreshInterval:(display:Off,section:0,value:0),time:(from:'2016-08-26 20:27:45-0600',mode:absolute,to:'2016-08-26 23:02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32" s="54" t="str">
        <f>IF(AA232&lt;IF(AG232="EC",23,5.65),"Y","N")</f>
        <v>N</v>
      </c>
      <c r="X232" s="120" t="e">
        <f>VALUE(LEFT(AD232,4))-VALUE(LEFT(AD231,4))</f>
        <v>#VALUE!</v>
      </c>
      <c r="Y232" s="69">
        <f>RIGHT(D232,LEN(D232)-4)/10000</f>
        <v>1.9121999999999999</v>
      </c>
      <c r="Z232" s="69">
        <f>RIGHT(H232,LEN(H232)-4)/10000</f>
        <v>23.33</v>
      </c>
      <c r="AA232" s="69">
        <f>ABS(Z232-Y232)</f>
        <v>21.4178</v>
      </c>
      <c r="AB232" s="66" t="e">
        <f>VLOOKUP(A232,Enforcements!$C$7:$J$21,8,0)</f>
        <v>#N/A</v>
      </c>
      <c r="AC232" s="62" t="e">
        <f>VLOOKUP(A232,Enforcements!$C$7:$E$21,3,0)</f>
        <v>#N/A</v>
      </c>
      <c r="AD232" s="63" t="str">
        <f>IF(LEN(A232)=6,"0"&amp;A232,A232)</f>
        <v>67-26</v>
      </c>
      <c r="AE232" s="99" t="str">
        <f>"aws s3 cp "&amp;s3_bucket&amp;"/RTDC"&amp;B232&amp;"/"&amp;TEXT(F232,"YYYY-MM-DD")&amp;"/ "&amp;search_path&amp;"\RTDC"&amp;B232&amp;"\"&amp;TEXT(F232,"YYYY-MM-DD")&amp;" --recursive &amp; """&amp;walkandungz&amp;""" "&amp;search_path&amp;"\RTDC"&amp;B232&amp;"\"&amp;TEXT(F232,"YYYY-MM-DD")
&amp;" &amp; "&amp;"aws s3 cp "&amp;s3_bucket&amp;"/RTDC"&amp;B232&amp;"/"&amp;TEXT(F232+1,"YYYY-MM-DD")&amp;"/ "&amp;search_path&amp;"\RTDC"&amp;B232&amp;"\"&amp;TEXT(F232+1,"YYYY-MM-DD")&amp;" --recursive &amp; """&amp;walkandungz&amp;""" "&amp;search_path&amp;"\RTDC"&amp;B232&amp;"\"&amp;TEXT(F232+1,"YYYY-MM-DD")</f>
        <v>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 &amp; aws s3 cp s3://rtdc.mdm.uploadarchive/RTDC4044/2016-08-27/ "%USERPROFILE%\AppData\Local\Temp\OnboardLogs"\RTDC4044\2016-08-27 --recursive &amp; "%USERPROFILE%\Documents\GitHub\mrs-test-scripts\Headless Mode &amp; Sideloading\WalkAndUnGZ.bat" "%USERPROFILE%\AppData\Local\Temp\OnboardLogs"\RTDC4044\2016-08-27</v>
      </c>
      <c r="AF232" s="96" t="str">
        <f>astrogrep_path&amp;" /spath="&amp;search_path&amp;" /stypes=""*"&amp;B232&amp;"*"&amp;TEXT(I232-utc_offset/24,"YYYYMMDD")&amp;"*"" /stext="" "&amp;TEXT(I232-utc_offset/24,"HH")&amp;search_regexp&amp;""" /e /r /s"</f>
        <v>"C:\Program Files (x86)\AstroGrep\AstroGrep.exe" /spath="%USERPROFILE%\AppData\Local\Temp\OnboardLogs" /stypes="*4044*20160827*" /stext=" 04:.+((SYSTEM_STATE.+slice.+state.+changed )|(ment ac)|(system.+state.+changed )|(\|lc)|(penalty)|(\[timeout)|(PRM\|1\|D)|(kpr)|(kdp))" /e /r /s</v>
      </c>
      <c r="AG232" s="1" t="str">
        <f>IFERROR(IF(VALUE(LEFT(AD232,2))&lt;=2,"EC",IF(OR(VALUE(LEFT(AD232,2))=8,VALUE(LEFT(AD232,2))=18),"NW","Other")),"Other")</f>
        <v>Other</v>
      </c>
      <c r="AH232" s="100" t="str">
        <f t="shared" si="86"/>
        <v>"%USERPROFILE%\Documents\GitHub\eaglep3\Utilities\RefineRTDCRunTimes.py" --tripid 67-26 --locoid 4044 --swversion DE.1.0.7.0 --startMP 204:19122 --initTime 2016-08-26T21:27:45 --startdatetime 2016-08-26T21:29:02 --delay 1 --endMP 204:233300 --enddatetime 2016-08-26T22:02:26 --enforcementcount 0 &gt;&gt;C:\Users\stu\Documents\GitHub\eaglep3-reporting\EC\2016-08-27-refined-times.txt</v>
      </c>
      <c r="AI232" s="149" t="str">
        <f t="shared" si="87"/>
        <v>echo {"issue":{"subject":"","project_id":79,"tracker_id":40,"status_id":1,"priority_id":2,"assigned_to_id":23,"start_date":"2016-08-26","description":"","custom_fields":[{"id":1,"name":"Subdivision","value":"Other"},{"id":4,"name":"Milepost","value":"21.4178"},{"id":17,"name":"Train ID","value":"67-26"},{"id":16,"name":"Locomotive ID","value":"4044"},{"id":130,"name":"Impact","value":""},{"id":150,"name":"Time of Event (Mountain Time)","value":"22:02:26"},{"id":151,"name":"Denver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5"/>
      <c r="AK232" s="55"/>
      <c r="AL232" s="55"/>
    </row>
    <row r="233" spans="1:38" x14ac:dyDescent="0.25">
      <c r="A233" s="39" t="s">
        <v>314</v>
      </c>
      <c r="B233" s="7">
        <v>4044</v>
      </c>
      <c r="C233" s="24" t="s">
        <v>113</v>
      </c>
      <c r="D233" s="24" t="s">
        <v>331</v>
      </c>
      <c r="E233" s="15">
        <v>42608.889178240737</v>
      </c>
      <c r="F233" s="15">
        <v>42608.890208333331</v>
      </c>
      <c r="G233" s="7">
        <v>1</v>
      </c>
      <c r="H233" s="15" t="s">
        <v>352</v>
      </c>
      <c r="I233" s="15">
        <v>42608.892442129632</v>
      </c>
      <c r="J233" s="7">
        <v>0</v>
      </c>
      <c r="K233" s="132" t="str">
        <f>IF(ISEVEN(B233),(B233-1)&amp;"/"&amp;B233,B233&amp;"/"&amp;(B233+1))</f>
        <v>4043/4044</v>
      </c>
      <c r="L233" s="24" t="e">
        <f>VLOOKUP(A233,'Trips&amp;Operators'!$C$1:$E$10000,3,FALSE)</f>
        <v>#N/A</v>
      </c>
      <c r="M233" s="6">
        <f>I233-F233</f>
        <v>2.2337963018799201E-3</v>
      </c>
      <c r="N233" s="7">
        <f>24*60*SUM($M233:$M233)</f>
        <v>3.2166666747070849</v>
      </c>
      <c r="O233" s="7"/>
      <c r="P233" s="7"/>
      <c r="Q233" s="25"/>
      <c r="R233" s="25"/>
      <c r="S233" s="37">
        <f>SUM(U233:U233)/IF(AG233="EC",12,1)</f>
        <v>0</v>
      </c>
      <c r="T233" s="52" t="e">
        <f>IF(ISEVEN(LEFT(AD233,4)),"Southbound","NorthBound")</f>
        <v>#VALUE!</v>
      </c>
      <c r="U233" s="12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06" t="str">
        <f>"https://search-rtdc-monitor-bjffxe2xuh6vdkpspy63sjmuny.us-east-1.es.amazonaws.com/_plugin/kibana/#/discover/Steve-Slow-Train-Analysis-(2080s-and-2083s)?_g=(refreshInterval:(display:Off,section:0,value:0),time:(from:'"&amp;TEXT(E233-1/24,"yyyy-MM-DD hh:mm:ss")&amp;"-0600',mode:absolute,to:'"&amp;TEXT(I233+1/24,"yyyy-MM-DD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233&amp;"%22')),sort:!(Time,asc))"</f>
        <v>https://search-rtdc-monitor-bjffxe2xuh6vdkpspy63sjmuny.us-east-1.es.amazonaws.com/_plugin/kibana/#/discover/Steve-Slow-Train-Analysis-(2080s-and-2083s)?_g=(refreshInterval:(display:Off,section:0,value:0),time:(from:'2016-08-26 20:20:25-0600',mode:absolute,to:'2016-08-26 22:25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33" s="54" t="str">
        <f>IF(AA233&lt;IF(AG233="EC",23,5.65),"Y","N")</f>
        <v>Y</v>
      </c>
      <c r="X233" s="120" t="e">
        <f>VALUE(LEFT(AD233,4))-VALUE(LEFT(AD232,4))</f>
        <v>#VALUE!</v>
      </c>
      <c r="Y233" s="69">
        <f>RIGHT(D233,LEN(D233)-4)/10000</f>
        <v>7.7700000000000005E-2</v>
      </c>
      <c r="Z233" s="69">
        <f>RIGHT(H233,LEN(H233)-4)/10000</f>
        <v>0.58879999999999999</v>
      </c>
      <c r="AA233" s="69">
        <f>ABS(Z233-Y233)</f>
        <v>0.5111</v>
      </c>
      <c r="AB233" s="66" t="e">
        <f>VLOOKUP(A233,Enforcements!$C$7:$J$21,8,0)</f>
        <v>#N/A</v>
      </c>
      <c r="AC233" s="62" t="e">
        <f>VLOOKUP(A233,Enforcements!$C$7:$E$21,3,0)</f>
        <v>#N/A</v>
      </c>
      <c r="AD233" s="63" t="str">
        <f>IF(LEN(A233)=6,"0"&amp;A233,A233)</f>
        <v>67-26</v>
      </c>
      <c r="AE233" s="99" t="str">
        <f>"aws s3 cp "&amp;s3_bucket&amp;"/RTDC"&amp;B233&amp;"/"&amp;TEXT(F233,"YYYY-MM-DD")&amp;"/ "&amp;search_path&amp;"\RTDC"&amp;B233&amp;"\"&amp;TEXT(F233,"YYYY-MM-DD")&amp;" --recursive &amp; """&amp;walkandungz&amp;""" "&amp;search_path&amp;"\RTDC"&amp;B233&amp;"\"&amp;TEXT(F233,"YYYY-MM-DD")
&amp;" &amp; "&amp;"aws s3 cp "&amp;s3_bucket&amp;"/RTDC"&amp;B233&amp;"/"&amp;TEXT(F233+1,"YYYY-MM-DD")&amp;"/ "&amp;search_path&amp;"\RTDC"&amp;B233&amp;"\"&amp;TEXT(F233+1,"YYYY-MM-DD")&amp;" --recursive &amp; """&amp;walkandungz&amp;""" "&amp;search_path&amp;"\RTDC"&amp;B233&amp;"\"&amp;TEXT(F233+1,"YYYY-MM-DD")</f>
        <v>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 &amp; aws s3 cp s3://rtdc.mdm.uploadarchive/RTDC4044/2016-08-27/ "%USERPROFILE%\AppData\Local\Temp\OnboardLogs"\RTDC4044\2016-08-27 --recursive &amp; "%USERPROFILE%\Documents\GitHub\mrs-test-scripts\Headless Mode &amp; Sideloading\WalkAndUnGZ.bat" "%USERPROFILE%\AppData\Local\Temp\OnboardLogs"\RTDC4044\2016-08-27</v>
      </c>
      <c r="AF233" s="96" t="str">
        <f>astrogrep_path&amp;" /spath="&amp;search_path&amp;" /stypes=""*"&amp;B233&amp;"*"&amp;TEXT(I233-utc_offset/24,"YYYYMMDD")&amp;"*"" /stext="" "&amp;TEXT(I233-utc_offset/24,"HH")&amp;search_regexp&amp;""" /e /r /s"</f>
        <v>"C:\Program Files (x86)\AstroGrep\AstroGrep.exe" /spath="%USERPROFILE%\AppData\Local\Temp\OnboardLogs" /stypes="*4044*20160827*" /stext=" 03:.+((SYSTEM_STATE.+slice.+state.+changed )|(ment ac)|(system.+state.+changed )|(\|lc)|(penalty)|(\[timeout)|(PRM\|1\|D)|(kpr)|(kdp))" /e /r /s</v>
      </c>
      <c r="AG233" s="1" t="str">
        <f>IFERROR(IF(VALUE(LEFT(AD233,2))&lt;=2,"EC",IF(OR(VALUE(LEFT(AD233,2))=8,VALUE(LEFT(AD233,2))=18),"NW","Other")),"Other")</f>
        <v>Other</v>
      </c>
      <c r="AH233" s="100" t="str">
        <f t="shared" si="86"/>
        <v>"%USERPROFILE%\Documents\GitHub\eaglep3\Utilities\RefineRTDCRunTimes.py" --tripid 67-26 --locoid 4044 --swversion DE.1.0.7.0 --startMP 204:777 --initTime 2016-08-26T21:20:25 --startdatetime 2016-08-26T21:21:54 --delay 1 --endMP 204:5888 --enddatetime 2016-08-26T21:25:07 --enforcementcount 0 &gt;&gt;C:\Users\stu\Documents\GitHub\eaglep3-reporting\EC\2016-08-27-refined-times.txt</v>
      </c>
      <c r="AI233" s="149" t="str">
        <f t="shared" si="87"/>
        <v>echo {"issue":{"subject":"","project_id":79,"tracker_id":40,"status_id":1,"priority_id":2,"assigned_to_id":23,"start_date":"2016-08-26","description":"","custom_fields":[{"id":1,"name":"Subdivision","value":"Other"},{"id":4,"name":"Milepost","value":"0.5111"},{"id":17,"name":"Train ID","value":"67-26"},{"id":16,"name":"Locomotive ID","value":"4044"},{"id":130,"name":"Impact","value":""},{"id":150,"name":"Time of Event (Mountain Time)","value":"21:25:07"},{"id":151,"name":"Denver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5"/>
      <c r="AK233" s="55"/>
      <c r="AL233" s="55"/>
    </row>
    <row r="234" spans="1:38" x14ac:dyDescent="0.25">
      <c r="A234" s="39" t="s">
        <v>309</v>
      </c>
      <c r="B234" s="7">
        <v>4021</v>
      </c>
      <c r="C234" s="24" t="s">
        <v>113</v>
      </c>
      <c r="D234" s="24" t="s">
        <v>366</v>
      </c>
      <c r="E234" s="15">
        <v>42608.752164351848</v>
      </c>
      <c r="F234" s="15">
        <v>42608.754814814813</v>
      </c>
      <c r="G234" s="7">
        <v>3</v>
      </c>
      <c r="H234" s="15" t="s">
        <v>367</v>
      </c>
      <c r="I234" s="15">
        <v>42608.761574074073</v>
      </c>
      <c r="J234" s="7">
        <v>0</v>
      </c>
      <c r="K234" s="132" t="str">
        <f>IF(ISEVEN(B234),(B234-1)&amp;"/"&amp;B234,B234&amp;"/"&amp;(B234+1))</f>
        <v>4021/4022</v>
      </c>
      <c r="L234" s="24" t="e">
        <f>VLOOKUP(A234,'Trips&amp;Operators'!$C$1:$E$10000,3,FALSE)</f>
        <v>#N/A</v>
      </c>
      <c r="M234" s="6">
        <f>I234-F234</f>
        <v>6.7592592604341917E-3</v>
      </c>
      <c r="N234" s="7">
        <f>24*60*SUM($M234:$M234)</f>
        <v>9.733333335025236</v>
      </c>
      <c r="O234" s="7"/>
      <c r="P234" s="7"/>
      <c r="Q234" s="25"/>
      <c r="R234" s="25"/>
      <c r="S234" s="37">
        <f>SUM(U234:U234)/IF(AG234="EC",12,1)</f>
        <v>0</v>
      </c>
      <c r="T234" s="52" t="e">
        <f>IF(ISEVEN(LEFT(AD234,4)),"Southbound","NorthBound")</f>
        <v>#VALUE!</v>
      </c>
      <c r="U234" s="12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06" t="str">
        <f>"https://search-rtdc-monitor-bjffxe2xuh6vdkpspy63sjmuny.us-east-1.es.amazonaws.com/_plugin/kibana/#/discover/Steve-Slow-Train-Analysis-(2080s-and-2083s)?_g=(refreshInterval:(display:Off,section:0,value:0),time:(from:'"&amp;TEXT(E234-1/24,"yyyy-MM-DD hh:mm:ss")&amp;"-0600',mode:absolute,to:'"&amp;TEXT(I234+1/24,"yyyy-MM-DD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234&amp;"%22')),sort:!(Time,asc))"</f>
        <v>https://search-rtdc-monitor-bjffxe2xuh6vdkpspy63sjmuny.us-east-1.es.amazonaws.com/_plugin/kibana/#/discover/Steve-Slow-Train-Analysis-(2080s-and-2083s)?_g=(refreshInterval:(display:Off,section:0,value:0),time:(from:'2016-08-26 17:03:07-0600',mode:absolute,to:'2016-08-26 19:16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W234" s="54" t="str">
        <f>IF(AA234&lt;IF(AG234="EC",23,5.65),"Y","N")</f>
        <v>Y</v>
      </c>
      <c r="X234" s="120" t="e">
        <f>VALUE(LEFT(AD234,4))-VALUE(LEFT(AD233,4))</f>
        <v>#VALUE!</v>
      </c>
      <c r="Y234" s="69">
        <f>RIGHT(D234,LEN(D234)-4)/10000</f>
        <v>2.3449</v>
      </c>
      <c r="Z234" s="69">
        <f>RIGHT(H234,LEN(H234)-4)/10000</f>
        <v>1.3299999999999999E-2</v>
      </c>
      <c r="AA234" s="69">
        <f>ABS(Z234-Y234)</f>
        <v>2.3315999999999999</v>
      </c>
      <c r="AB234" s="66" t="e">
        <f>VLOOKUP(A234,Enforcements!$C$7:$J$21,8,0)</f>
        <v>#N/A</v>
      </c>
      <c r="AC234" s="62" t="e">
        <f>VLOOKUP(A234,Enforcements!$C$7:$E$21,3,0)</f>
        <v>#N/A</v>
      </c>
      <c r="AD234" s="63" t="str">
        <f>IF(LEN(A234)=6,"0"&amp;A234,A234)</f>
        <v>68-26</v>
      </c>
      <c r="AE234" s="99" t="str">
        <f>"aws s3 cp "&amp;s3_bucket&amp;"/RTDC"&amp;B234&amp;"/"&amp;TEXT(F234,"YYYY-MM-DD")&amp;"/ "&amp;search_path&amp;"\RTDC"&amp;B234&amp;"\"&amp;TEXT(F234,"YYYY-MM-DD")&amp;" --recursive &amp; """&amp;walkandungz&amp;""" "&amp;search_path&amp;"\RTDC"&amp;B234&amp;"\"&amp;TEXT(F234,"YYYY-MM-DD")
&amp;" &amp; "&amp;"aws s3 cp "&amp;s3_bucket&amp;"/RTDC"&amp;B234&amp;"/"&amp;TEXT(F234+1,"YYYY-MM-DD")&amp;"/ "&amp;search_path&amp;"\RTDC"&amp;B234&amp;"\"&amp;TEXT(F234+1,"YYYY-MM-DD")&amp;" --recursive &amp; """&amp;walkandungz&amp;""" "&amp;search_path&amp;"\RTDC"&amp;B234&amp;"\"&amp;TEXT(F234+1,"YYYY-MM-DD")</f>
        <v>aws s3 cp s3://rtdc.mdm.uploadarchive/RTDC4021/2016-08-26/ "%USERPROFILE%\AppData\Local\Temp\OnboardLogs"\RTDC4021\2016-08-26 --recursive &amp; "%USERPROFILE%\Documents\GitHub\mrs-test-scripts\Headless Mode &amp; Sideloading\WalkAndUnGZ.bat" "%USERPROFILE%\AppData\Local\Temp\OnboardLogs"\RTDC4021\2016-08-26 &amp; aws s3 cp s3://rtdc.mdm.uploadarchive/RTDC4021/2016-08-27/ "%USERPROFILE%\AppData\Local\Temp\OnboardLogs"\RTDC4021\2016-08-27 --recursive &amp; "%USERPROFILE%\Documents\GitHub\mrs-test-scripts\Headless Mode &amp; Sideloading\WalkAndUnGZ.bat" "%USERPROFILE%\AppData\Local\Temp\OnboardLogs"\RTDC4021\2016-08-27</v>
      </c>
      <c r="AF234" s="96" t="str">
        <f>astrogrep_path&amp;" /spath="&amp;search_path&amp;" /stypes=""*"&amp;B234&amp;"*"&amp;TEXT(I234-utc_offset/24,"YYYYMMDD")&amp;"*"" /stext="" "&amp;TEXT(I234-utc_offset/24,"HH")&amp;search_regexp&amp;""" /e /r /s"</f>
        <v>"C:\Program Files (x86)\AstroGrep\AstroGrep.exe" /spath="%USERPROFILE%\AppData\Local\Temp\OnboardLogs" /stypes="*4021*20160827*" /stext=" 00:.+((SYSTEM_STATE.+slice.+state.+changed )|(ment ac)|(system.+state.+changed )|(\|lc)|(penalty)|(\[timeout)|(PRM\|1\|D)|(kpr)|(kdp))" /e /r /s</v>
      </c>
      <c r="AG234" s="1" t="str">
        <f>IFERROR(IF(VALUE(LEFT(AD234,2))&lt;=2,"EC",IF(OR(VALUE(LEFT(AD234,2))=8,VALUE(LEFT(AD234,2))=18),"NW","Other")),"Other")</f>
        <v>Other</v>
      </c>
      <c r="AH234" s="100" t="str">
        <f t="shared" si="86"/>
        <v>"%USERPROFILE%\Documents\GitHub\eaglep3\Utilities\RefineRTDCRunTimes.py" --tripid 68-26 --locoid 4021 --swversion DE.1.0.7.0 --startMP 300:23449 --initTime 2016-08-26T18:03:07 --startdatetime 2016-08-26T18:06:56 --delay 3 --endMP 204:133 --enddatetime 2016-08-26T18:16:40 --enforcementcount 0 &gt;&gt;C:\Users\stu\Documents\GitHub\eaglep3-reporting\EC\2016-08-27-refined-times.txt</v>
      </c>
      <c r="AI234" s="149" t="str">
        <f t="shared" si="87"/>
        <v>echo {"issue":{"subject":"","project_id":79,"tracker_id":40,"status_id":1,"priority_id":2,"assigned_to_id":23,"start_date":"2016-08-26","description":"","custom_fields":[{"id":1,"name":"Subdivision","value":"Other"},{"id":4,"name":"Milepost","value":"2.3316"},{"id":17,"name":"Train ID","value":"68-26"},{"id":16,"name":"Locomotive ID","value":"4021"},{"id":130,"name":"Impact","value":""},{"id":150,"name":"Time of Event (Mountain Time)","value":"18:16:40"},{"id":151,"name":"Denver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32"/>
      <c r="L235" s="24"/>
      <c r="M235" s="6"/>
      <c r="N235" s="7"/>
      <c r="O235" s="7"/>
      <c r="P235" s="7"/>
      <c r="Q235" s="25"/>
      <c r="R235" s="25"/>
      <c r="S235" s="37"/>
      <c r="T235" s="52"/>
      <c r="U235" s="126"/>
      <c r="V235" s="106"/>
      <c r="W235" s="54"/>
      <c r="X235" s="120"/>
      <c r="Y235" s="69"/>
      <c r="Z235" s="69"/>
      <c r="AA235" s="69"/>
      <c r="AB235" s="66"/>
      <c r="AC235" s="62"/>
      <c r="AD235" s="63"/>
      <c r="AE235" s="99"/>
      <c r="AF235" s="96"/>
      <c r="AG235" s="1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32"/>
      <c r="L236" s="24"/>
      <c r="M236" s="6"/>
      <c r="N236" s="7"/>
      <c r="O236" s="7"/>
      <c r="P236" s="7"/>
      <c r="Q236" s="25"/>
      <c r="R236" s="25"/>
      <c r="S236" s="37"/>
      <c r="T236" s="52"/>
      <c r="U236" s="126"/>
      <c r="V236" s="106"/>
      <c r="W236" s="54"/>
      <c r="X236" s="120"/>
      <c r="Y236" s="69"/>
      <c r="Z236" s="69"/>
      <c r="AA236" s="69"/>
      <c r="AB236" s="66"/>
      <c r="AC236" s="62"/>
      <c r="AD236" s="63"/>
      <c r="AE236" s="99"/>
      <c r="AF236" s="96"/>
      <c r="AG236" s="1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32"/>
      <c r="L237" s="24"/>
      <c r="M237" s="6"/>
      <c r="N237" s="7"/>
      <c r="O237" s="7"/>
      <c r="P237" s="7"/>
      <c r="Q237" s="25"/>
      <c r="R237" s="25"/>
      <c r="S237" s="37"/>
      <c r="T237" s="52"/>
      <c r="U237" s="126"/>
      <c r="V237" s="106"/>
      <c r="W237" s="54"/>
      <c r="X237" s="120"/>
      <c r="Y237" s="69"/>
      <c r="Z237" s="69"/>
      <c r="AA237" s="69"/>
      <c r="AB237" s="66"/>
      <c r="AC237" s="62"/>
      <c r="AD237" s="63"/>
      <c r="AE237" s="99"/>
      <c r="AF237" s="96"/>
      <c r="AG237" s="1"/>
    </row>
  </sheetData>
  <autoFilter ref="A12:AG237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37" priority="259" operator="equal">
      <formula>"Y"</formula>
    </cfRule>
  </conditionalFormatting>
  <conditionalFormatting sqref="X13:X1048576">
    <cfRule type="cellIs" dxfId="36" priority="242" operator="greaterThan">
      <formula>1</formula>
    </cfRule>
  </conditionalFormatting>
  <conditionalFormatting sqref="X12:X1048576">
    <cfRule type="cellIs" dxfId="35" priority="239" operator="equal">
      <formula>0</formula>
    </cfRule>
  </conditionalFormatting>
  <conditionalFormatting sqref="A13:S237">
    <cfRule type="expression" dxfId="34" priority="235">
      <formula>$O13&gt;0</formula>
    </cfRule>
  </conditionalFormatting>
  <conditionalFormatting sqref="A13:S237">
    <cfRule type="expression" dxfId="33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Values'!$C$2:$C$13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74"/>
  <sheetViews>
    <sheetView topLeftCell="A2" workbookViewId="0">
      <selection activeCell="N13" sqref="N13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.85546875" customWidth="1"/>
    <col min="12" max="12" width="11.85546875" style="30" customWidth="1"/>
    <col min="13" max="13" width="5.140625" style="114" customWidth="1"/>
    <col min="14" max="14" width="30.7109375" customWidth="1"/>
    <col min="15" max="15" width="5" hidden="1" customWidth="1"/>
    <col min="16" max="16" width="5.7109375" style="97" customWidth="1"/>
    <col min="17" max="17" width="5.7109375" style="109" customWidth="1"/>
    <col min="18" max="18" width="6" style="94" customWidth="1"/>
    <col min="19" max="19" width="5.28515625" customWidth="1"/>
    <col min="20" max="20" width="20" style="50" bestFit="1" customWidth="1"/>
    <col min="21" max="21" width="5.28515625" customWidth="1"/>
    <col min="22" max="22" width="6.7109375" customWidth="1"/>
  </cols>
  <sheetData>
    <row r="1" spans="1:26" s="23" customFormat="1" ht="15.75" hidden="1" thickBot="1" x14ac:dyDescent="0.3">
      <c r="A1" s="8"/>
      <c r="F1" s="2"/>
      <c r="G1" s="2"/>
      <c r="H1" s="2"/>
      <c r="J1" s="2"/>
      <c r="L1" s="30"/>
      <c r="M1" s="114"/>
      <c r="P1" s="97"/>
      <c r="Q1" s="109"/>
      <c r="R1" s="94"/>
      <c r="T1" s="50"/>
    </row>
    <row r="2" spans="1:26" s="23" customFormat="1" x14ac:dyDescent="0.25">
      <c r="A2" s="8"/>
      <c r="F2" s="2"/>
      <c r="G2" s="2"/>
      <c r="H2" s="2"/>
      <c r="J2" s="2"/>
      <c r="K2" s="133" t="s">
        <v>87</v>
      </c>
      <c r="L2" s="134"/>
      <c r="M2" s="135">
        <f>COUNTIF($M$7:$M$403,"=Y")</f>
        <v>1</v>
      </c>
      <c r="N2" s="136"/>
      <c r="P2" s="97"/>
      <c r="Q2" s="109"/>
      <c r="R2" s="94"/>
      <c r="T2" s="50"/>
    </row>
    <row r="3" spans="1:26" s="23" customFormat="1" ht="15.75" thickBot="1" x14ac:dyDescent="0.3">
      <c r="A3" s="8"/>
      <c r="F3" s="2"/>
      <c r="G3" s="2"/>
      <c r="H3" s="2"/>
      <c r="J3" s="2"/>
      <c r="K3" s="137" t="s">
        <v>88</v>
      </c>
      <c r="L3" s="138"/>
      <c r="M3" s="139">
        <f>COUNTA($M$7:$M$403)-M2</f>
        <v>39</v>
      </c>
      <c r="N3" s="136"/>
      <c r="P3" s="97"/>
      <c r="Q3" s="109"/>
      <c r="R3" s="94"/>
      <c r="T3" s="50"/>
    </row>
    <row r="4" spans="1:26" s="23" customFormat="1" x14ac:dyDescent="0.25">
      <c r="A4" s="8"/>
      <c r="F4" s="2"/>
      <c r="G4" s="2"/>
      <c r="H4" s="2"/>
      <c r="J4" s="2"/>
      <c r="L4" s="30"/>
      <c r="M4" s="114"/>
      <c r="P4" s="97"/>
      <c r="Q4" s="109"/>
      <c r="R4" s="94"/>
      <c r="T4" s="50"/>
    </row>
    <row r="5" spans="1:26" s="11" customFormat="1" ht="15" customHeight="1" x14ac:dyDescent="0.25">
      <c r="A5" s="163" t="str">
        <f>"Eagle P3 Braking Events - "&amp;TEXT(Variables!$A$2,"YYYY-mm-dd")</f>
        <v>Eagle P3 Braking Events - 2016-08-27</v>
      </c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2"/>
      <c r="P5" s="107"/>
      <c r="Q5" s="110"/>
      <c r="R5" s="112"/>
      <c r="T5" s="51"/>
    </row>
    <row r="6" spans="1:26" s="162" customFormat="1" ht="69.75" customHeight="1" x14ac:dyDescent="0.2">
      <c r="A6" s="150" t="s">
        <v>38</v>
      </c>
      <c r="B6" s="151" t="s">
        <v>37</v>
      </c>
      <c r="C6" s="151" t="s">
        <v>36</v>
      </c>
      <c r="D6" s="151" t="s">
        <v>35</v>
      </c>
      <c r="E6" s="151" t="s">
        <v>34</v>
      </c>
      <c r="F6" s="152" t="s">
        <v>33</v>
      </c>
      <c r="G6" s="152" t="s">
        <v>32</v>
      </c>
      <c r="H6" s="152" t="s">
        <v>31</v>
      </c>
      <c r="I6" s="151" t="s">
        <v>30</v>
      </c>
      <c r="J6" s="152" t="s">
        <v>29</v>
      </c>
      <c r="K6" s="151" t="s">
        <v>28</v>
      </c>
      <c r="L6" s="153" t="s">
        <v>47</v>
      </c>
      <c r="M6" s="154" t="s">
        <v>27</v>
      </c>
      <c r="N6" s="151" t="s">
        <v>24</v>
      </c>
      <c r="O6" s="155"/>
      <c r="P6" s="156" t="s">
        <v>101</v>
      </c>
      <c r="Q6" s="157" t="s">
        <v>61</v>
      </c>
      <c r="R6" s="158" t="s">
        <v>100</v>
      </c>
      <c r="S6" s="151" t="s">
        <v>95</v>
      </c>
      <c r="T6" s="159" t="s">
        <v>96</v>
      </c>
      <c r="U6" s="155" t="s">
        <v>108</v>
      </c>
      <c r="V6" s="155" t="s">
        <v>110</v>
      </c>
      <c r="W6" s="160" t="s">
        <v>248</v>
      </c>
      <c r="X6" s="161" t="s">
        <v>249</v>
      </c>
      <c r="Y6" s="161" t="s">
        <v>221</v>
      </c>
      <c r="Z6" s="161" t="s">
        <v>250</v>
      </c>
    </row>
    <row r="7" spans="1:26" s="1" customFormat="1" x14ac:dyDescent="0.25">
      <c r="A7" s="38">
        <v>42609.672847222224</v>
      </c>
      <c r="B7" s="33" t="s">
        <v>289</v>
      </c>
      <c r="C7" s="33" t="s">
        <v>584</v>
      </c>
      <c r="D7" s="33" t="s">
        <v>111</v>
      </c>
      <c r="E7" s="33" t="s">
        <v>326</v>
      </c>
      <c r="F7" s="49">
        <v>0</v>
      </c>
      <c r="G7" s="49">
        <v>386</v>
      </c>
      <c r="H7" s="49">
        <v>42923</v>
      </c>
      <c r="I7" s="33" t="s">
        <v>325</v>
      </c>
      <c r="J7" s="49">
        <v>42961</v>
      </c>
      <c r="K7" s="33" t="s">
        <v>53</v>
      </c>
      <c r="L7" s="92" t="str">
        <f>VLOOKUP(C7,'Trips&amp;Operators'!$C$1:$E$9999,3,0)</f>
        <v>BARTLETT</v>
      </c>
      <c r="M7" s="131" t="s">
        <v>86</v>
      </c>
      <c r="N7" s="10" t="s">
        <v>383</v>
      </c>
      <c r="O7" s="33"/>
      <c r="P7" s="108" t="str">
        <f>VLOOKUP(C7,'Train Runs'!$A$13:$AE$10012,31,0)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Q7" s="111" t="str">
        <f>VLOOKUP(C7,'Train Runs'!$A$13:$AE$10012,22,0)</f>
        <v>https://search-rtdc-monitor-bjffxe2xuh6vdkpspy63sjmuny.us-east-1.es.amazonaws.com/_plugin/kibana/#/discover/Steve-Slow-Train-Analysis-(2080s-and-2083s)?_g=(refreshInterval:(display:Off,section:0,value:0),time:(from:'2016-08-27 14:34:38-0600',mode:absolute,to:'2016-08-27 17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7" s="113" t="str">
        <f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/stypes="*4019*201608272*" /stext=" 22:.+((SYSTEM_STATE.+slice.+state.+changed )|(ment ac)|(system.+state.+changed )|(\|lc)|(penalty)|(\[timeout)|(PRM\|1\|D)|(kpr)|(kdp))" /e /r /s</v>
      </c>
      <c r="S7" s="9" t="str">
        <f>MID(B7,13,4)</f>
        <v>4019</v>
      </c>
      <c r="T7" s="38">
        <f>A7+6/24</f>
        <v>42609.922847222224</v>
      </c>
      <c r="U7" s="52" t="str">
        <f>IF(VALUE(LEFT(IF(LEN(C7)=6,"0"&amp;C7,C7),2))&lt;=2,"EC",IF(OR(VALUE(LEFT(IF(LEN(C7)=6,"0"&amp;C7,C7),2))=8,VALUE(LEFT(IF(LEN(C7)=6,"0"&amp;C7,C7),2))=18),"NW","Other"))</f>
        <v>EC</v>
      </c>
      <c r="V7" s="52" t="str">
        <f>IF(AND(E7="TRACK WARRANT AUTHORITY",G7&lt;10),"OMIT","KEEP")</f>
        <v>KEEP</v>
      </c>
      <c r="W7" s="149" t="str">
        <f>"echo {""issue"":{""subject"":"""&amp;N7&amp;""",""project_id"":79,""tracker_id"":40,""status_id"":"&amp;redmine_status&amp;",""priority_id"":"&amp;redmine_priority&amp;",""assigned_to_id"":"&amp;redmine_assignee&amp;",""start_date"":"""&amp;TEXT(A7,"YYYY-mm-dd")&amp;""",""description"":"""&amp;X7&amp;""",""custom_fields"":[{""id"":1,""name"":""Subdivision"",""value"":"""&amp;U7&amp;"""},{""id"":4,""name"":""Milepost"",""value"":"""&amp;J7/10000&amp;"""},{""id"":17,""name"":""Train ID"",""value"":"""&amp;C7&amp;"""},{""id"":16,""name"":""Locomotive ID"",""value"":"""&amp;S7&amp;"""},{""id"":130,""name"":""Impact"",""value"":"""&amp;Y7&amp;"""},{""id"":150,""name"":""Time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Assigned"",""value"":"""&amp;Z7&amp;"""}]}}"&amp;"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arrival","project_id":79,"tracker_id":40,"status_id":1,"priority_id":2,"assigned_to_id":23,"start_date":"2016-08-27","description":"","custom_fields":[{"id":1,"name":"Subdivision","value":"EC"},{"id":4,"name":"Milepost","value":"4.2961"},{"id":17,"name":"Train ID","value":"190-27"},{"id":16,"name":"Locomotive ID","value":"4019"},{"id":130,"name":"Impact","value":""},{"id":150,"name":"Time of Event (Mountain Time)","value":"16:08:54"},{"id":151,"name":"Denver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" s="55"/>
      <c r="Y7" s="55"/>
      <c r="Z7" s="55"/>
    </row>
    <row r="8" spans="1:26" s="1" customFormat="1" x14ac:dyDescent="0.25">
      <c r="A8" s="38">
        <v>42609.312048611115</v>
      </c>
      <c r="B8" s="33" t="s">
        <v>92</v>
      </c>
      <c r="C8" s="33" t="s">
        <v>411</v>
      </c>
      <c r="D8" s="33" t="s">
        <v>49</v>
      </c>
      <c r="E8" s="33" t="s">
        <v>326</v>
      </c>
      <c r="F8" s="49">
        <v>0</v>
      </c>
      <c r="G8" s="49">
        <v>146</v>
      </c>
      <c r="H8" s="49">
        <v>49425</v>
      </c>
      <c r="I8" s="33" t="s">
        <v>325</v>
      </c>
      <c r="J8" s="49">
        <v>48048</v>
      </c>
      <c r="K8" s="33" t="s">
        <v>53</v>
      </c>
      <c r="L8" s="92" t="str">
        <f>VLOOKUP(C8,'Trips&amp;Operators'!$C$1:$E$9999,3,0)</f>
        <v>STRICKLAND</v>
      </c>
      <c r="M8" s="131" t="s">
        <v>86</v>
      </c>
      <c r="N8" s="10" t="s">
        <v>710</v>
      </c>
      <c r="O8" s="33"/>
      <c r="P8" s="108" t="str">
        <f>VLOOKUP(C8,'Train Runs'!$A$13:$AE$10012,31,0)</f>
        <v>aws s3 cp s3://rtdc.mdm.uploadarchive/RTDC4030/2016-08-27/ "%USERPROFILE%\AppData\Local\Temp\OnboardLogs"\RTDC4030\2016-08-27 --recursive &amp; "%USERPROFILE%\Documents\GitHub\mrs-test-scripts\Headless Mode &amp; Sideloading\WalkAndUnGZ.bat" "%USERPROFILE%\AppData\Local\Temp\OnboardLogs"\RTDC4030\2016-08-27 &amp; 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</v>
      </c>
      <c r="Q8" s="111" t="str">
        <f>VLOOKUP(C8,'Train Runs'!$A$13:$AE$10012,22,0)</f>
        <v>https://search-rtdc-monitor-bjffxe2xuh6vdkpspy63sjmuny.us-east-1.es.amazonaws.com/_plugin/kibana/#/discover/Steve-Slow-Train-Analysis-(2080s-and-2083s)?_g=(refreshInterval:(display:Off,section:0,value:0),time:(from:'2016-08-27 05:28:55-0600',mode:absolute,to:'2016-08-27 08:46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8" s="113" t="str">
        <f>astrogrep_path&amp;" /spath="&amp;search_path&amp;" /stypes=""*"&amp;S8&amp;"*"&amp;TEXT(A8-utc_offset/24,"YYYYMMDD")&amp;LEFT(TEXT(A8-utc_offset/24,"HH"),1)&amp;"*""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/stypes="*4030*201608271*" /stext=" 13:.+((SYSTEM_STATE.+slice.+state.+changed )|(ment ac)|(system.+state.+changed )|(\|lc)|(penalty)|(\[timeout)|(PRM\|1\|D)|(kpr)|(kdp))" /e /r /s</v>
      </c>
      <c r="S8" s="9" t="str">
        <f>MID(B8,13,4)</f>
        <v>4030</v>
      </c>
      <c r="T8" s="38">
        <f>A8+6/24</f>
        <v>42609.562048611115</v>
      </c>
      <c r="U8" s="52" t="str">
        <f>IF(VALUE(LEFT(IF(LEN(C8)=6,"0"&amp;C8,C8),2))&lt;=2,"EC",IF(OR(VALUE(LEFT(IF(LEN(C8)=6,"0"&amp;C8,C8),2))=8,VALUE(LEFT(IF(LEN(C8)=6,"0"&amp;C8,C8),2))=18),"NW","Other"))</f>
        <v>EC</v>
      </c>
      <c r="V8" s="52" t="str">
        <f>IF(AND(E8="TRACK WARRANT AUTHORITY",G8&lt;10),"OMIT","KEEP")</f>
        <v>KEEP</v>
      </c>
      <c r="W8" s="149" t="str">
        <f>"echo {""issue"":{""subject"":"""&amp;N8&amp;""",""project_id"":79,""tracker_id"":40,""status_id"":"&amp;redmine_status&amp;",""priority_id"":"&amp;redmine_priority&amp;",""assigned_to_id"":"&amp;redmine_assignee&amp;",""start_date"":"""&amp;TEXT(A8,"YYYY-mm-dd")&amp;""",""description"":"""&amp;X8&amp;""",""custom_fields"":[{""id"":1,""name"":""Subdivision"",""value"":"""&amp;U8&amp;"""},{""id"":4,""name"":""Milepost"",""value"":"""&amp;J8/10000&amp;"""},{""id"":17,""name"":""Train ID"",""value"":"""&amp;C8&amp;"""},{""id"":16,""name"":""Locomotive ID"",""value"":"""&amp;S8&amp;"""},{""id"":130,""name"":""Impact"",""value"":"""&amp;Y8&amp;"""},{""id"":150,""name"":""Time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Assigned"",""value"":"""&amp;Z8&amp;"""}]}}"&amp;"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C","project_id":79,"tracker_id":40,"status_id":1,"priority_id":2,"assigned_to_id":23,"start_date":"2016-08-27","description":"","custom_fields":[{"id":1,"name":"Subdivision","value":"EC"},{"id":4,"name":"Milepost","value":"4.8048"},{"id":17,"name":"Train ID","value":"116-27"},{"id":16,"name":"Locomotive ID","value":"4030"},{"id":130,"name":"Impact","value":""},{"id":150,"name":"Time of Event (Mountain Time)","value":"07:29:21"},{"id":151,"name":"Denver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8" s="55"/>
      <c r="Y8" s="55"/>
      <c r="Z8" s="55"/>
    </row>
    <row r="9" spans="1:26" s="1" customFormat="1" x14ac:dyDescent="0.25">
      <c r="A9" s="38">
        <v>42609.321631944447</v>
      </c>
      <c r="B9" s="33" t="s">
        <v>144</v>
      </c>
      <c r="C9" s="33" t="s">
        <v>418</v>
      </c>
      <c r="D9" s="33" t="s">
        <v>49</v>
      </c>
      <c r="E9" s="33" t="s">
        <v>326</v>
      </c>
      <c r="F9" s="49">
        <v>0</v>
      </c>
      <c r="G9" s="49">
        <v>56</v>
      </c>
      <c r="H9" s="49">
        <v>48243</v>
      </c>
      <c r="I9" s="33" t="s">
        <v>325</v>
      </c>
      <c r="J9" s="49">
        <v>48048</v>
      </c>
      <c r="K9" s="33" t="s">
        <v>53</v>
      </c>
      <c r="L9" s="92" t="str">
        <f>VLOOKUP(C9,'Trips&amp;Operators'!$C$1:$E$9999,3,0)</f>
        <v>MALAVE</v>
      </c>
      <c r="M9" s="131" t="s">
        <v>86</v>
      </c>
      <c r="N9" s="10" t="s">
        <v>710</v>
      </c>
      <c r="O9" s="33"/>
      <c r="P9" s="108" t="str">
        <f>VLOOKUP(C9,'Train Runs'!$A$13:$AE$10012,31,0)</f>
        <v>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 &amp; 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</v>
      </c>
      <c r="Q9" s="111" t="str">
        <f>VLOOKUP(C9,'Train Runs'!$A$13:$AE$10012,22,0)</f>
        <v>https://search-rtdc-monitor-bjffxe2xuh6vdkpspy63sjmuny.us-east-1.es.amazonaws.com/_plugin/kibana/#/discover/Steve-Slow-Train-Analysis-(2080s-and-2083s)?_g=(refreshInterval:(display:Off,section:0,value:0),time:(from:'2016-08-27 05:39:57-0600',mode:absolute,to:'2016-08-27 08:59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9" s="113" t="str">
        <f>astrogrep_path&amp;" /spath="&amp;search_path&amp;" /stypes=""*"&amp;S9&amp;"*"&amp;TEXT(A9-utc_offset/24,"YYYYMMDD")&amp;LEFT(TEXT(A9-utc_offset/24,"HH"),1)&amp;"*""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/stypes="*4037*201608271*" /stext=" 13:.+((SYSTEM_STATE.+slice.+state.+changed )|(ment ac)|(system.+state.+changed )|(\|lc)|(penalty)|(\[timeout)|(PRM\|1\|D)|(kpr)|(kdp))" /e /r /s</v>
      </c>
      <c r="S9" s="9" t="str">
        <f>MID(B9,13,4)</f>
        <v>4037</v>
      </c>
      <c r="T9" s="38">
        <f>A9+6/24</f>
        <v>42609.571631944447</v>
      </c>
      <c r="U9" s="52" t="str">
        <f>IF(VALUE(LEFT(IF(LEN(C9)=6,"0"&amp;C9,C9),2))&lt;=2,"EC",IF(OR(VALUE(LEFT(IF(LEN(C9)=6,"0"&amp;C9,C9),2))=8,VALUE(LEFT(IF(LEN(C9)=6,"0"&amp;C9,C9),2))=18),"NW","Other"))</f>
        <v>EC</v>
      </c>
      <c r="V9" s="52" t="str">
        <f>IF(AND(E9="TRACK WARRANT AUTHORITY",G9&lt;10),"OMIT","KEEP")</f>
        <v>KEEP</v>
      </c>
      <c r="W9" s="149" t="str">
        <f>"echo {""issue"":{""subject"":"""&amp;N9&amp;""",""project_id"":79,""tracker_id"":40,""status_id"":"&amp;redmine_status&amp;",""priority_id"":"&amp;redmine_priority&amp;",""assigned_to_id"":"&amp;redmine_assignee&amp;",""start_date"":"""&amp;TEXT(A9,"YYYY-mm-dd")&amp;""",""description"":"""&amp;X9&amp;""",""custom_fields"":[{""id"":1,""name"":""Subdivision"",""value"":"""&amp;U9&amp;"""},{""id"":4,""name"":""Milepost"",""value"":"""&amp;J9/10000&amp;"""},{""id"":17,""name"":""Train ID"",""value"":"""&amp;C9&amp;"""},{""id"":16,""name"":""Locomotive ID"",""value"":"""&amp;S9&amp;"""},{""id"":130,""name"":""Impact"",""value"":"""&amp;Y9&amp;"""},{""id"":150,""name"":""Time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Assigned"",""value"":"""&amp;Z9&amp;"""}]}}"&amp;"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C","project_id":79,"tracker_id":40,"status_id":1,"priority_id":2,"assigned_to_id":23,"start_date":"2016-08-27","description":"","custom_fields":[{"id":1,"name":"Subdivision","value":"EC"},{"id":4,"name":"Milepost","value":"4.8048"},{"id":17,"name":"Train ID","value":"118-27"},{"id":16,"name":"Locomotive ID","value":"4037"},{"id":130,"name":"Impact","value":""},{"id":150,"name":"Time of Event (Mountain Time)","value":"07:43:09"},{"id":151,"name":"Denver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9" s="55"/>
      <c r="Y9" s="55"/>
      <c r="Z9" s="55"/>
    </row>
    <row r="10" spans="1:26" s="1" customFormat="1" x14ac:dyDescent="0.25">
      <c r="A10" s="38">
        <v>42609.334328703706</v>
      </c>
      <c r="B10" s="33" t="s">
        <v>114</v>
      </c>
      <c r="C10" s="33" t="s">
        <v>435</v>
      </c>
      <c r="D10" s="33" t="s">
        <v>49</v>
      </c>
      <c r="E10" s="33" t="s">
        <v>326</v>
      </c>
      <c r="F10" s="49">
        <v>0</v>
      </c>
      <c r="G10" s="49">
        <v>299</v>
      </c>
      <c r="H10" s="49">
        <v>51489</v>
      </c>
      <c r="I10" s="33" t="s">
        <v>325</v>
      </c>
      <c r="J10" s="49">
        <v>53155</v>
      </c>
      <c r="K10" s="33" t="s">
        <v>52</v>
      </c>
      <c r="L10" s="92" t="str">
        <f>VLOOKUP(C10,'Trips&amp;Operators'!$C$1:$E$9999,3,0)</f>
        <v>MAELZER</v>
      </c>
      <c r="M10" s="131" t="s">
        <v>86</v>
      </c>
      <c r="N10" s="10" t="s">
        <v>710</v>
      </c>
      <c r="O10" s="33"/>
      <c r="P10" s="108" t="str">
        <f>VLOOKUP(C10,'Train Runs'!$A$13:$AE$10012,31,0)</f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Q10" s="111" t="str">
        <f>VLOOKUP(C10,'Train Runs'!$A$13:$AE$10012,22,0)</f>
        <v>https://search-rtdc-monitor-bjffxe2xuh6vdkpspy63sjmuny.us-east-1.es.amazonaws.com/_plugin/kibana/#/discover/Steve-Slow-Train-Analysis-(2080s-and-2083s)?_g=(refreshInterval:(display:Off,section:0,value:0),time:(from:'2016-08-27 06:37:57-0600',mode:absolute,to:'2016-08-27 09:32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10" s="113" t="str">
        <f>astrogrep_path&amp;" /spath="&amp;search_path&amp;" /stypes=""*"&amp;S10&amp;"*"&amp;TEXT(A10-utc_offset/24,"YYYYMMDD")&amp;LEFT(TEXT(A10-utc_offset/24,"HH"),1)&amp;"*""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/stypes="*4031*201608271*" /stext=" 14:.+((SYSTEM_STATE.+slice.+state.+changed )|(ment ac)|(system.+state.+changed )|(\|lc)|(penalty)|(\[timeout)|(PRM\|1\|D)|(kpr)|(kdp))" /e /r /s</v>
      </c>
      <c r="S10" s="9" t="str">
        <f>MID(B10,13,4)</f>
        <v>4031</v>
      </c>
      <c r="T10" s="38">
        <f>A10+6/24</f>
        <v>42609.584328703706</v>
      </c>
      <c r="U10" s="52" t="str">
        <f>IF(VALUE(LEFT(IF(LEN(C10)=6,"0"&amp;C10,C10),2))&lt;=2,"EC",IF(OR(VALUE(LEFT(IF(LEN(C10)=6,"0"&amp;C10,C10),2))=8,VALUE(LEFT(IF(LEN(C10)=6,"0"&amp;C10,C10),2))=18),"NW","Other"))</f>
        <v>EC</v>
      </c>
      <c r="V10" s="52" t="str">
        <f>IF(AND(E10="TRACK WARRANT AUTHORITY",G10&lt;10),"OMIT","KEEP")</f>
        <v>KEEP</v>
      </c>
      <c r="W10" s="149" t="str">
        <f>"echo {""issue"":{""subject"":"""&amp;N10&amp;""",""project_id"":79,""tracker_id"":40,""status_id"":"&amp;redmine_status&amp;",""priority_id"":"&amp;redmine_priority&amp;",""assigned_to_id"":"&amp;redmine_assignee&amp;",""start_date"":"""&amp;TEXT(A10,"YYYY-mm-dd")&amp;""",""description"":"""&amp;X10&amp;""",""custom_fields"":[{""id"":1,""name"":""Subdivision"",""value"":"""&amp;U10&amp;"""},{""id"":4,""name"":""Milepost"",""value"":"""&amp;J10/10000&amp;"""},{""id"":17,""name"":""Train ID"",""value"":"""&amp;C10&amp;"""},{""id"":16,""name"":""Locomotive ID"",""value"":"""&amp;S10&amp;"""},{""id"":130,""name"":""Impact"",""value"":"""&amp;Y10&amp;"""},{""id"":150,""name"":""Time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Assigned"",""value"":"""&amp;Z10&amp;"""}]}}"&amp;"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C","project_id":79,"tracker_id":40,"status_id":1,"priority_id":2,"assigned_to_id":23,"start_date":"2016-08-27","description":"","custom_fields":[{"id":1,"name":"Subdivision","value":"EC"},{"id":4,"name":"Milepost","value":"5.3155"},{"id":17,"name":"Train ID","value":"133-27"},{"id":16,"name":"Locomotive ID","value":"4031"},{"id":130,"name":"Impact","value":""},{"id":150,"name":"Time of Event (Mountain Time)","value":"08:01:26"},{"id":151,"name":"Denver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0" s="55"/>
      <c r="Y10" s="55"/>
      <c r="Z10" s="55"/>
    </row>
    <row r="11" spans="1:26" s="1" customFormat="1" x14ac:dyDescent="0.25">
      <c r="A11" s="38">
        <v>42609.309189814812</v>
      </c>
      <c r="B11" s="33" t="s">
        <v>92</v>
      </c>
      <c r="C11" s="33" t="s">
        <v>411</v>
      </c>
      <c r="D11" s="33" t="s">
        <v>49</v>
      </c>
      <c r="E11" s="33" t="s">
        <v>326</v>
      </c>
      <c r="F11" s="49">
        <v>0</v>
      </c>
      <c r="G11" s="49">
        <v>86</v>
      </c>
      <c r="H11" s="49">
        <v>58879</v>
      </c>
      <c r="I11" s="33" t="s">
        <v>325</v>
      </c>
      <c r="J11" s="49">
        <v>58301</v>
      </c>
      <c r="K11" s="33" t="s">
        <v>53</v>
      </c>
      <c r="L11" s="92" t="str">
        <f>VLOOKUP(C11,'Trips&amp;Operators'!$C$1:$E$9999,3,0)</f>
        <v>STRICKLAND</v>
      </c>
      <c r="M11" s="131" t="s">
        <v>86</v>
      </c>
      <c r="N11" s="10" t="s">
        <v>710</v>
      </c>
      <c r="O11" s="33"/>
      <c r="P11" s="108" t="str">
        <f>VLOOKUP(C11,'Train Runs'!$A$13:$AE$10012,31,0)</f>
        <v>aws s3 cp s3://rtdc.mdm.uploadarchive/RTDC4030/2016-08-27/ "%USERPROFILE%\AppData\Local\Temp\OnboardLogs"\RTDC4030\2016-08-27 --recursive &amp; "%USERPROFILE%\Documents\GitHub\mrs-test-scripts\Headless Mode &amp; Sideloading\WalkAndUnGZ.bat" "%USERPROFILE%\AppData\Local\Temp\OnboardLogs"\RTDC4030\2016-08-27 &amp; 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</v>
      </c>
      <c r="Q11" s="111" t="str">
        <f>VLOOKUP(C11,'Train Runs'!$A$13:$AE$10012,22,0)</f>
        <v>https://search-rtdc-monitor-bjffxe2xuh6vdkpspy63sjmuny.us-east-1.es.amazonaws.com/_plugin/kibana/#/discover/Steve-Slow-Train-Analysis-(2080s-and-2083s)?_g=(refreshInterval:(display:Off,section:0,value:0),time:(from:'2016-08-27 05:28:55-0600',mode:absolute,to:'2016-08-27 08:46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11" s="113" t="str">
        <f>astrogrep_path&amp;" /spath="&amp;search_path&amp;" /stypes=""*"&amp;S11&amp;"*"&amp;TEXT(A11-utc_offset/24,"YYYYMMDD")&amp;LEFT(TEXT(A11-utc_offset/24,"HH"),1)&amp;"*""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/stypes="*4030*201608271*" /stext=" 13:.+((SYSTEM_STATE.+slice.+state.+changed )|(ment ac)|(system.+state.+changed )|(\|lc)|(penalty)|(\[timeout)|(PRM\|1\|D)|(kpr)|(kdp))" /e /r /s</v>
      </c>
      <c r="S11" s="9" t="str">
        <f>MID(B11,13,4)</f>
        <v>4030</v>
      </c>
      <c r="T11" s="38">
        <f>A11+6/24</f>
        <v>42609.559189814812</v>
      </c>
      <c r="U11" s="52" t="str">
        <f>IF(VALUE(LEFT(IF(LEN(C11)=6,"0"&amp;C11,C11),2))&lt;=2,"EC",IF(OR(VALUE(LEFT(IF(LEN(C11)=6,"0"&amp;C11,C11),2))=8,VALUE(LEFT(IF(LEN(C11)=6,"0"&amp;C11,C11),2))=18),"NW","Other"))</f>
        <v>EC</v>
      </c>
      <c r="V11" s="52" t="str">
        <f>IF(AND(E11="TRACK WARRANT AUTHORITY",G11&lt;10),"OMIT","KEEP")</f>
        <v>KEEP</v>
      </c>
      <c r="W11" s="149" t="str">
        <f>"echo {""issue"":{""subject"":"""&amp;N11&amp;""",""project_id"":79,""tracker_id"":40,""status_id"":"&amp;redmine_status&amp;",""priority_id"":"&amp;redmine_priority&amp;",""assigned_to_id"":"&amp;redmine_assignee&amp;",""start_date"":"""&amp;TEXT(A11,"YYYY-mm-dd")&amp;""",""description"":"""&amp;X11&amp;""",""custom_fields"":[{""id"":1,""name"":""Subdivision"",""value"":"""&amp;U11&amp;"""},{""id"":4,""name"":""Milepost"",""value"":"""&amp;J11/10000&amp;"""},{""id"":17,""name"":""Train ID"",""value"":"""&amp;C11&amp;"""},{""id"":16,""name"":""Locomotive ID"",""value"":"""&amp;S11&amp;"""},{""id"":130,""name"":""Impact"",""value"":"""&amp;Y11&amp;"""},{""id"":150,""name"":""Time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Assigned"",""value"":"""&amp;Z11&amp;"""}]}}"&amp;"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C","project_id":79,"tracker_id":40,"status_id":1,"priority_id":2,"assigned_to_id":23,"start_date":"2016-08-27","description":"","custom_fields":[{"id":1,"name":"Subdivision","value":"EC"},{"id":4,"name":"Milepost","value":"5.8301"},{"id":17,"name":"Train ID","value":"116-27"},{"id":16,"name":"Locomotive ID","value":"4030"},{"id":130,"name":"Impact","value":""},{"id":150,"name":"Time of Event (Mountain Time)","value":"07:25:14"},{"id":151,"name":"Denver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1" s="55"/>
      <c r="Y11" s="55"/>
      <c r="Z11" s="55"/>
    </row>
    <row r="12" spans="1:26" s="1" customFormat="1" x14ac:dyDescent="0.25">
      <c r="A12" s="38">
        <v>42609.317800925928</v>
      </c>
      <c r="B12" s="33" t="s">
        <v>144</v>
      </c>
      <c r="C12" s="33" t="s">
        <v>418</v>
      </c>
      <c r="D12" s="33" t="s">
        <v>49</v>
      </c>
      <c r="E12" s="33" t="s">
        <v>326</v>
      </c>
      <c r="F12" s="49">
        <v>0</v>
      </c>
      <c r="G12" s="49">
        <v>33</v>
      </c>
      <c r="H12" s="49">
        <v>58361</v>
      </c>
      <c r="I12" s="33" t="s">
        <v>325</v>
      </c>
      <c r="J12" s="49">
        <v>58301</v>
      </c>
      <c r="K12" s="33" t="s">
        <v>53</v>
      </c>
      <c r="L12" s="92" t="str">
        <f>VLOOKUP(C12,'Trips&amp;Operators'!$C$1:$E$9999,3,0)</f>
        <v>MALAVE</v>
      </c>
      <c r="M12" s="131" t="s">
        <v>86</v>
      </c>
      <c r="N12" s="10" t="s">
        <v>710</v>
      </c>
      <c r="O12" s="33"/>
      <c r="P12" s="108" t="str">
        <f>VLOOKUP(C12,'Train Runs'!$A$13:$AE$10012,31,0)</f>
        <v>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 &amp; 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</v>
      </c>
      <c r="Q12" s="111" t="str">
        <f>VLOOKUP(C12,'Train Runs'!$A$13:$AE$10012,22,0)</f>
        <v>https://search-rtdc-monitor-bjffxe2xuh6vdkpspy63sjmuny.us-east-1.es.amazonaws.com/_plugin/kibana/#/discover/Steve-Slow-Train-Analysis-(2080s-and-2083s)?_g=(refreshInterval:(display:Off,section:0,value:0),time:(from:'2016-08-27 05:39:57-0600',mode:absolute,to:'2016-08-27 08:59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12" s="113" t="str">
        <f>astrogrep_path&amp;" /spath="&amp;search_path&amp;" /stypes=""*"&amp;S12&amp;"*"&amp;TEXT(A12-utc_offset/24,"YYYYMMDD")&amp;LEFT(TEXT(A12-utc_offset/24,"HH"),1)&amp;"*""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/stypes="*4037*201608271*" /stext=" 13:.+((SYSTEM_STATE.+slice.+state.+changed )|(ment ac)|(system.+state.+changed )|(\|lc)|(penalty)|(\[timeout)|(PRM\|1\|D)|(kpr)|(kdp))" /e /r /s</v>
      </c>
      <c r="S12" s="9" t="str">
        <f>MID(B12,13,4)</f>
        <v>4037</v>
      </c>
      <c r="T12" s="38">
        <f>A12+6/24</f>
        <v>42609.567800925928</v>
      </c>
      <c r="U12" s="52" t="str">
        <f>IF(VALUE(LEFT(IF(LEN(C12)=6,"0"&amp;C12,C12),2))&lt;=2,"EC",IF(OR(VALUE(LEFT(IF(LEN(C12)=6,"0"&amp;C12,C12),2))=8,VALUE(LEFT(IF(LEN(C12)=6,"0"&amp;C12,C12),2))=18),"NW","Other"))</f>
        <v>EC</v>
      </c>
      <c r="V12" s="52" t="str">
        <f>IF(AND(E12="TRACK WARRANT AUTHORITY",G12&lt;10),"OMIT","KEEP")</f>
        <v>KEEP</v>
      </c>
      <c r="W12" s="149" t="str">
        <f>"echo {""issue"":{""subject"":"""&amp;N12&amp;""",""project_id"":79,""tracker_id"":40,""status_id"":"&amp;redmine_status&amp;",""priority_id"":"&amp;redmine_priority&amp;",""assigned_to_id"":"&amp;redmine_assignee&amp;",""start_date"":"""&amp;TEXT(A12,"YYYY-mm-dd")&amp;""",""description"":"""&amp;X12&amp;""",""custom_fields"":[{""id"":1,""name"":""Subdivision"",""value"":"""&amp;U12&amp;"""},{""id"":4,""name"":""Milepost"",""value"":"""&amp;J12/10000&amp;"""},{""id"":17,""name"":""Train ID"",""value"":"""&amp;C12&amp;"""},{""id"":16,""name"":""Locomotive ID"",""value"":"""&amp;S12&amp;"""},{""id"":130,""name"":""Impact"",""value"":"""&amp;Y12&amp;"""},{""id"":150,""name"":""Time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Assigned"",""value"":"""&amp;Z12&amp;"""}]}}"&amp;"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C","project_id":79,"tracker_id":40,"status_id":1,"priority_id":2,"assigned_to_id":23,"start_date":"2016-08-27","description":"","custom_fields":[{"id":1,"name":"Subdivision","value":"EC"},{"id":4,"name":"Milepost","value":"5.8301"},{"id":17,"name":"Train ID","value":"118-27"},{"id":16,"name":"Locomotive ID","value":"4037"},{"id":130,"name":"Impact","value":""},{"id":150,"name":"Time of Event (Mountain Time)","value":"07:37:38"},{"id":151,"name":"Denver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2" s="55"/>
      <c r="Y12" s="55"/>
      <c r="Z12" s="55"/>
    </row>
    <row r="13" spans="1:26" s="1" customFormat="1" x14ac:dyDescent="0.25">
      <c r="A13" s="38">
        <v>42609.292013888888</v>
      </c>
      <c r="B13" s="33" t="s">
        <v>253</v>
      </c>
      <c r="C13" s="33" t="s">
        <v>427</v>
      </c>
      <c r="D13" s="33" t="s">
        <v>49</v>
      </c>
      <c r="E13" s="33" t="s">
        <v>326</v>
      </c>
      <c r="F13" s="49">
        <v>0</v>
      </c>
      <c r="G13" s="49">
        <v>56</v>
      </c>
      <c r="H13" s="49">
        <v>58534</v>
      </c>
      <c r="I13" s="33" t="s">
        <v>325</v>
      </c>
      <c r="J13" s="49">
        <v>58783</v>
      </c>
      <c r="K13" s="33" t="s">
        <v>52</v>
      </c>
      <c r="L13" s="92" t="str">
        <f>VLOOKUP(C13,'Trips&amp;Operators'!$C$1:$E$9999,3,0)</f>
        <v>DAVIS</v>
      </c>
      <c r="M13" s="131" t="s">
        <v>86</v>
      </c>
      <c r="N13" s="10" t="s">
        <v>710</v>
      </c>
      <c r="O13" s="33"/>
      <c r="P13" s="108" t="str">
        <f>VLOOKUP(C13,'Train Runs'!$A$13:$AE$10012,31,0)</f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Q13" s="111" t="str">
        <f>VLOOKUP(C13,'Train Runs'!$A$13:$AE$10012,22,0)</f>
        <v>https://search-rtdc-monitor-bjffxe2xuh6vdkpspy63sjmuny.us-east-1.es.amazonaws.com/_plugin/kibana/#/discover/Steve-Slow-Train-Analysis-(2080s-and-2083s)?_g=(refreshInterval:(display:Off,section:0,value:0),time:(from:'2016-08-27 05:08:50-0600',mode:absolute,to:'2016-08-27 10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3" s="113" t="str">
        <f>astrogrep_path&amp;" /spath="&amp;search_path&amp;" /stypes=""*"&amp;S13&amp;"*"&amp;TEXT(A13-utc_offset/24,"YYYYMMDD")&amp;LEFT(TEXT(A13-utc_offset/24,"HH"),1)&amp;"*""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/stypes="*4025*201608271*" /stext=" 13:.+((SYSTEM_STATE.+slice.+state.+changed )|(ment ac)|(system.+state.+changed )|(\|lc)|(penalty)|(\[timeout)|(PRM\|1\|D)|(kpr)|(kdp))" /e /r /s</v>
      </c>
      <c r="S13" s="9" t="str">
        <f>MID(B13,13,4)</f>
        <v>4025</v>
      </c>
      <c r="T13" s="38">
        <f>A13+6/24</f>
        <v>42609.542013888888</v>
      </c>
      <c r="U13" s="52" t="str">
        <f>IF(VALUE(LEFT(IF(LEN(C13)=6,"0"&amp;C13,C13),2))&lt;=2,"EC",IF(OR(VALUE(LEFT(IF(LEN(C13)=6,"0"&amp;C13,C13),2))=8,VALUE(LEFT(IF(LEN(C13)=6,"0"&amp;C13,C13),2))=18),"NW","Other"))</f>
        <v>EC</v>
      </c>
      <c r="V13" s="52" t="str">
        <f>IF(AND(E13="TRACK WARRANT AUTHORITY",G13&lt;10),"OMIT","KEEP")</f>
        <v>KEEP</v>
      </c>
      <c r="W13" s="149" t="str">
        <f>"echo {""issue"":{""subject"":"""&amp;N13&amp;""",""project_id"":79,""tracker_id"":40,""status_id"":"&amp;redmine_status&amp;",""priority_id"":"&amp;redmine_priority&amp;",""assigned_to_id"":"&amp;redmine_assignee&amp;",""start_date"":"""&amp;TEXT(A13,"YYYY-mm-dd")&amp;""",""description"":"""&amp;X13&amp;""",""custom_fields"":[{""id"":1,""name"":""Subdivision"",""value"":"""&amp;U13&amp;"""},{""id"":4,""name"":""Milepost"",""value"":"""&amp;J13/10000&amp;"""},{""id"":17,""name"":""Train ID"",""value"":"""&amp;C13&amp;"""},{""id"":16,""name"":""Locomotive ID"",""value"":"""&amp;S13&amp;"""},{""id"":130,""name"":""Impact"",""value"":"""&amp;Y13&amp;"""},{""id"":150,""name"":""Time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Assigned"",""value"":"""&amp;Z13&amp;"""}]}}"&amp;"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C","project_id":79,"tracker_id":40,"status_id":1,"priority_id":2,"assigned_to_id":23,"start_date":"2016-08-27","description":"","custom_fields":[{"id":1,"name":"Subdivision","value":"EC"},{"id":4,"name":"Milepost","value":"5.8783"},{"id":17,"name":"Train ID","value":"121-27"},{"id":16,"name":"Locomotive ID","value":"4025"},{"id":130,"name":"Impact","value":""},{"id":150,"name":"Time of Event (Mountain Time)","value":"07:00:30"},{"id":151,"name":"Denver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3" s="55"/>
      <c r="Y13" s="55"/>
      <c r="Z13" s="55"/>
    </row>
    <row r="14" spans="1:26" s="1" customFormat="1" x14ac:dyDescent="0.25">
      <c r="A14" s="38">
        <v>42609.427118055559</v>
      </c>
      <c r="B14" s="33" t="s">
        <v>150</v>
      </c>
      <c r="C14" s="33" t="s">
        <v>462</v>
      </c>
      <c r="D14" s="33" t="s">
        <v>49</v>
      </c>
      <c r="E14" s="33" t="s">
        <v>326</v>
      </c>
      <c r="F14" s="49">
        <v>0</v>
      </c>
      <c r="G14" s="49">
        <v>179</v>
      </c>
      <c r="H14" s="49">
        <v>62960</v>
      </c>
      <c r="I14" s="33" t="s">
        <v>325</v>
      </c>
      <c r="J14" s="49">
        <v>63069</v>
      </c>
      <c r="K14" s="33" t="s">
        <v>52</v>
      </c>
      <c r="L14" s="92" t="str">
        <f>VLOOKUP(C14,'Trips&amp;Operators'!$C$1:$E$9999,3,0)</f>
        <v>STRICKLAND</v>
      </c>
      <c r="M14" s="131" t="s">
        <v>86</v>
      </c>
      <c r="N14" s="10" t="s">
        <v>383</v>
      </c>
      <c r="O14" s="33"/>
      <c r="P14" s="108" t="str">
        <f>VLOOKUP(C14,'Train Runs'!$A$13:$AE$10012,31,0)</f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Q14" s="111" t="str">
        <f>VLOOKUP(C14,'Train Runs'!$A$13:$AE$10012,22,0)</f>
        <v>https://search-rtdc-monitor-bjffxe2xuh6vdkpspy63sjmuny.us-east-1.es.amazonaws.com/_plugin/kibana/#/discover/Steve-Slow-Train-Analysis-(2080s-and-2083s)?_g=(refreshInterval:(display:Off,section:0,value:0),time:(from:'2016-08-27 08:56:26-0600',mode:absolute,to:'2016-08-27 11:47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14" s="113" t="str">
        <f>astrogrep_path&amp;" /spath="&amp;search_path&amp;" /stypes=""*"&amp;S14&amp;"*"&amp;TEXT(A14-utc_offset/24,"YYYYMMDD")&amp;LEFT(TEXT(A14-utc_offset/24,"HH"),1)&amp;"*""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/stypes="*4042*201608271*" /stext=" 16:.+((SYSTEM_STATE.+slice.+state.+changed )|(ment ac)|(system.+state.+changed )|(\|lc)|(penalty)|(\[timeout)|(PRM\|1\|D)|(kpr)|(kdp))" /e /r /s</v>
      </c>
      <c r="S14" s="9" t="str">
        <f>MID(B14,13,4)</f>
        <v>4042</v>
      </c>
      <c r="T14" s="38">
        <f>A14+6/24</f>
        <v>42609.677118055559</v>
      </c>
      <c r="U14" s="52" t="str">
        <f>IF(VALUE(LEFT(IF(LEN(C14)=6,"0"&amp;C14,C14),2))&lt;=2,"EC",IF(OR(VALUE(LEFT(IF(LEN(C14)=6,"0"&amp;C14,C14),2))=8,VALUE(LEFT(IF(LEN(C14)=6,"0"&amp;C14,C14),2))=18),"NW","Other"))</f>
        <v>EC</v>
      </c>
      <c r="V14" s="52" t="str">
        <f>IF(AND(E14="TRACK WARRANT AUTHORITY",G14&lt;10),"OMIT","KEEP")</f>
        <v>KEEP</v>
      </c>
      <c r="W14" s="149" t="str">
        <f>"echo {""issue"":{""subject"":"""&amp;N14&amp;""",""project_id"":79,""tracker_id"":40,""status_id"":"&amp;redmine_status&amp;",""priority_id"":"&amp;redmine_priority&amp;",""assigned_to_id"":"&amp;redmine_assignee&amp;",""start_date"":"""&amp;TEXT(A14,"YYYY-mm-dd")&amp;""",""description"":"""&amp;X14&amp;""",""custom_fields"":[{""id"":1,""name"":""Subdivision"",""value"":"""&amp;U14&amp;"""},{""id"":4,""name"":""Milepost"",""value"":"""&amp;J14/10000&amp;"""},{""id"":17,""name"":""Train ID"",""value"":"""&amp;C14&amp;"""},{""id"":16,""name"":""Locomotive ID"",""value"":"""&amp;S14&amp;"""},{""id"":130,""name"":""Impact"",""value"":"""&amp;Y14&amp;"""},{""id"":150,""name"":""Time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Assigned"",""value"":"""&amp;Z14&amp;"""}]}}"&amp;"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arrival","project_id":79,"tracker_id":40,"status_id":1,"priority_id":2,"assigned_to_id":23,"start_date":"2016-08-27","description":"","custom_fields":[{"id":1,"name":"Subdivision","value":"EC"},{"id":4,"name":"Milepost","value":"6.3069"},{"id":17,"name":"Train ID","value":"151-27"},{"id":16,"name":"Locomotive ID","value":"4042"},{"id":130,"name":"Impact","value":""},{"id":150,"name":"Time of Event (Mountain Time)","value":"10:15:03"},{"id":151,"name":"Denver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4" s="55"/>
      <c r="Y14" s="55"/>
      <c r="Z14" s="55"/>
    </row>
    <row r="15" spans="1:26" s="1" customFormat="1" x14ac:dyDescent="0.25">
      <c r="A15" s="38">
        <v>42609.927314814813</v>
      </c>
      <c r="B15" s="33" t="s">
        <v>291</v>
      </c>
      <c r="C15" s="33" t="s">
        <v>642</v>
      </c>
      <c r="D15" s="33" t="s">
        <v>49</v>
      </c>
      <c r="E15" s="33" t="s">
        <v>326</v>
      </c>
      <c r="F15" s="49">
        <v>0</v>
      </c>
      <c r="G15" s="49">
        <v>279</v>
      </c>
      <c r="H15" s="49">
        <v>63033</v>
      </c>
      <c r="I15" s="33" t="s">
        <v>325</v>
      </c>
      <c r="J15" s="49">
        <v>63069</v>
      </c>
      <c r="K15" s="33" t="s">
        <v>52</v>
      </c>
      <c r="L15" s="92" t="str">
        <f>VLOOKUP(C15,'Trips&amp;Operators'!$C$1:$E$9999,3,0)</f>
        <v>CHANDLER</v>
      </c>
      <c r="M15" s="131" t="s">
        <v>86</v>
      </c>
      <c r="N15" s="10" t="s">
        <v>383</v>
      </c>
      <c r="O15" s="33"/>
      <c r="P15" s="108" t="str">
        <f>VLOOKUP(C15,'Train Runs'!$A$13:$AE$10012,31,0)</f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Q15" s="111" t="str">
        <f>VLOOKUP(C15,'Train Runs'!$A$13:$AE$10012,22,0)</f>
        <v>https://search-rtdc-monitor-bjffxe2xuh6vdkpspy63sjmuny.us-east-1.es.amazonaws.com/_plugin/kibana/#/discover/Steve-Slow-Train-Analysis-(2080s-and-2083s)?_g=(refreshInterval:(display:Off,section:0,value:0),time:(from:'2016-08-27 20:58:15-0600',mode:absolute,to:'2016-08-27 23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15" s="113" t="str">
        <f>astrogrep_path&amp;" /spath="&amp;search_path&amp;" /stypes=""*"&amp;S15&amp;"*"&amp;TEXT(A15-utc_offset/24,"YYYYMMDD")&amp;LEFT(TEXT(A15-utc_offset/24,"HH"),1)&amp;"*""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/stypes="*4020*201608280*" /stext=" 04:.+((SYSTEM_STATE.+slice.+state.+changed )|(ment ac)|(system.+state.+changed )|(\|lc)|(penalty)|(\[timeout)|(PRM\|1\|D)|(kpr)|(kdp))" /e /r /s</v>
      </c>
      <c r="S15" s="9" t="str">
        <f>MID(B15,13,4)</f>
        <v>4020</v>
      </c>
      <c r="T15" s="38">
        <f>A15+6/24</f>
        <v>42610.177314814813</v>
      </c>
      <c r="U15" s="52" t="str">
        <f>IF(VALUE(LEFT(IF(LEN(C15)=6,"0"&amp;C15,C15),2))&lt;=2,"EC",IF(OR(VALUE(LEFT(IF(LEN(C15)=6,"0"&amp;C15,C15),2))=8,VALUE(LEFT(IF(LEN(C15)=6,"0"&amp;C15,C15),2))=18),"NW","Other"))</f>
        <v>EC</v>
      </c>
      <c r="V15" s="52" t="str">
        <f>IF(AND(E15="TRACK WARRANT AUTHORITY",G15&lt;10),"OMIT","KEEP")</f>
        <v>KEEP</v>
      </c>
      <c r="W15" s="149" t="str">
        <f>"echo {""issue"":{""subject"":"""&amp;N15&amp;""",""project_id"":79,""tracker_id"":40,""status_id"":"&amp;redmine_status&amp;",""priority_id"":"&amp;redmine_priority&amp;",""assigned_to_id"":"&amp;redmine_assignee&amp;",""start_date"":"""&amp;TEXT(A15,"YYYY-mm-dd")&amp;""",""description"":"""&amp;X15&amp;""",""custom_fields"":[{""id"":1,""name"":""Subdivision"",""value"":"""&amp;U15&amp;"""},{""id"":4,""name"":""Milepost"",""value"":"""&amp;J15/10000&amp;"""},{""id"":17,""name"":""Train ID"",""value"":"""&amp;C15&amp;"""},{""id"":16,""name"":""Locomotive ID"",""value"":"""&amp;S15&amp;"""},{""id"":130,""name"":""Impact"",""value"":"""&amp;Y15&amp;"""},{""id"":150,""name"":""Time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Assigned"",""value"":"""&amp;Z15&amp;"""}]}}"&amp;"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arrival","project_id":79,"tracker_id":40,"status_id":1,"priority_id":2,"assigned_to_id":23,"start_date":"2016-08-27","description":"","custom_fields":[{"id":1,"name":"Subdivision","value":"EC"},{"id":4,"name":"Milepost","value":"6.3069"},{"id":17,"name":"Train ID","value":"233-27"},{"id":16,"name":"Locomotive ID","value":"4020"},{"id":130,"name":"Impact","value":""},{"id":150,"name":"Time of Event (Mountain Time)","value":"22:15:20"},{"id":151,"name":"Denver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5" s="55"/>
      <c r="Y15" s="55"/>
      <c r="Z15" s="55"/>
    </row>
    <row r="16" spans="1:26" s="1" customFormat="1" x14ac:dyDescent="0.25">
      <c r="A16" s="38">
        <v>42609.582407407404</v>
      </c>
      <c r="B16" s="33" t="s">
        <v>174</v>
      </c>
      <c r="C16" s="33" t="s">
        <v>489</v>
      </c>
      <c r="D16" s="33" t="s">
        <v>111</v>
      </c>
      <c r="E16" s="33" t="s">
        <v>326</v>
      </c>
      <c r="F16" s="49">
        <v>0</v>
      </c>
      <c r="G16" s="49">
        <v>261</v>
      </c>
      <c r="H16" s="49">
        <v>109116</v>
      </c>
      <c r="I16" s="33" t="s">
        <v>325</v>
      </c>
      <c r="J16" s="49">
        <v>109135</v>
      </c>
      <c r="K16" s="33" t="s">
        <v>53</v>
      </c>
      <c r="L16" s="92" t="str">
        <f>VLOOKUP(C16,'Trips&amp;Operators'!$C$1:$E$9999,3,0)</f>
        <v>STEWART</v>
      </c>
      <c r="M16" s="131" t="s">
        <v>86</v>
      </c>
      <c r="N16" s="10" t="s">
        <v>383</v>
      </c>
      <c r="O16" s="33"/>
      <c r="P16" s="108" t="str">
        <f>VLOOKUP(C16,'Train Runs'!$A$13:$AE$10012,31,0)</f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Q16" s="111" t="str">
        <f>VLOOKUP(C16,'Train Runs'!$A$13:$AE$10012,22,0)</f>
        <v>https://search-rtdc-monitor-bjffxe2xuh6vdkpspy63sjmuny.us-east-1.es.amazonaws.com/_plugin/kibana/#/discover/Steve-Slow-Train-Analysis-(2080s-and-2083s)?_g=(refreshInterval:(display:Off,section:0,value:0),time:(from:'2016-08-27 12:37:18-0600',mode:absolute,to:'2016-08-27 15:20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6" s="113" t="str">
        <f>astrogrep_path&amp;" /spath="&amp;search_path&amp;" /stypes=""*"&amp;S16&amp;"*"&amp;TEXT(A16-utc_offset/24,"YYYYMMDD")&amp;LEFT(TEXT(A16-utc_offset/24,"HH"),1)&amp;"*""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/stypes="*4010*201608271*" /stext=" 19:.+((SYSTEM_STATE.+slice.+state.+changed )|(ment ac)|(system.+state.+changed )|(\|lc)|(penalty)|(\[timeout)|(PRM\|1\|D)|(kpr)|(kdp))" /e /r /s</v>
      </c>
      <c r="S16" s="9" t="str">
        <f>MID(B16,13,4)</f>
        <v>4010</v>
      </c>
      <c r="T16" s="38">
        <f>A16+6/24</f>
        <v>42609.832407407404</v>
      </c>
      <c r="U16" s="52" t="str">
        <f>IF(VALUE(LEFT(IF(LEN(C16)=6,"0"&amp;C16,C16),2))&lt;=2,"EC",IF(OR(VALUE(LEFT(IF(LEN(C16)=6,"0"&amp;C16,C16),2))=8,VALUE(LEFT(IF(LEN(C16)=6,"0"&amp;C16,C16),2))=18),"NW","Other"))</f>
        <v>EC</v>
      </c>
      <c r="V16" s="52" t="str">
        <f>IF(AND(E16="TRACK WARRANT AUTHORITY",G16&lt;10),"OMIT","KEEP")</f>
        <v>KEEP</v>
      </c>
      <c r="W16" s="149" t="str">
        <f>"echo {""issue"":{""subject"":"""&amp;N16&amp;""",""project_id"":79,""tracker_id"":40,""status_id"":"&amp;redmine_status&amp;",""priority_id"":"&amp;redmine_priority&amp;",""assigned_to_id"":"&amp;redmine_assignee&amp;",""start_date"":"""&amp;TEXT(A16,"YYYY-mm-dd")&amp;""",""description"":"""&amp;X16&amp;""",""custom_fields"":[{""id"":1,""name"":""Subdivision"",""value"":"""&amp;U16&amp;"""},{""id"":4,""name"":""Milepost"",""value"":"""&amp;J16/10000&amp;"""},{""id"":17,""name"":""Train ID"",""value"":"""&amp;C16&amp;"""},{""id"":16,""name"":""Locomotive ID"",""value"":"""&amp;S16&amp;"""},{""id"":130,""name"":""Impact"",""value"":"""&amp;Y16&amp;"""},{""id"":150,""name"":""Time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Assigned"",""value"":"""&amp;Z16&amp;"""}]}}"&amp;"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arrival","project_id":79,"tracker_id":40,"status_id":1,"priority_id":2,"assigned_to_id":23,"start_date":"2016-08-27","description":"","custom_fields":[{"id":1,"name":"Subdivision","value":"EC"},{"id":4,"name":"Milepost","value":"10.9135"},{"id":17,"name":"Train ID","value":"174-27"},{"id":16,"name":"Locomotive ID","value":"4010"},{"id":130,"name":"Impact","value":""},{"id":150,"name":"Time of Event (Mountain Time)","value":"13:58:40"},{"id":151,"name":"Denver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6" s="55"/>
      <c r="Y16" s="55"/>
      <c r="Z16" s="55"/>
    </row>
    <row r="17" spans="1:26" s="1" customFormat="1" x14ac:dyDescent="0.25">
      <c r="A17" s="38">
        <v>42609.685810185183</v>
      </c>
      <c r="B17" s="33" t="s">
        <v>115</v>
      </c>
      <c r="C17" s="33" t="s">
        <v>589</v>
      </c>
      <c r="D17" s="33" t="s">
        <v>49</v>
      </c>
      <c r="E17" s="33" t="s">
        <v>56</v>
      </c>
      <c r="F17" s="49">
        <v>200</v>
      </c>
      <c r="G17" s="49">
        <v>291</v>
      </c>
      <c r="H17" s="49">
        <v>31463</v>
      </c>
      <c r="I17" s="33" t="s">
        <v>57</v>
      </c>
      <c r="J17" s="49">
        <v>30562</v>
      </c>
      <c r="K17" s="33" t="s">
        <v>53</v>
      </c>
      <c r="L17" s="92" t="str">
        <f>VLOOKUP(C17,'Trips&amp;Operators'!$C$1:$E$9999,3,0)</f>
        <v>MOSES</v>
      </c>
      <c r="M17" s="131" t="s">
        <v>86</v>
      </c>
      <c r="N17" s="10"/>
      <c r="O17" s="33"/>
      <c r="P17" s="108" t="str">
        <f>VLOOKUP(C17,'Train Runs'!$A$13:$AE$10012,31,0)</f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Q17" s="111" t="str">
        <f>VLOOKUP(C17,'Train Runs'!$A$13:$AE$10012,22,0)</f>
        <v>https://search-rtdc-monitor-bjffxe2xuh6vdkpspy63sjmuny.us-east-1.es.amazonaws.com/_plugin/kibana/#/discover/Steve-Slow-Train-Analysis-(2080s-and-2083s)?_g=(refreshInterval:(display:Off,section:0,value:0),time:(from:'2016-08-27 14:52:21-0600',mode:absolute,to:'2016-08-27 17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17" s="113" t="str">
        <f>astrogrep_path&amp;" /spath="&amp;search_path&amp;" /stypes=""*"&amp;S17&amp;"*"&amp;TEXT(A17-utc_offset/24,"YYYYMMDD")&amp;LEFT(TEXT(A17-utc_offset/24,"HH"),1)&amp;"*""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/stypes="*4032*201608272*" /stext=" 22:.+((SYSTEM_STATE.+slice.+state.+changed )|(ment ac)|(system.+state.+changed )|(\|lc)|(penalty)|(\[timeout)|(PRM\|1\|D)|(kpr)|(kdp))" /e /r /s</v>
      </c>
      <c r="S17" s="9" t="str">
        <f>MID(B17,13,4)</f>
        <v>4032</v>
      </c>
      <c r="T17" s="38">
        <f>A17+6/24</f>
        <v>42609.935810185183</v>
      </c>
      <c r="U17" s="52" t="str">
        <f>IF(VALUE(LEFT(IF(LEN(C17)=6,"0"&amp;C17,C17),2))&lt;=2,"EC",IF(OR(VALUE(LEFT(IF(LEN(C17)=6,"0"&amp;C17,C17),2))=8,VALUE(LEFT(IF(LEN(C17)=6,"0"&amp;C17,C17),2))=18),"NW","Other"))</f>
        <v>EC</v>
      </c>
      <c r="V17" s="52" t="str">
        <f>IF(AND(E17="TRACK WARRANT AUTHORITY",G17&lt;10),"OMIT","KEEP")</f>
        <v>KEEP</v>
      </c>
      <c r="W17" s="149" t="str">
        <f>"echo {""issue"":{""subject"":"""&amp;N17&amp;""",""project_id"":79,""tracker_id"":40,""status_id"":"&amp;redmine_status&amp;",""priority_id"":"&amp;redmine_priority&amp;",""assigned_to_id"":"&amp;redmine_assignee&amp;",""start_date"":"""&amp;TEXT(A17,"YYYY-mm-dd")&amp;""",""description"":"""&amp;X17&amp;""",""custom_fields"":[{""id"":1,""name"":""Subdivision"",""value"":"""&amp;U17&amp;"""},{""id"":4,""name"":""Milepost"",""value"":"""&amp;J17/10000&amp;"""},{""id"":17,""name"":""Train ID"",""value"":"""&amp;C17&amp;"""},{""id"":16,""name"":""Locomotive ID"",""value"":"""&amp;S17&amp;"""},{""id"":130,""name"":""Impact"",""value"":"""&amp;Y17&amp;"""},{""id"":150,""name"":""Time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Assigned"",""value"":"""&amp;Z17&amp;"""}]}}"&amp;"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{"issue":{"subject":"","project_id":79,"tracker_id":40,"status_id":1,"priority_id":2,"assigned_to_id":23,"start_date":"2016-08-27","description":"","custom_fields":[{"id":1,"name":"Subdivision","value":"EC"},{"id":4,"name":"Milepost","value":"3.0562"},{"id":17,"name":"Train ID","value":"192-27"},{"id":16,"name":"Locomotive ID","value":"4032"},{"id":130,"name":"Impact","value":""},{"id":150,"name":"Time of Event (Mountain Time)","value":"16:27:34"},{"id":151,"name":"Denver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7" s="55"/>
      <c r="Y17" s="55"/>
      <c r="Z17" s="55"/>
    </row>
    <row r="18" spans="1:26" s="1" customFormat="1" x14ac:dyDescent="0.25">
      <c r="A18" s="38">
        <v>42609.538634259261</v>
      </c>
      <c r="B18" s="33" t="s">
        <v>112</v>
      </c>
      <c r="C18" s="33" t="s">
        <v>483</v>
      </c>
      <c r="D18" s="33" t="s">
        <v>49</v>
      </c>
      <c r="E18" s="33" t="s">
        <v>56</v>
      </c>
      <c r="F18" s="49">
        <v>600</v>
      </c>
      <c r="G18" s="49">
        <v>739</v>
      </c>
      <c r="H18" s="49">
        <v>181391</v>
      </c>
      <c r="I18" s="33" t="s">
        <v>57</v>
      </c>
      <c r="J18" s="49">
        <v>183829</v>
      </c>
      <c r="K18" s="33" t="s">
        <v>52</v>
      </c>
      <c r="L18" s="92" t="str">
        <f>VLOOKUP(C18,'Trips&amp;Operators'!$C$1:$E$9999,3,0)</f>
        <v>STORY</v>
      </c>
      <c r="M18" s="131" t="s">
        <v>86</v>
      </c>
      <c r="N18" s="10"/>
      <c r="O18" s="33"/>
      <c r="P18" s="108" t="str">
        <f>VLOOKUP(C18,'Train Runs'!$A$13:$AE$10012,31,0)</f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Q18" s="111" t="str">
        <f>VLOOKUP(C18,'Train Runs'!$A$13:$AE$10012,22,0)</f>
        <v>https://search-rtdc-monitor-bjffxe2xuh6vdkpspy63sjmuny.us-east-1.es.amazonaws.com/_plugin/kibana/#/discover/Steve-Slow-Train-Analysis-(2080s-and-2083s)?_g=(refreshInterval:(display:Off,section:0,value:0),time:(from:'2016-08-27 11:11:29-0600',mode:absolute,to:'2016-08-27 14:03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8" s="113" t="str">
        <f>astrogrep_path&amp;" /spath="&amp;search_path&amp;" /stypes=""*"&amp;S18&amp;"*"&amp;TEXT(A18-utc_offset/24,"YYYYMMDD")&amp;LEFT(TEXT(A18-utc_offset/24,"HH"),1)&amp;"*""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/stypes="*4014*201608271*" /stext=" 18:.+((SYSTEM_STATE.+slice.+state.+changed )|(ment ac)|(system.+state.+changed )|(\|lc)|(penalty)|(\[timeout)|(PRM\|1\|D)|(kpr)|(kdp))" /e /r /s</v>
      </c>
      <c r="S18" s="9" t="str">
        <f>MID(B18,13,4)</f>
        <v>4014</v>
      </c>
      <c r="T18" s="38">
        <f>A18+6/24</f>
        <v>42609.788634259261</v>
      </c>
      <c r="U18" s="52" t="str">
        <f>IF(VALUE(LEFT(IF(LEN(C18)=6,"0"&amp;C18,C18),2))&lt;=2,"EC",IF(OR(VALUE(LEFT(IF(LEN(C18)=6,"0"&amp;C18,C18),2))=8,VALUE(LEFT(IF(LEN(C18)=6,"0"&amp;C18,C18),2))=18),"NW","Other"))</f>
        <v>EC</v>
      </c>
      <c r="V18" s="52" t="str">
        <f>IF(AND(E18="TRACK WARRANT AUTHORITY",G18&lt;10),"OMIT","KEEP")</f>
        <v>KEEP</v>
      </c>
      <c r="W18" s="149" t="str">
        <f>"echo {""issue"":{""subject"":"""&amp;N18&amp;""",""project_id"":79,""tracker_id"":40,""status_id"":"&amp;redmine_status&amp;",""priority_id"":"&amp;redmine_priority&amp;",""assigned_to_id"":"&amp;redmine_assignee&amp;",""start_date"":"""&amp;TEXT(A18,"YYYY-mm-dd")&amp;""",""description"":"""&amp;X18&amp;""",""custom_fields"":[{""id"":1,""name"":""Subdivision"",""value"":"""&amp;U18&amp;"""},{""id"":4,""name"":""Milepost"",""value"":"""&amp;J18/10000&amp;"""},{""id"":17,""name"":""Train ID"",""value"":"""&amp;C18&amp;"""},{""id"":16,""name"":""Locomotive ID"",""value"":"""&amp;S18&amp;"""},{""id"":130,""name"":""Impact"",""value"":"""&amp;Y18&amp;"""},{""id"":150,""name"":""Time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Assigned"",""value"":"""&amp;Z18&amp;"""}]}}"&amp;"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{"issue":{"subject":"","project_id":79,"tracker_id":40,"status_id":1,"priority_id":2,"assigned_to_id":23,"start_date":"2016-08-27","description":"","custom_fields":[{"id":1,"name":"Subdivision","value":"EC"},{"id":4,"name":"Milepost","value":"18.3829"},{"id":17,"name":"Train ID","value":"169-27"},{"id":16,"name":"Locomotive ID","value":"4014"},{"id":130,"name":"Impact","value":""},{"id":150,"name":"Time of Event (Mountain Time)","value":"12:55:38"},{"id":151,"name":"Denver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8" s="55"/>
      <c r="Y18" s="55"/>
      <c r="Z18" s="55"/>
    </row>
    <row r="19" spans="1:26" s="1" customFormat="1" x14ac:dyDescent="0.25">
      <c r="A19" s="38">
        <v>42610.001354166663</v>
      </c>
      <c r="B19" s="33" t="s">
        <v>253</v>
      </c>
      <c r="C19" s="33" t="s">
        <v>650</v>
      </c>
      <c r="D19" s="33" t="s">
        <v>49</v>
      </c>
      <c r="E19" s="33" t="s">
        <v>56</v>
      </c>
      <c r="F19" s="49">
        <v>450</v>
      </c>
      <c r="G19" s="49">
        <v>607</v>
      </c>
      <c r="H19" s="49">
        <v>187852</v>
      </c>
      <c r="I19" s="33" t="s">
        <v>57</v>
      </c>
      <c r="J19" s="49">
        <v>190834</v>
      </c>
      <c r="K19" s="33" t="s">
        <v>52</v>
      </c>
      <c r="L19" s="92" t="str">
        <f>VLOOKUP(C19,'Trips&amp;Operators'!$C$1:$E$9999,3,0)</f>
        <v>HILLS</v>
      </c>
      <c r="M19" s="131" t="s">
        <v>86</v>
      </c>
      <c r="N19" s="10"/>
      <c r="O19" s="33"/>
      <c r="P19" s="108" t="str">
        <f>VLOOKUP(C19,'Train Runs'!$A$13:$AE$10012,31,0)</f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Q19" s="111" t="str">
        <f>VLOOKUP(C19,'Train Runs'!$A$13:$AE$10012,22,0)</f>
        <v>https://search-rtdc-monitor-bjffxe2xuh6vdkpspy63sjmuny.us-east-1.es.amazonaws.com/_plugin/kibana/#/discover/Steve-Slow-Train-Analysis-(2080s-and-2083s)?_g=(refreshInterval:(display:Off,section:0,value:0),time:(from:'2016-08-27 22:13:57-0600',mode:absolute,to:'2016-08-28 01:08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9" s="113" t="str">
        <f>astrogrep_path&amp;" /spath="&amp;search_path&amp;" /stypes=""*"&amp;S19&amp;"*"&amp;TEXT(A19-utc_offset/24,"YYYYMMDD")&amp;LEFT(TEXT(A19-utc_offset/24,"HH"),1)&amp;"*""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/stypes="*4025*201608280*" /stext=" 06:.+((SYSTEM_STATE.+slice.+state.+changed )|(ment ac)|(system.+state.+changed )|(\|lc)|(penalty)|(\[timeout)|(PRM\|1\|D)|(kpr)|(kdp))" /e /r /s</v>
      </c>
      <c r="S19" s="9" t="str">
        <f>MID(B19,13,4)</f>
        <v>4025</v>
      </c>
      <c r="T19" s="38">
        <f>A19+6/24</f>
        <v>42610.251354166663</v>
      </c>
      <c r="U19" s="52" t="str">
        <f>IF(VALUE(LEFT(IF(LEN(C19)=6,"0"&amp;C19,C19),2))&lt;=2,"EC",IF(OR(VALUE(LEFT(IF(LEN(C19)=6,"0"&amp;C19,C19),2))=8,VALUE(LEFT(IF(LEN(C19)=6,"0"&amp;C19,C19),2))=18),"NW","Other"))</f>
        <v>EC</v>
      </c>
      <c r="V19" s="52" t="str">
        <f>IF(AND(E19="TRACK WARRANT AUTHORITY",G19&lt;10),"OMIT","KEEP")</f>
        <v>KEEP</v>
      </c>
      <c r="W19" s="149" t="str">
        <f>"echo {""issue"":{""subject"":"""&amp;N19&amp;""",""project_id"":79,""tracker_id"":40,""status_id"":"&amp;redmine_status&amp;",""priority_id"":"&amp;redmine_priority&amp;",""assigned_to_id"":"&amp;redmine_assignee&amp;",""start_date"":"""&amp;TEXT(A19,"YYYY-mm-dd")&amp;""",""description"":"""&amp;X19&amp;""",""custom_fields"":[{""id"":1,""name"":""Subdivision"",""value"":"""&amp;U19&amp;"""},{""id"":4,""name"":""Milepost"",""value"":"""&amp;J19/10000&amp;"""},{""id"":17,""name"":""Train ID"",""value"":"""&amp;C19&amp;"""},{""id"":16,""name"":""Locomotive ID"",""value"":"""&amp;S19&amp;"""},{""id"":130,""name"":""Impact"",""value"":"""&amp;Y19&amp;"""},{""id"":150,""name"":""Time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Assigned"",""value"":"""&amp;Z19&amp;"""}]}}"&amp;"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{"issue":{"subject":"","project_id":79,"tracker_id":40,"status_id":1,"priority_id":2,"assigned_to_id":23,"start_date":"2016-08-28","description":"","custom_fields":[{"id":1,"name":"Subdivision","value":"EC"},{"id":4,"name":"Milepost","value":"19.0834"},{"id":17,"name":"Train ID","value":"239-27"},{"id":16,"name":"Locomotive ID","value":"4025"},{"id":130,"name":"Impact","value":""},{"id":150,"name":"Time of Event (Mountain Time)","value":"00:01:57"},{"id":151,"name":"Denver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9" s="55"/>
      <c r="Y19" s="55"/>
      <c r="Z19" s="55"/>
    </row>
    <row r="20" spans="1:26" s="1" customFormat="1" x14ac:dyDescent="0.25">
      <c r="A20" s="38">
        <v>42609.774537037039</v>
      </c>
      <c r="B20" s="33" t="s">
        <v>173</v>
      </c>
      <c r="C20" s="33" t="s">
        <v>621</v>
      </c>
      <c r="D20" s="33" t="s">
        <v>49</v>
      </c>
      <c r="E20" s="33" t="s">
        <v>56</v>
      </c>
      <c r="F20" s="49">
        <v>450</v>
      </c>
      <c r="G20" s="49">
        <v>661</v>
      </c>
      <c r="H20" s="49">
        <v>216627</v>
      </c>
      <c r="I20" s="33" t="s">
        <v>57</v>
      </c>
      <c r="J20" s="49">
        <v>218954</v>
      </c>
      <c r="K20" s="33" t="s">
        <v>52</v>
      </c>
      <c r="L20" s="92" t="str">
        <f>VLOOKUP(C20,'Trips&amp;Operators'!$C$1:$E$9999,3,0)</f>
        <v>WEBSTER</v>
      </c>
      <c r="M20" s="131" t="s">
        <v>86</v>
      </c>
      <c r="N20" s="10"/>
      <c r="O20" s="33"/>
      <c r="P20" s="108" t="str">
        <f>VLOOKUP(C20,'Train Runs'!$A$13:$AE$10012,31,0)</f>
        <v>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 &amp; 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</v>
      </c>
      <c r="Q20" s="111" t="str">
        <f>VLOOKUP(C20,'Train Runs'!$A$13:$AE$10012,22,0)</f>
        <v>https://search-rtdc-monitor-bjffxe2xuh6vdkpspy63sjmuny.us-east-1.es.amazonaws.com/_plugin/kibana/#/discover/Steve-Slow-Train-Analysis-(2080s-and-2083s)?_g=(refreshInterval:(display:Off,section:0,value:0),time:(from:'2016-08-27 16:53:16-0600',mode:absolute,to:'2016-08-27 19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20" s="113" t="str">
        <f>astrogrep_path&amp;" /spath="&amp;search_path&amp;" /stypes=""*"&amp;S20&amp;"*"&amp;TEXT(A20-utc_offset/24,"YYYYMMDD")&amp;LEFT(TEXT(A20-utc_offset/24,"HH"),1)&amp;"*""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/stypes="*4009*201608280*" /stext=" 00:.+((SYSTEM_STATE.+slice.+state.+changed )|(ment ac)|(system.+state.+changed )|(\|lc)|(penalty)|(\[timeout)|(PRM\|1\|D)|(kpr)|(kdp))" /e /r /s</v>
      </c>
      <c r="S20" s="9" t="str">
        <f>MID(B20,13,4)</f>
        <v>4009</v>
      </c>
      <c r="T20" s="38">
        <f>A20+6/24</f>
        <v>42610.024537037039</v>
      </c>
      <c r="U20" s="52" t="str">
        <f>IF(VALUE(LEFT(IF(LEN(C20)=6,"0"&amp;C20,C20),2))&lt;=2,"EC",IF(OR(VALUE(LEFT(IF(LEN(C20)=6,"0"&amp;C20,C20),2))=8,VALUE(LEFT(IF(LEN(C20)=6,"0"&amp;C20,C20),2))=18),"NW","Other"))</f>
        <v>EC</v>
      </c>
      <c r="V20" s="52" t="str">
        <f>IF(AND(E20="TRACK WARRANT AUTHORITY",G20&lt;10),"OMIT","KEEP")</f>
        <v>KEEP</v>
      </c>
      <c r="W20" s="149" t="str">
        <f>"echo {""issue"":{""subject"":"""&amp;N20&amp;""",""project_id"":79,""tracker_id"":40,""status_id"":"&amp;redmine_status&amp;",""priority_id"":"&amp;redmine_priority&amp;",""assigned_to_id"":"&amp;redmine_assignee&amp;",""start_date"":"""&amp;TEXT(A20,"YYYY-mm-dd")&amp;""",""description"":"""&amp;X20&amp;""",""custom_fields"":[{""id"":1,""name"":""Subdivision"",""value"":"""&amp;U20&amp;"""},{""id"":4,""name"":""Milepost"",""value"":"""&amp;J20/10000&amp;"""},{""id"":17,""name"":""Train ID"",""value"":"""&amp;C20&amp;"""},{""id"":16,""name"":""Locomotive ID"",""value"":"""&amp;S20&amp;"""},{""id"":130,""name"":""Impact"",""value"":"""&amp;Y20&amp;"""},{""id"":150,""name"":""Time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Assigned"",""value"":"""&amp;Z20&amp;"""}]}}"&amp;"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{"issue":{"subject":"","project_id":79,"tracker_id":40,"status_id":1,"priority_id":2,"assigned_to_id":23,"start_date":"2016-08-27","description":"","custom_fields":[{"id":1,"name":"Subdivision","value":"EC"},{"id":4,"name":"Milepost","value":"21.8954"},{"id":17,"name":"Train ID","value":"215-27"},{"id":16,"name":"Locomotive ID","value":"4009"},{"id":130,"name":"Impact","value":""},{"id":150,"name":"Time of Event (Mountain Time)","value":"18:35:20"},{"id":151,"name":"Denver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0" s="55"/>
      <c r="Y20" s="55"/>
      <c r="Z20" s="55"/>
    </row>
    <row r="21" spans="1:26" s="1" customFormat="1" x14ac:dyDescent="0.25">
      <c r="A21" s="38">
        <v>42609.404675925929</v>
      </c>
      <c r="B21" s="33" t="s">
        <v>254</v>
      </c>
      <c r="C21" s="33" t="s">
        <v>450</v>
      </c>
      <c r="D21" s="33" t="s">
        <v>49</v>
      </c>
      <c r="E21" s="33" t="s">
        <v>56</v>
      </c>
      <c r="F21" s="49">
        <v>150</v>
      </c>
      <c r="G21" s="49">
        <v>200</v>
      </c>
      <c r="H21" s="49">
        <v>229284</v>
      </c>
      <c r="I21" s="33" t="s">
        <v>57</v>
      </c>
      <c r="J21" s="49">
        <v>229055</v>
      </c>
      <c r="K21" s="33" t="s">
        <v>53</v>
      </c>
      <c r="L21" s="92" t="str">
        <f>VLOOKUP(C21,'Trips&amp;Operators'!$C$1:$E$9999,3,0)</f>
        <v>DAVIS</v>
      </c>
      <c r="M21" s="131" t="s">
        <v>86</v>
      </c>
      <c r="N21" s="10"/>
      <c r="O21" s="33"/>
      <c r="P21" s="108" t="str">
        <f>VLOOKUP(C21,'Train Runs'!$A$13:$AE$10012,31,0)</f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Q21" s="111" t="str">
        <f>VLOOKUP(C21,'Train Runs'!$A$13:$AE$10012,22,0)</f>
        <v>https://search-rtdc-monitor-bjffxe2xuh6vdkpspy63sjmuny.us-east-1.es.amazonaws.com/_plugin/kibana/#/discover/Steve-Slow-Train-Analysis-(2080s-and-2083s)?_g=(refreshInterval:(display:Off,section:0,value:0),time:(from:'2016-08-27 08:38:13-0600',mode:absolute,to:'2016-08-27 11:25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21" s="113" t="str">
        <f>astrogrep_path&amp;" /spath="&amp;search_path&amp;" /stypes=""*"&amp;S21&amp;"*"&amp;TEXT(A21-utc_offset/24,"YYYYMMDD")&amp;LEFT(TEXT(A21-utc_offset/24,"HH"),1)&amp;"*""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/stypes="*4026*201608271*" /stext=" 15:.+((SYSTEM_STATE.+slice.+state.+changed )|(ment ac)|(system.+state.+changed )|(\|lc)|(penalty)|(\[timeout)|(PRM\|1\|D)|(kpr)|(kdp))" /e /r /s</v>
      </c>
      <c r="S21" s="9" t="str">
        <f>MID(B21,13,4)</f>
        <v>4026</v>
      </c>
      <c r="T21" s="38">
        <f>A21+6/24</f>
        <v>42609.654675925929</v>
      </c>
      <c r="U21" s="52" t="str">
        <f>IF(VALUE(LEFT(IF(LEN(C21)=6,"0"&amp;C21,C21),2))&lt;=2,"EC",IF(OR(VALUE(LEFT(IF(LEN(C21)=6,"0"&amp;C21,C21),2))=8,VALUE(LEFT(IF(LEN(C21)=6,"0"&amp;C21,C21),2))=18),"NW","Other"))</f>
        <v>EC</v>
      </c>
      <c r="V21" s="52" t="str">
        <f>IF(AND(E21="TRACK WARRANT AUTHORITY",G21&lt;10),"OMIT","KEEP")</f>
        <v>KEEP</v>
      </c>
      <c r="W21" s="149" t="str">
        <f>"echo {""issue"":{""subject"":"""&amp;N21&amp;""",""project_id"":79,""tracker_id"":40,""status_id"":"&amp;redmine_status&amp;",""priority_id"":"&amp;redmine_priority&amp;",""assigned_to_id"":"&amp;redmine_assignee&amp;",""start_date"":"""&amp;TEXT(A21,"YYYY-mm-dd")&amp;""",""description"":"""&amp;X21&amp;""",""custom_fields"":[{""id"":1,""name"":""Subdivision"",""value"":"""&amp;U21&amp;"""},{""id"":4,""name"":""Milepost"",""value"":"""&amp;J21/10000&amp;"""},{""id"":17,""name"":""Train ID"",""value"":"""&amp;C21&amp;"""},{""id"":16,""name"":""Locomotive ID"",""value"":"""&amp;S21&amp;"""},{""id"":130,""name"":""Impact"",""value"":"""&amp;Y21&amp;"""},{""id"":150,""name"":""Time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Assigned"",""value"":"""&amp;Z21&amp;"""}]}}"&amp;"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{"issue":{"subject":"","project_id":79,"tracker_id":40,"status_id":1,"priority_id":2,"assigned_to_id":23,"start_date":"2016-08-27","description":"","custom_fields":[{"id":1,"name":"Subdivision","value":"EC"},{"id":4,"name":"Milepost","value":"22.9055"},{"id":17,"name":"Train ID","value":"142-27"},{"id":16,"name":"Locomotive ID","value":"4026"},{"id":130,"name":"Impact","value":""},{"id":150,"name":"Time of Event (Mountain Time)","value":"09:42:44"},{"id":151,"name":"Denver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1" s="55"/>
      <c r="Y21" s="55"/>
      <c r="Z21" s="55"/>
    </row>
    <row r="22" spans="1:26" x14ac:dyDescent="0.25">
      <c r="A22" s="38">
        <v>42609.354189814818</v>
      </c>
      <c r="B22" s="33" t="s">
        <v>114</v>
      </c>
      <c r="C22" s="33" t="s">
        <v>435</v>
      </c>
      <c r="D22" s="33" t="s">
        <v>49</v>
      </c>
      <c r="E22" s="33" t="s">
        <v>56</v>
      </c>
      <c r="F22" s="49">
        <v>150</v>
      </c>
      <c r="G22" s="49">
        <v>310</v>
      </c>
      <c r="H22" s="49">
        <v>228836</v>
      </c>
      <c r="I22" s="33" t="s">
        <v>57</v>
      </c>
      <c r="J22" s="49">
        <v>230436</v>
      </c>
      <c r="K22" s="33" t="s">
        <v>52</v>
      </c>
      <c r="L22" s="92" t="str">
        <f>VLOOKUP(C22,'Trips&amp;Operators'!$C$1:$E$9999,3,0)</f>
        <v>MAELZER</v>
      </c>
      <c r="M22" s="131" t="s">
        <v>86</v>
      </c>
      <c r="N22" s="10"/>
      <c r="O22" s="33"/>
      <c r="P22" s="108" t="str">
        <f>VLOOKUP(C22,'Train Runs'!$A$13:$AE$10012,31,0)</f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Q22" s="111" t="str">
        <f>VLOOKUP(C22,'Train Runs'!$A$13:$AE$10012,22,0)</f>
        <v>https://search-rtdc-monitor-bjffxe2xuh6vdkpspy63sjmuny.us-east-1.es.amazonaws.com/_plugin/kibana/#/discover/Steve-Slow-Train-Analysis-(2080s-and-2083s)?_g=(refreshInterval:(display:Off,section:0,value:0),time:(from:'2016-08-27 06:37:57-0600',mode:absolute,to:'2016-08-27 09:32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22" s="113" t="str">
        <f>astrogrep_path&amp;" /spath="&amp;search_path&amp;" /stypes=""*"&amp;S22&amp;"*"&amp;TEXT(A22-utc_offset/24,"YYYYMMDD")&amp;LEFT(TEXT(A22-utc_offset/24,"HH"),1)&amp;"*""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/stypes="*4031*201608271*" /stext=" 14:.+((SYSTEM_STATE.+slice.+state.+changed )|(ment ac)|(system.+state.+changed )|(\|lc)|(penalty)|(\[timeout)|(PRM\|1\|D)|(kpr)|(kdp))" /e /r /s</v>
      </c>
      <c r="S22" s="9" t="str">
        <f>MID(B22,13,4)</f>
        <v>4031</v>
      </c>
      <c r="T22" s="38">
        <f>A22+6/24</f>
        <v>42609.604189814818</v>
      </c>
      <c r="U22" s="52" t="str">
        <f>IF(VALUE(LEFT(IF(LEN(C22)=6,"0"&amp;C22,C22),2))&lt;=2,"EC",IF(OR(VALUE(LEFT(IF(LEN(C22)=6,"0"&amp;C22,C22),2))=8,VALUE(LEFT(IF(LEN(C22)=6,"0"&amp;C22,C22),2))=18),"NW","Other"))</f>
        <v>EC</v>
      </c>
      <c r="V22" s="52" t="str">
        <f>IF(AND(E22="TRACK WARRANT AUTHORITY",G22&lt;10),"OMIT","KEEP")</f>
        <v>KEEP</v>
      </c>
      <c r="W22" s="149" t="str">
        <f>"echo {""issue"":{""subject"":"""&amp;N22&amp;""",""project_id"":79,""tracker_id"":40,""status_id"":"&amp;redmine_status&amp;",""priority_id"":"&amp;redmine_priority&amp;",""assigned_to_id"":"&amp;redmine_assignee&amp;",""start_date"":"""&amp;TEXT(A22,"YYYY-mm-dd")&amp;""",""description"":"""&amp;X22&amp;""",""custom_fields"":[{""id"":1,""name"":""Subdivision"",""value"":"""&amp;U22&amp;"""},{""id"":4,""name"":""Milepost"",""value"":"""&amp;J22/10000&amp;"""},{""id"":17,""name"":""Train ID"",""value"":"""&amp;C22&amp;"""},{""id"":16,""name"":""Locomotive ID"",""value"":"""&amp;S22&amp;"""},{""id"":130,""name"":""Impact"",""value"":"""&amp;Y22&amp;"""},{""id"":150,""name"":""Time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Assigned"",""value"":"""&amp;Z22&amp;"""}]}}"&amp;"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{"issue":{"subject":"","project_id":79,"tracker_id":40,"status_id":1,"priority_id":2,"assigned_to_id":23,"start_date":"2016-08-27","description":"","custom_fields":[{"id":1,"name":"Subdivision","value":"EC"},{"id":4,"name":"Milepost","value":"23.0436"},{"id":17,"name":"Train ID","value":"133-27"},{"id":16,"name":"Locomotive ID","value":"4031"},{"id":130,"name":"Impact","value":""},{"id":150,"name":"Time of Event (Mountain Time)","value":"08:30:02"},{"id":151,"name":"Denver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2" s="55"/>
      <c r="Y22" s="55"/>
      <c r="Z22" s="55"/>
    </row>
    <row r="23" spans="1:26" x14ac:dyDescent="0.25">
      <c r="A23" s="38">
        <v>42609.265115740738</v>
      </c>
      <c r="B23" s="33" t="s">
        <v>112</v>
      </c>
      <c r="C23" s="33" t="s">
        <v>420</v>
      </c>
      <c r="D23" s="33" t="s">
        <v>111</v>
      </c>
      <c r="E23" s="33" t="s">
        <v>54</v>
      </c>
      <c r="F23" s="49">
        <v>200</v>
      </c>
      <c r="G23" s="49">
        <v>256</v>
      </c>
      <c r="H23" s="49">
        <v>65369</v>
      </c>
      <c r="I23" s="33" t="s">
        <v>55</v>
      </c>
      <c r="J23" s="49">
        <v>63995</v>
      </c>
      <c r="K23" s="33" t="s">
        <v>52</v>
      </c>
      <c r="L23" s="92" t="str">
        <f>VLOOKUP(C23,'Trips&amp;Operators'!$C$1:$E$9999,3,0)</f>
        <v>ACKERMAN</v>
      </c>
      <c r="M23" s="131" t="s">
        <v>86</v>
      </c>
      <c r="N23" s="10" t="s">
        <v>384</v>
      </c>
      <c r="O23" s="33"/>
      <c r="P23" s="108" t="str">
        <f>VLOOKUP(C23,'Train Runs'!$A$13:$AE$10012,31,0)</f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Q23" s="111" t="str">
        <f>VLOOKUP(C23,'Train Runs'!$A$13:$AE$10012,22,0)</f>
        <v>https://search-rtdc-monitor-bjffxe2xuh6vdkpspy63sjmuny.us-east-1.es.amazonaws.com/_plugin/kibana/#/discover/Steve-Slow-Train-Analysis-(2080s-and-2083s)?_g=(refreshInterval:(display:Off,section:0,value:0),time:(from:'2016-08-27 05:19:52-0600',mode:absolute,to:'2016-08-27 07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23" s="113" t="str">
        <f>astrogrep_path&amp;" /spath="&amp;search_path&amp;" /stypes=""*"&amp;S23&amp;"*"&amp;TEXT(A23-utc_offset/24,"YYYYMMDD")&amp;LEFT(TEXT(A23-utc_offset/24,"HH"),1)&amp;"*""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/stypes="*4014*201608271*" /stext=" 12:.+((SYSTEM_STATE.+slice.+state.+changed )|(ment ac)|(system.+state.+changed )|(\|lc)|(penalty)|(\[timeout)|(PRM\|1\|D)|(kpr)|(kdp))" /e /r /s</v>
      </c>
      <c r="S23" s="9" t="str">
        <f>MID(B23,13,4)</f>
        <v>4014</v>
      </c>
      <c r="T23" s="38">
        <f>A23+6/24</f>
        <v>42609.515115740738</v>
      </c>
      <c r="U23" s="52" t="str">
        <f>IF(VALUE(LEFT(IF(LEN(C23)=6,"0"&amp;C23,C23),2))&lt;=2,"EC",IF(OR(VALUE(LEFT(IF(LEN(C23)=6,"0"&amp;C23,C23),2))=8,VALUE(LEFT(IF(LEN(C23)=6,"0"&amp;C23,C23),2))=18),"NW","Other"))</f>
        <v>EC</v>
      </c>
      <c r="V23" s="52" t="str">
        <f>IF(AND(E23="TRACK WARRANT AUTHORITY",G23&lt;10),"OMIT","KEEP")</f>
        <v>KEEP</v>
      </c>
      <c r="W23" s="149" t="str">
        <f>"echo {""issue"":{""subject"":"""&amp;N23&amp;""",""project_id"":79,""tracker_id"":40,""status_id"":"&amp;redmine_status&amp;",""priority_id"":"&amp;redmine_priority&amp;",""assigned_to_id"":"&amp;redmine_assignee&amp;",""start_date"":"""&amp;TEXT(A23,"YYYY-mm-dd")&amp;""",""description"":"""&amp;X23&amp;""",""custom_fields"":[{""id"":1,""name"":""Subdivision"",""value"":"""&amp;U23&amp;"""},{""id"":4,""name"":""Milepost"",""value"":"""&amp;J23/10000&amp;"""},{""id"":17,""name"":""Train ID"",""value"":"""&amp;C23&amp;"""},{""id"":16,""name"":""Locomotive ID"",""value"":"""&amp;S23&amp;"""},{""id"":130,""name"":""Impact"",""value"":"""&amp;Y23&amp;"""},{""id"":150,""name"":""Time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Assigned"",""value"":"""&amp;Z23&amp;"""}]}}"&amp;"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-08-27","description":"","custom_fields":[{"id":1,"name":"Subdivision","value":"EC"},{"id":4,"name":"Milepost","value":"6.3995"},{"id":17,"name":"Train ID","value":"119-27"},{"id":16,"name":"Locomotive ID","value":"4014"},{"id":130,"name":"Impact","value":""},{"id":150,"name":"Time of Event (Mountain Time)","value":"06:21:46"},{"id":151,"name":"Denver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3" s="55"/>
      <c r="Y23" s="55"/>
      <c r="Z23" s="55"/>
    </row>
    <row r="24" spans="1:26" x14ac:dyDescent="0.25">
      <c r="A24" s="38">
        <v>42609.284421296295</v>
      </c>
      <c r="B24" s="33" t="s">
        <v>289</v>
      </c>
      <c r="C24" s="33" t="s">
        <v>402</v>
      </c>
      <c r="D24" s="33" t="s">
        <v>49</v>
      </c>
      <c r="E24" s="33" t="s">
        <v>54</v>
      </c>
      <c r="F24" s="49">
        <v>0</v>
      </c>
      <c r="G24" s="49">
        <v>25</v>
      </c>
      <c r="H24" s="49">
        <v>64042</v>
      </c>
      <c r="I24" s="33" t="s">
        <v>55</v>
      </c>
      <c r="J24" s="49">
        <v>64008</v>
      </c>
      <c r="K24" s="33" t="s">
        <v>53</v>
      </c>
      <c r="L24" s="92" t="str">
        <f>VLOOKUP(C24,'Trips&amp;Operators'!$C$1:$E$9999,3,0)</f>
        <v>MAHAN</v>
      </c>
      <c r="M24" s="131" t="s">
        <v>327</v>
      </c>
      <c r="N24" s="10" t="s">
        <v>699</v>
      </c>
      <c r="O24" s="33"/>
      <c r="P24" s="108" t="str">
        <f>VLOOKUP(C24,'Train Runs'!$A$13:$AE$10012,31,0)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Q24" s="111" t="str">
        <f>VLOOKUP(C24,'Train Runs'!$A$13:$AE$10012,22,0)</f>
        <v>https://search-rtdc-monitor-bjffxe2xuh6vdkpspy63sjmuny.us-east-1.es.amazonaws.com/_plugin/kibana/#/discover/Steve-Slow-Train-Analysis-(2080s-and-2083s)?_g=(refreshInterval:(display:Off,section:0,value:0),time:(from:'2016-08-27 04:43:52-0600',mode:absolute,to:'2016-08-27 07:49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4" s="113" t="str">
        <f>astrogrep_path&amp;" /spath="&amp;search_path&amp;" /stypes=""*"&amp;S24&amp;"*"&amp;TEXT(A24-utc_offset/24,"YYYYMMDD")&amp;LEFT(TEXT(A24-utc_offset/24,"HH"),1)&amp;"*""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/stypes="*4019*201608271*" /stext=" 12:.+((SYSTEM_STATE.+slice.+state.+changed )|(ment ac)|(system.+state.+changed )|(\|lc)|(penalty)|(\[timeout)|(PRM\|1\|D)|(kpr)|(kdp))" /e /r /s</v>
      </c>
      <c r="S24" s="9" t="str">
        <f>MID(B24,13,4)</f>
        <v>4019</v>
      </c>
      <c r="T24" s="38">
        <f>A24+6/24</f>
        <v>42609.534421296295</v>
      </c>
      <c r="U24" s="52" t="str">
        <f>IF(VALUE(LEFT(IF(LEN(C24)=6,"0"&amp;C24,C24),2))&lt;=2,"EC",IF(OR(VALUE(LEFT(IF(LEN(C24)=6,"0"&amp;C24,C24),2))=8,VALUE(LEFT(IF(LEN(C24)=6,"0"&amp;C24,C24),2))=18),"NW","Other"))</f>
        <v>EC</v>
      </c>
      <c r="V24" s="52" t="str">
        <f>IF(AND(E24="TRACK WARRANT AUTHORITY",G24&lt;10),"OMIT","KEEP")</f>
        <v>KEEP</v>
      </c>
      <c r="W24" s="149" t="str">
        <f>"echo {""issue"":{""subject"":"""&amp;N24&amp;""",""project_id"":79,""tracker_id"":40,""status_id"":"&amp;redmine_status&amp;",""priority_id"":"&amp;redmine_priority&amp;",""assigned_to_id"":"&amp;redmine_assignee&amp;",""start_date"":"""&amp;TEXT(A24,"YYYY-mm-dd")&amp;""",""description"":"""&amp;X24&amp;""",""custom_fields"":[{""id"":1,""name"":""Subdivision"",""value"":"""&amp;U24&amp;"""},{""id"":4,""name"":""Milepost"",""value"":"""&amp;J24/10000&amp;"""},{""id"":17,""name"":""Train ID"",""value"":"""&amp;C24&amp;"""},{""id"":16,""name"":""Locomotive ID"",""value"":"""&amp;S24&amp;"""},{""id"":130,""name"":""Impact"",""value"":"""&amp;Y24&amp;"""},{""id"":150,""name"":""Time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Assigned"",""value"":"""&amp;Z24&amp;"""}]}}"&amp;" | curl -X POST -H ""Content-Type: application/json"" -H ""X-Redmine-API-Key: "&amp;redm_api_key&amp;""" "&amp;redm_url&amp;" --data @-"</f>
        <v>echo {"issue":{"subject":"Central Park XING failure","project_id":79,"tracker_id":40,"status_id":1,"priority_id":2,"assigned_to_id":23,"start_date":"2016-08-27","description":"","custom_fields":[{"id":1,"name":"Subdivision","value":"EC"},{"id":4,"name":"Milepost","value":"6.4008"},{"id":17,"name":"Train ID","value":"112-27"},{"id":16,"name":"Locomotive ID","value":"4019"},{"id":130,"name":"Impact","value":""},{"id":150,"name":"Time of Event (Mountain Time)","value":"06:49:34"},{"id":151,"name":"Denver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4" s="55"/>
      <c r="Y24" s="55"/>
      <c r="Z24" s="55"/>
    </row>
    <row r="25" spans="1:26" ht="15" customHeight="1" x14ac:dyDescent="0.25">
      <c r="A25" s="38">
        <v>42609.745833333334</v>
      </c>
      <c r="B25" s="33" t="s">
        <v>115</v>
      </c>
      <c r="C25" s="33" t="s">
        <v>610</v>
      </c>
      <c r="D25" s="33" t="s">
        <v>49</v>
      </c>
      <c r="E25" s="33" t="s">
        <v>54</v>
      </c>
      <c r="F25" s="49">
        <v>0</v>
      </c>
      <c r="G25" s="49">
        <v>763</v>
      </c>
      <c r="H25" s="49">
        <v>133289</v>
      </c>
      <c r="I25" s="33" t="s">
        <v>55</v>
      </c>
      <c r="J25" s="49">
        <v>127587</v>
      </c>
      <c r="K25" s="33" t="s">
        <v>53</v>
      </c>
      <c r="L25" s="92" t="str">
        <f>VLOOKUP(C25,'Trips&amp;Operators'!$C$1:$E$9999,3,0)</f>
        <v>MOSES</v>
      </c>
      <c r="M25" s="131" t="s">
        <v>86</v>
      </c>
      <c r="N25" s="10" t="s">
        <v>707</v>
      </c>
      <c r="O25" s="33"/>
      <c r="P25" s="108" t="str">
        <f>VLOOKUP(C25,'Train Runs'!$A$13:$AE$10012,31,0)</f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Q25" s="111" t="str">
        <f>VLOOKUP(C25,'Train Runs'!$A$13:$AE$10012,22,0)</f>
        <v>https://search-rtdc-monitor-bjffxe2xuh6vdkpspy63sjmuny.us-east-1.es.amazonaws.com/_plugin/kibana/#/discover/Steve-Slow-Train-Analysis-(2080s-and-2083s)?_g=(refreshInterval:(display:Off,section:0,value:0),time:(from:'2016-08-27 16:37:49-0600',mode:absolute,to:'2016-08-27 19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25" s="113" t="str">
        <f>astrogrep_path&amp;" /spath="&amp;search_path&amp;" /stypes=""*"&amp;S25&amp;"*"&amp;TEXT(A25-utc_offset/24,"YYYYMMDD")&amp;LEFT(TEXT(A25-utc_offset/24,"HH"),1)&amp;"*""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/stypes="*4032*201608272*" /stext=" 23:.+((SYSTEM_STATE.+slice.+state.+changed )|(ment ac)|(system.+state.+changed )|(\|lc)|(penalty)|(\[timeout)|(PRM\|1\|D)|(kpr)|(kdp))" /e /r /s</v>
      </c>
      <c r="S25" s="9" t="str">
        <f>MID(B25,13,4)</f>
        <v>4032</v>
      </c>
      <c r="T25" s="38">
        <f>A25+6/24</f>
        <v>42609.995833333334</v>
      </c>
      <c r="U25" s="52" t="str">
        <f>IF(VALUE(LEFT(IF(LEN(C25)=6,"0"&amp;C25,C25),2))&lt;=2,"EC",IF(OR(VALUE(LEFT(IF(LEN(C25)=6,"0"&amp;C25,C25),2))=8,VALUE(LEFT(IF(LEN(C25)=6,"0"&amp;C25,C25),2))=18),"NW","Other"))</f>
        <v>EC</v>
      </c>
      <c r="V25" s="52" t="str">
        <f>IF(AND(E25="TRACK WARRANT AUTHORITY",G25&lt;10),"OMIT","KEEP")</f>
        <v>KEEP</v>
      </c>
      <c r="W25" s="149" t="str">
        <f>"echo {""issue"":{""subject"":"""&amp;N25&amp;""",""project_id"":79,""tracker_id"":40,""status_id"":"&amp;redmine_status&amp;",""priority_id"":"&amp;redmine_priority&amp;",""assigned_to_id"":"&amp;redmine_assignee&amp;",""start_date"":"""&amp;TEXT(A25,"YYYY-mm-dd")&amp;""",""description"":"""&amp;X25&amp;""",""custom_fields"":[{""id"":1,""name"":""Subdivision"",""value"":"""&amp;U25&amp;"""},{""id"":4,""name"":""Milepost"",""value"":"""&amp;J25/10000&amp;"""},{""id"":17,""name"":""Train ID"",""value"":"""&amp;C25&amp;"""},{""id"":16,""name"":""Locomotive ID"",""value"":"""&amp;S25&amp;"""},{""id"":130,""name"":""Impact"",""value"":"""&amp;Y25&amp;"""},{""id"":150,""name"":""Time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Assigned"",""value"":"""&amp;Z25&amp;"""}]}}"&amp;" | curl -X POST -H ""Content-Type: application/json"" -H ""X-Redmine-API-Key: "&amp;redm_api_key&amp;""" "&amp;redm_url&amp;" --data @-"</f>
        <v>echo {"issue":{"subject":"40th 4S STOP, cleared shortly","project_id":79,"tracker_id":40,"status_id":1,"priority_id":2,"assigned_to_id":23,"start_date":"2016-08-27","description":"","custom_fields":[{"id":1,"name":"Subdivision","value":"EC"},{"id":4,"name":"Milepost","value":"12.7587"},{"id":17,"name":"Train ID","value":"206-27"},{"id":16,"name":"Locomotive ID","value":"4032"},{"id":130,"name":"Impact","value":""},{"id":150,"name":"Time of Event (Mountain Time)","value":"17:54:00"},{"id":151,"name":"Denver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5" s="55"/>
      <c r="Y25" s="55"/>
      <c r="Z25" s="55"/>
    </row>
    <row r="26" spans="1:26" x14ac:dyDescent="0.25">
      <c r="A26" s="38">
        <v>42609.288738425923</v>
      </c>
      <c r="B26" s="33" t="s">
        <v>144</v>
      </c>
      <c r="C26" s="33" t="s">
        <v>418</v>
      </c>
      <c r="D26" s="33" t="s">
        <v>49</v>
      </c>
      <c r="E26" s="33" t="s">
        <v>54</v>
      </c>
      <c r="F26" s="49">
        <v>0</v>
      </c>
      <c r="G26" s="49">
        <v>701</v>
      </c>
      <c r="H26" s="49">
        <v>138470</v>
      </c>
      <c r="I26" s="33" t="s">
        <v>55</v>
      </c>
      <c r="J26" s="49">
        <v>133166</v>
      </c>
      <c r="K26" s="33" t="s">
        <v>53</v>
      </c>
      <c r="L26" s="92" t="str">
        <f>VLOOKUP(C26,'Trips&amp;Operators'!$C$1:$E$9999,3,0)</f>
        <v>MALAVE</v>
      </c>
      <c r="M26" s="131" t="s">
        <v>86</v>
      </c>
      <c r="N26" s="10" t="s">
        <v>709</v>
      </c>
      <c r="O26" s="33"/>
      <c r="P26" s="108" t="str">
        <f>VLOOKUP(C26,'Train Runs'!$A$13:$AE$10012,31,0)</f>
        <v>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 &amp; 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</v>
      </c>
      <c r="Q26" s="111" t="str">
        <f>VLOOKUP(C26,'Train Runs'!$A$13:$AE$10012,22,0)</f>
        <v>https://search-rtdc-monitor-bjffxe2xuh6vdkpspy63sjmuny.us-east-1.es.amazonaws.com/_plugin/kibana/#/discover/Steve-Slow-Train-Analysis-(2080s-and-2083s)?_g=(refreshInterval:(display:Off,section:0,value:0),time:(from:'2016-08-27 05:39:57-0600',mode:absolute,to:'2016-08-27 08:59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6" s="113" t="str">
        <f>astrogrep_path&amp;" /spath="&amp;search_path&amp;" /stypes=""*"&amp;S26&amp;"*"&amp;TEXT(A26-utc_offset/24,"YYYYMMDD")&amp;LEFT(TEXT(A26-utc_offset/24,"HH"),1)&amp;"*""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/stypes="*4037*201608271*" /stext=" 12:.+((SYSTEM_STATE.+slice.+state.+changed )|(ment ac)|(system.+state.+changed )|(\|lc)|(penalty)|(\[timeout)|(PRM\|1\|D)|(kpr)|(kdp))" /e /r /s</v>
      </c>
      <c r="S26" s="9" t="str">
        <f>MID(B26,13,4)</f>
        <v>4037</v>
      </c>
      <c r="T26" s="38">
        <f>A26+6/24</f>
        <v>42609.538738425923</v>
      </c>
      <c r="U26" s="52" t="str">
        <f>IF(VALUE(LEFT(IF(LEN(C26)=6,"0"&amp;C26,C26),2))&lt;=2,"EC",IF(OR(VALUE(LEFT(IF(LEN(C26)=6,"0"&amp;C26,C26),2))=8,VALUE(LEFT(IF(LEN(C26)=6,"0"&amp;C26,C26),2))=18),"NW","Other"))</f>
        <v>EC</v>
      </c>
      <c r="V26" s="52" t="str">
        <f>IF(AND(E26="TRACK WARRANT AUTHORITY",G26&lt;10),"OMIT","KEEP")</f>
        <v>KEEP</v>
      </c>
      <c r="W26" s="149" t="str">
        <f>"echo {""issue"":{""subject"":"""&amp;N26&amp;""",""project_id"":79,""tracker_id"":40,""status_id"":"&amp;redmine_status&amp;",""priority_id"":"&amp;redmine_priority&amp;",""assigned_to_id"":"&amp;redmine_assignee&amp;",""start_date"":"""&amp;TEXT(A26,"YYYY-mm-dd")&amp;""",""description"":"""&amp;X26&amp;""",""custom_fields"":[{""id"":1,""name"":""Subdivision"",""value"":"""&amp;U26&amp;"""},{""id"":4,""name"":""Milepost"",""value"":"""&amp;J26/10000&amp;"""},{""id"":17,""name"":""Train ID"",""value"":"""&amp;C26&amp;"""},{""id"":16,""name"":""Locomotive ID"",""value"":"""&amp;S26&amp;"""},{""id"":130,""name"":""Impact"",""value"":"""&amp;Y26&amp;"""},{""id"":150,""name"":""Time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Assigned"",""value"":"""&amp;Z26&amp;"""}]}}"&amp;" | curl -X POST -H ""Content-Type: application/json"" -H ""X-Redmine-API-Key: "&amp;redm_api_key&amp;""" "&amp;redm_url&amp;" --data @-"</f>
        <v>echo {"issue":{"subject":"EC1332RH 133-1T 1S was STOP &amp; PROCEED, no issues found","project_id":79,"tracker_id":40,"status_id":1,"priority_id":2,"assigned_to_id":23,"start_date":"2016-08-27","description":"","custom_fields":[{"id":1,"name":"Subdivision","value":"EC"},{"id":4,"name":"Milepost","value":"13.3166"},{"id":17,"name":"Train ID","value":"118-27"},{"id":16,"name":"Locomotive ID","value":"4037"},{"id":130,"name":"Impact","value":""},{"id":150,"name":"Time of Event (Mountain Time)","value":"06:55:47"},{"id":151,"name":"Denver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6" s="55"/>
      <c r="Y26" s="55"/>
      <c r="Z26" s="55"/>
    </row>
    <row r="27" spans="1:26" x14ac:dyDescent="0.25">
      <c r="A27" s="38">
        <v>42609.438750000001</v>
      </c>
      <c r="B27" s="33" t="s">
        <v>150</v>
      </c>
      <c r="C27" s="33" t="s">
        <v>462</v>
      </c>
      <c r="D27" s="33" t="s">
        <v>49</v>
      </c>
      <c r="E27" s="33" t="s">
        <v>54</v>
      </c>
      <c r="F27" s="49">
        <v>0</v>
      </c>
      <c r="G27" s="49">
        <v>523</v>
      </c>
      <c r="H27" s="49">
        <v>150926</v>
      </c>
      <c r="I27" s="33" t="s">
        <v>55</v>
      </c>
      <c r="J27" s="49">
        <v>155600</v>
      </c>
      <c r="K27" s="33" t="s">
        <v>52</v>
      </c>
      <c r="L27" s="92" t="str">
        <f>VLOOKUP(C27,'Trips&amp;Operators'!$C$1:$E$9999,3,0)</f>
        <v>STRICKLAND</v>
      </c>
      <c r="M27" s="131" t="s">
        <v>86</v>
      </c>
      <c r="N27" s="10" t="s">
        <v>708</v>
      </c>
      <c r="O27" s="33"/>
      <c r="P27" s="108" t="str">
        <f>VLOOKUP(C27,'Train Runs'!$A$13:$AE$10012,31,0)</f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Q27" s="111" t="str">
        <f>VLOOKUP(C27,'Train Runs'!$A$13:$AE$10012,22,0)</f>
        <v>https://search-rtdc-monitor-bjffxe2xuh6vdkpspy63sjmuny.us-east-1.es.amazonaws.com/_plugin/kibana/#/discover/Steve-Slow-Train-Analysis-(2080s-and-2083s)?_g=(refreshInterval:(display:Off,section:0,value:0),time:(from:'2016-08-27 08:56:26-0600',mode:absolute,to:'2016-08-27 11:47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27" s="113" t="str">
        <f>astrogrep_path&amp;" /spath="&amp;search_path&amp;" /stypes=""*"&amp;S27&amp;"*"&amp;TEXT(A27-utc_offset/24,"YYYYMMDD")&amp;LEFT(TEXT(A27-utc_offset/24,"HH"),1)&amp;"*""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/stypes="*4042*201608271*" /stext=" 16:.+((SYSTEM_STATE.+slice.+state.+changed )|(ment ac)|(system.+state.+changed )|(\|lc)|(penalty)|(\[timeout)|(PRM\|1\|D)|(kpr)|(kdp))" /e /r /s</v>
      </c>
      <c r="S27" s="9" t="str">
        <f>MID(B27,13,4)</f>
        <v>4042</v>
      </c>
      <c r="T27" s="38">
        <f>A27+6/24</f>
        <v>42609.688750000001</v>
      </c>
      <c r="U27" s="52" t="str">
        <f>IF(VALUE(LEFT(IF(LEN(C27)=6,"0"&amp;C27,C27),2))&lt;=2,"EC",IF(OR(VALUE(LEFT(IF(LEN(C27)=6,"0"&amp;C27,C27),2))=8,VALUE(LEFT(IF(LEN(C27)=6,"0"&amp;C27,C27),2))=18),"NW","Other"))</f>
        <v>EC</v>
      </c>
      <c r="V27" s="52" t="str">
        <f>IF(AND(E27="TRACK WARRANT AUTHORITY",G27&lt;10),"OMIT","KEEP")</f>
        <v>KEEP</v>
      </c>
      <c r="W27" s="149" t="str">
        <f>"echo {""issue"":{""subject"":"""&amp;N27&amp;""",""project_id"":79,""tracker_id"":40,""status_id"":"&amp;redmine_status&amp;",""priority_id"":"&amp;redmine_priority&amp;",""assigned_to_id"":"&amp;redmine_assignee&amp;",""start_date"":"""&amp;TEXT(A27,"YYYY-mm-dd")&amp;""",""description"":"""&amp;X27&amp;""",""custom_fields"":[{""id"":1,""name"":""Subdivision"",""value"":"""&amp;U27&amp;"""},{""id"":4,""name"":""Milepost"",""value"":"""&amp;J27/10000&amp;"""},{""id"":17,""name"":""Train ID"",""value"":"""&amp;C27&amp;"""},{""id"":16,""name"":""Locomotive ID"",""value"":"""&amp;S27&amp;"""},{""id"":130,""name"":""Impact"",""value"":"""&amp;Y27&amp;"""},{""id"":150,""name"":""Time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Assigned"",""value"":"""&amp;Z27&amp;"""}]}}"&amp;" | curl -X POST -H ""Content-Type: application/json"" -H ""X-Redmine-API-Key: "&amp;redm_api_key&amp;""" "&amp;redm_url&amp;" --data @-"</f>
        <v>echo {"issue":{"subject":"61st 2N STOP, cleared shortly","project_id":79,"tracker_id":40,"status_id":1,"priority_id":2,"assigned_to_id":23,"start_date":"2016-08-27","description":"","custom_fields":[{"id":1,"name":"Subdivision","value":"EC"},{"id":4,"name":"Milepost","value":"15.56"},{"id":17,"name":"Train ID","value":"151-27"},{"id":16,"name":"Locomotive ID","value":"4042"},{"id":130,"name":"Impact","value":""},{"id":150,"name":"Time of Event (Mountain Time)","value":"10:31:48"},{"id":151,"name":"Denver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7" s="55"/>
      <c r="Y27" s="55"/>
      <c r="Z27" s="55"/>
    </row>
    <row r="28" spans="1:26" x14ac:dyDescent="0.25">
      <c r="A28" s="38">
        <v>42609.424108796295</v>
      </c>
      <c r="B28" s="33" t="s">
        <v>90</v>
      </c>
      <c r="C28" s="33" t="s">
        <v>446</v>
      </c>
      <c r="D28" s="33" t="s">
        <v>49</v>
      </c>
      <c r="E28" s="33" t="s">
        <v>50</v>
      </c>
      <c r="F28" s="49">
        <v>0</v>
      </c>
      <c r="G28" s="49">
        <v>65</v>
      </c>
      <c r="H28" s="49">
        <v>214</v>
      </c>
      <c r="I28" s="33" t="s">
        <v>51</v>
      </c>
      <c r="J28" s="49">
        <v>1</v>
      </c>
      <c r="K28" s="33" t="s">
        <v>53</v>
      </c>
      <c r="L28" s="92" t="str">
        <f>VLOOKUP(C28,'Trips&amp;Operators'!$C$1:$E$9999,3,0)</f>
        <v>ACKERMAN</v>
      </c>
      <c r="M28" s="131" t="s">
        <v>86</v>
      </c>
      <c r="N28" s="10"/>
      <c r="O28" s="33"/>
      <c r="P28" s="108" t="str">
        <f>VLOOKUP(C28,'Train Runs'!$A$13:$AE$10012,31,0)</f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Q28" s="111" t="str">
        <f>VLOOKUP(C28,'Train Runs'!$A$13:$AE$10012,22,0)</f>
        <v>https://search-rtdc-monitor-bjffxe2xuh6vdkpspy63sjmuny.us-east-1.es.amazonaws.com/_plugin/kibana/#/discover/Steve-Slow-Train-Analysis-(2080s-and-2083s)?_g=(refreshInterval:(display:Off,section:0,value:0),time:(from:'2016-08-27 08:28:06-0600',mode:absolute,to:'2016-08-27 11:10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8" s="113" t="str">
        <f>astrogrep_path&amp;" /spath="&amp;search_path&amp;" /stypes=""*"&amp;S28&amp;"*"&amp;TEXT(A28-utc_offset/24,"YYYYMMDD")&amp;LEFT(TEXT(A28-utc_offset/24,"HH"),1)&amp;"*""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/stypes="*4013*201608271*" /stext=" 16:.+((SYSTEM_STATE.+slice.+state.+changed )|(ment ac)|(system.+state.+changed )|(\|lc)|(penalty)|(\[timeout)|(PRM\|1\|D)|(kpr)|(kdp))" /e /r /s</v>
      </c>
      <c r="S28" s="9" t="str">
        <f>MID(B28,13,4)</f>
        <v>4013</v>
      </c>
      <c r="T28" s="38">
        <f>A28+6/24</f>
        <v>42609.674108796295</v>
      </c>
      <c r="U28" s="52" t="str">
        <f>IF(VALUE(LEFT(IF(LEN(C28)=6,"0"&amp;C28,C28),2))&lt;=2,"EC",IF(OR(VALUE(LEFT(IF(LEN(C28)=6,"0"&amp;C28,C28),2))=8,VALUE(LEFT(IF(LEN(C28)=6,"0"&amp;C28,C28),2))=18),"NW","Other"))</f>
        <v>EC</v>
      </c>
      <c r="V28" s="52" t="str">
        <f>IF(AND(E28="TRACK WARRANT AUTHORITY",G28&lt;10),"OMIT","KEEP")</f>
        <v>KEEP</v>
      </c>
      <c r="W28" s="149" t="str">
        <f>"echo {""issue"":{""subject"":"""&amp;N28&amp;""",""project_id"":79,""tracker_id"":40,""status_id"":"&amp;redmine_status&amp;",""priority_id"":"&amp;redmine_priority&amp;",""assigned_to_id"":"&amp;redmine_assignee&amp;",""start_date"":"""&amp;TEXT(A28,"YYYY-mm-dd")&amp;""",""description"":"""&amp;X28&amp;""",""custom_fields"":[{""id"":1,""name"":""Subdivision"",""value"":"""&amp;U28&amp;"""},{""id"":4,""name"":""Milepost"",""value"":"""&amp;J28/10000&amp;"""},{""id"":17,""name"":""Train ID"",""value"":"""&amp;C28&amp;"""},{""id"":16,""name"":""Locomotive ID"",""value"":"""&amp;S28&amp;"""},{""id"":130,""name"":""Impact"",""value"":"""&amp;Y28&amp;"""},{""id"":150,""name"":""Time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Assigned"",""value"":"""&amp;Z28&amp;"""}]}}"&amp;"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{"issue":{"subject":"","project_id":79,"tracker_id":40,"status_id":1,"priority_id":2,"assigned_to_id":23,"start_date":"2016-08-27","description":"","custom_fields":[{"id":1,"name":"Subdivision","value":"EC"},{"id":4,"name":"Milepost","value":"0.0001"},{"id":17,"name":"Train ID","value":"140-27"},{"id":16,"name":"Locomotive ID","value":"4013"},{"id":130,"name":"Impact","value":""},{"id":150,"name":"Time of Event (Mountain Time)","value":"10:10:43"},{"id":151,"name":"Denver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8" s="55"/>
      <c r="Y28" s="55"/>
      <c r="Z28" s="55"/>
    </row>
    <row r="29" spans="1:26" x14ac:dyDescent="0.25">
      <c r="A29" s="38">
        <v>42609.44263888889</v>
      </c>
      <c r="B29" s="33" t="s">
        <v>174</v>
      </c>
      <c r="C29" s="33" t="s">
        <v>452</v>
      </c>
      <c r="D29" s="33" t="s">
        <v>49</v>
      </c>
      <c r="E29" s="33" t="s">
        <v>50</v>
      </c>
      <c r="F29" s="49">
        <v>0</v>
      </c>
      <c r="G29" s="49">
        <v>46</v>
      </c>
      <c r="H29" s="49">
        <v>207</v>
      </c>
      <c r="I29" s="33" t="s">
        <v>51</v>
      </c>
      <c r="J29" s="49">
        <v>1</v>
      </c>
      <c r="K29" s="33" t="s">
        <v>53</v>
      </c>
      <c r="L29" s="92" t="str">
        <f>VLOOKUP(C29,'Trips&amp;Operators'!$C$1:$E$9999,3,0)</f>
        <v>KILLION</v>
      </c>
      <c r="M29" s="131" t="s">
        <v>86</v>
      </c>
      <c r="N29" s="10"/>
      <c r="O29" s="33"/>
      <c r="P29" s="108" t="str">
        <f>VLOOKUP(C29,'Train Runs'!$A$13:$AE$10012,31,0)</f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Q29" s="111" t="str">
        <f>VLOOKUP(C29,'Train Runs'!$A$13:$AE$10012,22,0)</f>
        <v>https://search-rtdc-monitor-bjffxe2xuh6vdkpspy63sjmuny.us-east-1.es.amazonaws.com/_plugin/kibana/#/discover/Steve-Slow-Train-Analysis-(2080s-and-2083s)?_g=(refreshInterval:(display:Off,section:0,value:0),time:(from:'2016-08-27 08:56:55-0600',mode:absolute,to:'2016-08-27 11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9" s="113" t="str">
        <f>astrogrep_path&amp;" /spath="&amp;search_path&amp;" /stypes=""*"&amp;S29&amp;"*"&amp;TEXT(A29-utc_offset/24,"YYYYMMDD")&amp;LEFT(TEXT(A29-utc_offset/24,"HH"),1)&amp;"*""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/stypes="*4010*201608271*" /stext=" 16:.+((SYSTEM_STATE.+slice.+state.+changed )|(ment ac)|(system.+state.+changed )|(\|lc)|(penalty)|(\[timeout)|(PRM\|1\|D)|(kpr)|(kdp))" /e /r /s</v>
      </c>
      <c r="S29" s="9" t="str">
        <f>MID(B29,13,4)</f>
        <v>4010</v>
      </c>
      <c r="T29" s="38">
        <f>A29+6/24</f>
        <v>42609.69263888889</v>
      </c>
      <c r="U29" s="52" t="str">
        <f>IF(VALUE(LEFT(IF(LEN(C29)=6,"0"&amp;C29,C29),2))&lt;=2,"EC",IF(OR(VALUE(LEFT(IF(LEN(C29)=6,"0"&amp;C29,C29),2))=8,VALUE(LEFT(IF(LEN(C29)=6,"0"&amp;C29,C29),2))=18),"NW","Other"))</f>
        <v>EC</v>
      </c>
      <c r="V29" s="52" t="str">
        <f>IF(AND(E29="TRACK WARRANT AUTHORITY",G29&lt;10),"OMIT","KEEP")</f>
        <v>KEEP</v>
      </c>
      <c r="W29" s="149" t="str">
        <f>"echo {""issue"":{""subject"":"""&amp;N29&amp;""",""project_id"":79,""tracker_id"":40,""status_id"":"&amp;redmine_status&amp;",""priority_id"":"&amp;redmine_priority&amp;",""assigned_to_id"":"&amp;redmine_assignee&amp;",""start_date"":"""&amp;TEXT(A29,"YYYY-mm-dd")&amp;""",""description"":"""&amp;X29&amp;""",""custom_fields"":[{""id"":1,""name"":""Subdivision"",""value"":"""&amp;U29&amp;"""},{""id"":4,""name"":""Milepost"",""value"":"""&amp;J29/10000&amp;"""},{""id"":17,""name"":""Train ID"",""value"":"""&amp;C29&amp;"""},{""id"":16,""name"":""Locomotive ID"",""value"":"""&amp;S29&amp;"""},{""id"":130,""name"":""Impact"",""value"":"""&amp;Y29&amp;"""},{""id"":150,""name"":""Time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Assigned"",""value"":"""&amp;Z29&amp;"""}]}}"&amp;"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{"issue":{"subject":"","project_id":79,"tracker_id":40,"status_id":1,"priority_id":2,"assigned_to_id":23,"start_date":"2016-08-27","description":"","custom_fields":[{"id":1,"name":"Subdivision","value":"EC"},{"id":4,"name":"Milepost","value":"0.0001"},{"id":17,"name":"Train ID","value":"144-27"},{"id":16,"name":"Locomotive ID","value":"4010"},{"id":130,"name":"Impact","value":""},{"id":150,"name":"Time of Event (Mountain Time)","value":"10:37:24"},{"id":151,"name":"Denver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9" s="55"/>
      <c r="Y29" s="55"/>
      <c r="Z29" s="55"/>
    </row>
    <row r="30" spans="1:26" x14ac:dyDescent="0.25">
      <c r="A30" s="38">
        <v>42609.462465277778</v>
      </c>
      <c r="B30" s="33" t="s">
        <v>289</v>
      </c>
      <c r="C30" s="33" t="s">
        <v>456</v>
      </c>
      <c r="D30" s="33" t="s">
        <v>49</v>
      </c>
      <c r="E30" s="33" t="s">
        <v>50</v>
      </c>
      <c r="F30" s="49">
        <v>0</v>
      </c>
      <c r="G30" s="49">
        <v>70</v>
      </c>
      <c r="H30" s="49">
        <v>221</v>
      </c>
      <c r="I30" s="33" t="s">
        <v>51</v>
      </c>
      <c r="J30" s="49">
        <v>1</v>
      </c>
      <c r="K30" s="33" t="s">
        <v>53</v>
      </c>
      <c r="L30" s="92" t="str">
        <f>VLOOKUP(C30,'Trips&amp;Operators'!$C$1:$E$9999,3,0)</f>
        <v>MAHAN</v>
      </c>
      <c r="M30" s="131" t="s">
        <v>86</v>
      </c>
      <c r="N30" s="10"/>
      <c r="O30" s="33"/>
      <c r="P30" s="108" t="str">
        <f>VLOOKUP(C30,'Train Runs'!$A$13:$AE$10012,31,0)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Q30" s="111" t="str">
        <f>VLOOKUP(C30,'Train Runs'!$A$13:$AE$10012,22,0)</f>
        <v>https://search-rtdc-monitor-bjffxe2xuh6vdkpspy63sjmuny.us-east-1.es.amazonaws.com/_plugin/kibana/#/discover/Steve-Slow-Train-Analysis-(2080s-and-2083s)?_g=(refreshInterval:(display:Off,section:0,value:0),time:(from:'2016-08-27 09:22:37-0600',mode:absolute,to:'2016-08-27 12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30" s="113" t="str">
        <f>astrogrep_path&amp;" /spath="&amp;search_path&amp;" /stypes=""*"&amp;S30&amp;"*"&amp;TEXT(A30-utc_offset/24,"YYYYMMDD")&amp;LEFT(TEXT(A30-utc_offset/24,"HH"),1)&amp;"*""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/stypes="*4019*201608271*" /stext=" 17:.+((SYSTEM_STATE.+slice.+state.+changed )|(ment ac)|(system.+state.+changed )|(\|lc)|(penalty)|(\[timeout)|(PRM\|1\|D)|(kpr)|(kdp))" /e /r /s</v>
      </c>
      <c r="S30" s="9" t="str">
        <f>MID(B30,13,4)</f>
        <v>4019</v>
      </c>
      <c r="T30" s="38">
        <f>A30+6/24</f>
        <v>42609.712465277778</v>
      </c>
      <c r="U30" s="52" t="str">
        <f>IF(VALUE(LEFT(IF(LEN(C30)=6,"0"&amp;C30,C30),2))&lt;=2,"EC",IF(OR(VALUE(LEFT(IF(LEN(C30)=6,"0"&amp;C30,C30),2))=8,VALUE(LEFT(IF(LEN(C30)=6,"0"&amp;C30,C30),2))=18),"NW","Other"))</f>
        <v>EC</v>
      </c>
      <c r="V30" s="52" t="str">
        <f>IF(AND(E30="TRACK WARRANT AUTHORITY",G30&lt;10),"OMIT","KEEP")</f>
        <v>KEEP</v>
      </c>
      <c r="W30" s="149" t="str">
        <f>"echo {""issue"":{""subject"":"""&amp;N30&amp;""",""project_id"":79,""tracker_id"":40,""status_id"":"&amp;redmine_status&amp;",""priority_id"":"&amp;redmine_priority&amp;",""assigned_to_id"":"&amp;redmine_assignee&amp;",""start_date"":"""&amp;TEXT(A30,"YYYY-mm-dd")&amp;""",""description"":"""&amp;X30&amp;""",""custom_fields"":[{""id"":1,""name"":""Subdivision"",""value"":"""&amp;U30&amp;"""},{""id"":4,""name"":""Milepost"",""value"":"""&amp;J30/10000&amp;"""},{""id"":17,""name"":""Train ID"",""value"":"""&amp;C30&amp;"""},{""id"":16,""name"":""Locomotive ID"",""value"":"""&amp;S30&amp;"""},{""id"":130,""name"":""Impact"",""value"":"""&amp;Y30&amp;"""},{""id"":150,""name"":""Time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Assigned"",""value"":"""&amp;Z30&amp;"""}]}}"&amp;"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{"issue":{"subject":"","project_id":79,"tracker_id":40,"status_id":1,"priority_id":2,"assigned_to_id":23,"start_date":"2016-08-27","description":"","custom_fields":[{"id":1,"name":"Subdivision","value":"EC"},{"id":4,"name":"Milepost","value":"0.0001"},{"id":17,"name":"Train ID","value":"148-27"},{"id":16,"name":"Locomotive ID","value":"4019"},{"id":130,"name":"Impact","value":""},{"id":150,"name":"Time of Event (Mountain Time)","value":"11:05:57"},{"id":151,"name":"Denver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0" s="55"/>
      <c r="Y30" s="55"/>
      <c r="Z30" s="55"/>
    </row>
    <row r="31" spans="1:26" x14ac:dyDescent="0.25">
      <c r="A31" s="38">
        <v>42609.524675925924</v>
      </c>
      <c r="B31" s="33" t="s">
        <v>174</v>
      </c>
      <c r="C31" s="33" t="s">
        <v>472</v>
      </c>
      <c r="D31" s="33" t="s">
        <v>49</v>
      </c>
      <c r="E31" s="33" t="s">
        <v>50</v>
      </c>
      <c r="F31" s="49">
        <v>0</v>
      </c>
      <c r="G31" s="49">
        <v>45</v>
      </c>
      <c r="H31" s="49">
        <v>183</v>
      </c>
      <c r="I31" s="33" t="s">
        <v>51</v>
      </c>
      <c r="J31" s="49">
        <v>1</v>
      </c>
      <c r="K31" s="33" t="s">
        <v>53</v>
      </c>
      <c r="L31" s="92" t="str">
        <f>VLOOKUP(C31,'Trips&amp;Operators'!$C$1:$E$9999,3,0)</f>
        <v>STEWART</v>
      </c>
      <c r="M31" s="131" t="s">
        <v>86</v>
      </c>
      <c r="N31" s="10"/>
      <c r="O31" s="33"/>
      <c r="P31" s="108" t="str">
        <f>VLOOKUP(C31,'Train Runs'!$A$13:$AE$10012,31,0)</f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Q31" s="111" t="str">
        <f>VLOOKUP(C31,'Train Runs'!$A$13:$AE$10012,22,0)</f>
        <v>https://search-rtdc-monitor-bjffxe2xuh6vdkpspy63sjmuny.us-east-1.es.amazonaws.com/_plugin/kibana/#/discover/Steve-Slow-Train-Analysis-(2080s-and-2083s)?_g=(refreshInterval:(display:Off,section:0,value:0),time:(from:'2016-08-27 10:54:48-0600',mode:absolute,to:'2016-08-27 13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31" s="113" t="str">
        <f>astrogrep_path&amp;" /spath="&amp;search_path&amp;" /stypes=""*"&amp;S31&amp;"*"&amp;TEXT(A31-utc_offset/24,"YYYYMMDD")&amp;LEFT(TEXT(A31-utc_offset/24,"HH"),1)&amp;"*""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/stypes="*4010*201608271*" /stext=" 18:.+((SYSTEM_STATE.+slice.+state.+changed )|(ment ac)|(system.+state.+changed )|(\|lc)|(penalty)|(\[timeout)|(PRM\|1\|D)|(kpr)|(kdp))" /e /r /s</v>
      </c>
      <c r="S31" s="9" t="str">
        <f>MID(B31,13,4)</f>
        <v>4010</v>
      </c>
      <c r="T31" s="38">
        <f>A31+6/24</f>
        <v>42609.774675925924</v>
      </c>
      <c r="U31" s="52" t="str">
        <f>IF(VALUE(LEFT(IF(LEN(C31)=6,"0"&amp;C31,C31),2))&lt;=2,"EC",IF(OR(VALUE(LEFT(IF(LEN(C31)=6,"0"&amp;C31,C31),2))=8,VALUE(LEFT(IF(LEN(C31)=6,"0"&amp;C31,C31),2))=18),"NW","Other"))</f>
        <v>EC</v>
      </c>
      <c r="V31" s="52" t="str">
        <f>IF(AND(E31="TRACK WARRANT AUTHORITY",G31&lt;10),"OMIT","KEEP")</f>
        <v>KEEP</v>
      </c>
      <c r="W31" s="149" t="str">
        <f>"echo {""issue"":{""subject"":"""&amp;N31&amp;""",""project_id"":79,""tracker_id"":40,""status_id"":"&amp;redmine_status&amp;",""priority_id"":"&amp;redmine_priority&amp;",""assigned_to_id"":"&amp;redmine_assignee&amp;",""start_date"":"""&amp;TEXT(A31,"YYYY-mm-dd")&amp;""",""description"":"""&amp;X31&amp;""",""custom_fields"":[{""id"":1,""name"":""Subdivision"",""value"":"""&amp;U31&amp;"""},{""id"":4,""name"":""Milepost"",""value"":"""&amp;J31/10000&amp;"""},{""id"":17,""name"":""Train ID"",""value"":"""&amp;C31&amp;"""},{""id"":16,""name"":""Locomotive ID"",""value"":"""&amp;S31&amp;"""},{""id"":130,""name"":""Impact"",""value"":"""&amp;Y31&amp;"""},{""id"":150,""name"":""Time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Assigned"",""value"":"""&amp;Z31&amp;"""}]}}"&amp;"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{"issue":{"subject":"","project_id":79,"tracker_id":40,"status_id":1,"priority_id":2,"assigned_to_id":23,"start_date":"2016-08-27","description":"","custom_fields":[{"id":1,"name":"Subdivision","value":"EC"},{"id":4,"name":"Milepost","value":"0.0001"},{"id":17,"name":"Train ID","value":"160-27"},{"id":16,"name":"Locomotive ID","value":"4010"},{"id":130,"name":"Impact","value":""},{"id":150,"name":"Time of Event (Mountain Time)","value":"12:35:32"},{"id":151,"name":"Denver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1" s="55"/>
      <c r="Y31" s="55"/>
      <c r="Z31" s="55"/>
    </row>
    <row r="32" spans="1:26" x14ac:dyDescent="0.25">
      <c r="A32" s="38">
        <v>42609.619328703702</v>
      </c>
      <c r="B32" s="33" t="s">
        <v>115</v>
      </c>
      <c r="C32" s="33" t="s">
        <v>495</v>
      </c>
      <c r="D32" s="33" t="s">
        <v>49</v>
      </c>
      <c r="E32" s="33" t="s">
        <v>50</v>
      </c>
      <c r="F32" s="49">
        <v>0</v>
      </c>
      <c r="G32" s="49">
        <v>59</v>
      </c>
      <c r="H32" s="49">
        <v>198</v>
      </c>
      <c r="I32" s="33" t="s">
        <v>51</v>
      </c>
      <c r="J32" s="49">
        <v>1</v>
      </c>
      <c r="K32" s="33" t="s">
        <v>53</v>
      </c>
      <c r="L32" s="92" t="str">
        <f>VLOOKUP(C32,'Trips&amp;Operators'!$C$1:$E$9999,3,0)</f>
        <v>MOSES</v>
      </c>
      <c r="M32" s="131" t="s">
        <v>86</v>
      </c>
      <c r="N32" s="10"/>
      <c r="O32" s="33"/>
      <c r="P32" s="108" t="str">
        <f>VLOOKUP(C32,'Train Runs'!$A$13:$AE$10012,31,0)</f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Q32" s="111" t="str">
        <f>VLOOKUP(C32,'Train Runs'!$A$13:$AE$10012,22,0)</f>
        <v>https://search-rtdc-monitor-bjffxe2xuh6vdkpspy63sjmuny.us-east-1.es.amazonaws.com/_plugin/kibana/#/discover/Steve-Slow-Train-Analysis-(2080s-and-2083s)?_g=(refreshInterval:(display:Off,section:0,value:0),time:(from:'2016-08-27 13:05:01-0600',mode:absolute,to:'2016-08-27 15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32" s="113" t="str">
        <f>astrogrep_path&amp;" /spath="&amp;search_path&amp;" /stypes=""*"&amp;S32&amp;"*"&amp;TEXT(A32-utc_offset/24,"YYYYMMDD")&amp;LEFT(TEXT(A32-utc_offset/24,"HH"),1)&amp;"*""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/stypes="*4032*201608272*" /stext=" 20:.+((SYSTEM_STATE.+slice.+state.+changed )|(ment ac)|(system.+state.+changed )|(\|lc)|(penalty)|(\[timeout)|(PRM\|1\|D)|(kpr)|(kdp))" /e /r /s</v>
      </c>
      <c r="S32" s="9" t="str">
        <f>MID(B32,13,4)</f>
        <v>4032</v>
      </c>
      <c r="T32" s="38">
        <f>A32+6/24</f>
        <v>42609.869328703702</v>
      </c>
      <c r="U32" s="52" t="str">
        <f>IF(VALUE(LEFT(IF(LEN(C32)=6,"0"&amp;C32,C32),2))&lt;=2,"EC",IF(OR(VALUE(LEFT(IF(LEN(C32)=6,"0"&amp;C32,C32),2))=8,VALUE(LEFT(IF(LEN(C32)=6,"0"&amp;C32,C32),2))=18),"NW","Other"))</f>
        <v>EC</v>
      </c>
      <c r="V32" s="52" t="str">
        <f>IF(AND(E32="TRACK WARRANT AUTHORITY",G32&lt;10),"OMIT","KEEP")</f>
        <v>KEEP</v>
      </c>
      <c r="W32" s="149" t="str">
        <f>"echo {""issue"":{""subject"":"""&amp;N32&amp;""",""project_id"":79,""tracker_id"":40,""status_id"":"&amp;redmine_status&amp;",""priority_id"":"&amp;redmine_priority&amp;",""assigned_to_id"":"&amp;redmine_assignee&amp;",""start_date"":"""&amp;TEXT(A32,"YYYY-mm-dd")&amp;""",""description"":"""&amp;X32&amp;""",""custom_fields"":[{""id"":1,""name"":""Subdivision"",""value"":"""&amp;U32&amp;"""},{""id"":4,""name"":""Milepost"",""value"":"""&amp;J32/10000&amp;"""},{""id"":17,""name"":""Train ID"",""value"":"""&amp;C32&amp;"""},{""id"":16,""name"":""Locomotive ID"",""value"":"""&amp;S32&amp;"""},{""id"":130,""name"":""Impact"",""value"":"""&amp;Y32&amp;"""},{""id"":150,""name"":""Time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Assigned"",""value"":"""&amp;Z32&amp;"""}]}}"&amp;"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{"issue":{"subject":"","project_id":79,"tracker_id":40,"status_id":1,"priority_id":2,"assigned_to_id":23,"start_date":"2016-08-27","description":"","custom_fields":[{"id":1,"name":"Subdivision","value":"EC"},{"id":4,"name":"Milepost","value":"0.0001"},{"id":17,"name":"Train ID","value":"178-27"},{"id":16,"name":"Locomotive ID","value":"4032"},{"id":130,"name":"Impact","value":""},{"id":150,"name":"Time of Event (Mountain Time)","value":"14:51:50"},{"id":151,"name":"Denver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2" s="55"/>
      <c r="Y32" s="55"/>
      <c r="Z32" s="55"/>
    </row>
    <row r="33" spans="1:26" ht="15" customHeight="1" x14ac:dyDescent="0.25">
      <c r="A33" s="38">
        <v>42609.650717592594</v>
      </c>
      <c r="B33" s="33" t="s">
        <v>90</v>
      </c>
      <c r="C33" s="33" t="s">
        <v>577</v>
      </c>
      <c r="D33" s="33" t="s">
        <v>49</v>
      </c>
      <c r="E33" s="33" t="s">
        <v>50</v>
      </c>
      <c r="F33" s="49">
        <v>0</v>
      </c>
      <c r="G33" s="49">
        <v>50</v>
      </c>
      <c r="H33" s="49">
        <v>160</v>
      </c>
      <c r="I33" s="33" t="s">
        <v>51</v>
      </c>
      <c r="J33" s="49">
        <v>1</v>
      </c>
      <c r="K33" s="33" t="s">
        <v>53</v>
      </c>
      <c r="L33" s="92" t="str">
        <f>VLOOKUP(C33,'Trips&amp;Operators'!$C$1:$E$9999,3,0)</f>
        <v>STORY</v>
      </c>
      <c r="M33" s="131" t="s">
        <v>86</v>
      </c>
      <c r="N33" s="10"/>
      <c r="O33" s="33"/>
      <c r="P33" s="108" t="str">
        <f>VLOOKUP(C33,'Train Runs'!$A$13:$AE$10012,31,0)</f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Q33" s="111" t="str">
        <f>VLOOKUP(C33,'Train Runs'!$A$13:$AE$10012,22,0)</f>
        <v>https://search-rtdc-monitor-bjffxe2xuh6vdkpspy63sjmuny.us-east-1.es.amazonaws.com/_plugin/kibana/#/discover/Steve-Slow-Train-Analysis-(2080s-and-2083s)?_g=(refreshInterval:(display:Off,section:0,value:0),time:(from:'2016-08-27 13:46:53-0600',mode:absolute,to:'2016-08-27 16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3" s="113" t="str">
        <f>astrogrep_path&amp;" /spath="&amp;search_path&amp;" /stypes=""*"&amp;S33&amp;"*"&amp;TEXT(A33-utc_offset/24,"YYYYMMDD")&amp;LEFT(TEXT(A33-utc_offset/24,"HH"),1)&amp;"*""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/stypes="*4013*201608272*" /stext=" 21:.+((SYSTEM_STATE.+slice.+state.+changed )|(ment ac)|(system.+state.+changed )|(\|lc)|(penalty)|(\[timeout)|(PRM\|1\|D)|(kpr)|(kdp))" /e /r /s</v>
      </c>
      <c r="S33" s="9" t="str">
        <f>MID(B33,13,4)</f>
        <v>4013</v>
      </c>
      <c r="T33" s="38">
        <f>A33+6/24</f>
        <v>42609.900717592594</v>
      </c>
      <c r="U33" s="52" t="str">
        <f>IF(VALUE(LEFT(IF(LEN(C33)=6,"0"&amp;C33,C33),2))&lt;=2,"EC",IF(OR(VALUE(LEFT(IF(LEN(C33)=6,"0"&amp;C33,C33),2))=8,VALUE(LEFT(IF(LEN(C33)=6,"0"&amp;C33,C33),2))=18),"NW","Other"))</f>
        <v>EC</v>
      </c>
      <c r="V33" s="52" t="str">
        <f>IF(AND(E33="TRACK WARRANT AUTHORITY",G33&lt;10),"OMIT","KEEP")</f>
        <v>KEEP</v>
      </c>
      <c r="W33" s="149" t="str">
        <f>"echo {""issue"":{""subject"":"""&amp;N33&amp;""",""project_id"":79,""tracker_id"":40,""status_id"":"&amp;redmine_status&amp;",""priority_id"":"&amp;redmine_priority&amp;",""assigned_to_id"":"&amp;redmine_assignee&amp;",""start_date"":"""&amp;TEXT(A33,"YYYY-mm-dd")&amp;""",""description"":"""&amp;X33&amp;""",""custom_fields"":[{""id"":1,""name"":""Subdivision"",""value"":"""&amp;U33&amp;"""},{""id"":4,""name"":""Milepost"",""value"":"""&amp;J33/10000&amp;"""},{""id"":17,""name"":""Train ID"",""value"":"""&amp;C33&amp;"""},{""id"":16,""name"":""Locomotive ID"",""value"":"""&amp;S33&amp;"""},{""id"":130,""name"":""Impact"",""value"":"""&amp;Y33&amp;"""},{""id"":150,""name"":""Time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Assigned"",""value"":"""&amp;Z33&amp;"""}]}}"&amp;"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{"issue":{"subject":"","project_id":79,"tracker_id":40,"status_id":1,"priority_id":2,"assigned_to_id":23,"start_date":"2016-08-27","description":"","custom_fields":[{"id":1,"name":"Subdivision","value":"EC"},{"id":4,"name":"Milepost","value":"0.0001"},{"id":17,"name":"Train ID","value":"184-27"},{"id":16,"name":"Locomotive ID","value":"4013"},{"id":130,"name":"Impact","value":""},{"id":150,"name":"Time of Event (Mountain Time)","value":"15:37:02"},{"id":151,"name":"Denver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3" s="55"/>
      <c r="Y33" s="55"/>
      <c r="Z33" s="55"/>
    </row>
    <row r="34" spans="1:26" x14ac:dyDescent="0.25">
      <c r="A34" s="38">
        <v>42609.754386574074</v>
      </c>
      <c r="B34" s="33" t="s">
        <v>289</v>
      </c>
      <c r="C34" s="33" t="s">
        <v>607</v>
      </c>
      <c r="D34" s="33" t="s">
        <v>49</v>
      </c>
      <c r="E34" s="33" t="s">
        <v>50</v>
      </c>
      <c r="F34" s="49">
        <v>0</v>
      </c>
      <c r="G34" s="49">
        <v>49</v>
      </c>
      <c r="H34" s="49">
        <v>192</v>
      </c>
      <c r="I34" s="33" t="s">
        <v>51</v>
      </c>
      <c r="J34" s="49">
        <v>1</v>
      </c>
      <c r="K34" s="33" t="s">
        <v>53</v>
      </c>
      <c r="L34" s="92" t="str">
        <f>VLOOKUP(C34,'Trips&amp;Operators'!$C$1:$E$9999,3,0)</f>
        <v>BARTLETT</v>
      </c>
      <c r="M34" s="131" t="s">
        <v>86</v>
      </c>
      <c r="N34" s="10"/>
      <c r="O34" s="33"/>
      <c r="P34" s="108" t="str">
        <f>VLOOKUP(C34,'Train Runs'!$A$13:$AE$10012,31,0)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Q34" s="111" t="str">
        <f>VLOOKUP(C34,'Train Runs'!$A$13:$AE$10012,22,0)</f>
        <v>https://search-rtdc-monitor-bjffxe2xuh6vdkpspy63sjmuny.us-east-1.es.amazonaws.com/_plugin/kibana/#/discover/Steve-Slow-Train-Analysis-(2080s-and-2083s)?_g=(refreshInterval:(display:Off,section:0,value:0),time:(from:'2016-08-27 16:09:36-0600',mode:absolute,to:'2016-08-27 19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34" s="113" t="str">
        <f>astrogrep_path&amp;" /spath="&amp;search_path&amp;" /stypes=""*"&amp;S34&amp;"*"&amp;TEXT(A34-utc_offset/24,"YYYYMMDD")&amp;LEFT(TEXT(A34-utc_offset/24,"HH"),1)&amp;"*""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/stypes="*4019*201608280*" /stext=" 00:.+((SYSTEM_STATE.+slice.+state.+changed )|(ment ac)|(system.+state.+changed )|(\|lc)|(penalty)|(\[timeout)|(PRM\|1\|D)|(kpr)|(kdp))" /e /r /s</v>
      </c>
      <c r="S34" s="9" t="str">
        <f>MID(B34,13,4)</f>
        <v>4019</v>
      </c>
      <c r="T34" s="38">
        <f>A34+6/24</f>
        <v>42610.004386574074</v>
      </c>
      <c r="U34" s="52" t="str">
        <f>IF(VALUE(LEFT(IF(LEN(C34)=6,"0"&amp;C34,C34),2))&lt;=2,"EC",IF(OR(VALUE(LEFT(IF(LEN(C34)=6,"0"&amp;C34,C34),2))=8,VALUE(LEFT(IF(LEN(C34)=6,"0"&amp;C34,C34),2))=18),"NW","Other"))</f>
        <v>EC</v>
      </c>
      <c r="V34" s="52" t="str">
        <f>IF(AND(E34="TRACK WARRANT AUTHORITY",G34&lt;10),"OMIT","KEEP")</f>
        <v>KEEP</v>
      </c>
      <c r="W34" s="149" t="str">
        <f>"echo {""issue"":{""subject"":"""&amp;N34&amp;""",""project_id"":79,""tracker_id"":40,""status_id"":"&amp;redmine_status&amp;",""priority_id"":"&amp;redmine_priority&amp;",""assigned_to_id"":"&amp;redmine_assignee&amp;",""start_date"":"""&amp;TEXT(A34,"YYYY-mm-dd")&amp;""",""description"":"""&amp;X34&amp;""",""custom_fields"":[{""id"":1,""name"":""Subdivision"",""value"":"""&amp;U34&amp;"""},{""id"":4,""name"":""Milepost"",""value"":"""&amp;J34/10000&amp;"""},{""id"":17,""name"":""Train ID"",""value"":"""&amp;C34&amp;"""},{""id"":16,""name"":""Locomotive ID"",""value"":"""&amp;S34&amp;"""},{""id"":130,""name"":""Impact"",""value"":"""&amp;Y34&amp;"""},{""id"":150,""name"":""Time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Assigned"",""value"":"""&amp;Z34&amp;"""}]}}"&amp;"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{"issue":{"subject":"","project_id":79,"tracker_id":40,"status_id":1,"priority_id":2,"assigned_to_id":23,"start_date":"2016-08-27","description":"","custom_fields":[{"id":1,"name":"Subdivision","value":"EC"},{"id":4,"name":"Milepost","value":"0.0001"},{"id":17,"name":"Train ID","value":"204-27"},{"id":16,"name":"Locomotive ID","value":"4019"},{"id":130,"name":"Impact","value":""},{"id":150,"name":"Time of Event (Mountain Time)","value":"18:06:19"},{"id":151,"name":"Denver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4" s="55"/>
      <c r="Y34" s="55"/>
      <c r="Z34" s="55"/>
    </row>
    <row r="35" spans="1:26" ht="15" customHeight="1" x14ac:dyDescent="0.25">
      <c r="A35" s="38">
        <v>42609.797013888892</v>
      </c>
      <c r="B35" s="33" t="s">
        <v>90</v>
      </c>
      <c r="C35" s="33" t="s">
        <v>618</v>
      </c>
      <c r="D35" s="33" t="s">
        <v>49</v>
      </c>
      <c r="E35" s="33" t="s">
        <v>50</v>
      </c>
      <c r="F35" s="49">
        <v>0</v>
      </c>
      <c r="G35" s="49">
        <v>50</v>
      </c>
      <c r="H35" s="49">
        <v>150</v>
      </c>
      <c r="I35" s="33" t="s">
        <v>51</v>
      </c>
      <c r="J35" s="49">
        <v>1</v>
      </c>
      <c r="K35" s="33" t="s">
        <v>53</v>
      </c>
      <c r="L35" s="92" t="str">
        <f>VLOOKUP(C35,'Trips&amp;Operators'!$C$1:$E$9999,3,0)</f>
        <v>STORY</v>
      </c>
      <c r="M35" s="131" t="s">
        <v>86</v>
      </c>
      <c r="N35" s="10"/>
      <c r="O35" s="33"/>
      <c r="P35" s="108" t="str">
        <f>VLOOKUP(C35,'Train Runs'!$A$13:$AE$10012,31,0)</f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Q35" s="111" t="str">
        <f>VLOOKUP(C35,'Train Runs'!$A$13:$AE$10012,22,0)</f>
        <v>https://search-rtdc-monitor-bjffxe2xuh6vdkpspy63sjmuny.us-east-1.es.amazonaws.com/_plugin/kibana/#/discover/Steve-Slow-Train-Analysis-(2080s-and-2083s)?_g=(refreshInterval:(display:Off,section:0,value:0),time:(from:'2016-08-27 17:16:00-0600',mode:absolute,to:'2016-08-27 20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5" s="113" t="str">
        <f>astrogrep_path&amp;" /spath="&amp;search_path&amp;" /stypes=""*"&amp;S35&amp;"*"&amp;TEXT(A35-utc_offset/24,"YYYYMMDD")&amp;LEFT(TEXT(A35-utc_offset/24,"HH"),1)&amp;"*""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/stypes="*4013*201608280*" /stext=" 01:.+((SYSTEM_STATE.+slice.+state.+changed )|(ment ac)|(system.+state.+changed )|(\|lc)|(penalty)|(\[timeout)|(PRM\|1\|D)|(kpr)|(kdp))" /e /r /s</v>
      </c>
      <c r="S35" s="9" t="str">
        <f>MID(B35,13,4)</f>
        <v>4013</v>
      </c>
      <c r="T35" s="38">
        <f>A35+6/24</f>
        <v>42610.047013888892</v>
      </c>
      <c r="U35" s="52" t="str">
        <f>IF(VALUE(LEFT(IF(LEN(C35)=6,"0"&amp;C35,C35),2))&lt;=2,"EC",IF(OR(VALUE(LEFT(IF(LEN(C35)=6,"0"&amp;C35,C35),2))=8,VALUE(LEFT(IF(LEN(C35)=6,"0"&amp;C35,C35),2))=18),"NW","Other"))</f>
        <v>EC</v>
      </c>
      <c r="V35" s="52" t="str">
        <f>IF(AND(E35="TRACK WARRANT AUTHORITY",G35&lt;10),"OMIT","KEEP")</f>
        <v>KEEP</v>
      </c>
      <c r="W35" s="149" t="str">
        <f>"echo {""issue"":{""subject"":"""&amp;N35&amp;""",""project_id"":79,""tracker_id"":40,""status_id"":"&amp;redmine_status&amp;",""priority_id"":"&amp;redmine_priority&amp;",""assigned_to_id"":"&amp;redmine_assignee&amp;",""start_date"":"""&amp;TEXT(A35,"YYYY-mm-dd")&amp;""",""description"":"""&amp;X35&amp;""",""custom_fields"":[{""id"":1,""name"":""Subdivision"",""value"":"""&amp;U35&amp;"""},{""id"":4,""name"":""Milepost"",""value"":"""&amp;J35/10000&amp;"""},{""id"":17,""name"":""Train ID"",""value"":"""&amp;C35&amp;"""},{""id"":16,""name"":""Locomotive ID"",""value"":"""&amp;S35&amp;"""},{""id"":130,""name"":""Impact"",""value"":"""&amp;Y35&amp;"""},{""id"":150,""name"":""Time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Assigned"",""value"":"""&amp;Z35&amp;"""}]}}"&amp;"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{"issue":{"subject":"","project_id":79,"tracker_id":40,"status_id":1,"priority_id":2,"assigned_to_id":23,"start_date":"2016-08-27","description":"","custom_fields":[{"id":1,"name":"Subdivision","value":"EC"},{"id":4,"name":"Milepost","value":"0.0001"},{"id":17,"name":"Train ID","value":"212-27"},{"id":16,"name":"Locomotive ID","value":"4013"},{"id":130,"name":"Impact","value":""},{"id":150,"name":"Time of Event (Mountain Time)","value":"19:07:42"},{"id":151,"name":"Denver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5" s="55"/>
      <c r="Y35" s="55"/>
      <c r="Z35" s="55"/>
    </row>
    <row r="36" spans="1:26" x14ac:dyDescent="0.25">
      <c r="A36" s="38">
        <v>42609.900995370372</v>
      </c>
      <c r="B36" s="33" t="s">
        <v>289</v>
      </c>
      <c r="C36" s="33" t="s">
        <v>633</v>
      </c>
      <c r="D36" s="33" t="s">
        <v>49</v>
      </c>
      <c r="E36" s="33" t="s">
        <v>50</v>
      </c>
      <c r="F36" s="49">
        <v>0</v>
      </c>
      <c r="G36" s="49">
        <v>57</v>
      </c>
      <c r="H36" s="49">
        <v>212</v>
      </c>
      <c r="I36" s="33" t="s">
        <v>51</v>
      </c>
      <c r="J36" s="49">
        <v>1</v>
      </c>
      <c r="K36" s="33" t="s">
        <v>53</v>
      </c>
      <c r="L36" s="92" t="str">
        <f>VLOOKUP(C36,'Trips&amp;Operators'!$C$1:$E$9999,3,0)</f>
        <v>CHANDLER</v>
      </c>
      <c r="M36" s="131" t="s">
        <v>86</v>
      </c>
      <c r="N36" s="10"/>
      <c r="O36" s="33"/>
      <c r="P36" s="108" t="str">
        <f>VLOOKUP(C36,'Train Runs'!$A$13:$AE$10012,31,0)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Q36" s="111" t="str">
        <f>VLOOKUP(C36,'Train Runs'!$A$13:$AE$10012,22,0)</f>
        <v>https://search-rtdc-monitor-bjffxe2xuh6vdkpspy63sjmuny.us-east-1.es.amazonaws.com/_plugin/kibana/#/discover/Steve-Slow-Train-Analysis-(2080s-and-2083s)?_g=(refreshInterval:(display:Off,section:0,value:0),time:(from:'2016-08-27 19:52:41-0600',mode:absolute,to:'2016-08-27 22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36" s="113" t="str">
        <f>astrogrep_path&amp;" /spath="&amp;search_path&amp;" /stypes=""*"&amp;S36&amp;"*"&amp;TEXT(A36-utc_offset/24,"YYYYMMDD")&amp;LEFT(TEXT(A36-utc_offset/24,"HH"),1)&amp;"*""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/stypes="*4019*201608280*" /stext=" 03:.+((SYSTEM_STATE.+slice.+state.+changed )|(ment ac)|(system.+state.+changed )|(\|lc)|(penalty)|(\[timeout)|(PRM\|1\|D)|(kpr)|(kdp))" /e /r /s</v>
      </c>
      <c r="S36" s="9" t="str">
        <f>MID(B36,13,4)</f>
        <v>4019</v>
      </c>
      <c r="T36" s="38">
        <f>A36+6/24</f>
        <v>42610.150995370372</v>
      </c>
      <c r="U36" s="52" t="str">
        <f>IF(VALUE(LEFT(IF(LEN(C36)=6,"0"&amp;C36,C36),2))&lt;=2,"EC",IF(OR(VALUE(LEFT(IF(LEN(C36)=6,"0"&amp;C36,C36),2))=8,VALUE(LEFT(IF(LEN(C36)=6,"0"&amp;C36,C36),2))=18),"NW","Other"))</f>
        <v>EC</v>
      </c>
      <c r="V36" s="52" t="str">
        <f>IF(AND(E36="TRACK WARRANT AUTHORITY",G36&lt;10),"OMIT","KEEP")</f>
        <v>KEEP</v>
      </c>
      <c r="W36" s="149" t="str">
        <f>"echo {""issue"":{""subject"":"""&amp;N36&amp;""",""project_id"":79,""tracker_id"":40,""status_id"":"&amp;redmine_status&amp;",""priority_id"":"&amp;redmine_priority&amp;",""assigned_to_id"":"&amp;redmine_assignee&amp;",""start_date"":"""&amp;TEXT(A36,"YYYY-mm-dd")&amp;""",""description"":"""&amp;X36&amp;""",""custom_fields"":[{""id"":1,""name"":""Subdivision"",""value"":"""&amp;U36&amp;"""},{""id"":4,""name"":""Milepost"",""value"":"""&amp;J36/10000&amp;"""},{""id"":17,""name"":""Train ID"",""value"":"""&amp;C36&amp;"""},{""id"":16,""name"":""Locomotive ID"",""value"":"""&amp;S36&amp;"""},{""id"":130,""name"":""Impact"",""value"":"""&amp;Y36&amp;"""},{""id"":150,""name"":""Time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Assigned"",""value"":"""&amp;Z36&amp;"""}]}}"&amp;"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{"issue":{"subject":"","project_id":79,"tracker_id":40,"status_id":1,"priority_id":2,"assigned_to_id":23,"start_date":"2016-08-27","description":"","custom_fields":[{"id":1,"name":"Subdivision","value":"EC"},{"id":4,"name":"Milepost","value":"0.0001"},{"id":17,"name":"Train ID","value":"226-27"},{"id":16,"name":"Locomotive ID","value":"4019"},{"id":130,"name":"Impact","value":""},{"id":150,"name":"Time of Event (Mountain Time)","value":"21:37:26"},{"id":151,"name":"Denver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6" s="55"/>
      <c r="Y36" s="55"/>
      <c r="Z36" s="55"/>
    </row>
    <row r="37" spans="1:26" x14ac:dyDescent="0.25">
      <c r="A37" s="38">
        <v>42609.366469907407</v>
      </c>
      <c r="B37" s="33" t="s">
        <v>150</v>
      </c>
      <c r="C37" s="33" t="s">
        <v>437</v>
      </c>
      <c r="D37" s="33" t="s">
        <v>49</v>
      </c>
      <c r="E37" s="33" t="s">
        <v>50</v>
      </c>
      <c r="F37" s="49">
        <v>0</v>
      </c>
      <c r="G37" s="49">
        <v>77</v>
      </c>
      <c r="H37" s="49">
        <v>233205</v>
      </c>
      <c r="I37" s="33" t="s">
        <v>51</v>
      </c>
      <c r="J37" s="49">
        <v>233491</v>
      </c>
      <c r="K37" s="33" t="s">
        <v>52</v>
      </c>
      <c r="L37" s="92" t="str">
        <f>VLOOKUP(C37,'Trips&amp;Operators'!$C$1:$E$9999,3,0)</f>
        <v>STRICKLAND</v>
      </c>
      <c r="M37" s="131" t="s">
        <v>86</v>
      </c>
      <c r="N37" s="10"/>
      <c r="O37" s="33"/>
      <c r="P37" s="108" t="str">
        <f>VLOOKUP(C37,'Train Runs'!$A$13:$AE$10012,31,0)</f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Q37" s="111" t="str">
        <f>VLOOKUP(C37,'Train Runs'!$A$13:$AE$10012,22,0)</f>
        <v>https://search-rtdc-monitor-bjffxe2xuh6vdkpspy63sjmuny.us-east-1.es.amazonaws.com/_plugin/kibana/#/discover/Steve-Slow-Train-Analysis-(2080s-and-2083s)?_g=(refreshInterval:(display:Off,section:0,value:0),time:(from:'2016-08-27 06:57:20-0600',mode:absolute,to:'2016-08-27 09:47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37" s="113" t="str">
        <f>astrogrep_path&amp;" /spath="&amp;search_path&amp;" /stypes=""*"&amp;S37&amp;"*"&amp;TEXT(A37-utc_offset/24,"YYYYMMDD")&amp;LEFT(TEXT(A37-utc_offset/24,"HH"),1)&amp;"*""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/stypes="*4042*201608271*" /stext=" 14:.+((SYSTEM_STATE.+slice.+state.+changed )|(ment ac)|(system.+state.+changed )|(\|lc)|(penalty)|(\[timeout)|(PRM\|1\|D)|(kpr)|(kdp))" /e /r /s</v>
      </c>
      <c r="S37" s="9" t="str">
        <f>MID(B37,13,4)</f>
        <v>4042</v>
      </c>
      <c r="T37" s="38">
        <f>A37+6/24</f>
        <v>42609.616469907407</v>
      </c>
      <c r="U37" s="52" t="str">
        <f>IF(VALUE(LEFT(IF(LEN(C37)=6,"0"&amp;C37,C37),2))&lt;=2,"EC",IF(OR(VALUE(LEFT(IF(LEN(C37)=6,"0"&amp;C37,C37),2))=8,VALUE(LEFT(IF(LEN(C37)=6,"0"&amp;C37,C37),2))=18),"NW","Other"))</f>
        <v>EC</v>
      </c>
      <c r="V37" s="52" t="str">
        <f>IF(AND(E37="TRACK WARRANT AUTHORITY",G37&lt;10),"OMIT","KEEP")</f>
        <v>KEEP</v>
      </c>
      <c r="W37" s="149" t="str">
        <f>"echo {""issue"":{""subject"":"""&amp;N37&amp;""",""project_id"":79,""tracker_id"":40,""status_id"":"&amp;redmine_status&amp;",""priority_id"":"&amp;redmine_priority&amp;",""assigned_to_id"":"&amp;redmine_assignee&amp;",""start_date"":"""&amp;TEXT(A37,"YYYY-mm-dd")&amp;""",""description"":"""&amp;X37&amp;""",""custom_fields"":[{""id"":1,""name"":""Subdivision"",""value"":"""&amp;U37&amp;"""},{""id"":4,""name"":""Milepost"",""value"":"""&amp;J37/10000&amp;"""},{""id"":17,""name"":""Train ID"",""value"":"""&amp;C37&amp;"""},{""id"":16,""name"":""Locomotive ID"",""value"":"""&amp;S37&amp;"""},{""id"":130,""name"":""Impact"",""value"":"""&amp;Y37&amp;"""},{""id"":150,""name"":""Time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Assigned"",""value"":"""&amp;Z37&amp;"""}]}}"&amp;"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{"issue":{"subject":"","project_id":79,"tracker_id":40,"status_id":1,"priority_id":2,"assigned_to_id":23,"start_date":"2016-08-27","description":"","custom_fields":[{"id":1,"name":"Subdivision","value":"EC"},{"id":4,"name":"Milepost","value":"23.3491"},{"id":17,"name":"Train ID","value":"135-27"},{"id":16,"name":"Locomotive ID","value":"4042"},{"id":130,"name":"Impact","value":""},{"id":150,"name":"Time of Event (Mountain Time)","value":"08:47:43"},{"id":151,"name":"Denver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7" s="55"/>
      <c r="Y37" s="55"/>
      <c r="Z37" s="55"/>
    </row>
    <row r="38" spans="1:26" x14ac:dyDescent="0.25">
      <c r="A38" s="38">
        <v>42609.432037037041</v>
      </c>
      <c r="B38" s="33" t="s">
        <v>114</v>
      </c>
      <c r="C38" s="33" t="s">
        <v>458</v>
      </c>
      <c r="D38" s="33" t="s">
        <v>49</v>
      </c>
      <c r="E38" s="33" t="s">
        <v>50</v>
      </c>
      <c r="F38" s="49">
        <v>0</v>
      </c>
      <c r="G38" s="49">
        <v>77</v>
      </c>
      <c r="H38" s="49">
        <v>233224</v>
      </c>
      <c r="I38" s="33" t="s">
        <v>51</v>
      </c>
      <c r="J38" s="49">
        <v>233491</v>
      </c>
      <c r="K38" s="33" t="s">
        <v>52</v>
      </c>
      <c r="L38" s="92" t="str">
        <f>VLOOKUP(C38,'Trips&amp;Operators'!$C$1:$E$9999,3,0)</f>
        <v>MAELZER</v>
      </c>
      <c r="M38" s="131" t="s">
        <v>86</v>
      </c>
      <c r="N38" s="10"/>
      <c r="O38" s="33"/>
      <c r="P38" s="108" t="str">
        <f>VLOOKUP(C38,'Train Runs'!$A$13:$AE$10012,31,0)</f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Q38" s="111" t="str">
        <f>VLOOKUP(C38,'Train Runs'!$A$13:$AE$10012,22,0)</f>
        <v>https://search-rtdc-monitor-bjffxe2xuh6vdkpspy63sjmuny.us-east-1.es.amazonaws.com/_plugin/kibana/#/discover/Steve-Slow-Train-Analysis-(2080s-and-2083s)?_g=(refreshInterval:(display:Off,section:0,value:0),time:(from:'2016-08-27 08:41:59-0600',mode:absolute,to:'2016-08-27 11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38" s="113" t="str">
        <f>astrogrep_path&amp;" /spath="&amp;search_path&amp;" /stypes=""*"&amp;S38&amp;"*"&amp;TEXT(A38-utc_offset/24,"YYYYMMDD")&amp;LEFT(TEXT(A38-utc_offset/24,"HH"),1)&amp;"*""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/stypes="*4031*201608271*" /stext=" 16:.+((SYSTEM_STATE.+slice.+state.+changed )|(ment ac)|(system.+state.+changed )|(\|lc)|(penalty)|(\[timeout)|(PRM\|1\|D)|(kpr)|(kdp))" /e /r /s</v>
      </c>
      <c r="S38" s="9" t="str">
        <f>MID(B38,13,4)</f>
        <v>4031</v>
      </c>
      <c r="T38" s="38">
        <f>A38+6/24</f>
        <v>42609.682037037041</v>
      </c>
      <c r="U38" s="52" t="str">
        <f>IF(VALUE(LEFT(IF(LEN(C38)=6,"0"&amp;C38,C38),2))&lt;=2,"EC",IF(OR(VALUE(LEFT(IF(LEN(C38)=6,"0"&amp;C38,C38),2))=8,VALUE(LEFT(IF(LEN(C38)=6,"0"&amp;C38,C38),2))=18),"NW","Other"))</f>
        <v>EC</v>
      </c>
      <c r="V38" s="52" t="str">
        <f>IF(AND(E38="TRACK WARRANT AUTHORITY",G38&lt;10),"OMIT","KEEP")</f>
        <v>KEEP</v>
      </c>
      <c r="W38" s="149" t="str">
        <f>"echo {""issue"":{""subject"":"""&amp;N38&amp;""",""project_id"":79,""tracker_id"":40,""status_id"":"&amp;redmine_status&amp;",""priority_id"":"&amp;redmine_priority&amp;",""assigned_to_id"":"&amp;redmine_assignee&amp;",""start_date"":"""&amp;TEXT(A38,"YYYY-mm-dd")&amp;""",""description"":"""&amp;X38&amp;""",""custom_fields"":[{""id"":1,""name"":""Subdivision"",""value"":"""&amp;U38&amp;"""},{""id"":4,""name"":""Milepost"",""value"":"""&amp;J38/10000&amp;"""},{""id"":17,""name"":""Train ID"",""value"":"""&amp;C38&amp;"""},{""id"":16,""name"":""Locomotive ID"",""value"":"""&amp;S38&amp;"""},{""id"":130,""name"":""Impact"",""value"":"""&amp;Y38&amp;"""},{""id"":150,""name"":""Time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Assigned"",""value"":"""&amp;Z38&amp;"""}]}}"&amp;"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{"issue":{"subject":"","project_id":79,"tracker_id":40,"status_id":1,"priority_id":2,"assigned_to_id":23,"start_date":"2016-08-27","description":"","custom_fields":[{"id":1,"name":"Subdivision","value":"EC"},{"id":4,"name":"Milepost","value":"23.3491"},{"id":17,"name":"Train ID","value":"149-27"},{"id":16,"name":"Locomotive ID","value":"4031"},{"id":130,"name":"Impact","value":""},{"id":150,"name":"Time of Event (Mountain Time)","value":"10:22:08"},{"id":151,"name":"Denver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8" s="55"/>
      <c r="Y38" s="55"/>
      <c r="Z38" s="55"/>
    </row>
    <row r="39" spans="1:26" ht="15" customHeight="1" x14ac:dyDescent="0.25">
      <c r="A39" s="38">
        <v>42609.449884259258</v>
      </c>
      <c r="B39" s="33" t="s">
        <v>150</v>
      </c>
      <c r="C39" s="33" t="s">
        <v>462</v>
      </c>
      <c r="D39" s="33" t="s">
        <v>49</v>
      </c>
      <c r="E39" s="33" t="s">
        <v>50</v>
      </c>
      <c r="F39" s="49">
        <v>0</v>
      </c>
      <c r="G39" s="49">
        <v>131</v>
      </c>
      <c r="H39" s="49">
        <v>232721</v>
      </c>
      <c r="I39" s="33" t="s">
        <v>51</v>
      </c>
      <c r="J39" s="49">
        <v>233491</v>
      </c>
      <c r="K39" s="33" t="s">
        <v>52</v>
      </c>
      <c r="L39" s="92" t="str">
        <f>VLOOKUP(C39,'Trips&amp;Operators'!$C$1:$E$9999,3,0)</f>
        <v>STRICKLAND</v>
      </c>
      <c r="M39" s="131" t="s">
        <v>86</v>
      </c>
      <c r="N39" s="10"/>
      <c r="O39" s="33"/>
      <c r="P39" s="108" t="str">
        <f>VLOOKUP(C39,'Train Runs'!$A$13:$AE$10012,31,0)</f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Q39" s="111" t="str">
        <f>VLOOKUP(C39,'Train Runs'!$A$13:$AE$10012,22,0)</f>
        <v>https://search-rtdc-monitor-bjffxe2xuh6vdkpspy63sjmuny.us-east-1.es.amazonaws.com/_plugin/kibana/#/discover/Steve-Slow-Train-Analysis-(2080s-and-2083s)?_g=(refreshInterval:(display:Off,section:0,value:0),time:(from:'2016-08-27 08:56:26-0600',mode:absolute,to:'2016-08-27 11:47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39" s="113" t="str">
        <f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/stypes="*4042*201608271*" /stext=" 16:.+((SYSTEM_STATE.+slice.+state.+changed )|(ment ac)|(system.+state.+changed )|(\|lc)|(penalty)|(\[timeout)|(PRM\|1\|D)|(kpr)|(kdp))" /e /r /s</v>
      </c>
      <c r="S39" s="9" t="str">
        <f>MID(B39,13,4)</f>
        <v>4042</v>
      </c>
      <c r="T39" s="38">
        <f>A39+6/24</f>
        <v>42609.699884259258</v>
      </c>
      <c r="U39" s="52" t="str">
        <f>IF(VALUE(LEFT(IF(LEN(C39)=6,"0"&amp;C39,C39),2))&lt;=2,"EC",IF(OR(VALUE(LEFT(IF(LEN(C39)=6,"0"&amp;C39,C39),2))=8,VALUE(LEFT(IF(LEN(C39)=6,"0"&amp;C39,C39),2))=18),"NW","Other"))</f>
        <v>EC</v>
      </c>
      <c r="V39" s="52" t="str">
        <f>IF(AND(E39="TRACK WARRANT AUTHORITY",G39&lt;10),"OMIT","KEEP")</f>
        <v>KEEP</v>
      </c>
      <c r="W39" s="149" t="str">
        <f>"echo {""issue"":{""subject"":"""&amp;N39&amp;""",""project_id"":79,""tracker_id"":40,""status_id"":"&amp;redmine_status&amp;",""priority_id"":"&amp;redmine_priority&amp;",""assigned_to_id"":"&amp;redmine_assignee&amp;",""start_date"":"""&amp;TEXT(A39,"YYYY-mm-dd")&amp;""",""description"":"""&amp;X39&amp;""",""custom_fields"":[{""id"":1,""name"":""Subdivision"",""value"":"""&amp;U39&amp;"""},{""id"":4,""name"":""Milepost"",""value"":"""&amp;J39/10000&amp;"""},{""id"":17,""name"":""Train ID"",""value"":"""&amp;C39&amp;"""},{""id"":16,""name"":""Locomotive ID"",""value"":"""&amp;S39&amp;"""},{""id"":130,""name"":""Impact"",""value"":"""&amp;Y39&amp;"""},{""id"":150,""name"":""Time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Assigned"",""value"":"""&amp;Z39&amp;"""}]}}"&amp;"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{"issue":{"subject":"","project_id":79,"tracker_id":40,"status_id":1,"priority_id":2,"assigned_to_id":23,"start_date":"2016-08-27","description":"","custom_fields":[{"id":1,"name":"Subdivision","value":"EC"},{"id":4,"name":"Milepost","value":"23.3491"},{"id":17,"name":"Train ID","value":"151-27"},{"id":16,"name":"Locomotive ID","value":"4042"},{"id":130,"name":"Impact","value":""},{"id":150,"name":"Time of Event (Mountain Time)","value":"10:47:50"},{"id":151,"name":"Denver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9" s="55"/>
      <c r="Y39" s="55"/>
      <c r="Z39" s="55"/>
    </row>
    <row r="40" spans="1:26" x14ac:dyDescent="0.25">
      <c r="A40" s="38">
        <v>42609.450381944444</v>
      </c>
      <c r="B40" s="33" t="s">
        <v>150</v>
      </c>
      <c r="C40" s="33" t="s">
        <v>462</v>
      </c>
      <c r="D40" s="33" t="s">
        <v>49</v>
      </c>
      <c r="E40" s="33" t="s">
        <v>50</v>
      </c>
      <c r="F40" s="49">
        <v>0</v>
      </c>
      <c r="G40" s="49">
        <v>73</v>
      </c>
      <c r="H40" s="49">
        <v>233140</v>
      </c>
      <c r="I40" s="33" t="s">
        <v>51</v>
      </c>
      <c r="J40" s="49">
        <v>233491</v>
      </c>
      <c r="K40" s="33" t="s">
        <v>52</v>
      </c>
      <c r="L40" s="92" t="str">
        <f>VLOOKUP(C40,'Trips&amp;Operators'!$C$1:$E$9999,3,0)</f>
        <v>STRICKLAND</v>
      </c>
      <c r="M40" s="131" t="s">
        <v>86</v>
      </c>
      <c r="N40" s="10"/>
      <c r="O40" s="33"/>
      <c r="P40" s="108" t="str">
        <f>VLOOKUP(C40,'Train Runs'!$A$13:$AE$10012,31,0)</f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Q40" s="111" t="str">
        <f>VLOOKUP(C40,'Train Runs'!$A$13:$AE$10012,22,0)</f>
        <v>https://search-rtdc-monitor-bjffxe2xuh6vdkpspy63sjmuny.us-east-1.es.amazonaws.com/_plugin/kibana/#/discover/Steve-Slow-Train-Analysis-(2080s-and-2083s)?_g=(refreshInterval:(display:Off,section:0,value:0),time:(from:'2016-08-27 08:56:26-0600',mode:absolute,to:'2016-08-27 11:47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0" s="113" t="str">
        <f>astrogrep_path&amp;" /spath="&amp;search_path&amp;" /stypes=""*"&amp;S40&amp;"*"&amp;TEXT(A40-utc_offset/24,"YYYYMMDD")&amp;LEFT(TEXT(A40-utc_offset/24,"HH"),1)&amp;"*""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/stypes="*4042*201608271*" /stext=" 16:.+((SYSTEM_STATE.+slice.+state.+changed )|(ment ac)|(system.+state.+changed )|(\|lc)|(penalty)|(\[timeout)|(PRM\|1\|D)|(kpr)|(kdp))" /e /r /s</v>
      </c>
      <c r="S40" s="9" t="str">
        <f>MID(B40,13,4)</f>
        <v>4042</v>
      </c>
      <c r="T40" s="38">
        <f>A40+6/24</f>
        <v>42609.700381944444</v>
      </c>
      <c r="U40" s="52" t="str">
        <f>IF(VALUE(LEFT(IF(LEN(C40)=6,"0"&amp;C40,C40),2))&lt;=2,"EC",IF(OR(VALUE(LEFT(IF(LEN(C40)=6,"0"&amp;C40,C40),2))=8,VALUE(LEFT(IF(LEN(C40)=6,"0"&amp;C40,C40),2))=18),"NW","Other"))</f>
        <v>EC</v>
      </c>
      <c r="V40" s="52" t="str">
        <f>IF(AND(E40="TRACK WARRANT AUTHORITY",G40&lt;10),"OMIT","KEEP")</f>
        <v>KEEP</v>
      </c>
      <c r="W40" s="149" t="str">
        <f>"echo {""issue"":{""subject"":"""&amp;N40&amp;""",""project_id"":79,""tracker_id"":40,""status_id"":"&amp;redmine_status&amp;",""priority_id"":"&amp;redmine_priority&amp;",""assigned_to_id"":"&amp;redmine_assignee&amp;",""start_date"":"""&amp;TEXT(A40,"YYYY-mm-dd")&amp;""",""description"":"""&amp;X40&amp;""",""custom_fields"":[{""id"":1,""name"":""Subdivision"",""value"":"""&amp;U40&amp;"""},{""id"":4,""name"":""Milepost"",""value"":"""&amp;J40/10000&amp;"""},{""id"":17,""name"":""Train ID"",""value"":"""&amp;C40&amp;"""},{""id"":16,""name"":""Locomotive ID"",""value"":"""&amp;S40&amp;"""},{""id"":130,""name"":""Impact"",""value"":"""&amp;Y40&amp;"""},{""id"":150,""name"":""Time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Assigned"",""value"":"""&amp;Z40&amp;"""}]}}"&amp;"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{"issue":{"subject":"","project_id":79,"tracker_id":40,"status_id":1,"priority_id":2,"assigned_to_id":23,"start_date":"2016-08-27","description":"From 08-24-2016 13:14:05.327 until 13:28:22.128, 61st 2S should have been clear (controls sent to it the entire time was CLEAR). However, it cycled back and forth between PROCEED CAB and STOP. Any ideas why?","custom_fields":[{"id":1,"name":"Subdivision","value":"EC"},{"id":4,"name":"Milepost","value":"23.3491"},{"id":17,"name":"Train ID","value":"151-27"},{"id":16,"name":"Locomotive ID","value":"4042"},{"id":130,"name":"Impact","value":"Enforcement"},{"id":150,"name":"Time of Event (Mountain Time)","value":"10:48:33"},{"id":151,"name":"Denver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40" s="55" t="s">
        <v>269</v>
      </c>
      <c r="Y40" s="55" t="s">
        <v>224</v>
      </c>
      <c r="Z40" s="55" t="s">
        <v>229</v>
      </c>
    </row>
    <row r="41" spans="1:26" x14ac:dyDescent="0.25">
      <c r="A41" s="38">
        <v>42609.494247685187</v>
      </c>
      <c r="B41" s="33" t="s">
        <v>169</v>
      </c>
      <c r="C41" s="33" t="s">
        <v>529</v>
      </c>
      <c r="D41" s="33" t="s">
        <v>49</v>
      </c>
      <c r="E41" s="33" t="s">
        <v>56</v>
      </c>
      <c r="F41" s="49">
        <v>200</v>
      </c>
      <c r="G41" s="49">
        <v>319</v>
      </c>
      <c r="H41" s="49">
        <v>7378</v>
      </c>
      <c r="I41" s="33" t="s">
        <v>57</v>
      </c>
      <c r="J41" s="49">
        <v>5782</v>
      </c>
      <c r="K41" s="33" t="s">
        <v>53</v>
      </c>
      <c r="L41" s="92" t="str">
        <f>VLOOKUP(C41,'Trips&amp;Operators'!$C$1:$E$9999,3,0)</f>
        <v>YORK</v>
      </c>
      <c r="M41" s="131" t="s">
        <v>86</v>
      </c>
      <c r="N41" s="10"/>
      <c r="O41" s="33"/>
      <c r="P41" s="108" t="str">
        <f>VLOOKUP(C41,'Train Runs'!$A$13:$AE$10012,31,0)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Q41" s="111" t="str">
        <f>VLOOKUP(C41,'Train Runs'!$A$13:$AE$10012,22,0)</f>
        <v>https://search-rtdc-monitor-bjffxe2xuh6vdkpspy63sjmuny.us-east-1.es.amazonaws.com/_plugin/kibana/#/discover/Steve-Slow-Train-Analysis-(2080s-and-2083s)?_g=(refreshInterval:(display:Off,section:0,value:0),time:(from:'2016-08-27 10:36:33-0600',mode:absolute,to:'2016-08-27 12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41" s="113" t="str">
        <f>astrogrep_path&amp;" /spath="&amp;search_path&amp;" /stypes=""*"&amp;S41&amp;"*"&amp;TEXT(A41-utc_offset/24,"YYYYMMDD")&amp;LEFT(TEXT(A41-utc_offset/24,"HH"),1)&amp;"*""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/stypes="*4008*201608271*" /stext=" 17:.+((SYSTEM_STATE.+slice.+state.+changed )|(ment ac)|(system.+state.+changed )|(\|lc)|(penalty)|(\[timeout)|(PRM\|1\|D)|(kpr)|(kdp))" /e /r /s</v>
      </c>
      <c r="S41" s="9" t="str">
        <f>MID(B41,13,4)</f>
        <v>4008</v>
      </c>
      <c r="T41" s="38">
        <f>A41+6/24</f>
        <v>42609.744247685187</v>
      </c>
      <c r="U41" s="52" t="str">
        <f>IF(VALUE(LEFT(IF(LEN(C41)=6,"0"&amp;C41,C41),2))&lt;=2,"EC",IF(OR(VALUE(LEFT(IF(LEN(C41)=6,"0"&amp;C41,C41),2))=8,VALUE(LEFT(IF(LEN(C41)=6,"0"&amp;C41,C41),2))=18),"NW","Other"))</f>
        <v>NW</v>
      </c>
      <c r="V41" s="52" t="str">
        <f>IF(AND(E41="TRACK WARRANT AUTHORITY",G41&lt;10),"OMIT","KEEP")</f>
        <v>KEEP</v>
      </c>
      <c r="W41" s="149" t="str">
        <f>"echo {""issue"":{""subject"":"""&amp;N41&amp;""",""project_id"":79,""tracker_id"":40,""status_id"":"&amp;redmine_status&amp;",""priority_id"":"&amp;redmine_priority&amp;",""assigned_to_id"":"&amp;redmine_assignee&amp;",""start_date"":"""&amp;TEXT(A41,"YYYY-mm-dd")&amp;""",""description"":"""&amp;X41&amp;""",""custom_fields"":[{""id"":1,""name"":""Subdivision"",""value"":"""&amp;U41&amp;"""},{""id"":4,""name"":""Milepost"",""value"":"""&amp;J41/10000&amp;"""},{""id"":17,""name"":""Train ID"",""value"":"""&amp;C41&amp;"""},{""id"":16,""name"":""Locomotive ID"",""value"":"""&amp;S41&amp;"""},{""id"":130,""name"":""Impact"",""value"":"""&amp;Y41&amp;"""},{""id"":150,""name"":""Time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Assigned"",""value"":"""&amp;Z41&amp;"""}]}}"&amp;"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{"issue":{"subject":"","project_id":79,"tracker_id":40,"status_id":1,"priority_id":2,"assigned_to_id":23,"start_date":"2016-08-27","description":"","custom_fields":[{"id":1,"name":"Subdivision","value":"NW"},{"id":4,"name":"Milepost","value":"0.5782"},{"id":17,"name":"Train ID","value":"1812-27"},{"id":16,"name":"Locomotive ID","value":"4008"},{"id":130,"name":"Impact","value":""},{"id":150,"name":"Time of Event (Mountain Time)","value":"11:51:43"},{"id":151,"name":"Denver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1" s="55"/>
      <c r="Y41" s="55"/>
      <c r="Z41" s="55"/>
    </row>
    <row r="42" spans="1:26" x14ac:dyDescent="0.25">
      <c r="A42" s="38">
        <v>42609.437534722223</v>
      </c>
      <c r="B42" s="33" t="s">
        <v>186</v>
      </c>
      <c r="C42" s="33" t="s">
        <v>522</v>
      </c>
      <c r="D42" s="33" t="s">
        <v>111</v>
      </c>
      <c r="E42" s="33" t="s">
        <v>56</v>
      </c>
      <c r="F42" s="49">
        <v>400</v>
      </c>
      <c r="G42" s="49">
        <v>451</v>
      </c>
      <c r="H42" s="49">
        <v>43612</v>
      </c>
      <c r="I42" s="33" t="s">
        <v>57</v>
      </c>
      <c r="J42" s="49">
        <v>41797</v>
      </c>
      <c r="K42" s="33" t="s">
        <v>52</v>
      </c>
      <c r="L42" s="92" t="str">
        <f>VLOOKUP(C42,'Trips&amp;Operators'!$C$1:$E$9999,3,0)</f>
        <v>YORK</v>
      </c>
      <c r="M42" s="131" t="s">
        <v>86</v>
      </c>
      <c r="N42" s="10"/>
      <c r="O42" s="33"/>
      <c r="P42" s="108" t="str">
        <f>VLOOKUP(C42,'Train Runs'!$A$13:$AE$10012,31,0)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Q42" s="111" t="str">
        <f>VLOOKUP(C42,'Train Runs'!$A$13:$AE$10012,22,0)</f>
        <v>https://search-rtdc-monitor-bjffxe2xuh6vdkpspy63sjmuny.us-east-1.es.amazonaws.com/_plugin/kibana/#/discover/Steve-Slow-Train-Analysis-(2080s-and-2083s)?_g=(refreshInterval:(display:Off,section:0,value:0),time:(from:'2016-08-27 08:55:09-0600',mode:absolute,to:'2016-08-27 11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2" s="113" t="str">
        <f>astrogrep_path&amp;" /spath="&amp;search_path&amp;" /stypes=""*"&amp;S42&amp;"*"&amp;TEXT(A42-utc_offset/24,"YYYYMMDD")&amp;LEFT(TEXT(A42-utc_offset/24,"HH"),1)&amp;"*""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/stypes="*4007*201608271*" /stext=" 16:.+((SYSTEM_STATE.+slice.+state.+changed )|(ment ac)|(system.+state.+changed )|(\|lc)|(penalty)|(\[timeout)|(PRM\|1\|D)|(kpr)|(kdp))" /e /r /s</v>
      </c>
      <c r="S42" s="9" t="str">
        <f>MID(B42,13,4)</f>
        <v>4007</v>
      </c>
      <c r="T42" s="38">
        <f>A42+6/24</f>
        <v>42609.687534722223</v>
      </c>
      <c r="U42" s="52" t="str">
        <f>IF(VALUE(LEFT(IF(LEN(C42)=6,"0"&amp;C42,C42),2))&lt;=2,"EC",IF(OR(VALUE(LEFT(IF(LEN(C42)=6,"0"&amp;C42,C42),2))=8,VALUE(LEFT(IF(LEN(C42)=6,"0"&amp;C42,C42),2))=18),"NW","Other"))</f>
        <v>NW</v>
      </c>
      <c r="V42" s="52" t="str">
        <f>IF(AND(E42="TRACK WARRANT AUTHORITY",G42&lt;10),"OMIT","KEEP")</f>
        <v>KEEP</v>
      </c>
      <c r="W42" s="149" t="str">
        <f>"echo {""issue"":{""subject"":"""&amp;N42&amp;""",""project_id"":79,""tracker_id"":40,""status_id"":"&amp;redmine_status&amp;",""priority_id"":"&amp;redmine_priority&amp;",""assigned_to_id"":"&amp;redmine_assignee&amp;",""start_date"":"""&amp;TEXT(A42,"YYYY-mm-dd")&amp;""",""description"":"""&amp;X42&amp;""",""custom_fields"":[{""id"":1,""name"":""Subdivision"",""value"":"""&amp;U42&amp;"""},{""id"":4,""name"":""Milepost"",""value"":"""&amp;J42/10000&amp;"""},{""id"":17,""name"":""Train ID"",""value"":"""&amp;C42&amp;"""},{""id"":16,""name"":""Locomotive ID"",""value"":"""&amp;S42&amp;"""},{""id"":130,""name"":""Impact"",""value"":"""&amp;Y42&amp;"""},{""id"":150,""name"":""Time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Assigned"",""value"":"""&amp;Z42&amp;"""}]}}"&amp;"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{"issue":{"subject":"","project_id":79,"tracker_id":40,"status_id":1,"priority_id":2,"assigned_to_id":23,"start_date":"2016-08-27","description":"","custom_fields":[{"id":1,"name":"Subdivision","value":"NW"},{"id":4,"name":"Milepost","value":"4.1797"},{"id":17,"name":"Train ID","value":"1809-27"},{"id":16,"name":"Locomotive ID","value":"4007"},{"id":130,"name":"Impact","value":""},{"id":150,"name":"Time of Event (Mountain Time)","value":"10:30:03"},{"id":151,"name":"Denver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2" s="55"/>
      <c r="Y42" s="55"/>
      <c r="Z42" s="55"/>
    </row>
    <row r="43" spans="1:26" x14ac:dyDescent="0.25">
      <c r="A43" s="38">
        <v>42609.522152777776</v>
      </c>
      <c r="B43" s="33" t="s">
        <v>186</v>
      </c>
      <c r="C43" s="33" t="s">
        <v>531</v>
      </c>
      <c r="D43" s="33" t="s">
        <v>49</v>
      </c>
      <c r="E43" s="33" t="s">
        <v>56</v>
      </c>
      <c r="F43" s="49">
        <v>150</v>
      </c>
      <c r="G43" s="49">
        <v>267</v>
      </c>
      <c r="H43" s="49">
        <v>56513</v>
      </c>
      <c r="I43" s="33" t="s">
        <v>57</v>
      </c>
      <c r="J43" s="49">
        <v>57008</v>
      </c>
      <c r="K43" s="33" t="s">
        <v>52</v>
      </c>
      <c r="L43" s="92" t="str">
        <f>VLOOKUP(C43,'Trips&amp;Operators'!$C$1:$E$9999,3,0)</f>
        <v>YORK</v>
      </c>
      <c r="M43" s="131" t="s">
        <v>86</v>
      </c>
      <c r="N43" s="10"/>
      <c r="O43" s="33"/>
      <c r="P43" s="108" t="str">
        <f>VLOOKUP(C43,'Train Runs'!$A$13:$AE$10012,31,0)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Q43" s="111" t="str">
        <f>VLOOKUP(C43,'Train Runs'!$A$13:$AE$10012,22,0)</f>
        <v>https://search-rtdc-monitor-bjffxe2xuh6vdkpspy63sjmuny.us-east-1.es.amazonaws.com/_plugin/kibana/#/discover/Steve-Slow-Train-Analysis-(2080s-and-2083s)?_g=(refreshInterval:(display:Off,section:0,value:0),time:(from:'2016-08-27 10:56:09-0600',mode:absolute,to:'2016-08-27 13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3" s="113" t="str">
        <f>astrogrep_path&amp;" /spath="&amp;search_path&amp;" /stypes=""*"&amp;S43&amp;"*"&amp;TEXT(A43-utc_offset/24,"YYYYMMDD")&amp;LEFT(TEXT(A43-utc_offset/24,"HH"),1)&amp;"*""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/stypes="*4007*201608271*" /stext=" 18:.+((SYSTEM_STATE.+slice.+state.+changed )|(ment ac)|(system.+state.+changed )|(\|lc)|(penalty)|(\[timeout)|(PRM\|1\|D)|(kpr)|(kdp))" /e /r /s</v>
      </c>
      <c r="S43" s="9" t="str">
        <f>MID(B43,13,4)</f>
        <v>4007</v>
      </c>
      <c r="T43" s="38">
        <f>A43+6/24</f>
        <v>42609.772152777776</v>
      </c>
      <c r="U43" s="52" t="str">
        <f>IF(VALUE(LEFT(IF(LEN(C43)=6,"0"&amp;C43,C43),2))&lt;=2,"EC",IF(OR(VALUE(LEFT(IF(LEN(C43)=6,"0"&amp;C43,C43),2))=8,VALUE(LEFT(IF(LEN(C43)=6,"0"&amp;C43,C43),2))=18),"NW","Other"))</f>
        <v>NW</v>
      </c>
      <c r="V43" s="52" t="str">
        <f>IF(AND(E43="TRACK WARRANT AUTHORITY",G43&lt;10),"OMIT","KEEP")</f>
        <v>KEEP</v>
      </c>
      <c r="W43" s="149" t="str">
        <f>"echo {""issue"":{""subject"":"""&amp;N43&amp;""",""project_id"":79,""tracker_id"":40,""status_id"":"&amp;redmine_status&amp;",""priority_id"":"&amp;redmine_priority&amp;",""assigned_to_id"":"&amp;redmine_assignee&amp;",""start_date"":"""&amp;TEXT(A43,"YYYY-mm-dd")&amp;""",""description"":"""&amp;X43&amp;""",""custom_fields"":[{""id"":1,""name"":""Subdivision"",""value"":"""&amp;U43&amp;"""},{""id"":4,""name"":""Milepost"",""value"":"""&amp;J43/10000&amp;"""},{""id"":17,""name"":""Train ID"",""value"":"""&amp;C43&amp;"""},{""id"":16,""name"":""Locomotive ID"",""value"":"""&amp;S43&amp;"""},{""id"":130,""name"":""Impact"",""value"":"""&amp;Y43&amp;"""},{""id"":150,""name"":""Time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Assigned"",""value"":"""&amp;Z43&amp;"""}]}}"&amp;"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{"issue":{"subject":"","project_id":79,"tracker_id":40,"status_id":1,"priority_id":2,"assigned_to_id":23,"start_date":"2016-08-27","description":"","custom_fields":[{"id":1,"name":"Subdivision","value":"NW"},{"id":4,"name":"Milepost","value":"5.7008"},{"id":17,"name":"Train ID","value":"1813-27"},{"id":16,"name":"Locomotive ID","value":"4007"},{"id":130,"name":"Impact","value":""},{"id":150,"name":"Time of Event (Mountain Time)","value":"12:31:54"},{"id":151,"name":"Denver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3" s="55"/>
      <c r="Y43" s="55"/>
      <c r="Z43" s="55"/>
    </row>
    <row r="44" spans="1:26" x14ac:dyDescent="0.25">
      <c r="A44" s="38">
        <v>42609.70453703704</v>
      </c>
      <c r="B44" s="33" t="s">
        <v>169</v>
      </c>
      <c r="C44" s="33" t="s">
        <v>551</v>
      </c>
      <c r="D44" s="33" t="s">
        <v>49</v>
      </c>
      <c r="E44" s="33" t="s">
        <v>50</v>
      </c>
      <c r="F44" s="49">
        <v>0</v>
      </c>
      <c r="G44" s="49">
        <v>53</v>
      </c>
      <c r="H44" s="49">
        <v>766</v>
      </c>
      <c r="I44" s="33" t="s">
        <v>51</v>
      </c>
      <c r="J44" s="49">
        <v>575</v>
      </c>
      <c r="K44" s="33" t="s">
        <v>53</v>
      </c>
      <c r="L44" s="92" t="str">
        <f>VLOOKUP(C44,'Trips&amp;Operators'!$C$1:$E$9999,3,0)</f>
        <v>DE LA ROSA</v>
      </c>
      <c r="M44" s="131" t="s">
        <v>86</v>
      </c>
      <c r="N44" s="10"/>
      <c r="O44" s="33"/>
      <c r="P44" s="108" t="str">
        <f>VLOOKUP(C44,'Train Runs'!$A$13:$AE$10012,31,0)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Q44" s="111" t="str">
        <f>VLOOKUP(C44,'Train Runs'!$A$13:$AE$10012,22,0)</f>
        <v>https://search-rtdc-monitor-bjffxe2xuh6vdkpspy63sjmuny.us-east-1.es.amazonaws.com/_plugin/kibana/#/discover/Steve-Slow-Train-Analysis-(2080s-and-2083s)?_g=(refreshInterval:(display:Off,section:0,value:0),time:(from:'2016-08-27 15:36:26-0600',mode:absolute,to:'2016-08-27 17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44" s="113" t="str">
        <f>astrogrep_path&amp;" /spath="&amp;search_path&amp;" /stypes=""*"&amp;S44&amp;"*"&amp;TEXT(A44-utc_offset/24,"YYYYMMDD")&amp;LEFT(TEXT(A44-utc_offset/24,"HH"),1)&amp;"*""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/stypes="*4008*201608272*" /stext=" 22:.+((SYSTEM_STATE.+slice.+state.+changed )|(ment ac)|(system.+state.+changed )|(\|lc)|(penalty)|(\[timeout)|(PRM\|1\|D)|(kpr)|(kdp))" /e /r /s</v>
      </c>
      <c r="S44" s="9" t="str">
        <f>MID(B44,13,4)</f>
        <v>4008</v>
      </c>
      <c r="T44" s="38">
        <f>A44+6/24</f>
        <v>42609.95453703704</v>
      </c>
      <c r="U44" s="52" t="str">
        <f>IF(VALUE(LEFT(IF(LEN(C44)=6,"0"&amp;C44,C44),2))&lt;=2,"EC",IF(OR(VALUE(LEFT(IF(LEN(C44)=6,"0"&amp;C44,C44),2))=8,VALUE(LEFT(IF(LEN(C44)=6,"0"&amp;C44,C44),2))=18),"NW","Other"))</f>
        <v>NW</v>
      </c>
      <c r="V44" s="52" t="str">
        <f>IF(AND(E44="TRACK WARRANT AUTHORITY",G44&lt;10),"OMIT","KEEP")</f>
        <v>KEEP</v>
      </c>
      <c r="W44" s="149" t="str">
        <f>"echo {""issue"":{""subject"":"""&amp;N44&amp;""",""project_id"":79,""tracker_id"":40,""status_id"":"&amp;redmine_status&amp;",""priority_id"":"&amp;redmine_priority&amp;",""assigned_to_id"":"&amp;redmine_assignee&amp;",""start_date"":"""&amp;TEXT(A44,"YYYY-mm-dd")&amp;""",""description"":"""&amp;X44&amp;""",""custom_fields"":[{""id"":1,""name"":""Subdivision"",""value"":"""&amp;U44&amp;"""},{""id"":4,""name"":""Milepost"",""value"":"""&amp;J44/10000&amp;"""},{""id"":17,""name"":""Train ID"",""value"":"""&amp;C44&amp;"""},{""id"":16,""name"":""Locomotive ID"",""value"":"""&amp;S44&amp;"""},{""id"":130,""name"":""Impact"",""value"":"""&amp;Y44&amp;"""},{""id"":150,""name"":""Time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Assigned"",""value"":"""&amp;Z44&amp;"""}]}}"&amp;"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{"issue":{"subject":"","project_id":79,"tracker_id":40,"status_id":1,"priority_id":2,"assigned_to_id":23,"start_date":"2016-08-27","description":"","custom_fields":[{"id":1,"name":"Subdivision","value":"NW"},{"id":4,"name":"Milepost","value":"0.0575"},{"id":17,"name":"Train ID","value":"1822-27"},{"id":16,"name":"Locomotive ID","value":"4008"},{"id":130,"name":"Impact","value":""},{"id":150,"name":"Time of Event (Mountain Time)","value":"16:54:32"},{"id":151,"name":"Denver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4" s="55"/>
      <c r="Y44" s="55"/>
      <c r="Z44" s="55"/>
    </row>
    <row r="45" spans="1:26" x14ac:dyDescent="0.25">
      <c r="A45" s="38">
        <v>42609.565312500003</v>
      </c>
      <c r="B45" s="33" t="s">
        <v>186</v>
      </c>
      <c r="C45" s="33" t="s">
        <v>535</v>
      </c>
      <c r="D45" s="33" t="s">
        <v>49</v>
      </c>
      <c r="E45" s="33" t="s">
        <v>50</v>
      </c>
      <c r="F45" s="49">
        <v>0</v>
      </c>
      <c r="G45" s="49">
        <v>47</v>
      </c>
      <c r="H45" s="49">
        <v>58939</v>
      </c>
      <c r="I45" s="33" t="s">
        <v>51</v>
      </c>
      <c r="J45" s="49">
        <v>59048</v>
      </c>
      <c r="K45" s="33" t="s">
        <v>52</v>
      </c>
      <c r="L45" s="92" t="str">
        <f>VLOOKUP(C45,'Trips&amp;Operators'!$C$1:$E$9999,3,0)</f>
        <v>YORK</v>
      </c>
      <c r="M45" s="131" t="s">
        <v>86</v>
      </c>
      <c r="N45" s="10"/>
      <c r="O45" s="33"/>
      <c r="P45" s="108" t="str">
        <f>VLOOKUP(C45,'Train Runs'!$A$13:$AE$10012,31,0)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Q45" s="111" t="str">
        <f>VLOOKUP(C45,'Train Runs'!$A$13:$AE$10012,22,0)</f>
        <v>https://search-rtdc-monitor-bjffxe2xuh6vdkpspy63sjmuny.us-east-1.es.amazonaws.com/_plugin/kibana/#/discover/Steve-Slow-Train-Analysis-(2080s-and-2083s)?_g=(refreshInterval:(display:Off,section:0,value:0),time:(from:'2016-08-27 11:55:24-0600',mode:absolute,to:'2016-08-27 14:34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5" s="113" t="str">
        <f>astrogrep_path&amp;" /spath="&amp;search_path&amp;" /stypes=""*"&amp;S45&amp;"*"&amp;TEXT(A45-utc_offset/24,"YYYYMMDD")&amp;LEFT(TEXT(A45-utc_offset/24,"HH"),1)&amp;"*""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/stypes="*4007*201608271*" /stext=" 19:.+((SYSTEM_STATE.+slice.+state.+changed )|(ment ac)|(system.+state.+changed )|(\|lc)|(penalty)|(\[timeout)|(PRM\|1\|D)|(kpr)|(kdp))" /e /r /s</v>
      </c>
      <c r="S45" s="9" t="str">
        <f>MID(B45,13,4)</f>
        <v>4007</v>
      </c>
      <c r="T45" s="38">
        <f>A45+6/24</f>
        <v>42609.815312500003</v>
      </c>
      <c r="U45" s="52" t="str">
        <f>IF(VALUE(LEFT(IF(LEN(C45)=6,"0"&amp;C45,C45),2))&lt;=2,"EC",IF(OR(VALUE(LEFT(IF(LEN(C45)=6,"0"&amp;C45,C45),2))=8,VALUE(LEFT(IF(LEN(C45)=6,"0"&amp;C45,C45),2))=18),"NW","Other"))</f>
        <v>NW</v>
      </c>
      <c r="V45" s="52" t="str">
        <f>IF(AND(E45="TRACK WARRANT AUTHORITY",G45&lt;10),"OMIT","KEEP")</f>
        <v>KEEP</v>
      </c>
      <c r="W45" s="149" t="str">
        <f>"echo {""issue"":{""subject"":"""&amp;N45&amp;""",""project_id"":79,""tracker_id"":40,""status_id"":"&amp;redmine_status&amp;",""priority_id"":"&amp;redmine_priority&amp;",""assigned_to_id"":"&amp;redmine_assignee&amp;",""start_date"":"""&amp;TEXT(A45,"YYYY-mm-dd")&amp;""",""description"":"""&amp;X45&amp;""",""custom_fields"":[{""id"":1,""name"":""Subdivision"",""value"":"""&amp;U45&amp;"""},{""id"":4,""name"":""Milepost"",""value"":"""&amp;J45/10000&amp;"""},{""id"":17,""name"":""Train ID"",""value"":"""&amp;C45&amp;"""},{""id"":16,""name"":""Locomotive ID"",""value"":"""&amp;S45&amp;"""},{""id"":130,""name"":""Impact"",""value"":"""&amp;Y45&amp;"""},{""id"":150,""name"":""Time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Assigned"",""value"":"""&amp;Z45&amp;"""}]}}"&amp;"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{"issue":{"subject":"","project_id":79,"tracker_id":40,"status_id":1,"priority_id":2,"assigned_to_id":23,"start_date":"2016-08-27","description":"","custom_fields":[{"id":1,"name":"Subdivision","value":"NW"},{"id":4,"name":"Milepost","value":"5.9048"},{"id":17,"name":"Train ID","value":"1815-27"},{"id":16,"name":"Locomotive ID","value":"4007"},{"id":130,"name":"Impact","value":""},{"id":150,"name":"Time of Event (Mountain Time)","value":"13:34:03"},{"id":151,"name":"Denver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5" s="55"/>
      <c r="Y45" s="55"/>
      <c r="Z45" s="55"/>
    </row>
    <row r="46" spans="1:26" x14ac:dyDescent="0.25">
      <c r="A46" s="38">
        <v>42609.806701388887</v>
      </c>
      <c r="B46" s="33" t="s">
        <v>151</v>
      </c>
      <c r="C46" s="33" t="s">
        <v>676</v>
      </c>
      <c r="D46" s="33" t="s">
        <v>111</v>
      </c>
      <c r="E46" s="33" t="s">
        <v>324</v>
      </c>
      <c r="F46" s="49">
        <v>100</v>
      </c>
      <c r="G46" s="49">
        <v>153</v>
      </c>
      <c r="H46" s="49">
        <v>11619</v>
      </c>
      <c r="I46" s="33" t="s">
        <v>325</v>
      </c>
      <c r="J46" s="49">
        <v>10701</v>
      </c>
      <c r="K46" s="33" t="s">
        <v>52</v>
      </c>
      <c r="L46" s="92" t="str">
        <f>VLOOKUP(C46,'Trips&amp;Operators'!$C$1:$E$9999,3,0)</f>
        <v>YANAI</v>
      </c>
      <c r="M46" s="131" t="s">
        <v>86</v>
      </c>
      <c r="N46" s="10"/>
      <c r="O46" s="33"/>
      <c r="P46" s="108" t="e">
        <f>VLOOKUP(C46,'Train Runs'!$A$13:$AE$10012,31,0)</f>
        <v>#N/A</v>
      </c>
      <c r="Q46" s="111" t="e">
        <f>VLOOKUP(C46,'Train Runs'!$A$13:$AE$10012,22,0)</f>
        <v>#N/A</v>
      </c>
      <c r="R46" s="113" t="str">
        <f>astrogrep_path&amp;" /spath="&amp;search_path&amp;" /stypes=""*"&amp;S46&amp;"*"&amp;TEXT(A46-utc_offset/24,"YYYYMMDD")&amp;LEFT(TEXT(A46-utc_offset/24,"HH"),1)&amp;"*""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/stypes="*4038*201608280*" /stext=" 01:.+((SYSTEM_STATE.+slice.+state.+changed )|(ment ac)|(system.+state.+changed )|(\|lc)|(penalty)|(\[timeout)|(PRM\|1\|D)|(kpr)|(kdp))" /e /r /s</v>
      </c>
      <c r="S46" s="9" t="str">
        <f>MID(B46,13,4)</f>
        <v>4038</v>
      </c>
      <c r="T46" s="38">
        <f>A46+6/24</f>
        <v>42610.056701388887</v>
      </c>
      <c r="U46" s="52" t="str">
        <f>IF(VALUE(LEFT(IF(LEN(C46)=6,"0"&amp;C46,C46),2))&lt;=2,"EC",IF(OR(VALUE(LEFT(IF(LEN(C46)=6,"0"&amp;C46,C46),2))=8,VALUE(LEFT(IF(LEN(C46)=6,"0"&amp;C46,C46),2))=18),"NW","Other"))</f>
        <v>Other</v>
      </c>
      <c r="V46" s="52" t="str">
        <f>IF(AND(E46="TRACK WARRANT AUTHORITY",G46&lt;10),"OMIT","KEEP")</f>
        <v>KEEP</v>
      </c>
      <c r="W46" s="149" t="str">
        <f>"echo {""issue"":{""subject"":"""&amp;N46&amp;""",""project_id"":79,""tracker_id"":40,""status_id"":"&amp;redmine_status&amp;",""priority_id"":"&amp;redmine_priority&amp;",""assigned_to_id"":"&amp;redmine_assignee&amp;",""start_date"":"""&amp;TEXT(A46,"YYYY-mm-dd")&amp;""",""description"":"""&amp;X46&amp;""",""custom_fields"":[{""id"":1,""name"":""Subdivision"",""value"":"""&amp;U46&amp;"""},{""id"":4,""name"":""Milepost"",""value"":"""&amp;J46/10000&amp;"""},{""id"":17,""name"":""Train ID"",""value"":"""&amp;C46&amp;"""},{""id"":16,""name"":""Locomotive ID"",""value"":"""&amp;S46&amp;"""},{""id"":130,""name"":""Impact"",""value"":"""&amp;Y46&amp;"""},{""id"":150,""name"":""Time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Assigned"",""value"":"""&amp;Z46&amp;"""}]}}"&amp;"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{"issue":{"subject":"","project_id":79,"tracker_id":40,"status_id":1,"priority_id":2,"assigned_to_id":23,"start_date":"2016-08-27","description":"","custom_fields":[{"id":1,"name":"Subdivision","value":"Other"},{"id":4,"name":"Milepost","value":"1.0701"},{"id":17,"name":"Train ID","value":"69-27"},{"id":16,"name":"Locomotive ID","value":"4038"},{"id":130,"name":"Impact","value":""},{"id":150,"name":"Time of Event (Mountain Time)","value":"19:21:39"},{"id":151,"name":"Denver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6" s="55"/>
      <c r="Y46" s="55"/>
      <c r="Z46" s="55"/>
    </row>
    <row r="47" spans="1:26" x14ac:dyDescent="0.25">
      <c r="A47" s="38"/>
      <c r="B47" s="33"/>
      <c r="C47" s="33"/>
      <c r="D47" s="33"/>
      <c r="E47" s="33"/>
      <c r="F47" s="49"/>
      <c r="G47" s="49"/>
      <c r="H47" s="49"/>
      <c r="I47" s="33"/>
      <c r="J47" s="49"/>
      <c r="K47" s="33"/>
      <c r="L47" s="92"/>
      <c r="M47" s="131"/>
      <c r="N47" s="10"/>
      <c r="O47" s="33"/>
      <c r="P47" s="108"/>
      <c r="Q47" s="111"/>
      <c r="R47" s="113"/>
      <c r="S47" s="9"/>
      <c r="T47" s="38"/>
      <c r="U47" s="52"/>
      <c r="V47" s="52"/>
      <c r="W47" s="149"/>
      <c r="X47" s="55"/>
      <c r="Y47" s="55"/>
      <c r="Z47" s="55"/>
    </row>
    <row r="48" spans="1:26" x14ac:dyDescent="0.25">
      <c r="A48" s="38"/>
      <c r="B48" s="33"/>
      <c r="C48" s="33"/>
      <c r="D48" s="33"/>
      <c r="E48" s="33"/>
      <c r="F48" s="49"/>
      <c r="G48" s="49"/>
      <c r="H48" s="49"/>
      <c r="I48" s="33"/>
      <c r="J48" s="49"/>
      <c r="K48" s="33"/>
      <c r="L48" s="92"/>
      <c r="M48" s="131"/>
      <c r="N48" s="10"/>
      <c r="O48" s="33"/>
      <c r="P48" s="108"/>
      <c r="Q48" s="111"/>
      <c r="R48" s="113"/>
      <c r="S48" s="9"/>
      <c r="T48" s="38"/>
      <c r="U48" s="52"/>
      <c r="V48" s="52"/>
      <c r="W48" s="149"/>
      <c r="X48" s="55"/>
      <c r="Y48" s="55"/>
      <c r="Z48" s="55"/>
    </row>
    <row r="49" spans="1:26" x14ac:dyDescent="0.25">
      <c r="A49" s="38"/>
      <c r="B49" s="33"/>
      <c r="C49" s="33"/>
      <c r="D49" s="33"/>
      <c r="E49" s="33"/>
      <c r="F49" s="49"/>
      <c r="G49" s="49"/>
      <c r="H49" s="49"/>
      <c r="I49" s="33"/>
      <c r="J49" s="49"/>
      <c r="K49" s="33"/>
      <c r="L49" s="92"/>
      <c r="M49" s="131"/>
      <c r="N49" s="10"/>
      <c r="O49" s="33"/>
      <c r="P49" s="108"/>
      <c r="Q49" s="111"/>
      <c r="R49" s="113"/>
      <c r="S49" s="9"/>
      <c r="T49" s="38"/>
      <c r="U49" s="52"/>
      <c r="V49" s="52"/>
      <c r="W49" s="149"/>
      <c r="X49" s="55"/>
      <c r="Y49" s="55"/>
      <c r="Z49" s="55"/>
    </row>
    <row r="50" spans="1:26" x14ac:dyDescent="0.25">
      <c r="A50" s="38"/>
      <c r="B50" s="33"/>
      <c r="C50" s="33"/>
      <c r="D50" s="33"/>
      <c r="E50" s="33"/>
      <c r="F50" s="49"/>
      <c r="G50" s="49"/>
      <c r="H50" s="49"/>
      <c r="I50" s="33"/>
      <c r="J50" s="49"/>
      <c r="K50" s="33"/>
      <c r="L50" s="92"/>
      <c r="M50" s="131"/>
      <c r="N50" s="10"/>
      <c r="O50" s="33"/>
      <c r="P50" s="108"/>
      <c r="Q50" s="111"/>
      <c r="R50" s="113"/>
      <c r="S50" s="9"/>
      <c r="T50" s="38"/>
      <c r="U50" s="52"/>
      <c r="V50" s="52"/>
      <c r="W50" s="149"/>
      <c r="X50" s="55"/>
      <c r="Y50" s="55"/>
      <c r="Z50" s="55"/>
    </row>
    <row r="51" spans="1:26" x14ac:dyDescent="0.25">
      <c r="A51" s="38"/>
      <c r="B51" s="33"/>
      <c r="C51" s="33"/>
      <c r="D51" s="33"/>
      <c r="E51" s="33"/>
      <c r="F51" s="49"/>
      <c r="G51" s="49"/>
      <c r="H51" s="49"/>
      <c r="I51" s="33"/>
      <c r="J51" s="49"/>
      <c r="K51" s="33"/>
      <c r="L51" s="92"/>
      <c r="M51" s="131"/>
      <c r="N51" s="10"/>
      <c r="O51" s="33"/>
      <c r="P51" s="108"/>
      <c r="Q51" s="111"/>
      <c r="R51" s="113"/>
      <c r="S51" s="9"/>
      <c r="T51" s="38"/>
      <c r="U51" s="52"/>
      <c r="V51" s="52"/>
      <c r="W51" s="149"/>
      <c r="X51" s="55"/>
      <c r="Y51" s="55"/>
      <c r="Z51" s="55"/>
    </row>
    <row r="52" spans="1:26" x14ac:dyDescent="0.25">
      <c r="A52" s="38"/>
      <c r="B52" s="33"/>
      <c r="C52" s="33"/>
      <c r="D52" s="33"/>
      <c r="E52" s="33"/>
      <c r="F52" s="49"/>
      <c r="G52" s="49"/>
      <c r="H52" s="49"/>
      <c r="I52" s="33"/>
      <c r="J52" s="49"/>
      <c r="K52" s="33"/>
      <c r="L52" s="92"/>
      <c r="M52" s="131"/>
      <c r="N52" s="10"/>
      <c r="O52" s="33"/>
      <c r="P52" s="108"/>
      <c r="Q52" s="111"/>
      <c r="R52" s="113"/>
      <c r="S52" s="9"/>
      <c r="T52" s="38"/>
      <c r="U52" s="52"/>
      <c r="V52" s="52"/>
      <c r="W52" s="149"/>
      <c r="X52" s="55"/>
      <c r="Y52" s="55"/>
      <c r="Z52" s="55"/>
    </row>
    <row r="53" spans="1:26" x14ac:dyDescent="0.25">
      <c r="A53" s="38"/>
      <c r="B53" s="33"/>
      <c r="C53" s="33"/>
      <c r="D53" s="33"/>
      <c r="E53" s="33"/>
      <c r="F53" s="49"/>
      <c r="G53" s="49"/>
      <c r="H53" s="49"/>
      <c r="I53" s="33"/>
      <c r="J53" s="49"/>
      <c r="K53" s="33"/>
      <c r="L53" s="92"/>
      <c r="M53" s="131"/>
      <c r="N53" s="10"/>
      <c r="O53" s="33"/>
      <c r="P53" s="108"/>
      <c r="Q53" s="111"/>
      <c r="R53" s="113"/>
      <c r="S53" s="9"/>
      <c r="T53" s="38"/>
      <c r="U53" s="52"/>
      <c r="V53" s="52"/>
      <c r="W53" s="149"/>
      <c r="X53" s="55"/>
      <c r="Y53" s="55"/>
      <c r="Z53" s="55"/>
    </row>
    <row r="54" spans="1:26" x14ac:dyDescent="0.25">
      <c r="A54" s="38"/>
      <c r="B54" s="33"/>
      <c r="C54" s="33"/>
      <c r="D54" s="33"/>
      <c r="E54" s="33"/>
      <c r="F54" s="49"/>
      <c r="G54" s="49"/>
      <c r="H54" s="49"/>
      <c r="I54" s="33"/>
      <c r="J54" s="49"/>
      <c r="K54" s="33"/>
      <c r="L54" s="92"/>
      <c r="M54" s="131"/>
      <c r="N54" s="10"/>
      <c r="O54" s="33"/>
      <c r="P54" s="108"/>
      <c r="Q54" s="111"/>
      <c r="R54" s="113"/>
      <c r="S54" s="9"/>
      <c r="T54" s="38"/>
      <c r="U54" s="52"/>
      <c r="V54" s="52"/>
      <c r="W54" s="149"/>
      <c r="X54" s="55"/>
      <c r="Y54" s="55"/>
      <c r="Z54" s="55"/>
    </row>
    <row r="55" spans="1:26" x14ac:dyDescent="0.25">
      <c r="A55" s="38"/>
      <c r="B55" s="33"/>
      <c r="C55" s="33"/>
      <c r="D55" s="33"/>
      <c r="E55" s="33"/>
      <c r="F55" s="49"/>
      <c r="G55" s="49"/>
      <c r="H55" s="49"/>
      <c r="I55" s="33"/>
      <c r="J55" s="49"/>
      <c r="K55" s="33"/>
      <c r="L55" s="92"/>
      <c r="M55" s="131"/>
      <c r="N55" s="10"/>
      <c r="O55" s="33"/>
      <c r="P55" s="108"/>
      <c r="Q55" s="111"/>
      <c r="R55" s="113"/>
      <c r="S55" s="9"/>
      <c r="T55" s="38"/>
      <c r="U55" s="52"/>
      <c r="V55" s="52"/>
      <c r="W55" s="149"/>
      <c r="X55" s="55"/>
      <c r="Y55" s="55"/>
      <c r="Z55" s="55"/>
    </row>
    <row r="56" spans="1:26" x14ac:dyDescent="0.25">
      <c r="A56" s="38"/>
      <c r="B56" s="33"/>
      <c r="C56" s="33"/>
      <c r="D56" s="33"/>
      <c r="E56" s="33"/>
      <c r="F56" s="49"/>
      <c r="G56" s="49"/>
      <c r="H56" s="49"/>
      <c r="I56" s="33"/>
      <c r="J56" s="49"/>
      <c r="K56" s="33"/>
      <c r="L56" s="92"/>
      <c r="M56" s="131"/>
      <c r="N56" s="10"/>
      <c r="O56" s="33"/>
      <c r="P56" s="108"/>
      <c r="Q56" s="111"/>
      <c r="R56" s="113"/>
      <c r="S56" s="9"/>
      <c r="T56" s="38"/>
      <c r="U56" s="52"/>
      <c r="V56" s="52"/>
      <c r="W56" s="149"/>
      <c r="X56" s="55"/>
      <c r="Y56" s="55"/>
      <c r="Z56" s="55"/>
    </row>
    <row r="57" spans="1:26" x14ac:dyDescent="0.25">
      <c r="A57" s="38"/>
      <c r="B57" s="33"/>
      <c r="C57" s="33"/>
      <c r="D57" s="33"/>
      <c r="E57" s="33"/>
      <c r="F57" s="49"/>
      <c r="G57" s="49"/>
      <c r="H57" s="49"/>
      <c r="I57" s="33"/>
      <c r="J57" s="49"/>
      <c r="K57" s="33"/>
      <c r="L57" s="92"/>
      <c r="M57" s="131"/>
      <c r="N57" s="10"/>
      <c r="O57" s="33"/>
      <c r="P57" s="108"/>
      <c r="Q57" s="111"/>
      <c r="R57" s="113"/>
      <c r="S57" s="9"/>
      <c r="T57" s="38"/>
      <c r="U57" s="52"/>
      <c r="V57" s="52"/>
      <c r="W57" s="149"/>
      <c r="X57" s="55"/>
      <c r="Y57" s="55"/>
      <c r="Z57" s="55"/>
    </row>
    <row r="58" spans="1:26" x14ac:dyDescent="0.25">
      <c r="A58" s="38"/>
      <c r="B58" s="33"/>
      <c r="C58" s="33"/>
      <c r="D58" s="33"/>
      <c r="E58" s="33"/>
      <c r="F58" s="49"/>
      <c r="G58" s="49"/>
      <c r="H58" s="49"/>
      <c r="I58" s="33"/>
      <c r="J58" s="49"/>
      <c r="K58" s="33"/>
      <c r="L58" s="92"/>
      <c r="M58" s="131"/>
      <c r="N58" s="10"/>
      <c r="O58" s="33"/>
      <c r="P58" s="108"/>
      <c r="Q58" s="111"/>
      <c r="R58" s="113"/>
      <c r="S58" s="9"/>
      <c r="T58" s="38"/>
      <c r="U58" s="52"/>
      <c r="V58" s="52"/>
      <c r="W58" s="149"/>
      <c r="X58" s="55"/>
      <c r="Y58" s="55"/>
      <c r="Z58" s="55"/>
    </row>
    <row r="59" spans="1:26" x14ac:dyDescent="0.25">
      <c r="A59" s="38"/>
      <c r="B59" s="33"/>
      <c r="C59" s="33"/>
      <c r="D59" s="33"/>
      <c r="E59" s="33"/>
      <c r="F59" s="49"/>
      <c r="G59" s="49"/>
      <c r="H59" s="49"/>
      <c r="I59" s="33"/>
      <c r="J59" s="49"/>
      <c r="K59" s="33"/>
      <c r="L59" s="92"/>
      <c r="M59" s="131"/>
      <c r="N59" s="10"/>
      <c r="O59" s="33"/>
      <c r="P59" s="108"/>
      <c r="Q59" s="111"/>
      <c r="R59" s="113"/>
      <c r="S59" s="9"/>
      <c r="T59" s="38"/>
      <c r="U59" s="52"/>
      <c r="V59" s="52"/>
      <c r="W59" s="149"/>
      <c r="X59" s="55"/>
      <c r="Y59" s="55"/>
      <c r="Z59" s="55"/>
    </row>
    <row r="60" spans="1:26" x14ac:dyDescent="0.25">
      <c r="A60" s="38"/>
      <c r="B60" s="33"/>
      <c r="C60" s="33"/>
      <c r="D60" s="33"/>
      <c r="E60" s="33"/>
      <c r="F60" s="49"/>
      <c r="G60" s="49"/>
      <c r="H60" s="49"/>
      <c r="I60" s="33"/>
      <c r="J60" s="49"/>
      <c r="K60" s="33"/>
      <c r="L60" s="92"/>
      <c r="M60" s="131"/>
      <c r="N60" s="10"/>
      <c r="O60" s="33"/>
      <c r="P60" s="108"/>
      <c r="Q60" s="111"/>
      <c r="R60" s="113"/>
      <c r="S60" s="9"/>
      <c r="T60" s="38"/>
      <c r="U60" s="52"/>
      <c r="V60" s="52"/>
      <c r="W60" s="149"/>
      <c r="X60" s="55"/>
      <c r="Y60" s="55"/>
      <c r="Z60" s="55"/>
    </row>
    <row r="61" spans="1:26" x14ac:dyDescent="0.25">
      <c r="A61" s="38"/>
      <c r="B61" s="33"/>
      <c r="C61" s="33"/>
      <c r="D61" s="33"/>
      <c r="E61" s="33"/>
      <c r="F61" s="49"/>
      <c r="G61" s="49"/>
      <c r="H61" s="49"/>
      <c r="I61" s="33"/>
      <c r="J61" s="49"/>
      <c r="K61" s="33"/>
      <c r="L61" s="92"/>
      <c r="M61" s="131"/>
      <c r="N61" s="10"/>
      <c r="O61" s="33"/>
      <c r="P61" s="108"/>
      <c r="Q61" s="111"/>
      <c r="R61" s="113"/>
      <c r="S61" s="9"/>
      <c r="T61" s="38"/>
      <c r="U61" s="52"/>
      <c r="V61" s="52"/>
      <c r="W61" s="149"/>
      <c r="X61" s="55"/>
      <c r="Y61" s="55"/>
      <c r="Z61" s="55"/>
    </row>
    <row r="62" spans="1:26" x14ac:dyDescent="0.25">
      <c r="A62" s="38"/>
      <c r="B62" s="33"/>
      <c r="C62" s="33"/>
      <c r="D62" s="33"/>
      <c r="E62" s="33"/>
      <c r="F62" s="49"/>
      <c r="G62" s="49"/>
      <c r="H62" s="49"/>
      <c r="I62" s="33"/>
      <c r="J62" s="49"/>
      <c r="K62" s="33"/>
      <c r="L62" s="92"/>
      <c r="M62" s="131"/>
      <c r="N62" s="10"/>
      <c r="O62" s="33"/>
      <c r="P62" s="108"/>
      <c r="Q62" s="111"/>
      <c r="R62" s="113"/>
      <c r="S62" s="9"/>
      <c r="T62" s="38"/>
      <c r="U62" s="52"/>
      <c r="V62" s="52"/>
      <c r="W62" s="149"/>
      <c r="X62" s="55"/>
      <c r="Y62" s="55"/>
      <c r="Z62" s="55"/>
    </row>
    <row r="63" spans="1:26" x14ac:dyDescent="0.25">
      <c r="A63" s="38"/>
      <c r="B63" s="33"/>
      <c r="C63" s="33"/>
      <c r="D63" s="33"/>
      <c r="E63" s="33"/>
      <c r="F63" s="49"/>
      <c r="G63" s="49"/>
      <c r="H63" s="49"/>
      <c r="I63" s="33"/>
      <c r="J63" s="49"/>
      <c r="K63" s="33"/>
      <c r="L63" s="92"/>
      <c r="M63" s="131"/>
      <c r="N63" s="10"/>
      <c r="O63" s="33"/>
      <c r="P63" s="108"/>
      <c r="Q63" s="111"/>
      <c r="R63" s="113"/>
      <c r="S63" s="9"/>
      <c r="T63" s="38"/>
      <c r="U63" s="52"/>
      <c r="V63" s="52"/>
      <c r="W63" s="149"/>
      <c r="X63" s="55"/>
      <c r="Y63" s="55"/>
      <c r="Z63" s="55"/>
    </row>
    <row r="64" spans="1:26" x14ac:dyDescent="0.25">
      <c r="A64" s="38"/>
      <c r="B64" s="33"/>
      <c r="C64" s="33"/>
      <c r="D64" s="33"/>
      <c r="E64" s="33"/>
      <c r="F64" s="49"/>
      <c r="G64" s="49"/>
      <c r="H64" s="49"/>
      <c r="I64" s="33"/>
      <c r="J64" s="49"/>
      <c r="K64" s="33"/>
      <c r="L64" s="92"/>
      <c r="M64" s="131"/>
      <c r="N64" s="10"/>
      <c r="O64" s="33"/>
      <c r="P64" s="108"/>
      <c r="Q64" s="111"/>
      <c r="R64" s="113"/>
      <c r="S64" s="9"/>
      <c r="T64" s="38"/>
      <c r="U64" s="52"/>
      <c r="V64" s="52"/>
      <c r="W64" s="149"/>
      <c r="X64" s="55"/>
      <c r="Y64" s="55"/>
      <c r="Z64" s="55"/>
    </row>
    <row r="65" spans="1:26" x14ac:dyDescent="0.25">
      <c r="A65" s="38"/>
      <c r="B65" s="33"/>
      <c r="C65" s="33"/>
      <c r="D65" s="33"/>
      <c r="E65" s="33"/>
      <c r="F65" s="49"/>
      <c r="G65" s="49"/>
      <c r="H65" s="49"/>
      <c r="I65" s="33"/>
      <c r="J65" s="49"/>
      <c r="K65" s="33"/>
      <c r="L65" s="92"/>
      <c r="M65" s="131"/>
      <c r="N65" s="10"/>
      <c r="O65" s="33"/>
      <c r="P65" s="108"/>
      <c r="Q65" s="111"/>
      <c r="R65" s="113"/>
      <c r="S65" s="9"/>
      <c r="T65" s="38"/>
      <c r="U65" s="52"/>
      <c r="V65" s="52"/>
      <c r="W65" s="149"/>
      <c r="X65" s="55"/>
      <c r="Y65" s="55"/>
      <c r="Z65" s="55"/>
    </row>
    <row r="66" spans="1:26" x14ac:dyDescent="0.25">
      <c r="A66" s="38"/>
      <c r="B66" s="33"/>
      <c r="C66" s="33"/>
      <c r="D66" s="33"/>
      <c r="E66" s="33"/>
      <c r="F66" s="49"/>
      <c r="G66" s="49"/>
      <c r="H66" s="49"/>
      <c r="I66" s="33"/>
      <c r="J66" s="49"/>
      <c r="K66" s="33"/>
      <c r="L66" s="92"/>
      <c r="M66" s="131"/>
      <c r="N66" s="10"/>
      <c r="O66" s="33"/>
      <c r="P66" s="108"/>
      <c r="Q66" s="111"/>
      <c r="R66" s="113"/>
      <c r="S66" s="9"/>
      <c r="T66" s="38"/>
      <c r="U66" s="52"/>
      <c r="V66" s="52"/>
      <c r="W66" s="149"/>
      <c r="X66" s="55"/>
      <c r="Y66" s="55"/>
      <c r="Z66" s="55"/>
    </row>
    <row r="67" spans="1:26" x14ac:dyDescent="0.25">
      <c r="A67" s="38"/>
      <c r="B67" s="33"/>
      <c r="C67" s="33"/>
      <c r="D67" s="33"/>
      <c r="E67" s="33"/>
      <c r="F67" s="49"/>
      <c r="G67" s="49"/>
      <c r="H67" s="49"/>
      <c r="I67" s="33"/>
      <c r="J67" s="49"/>
      <c r="K67" s="33"/>
      <c r="L67" s="92"/>
      <c r="M67" s="131"/>
      <c r="N67" s="10"/>
      <c r="O67" s="33"/>
      <c r="P67" s="108"/>
      <c r="Q67" s="111"/>
      <c r="R67" s="113"/>
      <c r="S67" s="9"/>
      <c r="T67" s="38"/>
      <c r="U67" s="52"/>
      <c r="V67" s="52"/>
      <c r="W67" s="149"/>
      <c r="X67" s="55"/>
      <c r="Y67" s="55"/>
      <c r="Z67" s="55"/>
    </row>
    <row r="68" spans="1:26" x14ac:dyDescent="0.25">
      <c r="A68" s="38"/>
      <c r="B68" s="33"/>
      <c r="C68" s="33"/>
      <c r="D68" s="33"/>
      <c r="E68" s="33"/>
      <c r="F68" s="49"/>
      <c r="G68" s="49"/>
      <c r="H68" s="49"/>
      <c r="I68" s="33"/>
      <c r="J68" s="49"/>
      <c r="K68" s="33"/>
      <c r="L68" s="92"/>
      <c r="M68" s="131"/>
      <c r="N68" s="10"/>
      <c r="O68" s="33"/>
      <c r="P68" s="108"/>
      <c r="Q68" s="111"/>
      <c r="R68" s="113"/>
      <c r="S68" s="9"/>
      <c r="T68" s="38"/>
      <c r="U68" s="52"/>
      <c r="V68" s="52"/>
      <c r="W68" s="149"/>
      <c r="X68" s="55"/>
      <c r="Y68" s="55"/>
      <c r="Z68" s="55"/>
    </row>
    <row r="69" spans="1:26" x14ac:dyDescent="0.25">
      <c r="A69" s="38"/>
      <c r="B69" s="33"/>
      <c r="C69" s="33"/>
      <c r="D69" s="33"/>
      <c r="E69" s="33"/>
      <c r="F69" s="49"/>
      <c r="G69" s="49"/>
      <c r="H69" s="49"/>
      <c r="I69" s="33"/>
      <c r="J69" s="49"/>
      <c r="K69" s="33"/>
      <c r="L69" s="92"/>
      <c r="M69" s="131"/>
      <c r="N69" s="10"/>
      <c r="O69" s="33"/>
      <c r="P69" s="108"/>
      <c r="Q69" s="111"/>
      <c r="R69" s="113"/>
      <c r="S69" s="9"/>
      <c r="T69" s="38"/>
      <c r="U69" s="52"/>
      <c r="V69" s="52"/>
      <c r="W69" s="149"/>
      <c r="X69" s="55"/>
      <c r="Y69" s="55"/>
      <c r="Z69" s="55"/>
    </row>
    <row r="70" spans="1:26" x14ac:dyDescent="0.25">
      <c r="A70" s="38"/>
      <c r="B70" s="33"/>
      <c r="C70" s="33"/>
      <c r="D70" s="33"/>
      <c r="E70" s="33"/>
      <c r="F70" s="49"/>
      <c r="G70" s="49"/>
      <c r="H70" s="49"/>
      <c r="I70" s="33"/>
      <c r="J70" s="49"/>
      <c r="K70" s="33"/>
      <c r="L70" s="92"/>
      <c r="M70" s="131"/>
      <c r="N70" s="10"/>
      <c r="O70" s="33"/>
      <c r="P70" s="108"/>
      <c r="Q70" s="111"/>
      <c r="R70" s="113"/>
      <c r="S70" s="9"/>
      <c r="T70" s="38"/>
      <c r="U70" s="52"/>
      <c r="V70" s="52"/>
      <c r="W70" s="149"/>
      <c r="X70" s="55"/>
      <c r="Y70" s="55"/>
      <c r="Z70" s="55"/>
    </row>
    <row r="71" spans="1:26" x14ac:dyDescent="0.25">
      <c r="A71" s="38"/>
      <c r="B71" s="33"/>
      <c r="C71" s="33"/>
      <c r="D71" s="33"/>
      <c r="E71" s="33"/>
      <c r="F71" s="49"/>
      <c r="G71" s="49"/>
      <c r="H71" s="49"/>
      <c r="I71" s="33"/>
      <c r="J71" s="49"/>
      <c r="K71" s="33"/>
      <c r="L71" s="92"/>
      <c r="M71" s="131"/>
      <c r="N71" s="10"/>
      <c r="O71" s="33"/>
      <c r="P71" s="108"/>
      <c r="Q71" s="111"/>
      <c r="R71" s="113"/>
      <c r="S71" s="9"/>
      <c r="T71" s="38"/>
      <c r="U71" s="52"/>
      <c r="V71" s="52"/>
      <c r="W71" s="149"/>
      <c r="X71" s="55"/>
      <c r="Y71" s="55"/>
      <c r="Z71" s="55"/>
    </row>
    <row r="72" spans="1:26" x14ac:dyDescent="0.25">
      <c r="A72" s="38"/>
      <c r="B72" s="33"/>
      <c r="C72" s="33"/>
      <c r="D72" s="33"/>
      <c r="E72" s="33"/>
      <c r="F72" s="49"/>
      <c r="G72" s="49"/>
      <c r="H72" s="49"/>
      <c r="I72" s="33"/>
      <c r="J72" s="49"/>
      <c r="K72" s="33"/>
      <c r="L72" s="92"/>
      <c r="M72" s="131"/>
      <c r="N72" s="10"/>
      <c r="O72" s="33"/>
      <c r="P72" s="108"/>
      <c r="Q72" s="111"/>
      <c r="R72" s="113"/>
      <c r="S72" s="9"/>
      <c r="T72" s="38"/>
      <c r="U72" s="52"/>
      <c r="V72" s="52"/>
      <c r="W72" s="149"/>
      <c r="X72" s="55"/>
      <c r="Y72" s="55"/>
      <c r="Z72" s="55"/>
    </row>
    <row r="73" spans="1:26" x14ac:dyDescent="0.25">
      <c r="A73" s="38"/>
      <c r="B73" s="33"/>
      <c r="C73" s="33"/>
      <c r="D73" s="33"/>
      <c r="E73" s="33"/>
      <c r="F73" s="49"/>
      <c r="G73" s="49"/>
      <c r="H73" s="49"/>
      <c r="I73" s="33"/>
      <c r="J73" s="49"/>
      <c r="K73" s="33"/>
      <c r="L73" s="92"/>
      <c r="M73" s="131"/>
      <c r="N73" s="10"/>
      <c r="O73" s="33"/>
      <c r="P73" s="108"/>
      <c r="Q73" s="111"/>
      <c r="R73" s="113"/>
      <c r="S73" s="9"/>
      <c r="T73" s="38"/>
      <c r="U73" s="52"/>
      <c r="V73" s="52"/>
      <c r="W73" s="149"/>
      <c r="X73" s="55"/>
      <c r="Y73" s="55"/>
      <c r="Z73" s="55"/>
    </row>
    <row r="74" spans="1:26" x14ac:dyDescent="0.25">
      <c r="B74" s="23"/>
      <c r="C74" s="23"/>
      <c r="D74" s="23"/>
      <c r="E74" s="23"/>
      <c r="I74" s="23"/>
      <c r="K74" s="23"/>
    </row>
  </sheetData>
  <autoFilter ref="A6:Z61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31" priority="14" operator="equal">
      <formula>"Y"</formula>
    </cfRule>
  </conditionalFormatting>
  <conditionalFormatting sqref="A7:N73">
    <cfRule type="expression" dxfId="30" priority="7">
      <formula>$M7="Y"</formula>
    </cfRule>
  </conditionalFormatting>
  <conditionalFormatting sqref="M2:M3">
    <cfRule type="cellIs" dxfId="29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Z7:Z53</xm:sqref>
        </x14:dataValidation>
        <x14:dataValidation type="list" allowBlank="1" showInputMessage="1" showErrorMessage="1">
          <x14:formula1>
            <xm:f>'Redmine List Values'!$A$2:$A$7</xm:f>
          </x14:formula1>
          <xm:sqref>Y7:Y53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6"/>
  <sheetViews>
    <sheetView workbookViewId="0">
      <selection activeCell="A3" sqref="A3:XFD4"/>
    </sheetView>
  </sheetViews>
  <sheetFormatPr defaultRowHeight="15" x14ac:dyDescent="0.25"/>
  <cols>
    <col min="1" max="1" width="9.140625" style="2" customWidth="1"/>
    <col min="2" max="2" width="8" style="130" bestFit="1" customWidth="1"/>
    <col min="3" max="3" width="9.85546875" style="121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3" customFormat="1" x14ac:dyDescent="0.25">
      <c r="A1" s="164" t="str">
        <f>"Trips that did not appear in PTC Data "&amp;TEXT(Variables!$A$2,"YYYY-mm-dd")</f>
        <v>Trips that did not appear in PTC Data 2016-08-27</v>
      </c>
      <c r="B1" s="164"/>
      <c r="C1" s="164"/>
      <c r="D1" s="164"/>
      <c r="E1" s="164"/>
    </row>
    <row r="2" spans="1:10" s="26" customFormat="1" ht="45" x14ac:dyDescent="0.25">
      <c r="A2" s="140" t="s">
        <v>64</v>
      </c>
      <c r="B2" s="127" t="s">
        <v>65</v>
      </c>
      <c r="C2" s="128" t="s">
        <v>66</v>
      </c>
      <c r="D2" s="26" t="s">
        <v>62</v>
      </c>
      <c r="E2" s="26" t="s">
        <v>63</v>
      </c>
      <c r="F2" s="26" t="s">
        <v>67</v>
      </c>
      <c r="G2" s="31" t="s">
        <v>68</v>
      </c>
      <c r="H2" s="31" t="s">
        <v>121</v>
      </c>
    </row>
    <row r="3" spans="1:10" x14ac:dyDescent="0.25">
      <c r="B3" s="129"/>
      <c r="C3" s="129"/>
      <c r="D3" s="33"/>
      <c r="E3" s="24" t="e">
        <f>VLOOKUP(A3,'Trips&amp;Operators'!$C$2:$E$10000,3,FALSE)</f>
        <v>#N/A</v>
      </c>
      <c r="F3" s="24" t="e">
        <f>VLOOKUP(A3,'Trips&amp;Operators'!$C$1:$F$10000,4,FALSE)</f>
        <v>#N/A</v>
      </c>
      <c r="G3" s="32" t="e">
        <f>VLOOKUP(A3,'Trips&amp;Operators'!$C$1:$H$10000,5,FALSE)</f>
        <v>#N/A</v>
      </c>
      <c r="H3" s="52" t="str">
        <f t="shared" ref="H3:H9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3" s="23"/>
      <c r="J3" s="23"/>
    </row>
    <row r="4" spans="1:10" x14ac:dyDescent="0.25">
      <c r="B4" s="129"/>
      <c r="C4" s="129"/>
      <c r="D4" s="33"/>
      <c r="E4" s="24" t="e">
        <f>VLOOKUP(A4,'Trips&amp;Operators'!$C$2:$E$10000,3,FALSE)</f>
        <v>#N/A</v>
      </c>
      <c r="F4" s="24" t="e">
        <f>VLOOKUP(A4,'Trips&amp;Operators'!$C$1:$F$10000,4,FALSE)</f>
        <v>#N/A</v>
      </c>
      <c r="G4" s="32" t="e">
        <f>VLOOKUP(A4,'Trips&amp;Operators'!$C$1:$H$10000,5,FALSE)</f>
        <v>#N/A</v>
      </c>
      <c r="H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4" s="23"/>
      <c r="J4" s="23"/>
    </row>
    <row r="5" spans="1:10" x14ac:dyDescent="0.25">
      <c r="B5" s="129"/>
      <c r="C5" s="129"/>
      <c r="D5" s="33"/>
      <c r="E5" s="24" t="e">
        <f>VLOOKUP(A5,'Trips&amp;Operators'!$C$2:$E$10000,3,FALSE)</f>
        <v>#N/A</v>
      </c>
      <c r="F5" s="24" t="e">
        <f>VLOOKUP(A5,'Trips&amp;Operators'!$C$1:$F$10000,4,FALSE)</f>
        <v>#N/A</v>
      </c>
      <c r="G5" s="32" t="e">
        <f>VLOOKUP(A5,'Trips&amp;Operators'!$C$1:$H$10000,5,FALSE)</f>
        <v>#N/A</v>
      </c>
      <c r="H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5" s="23"/>
      <c r="J5" s="23"/>
    </row>
    <row r="6" spans="1:10" x14ac:dyDescent="0.25">
      <c r="B6" s="129"/>
      <c r="C6" s="129"/>
      <c r="D6" s="33"/>
      <c r="E6" s="24" t="e">
        <f>VLOOKUP(A6,'Trips&amp;Operators'!$C$2:$E$10000,3,FALSE)</f>
        <v>#N/A</v>
      </c>
      <c r="F6" s="24" t="e">
        <f>VLOOKUP(A6,'Trips&amp;Operators'!$C$1:$F$10000,4,FALSE)</f>
        <v>#N/A</v>
      </c>
      <c r="G6" s="32" t="e">
        <f>VLOOKUP(A6,'Trips&amp;Operators'!$C$1:$H$10000,5,FALSE)</f>
        <v>#N/A</v>
      </c>
      <c r="H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6" s="23"/>
      <c r="J6" s="23"/>
    </row>
    <row r="7" spans="1:10" x14ac:dyDescent="0.25">
      <c r="B7" s="129"/>
      <c r="C7" s="129"/>
      <c r="D7" s="33"/>
      <c r="E7" s="24" t="e">
        <f>VLOOKUP(A7,'Trips&amp;Operators'!$C$2:$E$10000,3,FALSE)</f>
        <v>#N/A</v>
      </c>
      <c r="F7" s="24" t="e">
        <f>VLOOKUP(A7,'Trips&amp;Operators'!$C$1:$F$10000,4,FALSE)</f>
        <v>#N/A</v>
      </c>
      <c r="G7" s="32" t="e">
        <f>VLOOKUP(A7,'Trips&amp;Operators'!$C$1:$H$10000,5,FALSE)</f>
        <v>#N/A</v>
      </c>
      <c r="H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7" s="23"/>
      <c r="J7" s="23"/>
    </row>
    <row r="8" spans="1:10" x14ac:dyDescent="0.25">
      <c r="B8" s="129"/>
      <c r="C8" s="129"/>
      <c r="D8" s="33"/>
      <c r="E8" s="24" t="e">
        <f>VLOOKUP(A8,'Trips&amp;Operators'!$C$2:$E$10000,3,FALSE)</f>
        <v>#N/A</v>
      </c>
      <c r="F8" s="24" t="e">
        <f>VLOOKUP(A8,'Trips&amp;Operators'!$C$1:$F$10000,4,FALSE)</f>
        <v>#N/A</v>
      </c>
      <c r="G8" s="32" t="e">
        <f>VLOOKUP(A8,'Trips&amp;Operators'!$C$1:$H$10000,5,FALSE)</f>
        <v>#N/A</v>
      </c>
      <c r="H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8" s="23"/>
      <c r="J8" s="23"/>
    </row>
    <row r="9" spans="1:10" x14ac:dyDescent="0.25">
      <c r="B9" s="129"/>
      <c r="C9" s="129"/>
      <c r="D9" s="33"/>
      <c r="E9" s="24" t="e">
        <f>VLOOKUP(A9,'Trips&amp;Operators'!$C$2:$E$10000,3,FALSE)</f>
        <v>#N/A</v>
      </c>
      <c r="F9" s="24" t="e">
        <f>VLOOKUP(A9,'Trips&amp;Operators'!$C$1:$F$10000,4,FALSE)</f>
        <v>#N/A</v>
      </c>
      <c r="G9" s="32" t="e">
        <f>VLOOKUP(A9,'Trips&amp;Operators'!$C$1:$H$10000,5,FALSE)</f>
        <v>#N/A</v>
      </c>
      <c r="H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9" s="23"/>
      <c r="J9" s="23"/>
    </row>
    <row r="10" spans="1:10" x14ac:dyDescent="0.25">
      <c r="B10" s="114"/>
      <c r="C10" s="114"/>
      <c r="H10" s="23"/>
      <c r="I10" s="23"/>
      <c r="J10" s="23"/>
    </row>
    <row r="11" spans="1:10" x14ac:dyDescent="0.25">
      <c r="B11" s="114"/>
      <c r="C11" s="114"/>
      <c r="H11" s="23"/>
      <c r="I11" s="23"/>
      <c r="J11" s="23"/>
    </row>
    <row r="12" spans="1:10" x14ac:dyDescent="0.25">
      <c r="B12" s="114"/>
      <c r="C12" s="114"/>
      <c r="H12" s="23"/>
      <c r="I12" s="23"/>
      <c r="J12" s="23"/>
    </row>
    <row r="13" spans="1:10" x14ac:dyDescent="0.25">
      <c r="B13" s="114"/>
      <c r="C13" s="114"/>
      <c r="H13" s="23"/>
      <c r="I13" s="23"/>
      <c r="J13" s="23"/>
    </row>
    <row r="14" spans="1:10" x14ac:dyDescent="0.25">
      <c r="B14" s="114"/>
      <c r="C14" s="114"/>
      <c r="H14" s="23"/>
      <c r="I14" s="23"/>
      <c r="J14" s="23"/>
    </row>
    <row r="15" spans="1:10" x14ac:dyDescent="0.25">
      <c r="B15" s="114"/>
      <c r="C15" s="114"/>
      <c r="H15" s="23"/>
      <c r="I15" s="23"/>
      <c r="J15" s="23"/>
    </row>
    <row r="16" spans="1:10" x14ac:dyDescent="0.25">
      <c r="B16" s="114"/>
      <c r="C16" s="114"/>
      <c r="H16" s="23"/>
      <c r="I16" s="23"/>
      <c r="J16" s="23"/>
    </row>
    <row r="17" spans="2:10" x14ac:dyDescent="0.25">
      <c r="B17" s="114"/>
      <c r="C17" s="114"/>
      <c r="H17" s="23"/>
      <c r="I17" s="23"/>
      <c r="J17" s="23"/>
    </row>
    <row r="18" spans="2:10" x14ac:dyDescent="0.25">
      <c r="B18" s="114"/>
      <c r="C18" s="114"/>
      <c r="H18" s="23"/>
      <c r="I18" s="23"/>
      <c r="J18" s="23"/>
    </row>
    <row r="19" spans="2:10" x14ac:dyDescent="0.25">
      <c r="B19" s="114"/>
      <c r="C19" s="114"/>
      <c r="H19" s="23"/>
      <c r="I19" s="23"/>
      <c r="J19" s="23"/>
    </row>
    <row r="20" spans="2:10" x14ac:dyDescent="0.25">
      <c r="B20" s="114"/>
      <c r="C20" s="114"/>
      <c r="H20" s="23"/>
      <c r="I20" s="23"/>
      <c r="J20" s="23"/>
    </row>
    <row r="21" spans="2:10" x14ac:dyDescent="0.25">
      <c r="B21" s="114"/>
      <c r="C21" s="114"/>
      <c r="H21" s="23"/>
      <c r="I21" s="23"/>
      <c r="J21" s="23"/>
    </row>
    <row r="22" spans="2:10" x14ac:dyDescent="0.25">
      <c r="B22" s="114"/>
      <c r="C22" s="114"/>
      <c r="H22" s="23"/>
      <c r="I22" s="23"/>
      <c r="J22" s="23"/>
    </row>
    <row r="23" spans="2:10" x14ac:dyDescent="0.25">
      <c r="B23" s="114"/>
      <c r="C23" s="114"/>
      <c r="H23" s="23"/>
      <c r="I23" s="23"/>
      <c r="J23" s="23"/>
    </row>
    <row r="24" spans="2:10" x14ac:dyDescent="0.25">
      <c r="B24" s="114"/>
      <c r="C24" s="114"/>
      <c r="H24" s="23"/>
      <c r="I24" s="23"/>
      <c r="J24" s="23"/>
    </row>
    <row r="25" spans="2:10" x14ac:dyDescent="0.25">
      <c r="B25" s="114"/>
      <c r="C25" s="114"/>
      <c r="H25" s="23"/>
      <c r="I25" s="23"/>
      <c r="J25" s="23"/>
    </row>
    <row r="26" spans="2:10" x14ac:dyDescent="0.25">
      <c r="B26" s="114"/>
      <c r="C26" s="114"/>
      <c r="H26" s="23"/>
      <c r="I26" s="23"/>
      <c r="J26" s="23"/>
    </row>
    <row r="27" spans="2:10" x14ac:dyDescent="0.25">
      <c r="B27" s="114"/>
      <c r="C27" s="114"/>
      <c r="H27" s="23"/>
      <c r="I27" s="23"/>
      <c r="J27" s="23"/>
    </row>
    <row r="28" spans="2:10" x14ac:dyDescent="0.25">
      <c r="B28" s="114"/>
      <c r="C28" s="114"/>
      <c r="H28" s="23"/>
      <c r="I28" s="23"/>
      <c r="J28" s="23"/>
    </row>
    <row r="29" spans="2:10" x14ac:dyDescent="0.25">
      <c r="B29" s="114"/>
      <c r="C29" s="114"/>
      <c r="H29" s="23"/>
      <c r="I29" s="23"/>
      <c r="J29" s="23"/>
    </row>
    <row r="30" spans="2:10" x14ac:dyDescent="0.25">
      <c r="B30" s="114"/>
      <c r="C30" s="114"/>
      <c r="H30" s="23"/>
      <c r="I30" s="23"/>
      <c r="J30" s="23"/>
    </row>
    <row r="31" spans="2:10" x14ac:dyDescent="0.25">
      <c r="B31" s="114"/>
      <c r="C31" s="114"/>
      <c r="H31" s="23"/>
      <c r="I31" s="23"/>
      <c r="J31" s="23"/>
    </row>
    <row r="32" spans="2:10" x14ac:dyDescent="0.25">
      <c r="B32" s="114"/>
      <c r="C32" s="114"/>
      <c r="H32" s="23"/>
      <c r="I32" s="23"/>
      <c r="J32" s="23"/>
    </row>
    <row r="33" spans="2:10" x14ac:dyDescent="0.25">
      <c r="B33" s="114"/>
      <c r="C33" s="114"/>
      <c r="H33" s="23"/>
      <c r="I33" s="23"/>
      <c r="J33" s="23"/>
    </row>
    <row r="34" spans="2:10" x14ac:dyDescent="0.25">
      <c r="B34" s="114"/>
      <c r="C34" s="114"/>
      <c r="H34" s="23"/>
      <c r="I34" s="23"/>
      <c r="J34" s="23"/>
    </row>
    <row r="35" spans="2:10" x14ac:dyDescent="0.25">
      <c r="B35" s="114"/>
      <c r="C35" s="114"/>
      <c r="H35" s="23"/>
      <c r="I35" s="23"/>
      <c r="J35" s="23"/>
    </row>
    <row r="36" spans="2:10" x14ac:dyDescent="0.25">
      <c r="B36" s="114"/>
      <c r="C36" s="114"/>
      <c r="H36" s="23"/>
      <c r="I36" s="23"/>
      <c r="J36" s="23"/>
    </row>
    <row r="37" spans="2:10" x14ac:dyDescent="0.25">
      <c r="B37" s="114"/>
      <c r="C37" s="114"/>
      <c r="H37" s="23"/>
      <c r="I37" s="23"/>
      <c r="J37" s="23"/>
    </row>
    <row r="38" spans="2:10" x14ac:dyDescent="0.25">
      <c r="B38" s="114"/>
      <c r="C38" s="114"/>
      <c r="H38" s="23"/>
      <c r="I38" s="23"/>
      <c r="J38" s="23"/>
    </row>
    <row r="39" spans="2:10" x14ac:dyDescent="0.25">
      <c r="B39" s="114"/>
      <c r="C39" s="114"/>
      <c r="H39" s="23"/>
      <c r="I39" s="23"/>
      <c r="J39" s="23"/>
    </row>
    <row r="40" spans="2:10" x14ac:dyDescent="0.25">
      <c r="B40" s="114"/>
      <c r="C40" s="114"/>
      <c r="H40" s="23"/>
      <c r="I40" s="23"/>
      <c r="J40" s="23"/>
    </row>
    <row r="41" spans="2:10" x14ac:dyDescent="0.25">
      <c r="B41" s="114"/>
      <c r="C41" s="114"/>
      <c r="H41" s="23"/>
      <c r="I41" s="23"/>
      <c r="J41" s="23"/>
    </row>
    <row r="42" spans="2:10" x14ac:dyDescent="0.25">
      <c r="B42" s="114"/>
      <c r="C42" s="114"/>
      <c r="H42" s="23"/>
      <c r="I42" s="23"/>
      <c r="J42" s="23"/>
    </row>
    <row r="43" spans="2:10" x14ac:dyDescent="0.25">
      <c r="B43" s="114"/>
      <c r="C43" s="114"/>
      <c r="H43" s="23"/>
      <c r="I43" s="23"/>
      <c r="J43" s="23"/>
    </row>
    <row r="44" spans="2:10" x14ac:dyDescent="0.25">
      <c r="B44" s="114"/>
      <c r="C44" s="114"/>
      <c r="H44" s="23"/>
      <c r="I44" s="23"/>
      <c r="J44" s="23"/>
    </row>
    <row r="45" spans="2:10" x14ac:dyDescent="0.25">
      <c r="B45" s="114"/>
      <c r="C45" s="114"/>
      <c r="H45" s="23"/>
      <c r="I45" s="23"/>
      <c r="J45" s="23"/>
    </row>
    <row r="46" spans="2:10" x14ac:dyDescent="0.25">
      <c r="B46" s="114"/>
      <c r="C46" s="114"/>
      <c r="H46" s="23"/>
      <c r="I46" s="23"/>
      <c r="J46" s="23"/>
    </row>
    <row r="47" spans="2:10" x14ac:dyDescent="0.25">
      <c r="B47" s="114"/>
      <c r="C47" s="114"/>
      <c r="H47" s="23"/>
      <c r="I47" s="23"/>
      <c r="J47" s="23"/>
    </row>
    <row r="48" spans="2:10" x14ac:dyDescent="0.25">
      <c r="B48" s="114"/>
      <c r="C48" s="114"/>
      <c r="H48" s="23"/>
      <c r="I48" s="23"/>
      <c r="J48" s="23"/>
    </row>
    <row r="49" spans="2:10" x14ac:dyDescent="0.25">
      <c r="B49" s="114"/>
      <c r="C49" s="114"/>
      <c r="H49" s="23"/>
      <c r="I49" s="23"/>
      <c r="J49" s="23"/>
    </row>
    <row r="50" spans="2:10" x14ac:dyDescent="0.25">
      <c r="B50" s="114"/>
      <c r="C50" s="114"/>
      <c r="H50" s="23"/>
      <c r="I50" s="23"/>
      <c r="J50" s="23"/>
    </row>
    <row r="51" spans="2:10" x14ac:dyDescent="0.25">
      <c r="B51" s="114"/>
      <c r="C51" s="114"/>
      <c r="H51" s="23"/>
      <c r="I51" s="23"/>
      <c r="J51" s="23"/>
    </row>
    <row r="52" spans="2:10" x14ac:dyDescent="0.25">
      <c r="B52" s="114"/>
      <c r="C52" s="114"/>
      <c r="H52" s="23"/>
      <c r="I52" s="23"/>
      <c r="J52" s="23"/>
    </row>
    <row r="53" spans="2:10" x14ac:dyDescent="0.25">
      <c r="B53" s="114"/>
      <c r="C53" s="114"/>
      <c r="H53" s="23"/>
      <c r="I53" s="23"/>
      <c r="J53" s="23"/>
    </row>
    <row r="54" spans="2:10" x14ac:dyDescent="0.25">
      <c r="B54" s="114"/>
      <c r="C54" s="114"/>
      <c r="H54" s="23"/>
      <c r="I54" s="23"/>
      <c r="J54" s="23"/>
    </row>
    <row r="55" spans="2:10" x14ac:dyDescent="0.25">
      <c r="B55" s="114"/>
      <c r="C55" s="114"/>
      <c r="H55" s="23"/>
      <c r="I55" s="23"/>
      <c r="J55" s="23"/>
    </row>
    <row r="56" spans="2:10" x14ac:dyDescent="0.25">
      <c r="B56" s="114"/>
      <c r="C56" s="114"/>
      <c r="H56" s="23"/>
      <c r="I56" s="23"/>
      <c r="J56" s="23"/>
    </row>
    <row r="57" spans="2:10" x14ac:dyDescent="0.25">
      <c r="B57" s="114"/>
      <c r="C57" s="114"/>
      <c r="H57" s="23"/>
      <c r="I57" s="23"/>
      <c r="J57" s="23"/>
    </row>
    <row r="58" spans="2:10" x14ac:dyDescent="0.25">
      <c r="B58" s="114"/>
      <c r="C58" s="114"/>
      <c r="H58" s="23"/>
      <c r="I58" s="23"/>
      <c r="J58" s="23"/>
    </row>
    <row r="59" spans="2:10" x14ac:dyDescent="0.25">
      <c r="B59" s="114"/>
      <c r="C59" s="114"/>
      <c r="H59" s="23"/>
      <c r="I59" s="23"/>
      <c r="J59" s="23"/>
    </row>
    <row r="60" spans="2:10" x14ac:dyDescent="0.25">
      <c r="B60" s="114"/>
      <c r="C60" s="114"/>
      <c r="H60" s="23"/>
      <c r="I60" s="23"/>
      <c r="J60" s="23"/>
    </row>
    <row r="61" spans="2:10" x14ac:dyDescent="0.25">
      <c r="B61" s="114"/>
      <c r="C61" s="114"/>
      <c r="H61" s="23"/>
      <c r="I61" s="23"/>
      <c r="J61" s="23"/>
    </row>
    <row r="62" spans="2:10" x14ac:dyDescent="0.25">
      <c r="B62" s="114"/>
      <c r="C62" s="114"/>
      <c r="H62" s="23"/>
      <c r="I62" s="23"/>
      <c r="J62" s="23"/>
    </row>
    <row r="63" spans="2:10" x14ac:dyDescent="0.25">
      <c r="B63" s="114"/>
      <c r="C63" s="114"/>
      <c r="H63" s="23"/>
      <c r="I63" s="23"/>
      <c r="J63" s="23"/>
    </row>
    <row r="64" spans="2:10" x14ac:dyDescent="0.25">
      <c r="B64" s="114"/>
      <c r="C64" s="114"/>
      <c r="H64" s="23"/>
      <c r="I64" s="23"/>
      <c r="J64" s="23"/>
    </row>
    <row r="65" spans="2:10" x14ac:dyDescent="0.25">
      <c r="B65" s="114"/>
      <c r="C65" s="114"/>
      <c r="H65" s="23"/>
      <c r="I65" s="23"/>
      <c r="J65" s="23"/>
    </row>
    <row r="66" spans="2:10" x14ac:dyDescent="0.25">
      <c r="B66" s="114"/>
      <c r="C66" s="114"/>
      <c r="H66" s="23"/>
      <c r="I66" s="23"/>
      <c r="J66" s="23"/>
    </row>
    <row r="67" spans="2:10" x14ac:dyDescent="0.25">
      <c r="B67" s="114"/>
      <c r="C67" s="114"/>
      <c r="H67" s="23"/>
      <c r="I67" s="23"/>
      <c r="J67" s="23"/>
    </row>
    <row r="68" spans="2:10" x14ac:dyDescent="0.25">
      <c r="B68" s="114"/>
      <c r="C68" s="114"/>
      <c r="H68" s="23"/>
      <c r="I68" s="23"/>
      <c r="J68" s="23"/>
    </row>
    <row r="69" spans="2:10" x14ac:dyDescent="0.25">
      <c r="B69" s="114"/>
      <c r="C69" s="114"/>
      <c r="H69" s="23"/>
      <c r="I69" s="23"/>
      <c r="J69" s="23"/>
    </row>
    <row r="70" spans="2:10" x14ac:dyDescent="0.25">
      <c r="B70" s="114"/>
      <c r="C70" s="114"/>
      <c r="H70" s="23"/>
      <c r="I70" s="23"/>
      <c r="J70" s="23"/>
    </row>
    <row r="71" spans="2:10" x14ac:dyDescent="0.25">
      <c r="B71" s="114"/>
      <c r="C71" s="114"/>
      <c r="H71" s="23"/>
      <c r="I71" s="23"/>
      <c r="J71" s="23"/>
    </row>
    <row r="72" spans="2:10" x14ac:dyDescent="0.25">
      <c r="B72" s="114"/>
      <c r="C72" s="114"/>
      <c r="H72" s="23"/>
      <c r="I72" s="23"/>
      <c r="J72" s="23"/>
    </row>
    <row r="73" spans="2:10" x14ac:dyDescent="0.25">
      <c r="B73" s="114"/>
      <c r="C73" s="114"/>
      <c r="H73" s="23"/>
      <c r="I73" s="23"/>
      <c r="J73" s="23"/>
    </row>
    <row r="74" spans="2:10" x14ac:dyDescent="0.25">
      <c r="B74" s="114"/>
      <c r="C74" s="114"/>
      <c r="H74" s="23"/>
      <c r="I74" s="23"/>
      <c r="J74" s="23"/>
    </row>
    <row r="75" spans="2:10" x14ac:dyDescent="0.25">
      <c r="B75" s="114"/>
      <c r="C75" s="114"/>
      <c r="H75" s="23"/>
      <c r="I75" s="23"/>
      <c r="J75" s="23"/>
    </row>
    <row r="76" spans="2:10" x14ac:dyDescent="0.25">
      <c r="H76" s="23"/>
      <c r="I76" s="23"/>
      <c r="J76" s="23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>
        <v>42609.036296296297</v>
      </c>
      <c r="B1" s="23" t="s">
        <v>302</v>
      </c>
      <c r="C1" s="23" t="s">
        <v>318</v>
      </c>
      <c r="D1" s="23">
        <v>1800000</v>
      </c>
      <c r="E1" s="23" t="s">
        <v>176</v>
      </c>
      <c r="F1" s="23" t="str">
        <f>B1</f>
        <v>rtdc.l.rtdc.4039:itc</v>
      </c>
      <c r="G1" s="8">
        <f>A1</f>
        <v>42609.036296296297</v>
      </c>
    </row>
    <row r="2" spans="1:7" x14ac:dyDescent="0.25">
      <c r="A2" s="8">
        <v>42609.039699074077</v>
      </c>
      <c r="B2" s="23" t="s">
        <v>191</v>
      </c>
      <c r="C2" s="23" t="s">
        <v>317</v>
      </c>
      <c r="D2" s="23">
        <v>2090000</v>
      </c>
      <c r="E2" s="23" t="s">
        <v>205</v>
      </c>
      <c r="F2" s="23" t="str">
        <f t="shared" ref="F2:F65" si="0">B2</f>
        <v>rtdc.l.rtdc.4003:itc</v>
      </c>
      <c r="G2" s="8">
        <f t="shared" ref="G2:G65" si="1">A2</f>
        <v>42609.039699074077</v>
      </c>
    </row>
    <row r="3" spans="1:7" x14ac:dyDescent="0.25">
      <c r="A3" s="8">
        <v>42609.050162037034</v>
      </c>
      <c r="B3" s="23" t="s">
        <v>179</v>
      </c>
      <c r="C3" s="23" t="s">
        <v>319</v>
      </c>
      <c r="D3" s="23">
        <v>1230000</v>
      </c>
      <c r="E3" s="23" t="s">
        <v>170</v>
      </c>
      <c r="F3" s="23" t="str">
        <f t="shared" si="0"/>
        <v>rtdc.l.rtdc.4002:itc</v>
      </c>
      <c r="G3" s="8">
        <f t="shared" si="1"/>
        <v>42609.050162037034</v>
      </c>
    </row>
    <row r="4" spans="1:7" x14ac:dyDescent="0.25">
      <c r="A4" s="8">
        <v>42609.068136574075</v>
      </c>
      <c r="B4" s="23" t="s">
        <v>303</v>
      </c>
      <c r="C4" s="23" t="s">
        <v>320</v>
      </c>
      <c r="D4" s="23">
        <v>2260000</v>
      </c>
      <c r="E4" s="23" t="s">
        <v>216</v>
      </c>
      <c r="F4" s="23" t="str">
        <f t="shared" si="0"/>
        <v>rtdc.l.rtdc.4028:itc</v>
      </c>
      <c r="G4" s="8">
        <f t="shared" si="1"/>
        <v>42609.068136574075</v>
      </c>
    </row>
    <row r="5" spans="1:7" x14ac:dyDescent="0.25">
      <c r="A5" s="8">
        <v>42609.071516203701</v>
      </c>
      <c r="B5" s="23" t="s">
        <v>298</v>
      </c>
      <c r="C5" s="23" t="s">
        <v>321</v>
      </c>
      <c r="D5" s="23">
        <v>1800000</v>
      </c>
      <c r="E5" s="23" t="s">
        <v>176</v>
      </c>
      <c r="F5" s="23" t="str">
        <f t="shared" si="0"/>
        <v>rtdc.l.rtdc.4040:itc</v>
      </c>
      <c r="G5" s="8">
        <f t="shared" si="1"/>
        <v>42609.071516203701</v>
      </c>
    </row>
    <row r="6" spans="1:7" x14ac:dyDescent="0.25">
      <c r="A6" s="8">
        <v>42609.076782407406</v>
      </c>
      <c r="B6" s="23" t="s">
        <v>215</v>
      </c>
      <c r="C6" s="23" t="s">
        <v>322</v>
      </c>
      <c r="D6" s="23">
        <v>2090000</v>
      </c>
      <c r="E6" s="23" t="s">
        <v>205</v>
      </c>
      <c r="F6" s="23" t="str">
        <f t="shared" si="0"/>
        <v>rtdc.l.rtdc.4004:itc</v>
      </c>
      <c r="G6" s="8">
        <f t="shared" si="1"/>
        <v>42609.076782407406</v>
      </c>
    </row>
    <row r="7" spans="1:7" x14ac:dyDescent="0.25">
      <c r="A7" s="8">
        <v>42609.10533564815</v>
      </c>
      <c r="B7" s="23" t="s">
        <v>93</v>
      </c>
      <c r="C7" s="23" t="s">
        <v>323</v>
      </c>
      <c r="D7" s="23">
        <v>2260000</v>
      </c>
      <c r="E7" s="23" t="s">
        <v>216</v>
      </c>
      <c r="F7" s="23" t="str">
        <f t="shared" si="0"/>
        <v>rtdc.l.rtdc.4027:itc</v>
      </c>
      <c r="G7" s="8">
        <f t="shared" si="1"/>
        <v>42609.10533564815</v>
      </c>
    </row>
    <row r="8" spans="1:7" x14ac:dyDescent="0.25">
      <c r="A8" s="8">
        <v>42609.115428240744</v>
      </c>
      <c r="B8" s="23" t="s">
        <v>191</v>
      </c>
      <c r="C8" s="23" t="s">
        <v>666</v>
      </c>
      <c r="D8" s="23">
        <v>2090000</v>
      </c>
      <c r="E8" s="23" t="s">
        <v>205</v>
      </c>
      <c r="F8" s="23" t="str">
        <f t="shared" si="0"/>
        <v>rtdc.l.rtdc.4003:itc</v>
      </c>
      <c r="G8" s="8">
        <f t="shared" si="1"/>
        <v>42609.115428240744</v>
      </c>
    </row>
    <row r="9" spans="1:7" ht="15.75" thickBot="1" x14ac:dyDescent="0.3">
      <c r="A9" s="27">
        <v>42609.133414351854</v>
      </c>
      <c r="B9" s="23" t="s">
        <v>291</v>
      </c>
      <c r="C9" s="23" t="s">
        <v>385</v>
      </c>
      <c r="D9" s="23">
        <v>2010000</v>
      </c>
      <c r="E9" s="23" t="s">
        <v>251</v>
      </c>
      <c r="F9" s="23" t="str">
        <f t="shared" si="0"/>
        <v>rtdc.l.rtdc.4020:itc</v>
      </c>
      <c r="G9" s="8">
        <f t="shared" si="1"/>
        <v>42609.133414351854</v>
      </c>
    </row>
    <row r="10" spans="1:7" x14ac:dyDescent="0.25">
      <c r="A10" s="8">
        <v>42609.168067129627</v>
      </c>
      <c r="B10" s="23" t="s">
        <v>115</v>
      </c>
      <c r="C10" s="23" t="s">
        <v>386</v>
      </c>
      <c r="D10" s="23">
        <v>2010000</v>
      </c>
      <c r="E10" s="23" t="s">
        <v>251</v>
      </c>
      <c r="F10" s="23" t="str">
        <f t="shared" si="0"/>
        <v>rtdc.l.rtdc.4032:itc</v>
      </c>
      <c r="G10" s="8">
        <f t="shared" si="1"/>
        <v>42609.168067129627</v>
      </c>
    </row>
    <row r="11" spans="1:7" x14ac:dyDescent="0.25">
      <c r="A11" s="8">
        <v>42609.1715625</v>
      </c>
      <c r="B11" s="23" t="s">
        <v>112</v>
      </c>
      <c r="C11" s="23" t="s">
        <v>388</v>
      </c>
      <c r="D11" s="23">
        <v>1260000</v>
      </c>
      <c r="E11" s="23" t="s">
        <v>677</v>
      </c>
      <c r="F11" s="23" t="str">
        <f t="shared" si="0"/>
        <v>rtdc.l.rtdc.4014:itc</v>
      </c>
      <c r="G11" s="8">
        <f t="shared" si="1"/>
        <v>42609.1715625</v>
      </c>
    </row>
    <row r="12" spans="1:7" x14ac:dyDescent="0.25">
      <c r="A12" s="8">
        <v>42609.183912037035</v>
      </c>
      <c r="B12" s="23" t="s">
        <v>253</v>
      </c>
      <c r="C12" s="23" t="s">
        <v>393</v>
      </c>
      <c r="D12" s="23">
        <v>1990000</v>
      </c>
      <c r="E12" s="23" t="s">
        <v>299</v>
      </c>
      <c r="F12" s="23" t="str">
        <f t="shared" si="0"/>
        <v>rtdc.l.rtdc.4025:itc</v>
      </c>
      <c r="G12" s="8">
        <f t="shared" si="1"/>
        <v>42609.183912037035</v>
      </c>
    </row>
    <row r="13" spans="1:7" x14ac:dyDescent="0.25">
      <c r="A13" s="8">
        <v>42609.195</v>
      </c>
      <c r="B13" s="23" t="s">
        <v>173</v>
      </c>
      <c r="C13" s="23" t="s">
        <v>396</v>
      </c>
      <c r="D13" s="23">
        <v>2030000</v>
      </c>
      <c r="E13" s="23" t="s">
        <v>678</v>
      </c>
      <c r="F13" s="23" t="str">
        <f t="shared" si="0"/>
        <v>rtdc.l.rtdc.4009:itc</v>
      </c>
      <c r="G13" s="8">
        <f t="shared" si="1"/>
        <v>42609.195</v>
      </c>
    </row>
    <row r="14" spans="1:7" x14ac:dyDescent="0.25">
      <c r="A14" s="8">
        <v>42609.207094907404</v>
      </c>
      <c r="B14" s="23" t="s">
        <v>291</v>
      </c>
      <c r="C14" s="23" t="s">
        <v>400</v>
      </c>
      <c r="D14" s="23">
        <v>2280000</v>
      </c>
      <c r="E14" s="23" t="s">
        <v>252</v>
      </c>
      <c r="F14" s="23" t="str">
        <f t="shared" si="0"/>
        <v>rtdc.l.rtdc.4020:itc</v>
      </c>
      <c r="G14" s="8">
        <f t="shared" si="1"/>
        <v>42609.207094907404</v>
      </c>
    </row>
    <row r="15" spans="1:7" x14ac:dyDescent="0.25">
      <c r="A15" s="8">
        <v>42609.210173611114</v>
      </c>
      <c r="B15" s="23" t="s">
        <v>185</v>
      </c>
      <c r="C15" s="23" t="s">
        <v>391</v>
      </c>
      <c r="D15" s="23">
        <v>1260000</v>
      </c>
      <c r="E15" s="23" t="s">
        <v>677</v>
      </c>
      <c r="F15" s="23" t="str">
        <f t="shared" si="0"/>
        <v>rtdc.l.rtdc.4041:itc</v>
      </c>
      <c r="G15" s="8">
        <f t="shared" si="1"/>
        <v>42609.210173611114</v>
      </c>
    </row>
    <row r="16" spans="1:7" x14ac:dyDescent="0.25">
      <c r="A16" s="8">
        <v>42609.2109375</v>
      </c>
      <c r="B16" s="23" t="s">
        <v>185</v>
      </c>
      <c r="C16" s="23" t="s">
        <v>391</v>
      </c>
      <c r="D16" s="23">
        <v>1260000</v>
      </c>
      <c r="E16" s="23" t="s">
        <v>677</v>
      </c>
      <c r="F16" s="23" t="str">
        <f t="shared" si="0"/>
        <v>rtdc.l.rtdc.4041:itc</v>
      </c>
      <c r="G16" s="8">
        <f t="shared" si="1"/>
        <v>42609.2109375</v>
      </c>
    </row>
    <row r="17" spans="1:7" x14ac:dyDescent="0.25">
      <c r="A17" s="8">
        <v>42609.212083333332</v>
      </c>
      <c r="B17" s="23" t="s">
        <v>114</v>
      </c>
      <c r="C17" s="23" t="s">
        <v>406</v>
      </c>
      <c r="D17" s="23">
        <v>2010000</v>
      </c>
      <c r="E17" s="23" t="s">
        <v>251</v>
      </c>
      <c r="F17" s="23" t="str">
        <f t="shared" si="0"/>
        <v>rtdc.l.rtdc.4031:itc</v>
      </c>
      <c r="G17" s="8">
        <f t="shared" si="1"/>
        <v>42609.212083333332</v>
      </c>
    </row>
    <row r="18" spans="1:7" x14ac:dyDescent="0.25">
      <c r="A18" s="8">
        <v>42609.212152777778</v>
      </c>
      <c r="B18" s="23" t="s">
        <v>185</v>
      </c>
      <c r="C18" s="23" t="s">
        <v>391</v>
      </c>
      <c r="D18" s="23">
        <v>1260000</v>
      </c>
      <c r="E18" s="23" t="s">
        <v>677</v>
      </c>
      <c r="F18" s="23" t="str">
        <f t="shared" si="0"/>
        <v>rtdc.l.rtdc.4041:itc</v>
      </c>
      <c r="G18" s="8">
        <f t="shared" si="1"/>
        <v>42609.212152777778</v>
      </c>
    </row>
    <row r="19" spans="1:7" x14ac:dyDescent="0.25">
      <c r="A19" s="8">
        <v>42609.222048611111</v>
      </c>
      <c r="B19" s="23" t="s">
        <v>254</v>
      </c>
      <c r="C19" s="23" t="s">
        <v>395</v>
      </c>
      <c r="D19" s="23">
        <v>1990000</v>
      </c>
      <c r="E19" s="23" t="s">
        <v>299</v>
      </c>
      <c r="F19" s="23" t="str">
        <f t="shared" si="0"/>
        <v>rtdc.l.rtdc.4026:itc</v>
      </c>
      <c r="G19" s="8">
        <f t="shared" si="1"/>
        <v>42609.222048611111</v>
      </c>
    </row>
    <row r="20" spans="1:7" x14ac:dyDescent="0.25">
      <c r="A20" s="8">
        <v>42609.227500000001</v>
      </c>
      <c r="B20" s="23" t="s">
        <v>169</v>
      </c>
      <c r="C20" s="23" t="s">
        <v>501</v>
      </c>
      <c r="D20" s="23">
        <v>1830000</v>
      </c>
      <c r="E20" s="23" t="s">
        <v>679</v>
      </c>
      <c r="F20" s="23" t="str">
        <f t="shared" si="0"/>
        <v>rtdc.l.rtdc.4008:itc</v>
      </c>
      <c r="G20" s="8">
        <f t="shared" si="1"/>
        <v>42609.227500000001</v>
      </c>
    </row>
    <row r="21" spans="1:7" x14ac:dyDescent="0.25">
      <c r="A21" s="8">
        <v>42609.231851851851</v>
      </c>
      <c r="B21" s="23" t="s">
        <v>151</v>
      </c>
      <c r="C21" s="23" t="s">
        <v>413</v>
      </c>
      <c r="D21" s="23">
        <v>1310000</v>
      </c>
      <c r="E21" s="23" t="s">
        <v>300</v>
      </c>
      <c r="F21" s="23" t="str">
        <f t="shared" si="0"/>
        <v>rtdc.l.rtdc.4038:itc</v>
      </c>
      <c r="G21" s="8">
        <f t="shared" si="1"/>
        <v>42609.231851851851</v>
      </c>
    </row>
    <row r="22" spans="1:7" x14ac:dyDescent="0.25">
      <c r="A22" s="29">
        <v>42609.232824074075</v>
      </c>
      <c r="B22" s="23" t="s">
        <v>174</v>
      </c>
      <c r="C22" s="23" t="s">
        <v>397</v>
      </c>
      <c r="D22" s="23">
        <v>2030000</v>
      </c>
      <c r="E22" s="23" t="s">
        <v>678</v>
      </c>
      <c r="F22" s="23" t="str">
        <f t="shared" si="0"/>
        <v>rtdc.l.rtdc.4010:itc</v>
      </c>
      <c r="G22" s="8">
        <f t="shared" si="1"/>
        <v>42609.232824074075</v>
      </c>
    </row>
    <row r="23" spans="1:7" x14ac:dyDescent="0.25">
      <c r="A23" s="8">
        <v>42609.237615740742</v>
      </c>
      <c r="B23" s="23" t="s">
        <v>151</v>
      </c>
      <c r="C23" s="23" t="s">
        <v>413</v>
      </c>
      <c r="D23" s="23">
        <v>1310000</v>
      </c>
      <c r="E23" s="23" t="s">
        <v>300</v>
      </c>
      <c r="F23" s="23" t="str">
        <f t="shared" si="0"/>
        <v>rtdc.l.rtdc.4038:itc</v>
      </c>
      <c r="G23" s="8">
        <f t="shared" si="1"/>
        <v>42609.237615740742</v>
      </c>
    </row>
    <row r="24" spans="1:7" x14ac:dyDescent="0.25">
      <c r="A24" s="8">
        <v>42609.239861111113</v>
      </c>
      <c r="B24" s="23" t="s">
        <v>289</v>
      </c>
      <c r="C24" s="23" t="s">
        <v>402</v>
      </c>
      <c r="D24" s="23">
        <v>2280000</v>
      </c>
      <c r="E24" s="23" t="s">
        <v>252</v>
      </c>
      <c r="F24" s="23" t="str">
        <f t="shared" si="0"/>
        <v>rtdc.l.rtdc.4019:itc</v>
      </c>
      <c r="G24" s="8">
        <f t="shared" si="1"/>
        <v>42609.239861111113</v>
      </c>
    </row>
    <row r="25" spans="1:7" x14ac:dyDescent="0.25">
      <c r="A25" s="8">
        <v>42609.247418981482</v>
      </c>
      <c r="B25" s="23" t="s">
        <v>186</v>
      </c>
      <c r="C25" s="23" t="s">
        <v>502</v>
      </c>
      <c r="D25" s="23">
        <v>1830000</v>
      </c>
      <c r="E25" s="23" t="s">
        <v>679</v>
      </c>
      <c r="F25" s="23" t="str">
        <f t="shared" si="0"/>
        <v>rtdc.l.rtdc.4007:itc</v>
      </c>
      <c r="G25" s="8">
        <f t="shared" si="1"/>
        <v>42609.247418981482</v>
      </c>
    </row>
    <row r="26" spans="1:7" x14ac:dyDescent="0.25">
      <c r="A26" s="8">
        <v>42609.249652777777</v>
      </c>
      <c r="B26" s="23" t="s">
        <v>112</v>
      </c>
      <c r="C26" s="23" t="s">
        <v>420</v>
      </c>
      <c r="D26" s="23">
        <v>1260000</v>
      </c>
      <c r="E26" s="23" t="s">
        <v>677</v>
      </c>
      <c r="F26" s="23" t="str">
        <f t="shared" si="0"/>
        <v>rtdc.l.rtdc.4014:itc</v>
      </c>
      <c r="G26" s="8">
        <f t="shared" si="1"/>
        <v>42609.249652777777</v>
      </c>
    </row>
    <row r="27" spans="1:7" x14ac:dyDescent="0.25">
      <c r="A27" s="8">
        <v>42609.253761574073</v>
      </c>
      <c r="B27" s="23" t="s">
        <v>115</v>
      </c>
      <c r="C27" s="23" t="s">
        <v>409</v>
      </c>
      <c r="D27" s="23">
        <v>2010000</v>
      </c>
      <c r="E27" s="23" t="s">
        <v>251</v>
      </c>
      <c r="F27" s="23" t="str">
        <f t="shared" si="0"/>
        <v>rtdc.l.rtdc.4032:itc</v>
      </c>
      <c r="G27" s="8">
        <f t="shared" si="1"/>
        <v>42609.253761574073</v>
      </c>
    </row>
    <row r="28" spans="1:7" x14ac:dyDescent="0.25">
      <c r="A28" s="8">
        <v>42609.254525462966</v>
      </c>
      <c r="B28" s="23" t="s">
        <v>151</v>
      </c>
      <c r="C28" s="23" t="s">
        <v>413</v>
      </c>
      <c r="D28" s="23">
        <v>1310000</v>
      </c>
      <c r="E28" s="23" t="s">
        <v>300</v>
      </c>
      <c r="F28" s="23" t="str">
        <f t="shared" si="0"/>
        <v>rtdc.l.rtdc.4038:itc</v>
      </c>
      <c r="G28" s="8">
        <f t="shared" si="1"/>
        <v>42609.254525462966</v>
      </c>
    </row>
    <row r="29" spans="1:7" x14ac:dyDescent="0.25">
      <c r="A29" s="8">
        <v>42609.256539351853</v>
      </c>
      <c r="B29" s="23" t="s">
        <v>253</v>
      </c>
      <c r="C29" s="23" t="s">
        <v>427</v>
      </c>
      <c r="D29" s="23">
        <v>1990000</v>
      </c>
      <c r="E29" s="23" t="s">
        <v>299</v>
      </c>
      <c r="F29" s="23" t="str">
        <f t="shared" si="0"/>
        <v>rtdc.l.rtdc.4025:itc</v>
      </c>
      <c r="G29" s="8">
        <f t="shared" si="1"/>
        <v>42609.256539351853</v>
      </c>
    </row>
    <row r="30" spans="1:7" x14ac:dyDescent="0.25">
      <c r="A30" s="8">
        <v>42609.256655092591</v>
      </c>
      <c r="B30" s="23" t="s">
        <v>174</v>
      </c>
      <c r="C30" s="23" t="s">
        <v>397</v>
      </c>
      <c r="D30" s="23">
        <v>2030000</v>
      </c>
      <c r="E30" s="23" t="s">
        <v>678</v>
      </c>
      <c r="F30" s="23" t="str">
        <f t="shared" si="0"/>
        <v>rtdc.l.rtdc.4010:itc</v>
      </c>
      <c r="G30" s="8">
        <f t="shared" si="1"/>
        <v>42609.256655092591</v>
      </c>
    </row>
    <row r="31" spans="1:7" x14ac:dyDescent="0.25">
      <c r="A31" s="8">
        <v>42609.264143518521</v>
      </c>
      <c r="B31" s="23" t="s">
        <v>112</v>
      </c>
      <c r="C31" s="23" t="s">
        <v>420</v>
      </c>
      <c r="D31" s="23">
        <v>1260000</v>
      </c>
      <c r="E31" s="23" t="s">
        <v>677</v>
      </c>
      <c r="F31" s="23" t="str">
        <f t="shared" si="0"/>
        <v>rtdc.l.rtdc.4014:itc</v>
      </c>
      <c r="G31" s="8">
        <f t="shared" si="1"/>
        <v>42609.264143518521</v>
      </c>
    </row>
    <row r="32" spans="1:7" x14ac:dyDescent="0.25">
      <c r="A32" s="8">
        <v>42609.266516203701</v>
      </c>
      <c r="B32" s="23" t="s">
        <v>289</v>
      </c>
      <c r="C32" s="23" t="s">
        <v>402</v>
      </c>
      <c r="D32" s="23">
        <v>2280000</v>
      </c>
      <c r="E32" s="23" t="s">
        <v>252</v>
      </c>
      <c r="F32" s="23" t="str">
        <f t="shared" si="0"/>
        <v>rtdc.l.rtdc.4019:itc</v>
      </c>
      <c r="G32" s="8">
        <f t="shared" si="1"/>
        <v>42609.266516203701</v>
      </c>
    </row>
    <row r="33" spans="1:7" x14ac:dyDescent="0.25">
      <c r="A33" s="8">
        <v>42609.26798611111</v>
      </c>
      <c r="B33" s="23" t="s">
        <v>92</v>
      </c>
      <c r="C33" s="23" t="s">
        <v>411</v>
      </c>
      <c r="D33" s="23">
        <v>1760000</v>
      </c>
      <c r="E33" s="23" t="s">
        <v>301</v>
      </c>
      <c r="F33" s="23" t="str">
        <f t="shared" si="0"/>
        <v>rtdc.l.rtdc.4030:itc</v>
      </c>
      <c r="G33" s="8">
        <f t="shared" si="1"/>
        <v>42609.26798611111</v>
      </c>
    </row>
    <row r="34" spans="1:7" x14ac:dyDescent="0.25">
      <c r="A34" s="8">
        <v>42609.26971064815</v>
      </c>
      <c r="B34" s="23" t="s">
        <v>173</v>
      </c>
      <c r="C34" s="23" t="s">
        <v>430</v>
      </c>
      <c r="D34" s="23">
        <v>2030000</v>
      </c>
      <c r="E34" s="23" t="s">
        <v>678</v>
      </c>
      <c r="F34" s="23" t="str">
        <f t="shared" si="0"/>
        <v>rtdc.l.rtdc.4009:itc</v>
      </c>
      <c r="G34" s="8">
        <f t="shared" si="1"/>
        <v>42609.26971064815</v>
      </c>
    </row>
    <row r="35" spans="1:7" x14ac:dyDescent="0.25">
      <c r="A35" s="8">
        <v>42609.270462962966</v>
      </c>
      <c r="B35" s="23" t="s">
        <v>92</v>
      </c>
      <c r="C35" s="23" t="s">
        <v>411</v>
      </c>
      <c r="D35" s="23">
        <v>1760000</v>
      </c>
      <c r="E35" s="23" t="s">
        <v>301</v>
      </c>
      <c r="F35" s="23" t="str">
        <f t="shared" si="0"/>
        <v>rtdc.l.rtdc.4030:itc</v>
      </c>
      <c r="G35" s="8">
        <f t="shared" si="1"/>
        <v>42609.270462962966</v>
      </c>
    </row>
    <row r="36" spans="1:7" x14ac:dyDescent="0.25">
      <c r="A36" s="8">
        <v>42609.275543981479</v>
      </c>
      <c r="B36" s="23" t="s">
        <v>169</v>
      </c>
      <c r="C36" s="23" t="s">
        <v>505</v>
      </c>
      <c r="D36" s="23">
        <v>1830000</v>
      </c>
      <c r="E36" s="23" t="s">
        <v>679</v>
      </c>
      <c r="F36" s="23" t="str">
        <f t="shared" si="0"/>
        <v>rtdc.l.rtdc.4008:itc</v>
      </c>
      <c r="G36" s="8">
        <f t="shared" si="1"/>
        <v>42609.275543981479</v>
      </c>
    </row>
    <row r="37" spans="1:7" x14ac:dyDescent="0.25">
      <c r="A37" s="8">
        <v>42609.278229166666</v>
      </c>
      <c r="B37" s="23" t="s">
        <v>144</v>
      </c>
      <c r="C37" s="23" t="s">
        <v>418</v>
      </c>
      <c r="D37" s="23">
        <v>1310000</v>
      </c>
      <c r="E37" s="23" t="s">
        <v>300</v>
      </c>
      <c r="F37" s="23" t="str">
        <f t="shared" si="0"/>
        <v>rtdc.l.rtdc.4037:itc</v>
      </c>
      <c r="G37" s="8">
        <f t="shared" si="1"/>
        <v>42609.278229166666</v>
      </c>
    </row>
    <row r="38" spans="1:7" x14ac:dyDescent="0.25">
      <c r="A38" s="8">
        <v>42609.289247685185</v>
      </c>
      <c r="B38" s="23" t="s">
        <v>186</v>
      </c>
      <c r="C38" s="23" t="s">
        <v>508</v>
      </c>
      <c r="D38" s="23">
        <v>1830000</v>
      </c>
      <c r="E38" s="23" t="s">
        <v>679</v>
      </c>
      <c r="F38" s="23" t="str">
        <f t="shared" si="0"/>
        <v>rtdc.l.rtdc.4007:itc</v>
      </c>
      <c r="G38" s="8">
        <f t="shared" si="1"/>
        <v>42609.289247685185</v>
      </c>
    </row>
    <row r="39" spans="1:7" x14ac:dyDescent="0.25">
      <c r="A39" s="8">
        <v>42609.295439814814</v>
      </c>
      <c r="B39" s="23" t="s">
        <v>90</v>
      </c>
      <c r="C39" s="23" t="s">
        <v>425</v>
      </c>
      <c r="D39" s="23">
        <v>1260000</v>
      </c>
      <c r="E39" s="23" t="s">
        <v>677</v>
      </c>
      <c r="F39" s="23" t="str">
        <f t="shared" si="0"/>
        <v>rtdc.l.rtdc.4013:itc</v>
      </c>
      <c r="G39" s="8">
        <f t="shared" si="1"/>
        <v>42609.295439814814</v>
      </c>
    </row>
    <row r="40" spans="1:7" x14ac:dyDescent="0.25">
      <c r="A40" s="8">
        <v>42609.2966087963</v>
      </c>
      <c r="B40" s="28" t="s">
        <v>253</v>
      </c>
      <c r="C40" s="23" t="s">
        <v>427</v>
      </c>
      <c r="D40" s="23">
        <v>1990000</v>
      </c>
      <c r="E40" s="23" t="s">
        <v>299</v>
      </c>
      <c r="F40" s="23" t="str">
        <f t="shared" si="0"/>
        <v>rtdc.l.rtdc.4025:itc</v>
      </c>
      <c r="G40" s="8">
        <f t="shared" si="1"/>
        <v>42609.2966087963</v>
      </c>
    </row>
    <row r="41" spans="1:7" x14ac:dyDescent="0.25">
      <c r="A41" s="8">
        <v>42609.298055555555</v>
      </c>
      <c r="B41" s="23" t="s">
        <v>253</v>
      </c>
      <c r="C41" s="23" t="s">
        <v>427</v>
      </c>
      <c r="D41" s="23">
        <v>1990000</v>
      </c>
      <c r="E41" s="23" t="s">
        <v>299</v>
      </c>
      <c r="F41" s="23" t="str">
        <f t="shared" si="0"/>
        <v>rtdc.l.rtdc.4025:itc</v>
      </c>
      <c r="G41" s="8">
        <f t="shared" si="1"/>
        <v>42609.298055555555</v>
      </c>
    </row>
    <row r="42" spans="1:7" x14ac:dyDescent="0.25">
      <c r="A42" s="8">
        <v>42609.300138888888</v>
      </c>
      <c r="B42" s="23" t="s">
        <v>253</v>
      </c>
      <c r="C42" s="23" t="s">
        <v>427</v>
      </c>
      <c r="D42" s="23">
        <v>1990000</v>
      </c>
      <c r="E42" s="23" t="s">
        <v>299</v>
      </c>
      <c r="F42" s="23" t="str">
        <f t="shared" si="0"/>
        <v>rtdc.l.rtdc.4025:itc</v>
      </c>
      <c r="G42" s="8">
        <f t="shared" si="1"/>
        <v>42609.300138888888</v>
      </c>
    </row>
    <row r="43" spans="1:7" x14ac:dyDescent="0.25">
      <c r="A43" s="8">
        <v>42609.302789351852</v>
      </c>
      <c r="B43" s="23" t="s">
        <v>253</v>
      </c>
      <c r="C43" s="23" t="s">
        <v>427</v>
      </c>
      <c r="D43" s="23">
        <v>1990000</v>
      </c>
      <c r="E43" s="23" t="s">
        <v>299</v>
      </c>
      <c r="F43" s="23" t="str">
        <f t="shared" si="0"/>
        <v>rtdc.l.rtdc.4025:itc</v>
      </c>
      <c r="G43" s="8">
        <f t="shared" si="1"/>
        <v>42609.302789351852</v>
      </c>
    </row>
    <row r="44" spans="1:7" x14ac:dyDescent="0.25">
      <c r="A44" s="8">
        <v>42609.309490740743</v>
      </c>
      <c r="B44" s="23" t="s">
        <v>291</v>
      </c>
      <c r="C44" s="23" t="s">
        <v>433</v>
      </c>
      <c r="D44" s="23">
        <v>2280000</v>
      </c>
      <c r="E44" s="23" t="s">
        <v>252</v>
      </c>
      <c r="F44" s="23" t="str">
        <f t="shared" si="0"/>
        <v>rtdc.l.rtdc.4020:itc</v>
      </c>
      <c r="G44" s="8">
        <f t="shared" si="1"/>
        <v>42609.309490740743</v>
      </c>
    </row>
    <row r="45" spans="1:7" x14ac:dyDescent="0.25">
      <c r="A45" s="8">
        <v>42609.316979166666</v>
      </c>
      <c r="B45" s="23" t="s">
        <v>169</v>
      </c>
      <c r="C45" s="23" t="s">
        <v>511</v>
      </c>
      <c r="D45" s="23">
        <v>1830000</v>
      </c>
      <c r="E45" s="23" t="s">
        <v>679</v>
      </c>
      <c r="F45" s="23" t="str">
        <f t="shared" si="0"/>
        <v>rtdc.l.rtdc.4008:itc</v>
      </c>
      <c r="G45" s="8">
        <f t="shared" si="1"/>
        <v>42609.316979166666</v>
      </c>
    </row>
    <row r="46" spans="1:7" x14ac:dyDescent="0.25">
      <c r="A46" s="8">
        <v>42609.318379629629</v>
      </c>
      <c r="B46" s="23" t="s">
        <v>114</v>
      </c>
      <c r="C46" s="23" t="s">
        <v>435</v>
      </c>
      <c r="D46" s="23">
        <v>2010000</v>
      </c>
      <c r="E46" s="23" t="s">
        <v>251</v>
      </c>
      <c r="F46" s="23" t="str">
        <f t="shared" si="0"/>
        <v>rtdc.l.rtdc.4031:itc</v>
      </c>
      <c r="G46" s="8">
        <f t="shared" si="1"/>
        <v>42609.318379629629</v>
      </c>
    </row>
    <row r="47" spans="1:7" x14ac:dyDescent="0.25">
      <c r="A47" s="8">
        <v>42609.324050925927</v>
      </c>
      <c r="B47" s="23" t="s">
        <v>254</v>
      </c>
      <c r="C47" s="23" t="s">
        <v>429</v>
      </c>
      <c r="D47" s="23">
        <v>1990000</v>
      </c>
      <c r="E47" s="23" t="s">
        <v>299</v>
      </c>
      <c r="F47" s="23" t="str">
        <f t="shared" si="0"/>
        <v>rtdc.l.rtdc.4026:itc</v>
      </c>
      <c r="G47" s="8">
        <f t="shared" si="1"/>
        <v>42609.324050925927</v>
      </c>
    </row>
    <row r="48" spans="1:7" x14ac:dyDescent="0.25">
      <c r="A48" s="8">
        <v>42609.330567129633</v>
      </c>
      <c r="B48" s="23" t="s">
        <v>186</v>
      </c>
      <c r="C48" s="23" t="s">
        <v>514</v>
      </c>
      <c r="D48" s="23">
        <v>1830000</v>
      </c>
      <c r="E48" s="23" t="s">
        <v>679</v>
      </c>
      <c r="F48" s="23" t="str">
        <f t="shared" si="0"/>
        <v>rtdc.l.rtdc.4007:itc</v>
      </c>
      <c r="G48" s="8">
        <f t="shared" si="1"/>
        <v>42609.330567129633</v>
      </c>
    </row>
    <row r="49" spans="1:7" x14ac:dyDescent="0.25">
      <c r="A49" s="8">
        <v>42609.332546296297</v>
      </c>
      <c r="B49" s="23" t="s">
        <v>150</v>
      </c>
      <c r="C49" s="23" t="s">
        <v>437</v>
      </c>
      <c r="D49" s="23">
        <v>1760000</v>
      </c>
      <c r="E49" s="23" t="s">
        <v>301</v>
      </c>
      <c r="F49" s="23" t="str">
        <f t="shared" si="0"/>
        <v>rtdc.l.rtdc.4042:itc</v>
      </c>
      <c r="G49" s="8">
        <f t="shared" si="1"/>
        <v>42609.332546296297</v>
      </c>
    </row>
    <row r="50" spans="1:7" x14ac:dyDescent="0.25">
      <c r="A50" s="8">
        <v>42609.336319444446</v>
      </c>
      <c r="B50" s="23" t="s">
        <v>174</v>
      </c>
      <c r="C50" s="23" t="s">
        <v>431</v>
      </c>
      <c r="D50" s="23">
        <v>2030000</v>
      </c>
      <c r="E50" s="23" t="s">
        <v>678</v>
      </c>
      <c r="F50" s="23" t="str">
        <f t="shared" si="0"/>
        <v>rtdc.l.rtdc.4010:itc</v>
      </c>
      <c r="G50" s="8">
        <f t="shared" si="1"/>
        <v>42609.336319444446</v>
      </c>
    </row>
    <row r="51" spans="1:7" x14ac:dyDescent="0.25">
      <c r="A51" s="8">
        <v>42609.337361111109</v>
      </c>
      <c r="B51" s="23" t="s">
        <v>174</v>
      </c>
      <c r="C51" s="23" t="s">
        <v>431</v>
      </c>
      <c r="D51" s="23">
        <v>2030000</v>
      </c>
      <c r="E51" s="23" t="s">
        <v>678</v>
      </c>
      <c r="F51" s="23" t="str">
        <f t="shared" si="0"/>
        <v>rtdc.l.rtdc.4010:itc</v>
      </c>
      <c r="G51" s="8">
        <f t="shared" si="1"/>
        <v>42609.337361111109</v>
      </c>
    </row>
    <row r="52" spans="1:7" x14ac:dyDescent="0.25">
      <c r="A52" s="8">
        <v>42609.339432870373</v>
      </c>
      <c r="B52" s="23" t="s">
        <v>174</v>
      </c>
      <c r="C52" s="23" t="s">
        <v>431</v>
      </c>
      <c r="D52" s="23">
        <v>2030000</v>
      </c>
      <c r="E52" s="23" t="s">
        <v>678</v>
      </c>
      <c r="F52" s="23" t="str">
        <f t="shared" si="0"/>
        <v>rtdc.l.rtdc.4010:itc</v>
      </c>
      <c r="G52" s="8">
        <f t="shared" si="1"/>
        <v>42609.339432870373</v>
      </c>
    </row>
    <row r="53" spans="1:7" x14ac:dyDescent="0.25">
      <c r="A53" s="8">
        <v>42609.342280092591</v>
      </c>
      <c r="B53" s="23" t="s">
        <v>151</v>
      </c>
      <c r="C53" s="23" t="s">
        <v>442</v>
      </c>
      <c r="D53" s="23">
        <v>1310000</v>
      </c>
      <c r="E53" s="23" t="s">
        <v>300</v>
      </c>
      <c r="F53" s="23" t="str">
        <f t="shared" si="0"/>
        <v>rtdc.l.rtdc.4038:itc</v>
      </c>
      <c r="G53" s="8">
        <f t="shared" si="1"/>
        <v>42609.342280092591</v>
      </c>
    </row>
    <row r="54" spans="1:7" x14ac:dyDescent="0.25">
      <c r="A54" s="8">
        <v>42609.344236111108</v>
      </c>
      <c r="B54" s="23" t="s">
        <v>151</v>
      </c>
      <c r="C54" s="23" t="s">
        <v>442</v>
      </c>
      <c r="D54" s="23">
        <v>1310000</v>
      </c>
      <c r="E54" s="23" t="s">
        <v>300</v>
      </c>
      <c r="F54" s="23" t="str">
        <f t="shared" si="0"/>
        <v>rtdc.l.rtdc.4038:itc</v>
      </c>
      <c r="G54" s="8">
        <f t="shared" si="1"/>
        <v>42609.344236111108</v>
      </c>
    </row>
    <row r="55" spans="1:7" x14ac:dyDescent="0.25">
      <c r="A55" s="8">
        <v>42609.346747685187</v>
      </c>
      <c r="B55" s="23" t="s">
        <v>289</v>
      </c>
      <c r="C55" s="23" t="s">
        <v>434</v>
      </c>
      <c r="D55" s="23">
        <v>2280000</v>
      </c>
      <c r="E55" s="23" t="s">
        <v>252</v>
      </c>
      <c r="F55" s="23" t="str">
        <f t="shared" si="0"/>
        <v>rtdc.l.rtdc.4019:itc</v>
      </c>
      <c r="G55" s="8">
        <f t="shared" si="1"/>
        <v>42609.346747685187</v>
      </c>
    </row>
    <row r="56" spans="1:7" x14ac:dyDescent="0.25">
      <c r="A56" s="8">
        <v>42609.354074074072</v>
      </c>
      <c r="B56" s="23" t="s">
        <v>112</v>
      </c>
      <c r="C56" s="23" t="s">
        <v>444</v>
      </c>
      <c r="D56" s="23">
        <v>1260000</v>
      </c>
      <c r="E56" s="23" t="s">
        <v>677</v>
      </c>
      <c r="F56" s="23" t="str">
        <f t="shared" si="0"/>
        <v>rtdc.l.rtdc.4014:itc</v>
      </c>
      <c r="G56" s="8">
        <f t="shared" si="1"/>
        <v>42609.354074074072</v>
      </c>
    </row>
    <row r="57" spans="1:7" x14ac:dyDescent="0.25">
      <c r="A57" s="8">
        <v>42609.354942129627</v>
      </c>
      <c r="B57" s="23" t="s">
        <v>112</v>
      </c>
      <c r="C57" s="23" t="s">
        <v>444</v>
      </c>
      <c r="D57" s="23">
        <v>1260000</v>
      </c>
      <c r="E57" s="23" t="s">
        <v>677</v>
      </c>
      <c r="F57" s="23" t="str">
        <f t="shared" si="0"/>
        <v>rtdc.l.rtdc.4014:itc</v>
      </c>
      <c r="G57" s="8">
        <f t="shared" si="1"/>
        <v>42609.354942129627</v>
      </c>
    </row>
    <row r="58" spans="1:7" x14ac:dyDescent="0.25">
      <c r="A58" s="8">
        <v>42609.357615740744</v>
      </c>
      <c r="B58" s="23" t="s">
        <v>112</v>
      </c>
      <c r="C58" s="23" t="s">
        <v>444</v>
      </c>
      <c r="D58" s="23">
        <v>1260000</v>
      </c>
      <c r="E58" s="23" t="s">
        <v>677</v>
      </c>
      <c r="F58" s="23" t="str">
        <f t="shared" si="0"/>
        <v>rtdc.l.rtdc.4014:itc</v>
      </c>
      <c r="G58" s="8">
        <f t="shared" si="1"/>
        <v>42609.357615740744</v>
      </c>
    </row>
    <row r="59" spans="1:7" x14ac:dyDescent="0.25">
      <c r="A59" s="8">
        <v>42609.35900462963</v>
      </c>
      <c r="B59" s="23" t="s">
        <v>169</v>
      </c>
      <c r="C59" s="23" t="s">
        <v>516</v>
      </c>
      <c r="D59" s="23">
        <v>1830000</v>
      </c>
      <c r="E59" s="23" t="s">
        <v>679</v>
      </c>
      <c r="F59" s="23" t="str">
        <f t="shared" si="0"/>
        <v>rtdc.l.rtdc.4008:itc</v>
      </c>
      <c r="G59" s="8">
        <f t="shared" si="1"/>
        <v>42609.35900462963</v>
      </c>
    </row>
    <row r="60" spans="1:7" x14ac:dyDescent="0.25">
      <c r="A60" s="8">
        <v>42609.361932870372</v>
      </c>
      <c r="B60" s="23" t="s">
        <v>115</v>
      </c>
      <c r="C60" s="23" t="s">
        <v>436</v>
      </c>
      <c r="D60" s="23">
        <v>2010000</v>
      </c>
      <c r="E60" s="23" t="s">
        <v>251</v>
      </c>
      <c r="F60" s="23" t="str">
        <f t="shared" si="0"/>
        <v>rtdc.l.rtdc.4032:itc</v>
      </c>
      <c r="G60" s="8">
        <f t="shared" si="1"/>
        <v>42609.361932870372</v>
      </c>
    </row>
    <row r="61" spans="1:7" x14ac:dyDescent="0.25">
      <c r="A61" s="8">
        <v>42609.372013888889</v>
      </c>
      <c r="B61" s="23" t="s">
        <v>186</v>
      </c>
      <c r="C61" s="23" t="s">
        <v>518</v>
      </c>
      <c r="D61" s="23">
        <v>1830000</v>
      </c>
      <c r="E61" s="23" t="s">
        <v>679</v>
      </c>
      <c r="F61" s="23" t="str">
        <f t="shared" si="0"/>
        <v>rtdc.l.rtdc.4007:itc</v>
      </c>
      <c r="G61" s="8">
        <f t="shared" si="1"/>
        <v>42609.372013888889</v>
      </c>
    </row>
    <row r="62" spans="1:7" x14ac:dyDescent="0.25">
      <c r="A62" s="8">
        <v>42609.37327546296</v>
      </c>
      <c r="B62" s="23" t="s">
        <v>185</v>
      </c>
      <c r="C62" s="23" t="s">
        <v>440</v>
      </c>
      <c r="D62" s="23">
        <v>1760000</v>
      </c>
      <c r="E62" s="23" t="s">
        <v>301</v>
      </c>
      <c r="F62" s="23" t="str">
        <f t="shared" si="0"/>
        <v>rtdc.l.rtdc.4041:itc</v>
      </c>
      <c r="G62" s="8">
        <f t="shared" si="1"/>
        <v>42609.37327546296</v>
      </c>
    </row>
    <row r="63" spans="1:7" x14ac:dyDescent="0.25">
      <c r="A63" s="8">
        <v>42609.374826388892</v>
      </c>
      <c r="B63" s="23" t="s">
        <v>253</v>
      </c>
      <c r="C63" s="23" t="s">
        <v>448</v>
      </c>
      <c r="D63" s="23">
        <v>1990000</v>
      </c>
      <c r="E63" s="23" t="s">
        <v>299</v>
      </c>
      <c r="F63" s="23" t="str">
        <f t="shared" si="0"/>
        <v>rtdc.l.rtdc.4025:itc</v>
      </c>
      <c r="G63" s="8">
        <f t="shared" si="1"/>
        <v>42609.374826388892</v>
      </c>
    </row>
    <row r="64" spans="1:7" x14ac:dyDescent="0.25">
      <c r="A64" s="29">
        <v>42609.382303240738</v>
      </c>
      <c r="B64" s="23" t="s">
        <v>173</v>
      </c>
      <c r="C64" s="23" t="s">
        <v>451</v>
      </c>
      <c r="D64" s="23">
        <v>2030000</v>
      </c>
      <c r="E64" s="23" t="s">
        <v>678</v>
      </c>
      <c r="F64" s="23" t="str">
        <f t="shared" si="0"/>
        <v>rtdc.l.rtdc.4009:itc</v>
      </c>
      <c r="G64" s="8">
        <f t="shared" si="1"/>
        <v>42609.382303240738</v>
      </c>
    </row>
    <row r="65" spans="1:7" x14ac:dyDescent="0.25">
      <c r="A65" s="8">
        <v>42609.383645833332</v>
      </c>
      <c r="B65" s="23" t="s">
        <v>144</v>
      </c>
      <c r="C65" s="23" t="s">
        <v>443</v>
      </c>
      <c r="D65" s="23">
        <v>1310000</v>
      </c>
      <c r="E65" s="23" t="s">
        <v>300</v>
      </c>
      <c r="F65" s="23" t="str">
        <f t="shared" si="0"/>
        <v>rtdc.l.rtdc.4037:itc</v>
      </c>
      <c r="G65" s="8">
        <f t="shared" si="1"/>
        <v>42609.383645833332</v>
      </c>
    </row>
    <row r="66" spans="1:7" x14ac:dyDescent="0.25">
      <c r="A66" s="8">
        <v>42609.39502314815</v>
      </c>
      <c r="B66" s="23" t="s">
        <v>90</v>
      </c>
      <c r="C66" s="23" t="s">
        <v>446</v>
      </c>
      <c r="D66" s="23">
        <v>1260000</v>
      </c>
      <c r="E66" s="23" t="s">
        <v>677</v>
      </c>
      <c r="F66" s="23" t="str">
        <f t="shared" ref="F66:F129" si="2">B66</f>
        <v>rtdc.l.rtdc.4013:itc</v>
      </c>
      <c r="G66" s="8">
        <f t="shared" ref="G66:G129" si="3">A66</f>
        <v>42609.39502314815</v>
      </c>
    </row>
    <row r="67" spans="1:7" x14ac:dyDescent="0.25">
      <c r="A67" s="8">
        <v>42609.400034722225</v>
      </c>
      <c r="B67" s="23" t="s">
        <v>169</v>
      </c>
      <c r="C67" s="23" t="s">
        <v>520</v>
      </c>
      <c r="D67" s="23">
        <v>1830000</v>
      </c>
      <c r="E67" s="23" t="s">
        <v>679</v>
      </c>
      <c r="F67" s="23" t="str">
        <f t="shared" si="2"/>
        <v>rtdc.l.rtdc.4008:itc</v>
      </c>
      <c r="G67" s="8">
        <f t="shared" si="3"/>
        <v>42609.400034722225</v>
      </c>
    </row>
    <row r="68" spans="1:7" x14ac:dyDescent="0.25">
      <c r="A68" s="8">
        <v>42609.402094907404</v>
      </c>
      <c r="B68" s="23" t="s">
        <v>254</v>
      </c>
      <c r="C68" s="23" t="s">
        <v>450</v>
      </c>
      <c r="D68" s="23">
        <v>1990000</v>
      </c>
      <c r="E68" s="23" t="s">
        <v>299</v>
      </c>
      <c r="F68" s="23" t="str">
        <f t="shared" si="2"/>
        <v>rtdc.l.rtdc.4026:itc</v>
      </c>
      <c r="G68" s="8">
        <f t="shared" si="3"/>
        <v>42609.402094907404</v>
      </c>
    </row>
    <row r="69" spans="1:7" x14ac:dyDescent="0.25">
      <c r="A69" s="8">
        <v>42609.403356481482</v>
      </c>
      <c r="B69" s="23" t="s">
        <v>291</v>
      </c>
      <c r="C69" s="23" t="s">
        <v>454</v>
      </c>
      <c r="D69" s="23">
        <v>2280000</v>
      </c>
      <c r="E69" s="23" t="s">
        <v>252</v>
      </c>
      <c r="F69" s="23" t="str">
        <f t="shared" si="2"/>
        <v>rtdc.l.rtdc.4020:itc</v>
      </c>
      <c r="G69" s="8">
        <f t="shared" si="3"/>
        <v>42609.403356481482</v>
      </c>
    </row>
    <row r="70" spans="1:7" x14ac:dyDescent="0.25">
      <c r="A70" s="8">
        <v>42609.404513888891</v>
      </c>
      <c r="B70" s="23" t="s">
        <v>114</v>
      </c>
      <c r="C70" s="23" t="s">
        <v>458</v>
      </c>
      <c r="D70" s="23">
        <v>2010000</v>
      </c>
      <c r="E70" s="23" t="s">
        <v>251</v>
      </c>
      <c r="F70" s="23" t="str">
        <f t="shared" si="2"/>
        <v>rtdc.l.rtdc.4031:itc</v>
      </c>
      <c r="G70" s="8">
        <f t="shared" si="3"/>
        <v>42609.404513888891</v>
      </c>
    </row>
    <row r="71" spans="1:7" x14ac:dyDescent="0.25">
      <c r="A71" s="8">
        <v>42609.412905092591</v>
      </c>
      <c r="B71" s="23" t="s">
        <v>150</v>
      </c>
      <c r="C71" s="23" t="s">
        <v>462</v>
      </c>
      <c r="D71" s="23">
        <v>1760000</v>
      </c>
      <c r="E71" s="23" t="s">
        <v>301</v>
      </c>
      <c r="F71" s="23" t="str">
        <f t="shared" si="2"/>
        <v>rtdc.l.rtdc.4042:itc</v>
      </c>
      <c r="G71" s="8">
        <f t="shared" si="3"/>
        <v>42609.412905092591</v>
      </c>
    </row>
    <row r="72" spans="1:7" x14ac:dyDescent="0.25">
      <c r="A72" s="8">
        <v>42609.413634259261</v>
      </c>
      <c r="B72" s="23" t="s">
        <v>186</v>
      </c>
      <c r="C72" s="23" t="s">
        <v>522</v>
      </c>
      <c r="D72" s="23">
        <v>1830000</v>
      </c>
      <c r="E72" s="23" t="s">
        <v>679</v>
      </c>
      <c r="F72" s="23" t="str">
        <f t="shared" si="2"/>
        <v>rtdc.l.rtdc.4007:itc</v>
      </c>
      <c r="G72" s="8">
        <f t="shared" si="3"/>
        <v>42609.413634259261</v>
      </c>
    </row>
    <row r="73" spans="1:7" x14ac:dyDescent="0.25">
      <c r="A73" s="8">
        <v>42609.414699074077</v>
      </c>
      <c r="B73" s="23" t="s">
        <v>150</v>
      </c>
      <c r="C73" s="23" t="s">
        <v>462</v>
      </c>
      <c r="D73" s="23">
        <v>1760000</v>
      </c>
      <c r="E73" s="23" t="s">
        <v>301</v>
      </c>
      <c r="F73" s="23" t="str">
        <f t="shared" si="2"/>
        <v>rtdc.l.rtdc.4042:itc</v>
      </c>
      <c r="G73" s="8">
        <f t="shared" si="3"/>
        <v>42609.414699074077</v>
      </c>
    </row>
    <row r="74" spans="1:7" x14ac:dyDescent="0.25">
      <c r="A74" s="8">
        <v>42609.415138888886</v>
      </c>
      <c r="B74" s="23" t="s">
        <v>174</v>
      </c>
      <c r="C74" s="23" t="s">
        <v>452</v>
      </c>
      <c r="D74" s="23">
        <v>2030000</v>
      </c>
      <c r="E74" s="23" t="s">
        <v>678</v>
      </c>
      <c r="F74" s="23" t="str">
        <f t="shared" si="2"/>
        <v>rtdc.l.rtdc.4010:itc</v>
      </c>
      <c r="G74" s="8">
        <f t="shared" si="3"/>
        <v>42609.415138888886</v>
      </c>
    </row>
    <row r="75" spans="1:7" x14ac:dyDescent="0.25">
      <c r="A75" s="8">
        <v>42609.426238425927</v>
      </c>
      <c r="B75" s="23" t="s">
        <v>151</v>
      </c>
      <c r="C75" s="23" t="s">
        <v>680</v>
      </c>
      <c r="D75" s="23">
        <v>1310000</v>
      </c>
      <c r="E75" s="23" t="s">
        <v>300</v>
      </c>
      <c r="F75" s="23" t="str">
        <f t="shared" si="2"/>
        <v>rtdc.l.rtdc.4038:itc</v>
      </c>
      <c r="G75" s="8">
        <f t="shared" si="3"/>
        <v>42609.426238425927</v>
      </c>
    </row>
    <row r="76" spans="1:7" x14ac:dyDescent="0.25">
      <c r="A76" s="8">
        <v>42609.427407407406</v>
      </c>
      <c r="B76" s="23" t="s">
        <v>151</v>
      </c>
      <c r="C76" s="23" t="s">
        <v>680</v>
      </c>
      <c r="D76" s="23">
        <v>1310000</v>
      </c>
      <c r="E76" s="23" t="s">
        <v>300</v>
      </c>
      <c r="F76" s="23" t="str">
        <f t="shared" si="2"/>
        <v>rtdc.l.rtdc.4038:itc</v>
      </c>
      <c r="G76" s="8">
        <f t="shared" si="3"/>
        <v>42609.427407407406</v>
      </c>
    </row>
    <row r="77" spans="1:7" x14ac:dyDescent="0.25">
      <c r="A77" s="8">
        <v>42609.42827546296</v>
      </c>
      <c r="B77" s="23" t="s">
        <v>151</v>
      </c>
      <c r="C77" s="23" t="s">
        <v>680</v>
      </c>
      <c r="D77" s="23">
        <v>1310000</v>
      </c>
      <c r="E77" s="23" t="s">
        <v>300</v>
      </c>
      <c r="F77" s="23" t="str">
        <f t="shared" si="2"/>
        <v>rtdc.l.rtdc.4038:itc</v>
      </c>
      <c r="G77" s="8">
        <f t="shared" si="3"/>
        <v>42609.42827546296</v>
      </c>
    </row>
    <row r="78" spans="1:7" x14ac:dyDescent="0.25">
      <c r="A78" s="8">
        <v>42609.429178240738</v>
      </c>
      <c r="B78" s="23" t="s">
        <v>112</v>
      </c>
      <c r="C78" s="23" t="s">
        <v>466</v>
      </c>
      <c r="D78" s="23">
        <v>1740000</v>
      </c>
      <c r="E78" s="23" t="s">
        <v>681</v>
      </c>
      <c r="F78" s="23" t="str">
        <f t="shared" si="2"/>
        <v>rtdc.l.rtdc.4014:itc</v>
      </c>
      <c r="G78" s="8">
        <f t="shared" si="3"/>
        <v>42609.429178240738</v>
      </c>
    </row>
    <row r="79" spans="1:7" x14ac:dyDescent="0.25">
      <c r="A79" s="8">
        <v>42609.433067129627</v>
      </c>
      <c r="B79" s="23" t="s">
        <v>151</v>
      </c>
      <c r="C79" s="23" t="s">
        <v>680</v>
      </c>
      <c r="D79" s="23">
        <v>1310000</v>
      </c>
      <c r="E79" s="23" t="s">
        <v>300</v>
      </c>
      <c r="F79" s="23" t="str">
        <f t="shared" si="2"/>
        <v>rtdc.l.rtdc.4038:itc</v>
      </c>
      <c r="G79" s="8">
        <f t="shared" si="3"/>
        <v>42609.433067129627</v>
      </c>
    </row>
    <row r="80" spans="1:7" x14ac:dyDescent="0.25">
      <c r="A80" s="8">
        <v>42609.433078703703</v>
      </c>
      <c r="B80" s="23" t="s">
        <v>289</v>
      </c>
      <c r="C80" s="23" t="s">
        <v>456</v>
      </c>
      <c r="D80" s="23">
        <v>2280000</v>
      </c>
      <c r="E80" s="23" t="s">
        <v>252</v>
      </c>
      <c r="F80" s="23" t="str">
        <f t="shared" si="2"/>
        <v>rtdc.l.rtdc.4019:itc</v>
      </c>
      <c r="G80" s="8">
        <f t="shared" si="3"/>
        <v>42609.433078703703</v>
      </c>
    </row>
    <row r="81" spans="1:7" x14ac:dyDescent="0.25">
      <c r="A81" s="8">
        <v>42609.434490740743</v>
      </c>
      <c r="B81" s="23" t="s">
        <v>151</v>
      </c>
      <c r="C81" s="23" t="s">
        <v>680</v>
      </c>
      <c r="D81" s="23">
        <v>1310000</v>
      </c>
      <c r="E81" s="23" t="s">
        <v>300</v>
      </c>
      <c r="F81" s="23" t="str">
        <f t="shared" si="2"/>
        <v>rtdc.l.rtdc.4038:itc</v>
      </c>
      <c r="G81" s="8">
        <f t="shared" si="3"/>
        <v>42609.434490740743</v>
      </c>
    </row>
    <row r="82" spans="1:7" x14ac:dyDescent="0.25">
      <c r="A82" s="8">
        <v>42609.437291666669</v>
      </c>
      <c r="B82" s="23" t="s">
        <v>115</v>
      </c>
      <c r="C82" s="23" t="s">
        <v>460</v>
      </c>
      <c r="D82" s="23">
        <v>2010000</v>
      </c>
      <c r="E82" s="23" t="s">
        <v>251</v>
      </c>
      <c r="F82" s="23" t="str">
        <f t="shared" si="2"/>
        <v>rtdc.l.rtdc.4032:itc</v>
      </c>
      <c r="G82" s="8">
        <f t="shared" si="3"/>
        <v>42609.437291666669</v>
      </c>
    </row>
    <row r="83" spans="1:7" x14ac:dyDescent="0.25">
      <c r="A83" s="8">
        <v>42609.440648148149</v>
      </c>
      <c r="B83" s="23" t="s">
        <v>253</v>
      </c>
      <c r="C83" s="23" t="s">
        <v>469</v>
      </c>
      <c r="D83" s="23">
        <v>1990000</v>
      </c>
      <c r="E83" s="23" t="s">
        <v>299</v>
      </c>
      <c r="F83" s="23" t="str">
        <f t="shared" si="2"/>
        <v>rtdc.l.rtdc.4025:itc</v>
      </c>
      <c r="G83" s="8">
        <f t="shared" si="3"/>
        <v>42609.440648148149</v>
      </c>
    </row>
    <row r="84" spans="1:7" x14ac:dyDescent="0.25">
      <c r="A84" s="8">
        <v>42609.441111111111</v>
      </c>
      <c r="B84" s="23" t="s">
        <v>151</v>
      </c>
      <c r="C84" s="23" t="s">
        <v>680</v>
      </c>
      <c r="D84" s="23">
        <v>1310000</v>
      </c>
      <c r="E84" s="23" t="s">
        <v>300</v>
      </c>
      <c r="F84" s="23" t="str">
        <f t="shared" si="2"/>
        <v>rtdc.l.rtdc.4038:itc</v>
      </c>
      <c r="G84" s="8">
        <f t="shared" si="3"/>
        <v>42609.441111111111</v>
      </c>
    </row>
    <row r="85" spans="1:7" x14ac:dyDescent="0.25">
      <c r="A85" s="8">
        <v>42609.441828703704</v>
      </c>
      <c r="B85" s="23" t="s">
        <v>253</v>
      </c>
      <c r="C85" s="23" t="s">
        <v>469</v>
      </c>
      <c r="D85" s="23">
        <v>1990000</v>
      </c>
      <c r="E85" s="23" t="s">
        <v>299</v>
      </c>
      <c r="F85" s="23" t="str">
        <f t="shared" si="2"/>
        <v>rtdc.l.rtdc.4025:itc</v>
      </c>
      <c r="G85" s="8">
        <f t="shared" si="3"/>
        <v>42609.441828703704</v>
      </c>
    </row>
    <row r="86" spans="1:7" x14ac:dyDescent="0.25">
      <c r="A86" s="8">
        <v>42609.442372685182</v>
      </c>
      <c r="B86" s="23" t="s">
        <v>169</v>
      </c>
      <c r="C86" s="23" t="s">
        <v>526</v>
      </c>
      <c r="D86" s="23">
        <v>1830000</v>
      </c>
      <c r="E86" s="23" t="s">
        <v>679</v>
      </c>
      <c r="F86" s="23" t="str">
        <f t="shared" si="2"/>
        <v>rtdc.l.rtdc.4008:itc</v>
      </c>
      <c r="G86" s="8">
        <f t="shared" si="3"/>
        <v>42609.442372685182</v>
      </c>
    </row>
    <row r="87" spans="1:7" x14ac:dyDescent="0.25">
      <c r="A87" s="8">
        <v>42609.443437499998</v>
      </c>
      <c r="B87" s="23" t="s">
        <v>253</v>
      </c>
      <c r="C87" s="23" t="s">
        <v>469</v>
      </c>
      <c r="D87" s="23">
        <v>1990000</v>
      </c>
      <c r="E87" s="23" t="s">
        <v>299</v>
      </c>
      <c r="F87" s="23" t="str">
        <f t="shared" si="2"/>
        <v>rtdc.l.rtdc.4025:itc</v>
      </c>
      <c r="G87" s="8">
        <f t="shared" si="3"/>
        <v>42609.443437499998</v>
      </c>
    </row>
    <row r="88" spans="1:7" x14ac:dyDescent="0.25">
      <c r="A88" s="8">
        <v>42609.450949074075</v>
      </c>
      <c r="B88" s="23" t="s">
        <v>173</v>
      </c>
      <c r="C88" s="23" t="s">
        <v>471</v>
      </c>
      <c r="D88" s="23">
        <v>880000</v>
      </c>
      <c r="E88" s="23" t="s">
        <v>305</v>
      </c>
      <c r="F88" s="23" t="str">
        <f t="shared" si="2"/>
        <v>rtdc.l.rtdc.4009:itc</v>
      </c>
      <c r="G88" s="8">
        <f t="shared" si="3"/>
        <v>42609.450949074075</v>
      </c>
    </row>
    <row r="89" spans="1:7" x14ac:dyDescent="0.25">
      <c r="A89" s="8">
        <v>42609.453796296293</v>
      </c>
      <c r="B89" s="23" t="s">
        <v>185</v>
      </c>
      <c r="C89" s="23" t="s">
        <v>464</v>
      </c>
      <c r="D89" s="23">
        <v>1760000</v>
      </c>
      <c r="E89" s="23" t="s">
        <v>301</v>
      </c>
      <c r="F89" s="23" t="str">
        <f t="shared" si="2"/>
        <v>rtdc.l.rtdc.4041:itc</v>
      </c>
      <c r="G89" s="8">
        <f t="shared" si="3"/>
        <v>42609.453796296293</v>
      </c>
    </row>
    <row r="90" spans="1:7" x14ac:dyDescent="0.25">
      <c r="A90" s="8">
        <v>42609.455590277779</v>
      </c>
      <c r="B90" s="23" t="s">
        <v>186</v>
      </c>
      <c r="C90" s="23" t="s">
        <v>528</v>
      </c>
      <c r="D90" s="23">
        <v>1830000</v>
      </c>
      <c r="E90" s="23" t="s">
        <v>679</v>
      </c>
      <c r="F90" s="23" t="str">
        <f t="shared" si="2"/>
        <v>rtdc.l.rtdc.4007:itc</v>
      </c>
      <c r="G90" s="8">
        <f t="shared" si="3"/>
        <v>42609.455590277779</v>
      </c>
    </row>
    <row r="91" spans="1:7" x14ac:dyDescent="0.25">
      <c r="A91" s="8">
        <v>42609.465254629627</v>
      </c>
      <c r="B91" s="23" t="s">
        <v>291</v>
      </c>
      <c r="C91" s="23" t="s">
        <v>473</v>
      </c>
      <c r="D91" s="23">
        <v>1280000</v>
      </c>
      <c r="E91" s="23" t="s">
        <v>682</v>
      </c>
      <c r="F91" s="23" t="str">
        <f t="shared" si="2"/>
        <v>rtdc.l.rtdc.4020:itc</v>
      </c>
      <c r="G91" s="8">
        <f t="shared" si="3"/>
        <v>42609.465254629627</v>
      </c>
    </row>
    <row r="92" spans="1:7" x14ac:dyDescent="0.25">
      <c r="A92" s="8">
        <v>42609.469409722224</v>
      </c>
      <c r="B92" s="23" t="s">
        <v>144</v>
      </c>
      <c r="C92" s="23" t="s">
        <v>683</v>
      </c>
      <c r="D92" s="23">
        <v>1310000</v>
      </c>
      <c r="E92" s="23" t="s">
        <v>300</v>
      </c>
      <c r="F92" s="23" t="str">
        <f t="shared" si="2"/>
        <v>rtdc.l.rtdc.4037:itc</v>
      </c>
      <c r="G92" s="8">
        <f t="shared" si="3"/>
        <v>42609.469409722224</v>
      </c>
    </row>
    <row r="93" spans="1:7" x14ac:dyDescent="0.25">
      <c r="A93" s="8">
        <v>42609.474108796298</v>
      </c>
      <c r="B93" s="23" t="s">
        <v>90</v>
      </c>
      <c r="C93" s="23" t="s">
        <v>468</v>
      </c>
      <c r="D93" s="23">
        <v>1740000</v>
      </c>
      <c r="E93" s="23" t="s">
        <v>681</v>
      </c>
      <c r="F93" s="23" t="str">
        <f t="shared" si="2"/>
        <v>rtdc.l.rtdc.4013:itc</v>
      </c>
      <c r="G93" s="8">
        <f t="shared" si="3"/>
        <v>42609.474108796298</v>
      </c>
    </row>
    <row r="94" spans="1:7" x14ac:dyDescent="0.25">
      <c r="A94" s="8">
        <v>42609.475960648146</v>
      </c>
      <c r="B94" s="23" t="s">
        <v>114</v>
      </c>
      <c r="C94" s="23" t="s">
        <v>477</v>
      </c>
      <c r="D94" s="23">
        <v>2040000</v>
      </c>
      <c r="E94" s="23" t="s">
        <v>255</v>
      </c>
      <c r="F94" s="23" t="str">
        <f t="shared" si="2"/>
        <v>rtdc.l.rtdc.4031:itc</v>
      </c>
      <c r="G94" s="8">
        <f t="shared" si="3"/>
        <v>42609.475960648146</v>
      </c>
    </row>
    <row r="95" spans="1:7" x14ac:dyDescent="0.25">
      <c r="A95" s="8">
        <v>42609.484039351853</v>
      </c>
      <c r="B95" s="23" t="s">
        <v>169</v>
      </c>
      <c r="C95" s="23" t="s">
        <v>529</v>
      </c>
      <c r="D95" s="23">
        <v>1830000</v>
      </c>
      <c r="E95" s="23" t="s">
        <v>679</v>
      </c>
      <c r="F95" s="23" t="str">
        <f t="shared" si="2"/>
        <v>rtdc.l.rtdc.4008:itc</v>
      </c>
      <c r="G95" s="8">
        <f t="shared" si="3"/>
        <v>42609.484039351853</v>
      </c>
    </row>
    <row r="96" spans="1:7" x14ac:dyDescent="0.25">
      <c r="A96" s="8">
        <v>42609.484872685185</v>
      </c>
      <c r="B96" s="23" t="s">
        <v>254</v>
      </c>
      <c r="C96" s="23" t="s">
        <v>470</v>
      </c>
      <c r="D96" s="23">
        <v>1990000</v>
      </c>
      <c r="E96" s="23" t="s">
        <v>299</v>
      </c>
      <c r="F96" s="23" t="str">
        <f t="shared" si="2"/>
        <v>rtdc.l.rtdc.4026:itc</v>
      </c>
      <c r="G96" s="8">
        <f t="shared" si="3"/>
        <v>42609.484872685185</v>
      </c>
    </row>
    <row r="97" spans="1:7" x14ac:dyDescent="0.25">
      <c r="A97" s="8">
        <v>42609.488263888888</v>
      </c>
      <c r="B97" s="23" t="s">
        <v>150</v>
      </c>
      <c r="C97" s="23" t="s">
        <v>480</v>
      </c>
      <c r="D97" s="23">
        <v>2020000</v>
      </c>
      <c r="E97" s="23" t="s">
        <v>292</v>
      </c>
      <c r="F97" s="23" t="str">
        <f t="shared" si="2"/>
        <v>rtdc.l.rtdc.4042:itc</v>
      </c>
      <c r="G97" s="8">
        <f t="shared" si="3"/>
        <v>42609.488263888888</v>
      </c>
    </row>
    <row r="98" spans="1:7" x14ac:dyDescent="0.25">
      <c r="A98" s="8">
        <v>42609.497152777774</v>
      </c>
      <c r="B98" s="23" t="s">
        <v>174</v>
      </c>
      <c r="C98" s="23" t="s">
        <v>472</v>
      </c>
      <c r="D98" s="23">
        <v>880000</v>
      </c>
      <c r="E98" s="23" t="s">
        <v>305</v>
      </c>
      <c r="F98" s="23" t="str">
        <f t="shared" si="2"/>
        <v>rtdc.l.rtdc.4010:itc</v>
      </c>
      <c r="G98" s="8">
        <f t="shared" si="3"/>
        <v>42609.497152777774</v>
      </c>
    </row>
    <row r="99" spans="1:7" x14ac:dyDescent="0.25">
      <c r="A99" s="8">
        <v>42609.49728009259</v>
      </c>
      <c r="B99" s="23" t="s">
        <v>289</v>
      </c>
      <c r="C99" s="23" t="s">
        <v>476</v>
      </c>
      <c r="D99" s="23">
        <v>1280000</v>
      </c>
      <c r="E99" s="23" t="s">
        <v>682</v>
      </c>
      <c r="F99" s="23" t="str">
        <f t="shared" si="2"/>
        <v>rtdc.l.rtdc.4019:itc</v>
      </c>
      <c r="G99" s="8">
        <f t="shared" si="3"/>
        <v>42609.49728009259</v>
      </c>
    </row>
    <row r="100" spans="1:7" x14ac:dyDescent="0.25">
      <c r="A100" s="8">
        <v>42609.497650462959</v>
      </c>
      <c r="B100" s="23" t="s">
        <v>186</v>
      </c>
      <c r="C100" s="23" t="s">
        <v>531</v>
      </c>
      <c r="D100" s="23">
        <v>1830000</v>
      </c>
      <c r="E100" s="23" t="s">
        <v>679</v>
      </c>
      <c r="F100" s="23" t="str">
        <f t="shared" si="2"/>
        <v>rtdc.l.rtdc.4007:itc</v>
      </c>
      <c r="G100" s="8">
        <f t="shared" si="3"/>
        <v>42609.497650462959</v>
      </c>
    </row>
    <row r="101" spans="1:7" x14ac:dyDescent="0.25">
      <c r="A101" s="8">
        <v>42609.505798611113</v>
      </c>
      <c r="B101" s="23" t="s">
        <v>151</v>
      </c>
      <c r="C101" s="23" t="s">
        <v>684</v>
      </c>
      <c r="D101" s="23">
        <v>2270000</v>
      </c>
      <c r="E101" s="23" t="s">
        <v>293</v>
      </c>
      <c r="F101" s="23" t="str">
        <f t="shared" si="2"/>
        <v>rtdc.l.rtdc.4038:itc</v>
      </c>
      <c r="G101" s="8">
        <f t="shared" si="3"/>
        <v>42609.505798611113</v>
      </c>
    </row>
    <row r="102" spans="1:7" x14ac:dyDescent="0.25">
      <c r="A102" s="8">
        <v>42609.507175925923</v>
      </c>
      <c r="B102" s="23" t="s">
        <v>151</v>
      </c>
      <c r="C102" s="23" t="s">
        <v>684</v>
      </c>
      <c r="D102" s="23">
        <v>2270000</v>
      </c>
      <c r="E102" s="23" t="s">
        <v>293</v>
      </c>
      <c r="F102" s="23" t="str">
        <f t="shared" si="2"/>
        <v>rtdc.l.rtdc.4038:itc</v>
      </c>
      <c r="G102" s="8">
        <f t="shared" si="3"/>
        <v>42609.507175925923</v>
      </c>
    </row>
    <row r="103" spans="1:7" x14ac:dyDescent="0.25">
      <c r="A103" s="8">
        <v>42609.50818287037</v>
      </c>
      <c r="B103" s="23" t="s">
        <v>186</v>
      </c>
      <c r="C103" s="23" t="s">
        <v>531</v>
      </c>
      <c r="D103" s="23">
        <v>1830000</v>
      </c>
      <c r="E103" s="23" t="s">
        <v>679</v>
      </c>
      <c r="F103" s="23" t="str">
        <f t="shared" si="2"/>
        <v>rtdc.l.rtdc.4007:itc</v>
      </c>
      <c r="G103" s="8">
        <f t="shared" si="3"/>
        <v>42609.50818287037</v>
      </c>
    </row>
    <row r="104" spans="1:7" x14ac:dyDescent="0.25">
      <c r="A104" s="8">
        <v>42609.508391203701</v>
      </c>
      <c r="B104" s="23" t="s">
        <v>112</v>
      </c>
      <c r="C104" s="23" t="s">
        <v>483</v>
      </c>
      <c r="D104" s="23">
        <v>1740000</v>
      </c>
      <c r="E104" s="23" t="s">
        <v>681</v>
      </c>
      <c r="F104" s="23" t="str">
        <f t="shared" si="2"/>
        <v>rtdc.l.rtdc.4014:itc</v>
      </c>
      <c r="G104" s="8">
        <f t="shared" si="3"/>
        <v>42609.508391203701</v>
      </c>
    </row>
    <row r="105" spans="1:7" x14ac:dyDescent="0.25">
      <c r="A105" s="8">
        <v>42609.509456018517</v>
      </c>
      <c r="B105" s="23" t="s">
        <v>186</v>
      </c>
      <c r="C105" s="23" t="s">
        <v>531</v>
      </c>
      <c r="D105" s="23">
        <v>1830000</v>
      </c>
      <c r="E105" s="23" t="s">
        <v>679</v>
      </c>
      <c r="F105" s="23" t="str">
        <f t="shared" si="2"/>
        <v>rtdc.l.rtdc.4007:itc</v>
      </c>
      <c r="G105" s="8">
        <f t="shared" si="3"/>
        <v>42609.509456018517</v>
      </c>
    </row>
    <row r="106" spans="1:7" x14ac:dyDescent="0.25">
      <c r="A106" s="8">
        <v>42609.515231481484</v>
      </c>
      <c r="B106" s="23" t="s">
        <v>115</v>
      </c>
      <c r="C106" s="23" t="s">
        <v>478</v>
      </c>
      <c r="D106" s="23">
        <v>2040000</v>
      </c>
      <c r="E106" s="23" t="s">
        <v>255</v>
      </c>
      <c r="F106" s="23" t="str">
        <f t="shared" si="2"/>
        <v>rtdc.l.rtdc.4032:itc</v>
      </c>
      <c r="G106" s="8">
        <f t="shared" si="3"/>
        <v>42609.515231481484</v>
      </c>
    </row>
    <row r="107" spans="1:7" x14ac:dyDescent="0.25">
      <c r="A107" s="8">
        <v>42609.518449074072</v>
      </c>
      <c r="B107" s="23" t="s">
        <v>253</v>
      </c>
      <c r="C107" s="23" t="s">
        <v>486</v>
      </c>
      <c r="D107" s="23">
        <v>950000</v>
      </c>
      <c r="E107" s="23" t="s">
        <v>294</v>
      </c>
      <c r="F107" s="23" t="str">
        <f t="shared" si="2"/>
        <v>rtdc.l.rtdc.4025:itc</v>
      </c>
      <c r="G107" s="8">
        <f t="shared" si="3"/>
        <v>42609.518449074072</v>
      </c>
    </row>
    <row r="108" spans="1:7" x14ac:dyDescent="0.25">
      <c r="A108" s="8">
        <v>42609.523495370369</v>
      </c>
      <c r="B108" s="23" t="s">
        <v>185</v>
      </c>
      <c r="C108" s="23" t="s">
        <v>481</v>
      </c>
      <c r="D108" s="23">
        <v>2020000</v>
      </c>
      <c r="E108" s="23" t="s">
        <v>292</v>
      </c>
      <c r="F108" s="23" t="str">
        <f t="shared" si="2"/>
        <v>rtdc.l.rtdc.4041:itc</v>
      </c>
      <c r="G108" s="8">
        <f t="shared" si="3"/>
        <v>42609.523495370369</v>
      </c>
    </row>
    <row r="109" spans="1:7" x14ac:dyDescent="0.25">
      <c r="A109" s="8">
        <v>42609.525775462964</v>
      </c>
      <c r="B109" s="23" t="s">
        <v>169</v>
      </c>
      <c r="C109" s="23" t="s">
        <v>532</v>
      </c>
      <c r="D109" s="23">
        <v>1830000</v>
      </c>
      <c r="E109" s="23" t="s">
        <v>679</v>
      </c>
      <c r="F109" s="23" t="str">
        <f t="shared" si="2"/>
        <v>rtdc.l.rtdc.4008:itc</v>
      </c>
      <c r="G109" s="8">
        <f t="shared" si="3"/>
        <v>42609.525775462964</v>
      </c>
    </row>
    <row r="110" spans="1:7" x14ac:dyDescent="0.25">
      <c r="A110" s="8">
        <v>42609.52815972222</v>
      </c>
      <c r="B110" s="23" t="s">
        <v>173</v>
      </c>
      <c r="C110" s="23" t="s">
        <v>488</v>
      </c>
      <c r="D110" s="23">
        <v>880000</v>
      </c>
      <c r="E110" s="23" t="s">
        <v>305</v>
      </c>
      <c r="F110" s="23" t="str">
        <f t="shared" si="2"/>
        <v>rtdc.l.rtdc.4009:itc</v>
      </c>
      <c r="G110" s="8">
        <f t="shared" si="3"/>
        <v>42609.52815972222</v>
      </c>
    </row>
    <row r="111" spans="1:7" x14ac:dyDescent="0.25">
      <c r="A111" s="8">
        <v>42609.536990740744</v>
      </c>
      <c r="B111" s="23" t="s">
        <v>291</v>
      </c>
      <c r="C111" s="23" t="s">
        <v>490</v>
      </c>
      <c r="D111" s="23">
        <v>1280000</v>
      </c>
      <c r="E111" s="23" t="s">
        <v>682</v>
      </c>
      <c r="F111" s="23" t="str">
        <f t="shared" si="2"/>
        <v>rtdc.l.rtdc.4020:itc</v>
      </c>
      <c r="G111" s="8">
        <f t="shared" si="3"/>
        <v>42609.536990740744</v>
      </c>
    </row>
    <row r="112" spans="1:7" x14ac:dyDescent="0.25">
      <c r="A112" s="8">
        <v>42609.537847222222</v>
      </c>
      <c r="B112" s="23" t="s">
        <v>144</v>
      </c>
      <c r="C112" s="23" t="s">
        <v>685</v>
      </c>
      <c r="D112" s="23">
        <v>2270000</v>
      </c>
      <c r="E112" s="23" t="s">
        <v>293</v>
      </c>
      <c r="F112" s="23" t="str">
        <f t="shared" si="2"/>
        <v>rtdc.l.rtdc.4037:itc</v>
      </c>
      <c r="G112" s="8">
        <f t="shared" si="3"/>
        <v>42609.537847222222</v>
      </c>
    </row>
    <row r="113" spans="1:7" x14ac:dyDescent="0.25">
      <c r="A113" s="8">
        <v>42609.538831018515</v>
      </c>
      <c r="B113" s="23" t="s">
        <v>186</v>
      </c>
      <c r="C113" s="23" t="s">
        <v>535</v>
      </c>
      <c r="D113" s="23">
        <v>1830000</v>
      </c>
      <c r="E113" s="23" t="s">
        <v>679</v>
      </c>
      <c r="F113" s="23" t="str">
        <f t="shared" si="2"/>
        <v>rtdc.l.rtdc.4007:itc</v>
      </c>
      <c r="G113" s="8">
        <f t="shared" si="3"/>
        <v>42609.538831018515</v>
      </c>
    </row>
    <row r="114" spans="1:7" x14ac:dyDescent="0.25">
      <c r="A114" s="8">
        <v>42609.54550925926</v>
      </c>
      <c r="B114" s="23" t="s">
        <v>90</v>
      </c>
      <c r="C114" s="23" t="s">
        <v>484</v>
      </c>
      <c r="D114" s="23">
        <v>1740000</v>
      </c>
      <c r="E114" s="23" t="s">
        <v>681</v>
      </c>
      <c r="F114" s="23" t="str">
        <f t="shared" si="2"/>
        <v>rtdc.l.rtdc.4013:itc</v>
      </c>
      <c r="G114" s="8">
        <f t="shared" si="3"/>
        <v>42609.54550925926</v>
      </c>
    </row>
    <row r="115" spans="1:7" x14ac:dyDescent="0.25">
      <c r="A115" s="8">
        <v>42609.549490740741</v>
      </c>
      <c r="B115" s="23" t="s">
        <v>114</v>
      </c>
      <c r="C115" s="23" t="s">
        <v>492</v>
      </c>
      <c r="D115" s="23">
        <v>2040000</v>
      </c>
      <c r="E115" s="23" t="s">
        <v>255</v>
      </c>
      <c r="F115" s="23" t="str">
        <f t="shared" si="2"/>
        <v>rtdc.l.rtdc.4031:itc</v>
      </c>
      <c r="G115" s="8">
        <f t="shared" si="3"/>
        <v>42609.549490740741</v>
      </c>
    </row>
    <row r="116" spans="1:7" x14ac:dyDescent="0.25">
      <c r="A116" s="8">
        <v>42609.557453703703</v>
      </c>
      <c r="B116" s="23" t="s">
        <v>254</v>
      </c>
      <c r="C116" s="23" t="s">
        <v>487</v>
      </c>
      <c r="D116" s="23">
        <v>950000</v>
      </c>
      <c r="E116" s="23" t="s">
        <v>294</v>
      </c>
      <c r="F116" s="23" t="str">
        <f t="shared" si="2"/>
        <v>rtdc.l.rtdc.4026:itc</v>
      </c>
      <c r="G116" s="8">
        <f t="shared" si="3"/>
        <v>42609.557453703703</v>
      </c>
    </row>
    <row r="117" spans="1:7" x14ac:dyDescent="0.25">
      <c r="A117" s="8">
        <v>42609.557997685188</v>
      </c>
      <c r="B117" s="23" t="s">
        <v>150</v>
      </c>
      <c r="C117" s="23" t="s">
        <v>497</v>
      </c>
      <c r="D117" s="23">
        <v>2020000</v>
      </c>
      <c r="E117" s="23" t="s">
        <v>292</v>
      </c>
      <c r="F117" s="23" t="str">
        <f t="shared" si="2"/>
        <v>rtdc.l.rtdc.4042:itc</v>
      </c>
      <c r="G117" s="8">
        <f t="shared" si="3"/>
        <v>42609.557997685188</v>
      </c>
    </row>
    <row r="118" spans="1:7" x14ac:dyDescent="0.25">
      <c r="A118" s="8">
        <v>42609.567337962966</v>
      </c>
      <c r="B118" s="23" t="s">
        <v>169</v>
      </c>
      <c r="C118" s="23" t="s">
        <v>538</v>
      </c>
      <c r="D118" s="23">
        <v>1830000</v>
      </c>
      <c r="E118" s="23" t="s">
        <v>679</v>
      </c>
      <c r="F118" s="23" t="str">
        <f t="shared" si="2"/>
        <v>rtdc.l.rtdc.4008:itc</v>
      </c>
      <c r="G118" s="8">
        <f t="shared" si="3"/>
        <v>42609.567337962966</v>
      </c>
    </row>
    <row r="119" spans="1:7" x14ac:dyDescent="0.25">
      <c r="A119" s="8">
        <v>42609.568240740744</v>
      </c>
      <c r="B119" s="23" t="s">
        <v>174</v>
      </c>
      <c r="C119" s="23" t="s">
        <v>489</v>
      </c>
      <c r="D119" s="23">
        <v>880000</v>
      </c>
      <c r="E119" s="23" t="s">
        <v>305</v>
      </c>
      <c r="F119" s="23" t="str">
        <f t="shared" si="2"/>
        <v>rtdc.l.rtdc.4010:itc</v>
      </c>
      <c r="G119" s="8">
        <f t="shared" si="3"/>
        <v>42609.568240740744</v>
      </c>
    </row>
    <row r="120" spans="1:7" x14ac:dyDescent="0.25">
      <c r="A120" s="8">
        <v>42609.569618055553</v>
      </c>
      <c r="B120" s="23" t="s">
        <v>289</v>
      </c>
      <c r="C120" s="23" t="s">
        <v>491</v>
      </c>
      <c r="D120" s="23">
        <v>1280000</v>
      </c>
      <c r="E120" s="23" t="s">
        <v>682</v>
      </c>
      <c r="F120" s="23" t="str">
        <f t="shared" si="2"/>
        <v>rtdc.l.rtdc.4019:itc</v>
      </c>
      <c r="G120" s="8">
        <f t="shared" si="3"/>
        <v>42609.569618055553</v>
      </c>
    </row>
    <row r="121" spans="1:7" x14ac:dyDescent="0.25">
      <c r="A121" s="8">
        <v>42609.572951388887</v>
      </c>
      <c r="B121" s="23" t="s">
        <v>91</v>
      </c>
      <c r="C121" s="23" t="s">
        <v>524</v>
      </c>
      <c r="D121" s="23">
        <v>2270000</v>
      </c>
      <c r="E121" s="23" t="s">
        <v>293</v>
      </c>
      <c r="F121" s="23" t="str">
        <f t="shared" si="2"/>
        <v>rtdc.l.rtdc.4029:itc</v>
      </c>
      <c r="G121" s="8">
        <f t="shared" si="3"/>
        <v>42609.572951388887</v>
      </c>
    </row>
    <row r="122" spans="1:7" x14ac:dyDescent="0.25">
      <c r="A122" s="8">
        <v>42609.573738425926</v>
      </c>
      <c r="B122" s="28" t="s">
        <v>91</v>
      </c>
      <c r="C122" s="23" t="s">
        <v>524</v>
      </c>
      <c r="D122" s="23">
        <v>2270000</v>
      </c>
      <c r="E122" s="23" t="s">
        <v>293</v>
      </c>
      <c r="F122" s="23" t="str">
        <f t="shared" si="2"/>
        <v>rtdc.l.rtdc.4029:itc</v>
      </c>
      <c r="G122" s="8">
        <f t="shared" si="3"/>
        <v>42609.573738425926</v>
      </c>
    </row>
    <row r="123" spans="1:7" x14ac:dyDescent="0.25">
      <c r="A123" s="8">
        <v>42609.575011574074</v>
      </c>
      <c r="B123" s="23" t="s">
        <v>91</v>
      </c>
      <c r="C123" s="23" t="s">
        <v>524</v>
      </c>
      <c r="D123" s="23">
        <v>2270000</v>
      </c>
      <c r="E123" s="23" t="s">
        <v>293</v>
      </c>
      <c r="F123" s="23" t="str">
        <f t="shared" si="2"/>
        <v>rtdc.l.rtdc.4029:itc</v>
      </c>
      <c r="G123" s="8">
        <f t="shared" si="3"/>
        <v>42609.575011574074</v>
      </c>
    </row>
    <row r="124" spans="1:7" x14ac:dyDescent="0.25">
      <c r="A124" s="8">
        <v>42609.578252314815</v>
      </c>
      <c r="B124" s="23" t="s">
        <v>144</v>
      </c>
      <c r="C124" s="23" t="s">
        <v>686</v>
      </c>
      <c r="D124" s="23">
        <v>530000</v>
      </c>
      <c r="E124" s="23" t="s">
        <v>687</v>
      </c>
      <c r="F124" s="23" t="str">
        <f t="shared" si="2"/>
        <v>rtdc.l.rtdc.4037:itc</v>
      </c>
      <c r="G124" s="8">
        <f t="shared" si="3"/>
        <v>42609.578252314815</v>
      </c>
    </row>
    <row r="125" spans="1:7" x14ac:dyDescent="0.25">
      <c r="A125" s="8">
        <v>42609.579606481479</v>
      </c>
      <c r="B125" s="23" t="s">
        <v>151</v>
      </c>
      <c r="C125" s="23" t="s">
        <v>686</v>
      </c>
      <c r="D125" s="23">
        <v>530000</v>
      </c>
      <c r="E125" s="23" t="s">
        <v>687</v>
      </c>
      <c r="F125" s="23" t="str">
        <f t="shared" si="2"/>
        <v>rtdc.l.rtdc.4038:itc</v>
      </c>
      <c r="G125" s="8">
        <f t="shared" si="3"/>
        <v>42609.579606481479</v>
      </c>
    </row>
    <row r="126" spans="1:7" x14ac:dyDescent="0.25">
      <c r="A126" s="8">
        <v>42609.58021990741</v>
      </c>
      <c r="B126" s="23" t="s">
        <v>91</v>
      </c>
      <c r="C126" s="23" t="s">
        <v>524</v>
      </c>
      <c r="D126" s="23">
        <v>2270000</v>
      </c>
      <c r="E126" s="23" t="s">
        <v>293</v>
      </c>
      <c r="F126" s="23" t="str">
        <f t="shared" si="2"/>
        <v>rtdc.l.rtdc.4029:itc</v>
      </c>
      <c r="G126" s="8">
        <f t="shared" si="3"/>
        <v>42609.58021990741</v>
      </c>
    </row>
    <row r="127" spans="1:7" x14ac:dyDescent="0.25">
      <c r="A127" s="8">
        <v>42609.580601851849</v>
      </c>
      <c r="B127" s="23" t="s">
        <v>151</v>
      </c>
      <c r="C127" s="23" t="s">
        <v>686</v>
      </c>
      <c r="D127" s="23">
        <v>530000</v>
      </c>
      <c r="E127" s="23" t="s">
        <v>687</v>
      </c>
      <c r="F127" s="23" t="str">
        <f t="shared" si="2"/>
        <v>rtdc.l.rtdc.4038:itc</v>
      </c>
      <c r="G127" s="8">
        <f t="shared" si="3"/>
        <v>42609.580601851849</v>
      </c>
    </row>
    <row r="128" spans="1:7" x14ac:dyDescent="0.25">
      <c r="A128" s="8">
        <v>42609.580937500003</v>
      </c>
      <c r="B128" s="23" t="s">
        <v>112</v>
      </c>
      <c r="C128" s="23" t="s">
        <v>568</v>
      </c>
      <c r="D128" s="23">
        <v>1740000</v>
      </c>
      <c r="E128" s="23" t="s">
        <v>681</v>
      </c>
      <c r="F128" s="23" t="str">
        <f t="shared" si="2"/>
        <v>rtdc.l.rtdc.4014:itc</v>
      </c>
      <c r="G128" s="8">
        <f t="shared" si="3"/>
        <v>42609.580937500003</v>
      </c>
    </row>
    <row r="129" spans="1:7" x14ac:dyDescent="0.25">
      <c r="A129" s="8">
        <v>42609.582094907404</v>
      </c>
      <c r="B129" s="23" t="s">
        <v>151</v>
      </c>
      <c r="C129" s="23" t="s">
        <v>686</v>
      </c>
      <c r="D129" s="23">
        <v>530000</v>
      </c>
      <c r="E129" s="23" t="s">
        <v>687</v>
      </c>
      <c r="F129" s="23" t="str">
        <f t="shared" si="2"/>
        <v>rtdc.l.rtdc.4038:itc</v>
      </c>
      <c r="G129" s="8">
        <f t="shared" si="3"/>
        <v>42609.582094907404</v>
      </c>
    </row>
    <row r="130" spans="1:7" x14ac:dyDescent="0.25">
      <c r="A130" s="8">
        <v>42609.58730324074</v>
      </c>
      <c r="B130" s="23" t="s">
        <v>115</v>
      </c>
      <c r="C130" s="23" t="s">
        <v>495</v>
      </c>
      <c r="D130" s="23">
        <v>2040000</v>
      </c>
      <c r="E130" s="23" t="s">
        <v>255</v>
      </c>
      <c r="F130" s="23" t="str">
        <f t="shared" ref="F130:F193" si="4">B130</f>
        <v>rtdc.l.rtdc.4032:itc</v>
      </c>
      <c r="G130" s="8">
        <f t="shared" ref="G130:G193" si="5">A130</f>
        <v>42609.58730324074</v>
      </c>
    </row>
    <row r="131" spans="1:7" x14ac:dyDescent="0.25">
      <c r="A131" s="8">
        <v>42609.589537037034</v>
      </c>
      <c r="B131" s="23" t="s">
        <v>186</v>
      </c>
      <c r="C131" s="23" t="s">
        <v>540</v>
      </c>
      <c r="D131" s="23">
        <v>1780000</v>
      </c>
      <c r="E131" s="23" t="s">
        <v>688</v>
      </c>
      <c r="F131" s="23" t="str">
        <f t="shared" si="4"/>
        <v>rtdc.l.rtdc.4007:itc</v>
      </c>
      <c r="G131" s="8">
        <f t="shared" si="5"/>
        <v>42609.589537037034</v>
      </c>
    </row>
    <row r="132" spans="1:7" x14ac:dyDescent="0.25">
      <c r="A132" s="8">
        <v>42609.590312499997</v>
      </c>
      <c r="B132" s="23" t="s">
        <v>253</v>
      </c>
      <c r="C132" s="23" t="s">
        <v>578</v>
      </c>
      <c r="D132" s="23">
        <v>950000</v>
      </c>
      <c r="E132" s="23" t="s">
        <v>294</v>
      </c>
      <c r="F132" s="23" t="str">
        <f t="shared" si="4"/>
        <v>rtdc.l.rtdc.4025:itc</v>
      </c>
      <c r="G132" s="8">
        <f t="shared" si="5"/>
        <v>42609.590312499997</v>
      </c>
    </row>
    <row r="133" spans="1:7" x14ac:dyDescent="0.25">
      <c r="A133" s="8">
        <v>42609.594710648147</v>
      </c>
      <c r="B133" s="23" t="s">
        <v>151</v>
      </c>
      <c r="C133" s="23" t="s">
        <v>669</v>
      </c>
      <c r="D133" s="23">
        <v>1230000</v>
      </c>
      <c r="E133" s="23" t="s">
        <v>170</v>
      </c>
      <c r="F133" s="23" t="str">
        <f t="shared" si="4"/>
        <v>rtdc.l.rtdc.4038:itc</v>
      </c>
      <c r="G133" s="8">
        <f t="shared" si="5"/>
        <v>42609.594710648147</v>
      </c>
    </row>
    <row r="134" spans="1:7" x14ac:dyDescent="0.25">
      <c r="A134" s="8">
        <v>42609.596956018519</v>
      </c>
      <c r="B134" s="23" t="s">
        <v>185</v>
      </c>
      <c r="C134" s="23" t="s">
        <v>499</v>
      </c>
      <c r="D134" s="23">
        <v>2020000</v>
      </c>
      <c r="E134" s="23" t="s">
        <v>292</v>
      </c>
      <c r="F134" s="23" t="str">
        <f t="shared" si="4"/>
        <v>rtdc.l.rtdc.4041:itc</v>
      </c>
      <c r="G134" s="8">
        <f t="shared" si="5"/>
        <v>42609.596956018519</v>
      </c>
    </row>
    <row r="135" spans="1:7" x14ac:dyDescent="0.25">
      <c r="A135" s="8">
        <v>42609.602569444447</v>
      </c>
      <c r="B135" s="23" t="s">
        <v>173</v>
      </c>
      <c r="C135" s="23" t="s">
        <v>580</v>
      </c>
      <c r="D135" s="23">
        <v>880000</v>
      </c>
      <c r="E135" s="23" t="s">
        <v>305</v>
      </c>
      <c r="F135" s="23" t="str">
        <f t="shared" si="4"/>
        <v>rtdc.l.rtdc.4009:itc</v>
      </c>
      <c r="G135" s="8">
        <f t="shared" si="5"/>
        <v>42609.602569444447</v>
      </c>
    </row>
    <row r="136" spans="1:7" x14ac:dyDescent="0.25">
      <c r="A136" s="8">
        <v>42609.609027777777</v>
      </c>
      <c r="B136" s="23" t="s">
        <v>92</v>
      </c>
      <c r="C136" s="23" t="s">
        <v>546</v>
      </c>
      <c r="D136" s="23">
        <v>2270000</v>
      </c>
      <c r="E136" s="23" t="s">
        <v>293</v>
      </c>
      <c r="F136" s="23" t="str">
        <f t="shared" si="4"/>
        <v>rtdc.l.rtdc.4030:itc</v>
      </c>
      <c r="G136" s="8">
        <f t="shared" si="5"/>
        <v>42609.609027777777</v>
      </c>
    </row>
    <row r="137" spans="1:7" x14ac:dyDescent="0.25">
      <c r="A137" s="8">
        <v>42609.609606481485</v>
      </c>
      <c r="B137" s="23" t="s">
        <v>169</v>
      </c>
      <c r="C137" s="23" t="s">
        <v>542</v>
      </c>
      <c r="D137" s="23">
        <v>1780000</v>
      </c>
      <c r="E137" s="23" t="s">
        <v>688</v>
      </c>
      <c r="F137" s="23" t="str">
        <f t="shared" si="4"/>
        <v>rtdc.l.rtdc.4008:itc</v>
      </c>
      <c r="G137" s="8">
        <f t="shared" si="5"/>
        <v>42609.609606481485</v>
      </c>
    </row>
    <row r="138" spans="1:7" x14ac:dyDescent="0.25">
      <c r="A138" s="8">
        <v>42609.61109953704</v>
      </c>
      <c r="B138" s="23" t="s">
        <v>291</v>
      </c>
      <c r="C138" s="23" t="s">
        <v>582</v>
      </c>
      <c r="D138" s="23">
        <v>1280000</v>
      </c>
      <c r="E138" s="23" t="s">
        <v>682</v>
      </c>
      <c r="F138" s="23" t="str">
        <f t="shared" si="4"/>
        <v>rtdc.l.rtdc.4020:itc</v>
      </c>
      <c r="G138" s="8">
        <f t="shared" si="5"/>
        <v>42609.61109953704</v>
      </c>
    </row>
    <row r="139" spans="1:7" x14ac:dyDescent="0.25">
      <c r="A139" s="8">
        <v>42609.616377314815</v>
      </c>
      <c r="B139" s="23" t="s">
        <v>90</v>
      </c>
      <c r="C139" s="23" t="s">
        <v>577</v>
      </c>
      <c r="D139" s="23">
        <v>1740000</v>
      </c>
      <c r="E139" s="23" t="s">
        <v>681</v>
      </c>
      <c r="F139" s="23" t="str">
        <f t="shared" si="4"/>
        <v>rtdc.l.rtdc.4013:itc</v>
      </c>
      <c r="G139" s="8">
        <f t="shared" si="5"/>
        <v>42609.616377314815</v>
      </c>
    </row>
    <row r="140" spans="1:7" x14ac:dyDescent="0.25">
      <c r="A140" s="8">
        <v>42609.622939814813</v>
      </c>
      <c r="B140" s="23" t="s">
        <v>114</v>
      </c>
      <c r="C140" s="23" t="s">
        <v>587</v>
      </c>
      <c r="D140" s="23">
        <v>2040000</v>
      </c>
      <c r="E140" s="23" t="s">
        <v>255</v>
      </c>
      <c r="F140" s="23" t="str">
        <f t="shared" si="4"/>
        <v>rtdc.l.rtdc.4031:itc</v>
      </c>
      <c r="G140" s="8">
        <f t="shared" si="5"/>
        <v>42609.622939814813</v>
      </c>
    </row>
    <row r="141" spans="1:7" x14ac:dyDescent="0.25">
      <c r="A141" s="8">
        <v>42609.630682870367</v>
      </c>
      <c r="B141" s="23" t="s">
        <v>254</v>
      </c>
      <c r="C141" s="23" t="s">
        <v>579</v>
      </c>
      <c r="D141" s="23">
        <v>950000</v>
      </c>
      <c r="E141" s="23" t="s">
        <v>294</v>
      </c>
      <c r="F141" s="23" t="str">
        <f t="shared" si="4"/>
        <v>rtdc.l.rtdc.4026:itc</v>
      </c>
      <c r="G141" s="8">
        <f t="shared" si="5"/>
        <v>42609.630682870367</v>
      </c>
    </row>
    <row r="142" spans="1:7" x14ac:dyDescent="0.25">
      <c r="A142" s="8">
        <v>42609.631655092591</v>
      </c>
      <c r="B142" s="23" t="s">
        <v>150</v>
      </c>
      <c r="C142" s="23" t="s">
        <v>591</v>
      </c>
      <c r="D142" s="23">
        <v>2020000</v>
      </c>
      <c r="E142" s="23" t="s">
        <v>292</v>
      </c>
      <c r="F142" s="23" t="str">
        <f t="shared" si="4"/>
        <v>rtdc.l.rtdc.4042:itc</v>
      </c>
      <c r="G142" s="8">
        <f t="shared" si="5"/>
        <v>42609.631655092591</v>
      </c>
    </row>
    <row r="143" spans="1:7" x14ac:dyDescent="0.25">
      <c r="A143" s="8">
        <v>42609.636458333334</v>
      </c>
      <c r="B143" s="23" t="s">
        <v>186</v>
      </c>
      <c r="C143" s="23" t="s">
        <v>544</v>
      </c>
      <c r="D143" s="23">
        <v>1780000</v>
      </c>
      <c r="E143" s="23" t="s">
        <v>688</v>
      </c>
      <c r="F143" s="23" t="str">
        <f t="shared" si="4"/>
        <v>rtdc.l.rtdc.4007:itc</v>
      </c>
      <c r="G143" s="8">
        <f t="shared" si="5"/>
        <v>42609.636458333334</v>
      </c>
    </row>
    <row r="144" spans="1:7" x14ac:dyDescent="0.25">
      <c r="A144" s="8">
        <v>42609.637337962966</v>
      </c>
      <c r="B144" s="23" t="s">
        <v>174</v>
      </c>
      <c r="C144" s="23" t="s">
        <v>581</v>
      </c>
      <c r="D144" s="23">
        <v>880000</v>
      </c>
      <c r="E144" s="23" t="s">
        <v>305</v>
      </c>
      <c r="F144" s="23" t="str">
        <f t="shared" si="4"/>
        <v>rtdc.l.rtdc.4010:itc</v>
      </c>
      <c r="G144" s="8">
        <f t="shared" si="5"/>
        <v>42609.637337962966</v>
      </c>
    </row>
    <row r="145" spans="1:7" x14ac:dyDescent="0.25">
      <c r="A145" s="8">
        <v>42609.643009259256</v>
      </c>
      <c r="B145" s="23" t="s">
        <v>91</v>
      </c>
      <c r="C145" s="23" t="s">
        <v>594</v>
      </c>
      <c r="D145" s="23">
        <v>2270000</v>
      </c>
      <c r="E145" s="23" t="s">
        <v>293</v>
      </c>
      <c r="F145" s="23" t="str">
        <f t="shared" si="4"/>
        <v>rtdc.l.rtdc.4029:itc</v>
      </c>
      <c r="G145" s="8">
        <f t="shared" si="5"/>
        <v>42609.643009259256</v>
      </c>
    </row>
    <row r="146" spans="1:7" x14ac:dyDescent="0.25">
      <c r="A146" s="8">
        <v>42609.649548611109</v>
      </c>
      <c r="B146" s="23" t="s">
        <v>289</v>
      </c>
      <c r="C146" s="23" t="s">
        <v>584</v>
      </c>
      <c r="D146" s="23">
        <v>1280000</v>
      </c>
      <c r="E146" s="23" t="s">
        <v>682</v>
      </c>
      <c r="F146" s="23" t="str">
        <f t="shared" si="4"/>
        <v>rtdc.l.rtdc.4019:itc</v>
      </c>
      <c r="G146" s="8">
        <f t="shared" si="5"/>
        <v>42609.649548611109</v>
      </c>
    </row>
    <row r="147" spans="1:7" x14ac:dyDescent="0.25">
      <c r="A147" s="8">
        <v>42609.650775462964</v>
      </c>
      <c r="B147" s="23" t="s">
        <v>169</v>
      </c>
      <c r="C147" s="23" t="s">
        <v>547</v>
      </c>
      <c r="D147" s="23">
        <v>1780000</v>
      </c>
      <c r="E147" s="23" t="s">
        <v>688</v>
      </c>
      <c r="F147" s="23" t="str">
        <f t="shared" si="4"/>
        <v>rtdc.l.rtdc.4008:itc</v>
      </c>
      <c r="G147" s="8">
        <f t="shared" si="5"/>
        <v>42609.650775462964</v>
      </c>
    </row>
    <row r="148" spans="1:7" x14ac:dyDescent="0.25">
      <c r="A148" s="8">
        <v>42609.653495370374</v>
      </c>
      <c r="B148" s="23" t="s">
        <v>112</v>
      </c>
      <c r="C148" s="23" t="s">
        <v>597</v>
      </c>
      <c r="D148" s="23">
        <v>1740000</v>
      </c>
      <c r="E148" s="23" t="s">
        <v>681</v>
      </c>
      <c r="F148" s="23" t="str">
        <f t="shared" si="4"/>
        <v>rtdc.l.rtdc.4014:itc</v>
      </c>
      <c r="G148" s="8">
        <f t="shared" si="5"/>
        <v>42609.653495370374</v>
      </c>
    </row>
    <row r="149" spans="1:7" x14ac:dyDescent="0.25">
      <c r="A149" s="8">
        <v>42609.661886574075</v>
      </c>
      <c r="B149" s="23" t="s">
        <v>115</v>
      </c>
      <c r="C149" s="23" t="s">
        <v>589</v>
      </c>
      <c r="D149" s="23">
        <v>2040000</v>
      </c>
      <c r="E149" s="23" t="s">
        <v>255</v>
      </c>
      <c r="F149" s="23" t="str">
        <f t="shared" si="4"/>
        <v>rtdc.l.rtdc.4032:itc</v>
      </c>
      <c r="G149" s="8">
        <f t="shared" si="5"/>
        <v>42609.661886574075</v>
      </c>
    </row>
    <row r="150" spans="1:7" x14ac:dyDescent="0.25">
      <c r="A150" s="8">
        <v>42609.663449074076</v>
      </c>
      <c r="B150" s="23" t="s">
        <v>253</v>
      </c>
      <c r="C150" s="23" t="s">
        <v>599</v>
      </c>
      <c r="D150" s="23">
        <v>950000</v>
      </c>
      <c r="E150" s="23" t="s">
        <v>294</v>
      </c>
      <c r="F150" s="23" t="str">
        <f t="shared" si="4"/>
        <v>rtdc.l.rtdc.4025:itc</v>
      </c>
      <c r="G150" s="8">
        <f t="shared" si="5"/>
        <v>42609.663449074076</v>
      </c>
    </row>
    <row r="151" spans="1:7" x14ac:dyDescent="0.25">
      <c r="A151" s="8">
        <v>42609.668229166666</v>
      </c>
      <c r="B151" s="23" t="s">
        <v>185</v>
      </c>
      <c r="C151" s="23" t="s">
        <v>593</v>
      </c>
      <c r="D151" s="23">
        <v>2020000</v>
      </c>
      <c r="E151" s="23" t="s">
        <v>292</v>
      </c>
      <c r="F151" s="23" t="str">
        <f t="shared" si="4"/>
        <v>rtdc.l.rtdc.4041:itc</v>
      </c>
      <c r="G151" s="8">
        <f t="shared" si="5"/>
        <v>42609.668229166666</v>
      </c>
    </row>
    <row r="152" spans="1:7" x14ac:dyDescent="0.25">
      <c r="A152" s="8">
        <v>42609.675416666665</v>
      </c>
      <c r="B152" s="23" t="s">
        <v>173</v>
      </c>
      <c r="C152" s="23" t="s">
        <v>602</v>
      </c>
      <c r="D152" s="23">
        <v>880000</v>
      </c>
      <c r="E152" s="23" t="s">
        <v>305</v>
      </c>
      <c r="F152" s="23" t="str">
        <f t="shared" si="4"/>
        <v>rtdc.l.rtdc.4009:itc</v>
      </c>
      <c r="G152" s="8">
        <f t="shared" si="5"/>
        <v>42609.675416666665</v>
      </c>
    </row>
    <row r="153" spans="1:7" x14ac:dyDescent="0.25">
      <c r="A153" s="8">
        <v>42609.677303240744</v>
      </c>
      <c r="B153" s="23" t="s">
        <v>186</v>
      </c>
      <c r="C153" s="23" t="s">
        <v>550</v>
      </c>
      <c r="D153" s="23">
        <v>1780000</v>
      </c>
      <c r="E153" s="23" t="s">
        <v>688</v>
      </c>
      <c r="F153" s="23" t="str">
        <f t="shared" si="4"/>
        <v>rtdc.l.rtdc.4007:itc</v>
      </c>
      <c r="G153" s="8">
        <f t="shared" si="5"/>
        <v>42609.677303240744</v>
      </c>
    </row>
    <row r="154" spans="1:7" x14ac:dyDescent="0.25">
      <c r="A154" s="8">
        <v>42609.680335648147</v>
      </c>
      <c r="B154" s="23" t="s">
        <v>92</v>
      </c>
      <c r="C154" s="23" t="s">
        <v>596</v>
      </c>
      <c r="D154" s="23">
        <v>2270000</v>
      </c>
      <c r="E154" s="23" t="s">
        <v>293</v>
      </c>
      <c r="F154" s="23" t="str">
        <f t="shared" si="4"/>
        <v>rtdc.l.rtdc.4030:itc</v>
      </c>
      <c r="G154" s="8">
        <f t="shared" si="5"/>
        <v>42609.680335648147</v>
      </c>
    </row>
    <row r="155" spans="1:7" x14ac:dyDescent="0.25">
      <c r="A155" s="8">
        <v>42609.683935185189</v>
      </c>
      <c r="B155" s="23" t="s">
        <v>291</v>
      </c>
      <c r="C155" s="23" t="s">
        <v>606</v>
      </c>
      <c r="D155" s="23">
        <v>1280000</v>
      </c>
      <c r="E155" s="23" t="s">
        <v>682</v>
      </c>
      <c r="F155" s="23" t="str">
        <f t="shared" si="4"/>
        <v>rtdc.l.rtdc.4020:itc</v>
      </c>
      <c r="G155" s="8">
        <f t="shared" si="5"/>
        <v>42609.683935185189</v>
      </c>
    </row>
    <row r="156" spans="1:7" x14ac:dyDescent="0.25">
      <c r="A156" s="8">
        <v>42609.688784722224</v>
      </c>
      <c r="B156" s="23" t="s">
        <v>90</v>
      </c>
      <c r="C156" s="23" t="s">
        <v>598</v>
      </c>
      <c r="D156" s="23">
        <v>1740000</v>
      </c>
      <c r="E156" s="23" t="s">
        <v>681</v>
      </c>
      <c r="F156" s="23" t="str">
        <f t="shared" si="4"/>
        <v>rtdc.l.rtdc.4013:itc</v>
      </c>
      <c r="G156" s="8">
        <f t="shared" si="5"/>
        <v>42609.688784722224</v>
      </c>
    </row>
    <row r="157" spans="1:7" x14ac:dyDescent="0.25">
      <c r="A157" s="8">
        <v>42609.692326388889</v>
      </c>
      <c r="B157" s="23" t="s">
        <v>169</v>
      </c>
      <c r="C157" s="23" t="s">
        <v>551</v>
      </c>
      <c r="D157" s="23">
        <v>1780000</v>
      </c>
      <c r="E157" s="23" t="s">
        <v>688</v>
      </c>
      <c r="F157" s="23" t="str">
        <f t="shared" si="4"/>
        <v>rtdc.l.rtdc.4008:itc</v>
      </c>
      <c r="G157" s="8">
        <f t="shared" si="5"/>
        <v>42609.692326388889</v>
      </c>
    </row>
    <row r="158" spans="1:7" x14ac:dyDescent="0.25">
      <c r="A158" s="8">
        <v>42609.695601851854</v>
      </c>
      <c r="B158" s="23" t="s">
        <v>114</v>
      </c>
      <c r="C158" s="23" t="s">
        <v>608</v>
      </c>
      <c r="D158" s="23">
        <v>2040000</v>
      </c>
      <c r="E158" s="23" t="s">
        <v>255</v>
      </c>
      <c r="F158" s="23" t="str">
        <f t="shared" si="4"/>
        <v>rtdc.l.rtdc.4031:itc</v>
      </c>
      <c r="G158" s="8">
        <f t="shared" si="5"/>
        <v>42609.695601851854</v>
      </c>
    </row>
    <row r="159" spans="1:7" x14ac:dyDescent="0.25">
      <c r="A159" s="8">
        <v>42609.703101851854</v>
      </c>
      <c r="B159" s="23" t="s">
        <v>254</v>
      </c>
      <c r="C159" s="23" t="s">
        <v>601</v>
      </c>
      <c r="D159" s="23">
        <v>950000</v>
      </c>
      <c r="E159" s="23" t="s">
        <v>294</v>
      </c>
      <c r="F159" s="23" t="str">
        <f t="shared" si="4"/>
        <v>rtdc.l.rtdc.4026:itc</v>
      </c>
      <c r="G159" s="8">
        <f t="shared" si="5"/>
        <v>42609.703101851854</v>
      </c>
    </row>
    <row r="160" spans="1:7" x14ac:dyDescent="0.25">
      <c r="A160" s="8">
        <v>42609.703831018516</v>
      </c>
      <c r="B160" s="23" t="s">
        <v>150</v>
      </c>
      <c r="C160" s="23" t="s">
        <v>611</v>
      </c>
      <c r="D160" s="23">
        <v>2020000</v>
      </c>
      <c r="E160" s="23" t="s">
        <v>292</v>
      </c>
      <c r="F160" s="23" t="str">
        <f t="shared" si="4"/>
        <v>rtdc.l.rtdc.4042:itc</v>
      </c>
      <c r="G160" s="8">
        <f t="shared" si="5"/>
        <v>42609.703831018516</v>
      </c>
    </row>
    <row r="161" spans="1:7" x14ac:dyDescent="0.25">
      <c r="A161" s="8">
        <v>42609.714050925926</v>
      </c>
      <c r="B161" s="23" t="s">
        <v>174</v>
      </c>
      <c r="C161" s="23" t="s">
        <v>605</v>
      </c>
      <c r="D161" s="23">
        <v>880000</v>
      </c>
      <c r="E161" s="23" t="s">
        <v>305</v>
      </c>
      <c r="F161" s="23" t="str">
        <f t="shared" si="4"/>
        <v>rtdc.l.rtdc.4010:itc</v>
      </c>
      <c r="G161" s="8">
        <f t="shared" si="5"/>
        <v>42609.714050925926</v>
      </c>
    </row>
    <row r="162" spans="1:7" x14ac:dyDescent="0.25">
      <c r="A162" s="8">
        <v>42609.71534722222</v>
      </c>
      <c r="B162" s="23" t="s">
        <v>289</v>
      </c>
      <c r="C162" s="23" t="s">
        <v>607</v>
      </c>
      <c r="D162" s="23">
        <v>1280000</v>
      </c>
      <c r="E162" s="23" t="s">
        <v>682</v>
      </c>
      <c r="F162" s="23" t="str">
        <f t="shared" si="4"/>
        <v>rtdc.l.rtdc.4019:itc</v>
      </c>
      <c r="G162" s="8">
        <f t="shared" si="5"/>
        <v>42609.71534722222</v>
      </c>
    </row>
    <row r="163" spans="1:7" x14ac:dyDescent="0.25">
      <c r="A163" s="8">
        <v>42609.716064814813</v>
      </c>
      <c r="B163" s="23" t="s">
        <v>91</v>
      </c>
      <c r="C163" s="23" t="s">
        <v>614</v>
      </c>
      <c r="D163" s="23">
        <v>2270000</v>
      </c>
      <c r="E163" s="23" t="s">
        <v>293</v>
      </c>
      <c r="F163" s="23" t="str">
        <f t="shared" si="4"/>
        <v>rtdc.l.rtdc.4029:itc</v>
      </c>
      <c r="G163" s="8">
        <f t="shared" si="5"/>
        <v>42609.716064814813</v>
      </c>
    </row>
    <row r="164" spans="1:7" x14ac:dyDescent="0.25">
      <c r="A164" s="8">
        <v>42609.716886574075</v>
      </c>
      <c r="B164" s="23" t="s">
        <v>186</v>
      </c>
      <c r="C164" s="23" t="s">
        <v>553</v>
      </c>
      <c r="D164" s="23">
        <v>1780000</v>
      </c>
      <c r="E164" s="23" t="s">
        <v>688</v>
      </c>
      <c r="F164" s="23" t="str">
        <f t="shared" si="4"/>
        <v>rtdc.l.rtdc.4007:itc</v>
      </c>
      <c r="G164" s="8">
        <f t="shared" si="5"/>
        <v>42609.716886574075</v>
      </c>
    </row>
    <row r="165" spans="1:7" x14ac:dyDescent="0.25">
      <c r="A165" s="8">
        <v>42609.725601851853</v>
      </c>
      <c r="B165" s="23" t="s">
        <v>112</v>
      </c>
      <c r="C165" s="23" t="s">
        <v>617</v>
      </c>
      <c r="D165" s="23">
        <v>1740000</v>
      </c>
      <c r="E165" s="23" t="s">
        <v>681</v>
      </c>
      <c r="F165" s="23" t="str">
        <f t="shared" si="4"/>
        <v>rtdc.l.rtdc.4014:itc</v>
      </c>
      <c r="G165" s="8">
        <f t="shared" si="5"/>
        <v>42609.725601851853</v>
      </c>
    </row>
    <row r="166" spans="1:7" x14ac:dyDescent="0.25">
      <c r="A166" s="8">
        <v>42609.734039351853</v>
      </c>
      <c r="B166" s="23" t="s">
        <v>169</v>
      </c>
      <c r="C166" s="23" t="s">
        <v>555</v>
      </c>
      <c r="D166" s="23">
        <v>1780000</v>
      </c>
      <c r="E166" s="23" t="s">
        <v>688</v>
      </c>
      <c r="F166" s="23" t="str">
        <f t="shared" si="4"/>
        <v>rtdc.l.rtdc.4008:itc</v>
      </c>
      <c r="G166" s="8">
        <f t="shared" si="5"/>
        <v>42609.734039351853</v>
      </c>
    </row>
    <row r="167" spans="1:7" x14ac:dyDescent="0.25">
      <c r="A167" s="8">
        <v>42609.735196759262</v>
      </c>
      <c r="B167" s="23" t="s">
        <v>115</v>
      </c>
      <c r="C167" s="23" t="s">
        <v>610</v>
      </c>
      <c r="D167" s="23">
        <v>2040000</v>
      </c>
      <c r="E167" s="23" t="s">
        <v>255</v>
      </c>
      <c r="F167" s="23" t="str">
        <f t="shared" si="4"/>
        <v>rtdc.l.rtdc.4032:itc</v>
      </c>
      <c r="G167" s="8">
        <f t="shared" si="5"/>
        <v>42609.735196759262</v>
      </c>
    </row>
    <row r="168" spans="1:7" x14ac:dyDescent="0.25">
      <c r="A168" s="8">
        <v>42609.736689814818</v>
      </c>
      <c r="B168" s="23" t="s">
        <v>253</v>
      </c>
      <c r="C168" s="23" t="s">
        <v>619</v>
      </c>
      <c r="D168" s="23">
        <v>2220000</v>
      </c>
      <c r="E168" s="23" t="s">
        <v>689</v>
      </c>
      <c r="F168" s="23" t="str">
        <f t="shared" si="4"/>
        <v>rtdc.l.rtdc.4025:itc</v>
      </c>
      <c r="G168" s="8">
        <f t="shared" si="5"/>
        <v>42609.736689814818</v>
      </c>
    </row>
    <row r="169" spans="1:7" x14ac:dyDescent="0.25">
      <c r="A169" s="8">
        <v>42609.741168981483</v>
      </c>
      <c r="B169" s="23" t="s">
        <v>185</v>
      </c>
      <c r="C169" s="23" t="s">
        <v>612</v>
      </c>
      <c r="D169" s="23">
        <v>2020000</v>
      </c>
      <c r="E169" s="23" t="s">
        <v>292</v>
      </c>
      <c r="F169" s="23" t="str">
        <f t="shared" si="4"/>
        <v>rtdc.l.rtdc.4041:itc</v>
      </c>
      <c r="G169" s="8">
        <f t="shared" si="5"/>
        <v>42609.741168981483</v>
      </c>
    </row>
    <row r="170" spans="1:7" x14ac:dyDescent="0.25">
      <c r="A170" s="8">
        <v>42609.746099537035</v>
      </c>
      <c r="B170" s="23" t="s">
        <v>173</v>
      </c>
      <c r="C170" s="23" t="s">
        <v>621</v>
      </c>
      <c r="D170" s="23">
        <v>950000</v>
      </c>
      <c r="E170" s="23" t="s">
        <v>294</v>
      </c>
      <c r="F170" s="23" t="str">
        <f t="shared" si="4"/>
        <v>rtdc.l.rtdc.4009:itc</v>
      </c>
      <c r="G170" s="8">
        <f t="shared" si="5"/>
        <v>42609.746099537035</v>
      </c>
    </row>
    <row r="171" spans="1:7" x14ac:dyDescent="0.25">
      <c r="A171" s="8">
        <v>42609.750127314815</v>
      </c>
      <c r="B171" s="23" t="s">
        <v>92</v>
      </c>
      <c r="C171" s="23" t="s">
        <v>616</v>
      </c>
      <c r="D171" s="23">
        <v>2270000</v>
      </c>
      <c r="E171" s="23" t="s">
        <v>293</v>
      </c>
      <c r="F171" s="23" t="str">
        <f t="shared" si="4"/>
        <v>rtdc.l.rtdc.4030:itc</v>
      </c>
      <c r="G171" s="8">
        <f t="shared" si="5"/>
        <v>42609.750127314815</v>
      </c>
    </row>
    <row r="172" spans="1:7" x14ac:dyDescent="0.25">
      <c r="A172" s="8">
        <v>42609.759027777778</v>
      </c>
      <c r="B172" s="23" t="s">
        <v>291</v>
      </c>
      <c r="C172" s="23" t="s">
        <v>623</v>
      </c>
      <c r="D172" s="23">
        <v>1800000</v>
      </c>
      <c r="E172" s="23" t="s">
        <v>176</v>
      </c>
      <c r="F172" s="23" t="str">
        <f t="shared" si="4"/>
        <v>rtdc.l.rtdc.4020:itc</v>
      </c>
      <c r="G172" s="8">
        <f t="shared" si="5"/>
        <v>42609.759027777778</v>
      </c>
    </row>
    <row r="173" spans="1:7" x14ac:dyDescent="0.25">
      <c r="A173" s="8">
        <v>42609.761493055557</v>
      </c>
      <c r="B173" s="23" t="s">
        <v>90</v>
      </c>
      <c r="C173" s="23" t="s">
        <v>618</v>
      </c>
      <c r="D173" s="23">
        <v>1740000</v>
      </c>
      <c r="E173" s="23" t="s">
        <v>681</v>
      </c>
      <c r="F173" s="23" t="str">
        <f t="shared" si="4"/>
        <v>rtdc.l.rtdc.4013:itc</v>
      </c>
      <c r="G173" s="8">
        <f t="shared" si="5"/>
        <v>42609.761493055557</v>
      </c>
    </row>
    <row r="174" spans="1:7" x14ac:dyDescent="0.25">
      <c r="A174" s="8">
        <v>42609.762314814812</v>
      </c>
      <c r="B174" s="23" t="s">
        <v>186</v>
      </c>
      <c r="C174" s="23" t="s">
        <v>557</v>
      </c>
      <c r="D174" s="23">
        <v>1780000</v>
      </c>
      <c r="E174" s="23" t="s">
        <v>688</v>
      </c>
      <c r="F174" s="23" t="str">
        <f t="shared" si="4"/>
        <v>rtdc.l.rtdc.4007:itc</v>
      </c>
      <c r="G174" s="8">
        <f t="shared" si="5"/>
        <v>42609.762314814812</v>
      </c>
    </row>
    <row r="175" spans="1:7" x14ac:dyDescent="0.25">
      <c r="A175" s="8">
        <v>42609.76734953704</v>
      </c>
      <c r="B175" s="23" t="s">
        <v>254</v>
      </c>
      <c r="C175" s="23" t="s">
        <v>620</v>
      </c>
      <c r="D175" s="23">
        <v>2220000</v>
      </c>
      <c r="E175" s="23" t="s">
        <v>689</v>
      </c>
      <c r="F175" s="23" t="str">
        <f t="shared" si="4"/>
        <v>rtdc.l.rtdc.4026:itc</v>
      </c>
      <c r="G175" s="8">
        <f t="shared" si="5"/>
        <v>42609.76734953704</v>
      </c>
    </row>
    <row r="176" spans="1:7" x14ac:dyDescent="0.25">
      <c r="A176" s="8">
        <v>42609.770474537036</v>
      </c>
      <c r="B176" s="23" t="s">
        <v>114</v>
      </c>
      <c r="C176" s="23" t="s">
        <v>626</v>
      </c>
      <c r="D176" s="23">
        <v>1480000</v>
      </c>
      <c r="E176" s="23" t="s">
        <v>256</v>
      </c>
      <c r="F176" s="23" t="str">
        <f t="shared" si="4"/>
        <v>rtdc.l.rtdc.4031:itc</v>
      </c>
      <c r="G176" s="8">
        <f t="shared" si="5"/>
        <v>42609.770474537036</v>
      </c>
    </row>
    <row r="177" spans="1:7" x14ac:dyDescent="0.25">
      <c r="A177" s="8">
        <v>42609.776064814818</v>
      </c>
      <c r="B177" s="23" t="s">
        <v>169</v>
      </c>
      <c r="C177" s="23" t="s">
        <v>560</v>
      </c>
      <c r="D177" s="23">
        <v>1780000</v>
      </c>
      <c r="E177" s="23" t="s">
        <v>688</v>
      </c>
      <c r="F177" s="23" t="str">
        <f t="shared" si="4"/>
        <v>rtdc.l.rtdc.4008:itc</v>
      </c>
      <c r="G177" s="8">
        <f t="shared" si="5"/>
        <v>42609.776064814818</v>
      </c>
    </row>
    <row r="178" spans="1:7" x14ac:dyDescent="0.25">
      <c r="A178" s="8">
        <v>42609.777662037035</v>
      </c>
      <c r="B178" s="23" t="s">
        <v>150</v>
      </c>
      <c r="C178" s="23" t="s">
        <v>660</v>
      </c>
      <c r="D178" s="23">
        <v>2020000</v>
      </c>
      <c r="E178" s="23" t="s">
        <v>292</v>
      </c>
      <c r="F178" s="23" t="str">
        <f t="shared" si="4"/>
        <v>rtdc.l.rtdc.4042:itc</v>
      </c>
      <c r="G178" s="8">
        <f t="shared" si="5"/>
        <v>42609.777662037035</v>
      </c>
    </row>
    <row r="179" spans="1:7" x14ac:dyDescent="0.25">
      <c r="A179" s="8">
        <v>42609.786076388889</v>
      </c>
      <c r="B179" s="23" t="s">
        <v>174</v>
      </c>
      <c r="C179" s="23" t="s">
        <v>622</v>
      </c>
      <c r="D179" s="23">
        <v>950000</v>
      </c>
      <c r="E179" s="23" t="s">
        <v>294</v>
      </c>
      <c r="F179" s="23" t="str">
        <f t="shared" si="4"/>
        <v>rtdc.l.rtdc.4010:itc</v>
      </c>
      <c r="G179" s="8">
        <f t="shared" si="5"/>
        <v>42609.786076388889</v>
      </c>
    </row>
    <row r="180" spans="1:7" x14ac:dyDescent="0.25">
      <c r="A180" s="8">
        <v>42609.787858796299</v>
      </c>
      <c r="B180" s="23" t="s">
        <v>151</v>
      </c>
      <c r="C180" s="23" t="s">
        <v>676</v>
      </c>
      <c r="D180" s="23">
        <v>1230000</v>
      </c>
      <c r="E180" s="23" t="s">
        <v>170</v>
      </c>
      <c r="F180" s="23" t="str">
        <f t="shared" si="4"/>
        <v>rtdc.l.rtdc.4038:itc</v>
      </c>
      <c r="G180" s="8">
        <f t="shared" si="5"/>
        <v>42609.787858796299</v>
      </c>
    </row>
    <row r="181" spans="1:7" x14ac:dyDescent="0.25">
      <c r="A181" s="8">
        <v>42609.788229166668</v>
      </c>
      <c r="B181" s="23" t="s">
        <v>91</v>
      </c>
      <c r="C181" s="23" t="s">
        <v>628</v>
      </c>
      <c r="D181" s="23">
        <v>2000000</v>
      </c>
      <c r="E181" s="23" t="s">
        <v>143</v>
      </c>
      <c r="F181" s="23" t="str">
        <f t="shared" si="4"/>
        <v>rtdc.l.rtdc.4029:itc</v>
      </c>
      <c r="G181" s="8">
        <f t="shared" si="5"/>
        <v>42609.788229166668</v>
      </c>
    </row>
    <row r="182" spans="1:7" x14ac:dyDescent="0.25">
      <c r="A182" s="8">
        <v>42609.798587962963</v>
      </c>
      <c r="B182" s="23" t="s">
        <v>289</v>
      </c>
      <c r="C182" s="23" t="s">
        <v>625</v>
      </c>
      <c r="D182" s="23">
        <v>1800000</v>
      </c>
      <c r="E182" s="23" t="s">
        <v>176</v>
      </c>
      <c r="F182" s="23" t="str">
        <f t="shared" si="4"/>
        <v>rtdc.l.rtdc.4019:itc</v>
      </c>
      <c r="G182" s="8">
        <f t="shared" si="5"/>
        <v>42609.798587962963</v>
      </c>
    </row>
    <row r="183" spans="1:7" x14ac:dyDescent="0.25">
      <c r="A183" s="8">
        <v>42609.799421296295</v>
      </c>
      <c r="B183" s="23" t="s">
        <v>112</v>
      </c>
      <c r="C183" s="23" t="s">
        <v>690</v>
      </c>
      <c r="D183" s="23">
        <v>1740000</v>
      </c>
      <c r="E183" s="23" t="s">
        <v>681</v>
      </c>
      <c r="F183" s="23" t="str">
        <f t="shared" si="4"/>
        <v>rtdc.l.rtdc.4014:itc</v>
      </c>
      <c r="G183" s="8">
        <f t="shared" si="5"/>
        <v>42609.799421296295</v>
      </c>
    </row>
    <row r="184" spans="1:7" x14ac:dyDescent="0.25">
      <c r="A184" s="8">
        <v>42609.803518518522</v>
      </c>
      <c r="B184" s="23" t="s">
        <v>186</v>
      </c>
      <c r="C184" s="23" t="s">
        <v>562</v>
      </c>
      <c r="D184" s="23">
        <v>1780000</v>
      </c>
      <c r="E184" s="23" t="s">
        <v>688</v>
      </c>
      <c r="F184" s="23" t="str">
        <f t="shared" si="4"/>
        <v>rtdc.l.rtdc.4007:itc</v>
      </c>
      <c r="G184" s="8">
        <f t="shared" si="5"/>
        <v>42609.803518518522</v>
      </c>
    </row>
    <row r="185" spans="1:7" x14ac:dyDescent="0.25">
      <c r="A185" s="8">
        <v>42609.80673611111</v>
      </c>
      <c r="B185" s="23" t="s">
        <v>115</v>
      </c>
      <c r="C185" s="23" t="s">
        <v>627</v>
      </c>
      <c r="D185" s="23">
        <v>1480000</v>
      </c>
      <c r="E185" s="23" t="s">
        <v>256</v>
      </c>
      <c r="F185" s="23" t="str">
        <f t="shared" si="4"/>
        <v>rtdc.l.rtdc.4032:itc</v>
      </c>
      <c r="G185" s="8">
        <f t="shared" si="5"/>
        <v>42609.80673611111</v>
      </c>
    </row>
    <row r="186" spans="1:7" x14ac:dyDescent="0.25">
      <c r="A186" s="8">
        <v>42609.807800925926</v>
      </c>
      <c r="B186" s="23" t="s">
        <v>253</v>
      </c>
      <c r="C186" s="23" t="s">
        <v>630</v>
      </c>
      <c r="D186" s="23">
        <v>2220000</v>
      </c>
      <c r="E186" s="23" t="s">
        <v>689</v>
      </c>
      <c r="F186" s="23" t="str">
        <f t="shared" si="4"/>
        <v>rtdc.l.rtdc.4025:itc</v>
      </c>
      <c r="G186" s="8">
        <f t="shared" si="5"/>
        <v>42609.807800925926</v>
      </c>
    </row>
    <row r="187" spans="1:7" x14ac:dyDescent="0.25">
      <c r="A187" s="8">
        <v>42609.818807870368</v>
      </c>
      <c r="B187" s="23" t="s">
        <v>169</v>
      </c>
      <c r="C187" s="23" t="s">
        <v>564</v>
      </c>
      <c r="D187" s="23">
        <v>1780000</v>
      </c>
      <c r="E187" s="23" t="s">
        <v>688</v>
      </c>
      <c r="F187" s="23" t="str">
        <f t="shared" si="4"/>
        <v>rtdc.l.rtdc.4008:itc</v>
      </c>
      <c r="G187" s="8">
        <f t="shared" si="5"/>
        <v>42609.818807870368</v>
      </c>
    </row>
    <row r="188" spans="1:7" x14ac:dyDescent="0.25">
      <c r="A188" s="8">
        <v>42609.820347222223</v>
      </c>
      <c r="B188" s="23" t="s">
        <v>173</v>
      </c>
      <c r="C188" s="23" t="s">
        <v>662</v>
      </c>
      <c r="D188" s="23">
        <v>950000</v>
      </c>
      <c r="E188" s="23" t="s">
        <v>294</v>
      </c>
      <c r="F188" s="23" t="str">
        <f t="shared" si="4"/>
        <v>rtdc.l.rtdc.4009:itc</v>
      </c>
      <c r="G188" s="8">
        <f t="shared" si="5"/>
        <v>42609.820347222223</v>
      </c>
    </row>
    <row r="189" spans="1:7" x14ac:dyDescent="0.25">
      <c r="A189" s="8">
        <v>42609.822650462964</v>
      </c>
      <c r="B189" s="23" t="s">
        <v>290</v>
      </c>
      <c r="C189" s="23" t="s">
        <v>667</v>
      </c>
      <c r="D189" s="23">
        <v>1230000</v>
      </c>
      <c r="E189" s="23" t="s">
        <v>170</v>
      </c>
      <c r="F189" s="23" t="str">
        <f t="shared" si="4"/>
        <v>rtdc.l.rtdc.4012:itc</v>
      </c>
      <c r="G189" s="8">
        <f t="shared" si="5"/>
        <v>42609.822650462964</v>
      </c>
    </row>
    <row r="190" spans="1:7" x14ac:dyDescent="0.25">
      <c r="A190" s="8">
        <v>42609.826099537036</v>
      </c>
      <c r="B190" s="23" t="s">
        <v>92</v>
      </c>
      <c r="C190" s="23" t="s">
        <v>629</v>
      </c>
      <c r="D190" s="23">
        <v>2000000</v>
      </c>
      <c r="E190" s="23" t="s">
        <v>143</v>
      </c>
      <c r="F190" s="23" t="str">
        <f t="shared" si="4"/>
        <v>rtdc.l.rtdc.4030:itc</v>
      </c>
      <c r="G190" s="8">
        <f t="shared" si="5"/>
        <v>42609.826099537036</v>
      </c>
    </row>
    <row r="191" spans="1:7" x14ac:dyDescent="0.25">
      <c r="A191" s="8">
        <v>42609.827025462961</v>
      </c>
      <c r="B191" s="23" t="s">
        <v>290</v>
      </c>
      <c r="C191" s="23" t="s">
        <v>667</v>
      </c>
      <c r="D191" s="23">
        <v>1230000</v>
      </c>
      <c r="E191" s="23" t="s">
        <v>170</v>
      </c>
      <c r="F191" s="23" t="str">
        <f t="shared" si="4"/>
        <v>rtdc.l.rtdc.4012:itc</v>
      </c>
      <c r="G191" s="8">
        <f t="shared" si="5"/>
        <v>42609.827025462961</v>
      </c>
    </row>
    <row r="192" spans="1:7" x14ac:dyDescent="0.25">
      <c r="A192" s="8">
        <v>42609.83216435185</v>
      </c>
      <c r="B192" s="23" t="s">
        <v>291</v>
      </c>
      <c r="C192" s="23" t="s">
        <v>632</v>
      </c>
      <c r="D192" s="23">
        <v>1800000</v>
      </c>
      <c r="E192" s="23" t="s">
        <v>176</v>
      </c>
      <c r="F192" s="23" t="str">
        <f t="shared" si="4"/>
        <v>rtdc.l.rtdc.4020:itc</v>
      </c>
      <c r="G192" s="8">
        <f t="shared" si="5"/>
        <v>42609.83216435185</v>
      </c>
    </row>
    <row r="193" spans="1:7" x14ac:dyDescent="0.25">
      <c r="A193" s="8">
        <v>42609.839861111112</v>
      </c>
      <c r="B193" s="23" t="s">
        <v>254</v>
      </c>
      <c r="C193" s="23" t="s">
        <v>631</v>
      </c>
      <c r="D193" s="23">
        <v>2220000</v>
      </c>
      <c r="E193" s="23" t="s">
        <v>689</v>
      </c>
      <c r="F193" s="23" t="str">
        <f t="shared" si="4"/>
        <v>rtdc.l.rtdc.4026:itc</v>
      </c>
      <c r="G193" s="8">
        <f t="shared" si="5"/>
        <v>42609.839861111112</v>
      </c>
    </row>
    <row r="194" spans="1:7" x14ac:dyDescent="0.25">
      <c r="A194" s="8">
        <v>42609.845439814817</v>
      </c>
      <c r="B194" s="23" t="s">
        <v>186</v>
      </c>
      <c r="C194" s="23" t="s">
        <v>566</v>
      </c>
      <c r="D194" s="23">
        <v>1780000</v>
      </c>
      <c r="E194" s="23" t="s">
        <v>688</v>
      </c>
      <c r="F194" s="23" t="str">
        <f t="shared" ref="F194:F235" si="6">B194</f>
        <v>rtdc.l.rtdc.4007:itc</v>
      </c>
      <c r="G194" s="8">
        <f t="shared" ref="G194:G235" si="7">A194</f>
        <v>42609.845439814817</v>
      </c>
    </row>
    <row r="195" spans="1:7" x14ac:dyDescent="0.25">
      <c r="A195" s="8">
        <v>42609.849189814813</v>
      </c>
      <c r="B195" s="23" t="s">
        <v>114</v>
      </c>
      <c r="C195" s="23" t="s">
        <v>634</v>
      </c>
      <c r="D195" s="23">
        <v>1480000</v>
      </c>
      <c r="E195" s="23" t="s">
        <v>256</v>
      </c>
      <c r="F195" s="23" t="str">
        <f t="shared" si="6"/>
        <v>rtdc.l.rtdc.4031:itc</v>
      </c>
      <c r="G195" s="8">
        <f t="shared" si="7"/>
        <v>42609.849189814813</v>
      </c>
    </row>
    <row r="196" spans="1:7" x14ac:dyDescent="0.25">
      <c r="A196" s="8">
        <v>42609.859675925924</v>
      </c>
      <c r="B196" s="23" t="s">
        <v>169</v>
      </c>
      <c r="C196" s="23" t="s">
        <v>570</v>
      </c>
      <c r="D196" s="23">
        <v>1780000</v>
      </c>
      <c r="E196" s="23" t="s">
        <v>688</v>
      </c>
      <c r="F196" s="23" t="str">
        <f t="shared" si="6"/>
        <v>rtdc.l.rtdc.4008:itc</v>
      </c>
      <c r="G196" s="8">
        <f t="shared" si="7"/>
        <v>42609.859675925924</v>
      </c>
    </row>
    <row r="197" spans="1:7" x14ac:dyDescent="0.25">
      <c r="A197" s="8">
        <v>42609.869189814817</v>
      </c>
      <c r="B197" s="23" t="s">
        <v>91</v>
      </c>
      <c r="C197" s="23" t="s">
        <v>637</v>
      </c>
      <c r="D197" s="23">
        <v>2000000</v>
      </c>
      <c r="E197" s="23" t="s">
        <v>143</v>
      </c>
      <c r="F197" s="23" t="str">
        <f t="shared" si="6"/>
        <v>rtdc.l.rtdc.4029:itc</v>
      </c>
      <c r="G197" s="8">
        <f t="shared" si="7"/>
        <v>42609.869189814817</v>
      </c>
    </row>
    <row r="198" spans="1:7" x14ac:dyDescent="0.25">
      <c r="A198" s="8">
        <v>42609.870694444442</v>
      </c>
      <c r="B198" s="23" t="s">
        <v>289</v>
      </c>
      <c r="C198" s="23" t="s">
        <v>633</v>
      </c>
      <c r="D198" s="23">
        <v>1800000</v>
      </c>
      <c r="E198" s="23" t="s">
        <v>176</v>
      </c>
      <c r="F198" s="23" t="str">
        <f t="shared" si="6"/>
        <v>rtdc.l.rtdc.4019:itc</v>
      </c>
      <c r="G198" s="8">
        <f t="shared" si="7"/>
        <v>42609.870694444442</v>
      </c>
    </row>
    <row r="199" spans="1:7" x14ac:dyDescent="0.25">
      <c r="A199" s="8">
        <v>42609.881180555552</v>
      </c>
      <c r="B199" s="23" t="s">
        <v>253</v>
      </c>
      <c r="C199" s="23" t="s">
        <v>640</v>
      </c>
      <c r="D199" s="23">
        <v>2220000</v>
      </c>
      <c r="E199" s="23" t="s">
        <v>689</v>
      </c>
      <c r="F199" s="23" t="str">
        <f t="shared" si="6"/>
        <v>rtdc.l.rtdc.4025:itc</v>
      </c>
      <c r="G199" s="8">
        <f t="shared" si="7"/>
        <v>42609.881180555552</v>
      </c>
    </row>
    <row r="200" spans="1:7" x14ac:dyDescent="0.25">
      <c r="A200" s="8">
        <v>42609.886759259258</v>
      </c>
      <c r="B200" s="23" t="s">
        <v>186</v>
      </c>
      <c r="C200" s="23" t="s">
        <v>571</v>
      </c>
      <c r="D200" s="23">
        <v>1780000</v>
      </c>
      <c r="E200" s="23" t="s">
        <v>688</v>
      </c>
      <c r="F200" s="23" t="str">
        <f t="shared" si="6"/>
        <v>rtdc.l.rtdc.4007:itc</v>
      </c>
      <c r="G200" s="8">
        <f t="shared" si="7"/>
        <v>42609.886759259258</v>
      </c>
    </row>
    <row r="201" spans="1:7" x14ac:dyDescent="0.25">
      <c r="A201" s="8">
        <v>42609.887546296297</v>
      </c>
      <c r="B201" s="23" t="s">
        <v>115</v>
      </c>
      <c r="C201" s="23" t="s">
        <v>635</v>
      </c>
      <c r="D201" s="23">
        <v>1480000</v>
      </c>
      <c r="E201" s="23" t="s">
        <v>256</v>
      </c>
      <c r="F201" s="23" t="str">
        <f t="shared" si="6"/>
        <v>rtdc.l.rtdc.4032:itc</v>
      </c>
      <c r="G201" s="8">
        <f t="shared" si="7"/>
        <v>42609.887546296297</v>
      </c>
    </row>
    <row r="202" spans="1:7" x14ac:dyDescent="0.25">
      <c r="A202" s="29">
        <v>42609.901145833333</v>
      </c>
      <c r="B202" s="23" t="s">
        <v>169</v>
      </c>
      <c r="C202" s="23" t="s">
        <v>573</v>
      </c>
      <c r="D202" s="23">
        <v>1780000</v>
      </c>
      <c r="E202" s="23" t="s">
        <v>688</v>
      </c>
      <c r="F202" s="23" t="str">
        <f t="shared" si="6"/>
        <v>rtdc.l.rtdc.4008:itc</v>
      </c>
      <c r="G202" s="8">
        <f t="shared" si="7"/>
        <v>42609.901145833333</v>
      </c>
    </row>
    <row r="203" spans="1:7" x14ac:dyDescent="0.25">
      <c r="A203" s="8">
        <v>42609.904305555552</v>
      </c>
      <c r="B203" s="23" t="s">
        <v>92</v>
      </c>
      <c r="C203" s="23" t="s">
        <v>638</v>
      </c>
      <c r="D203" s="23">
        <v>2000000</v>
      </c>
      <c r="E203" s="23" t="s">
        <v>143</v>
      </c>
      <c r="F203" s="23" t="str">
        <f t="shared" si="6"/>
        <v>rtdc.l.rtdc.4030:itc</v>
      </c>
      <c r="G203" s="8">
        <f t="shared" si="7"/>
        <v>42609.904305555552</v>
      </c>
    </row>
    <row r="204" spans="1:7" x14ac:dyDescent="0.25">
      <c r="A204" s="8">
        <v>42609.915960648148</v>
      </c>
      <c r="B204" s="23" t="s">
        <v>291</v>
      </c>
      <c r="C204" s="23" t="s">
        <v>642</v>
      </c>
      <c r="D204" s="23">
        <v>1800000</v>
      </c>
      <c r="E204" s="23" t="s">
        <v>176</v>
      </c>
      <c r="F204" s="23" t="str">
        <f t="shared" si="6"/>
        <v>rtdc.l.rtdc.4020:itc</v>
      </c>
      <c r="G204" s="8">
        <f t="shared" si="7"/>
        <v>42609.915960648148</v>
      </c>
    </row>
    <row r="205" spans="1:7" x14ac:dyDescent="0.25">
      <c r="A205" s="8">
        <v>42609.925752314812</v>
      </c>
      <c r="B205" s="23" t="s">
        <v>254</v>
      </c>
      <c r="C205" s="23" t="s">
        <v>641</v>
      </c>
      <c r="D205" s="23">
        <v>2220000</v>
      </c>
      <c r="E205" s="23" t="s">
        <v>689</v>
      </c>
      <c r="F205" s="23" t="str">
        <f t="shared" si="6"/>
        <v>rtdc.l.rtdc.4026:itc</v>
      </c>
      <c r="G205" s="8">
        <f t="shared" si="7"/>
        <v>42609.925752314812</v>
      </c>
    </row>
    <row r="206" spans="1:7" x14ac:dyDescent="0.25">
      <c r="A206" s="8">
        <v>42609.927187499998</v>
      </c>
      <c r="B206" s="23" t="s">
        <v>186</v>
      </c>
      <c r="C206" s="23" t="s">
        <v>575</v>
      </c>
      <c r="D206" s="23">
        <v>1780000</v>
      </c>
      <c r="E206" s="23" t="s">
        <v>688</v>
      </c>
      <c r="F206" s="23" t="str">
        <f t="shared" si="6"/>
        <v>rtdc.l.rtdc.4007:itc</v>
      </c>
      <c r="G206" s="8">
        <f t="shared" si="7"/>
        <v>42609.927187499998</v>
      </c>
    </row>
    <row r="207" spans="1:7" x14ac:dyDescent="0.25">
      <c r="A207" s="8">
        <v>42609.932129629633</v>
      </c>
      <c r="B207" s="23" t="s">
        <v>114</v>
      </c>
      <c r="C207" s="23" t="s">
        <v>644</v>
      </c>
      <c r="D207" s="23">
        <v>1480000</v>
      </c>
      <c r="E207" s="23" t="s">
        <v>256</v>
      </c>
      <c r="F207" s="23" t="str">
        <f t="shared" si="6"/>
        <v>rtdc.l.rtdc.4031:itc</v>
      </c>
      <c r="G207" s="8">
        <f t="shared" si="7"/>
        <v>42609.932129629633</v>
      </c>
    </row>
    <row r="208" spans="1:7" x14ac:dyDescent="0.25">
      <c r="A208" s="8">
        <v>42609.942557870374</v>
      </c>
      <c r="B208" s="23" t="s">
        <v>169</v>
      </c>
      <c r="C208" s="23" t="s">
        <v>585</v>
      </c>
      <c r="D208" s="23">
        <v>1780000</v>
      </c>
      <c r="E208" s="23" t="s">
        <v>688</v>
      </c>
      <c r="F208" s="23" t="str">
        <f t="shared" si="6"/>
        <v>rtdc.l.rtdc.4008:itc</v>
      </c>
      <c r="G208" s="8">
        <f t="shared" si="7"/>
        <v>42609.942557870374</v>
      </c>
    </row>
    <row r="209" spans="1:7" x14ac:dyDescent="0.25">
      <c r="A209" s="8">
        <v>42609.942615740743</v>
      </c>
      <c r="B209" s="23" t="s">
        <v>91</v>
      </c>
      <c r="C209" s="23" t="s">
        <v>647</v>
      </c>
      <c r="D209" s="23">
        <v>2000000</v>
      </c>
      <c r="E209" s="23" t="s">
        <v>143</v>
      </c>
      <c r="F209" s="23" t="str">
        <f t="shared" si="6"/>
        <v>rtdc.l.rtdc.4029:itc</v>
      </c>
      <c r="G209" s="8">
        <f t="shared" si="7"/>
        <v>42609.942615740743</v>
      </c>
    </row>
    <row r="210" spans="1:7" x14ac:dyDescent="0.25">
      <c r="A210" s="8">
        <v>42609.954907407409</v>
      </c>
      <c r="B210" s="23" t="s">
        <v>289</v>
      </c>
      <c r="C210" s="23" t="s">
        <v>643</v>
      </c>
      <c r="D210" s="23">
        <v>1800000</v>
      </c>
      <c r="E210" s="23" t="s">
        <v>176</v>
      </c>
      <c r="F210" s="23" t="str">
        <f t="shared" si="6"/>
        <v>rtdc.l.rtdc.4019:itc</v>
      </c>
      <c r="G210" s="8">
        <f t="shared" si="7"/>
        <v>42609.954907407409</v>
      </c>
    </row>
    <row r="211" spans="1:7" x14ac:dyDescent="0.25">
      <c r="A211" s="8">
        <v>42609.968865740739</v>
      </c>
      <c r="B211" s="23" t="s">
        <v>253</v>
      </c>
      <c r="C211" s="23" t="s">
        <v>650</v>
      </c>
      <c r="D211" s="23">
        <v>2220000</v>
      </c>
      <c r="E211" s="23" t="s">
        <v>689</v>
      </c>
      <c r="F211" s="23" t="str">
        <f t="shared" si="6"/>
        <v>rtdc.l.rtdc.4025:itc</v>
      </c>
      <c r="G211" s="8">
        <f t="shared" si="7"/>
        <v>42609.968865740739</v>
      </c>
    </row>
    <row r="212" spans="1:7" x14ac:dyDescent="0.25">
      <c r="A212" s="8">
        <v>42609.969236111108</v>
      </c>
      <c r="B212" s="23" t="s">
        <v>115</v>
      </c>
      <c r="C212" s="23" t="s">
        <v>645</v>
      </c>
      <c r="D212" s="23">
        <v>1480000</v>
      </c>
      <c r="E212" s="23" t="s">
        <v>256</v>
      </c>
      <c r="F212" s="23" t="str">
        <f t="shared" si="6"/>
        <v>rtdc.l.rtdc.4032:itc</v>
      </c>
      <c r="G212" s="8">
        <f t="shared" si="7"/>
        <v>42609.969236111108</v>
      </c>
    </row>
    <row r="213" spans="1:7" x14ac:dyDescent="0.25">
      <c r="A213" s="8">
        <v>42609.992106481484</v>
      </c>
      <c r="B213" s="23" t="s">
        <v>92</v>
      </c>
      <c r="C213" s="23" t="s">
        <v>648</v>
      </c>
      <c r="D213" s="23">
        <v>2000000</v>
      </c>
      <c r="E213" s="23" t="s">
        <v>143</v>
      </c>
      <c r="F213" s="23" t="str">
        <f t="shared" si="6"/>
        <v>rtdc.l.rtdc.4030:itc</v>
      </c>
      <c r="G213" s="8">
        <f t="shared" si="7"/>
        <v>42609.992106481484</v>
      </c>
    </row>
    <row r="214" spans="1:7" x14ac:dyDescent="0.25">
      <c r="A214" s="8">
        <v>42609.996388888889</v>
      </c>
      <c r="B214" s="23" t="s">
        <v>291</v>
      </c>
      <c r="C214" s="23" t="s">
        <v>653</v>
      </c>
      <c r="D214" s="23">
        <v>1800000</v>
      </c>
      <c r="E214" s="23" t="s">
        <v>176</v>
      </c>
      <c r="F214" s="23" t="str">
        <f t="shared" si="6"/>
        <v>rtdc.l.rtdc.4020:itc</v>
      </c>
      <c r="G214" s="8">
        <f t="shared" si="7"/>
        <v>42609.996388888889</v>
      </c>
    </row>
    <row r="215" spans="1:7" x14ac:dyDescent="0.25">
      <c r="A215" s="8">
        <v>42609.998414351852</v>
      </c>
      <c r="B215" s="23" t="s">
        <v>92</v>
      </c>
      <c r="C215" s="23" t="s">
        <v>648</v>
      </c>
      <c r="D215" s="23">
        <v>2000000</v>
      </c>
      <c r="E215" s="23" t="s">
        <v>143</v>
      </c>
      <c r="F215" s="23" t="str">
        <f t="shared" si="6"/>
        <v>rtdc.l.rtdc.4030:itc</v>
      </c>
      <c r="G215" s="8">
        <f t="shared" si="7"/>
        <v>42609.998414351852</v>
      </c>
    </row>
    <row r="216" spans="1:7" x14ac:dyDescent="0.25">
      <c r="A216" s="8">
        <v>42610.008333333331</v>
      </c>
      <c r="B216" s="23" t="s">
        <v>254</v>
      </c>
      <c r="C216" s="23" t="s">
        <v>651</v>
      </c>
      <c r="D216" s="23">
        <v>2220000</v>
      </c>
      <c r="E216" s="23" t="s">
        <v>689</v>
      </c>
      <c r="F216" s="23" t="str">
        <f t="shared" si="6"/>
        <v>rtdc.l.rtdc.4026:itc</v>
      </c>
      <c r="G216" s="8">
        <f t="shared" si="7"/>
        <v>42610.008333333331</v>
      </c>
    </row>
    <row r="217" spans="1:7" x14ac:dyDescent="0.25">
      <c r="A217" s="8">
        <v>42610.014363425929</v>
      </c>
      <c r="B217" s="23" t="s">
        <v>114</v>
      </c>
      <c r="C217" s="23" t="s">
        <v>655</v>
      </c>
      <c r="D217" s="23">
        <v>1480000</v>
      </c>
      <c r="E217" s="23" t="s">
        <v>256</v>
      </c>
      <c r="F217" s="23" t="str">
        <f t="shared" si="6"/>
        <v>rtdc.l.rtdc.4031:itc</v>
      </c>
      <c r="G217" s="8">
        <f t="shared" si="7"/>
        <v>42610.014363425929</v>
      </c>
    </row>
    <row r="218" spans="1:7" x14ac:dyDescent="0.25">
      <c r="A218" s="8">
        <v>42610.027083333334</v>
      </c>
      <c r="B218" s="23" t="s">
        <v>91</v>
      </c>
      <c r="C218" s="23" t="s">
        <v>658</v>
      </c>
      <c r="D218" s="23">
        <v>2000000</v>
      </c>
      <c r="E218" s="23" t="s">
        <v>143</v>
      </c>
      <c r="F218" s="23" t="str">
        <f t="shared" si="6"/>
        <v>rtdc.l.rtdc.4029:itc</v>
      </c>
      <c r="G218" s="8">
        <f t="shared" si="7"/>
        <v>42610.027083333334</v>
      </c>
    </row>
    <row r="219" spans="1:7" x14ac:dyDescent="0.25">
      <c r="A219" s="8">
        <v>42610.038726851853</v>
      </c>
      <c r="B219" s="23" t="s">
        <v>289</v>
      </c>
      <c r="C219" s="23" t="s">
        <v>654</v>
      </c>
      <c r="D219" s="23">
        <v>1800000</v>
      </c>
      <c r="E219" s="23" t="s">
        <v>176</v>
      </c>
      <c r="F219" s="23" t="str">
        <f t="shared" si="6"/>
        <v>rtdc.l.rtdc.4019:itc</v>
      </c>
      <c r="G219" s="8">
        <f t="shared" si="7"/>
        <v>42610.038726851853</v>
      </c>
    </row>
    <row r="220" spans="1:7" x14ac:dyDescent="0.25">
      <c r="A220" s="8">
        <v>42610.053599537037</v>
      </c>
      <c r="B220" s="23" t="s">
        <v>115</v>
      </c>
      <c r="C220" s="23" t="s">
        <v>657</v>
      </c>
      <c r="D220" s="23">
        <v>1480000</v>
      </c>
      <c r="E220" s="23" t="s">
        <v>256</v>
      </c>
      <c r="F220" s="23" t="str">
        <f t="shared" si="6"/>
        <v>rtdc.l.rtdc.4032:itc</v>
      </c>
      <c r="G220" s="8">
        <f t="shared" si="7"/>
        <v>42610.053599537037</v>
      </c>
    </row>
    <row r="221" spans="1:7" x14ac:dyDescent="0.25">
      <c r="A221" s="8">
        <v>42610.054131944446</v>
      </c>
      <c r="B221" s="23" t="s">
        <v>253</v>
      </c>
      <c r="C221" s="23" t="s">
        <v>671</v>
      </c>
      <c r="D221" s="23">
        <v>1410000</v>
      </c>
      <c r="E221" s="23" t="s">
        <v>691</v>
      </c>
      <c r="F221" s="23" t="str">
        <f t="shared" si="6"/>
        <v>rtdc.l.rtdc.4025:itc</v>
      </c>
      <c r="G221" s="8">
        <f t="shared" si="7"/>
        <v>42610.054131944446</v>
      </c>
    </row>
    <row r="222" spans="1:7" x14ac:dyDescent="0.25">
      <c r="A222" s="8">
        <v>42610.072962962964</v>
      </c>
      <c r="B222" s="23" t="s">
        <v>291</v>
      </c>
      <c r="C222" s="23" t="s">
        <v>663</v>
      </c>
      <c r="D222" s="23">
        <v>1800000</v>
      </c>
      <c r="E222" s="23" t="s">
        <v>176</v>
      </c>
      <c r="F222" s="23" t="str">
        <f t="shared" si="6"/>
        <v>rtdc.l.rtdc.4020:itc</v>
      </c>
      <c r="G222" s="8">
        <f t="shared" si="7"/>
        <v>42610.072962962964</v>
      </c>
    </row>
    <row r="223" spans="1:7" x14ac:dyDescent="0.25">
      <c r="A223" s="8">
        <v>42610.075509259259</v>
      </c>
      <c r="B223" s="23" t="s">
        <v>92</v>
      </c>
      <c r="C223" s="23" t="s">
        <v>659</v>
      </c>
      <c r="D223" s="23">
        <v>2000000</v>
      </c>
      <c r="E223" s="23" t="s">
        <v>143</v>
      </c>
      <c r="F223" s="23" t="str">
        <f t="shared" si="6"/>
        <v>rtdc.l.rtdc.4030:itc</v>
      </c>
      <c r="G223" s="8">
        <f t="shared" si="7"/>
        <v>42610.075509259259</v>
      </c>
    </row>
    <row r="224" spans="1:7" x14ac:dyDescent="0.25">
      <c r="A224" s="8">
        <v>42610.088275462964</v>
      </c>
      <c r="B224" t="s">
        <v>254</v>
      </c>
      <c r="C224" t="s">
        <v>674</v>
      </c>
      <c r="D224">
        <v>1410000</v>
      </c>
      <c r="E224" t="s">
        <v>691</v>
      </c>
      <c r="F224" s="23" t="str">
        <f t="shared" si="6"/>
        <v>rtdc.l.rtdc.4026:itc</v>
      </c>
      <c r="G224" s="8">
        <f t="shared" si="7"/>
        <v>42610.088275462964</v>
      </c>
    </row>
    <row r="225" spans="1:7" x14ac:dyDescent="0.25">
      <c r="A225" s="8">
        <v>42610.096782407411</v>
      </c>
      <c r="B225" t="s">
        <v>114</v>
      </c>
      <c r="C225" t="s">
        <v>664</v>
      </c>
      <c r="D225">
        <v>1480000</v>
      </c>
      <c r="E225" t="s">
        <v>256</v>
      </c>
      <c r="F225" s="23" t="str">
        <f t="shared" si="6"/>
        <v>rtdc.l.rtdc.4031:itc</v>
      </c>
      <c r="G225" s="8">
        <f t="shared" si="7"/>
        <v>42610.096782407411</v>
      </c>
    </row>
    <row r="226" spans="1:7" x14ac:dyDescent="0.25">
      <c r="A226" s="8">
        <v>42610.108541666668</v>
      </c>
      <c r="B226" t="s">
        <v>91</v>
      </c>
      <c r="C226" t="s">
        <v>692</v>
      </c>
      <c r="D226">
        <v>2000000</v>
      </c>
      <c r="E226" t="s">
        <v>143</v>
      </c>
      <c r="F226" s="23" t="str">
        <f t="shared" si="6"/>
        <v>rtdc.l.rtdc.4029:itc</v>
      </c>
      <c r="G226" s="8">
        <f t="shared" si="7"/>
        <v>42610.108541666668</v>
      </c>
    </row>
    <row r="227" spans="1:7" x14ac:dyDescent="0.25">
      <c r="F227" s="23">
        <f t="shared" si="6"/>
        <v>0</v>
      </c>
      <c r="G227" s="8">
        <f t="shared" si="7"/>
        <v>0</v>
      </c>
    </row>
    <row r="228" spans="1:7" x14ac:dyDescent="0.25">
      <c r="F228" s="23">
        <f t="shared" si="6"/>
        <v>0</v>
      </c>
      <c r="G228" s="8">
        <f t="shared" si="7"/>
        <v>0</v>
      </c>
    </row>
    <row r="229" spans="1:7" x14ac:dyDescent="0.25">
      <c r="A229" s="8">
        <v>42609.014421296299</v>
      </c>
      <c r="B229" t="s">
        <v>180</v>
      </c>
      <c r="C229" t="s">
        <v>316</v>
      </c>
      <c r="D229">
        <v>1230000</v>
      </c>
      <c r="E229" t="s">
        <v>170</v>
      </c>
      <c r="F229" s="23" t="str">
        <f t="shared" si="6"/>
        <v>rtdc.l.rtdc.4001:itc</v>
      </c>
      <c r="G229" s="8">
        <f t="shared" si="7"/>
        <v>42609.014421296299</v>
      </c>
    </row>
    <row r="230" spans="1:7" x14ac:dyDescent="0.25">
      <c r="A230" s="8">
        <v>42609.025173611109</v>
      </c>
      <c r="B230" t="s">
        <v>191</v>
      </c>
      <c r="C230" t="s">
        <v>317</v>
      </c>
      <c r="D230">
        <v>2090000</v>
      </c>
      <c r="E230" t="s">
        <v>205</v>
      </c>
      <c r="F230" s="23" t="str">
        <f t="shared" si="6"/>
        <v>rtdc.l.rtdc.4003:itc</v>
      </c>
      <c r="G230" s="8">
        <f t="shared" si="7"/>
        <v>42609.025173611109</v>
      </c>
    </row>
    <row r="231" spans="1:7" x14ac:dyDescent="0.25">
      <c r="A231" s="8">
        <v>42609.036296296297</v>
      </c>
      <c r="B231" t="s">
        <v>302</v>
      </c>
      <c r="C231" t="s">
        <v>318</v>
      </c>
      <c r="D231">
        <v>1800000</v>
      </c>
      <c r="E231" t="s">
        <v>176</v>
      </c>
      <c r="F231" s="23" t="str">
        <f t="shared" si="6"/>
        <v>rtdc.l.rtdc.4039:itc</v>
      </c>
      <c r="G231" s="8">
        <f t="shared" si="7"/>
        <v>42609.036296296297</v>
      </c>
    </row>
    <row r="232" spans="1:7" x14ac:dyDescent="0.25">
      <c r="A232" s="8">
        <v>42609.039699074077</v>
      </c>
      <c r="B232" t="s">
        <v>191</v>
      </c>
      <c r="C232" t="s">
        <v>317</v>
      </c>
      <c r="D232">
        <v>2090000</v>
      </c>
      <c r="E232" t="s">
        <v>205</v>
      </c>
      <c r="F232" s="23" t="str">
        <f t="shared" si="6"/>
        <v>rtdc.l.rtdc.4003:itc</v>
      </c>
      <c r="G232" s="8">
        <f t="shared" si="7"/>
        <v>42609.039699074077</v>
      </c>
    </row>
    <row r="233" spans="1:7" x14ac:dyDescent="0.25">
      <c r="A233" s="8">
        <v>42609.050162037034</v>
      </c>
      <c r="B233" t="s">
        <v>179</v>
      </c>
      <c r="C233" t="s">
        <v>319</v>
      </c>
      <c r="D233">
        <v>1230000</v>
      </c>
      <c r="E233" t="s">
        <v>170</v>
      </c>
      <c r="F233" s="23" t="str">
        <f t="shared" si="6"/>
        <v>rtdc.l.rtdc.4002:itc</v>
      </c>
      <c r="G233" s="8">
        <f t="shared" si="7"/>
        <v>42609.050162037034</v>
      </c>
    </row>
    <row r="234" spans="1:7" x14ac:dyDescent="0.25">
      <c r="A234" s="8">
        <v>42609.068136574075</v>
      </c>
      <c r="B234" t="s">
        <v>303</v>
      </c>
      <c r="C234" t="s">
        <v>320</v>
      </c>
      <c r="D234">
        <v>2260000</v>
      </c>
      <c r="E234" t="s">
        <v>216</v>
      </c>
      <c r="F234" s="23" t="str">
        <f t="shared" si="6"/>
        <v>rtdc.l.rtdc.4028:itc</v>
      </c>
      <c r="G234" s="8">
        <f t="shared" si="7"/>
        <v>42609.068136574075</v>
      </c>
    </row>
    <row r="235" spans="1:7" x14ac:dyDescent="0.25">
      <c r="A235" s="8">
        <v>42609.071516203701</v>
      </c>
      <c r="B235" t="s">
        <v>298</v>
      </c>
      <c r="C235" t="s">
        <v>321</v>
      </c>
      <c r="D235">
        <v>1800000</v>
      </c>
      <c r="E235" t="s">
        <v>176</v>
      </c>
      <c r="F235" s="23" t="str">
        <f t="shared" si="6"/>
        <v>rtdc.l.rtdc.4040:itc</v>
      </c>
      <c r="G235" s="8">
        <f t="shared" si="7"/>
        <v>42609.071516203701</v>
      </c>
    </row>
    <row r="236" spans="1:7" x14ac:dyDescent="0.25">
      <c r="A236" s="8">
        <v>42609.076782407406</v>
      </c>
      <c r="B236" t="s">
        <v>215</v>
      </c>
      <c r="C236" t="s">
        <v>322</v>
      </c>
      <c r="D236">
        <v>2090000</v>
      </c>
      <c r="E236" t="s">
        <v>205</v>
      </c>
      <c r="F236" s="23" t="str">
        <f t="shared" ref="F236:F265" si="8">B236</f>
        <v>rtdc.l.rtdc.4004:itc</v>
      </c>
      <c r="G236" s="8">
        <f t="shared" ref="G236:G265" si="9">A236</f>
        <v>42609.076782407406</v>
      </c>
    </row>
    <row r="237" spans="1:7" x14ac:dyDescent="0.25">
      <c r="A237" s="8">
        <v>42609.10533564815</v>
      </c>
      <c r="B237" t="s">
        <v>93</v>
      </c>
      <c r="C237" t="s">
        <v>323</v>
      </c>
      <c r="D237">
        <v>2260000</v>
      </c>
      <c r="E237" t="s">
        <v>216</v>
      </c>
      <c r="F237" s="23" t="str">
        <f t="shared" si="8"/>
        <v>rtdc.l.rtdc.4027:itc</v>
      </c>
      <c r="G237" s="8">
        <f t="shared" si="9"/>
        <v>42609.10533564815</v>
      </c>
    </row>
    <row r="238" spans="1:7" x14ac:dyDescent="0.25">
      <c r="F238" s="23">
        <f t="shared" si="8"/>
        <v>0</v>
      </c>
      <c r="G238" s="8">
        <f t="shared" si="9"/>
        <v>0</v>
      </c>
    </row>
    <row r="239" spans="1:7" x14ac:dyDescent="0.25">
      <c r="A239" s="8">
        <v>42594.971458333333</v>
      </c>
      <c r="B239" t="s">
        <v>90</v>
      </c>
      <c r="C239" t="s">
        <v>157</v>
      </c>
      <c r="D239">
        <v>2100000</v>
      </c>
      <c r="E239" t="s">
        <v>137</v>
      </c>
      <c r="F239" s="23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144</v>
      </c>
      <c r="C240" t="s">
        <v>158</v>
      </c>
      <c r="D240">
        <v>1300000</v>
      </c>
      <c r="E240" t="s">
        <v>140</v>
      </c>
      <c r="F240" s="23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114</v>
      </c>
      <c r="C241" t="s">
        <v>160</v>
      </c>
      <c r="D241">
        <v>2000000</v>
      </c>
      <c r="E241" t="s">
        <v>143</v>
      </c>
      <c r="F241" s="23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92</v>
      </c>
      <c r="C242" t="s">
        <v>159</v>
      </c>
      <c r="D242">
        <v>1230000</v>
      </c>
      <c r="E242" t="s">
        <v>170</v>
      </c>
      <c r="F242" s="23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112</v>
      </c>
      <c r="C243" t="s">
        <v>162</v>
      </c>
      <c r="D243">
        <v>2100000</v>
      </c>
      <c r="E243" t="s">
        <v>137</v>
      </c>
      <c r="F243" s="23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151</v>
      </c>
      <c r="C244" t="s">
        <v>164</v>
      </c>
      <c r="D244">
        <v>1300000</v>
      </c>
      <c r="E244" t="s">
        <v>140</v>
      </c>
      <c r="F244" s="23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115</v>
      </c>
      <c r="C245" t="s">
        <v>161</v>
      </c>
      <c r="D245">
        <v>2000000</v>
      </c>
      <c r="E245" t="s">
        <v>143</v>
      </c>
      <c r="F245" s="23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91</v>
      </c>
      <c r="C246" t="s">
        <v>166</v>
      </c>
      <c r="D246">
        <v>1230000</v>
      </c>
      <c r="E246" t="s">
        <v>170</v>
      </c>
      <c r="F246" s="23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90</v>
      </c>
      <c r="C247" t="s">
        <v>163</v>
      </c>
      <c r="D247">
        <v>2100000</v>
      </c>
      <c r="E247" t="s">
        <v>137</v>
      </c>
      <c r="F247" s="23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114</v>
      </c>
      <c r="C248" t="s">
        <v>167</v>
      </c>
      <c r="D248">
        <v>2000000</v>
      </c>
      <c r="E248" t="s">
        <v>143</v>
      </c>
      <c r="F248" s="23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144</v>
      </c>
      <c r="C249" t="s">
        <v>165</v>
      </c>
      <c r="D249">
        <v>1300000</v>
      </c>
      <c r="E249" t="s">
        <v>140</v>
      </c>
      <c r="F249" s="23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112</v>
      </c>
      <c r="C250" t="s">
        <v>171</v>
      </c>
      <c r="D250">
        <v>2100000</v>
      </c>
      <c r="E250" t="s">
        <v>137</v>
      </c>
      <c r="F250" s="23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151</v>
      </c>
      <c r="C251" t="s">
        <v>168</v>
      </c>
      <c r="D251">
        <v>1300000</v>
      </c>
      <c r="E251" t="s">
        <v>140</v>
      </c>
      <c r="F251" s="23" t="str">
        <f t="shared" si="8"/>
        <v>rtdc.l.rtdc.4038:itc</v>
      </c>
      <c r="G251" s="8">
        <f t="shared" si="9"/>
        <v>42595.110555555555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F253" s="23">
        <f t="shared" si="8"/>
        <v>0</v>
      </c>
      <c r="G253" s="8">
        <f t="shared" si="9"/>
        <v>0</v>
      </c>
    </row>
    <row r="254" spans="1:7" x14ac:dyDescent="0.25">
      <c r="F254" s="23">
        <f t="shared" si="8"/>
        <v>0</v>
      </c>
      <c r="G254" s="8">
        <f t="shared" si="9"/>
        <v>0</v>
      </c>
    </row>
    <row r="255" spans="1:7" x14ac:dyDescent="0.25">
      <c r="F255" s="23">
        <f t="shared" si="8"/>
        <v>0</v>
      </c>
      <c r="G255" s="8">
        <f t="shared" si="9"/>
        <v>0</v>
      </c>
    </row>
    <row r="256" spans="1:7" x14ac:dyDescent="0.25">
      <c r="F256" s="23">
        <f t="shared" si="8"/>
        <v>0</v>
      </c>
      <c r="G256" s="8">
        <f t="shared" si="9"/>
        <v>0</v>
      </c>
    </row>
    <row r="257" spans="6:7" x14ac:dyDescent="0.25">
      <c r="F257" s="23">
        <f t="shared" si="8"/>
        <v>0</v>
      </c>
      <c r="G257" s="8">
        <f t="shared" si="9"/>
        <v>0</v>
      </c>
    </row>
    <row r="258" spans="6:7" x14ac:dyDescent="0.25">
      <c r="F258" s="23">
        <f t="shared" si="8"/>
        <v>0</v>
      </c>
      <c r="G258" s="8">
        <f t="shared" si="9"/>
        <v>0</v>
      </c>
    </row>
    <row r="259" spans="6:7" x14ac:dyDescent="0.25">
      <c r="F259" s="23">
        <f t="shared" si="8"/>
        <v>0</v>
      </c>
      <c r="G259" s="8">
        <f t="shared" si="9"/>
        <v>0</v>
      </c>
    </row>
    <row r="260" spans="6:7" x14ac:dyDescent="0.25">
      <c r="F260" s="23">
        <f t="shared" si="8"/>
        <v>0</v>
      </c>
      <c r="G260" s="8">
        <f t="shared" si="9"/>
        <v>0</v>
      </c>
    </row>
    <row r="261" spans="6:7" x14ac:dyDescent="0.25">
      <c r="F261" s="23">
        <f t="shared" si="8"/>
        <v>0</v>
      </c>
      <c r="G261" s="8">
        <f t="shared" si="9"/>
        <v>0</v>
      </c>
    </row>
    <row r="262" spans="6:7" x14ac:dyDescent="0.25">
      <c r="F262" s="23">
        <f t="shared" si="8"/>
        <v>0</v>
      </c>
      <c r="G262" s="8">
        <f t="shared" si="9"/>
        <v>0</v>
      </c>
    </row>
    <row r="263" spans="6:7" x14ac:dyDescent="0.25">
      <c r="F263" s="23">
        <f t="shared" si="8"/>
        <v>0</v>
      </c>
      <c r="G263" s="8">
        <f t="shared" si="9"/>
        <v>0</v>
      </c>
    </row>
    <row r="264" spans="6:7" x14ac:dyDescent="0.25">
      <c r="F264" s="23">
        <f t="shared" si="8"/>
        <v>0</v>
      </c>
      <c r="G264" s="8">
        <f t="shared" si="9"/>
        <v>0</v>
      </c>
    </row>
    <row r="265" spans="6:7" x14ac:dyDescent="0.25">
      <c r="F265" s="23">
        <f t="shared" si="8"/>
        <v>0</v>
      </c>
      <c r="G265" s="8">
        <f t="shared" si="9"/>
        <v>0</v>
      </c>
    </row>
    <row r="266" spans="6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3">
        <f t="shared" si="10"/>
        <v>0</v>
      </c>
      <c r="G267" s="8">
        <f t="shared" si="11"/>
        <v>0</v>
      </c>
    </row>
    <row r="268" spans="6:7" x14ac:dyDescent="0.25">
      <c r="F268" s="23">
        <f t="shared" si="10"/>
        <v>0</v>
      </c>
      <c r="G268" s="8">
        <f t="shared" si="11"/>
        <v>0</v>
      </c>
    </row>
    <row r="269" spans="6:7" x14ac:dyDescent="0.25">
      <c r="F269" s="23">
        <f t="shared" si="10"/>
        <v>0</v>
      </c>
      <c r="G269" s="8">
        <f t="shared" si="11"/>
        <v>0</v>
      </c>
    </row>
    <row r="270" spans="6:7" x14ac:dyDescent="0.25">
      <c r="F270" s="23">
        <f t="shared" si="10"/>
        <v>0</v>
      </c>
      <c r="G270" s="8">
        <f t="shared" si="11"/>
        <v>0</v>
      </c>
    </row>
    <row r="271" spans="6:7" x14ac:dyDescent="0.25">
      <c r="F271" s="23">
        <f t="shared" si="10"/>
        <v>0</v>
      </c>
      <c r="G271" s="8">
        <f t="shared" si="11"/>
        <v>0</v>
      </c>
    </row>
    <row r="272" spans="6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116</v>
      </c>
      <c r="D1" s="74" t="s">
        <v>117</v>
      </c>
      <c r="J1" s="34" t="s">
        <v>118</v>
      </c>
      <c r="K1" s="34" t="s">
        <v>72</v>
      </c>
      <c r="L1" s="34" t="s">
        <v>73</v>
      </c>
      <c r="O1" s="77" t="s">
        <v>119</v>
      </c>
    </row>
    <row r="2" spans="1:16" ht="15.75" thickBot="1" x14ac:dyDescent="0.3">
      <c r="A2" s="14">
        <v>42609</v>
      </c>
      <c r="B2" s="4"/>
      <c r="C2" s="75">
        <v>50</v>
      </c>
      <c r="D2" s="76">
        <v>25</v>
      </c>
      <c r="F2" t="s">
        <v>145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70">
        <f t="shared" ref="M3:M14" si="0">AVERAGE(K3:L3)</f>
        <v>2.7201</v>
      </c>
      <c r="O3" t="s">
        <v>120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70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70">
        <f t="shared" si="0"/>
        <v>3.3196500000000002</v>
      </c>
    </row>
    <row r="6" spans="1:16" x14ac:dyDescent="0.25">
      <c r="F6" t="s">
        <v>146</v>
      </c>
      <c r="J6" s="35" t="s">
        <v>77</v>
      </c>
      <c r="K6" s="36">
        <v>4.2778999999999998</v>
      </c>
      <c r="L6" s="36">
        <v>4.2961</v>
      </c>
      <c r="M6" s="70">
        <f t="shared" si="0"/>
        <v>4.2869999999999999</v>
      </c>
    </row>
    <row r="7" spans="1:16" x14ac:dyDescent="0.25">
      <c r="F7" t="s">
        <v>147</v>
      </c>
      <c r="J7" s="35" t="s">
        <v>78</v>
      </c>
      <c r="K7" s="36">
        <v>4.7865000000000002</v>
      </c>
      <c r="L7" s="36">
        <v>4.8048000000000002</v>
      </c>
      <c r="M7" s="70">
        <f t="shared" si="0"/>
        <v>4.7956500000000002</v>
      </c>
    </row>
    <row r="8" spans="1:16" x14ac:dyDescent="0.25">
      <c r="F8" t="s">
        <v>148</v>
      </c>
      <c r="J8" s="35" t="s">
        <v>79</v>
      </c>
      <c r="K8" s="36">
        <v>5.3155000000000001</v>
      </c>
      <c r="L8" s="36">
        <v>5.3277000000000001</v>
      </c>
      <c r="M8" s="7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7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7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7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7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7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7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130</v>
      </c>
    </row>
    <row r="20" spans="10:13" x14ac:dyDescent="0.25">
      <c r="J20" t="s">
        <v>99</v>
      </c>
      <c r="M20" s="70" t="s">
        <v>181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129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126</v>
      </c>
      <c r="K24" s="23"/>
      <c r="M24" s="70" t="s">
        <v>128</v>
      </c>
    </row>
    <row r="25" spans="10:13" x14ac:dyDescent="0.25">
      <c r="J25" t="s">
        <v>296</v>
      </c>
      <c r="M25" s="70" t="b">
        <v>1</v>
      </c>
    </row>
    <row r="26" spans="10:13" x14ac:dyDescent="0.25">
      <c r="J26" t="s">
        <v>297</v>
      </c>
      <c r="M26" s="70" t="str">
        <f>"C:\Users\stu\Documents\GitHub\eaglep3-reporting\EC\"&amp;TEXT(A2,"yyyy-mm-dd")&amp;"-refined-times.txt"</f>
        <v>C:\Users\stu\Documents\GitHub\eaglep3-reporting\EC\2016-08-27-refined-times.txt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43" bestFit="1" customWidth="1"/>
    <col min="2" max="7" width="9.140625" style="143"/>
    <col min="8" max="8" width="17.7109375" style="143" bestFit="1" customWidth="1"/>
    <col min="9" max="9" width="9.140625" style="145"/>
    <col min="10" max="16384" width="9.140625" style="143"/>
  </cols>
  <sheetData>
    <row r="1" spans="1:11" x14ac:dyDescent="0.25">
      <c r="A1" s="142" t="s">
        <v>221</v>
      </c>
      <c r="B1" s="142" t="s">
        <v>222</v>
      </c>
      <c r="C1" s="143" t="s">
        <v>223</v>
      </c>
      <c r="H1" t="s">
        <v>217</v>
      </c>
      <c r="I1" s="144" t="s">
        <v>219</v>
      </c>
      <c r="J1"/>
    </row>
    <row r="2" spans="1:11" x14ac:dyDescent="0.25">
      <c r="A2" s="143" t="s">
        <v>224</v>
      </c>
      <c r="B2" s="143" t="s">
        <v>225</v>
      </c>
      <c r="C2" s="143" t="s">
        <v>226</v>
      </c>
      <c r="H2" t="s">
        <v>218</v>
      </c>
      <c r="I2" s="114" t="s">
        <v>220</v>
      </c>
      <c r="J2"/>
    </row>
    <row r="3" spans="1:11" x14ac:dyDescent="0.25">
      <c r="A3" s="143" t="s">
        <v>227</v>
      </c>
      <c r="B3" s="143" t="s">
        <v>228</v>
      </c>
      <c r="C3" s="143" t="s">
        <v>229</v>
      </c>
      <c r="H3" t="s">
        <v>244</v>
      </c>
      <c r="I3" s="114">
        <v>1</v>
      </c>
      <c r="J3"/>
      <c r="K3" s="70"/>
    </row>
    <row r="4" spans="1:11" x14ac:dyDescent="0.25">
      <c r="A4" s="143" t="s">
        <v>230</v>
      </c>
      <c r="C4" s="143" t="s">
        <v>231</v>
      </c>
      <c r="H4" t="s">
        <v>245</v>
      </c>
      <c r="I4" s="114">
        <v>2</v>
      </c>
      <c r="J4"/>
      <c r="K4" s="70"/>
    </row>
    <row r="5" spans="1:11" x14ac:dyDescent="0.25">
      <c r="A5" s="143" t="s">
        <v>232</v>
      </c>
      <c r="C5" s="143" t="s">
        <v>233</v>
      </c>
      <c r="H5" t="s">
        <v>246</v>
      </c>
      <c r="I5" s="114">
        <v>23</v>
      </c>
      <c r="J5"/>
      <c r="K5" s="70"/>
    </row>
    <row r="6" spans="1:11" x14ac:dyDescent="0.25">
      <c r="A6" s="143" t="s">
        <v>234</v>
      </c>
      <c r="C6" s="143" t="s">
        <v>235</v>
      </c>
      <c r="H6" s="146" t="s">
        <v>247</v>
      </c>
      <c r="I6" s="147" t="s">
        <v>225</v>
      </c>
    </row>
    <row r="7" spans="1:11" x14ac:dyDescent="0.25">
      <c r="A7" s="143" t="s">
        <v>236</v>
      </c>
      <c r="C7" s="143" t="s">
        <v>237</v>
      </c>
    </row>
    <row r="8" spans="1:11" x14ac:dyDescent="0.25">
      <c r="C8" s="143" t="s">
        <v>238</v>
      </c>
    </row>
    <row r="9" spans="1:11" x14ac:dyDescent="0.25">
      <c r="C9" s="143" t="s">
        <v>239</v>
      </c>
    </row>
    <row r="10" spans="1:11" x14ac:dyDescent="0.25">
      <c r="C10" s="143" t="s">
        <v>240</v>
      </c>
    </row>
    <row r="11" spans="1:11" x14ac:dyDescent="0.25">
      <c r="C11" s="143" t="s">
        <v>241</v>
      </c>
    </row>
    <row r="12" spans="1:11" x14ac:dyDescent="0.25">
      <c r="C12" s="143" t="s">
        <v>242</v>
      </c>
    </row>
    <row r="13" spans="1:11" x14ac:dyDescent="0.25">
      <c r="C13" s="143" t="s">
        <v>243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Train Runs</vt:lpstr>
      <vt:lpstr>Enforcements</vt:lpstr>
      <vt:lpstr>Missing Trips</vt:lpstr>
      <vt:lpstr>Trips&amp;Operators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2016-08-29T15:26:48Z</dcterms:modified>
</cp:coreProperties>
</file>