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 activeTab="6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Enforcements!$A$6:$AC$62</definedName>
    <definedName name="_xlnm._FilterDatabase" localSheetId="2" hidden="1">'Missing Trips'!$A$2:$J$92</definedName>
    <definedName name="_xlnm._FilterDatabase" localSheetId="0" hidden="1">'Train Runs'!$A$12:$AG$266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0" i="5" l="1"/>
  <c r="M29" i="5"/>
  <c r="M28" i="5"/>
  <c r="M27" i="5"/>
  <c r="M26" i="5"/>
  <c r="X159" i="1" l="1"/>
  <c r="X160" i="1"/>
  <c r="X161" i="1"/>
  <c r="X162" i="1"/>
  <c r="X163" i="1"/>
  <c r="X164" i="1"/>
  <c r="X165" i="1"/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S20" i="3" s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A23" i="1" s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S26" i="3" s="1"/>
  <c r="Y25" i="1"/>
  <c r="Z25" i="1"/>
  <c r="AB25" i="1"/>
  <c r="AC25" i="1"/>
  <c r="AD25" i="1"/>
  <c r="T25" i="1" s="1"/>
  <c r="AE25" i="1"/>
  <c r="R26" i="3" s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AM33" i="1"/>
  <c r="AN33" i="1"/>
  <c r="K34" i="1"/>
  <c r="L34" i="1"/>
  <c r="M34" i="1"/>
  <c r="P34" i="1" s="1"/>
  <c r="V34" i="1"/>
  <c r="S21" i="3" s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V35" i="1"/>
  <c r="Y35" i="1"/>
  <c r="Z35" i="1"/>
  <c r="AB35" i="1"/>
  <c r="AC35" i="1"/>
  <c r="AD35" i="1"/>
  <c r="T35" i="1" s="1"/>
  <c r="AE35" i="1"/>
  <c r="R21" i="3" s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I40" i="1" s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S8" i="3" s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P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S22" i="3" s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S27" i="3" s="1"/>
  <c r="Y61" i="1"/>
  <c r="Z61" i="1"/>
  <c r="AB61" i="1"/>
  <c r="AC61" i="1"/>
  <c r="AD61" i="1"/>
  <c r="T61" i="1" s="1"/>
  <c r="AE61" i="1"/>
  <c r="R11" i="3" s="1"/>
  <c r="AF61" i="1"/>
  <c r="AH61" i="1"/>
  <c r="AM61" i="1"/>
  <c r="AN61" i="1"/>
  <c r="K62" i="1"/>
  <c r="L62" i="1"/>
  <c r="M62" i="1"/>
  <c r="N62" i="1" s="1"/>
  <c r="V62" i="1"/>
  <c r="S23" i="3" s="1"/>
  <c r="Y62" i="1"/>
  <c r="Z62" i="1"/>
  <c r="AB62" i="1"/>
  <c r="AC62" i="1"/>
  <c r="AD62" i="1"/>
  <c r="AE62" i="1"/>
  <c r="R23" i="3" s="1"/>
  <c r="AF62" i="1"/>
  <c r="AH62" i="1"/>
  <c r="AM62" i="1"/>
  <c r="AN62" i="1"/>
  <c r="K63" i="1"/>
  <c r="L63" i="1"/>
  <c r="M63" i="1"/>
  <c r="P63" i="1" s="1"/>
  <c r="V63" i="1"/>
  <c r="S15" i="3" s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V64" i="1"/>
  <c r="Y64" i="1"/>
  <c r="Z64" i="1"/>
  <c r="AB64" i="1"/>
  <c r="AC64" i="1"/>
  <c r="AD64" i="1"/>
  <c r="AG64" i="1" s="1"/>
  <c r="AE64" i="1"/>
  <c r="R15" i="3" s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S13" i="3" s="1"/>
  <c r="Y67" i="1"/>
  <c r="Z67" i="1"/>
  <c r="AB67" i="1"/>
  <c r="AC67" i="1"/>
  <c r="AD67" i="1"/>
  <c r="T67" i="1" s="1"/>
  <c r="AE67" i="1"/>
  <c r="R14" i="3" s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R24" i="3" s="1"/>
  <c r="AF69" i="1"/>
  <c r="AH69" i="1"/>
  <c r="AM69" i="1"/>
  <c r="AN69" i="1"/>
  <c r="K70" i="1"/>
  <c r="L70" i="1"/>
  <c r="M70" i="1"/>
  <c r="N70" i="1" s="1"/>
  <c r="V70" i="1"/>
  <c r="S28" i="3" s="1"/>
  <c r="Y70" i="1"/>
  <c r="Z70" i="1"/>
  <c r="AB70" i="1"/>
  <c r="AC70" i="1"/>
  <c r="AD70" i="1"/>
  <c r="AE70" i="1"/>
  <c r="R28" i="3" s="1"/>
  <c r="AF70" i="1"/>
  <c r="AH70" i="1"/>
  <c r="AM70" i="1"/>
  <c r="AN70" i="1"/>
  <c r="K71" i="1"/>
  <c r="L71" i="1"/>
  <c r="M71" i="1"/>
  <c r="N71" i="1" s="1"/>
  <c r="V71" i="1"/>
  <c r="S16" i="3" s="1"/>
  <c r="Y71" i="1"/>
  <c r="Z71" i="1"/>
  <c r="AB71" i="1"/>
  <c r="AC71" i="1"/>
  <c r="AD71" i="1"/>
  <c r="T71" i="1" s="1"/>
  <c r="AE71" i="1"/>
  <c r="R16" i="3" s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S18" i="3" s="1"/>
  <c r="Y74" i="1"/>
  <c r="AB74" i="1"/>
  <c r="AC74" i="1"/>
  <c r="AD74" i="1"/>
  <c r="T74" i="1" s="1"/>
  <c r="AE74" i="1"/>
  <c r="R18" i="3" s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6" i="1"/>
  <c r="AM96" i="1"/>
  <c r="AN96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7" i="1"/>
  <c r="AM97" i="1"/>
  <c r="AN97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8" i="1"/>
  <c r="AM98" i="1"/>
  <c r="AN98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9" i="1"/>
  <c r="AM99" i="1"/>
  <c r="AN99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R32" i="3" s="1"/>
  <c r="AF165" i="1"/>
  <c r="AH100" i="1"/>
  <c r="AM100" i="1"/>
  <c r="AN100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1" i="1"/>
  <c r="AM101" i="1"/>
  <c r="AN101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02" i="1"/>
  <c r="AM102" i="1"/>
  <c r="AN102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03" i="1"/>
  <c r="AM103" i="1"/>
  <c r="AN103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4" i="1"/>
  <c r="AM104" i="1"/>
  <c r="AN104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5" i="1"/>
  <c r="AM105" i="1"/>
  <c r="AN10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06" i="1"/>
  <c r="AM106" i="1"/>
  <c r="AN106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7" i="1"/>
  <c r="AM107" i="1"/>
  <c r="AN107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8" i="1"/>
  <c r="AM108" i="1"/>
  <c r="AN108" i="1"/>
  <c r="K173" i="1"/>
  <c r="L173" i="1"/>
  <c r="M173" i="1"/>
  <c r="N173" i="1" s="1"/>
  <c r="V173" i="1"/>
  <c r="S34" i="3" s="1"/>
  <c r="Y173" i="1"/>
  <c r="Z173" i="1"/>
  <c r="AB173" i="1"/>
  <c r="AC173" i="1"/>
  <c r="AD173" i="1"/>
  <c r="T173" i="1" s="1"/>
  <c r="AE173" i="1"/>
  <c r="AF173" i="1"/>
  <c r="AH109" i="1"/>
  <c r="AM109" i="1"/>
  <c r="AN109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10" i="1"/>
  <c r="AM110" i="1"/>
  <c r="AN110" i="1"/>
  <c r="K175" i="1"/>
  <c r="L175" i="1"/>
  <c r="M175" i="1"/>
  <c r="N175" i="1" s="1"/>
  <c r="V175" i="1"/>
  <c r="S35" i="3" s="1"/>
  <c r="Y175" i="1"/>
  <c r="Z175" i="1"/>
  <c r="AB175" i="1"/>
  <c r="AC175" i="1"/>
  <c r="AD175" i="1"/>
  <c r="T175" i="1" s="1"/>
  <c r="AE175" i="1"/>
  <c r="R35" i="3" s="1"/>
  <c r="AF175" i="1"/>
  <c r="AH111" i="1"/>
  <c r="AM111" i="1"/>
  <c r="AN111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2" i="1"/>
  <c r="AM112" i="1"/>
  <c r="AN112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3" i="1"/>
  <c r="AM113" i="1"/>
  <c r="AN113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4" i="1"/>
  <c r="AM114" i="1"/>
  <c r="AN114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5" i="1"/>
  <c r="AM115" i="1"/>
  <c r="AN115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6" i="1"/>
  <c r="AM116" i="1"/>
  <c r="AN11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17" i="1"/>
  <c r="AM117" i="1"/>
  <c r="AN117" i="1"/>
  <c r="K181" i="1"/>
  <c r="L181" i="1"/>
  <c r="M181" i="1"/>
  <c r="N181" i="1" s="1"/>
  <c r="V181" i="1"/>
  <c r="S33" i="3" s="1"/>
  <c r="Y181" i="1"/>
  <c r="Z181" i="1"/>
  <c r="AB181" i="1"/>
  <c r="AC181" i="1"/>
  <c r="AD181" i="1"/>
  <c r="AG181" i="1" s="1"/>
  <c r="AE181" i="1"/>
  <c r="R33" i="3" s="1"/>
  <c r="AF181" i="1"/>
  <c r="AH118" i="1"/>
  <c r="AM118" i="1"/>
  <c r="AN118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19" i="1"/>
  <c r="AM119" i="1"/>
  <c r="AN119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20" i="1"/>
  <c r="AM120" i="1"/>
  <c r="AN120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21" i="1"/>
  <c r="AM121" i="1"/>
  <c r="AN121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22" i="1"/>
  <c r="AM122" i="1"/>
  <c r="AN122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3" i="1"/>
  <c r="AM123" i="1"/>
  <c r="AN123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4" i="1"/>
  <c r="AM124" i="1"/>
  <c r="AN124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5" i="1"/>
  <c r="AM125" i="1"/>
  <c r="AN125" i="1"/>
  <c r="AH126" i="1"/>
  <c r="AM126" i="1"/>
  <c r="AN126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7" i="1"/>
  <c r="AM127" i="1"/>
  <c r="AN127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128" i="1"/>
  <c r="AM128" i="1"/>
  <c r="AN128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29" i="1"/>
  <c r="AM129" i="1"/>
  <c r="AN129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30" i="1"/>
  <c r="AM130" i="1"/>
  <c r="AN130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131" i="1"/>
  <c r="AM131" i="1"/>
  <c r="AN131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132" i="1"/>
  <c r="AM132" i="1"/>
  <c r="AN132" i="1"/>
  <c r="K194" i="1"/>
  <c r="L194" i="1"/>
  <c r="M194" i="1"/>
  <c r="N194" i="1" s="1"/>
  <c r="V194" i="1"/>
  <c r="S36" i="3" s="1"/>
  <c r="Y194" i="1"/>
  <c r="Z194" i="1"/>
  <c r="AB194" i="1"/>
  <c r="AC194" i="1"/>
  <c r="AD194" i="1"/>
  <c r="T194" i="1" s="1"/>
  <c r="AE194" i="1"/>
  <c r="AF194" i="1"/>
  <c r="AH133" i="1"/>
  <c r="AM133" i="1"/>
  <c r="AN133" i="1"/>
  <c r="K99" i="1"/>
  <c r="L99" i="1"/>
  <c r="M99" i="1"/>
  <c r="N99" i="1" s="1"/>
  <c r="V99" i="1"/>
  <c r="S17" i="3" s="1"/>
  <c r="Y99" i="1"/>
  <c r="Z99" i="1"/>
  <c r="AB99" i="1"/>
  <c r="AC99" i="1"/>
  <c r="AD99" i="1"/>
  <c r="AG99" i="1" s="1"/>
  <c r="AE99" i="1"/>
  <c r="AF99" i="1"/>
  <c r="AH134" i="1"/>
  <c r="AM134" i="1"/>
  <c r="AN134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35" i="1"/>
  <c r="AM135" i="1"/>
  <c r="AN135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36" i="1"/>
  <c r="AM136" i="1"/>
  <c r="AN136" i="1"/>
  <c r="K102" i="1"/>
  <c r="L102" i="1"/>
  <c r="M102" i="1"/>
  <c r="N102" i="1" s="1"/>
  <c r="V102" i="1"/>
  <c r="Y102" i="1"/>
  <c r="Z102" i="1"/>
  <c r="AB102" i="1"/>
  <c r="AC102" i="1"/>
  <c r="AD102" i="1"/>
  <c r="X102" i="1" s="1"/>
  <c r="AE102" i="1"/>
  <c r="AF102" i="1"/>
  <c r="AH137" i="1"/>
  <c r="AM137" i="1"/>
  <c r="AN137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8" i="1"/>
  <c r="AM138" i="1"/>
  <c r="AN138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39" i="1"/>
  <c r="AM139" i="1"/>
  <c r="AN139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0" i="1"/>
  <c r="AM140" i="1"/>
  <c r="AN140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41" i="1"/>
  <c r="AM141" i="1"/>
  <c r="AN141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42" i="1"/>
  <c r="AM142" i="1"/>
  <c r="AN142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43" i="1"/>
  <c r="AM143" i="1"/>
  <c r="AN143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44" i="1"/>
  <c r="AM144" i="1"/>
  <c r="AN144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5" i="1"/>
  <c r="AM145" i="1"/>
  <c r="AN145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6" i="1"/>
  <c r="AM146" i="1"/>
  <c r="AN146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47" i="1"/>
  <c r="AM147" i="1"/>
  <c r="AN147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48" i="1"/>
  <c r="AM148" i="1"/>
  <c r="AN148" i="1"/>
  <c r="K112" i="1"/>
  <c r="L112" i="1"/>
  <c r="M112" i="1"/>
  <c r="N112" i="1" s="1"/>
  <c r="V112" i="1"/>
  <c r="S30" i="3" s="1"/>
  <c r="Y112" i="1"/>
  <c r="Z112" i="1"/>
  <c r="AB112" i="1"/>
  <c r="AC112" i="1"/>
  <c r="AD112" i="1"/>
  <c r="AE112" i="1"/>
  <c r="AF112" i="1"/>
  <c r="AH149" i="1"/>
  <c r="AM149" i="1"/>
  <c r="AN149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50" i="1"/>
  <c r="AM150" i="1"/>
  <c r="AN150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51" i="1"/>
  <c r="AM151" i="1"/>
  <c r="AN151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52" i="1"/>
  <c r="AM152" i="1"/>
  <c r="AN152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3" i="1"/>
  <c r="AM153" i="1"/>
  <c r="AN153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4" i="1"/>
  <c r="AM154" i="1"/>
  <c r="AN154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55" i="1"/>
  <c r="AM155" i="1"/>
  <c r="AN155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6" i="1"/>
  <c r="AM156" i="1"/>
  <c r="AN156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7" i="1"/>
  <c r="AM157" i="1"/>
  <c r="AN157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58" i="1"/>
  <c r="AM158" i="1"/>
  <c r="AN158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59" i="1"/>
  <c r="AM159" i="1"/>
  <c r="AN159" i="1"/>
  <c r="K123" i="1"/>
  <c r="L123" i="1"/>
  <c r="M123" i="1"/>
  <c r="N123" i="1" s="1"/>
  <c r="V123" i="1"/>
  <c r="Y123" i="1"/>
  <c r="Z123" i="1"/>
  <c r="AA123" i="1" s="1"/>
  <c r="AB123" i="1"/>
  <c r="AC123" i="1"/>
  <c r="AD123" i="1"/>
  <c r="AG123" i="1" s="1"/>
  <c r="AE123" i="1"/>
  <c r="AF123" i="1"/>
  <c r="AH160" i="1"/>
  <c r="AM160" i="1"/>
  <c r="AN160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1" i="1"/>
  <c r="AM161" i="1"/>
  <c r="AN161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62" i="1"/>
  <c r="AM162" i="1"/>
  <c r="AN162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63" i="1"/>
  <c r="AM163" i="1"/>
  <c r="AN163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4" i="1"/>
  <c r="AM164" i="1"/>
  <c r="AN164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65" i="1"/>
  <c r="AM165" i="1"/>
  <c r="AN165" i="1"/>
  <c r="K130" i="1"/>
  <c r="L130" i="1"/>
  <c r="M130" i="1"/>
  <c r="N130" i="1" s="1"/>
  <c r="V130" i="1"/>
  <c r="S31" i="3" s="1"/>
  <c r="Y130" i="1"/>
  <c r="Z130" i="1"/>
  <c r="AB130" i="1"/>
  <c r="AC130" i="1"/>
  <c r="AD130" i="1"/>
  <c r="AG130" i="1" s="1"/>
  <c r="AE130" i="1"/>
  <c r="AF130" i="1"/>
  <c r="AH166" i="1"/>
  <c r="AM166" i="1"/>
  <c r="AN166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7" i="1"/>
  <c r="AM167" i="1"/>
  <c r="AN167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68" i="1"/>
  <c r="AM168" i="1"/>
  <c r="AN168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9" i="1"/>
  <c r="AM169" i="1"/>
  <c r="AN169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70" i="1"/>
  <c r="AM170" i="1"/>
  <c r="AN170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1" i="1"/>
  <c r="AM171" i="1"/>
  <c r="AN171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72" i="1"/>
  <c r="AM172" i="1"/>
  <c r="AN172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3" i="1"/>
  <c r="AM173" i="1"/>
  <c r="AN173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74" i="1"/>
  <c r="AM174" i="1"/>
  <c r="AN174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75" i="1"/>
  <c r="AM175" i="1"/>
  <c r="AN175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76" i="1"/>
  <c r="AM176" i="1"/>
  <c r="AN176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7" i="1"/>
  <c r="AM177" i="1"/>
  <c r="AN177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78" i="1"/>
  <c r="AM178" i="1"/>
  <c r="AN178" i="1"/>
  <c r="K143" i="1"/>
  <c r="L143" i="1"/>
  <c r="M143" i="1"/>
  <c r="V143" i="1"/>
  <c r="Y143" i="1"/>
  <c r="Z143" i="1"/>
  <c r="AB143" i="1"/>
  <c r="AC143" i="1"/>
  <c r="AD143" i="1"/>
  <c r="T143" i="1" s="1"/>
  <c r="AE143" i="1"/>
  <c r="AF143" i="1"/>
  <c r="AH179" i="1"/>
  <c r="AM179" i="1"/>
  <c r="AN179" i="1"/>
  <c r="K144" i="1"/>
  <c r="L144" i="1"/>
  <c r="M144" i="1"/>
  <c r="V144" i="1"/>
  <c r="Y144" i="1"/>
  <c r="Z144" i="1"/>
  <c r="AB144" i="1"/>
  <c r="AC144" i="1"/>
  <c r="AD144" i="1"/>
  <c r="AG144" i="1" s="1"/>
  <c r="AE144" i="1"/>
  <c r="AF144" i="1"/>
  <c r="AH180" i="1"/>
  <c r="AM180" i="1"/>
  <c r="AN180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1" i="1"/>
  <c r="AM181" i="1"/>
  <c r="AN181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82" i="1"/>
  <c r="AM182" i="1"/>
  <c r="AN182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3" i="1"/>
  <c r="AM183" i="1"/>
  <c r="AN183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84" i="1"/>
  <c r="AM184" i="1"/>
  <c r="AN184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5" i="1"/>
  <c r="AM185" i="1"/>
  <c r="AN185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86" i="1"/>
  <c r="AM186" i="1"/>
  <c r="AN186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7" i="1"/>
  <c r="AM187" i="1"/>
  <c r="AN187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88" i="1"/>
  <c r="AM188" i="1"/>
  <c r="AN188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89" i="1"/>
  <c r="AM189" i="1"/>
  <c r="AN189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0" i="1"/>
  <c r="AM190" i="1"/>
  <c r="AN190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91" i="1"/>
  <c r="AM191" i="1"/>
  <c r="AN191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2" i="1"/>
  <c r="AM192" i="1"/>
  <c r="AN192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93" i="1"/>
  <c r="AM193" i="1"/>
  <c r="AN193" i="1"/>
  <c r="K159" i="1"/>
  <c r="L159" i="1"/>
  <c r="M159" i="1"/>
  <c r="P159" i="1" s="1"/>
  <c r="V159" i="1"/>
  <c r="Y159" i="1"/>
  <c r="Z159" i="1"/>
  <c r="AB159" i="1"/>
  <c r="AC159" i="1"/>
  <c r="AD159" i="1"/>
  <c r="T159" i="1" s="1"/>
  <c r="AE159" i="1"/>
  <c r="AF159" i="1"/>
  <c r="AH194" i="1"/>
  <c r="AM194" i="1"/>
  <c r="AN194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95" i="1"/>
  <c r="AM195" i="1"/>
  <c r="AN195" i="1"/>
  <c r="AH196" i="1"/>
  <c r="AM196" i="1"/>
  <c r="AN196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2" i="1"/>
  <c r="AM202" i="1"/>
  <c r="AN202" i="1"/>
  <c r="K201" i="1"/>
  <c r="L201" i="1"/>
  <c r="M201" i="1"/>
  <c r="N201" i="1" s="1"/>
  <c r="T201" i="1"/>
  <c r="V201" i="1"/>
  <c r="Y201" i="1"/>
  <c r="Z201" i="1"/>
  <c r="AB201" i="1"/>
  <c r="AC201" i="1"/>
  <c r="AD201" i="1"/>
  <c r="AE201" i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05" i="1"/>
  <c r="AM205" i="1"/>
  <c r="AN205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06" i="1"/>
  <c r="AM206" i="1"/>
  <c r="AN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209" i="1"/>
  <c r="AM209" i="1"/>
  <c r="AN20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K215" i="1"/>
  <c r="L215" i="1"/>
  <c r="M215" i="1"/>
  <c r="N215" i="1" s="1"/>
  <c r="V215" i="1"/>
  <c r="S37" i="3" s="1"/>
  <c r="Y215" i="1"/>
  <c r="Z215" i="1"/>
  <c r="AB215" i="1"/>
  <c r="AC215" i="1"/>
  <c r="AD215" i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R37" i="3" s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19" i="1"/>
  <c r="AM219" i="1"/>
  <c r="AN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221" i="1"/>
  <c r="AM221" i="1"/>
  <c r="AN221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222" i="1"/>
  <c r="AM222" i="1"/>
  <c r="AN222" i="1"/>
  <c r="M20" i="3"/>
  <c r="R20" i="3"/>
  <c r="U20" i="3"/>
  <c r="T20" i="3" s="1"/>
  <c r="V20" i="3"/>
  <c r="W20" i="3"/>
  <c r="X20" i="3"/>
  <c r="AC20" i="3"/>
  <c r="M26" i="3"/>
  <c r="U26" i="3"/>
  <c r="T26" i="3" s="1"/>
  <c r="V26" i="3"/>
  <c r="W26" i="3"/>
  <c r="X26" i="3"/>
  <c r="AC26" i="3"/>
  <c r="M21" i="3"/>
  <c r="U21" i="3"/>
  <c r="AD21" i="3" s="1"/>
  <c r="V21" i="3"/>
  <c r="W21" i="3"/>
  <c r="X21" i="3"/>
  <c r="M32" i="3"/>
  <c r="S32" i="3"/>
  <c r="U32" i="3"/>
  <c r="AC32" i="3" s="1"/>
  <c r="V32" i="3"/>
  <c r="W32" i="3"/>
  <c r="X32" i="3"/>
  <c r="M8" i="3"/>
  <c r="R8" i="3"/>
  <c r="U8" i="3"/>
  <c r="V8" i="3"/>
  <c r="W8" i="3"/>
  <c r="X8" i="3"/>
  <c r="AC8" i="3"/>
  <c r="M11" i="3"/>
  <c r="U11" i="3"/>
  <c r="T11" i="3" s="1"/>
  <c r="V11" i="3"/>
  <c r="W11" i="3"/>
  <c r="X11" i="3"/>
  <c r="AC11" i="3"/>
  <c r="M15" i="3"/>
  <c r="U15" i="3"/>
  <c r="V15" i="3"/>
  <c r="W15" i="3"/>
  <c r="X15" i="3"/>
  <c r="AC15" i="3"/>
  <c r="M27" i="3"/>
  <c r="U27" i="3"/>
  <c r="AC27" i="3" s="1"/>
  <c r="V27" i="3"/>
  <c r="W27" i="3"/>
  <c r="Y27" i="3" s="1"/>
  <c r="X27" i="3"/>
  <c r="M22" i="3"/>
  <c r="R22" i="3"/>
  <c r="U22" i="3"/>
  <c r="T22" i="3" s="1"/>
  <c r="V22" i="3"/>
  <c r="W22" i="3"/>
  <c r="X22" i="3"/>
  <c r="M14" i="3"/>
  <c r="S14" i="3"/>
  <c r="U14" i="3"/>
  <c r="T14" i="3" s="1"/>
  <c r="V14" i="3"/>
  <c r="W14" i="3"/>
  <c r="X14" i="3"/>
  <c r="AC14" i="3"/>
  <c r="M28" i="3"/>
  <c r="U28" i="3"/>
  <c r="V28" i="3"/>
  <c r="W28" i="3"/>
  <c r="X28" i="3"/>
  <c r="AC28" i="3"/>
  <c r="M23" i="3"/>
  <c r="U23" i="3"/>
  <c r="AC23" i="3" s="1"/>
  <c r="V23" i="3"/>
  <c r="W23" i="3"/>
  <c r="X23" i="3"/>
  <c r="M13" i="3"/>
  <c r="R13" i="3"/>
  <c r="U13" i="3"/>
  <c r="T13" i="3" s="1"/>
  <c r="V13" i="3"/>
  <c r="W13" i="3"/>
  <c r="X13" i="3"/>
  <c r="AC13" i="3"/>
  <c r="M18" i="3"/>
  <c r="U18" i="3"/>
  <c r="T18" i="3" s="1"/>
  <c r="V18" i="3"/>
  <c r="W18" i="3"/>
  <c r="X18" i="3"/>
  <c r="AC18" i="3"/>
  <c r="M16" i="3"/>
  <c r="U16" i="3"/>
  <c r="V16" i="3"/>
  <c r="W16" i="3"/>
  <c r="X16" i="3"/>
  <c r="M34" i="3"/>
  <c r="R34" i="3"/>
  <c r="U34" i="3"/>
  <c r="AC34" i="3" s="1"/>
  <c r="V34" i="3"/>
  <c r="W34" i="3"/>
  <c r="X34" i="3"/>
  <c r="M24" i="3"/>
  <c r="S24" i="3"/>
  <c r="U24" i="3"/>
  <c r="T24" i="3" s="1"/>
  <c r="V24" i="3"/>
  <c r="W24" i="3"/>
  <c r="X24" i="3"/>
  <c r="AC24" i="3"/>
  <c r="AD24" i="3"/>
  <c r="M35" i="3"/>
  <c r="U35" i="3"/>
  <c r="T35" i="3" s="1"/>
  <c r="V35" i="3"/>
  <c r="W35" i="3"/>
  <c r="X35" i="3"/>
  <c r="AC35" i="3"/>
  <c r="M9" i="3"/>
  <c r="R9" i="3"/>
  <c r="S9" i="3"/>
  <c r="U9" i="3"/>
  <c r="V9" i="3"/>
  <c r="W9" i="3"/>
  <c r="X9" i="3"/>
  <c r="M19" i="3"/>
  <c r="R19" i="3"/>
  <c r="S19" i="3"/>
  <c r="U19" i="3"/>
  <c r="AC19" i="3" s="1"/>
  <c r="V19" i="3"/>
  <c r="W19" i="3"/>
  <c r="X19" i="3"/>
  <c r="M29" i="3"/>
  <c r="R29" i="3"/>
  <c r="S29" i="3"/>
  <c r="U29" i="3"/>
  <c r="V29" i="3"/>
  <c r="W29" i="3"/>
  <c r="X29" i="3"/>
  <c r="AC29" i="3"/>
  <c r="M17" i="3"/>
  <c r="R17" i="3"/>
  <c r="U17" i="3"/>
  <c r="T17" i="3" s="1"/>
  <c r="V17" i="3"/>
  <c r="W17" i="3"/>
  <c r="X17" i="3"/>
  <c r="AC17" i="3"/>
  <c r="M33" i="3"/>
  <c r="U33" i="3"/>
  <c r="V33" i="3"/>
  <c r="W33" i="3"/>
  <c r="X33" i="3"/>
  <c r="AC33" i="3"/>
  <c r="M30" i="3"/>
  <c r="R30" i="3"/>
  <c r="U30" i="3"/>
  <c r="AC30" i="3" s="1"/>
  <c r="V30" i="3"/>
  <c r="W30" i="3"/>
  <c r="X30" i="3"/>
  <c r="M12" i="3"/>
  <c r="R12" i="3"/>
  <c r="S12" i="3"/>
  <c r="U12" i="3"/>
  <c r="T12" i="3" s="1"/>
  <c r="V12" i="3"/>
  <c r="W12" i="3"/>
  <c r="X12" i="3"/>
  <c r="AC12" i="3"/>
  <c r="M31" i="3"/>
  <c r="R31" i="3"/>
  <c r="U31" i="3"/>
  <c r="T31" i="3" s="1"/>
  <c r="V31" i="3"/>
  <c r="W31" i="3"/>
  <c r="X31" i="3"/>
  <c r="AC31" i="3"/>
  <c r="M37" i="3"/>
  <c r="U37" i="3"/>
  <c r="V37" i="3"/>
  <c r="W37" i="3"/>
  <c r="Y37" i="3" s="1"/>
  <c r="X37" i="3"/>
  <c r="AC37" i="3"/>
  <c r="M36" i="3"/>
  <c r="R36" i="3"/>
  <c r="U36" i="3"/>
  <c r="AC36" i="3" s="1"/>
  <c r="V36" i="3"/>
  <c r="W36" i="3"/>
  <c r="X36" i="3"/>
  <c r="M25" i="3"/>
  <c r="R25" i="3"/>
  <c r="S25" i="3"/>
  <c r="U25" i="3"/>
  <c r="T25" i="3" s="1"/>
  <c r="V25" i="3"/>
  <c r="W25" i="3"/>
  <c r="X25" i="3"/>
  <c r="AC25" i="3"/>
  <c r="AD36" i="3"/>
  <c r="M10" i="3"/>
  <c r="R10" i="3"/>
  <c r="S10" i="3"/>
  <c r="U10" i="3"/>
  <c r="T10" i="3" s="1"/>
  <c r="V10" i="3"/>
  <c r="W10" i="3"/>
  <c r="X10" i="3"/>
  <c r="AC10" i="3"/>
  <c r="AA91" i="1" l="1"/>
  <c r="R27" i="3"/>
  <c r="AA151" i="1"/>
  <c r="X174" i="1"/>
  <c r="X70" i="1"/>
  <c r="X38" i="1"/>
  <c r="AA216" i="1"/>
  <c r="AA160" i="1"/>
  <c r="W160" i="1" s="1"/>
  <c r="AA194" i="1"/>
  <c r="AA181" i="1"/>
  <c r="AA52" i="1"/>
  <c r="AA213" i="1"/>
  <c r="AA207" i="1"/>
  <c r="W207" i="1" s="1"/>
  <c r="AA201" i="1"/>
  <c r="AA173" i="1"/>
  <c r="AA94" i="1"/>
  <c r="X82" i="1"/>
  <c r="AA24" i="1"/>
  <c r="W24" i="1" s="1"/>
  <c r="S11" i="3"/>
  <c r="AA96" i="1"/>
  <c r="AG168" i="1"/>
  <c r="X168" i="1"/>
  <c r="T82" i="1"/>
  <c r="AA48" i="1"/>
  <c r="AA44" i="1"/>
  <c r="W44" i="1" s="1"/>
  <c r="X192" i="1"/>
  <c r="AI210" i="1"/>
  <c r="X215" i="1"/>
  <c r="AG153" i="1"/>
  <c r="U153" i="1" s="1"/>
  <c r="S153" i="1" s="1"/>
  <c r="AA152" i="1"/>
  <c r="X121" i="1"/>
  <c r="X186" i="1"/>
  <c r="AG54" i="1"/>
  <c r="U54" i="1" s="1"/>
  <c r="S54" i="1" s="1"/>
  <c r="X54" i="1"/>
  <c r="X191" i="1"/>
  <c r="X190" i="1"/>
  <c r="AA76" i="1"/>
  <c r="W76" i="1" s="1"/>
  <c r="X189" i="1"/>
  <c r="AA92" i="1"/>
  <c r="AA70" i="1"/>
  <c r="T70" i="1"/>
  <c r="AG214" i="1"/>
  <c r="AI214" i="1" s="1"/>
  <c r="T113" i="1"/>
  <c r="AG191" i="1"/>
  <c r="AG92" i="1"/>
  <c r="AG70" i="1"/>
  <c r="X50" i="1"/>
  <c r="AG49" i="1"/>
  <c r="T38" i="1"/>
  <c r="AD26" i="3"/>
  <c r="AI222" i="1"/>
  <c r="Y30" i="3"/>
  <c r="Y34" i="3"/>
  <c r="Y21" i="3"/>
  <c r="Y26" i="3"/>
  <c r="Y20" i="3"/>
  <c r="T215" i="1"/>
  <c r="AI140" i="1"/>
  <c r="Y9" i="3"/>
  <c r="AD20" i="3"/>
  <c r="AE20" i="3"/>
  <c r="AA215" i="1"/>
  <c r="AA197" i="1"/>
  <c r="T160" i="1"/>
  <c r="T144" i="1"/>
  <c r="AA143" i="1"/>
  <c r="AA115" i="1"/>
  <c r="W115" i="1" s="1"/>
  <c r="AA104" i="1"/>
  <c r="W104" i="1" s="1"/>
  <c r="AA102" i="1"/>
  <c r="AA101" i="1"/>
  <c r="W101" i="1" s="1"/>
  <c r="AA185" i="1"/>
  <c r="AA178" i="1"/>
  <c r="AA174" i="1"/>
  <c r="AA168" i="1"/>
  <c r="W168" i="1" s="1"/>
  <c r="AG82" i="1"/>
  <c r="X46" i="1"/>
  <c r="X29" i="1"/>
  <c r="AA15" i="1"/>
  <c r="AG25" i="1"/>
  <c r="AI25" i="1" s="1"/>
  <c r="X25" i="1"/>
  <c r="X24" i="1"/>
  <c r="AA20" i="1"/>
  <c r="W20" i="1" s="1"/>
  <c r="AC22" i="3"/>
  <c r="X200" i="1"/>
  <c r="AI148" i="1"/>
  <c r="AG131" i="1"/>
  <c r="AA110" i="1"/>
  <c r="W110" i="1" s="1"/>
  <c r="AI190" i="1"/>
  <c r="AA183" i="1"/>
  <c r="T181" i="1"/>
  <c r="U181" i="1" s="1"/>
  <c r="S181" i="1" s="1"/>
  <c r="AA97" i="1"/>
  <c r="AA81" i="1"/>
  <c r="AA79" i="1"/>
  <c r="AA57" i="1"/>
  <c r="W57" i="1" s="1"/>
  <c r="T50" i="1"/>
  <c r="X49" i="1"/>
  <c r="AE28" i="3"/>
  <c r="AD18" i="3"/>
  <c r="Y36" i="3"/>
  <c r="Y16" i="3"/>
  <c r="X136" i="1"/>
  <c r="AA119" i="1"/>
  <c r="X73" i="1"/>
  <c r="AA26" i="1"/>
  <c r="Y10" i="3"/>
  <c r="AD34" i="3"/>
  <c r="Y12" i="3"/>
  <c r="Y18" i="3"/>
  <c r="AA222" i="1"/>
  <c r="W222" i="1" s="1"/>
  <c r="X204" i="1"/>
  <c r="AA202" i="1"/>
  <c r="T200" i="1"/>
  <c r="AI156" i="1"/>
  <c r="X152" i="1"/>
  <c r="AA147" i="1"/>
  <c r="P143" i="1"/>
  <c r="T127" i="1"/>
  <c r="U127" i="1" s="1"/>
  <c r="S127" i="1" s="1"/>
  <c r="AA126" i="1"/>
  <c r="W126" i="1" s="1"/>
  <c r="T123" i="1"/>
  <c r="U123" i="1" s="1"/>
  <c r="S123" i="1" s="1"/>
  <c r="AA122" i="1"/>
  <c r="W122" i="1" s="1"/>
  <c r="U113" i="1"/>
  <c r="S113" i="1" s="1"/>
  <c r="AA107" i="1"/>
  <c r="AA184" i="1"/>
  <c r="AG163" i="1"/>
  <c r="AI163" i="1" s="1"/>
  <c r="AA84" i="1"/>
  <c r="AA64" i="1"/>
  <c r="X62" i="1"/>
  <c r="AG61" i="1"/>
  <c r="U61" i="1" s="1"/>
  <c r="S61" i="1" s="1"/>
  <c r="AA60" i="1"/>
  <c r="AA45" i="1"/>
  <c r="AA41" i="1"/>
  <c r="X15" i="1"/>
  <c r="Y33" i="3"/>
  <c r="Y22" i="3"/>
  <c r="T129" i="1"/>
  <c r="U129" i="1" s="1"/>
  <c r="S129" i="1" s="1"/>
  <c r="X117" i="1"/>
  <c r="T111" i="1"/>
  <c r="U111" i="1" s="1"/>
  <c r="S111" i="1" s="1"/>
  <c r="X210" i="1"/>
  <c r="T99" i="1"/>
  <c r="U99" i="1" s="1"/>
  <c r="S99" i="1" s="1"/>
  <c r="T185" i="1"/>
  <c r="U168" i="1"/>
  <c r="AG21" i="1"/>
  <c r="AI21" i="1" s="1"/>
  <c r="X21" i="1"/>
  <c r="W185" i="1"/>
  <c r="AD32" i="3"/>
  <c r="AD22" i="3"/>
  <c r="Y23" i="3"/>
  <c r="Y32" i="3"/>
  <c r="Y13" i="3"/>
  <c r="Y15" i="3"/>
  <c r="X218" i="1"/>
  <c r="AA214" i="1"/>
  <c r="W214" i="1" s="1"/>
  <c r="AA206" i="1"/>
  <c r="X201" i="1"/>
  <c r="AA131" i="1"/>
  <c r="X129" i="1"/>
  <c r="X194" i="1"/>
  <c r="AA190" i="1"/>
  <c r="W190" i="1" s="1"/>
  <c r="AA186" i="1"/>
  <c r="T186" i="1"/>
  <c r="X171" i="1"/>
  <c r="AA164" i="1"/>
  <c r="AG95" i="1"/>
  <c r="U95" i="1" s="1"/>
  <c r="X95" i="1"/>
  <c r="AA93" i="1"/>
  <c r="AA88" i="1"/>
  <c r="AA83" i="1"/>
  <c r="AA66" i="1"/>
  <c r="AA63" i="1"/>
  <c r="AA56" i="1"/>
  <c r="W56" i="1" s="1"/>
  <c r="T46" i="1"/>
  <c r="AI44" i="1"/>
  <c r="X42" i="1"/>
  <c r="AA40" i="1"/>
  <c r="AA37" i="1"/>
  <c r="AA33" i="1"/>
  <c r="AG30" i="1"/>
  <c r="AI30" i="1" s="1"/>
  <c r="X30" i="1"/>
  <c r="AA28" i="1"/>
  <c r="W28" i="1" s="1"/>
  <c r="AA32" i="1"/>
  <c r="W32" i="1" s="1"/>
  <c r="AA29" i="1"/>
  <c r="AA22" i="1"/>
  <c r="AA18" i="1"/>
  <c r="AD37" i="3"/>
  <c r="AE32" i="3"/>
  <c r="AA218" i="1"/>
  <c r="W218" i="1" s="1"/>
  <c r="T218" i="1"/>
  <c r="AA203" i="1"/>
  <c r="AG145" i="1"/>
  <c r="U145" i="1" s="1"/>
  <c r="S145" i="1" s="1"/>
  <c r="AA144" i="1"/>
  <c r="W144" i="1" s="1"/>
  <c r="AI138" i="1"/>
  <c r="AG137" i="1"/>
  <c r="U137" i="1" s="1"/>
  <c r="AA136" i="1"/>
  <c r="W136" i="1" s="1"/>
  <c r="AA130" i="1"/>
  <c r="W130" i="1" s="1"/>
  <c r="AA118" i="1"/>
  <c r="W118" i="1" s="1"/>
  <c r="X113" i="1"/>
  <c r="T107" i="1"/>
  <c r="U107" i="1" s="1"/>
  <c r="S107" i="1" s="1"/>
  <c r="AA106" i="1"/>
  <c r="W106" i="1" s="1"/>
  <c r="AA105" i="1"/>
  <c r="AA193" i="1"/>
  <c r="W193" i="1" s="1"/>
  <c r="AG186" i="1"/>
  <c r="X179" i="1"/>
  <c r="AA167" i="1"/>
  <c r="AA165" i="1"/>
  <c r="AA95" i="1"/>
  <c r="AA89" i="1"/>
  <c r="AA80" i="1"/>
  <c r="AG78" i="1"/>
  <c r="U78" i="1" s="1"/>
  <c r="S78" i="1" s="1"/>
  <c r="AA77" i="1"/>
  <c r="W77" i="1" s="1"/>
  <c r="AA73" i="1"/>
  <c r="AA69" i="1"/>
  <c r="AA67" i="1"/>
  <c r="AA62" i="1"/>
  <c r="AA55" i="1"/>
  <c r="AA208" i="1"/>
  <c r="AG205" i="1"/>
  <c r="X205" i="1"/>
  <c r="AA204" i="1"/>
  <c r="T197" i="1"/>
  <c r="X197" i="1"/>
  <c r="AA195" i="1"/>
  <c r="AG159" i="1"/>
  <c r="U159" i="1" s="1"/>
  <c r="S159" i="1" s="1"/>
  <c r="AG215" i="1"/>
  <c r="W215" i="1" s="1"/>
  <c r="AG204" i="1"/>
  <c r="AG201" i="1"/>
  <c r="AG152" i="1"/>
  <c r="AI152" i="1" s="1"/>
  <c r="T152" i="1"/>
  <c r="AA221" i="1"/>
  <c r="AA217" i="1"/>
  <c r="W217" i="1" s="1"/>
  <c r="AA205" i="1"/>
  <c r="AG200" i="1"/>
  <c r="AI200" i="1" s="1"/>
  <c r="X196" i="1"/>
  <c r="AG196" i="1"/>
  <c r="U196" i="1" s="1"/>
  <c r="S196" i="1" s="1"/>
  <c r="AA159" i="1"/>
  <c r="W159" i="1" s="1"/>
  <c r="AG155" i="1"/>
  <c r="U155" i="1" s="1"/>
  <c r="S155" i="1" s="1"/>
  <c r="T155" i="1"/>
  <c r="AA155" i="1"/>
  <c r="AG147" i="1"/>
  <c r="AI147" i="1" s="1"/>
  <c r="T147" i="1"/>
  <c r="AI160" i="1"/>
  <c r="AA154" i="1"/>
  <c r="W154" i="1" s="1"/>
  <c r="AA146" i="1"/>
  <c r="W146" i="1" s="1"/>
  <c r="T139" i="1"/>
  <c r="U139" i="1" s="1"/>
  <c r="S139" i="1" s="1"/>
  <c r="AA138" i="1"/>
  <c r="W138" i="1" s="1"/>
  <c r="T136" i="1"/>
  <c r="AA135" i="1"/>
  <c r="AI132" i="1"/>
  <c r="AI130" i="1"/>
  <c r="T121" i="1"/>
  <c r="U121" i="1" s="1"/>
  <c r="S121" i="1" s="1"/>
  <c r="AI118" i="1"/>
  <c r="AG117" i="1"/>
  <c r="U117" i="1" s="1"/>
  <c r="S117" i="1" s="1"/>
  <c r="T115" i="1"/>
  <c r="AA114" i="1"/>
  <c r="W114" i="1" s="1"/>
  <c r="T210" i="1"/>
  <c r="U210" i="1" s="1"/>
  <c r="S210" i="1" s="1"/>
  <c r="T101" i="1"/>
  <c r="AA100" i="1"/>
  <c r="AA99" i="1"/>
  <c r="W99" i="1" s="1"/>
  <c r="AA98" i="1"/>
  <c r="AA180" i="1"/>
  <c r="AG178" i="1"/>
  <c r="U178" i="1" s="1"/>
  <c r="S178" i="1" s="1"/>
  <c r="AG175" i="1"/>
  <c r="X175" i="1"/>
  <c r="AA172" i="1"/>
  <c r="AG96" i="1"/>
  <c r="X96" i="1"/>
  <c r="X167" i="1"/>
  <c r="AA163" i="1"/>
  <c r="W163" i="1" s="1"/>
  <c r="X94" i="1"/>
  <c r="AA90" i="1"/>
  <c r="AA87" i="1"/>
  <c r="W87" i="1" s="1"/>
  <c r="X86" i="1"/>
  <c r="AG74" i="1"/>
  <c r="X74" i="1"/>
  <c r="AA61" i="1"/>
  <c r="AA53" i="1"/>
  <c r="W53" i="1" s="1"/>
  <c r="AA47" i="1"/>
  <c r="AG45" i="1"/>
  <c r="U45" i="1" s="1"/>
  <c r="S45" i="1" s="1"/>
  <c r="X45" i="1"/>
  <c r="AA42" i="1"/>
  <c r="AA39" i="1"/>
  <c r="AG37" i="1"/>
  <c r="W37" i="1" s="1"/>
  <c r="AA36" i="1"/>
  <c r="AA17" i="1"/>
  <c r="AI144" i="1"/>
  <c r="AA139" i="1"/>
  <c r="W139" i="1" s="1"/>
  <c r="AI136" i="1"/>
  <c r="AA133" i="1"/>
  <c r="AI126" i="1"/>
  <c r="AG125" i="1"/>
  <c r="U125" i="1" s="1"/>
  <c r="S125" i="1" s="1"/>
  <c r="W123" i="1"/>
  <c r="AG119" i="1"/>
  <c r="U119" i="1" s="1"/>
  <c r="S119" i="1" s="1"/>
  <c r="AI110" i="1"/>
  <c r="AG109" i="1"/>
  <c r="U109" i="1" s="1"/>
  <c r="S109" i="1" s="1"/>
  <c r="W107" i="1"/>
  <c r="AG105" i="1"/>
  <c r="U105" i="1" s="1"/>
  <c r="S105" i="1" s="1"/>
  <c r="AA103" i="1"/>
  <c r="T193" i="1"/>
  <c r="U193" i="1" s="1"/>
  <c r="S193" i="1" s="1"/>
  <c r="AA192" i="1"/>
  <c r="AG187" i="1"/>
  <c r="AI187" i="1" s="1"/>
  <c r="AA179" i="1"/>
  <c r="AA175" i="1"/>
  <c r="AA171" i="1"/>
  <c r="AA166" i="1"/>
  <c r="T164" i="1"/>
  <c r="X88" i="1"/>
  <c r="T86" i="1"/>
  <c r="AA85" i="1"/>
  <c r="X81" i="1"/>
  <c r="AG69" i="1"/>
  <c r="W69" i="1" s="1"/>
  <c r="AA65" i="1"/>
  <c r="T62" i="1"/>
  <c r="AA49" i="1"/>
  <c r="W49" i="1" s="1"/>
  <c r="AA43" i="1"/>
  <c r="AG41" i="1"/>
  <c r="AI41" i="1" s="1"/>
  <c r="X41" i="1"/>
  <c r="AA38" i="1"/>
  <c r="X33" i="1"/>
  <c r="X28" i="1"/>
  <c r="X20" i="1"/>
  <c r="AG17" i="1"/>
  <c r="AI17" i="1" s="1"/>
  <c r="AA16" i="1"/>
  <c r="AA157" i="1"/>
  <c r="AA149" i="1"/>
  <c r="X144" i="1"/>
  <c r="AA141" i="1"/>
  <c r="AI134" i="1"/>
  <c r="AA127" i="1"/>
  <c r="W127" i="1" s="1"/>
  <c r="X125" i="1"/>
  <c r="AI122" i="1"/>
  <c r="AA111" i="1"/>
  <c r="W111" i="1" s="1"/>
  <c r="X109" i="1"/>
  <c r="X78" i="1"/>
  <c r="X77" i="1"/>
  <c r="W70" i="1"/>
  <c r="X57" i="1"/>
  <c r="T42" i="1"/>
  <c r="X219" i="1"/>
  <c r="AG219" i="1"/>
  <c r="AI219" i="1" s="1"/>
  <c r="T219" i="1"/>
  <c r="U218" i="1"/>
  <c r="S218" i="1" s="1"/>
  <c r="AI218" i="1"/>
  <c r="X208" i="1"/>
  <c r="AG208" i="1"/>
  <c r="U208" i="1" s="1"/>
  <c r="S208" i="1" s="1"/>
  <c r="AG203" i="1"/>
  <c r="AI203" i="1" s="1"/>
  <c r="T203" i="1"/>
  <c r="X222" i="1"/>
  <c r="U214" i="1"/>
  <c r="S214" i="1" s="1"/>
  <c r="T222" i="1"/>
  <c r="U222" i="1" s="1"/>
  <c r="S222" i="1" s="1"/>
  <c r="AA220" i="1"/>
  <c r="AA219" i="1"/>
  <c r="X214" i="1"/>
  <c r="AG211" i="1"/>
  <c r="AI211" i="1" s="1"/>
  <c r="X211" i="1"/>
  <c r="T204" i="1"/>
  <c r="U204" i="1" s="1"/>
  <c r="S204" i="1" s="1"/>
  <c r="AA200" i="1"/>
  <c r="AA199" i="1"/>
  <c r="W199" i="1" s="1"/>
  <c r="AG157" i="1"/>
  <c r="U157" i="1" s="1"/>
  <c r="S157" i="1" s="1"/>
  <c r="AA156" i="1"/>
  <c r="W156" i="1" s="1"/>
  <c r="T156" i="1"/>
  <c r="AA153" i="1"/>
  <c r="T151" i="1"/>
  <c r="AA150" i="1"/>
  <c r="W150" i="1" s="1"/>
  <c r="X148" i="1"/>
  <c r="AG143" i="1"/>
  <c r="U143" i="1" s="1"/>
  <c r="AG141" i="1"/>
  <c r="W141" i="1" s="1"/>
  <c r="AA140" i="1"/>
  <c r="W140" i="1" s="1"/>
  <c r="T140" i="1"/>
  <c r="AA137" i="1"/>
  <c r="T135" i="1"/>
  <c r="AA134" i="1"/>
  <c r="W134" i="1" s="1"/>
  <c r="X132" i="1"/>
  <c r="AA128" i="1"/>
  <c r="T128" i="1"/>
  <c r="AA125" i="1"/>
  <c r="W125" i="1" s="1"/>
  <c r="X124" i="1"/>
  <c r="AA120" i="1"/>
  <c r="T120" i="1"/>
  <c r="AA117" i="1"/>
  <c r="W117" i="1" s="1"/>
  <c r="X116" i="1"/>
  <c r="AA112" i="1"/>
  <c r="T112" i="1"/>
  <c r="AA109" i="1"/>
  <c r="W109" i="1" s="1"/>
  <c r="X108" i="1"/>
  <c r="AA209" i="1"/>
  <c r="T209" i="1"/>
  <c r="X103" i="1"/>
  <c r="T102" i="1"/>
  <c r="U191" i="1"/>
  <c r="AG189" i="1"/>
  <c r="U189" i="1" s="1"/>
  <c r="S189" i="1" s="1"/>
  <c r="U185" i="1"/>
  <c r="S185" i="1" s="1"/>
  <c r="X185" i="1"/>
  <c r="W181" i="1"/>
  <c r="T177" i="1"/>
  <c r="X178" i="1"/>
  <c r="U96" i="1"/>
  <c r="S96" i="1" s="1"/>
  <c r="X91" i="1"/>
  <c r="U69" i="1"/>
  <c r="S69" i="1" s="1"/>
  <c r="AI69" i="1"/>
  <c r="AG60" i="1"/>
  <c r="W60" i="1" s="1"/>
  <c r="X61" i="1"/>
  <c r="T52" i="1"/>
  <c r="X53" i="1"/>
  <c r="AG36" i="1"/>
  <c r="X37" i="1"/>
  <c r="AI201" i="1"/>
  <c r="T169" i="1"/>
  <c r="AG169" i="1"/>
  <c r="AI169" i="1" s="1"/>
  <c r="T75" i="1"/>
  <c r="AG75" i="1"/>
  <c r="AG68" i="1"/>
  <c r="AI68" i="1" s="1"/>
  <c r="X69" i="1"/>
  <c r="X65" i="1"/>
  <c r="AG65" i="1"/>
  <c r="T58" i="1"/>
  <c r="X58" i="1"/>
  <c r="AG58" i="1"/>
  <c r="U49" i="1"/>
  <c r="S49" i="1" s="1"/>
  <c r="AI49" i="1"/>
  <c r="T34" i="1"/>
  <c r="X34" i="1"/>
  <c r="AG34" i="1"/>
  <c r="AA212" i="1"/>
  <c r="AA211" i="1"/>
  <c r="AA198" i="1"/>
  <c r="W198" i="1" s="1"/>
  <c r="AA196" i="1"/>
  <c r="W196" i="1" s="1"/>
  <c r="AA158" i="1"/>
  <c r="X156" i="1"/>
  <c r="AG151" i="1"/>
  <c r="AI151" i="1" s="1"/>
  <c r="AG149" i="1"/>
  <c r="AA148" i="1"/>
  <c r="W148" i="1" s="1"/>
  <c r="T148" i="1"/>
  <c r="AA145" i="1"/>
  <c r="AA142" i="1"/>
  <c r="X140" i="1"/>
  <c r="AG135" i="1"/>
  <c r="AG133" i="1"/>
  <c r="AA132" i="1"/>
  <c r="T132" i="1"/>
  <c r="AA129" i="1"/>
  <c r="W129" i="1" s="1"/>
  <c r="X128" i="1"/>
  <c r="AA124" i="1"/>
  <c r="T124" i="1"/>
  <c r="AA121" i="1"/>
  <c r="W121" i="1" s="1"/>
  <c r="X120" i="1"/>
  <c r="AA116" i="1"/>
  <c r="T116" i="1"/>
  <c r="AI114" i="1"/>
  <c r="AA113" i="1"/>
  <c r="W113" i="1" s="1"/>
  <c r="X112" i="1"/>
  <c r="AA108" i="1"/>
  <c r="T108" i="1"/>
  <c r="AI106" i="1"/>
  <c r="AA210" i="1"/>
  <c r="W210" i="1" s="1"/>
  <c r="X209" i="1"/>
  <c r="AG103" i="1"/>
  <c r="U103" i="1" s="1"/>
  <c r="S103" i="1" s="1"/>
  <c r="X98" i="1"/>
  <c r="T183" i="1"/>
  <c r="AG183" i="1"/>
  <c r="W183" i="1" s="1"/>
  <c r="AG182" i="1"/>
  <c r="U182" i="1" s="1"/>
  <c r="X182" i="1"/>
  <c r="T161" i="1"/>
  <c r="AG161" i="1"/>
  <c r="AI161" i="1" s="1"/>
  <c r="X85" i="1"/>
  <c r="AG85" i="1"/>
  <c r="AI77" i="1"/>
  <c r="X66" i="1"/>
  <c r="AI51" i="1"/>
  <c r="U131" i="1"/>
  <c r="S131" i="1" s="1"/>
  <c r="U115" i="1"/>
  <c r="S115" i="1" s="1"/>
  <c r="U101" i="1"/>
  <c r="S101" i="1" s="1"/>
  <c r="T176" i="1"/>
  <c r="AG176" i="1"/>
  <c r="U176" i="1" s="1"/>
  <c r="S176" i="1" s="1"/>
  <c r="T162" i="1"/>
  <c r="X90" i="1"/>
  <c r="AG90" i="1"/>
  <c r="AI61" i="1"/>
  <c r="AI57" i="1"/>
  <c r="AI45" i="1"/>
  <c r="AI37" i="1"/>
  <c r="AI33" i="1"/>
  <c r="AA27" i="1"/>
  <c r="AA19" i="1"/>
  <c r="X17" i="1"/>
  <c r="X16" i="1"/>
  <c r="AG16" i="1"/>
  <c r="W16" i="1" s="1"/>
  <c r="T174" i="1"/>
  <c r="T167" i="1"/>
  <c r="T94" i="1"/>
  <c r="T81" i="1"/>
  <c r="T73" i="1"/>
  <c r="AA72" i="1"/>
  <c r="W72" i="1" s="1"/>
  <c r="AA71" i="1"/>
  <c r="AA51" i="1"/>
  <c r="W51" i="1" s="1"/>
  <c r="W33" i="1"/>
  <c r="T29" i="1"/>
  <c r="T15" i="1"/>
  <c r="AA14" i="1"/>
  <c r="X181" i="1"/>
  <c r="AG179" i="1"/>
  <c r="W175" i="1"/>
  <c r="AG174" i="1"/>
  <c r="U174" i="1" s="1"/>
  <c r="S174" i="1" s="1"/>
  <c r="AG171" i="1"/>
  <c r="W171" i="1" s="1"/>
  <c r="AG167" i="1"/>
  <c r="AG164" i="1"/>
  <c r="AG94" i="1"/>
  <c r="W92" i="1"/>
  <c r="W83" i="1"/>
  <c r="AG81" i="1"/>
  <c r="W81" i="1" s="1"/>
  <c r="W79" i="1"/>
  <c r="T77" i="1"/>
  <c r="U77" i="1" s="1"/>
  <c r="S77" i="1" s="1"/>
  <c r="AG73" i="1"/>
  <c r="AG62" i="1"/>
  <c r="U62" i="1" s="1"/>
  <c r="S62" i="1" s="1"/>
  <c r="T57" i="1"/>
  <c r="U57" i="1" s="1"/>
  <c r="S57" i="1" s="1"/>
  <c r="AG50" i="1"/>
  <c r="U50" i="1" s="1"/>
  <c r="S50" i="1" s="1"/>
  <c r="AG46" i="1"/>
  <c r="U46" i="1" s="1"/>
  <c r="AG42" i="1"/>
  <c r="AI42" i="1" s="1"/>
  <c r="AG38" i="1"/>
  <c r="T33" i="1"/>
  <c r="U33" i="1" s="1"/>
  <c r="S33" i="1" s="1"/>
  <c r="AA31" i="1"/>
  <c r="AA30" i="1"/>
  <c r="AG29" i="1"/>
  <c r="T28" i="1"/>
  <c r="U28" i="1" s="1"/>
  <c r="S28" i="1" s="1"/>
  <c r="AA25" i="1"/>
  <c r="W25" i="1" s="1"/>
  <c r="T24" i="1"/>
  <c r="U24" i="1" s="1"/>
  <c r="S24" i="1" s="1"/>
  <c r="AA21" i="1"/>
  <c r="T20" i="1"/>
  <c r="U20" i="1" s="1"/>
  <c r="S20" i="1" s="1"/>
  <c r="X99" i="1"/>
  <c r="AA191" i="1"/>
  <c r="W191" i="1" s="1"/>
  <c r="AA188" i="1"/>
  <c r="AA187" i="1"/>
  <c r="W187" i="1" s="1"/>
  <c r="AA182" i="1"/>
  <c r="W182" i="1" s="1"/>
  <c r="AG180" i="1"/>
  <c r="U180" i="1" s="1"/>
  <c r="S180" i="1" s="1"/>
  <c r="AA177" i="1"/>
  <c r="AA176" i="1"/>
  <c r="AG172" i="1"/>
  <c r="AA170" i="1"/>
  <c r="AA169" i="1"/>
  <c r="AG165" i="1"/>
  <c r="W165" i="1" s="1"/>
  <c r="AA162" i="1"/>
  <c r="AA161" i="1"/>
  <c r="AG91" i="1"/>
  <c r="U91" i="1" s="1"/>
  <c r="AG86" i="1"/>
  <c r="U86" i="1" s="1"/>
  <c r="S86" i="1" s="1"/>
  <c r="AA82" i="1"/>
  <c r="W82" i="1" s="1"/>
  <c r="AA78" i="1"/>
  <c r="W78" i="1" s="1"/>
  <c r="AA75" i="1"/>
  <c r="AA74" i="1"/>
  <c r="W74" i="1" s="1"/>
  <c r="AG71" i="1"/>
  <c r="AA68" i="1"/>
  <c r="AG66" i="1"/>
  <c r="W66" i="1" s="1"/>
  <c r="AA59" i="1"/>
  <c r="AA58" i="1"/>
  <c r="AA54" i="1"/>
  <c r="T53" i="1"/>
  <c r="AA35" i="1"/>
  <c r="AA34" i="1"/>
  <c r="AI213" i="1"/>
  <c r="W221" i="1"/>
  <c r="AI217" i="1"/>
  <c r="AI221" i="1"/>
  <c r="AI205" i="1"/>
  <c r="W213" i="1"/>
  <c r="X221" i="1"/>
  <c r="T221" i="1"/>
  <c r="U221" i="1" s="1"/>
  <c r="S221" i="1" s="1"/>
  <c r="X217" i="1"/>
  <c r="T217" i="1"/>
  <c r="U217" i="1" s="1"/>
  <c r="S217" i="1" s="1"/>
  <c r="X213" i="1"/>
  <c r="T213" i="1"/>
  <c r="U213" i="1" s="1"/>
  <c r="S213" i="1" s="1"/>
  <c r="X207" i="1"/>
  <c r="T207" i="1"/>
  <c r="U207" i="1" s="1"/>
  <c r="S207" i="1" s="1"/>
  <c r="X203" i="1"/>
  <c r="AI199" i="1"/>
  <c r="AG195" i="1"/>
  <c r="AI195" i="1" s="1"/>
  <c r="T195" i="1"/>
  <c r="X195" i="1"/>
  <c r="U144" i="1"/>
  <c r="AI139" i="1"/>
  <c r="U205" i="1"/>
  <c r="S205" i="1" s="1"/>
  <c r="AI196" i="1"/>
  <c r="AI191" i="1"/>
  <c r="U156" i="1"/>
  <c r="S156" i="1" s="1"/>
  <c r="U140" i="1"/>
  <c r="S140" i="1" s="1"/>
  <c r="W192" i="1"/>
  <c r="U219" i="1"/>
  <c r="S219" i="1" s="1"/>
  <c r="AG220" i="1"/>
  <c r="AG216" i="1"/>
  <c r="AG212" i="1"/>
  <c r="AG206" i="1"/>
  <c r="AG202" i="1"/>
  <c r="T199" i="1"/>
  <c r="U199" i="1" s="1"/>
  <c r="S199" i="1" s="1"/>
  <c r="W197" i="1"/>
  <c r="U197" i="1"/>
  <c r="S197" i="1" s="1"/>
  <c r="AI198" i="1"/>
  <c r="U149" i="1"/>
  <c r="S149" i="1" s="1"/>
  <c r="AI182" i="1"/>
  <c r="W142" i="1"/>
  <c r="AI172" i="1"/>
  <c r="U136" i="1"/>
  <c r="S136" i="1" s="1"/>
  <c r="U133" i="1"/>
  <c r="S133" i="1" s="1"/>
  <c r="W132" i="1"/>
  <c r="AI159" i="1"/>
  <c r="AI143" i="1"/>
  <c r="W100" i="1"/>
  <c r="AI131" i="1"/>
  <c r="X220" i="1"/>
  <c r="X216" i="1"/>
  <c r="AI215" i="1"/>
  <c r="X212" i="1"/>
  <c r="X206" i="1"/>
  <c r="AI207" i="1"/>
  <c r="X202" i="1"/>
  <c r="X199" i="1"/>
  <c r="T198" i="1"/>
  <c r="U198" i="1" s="1"/>
  <c r="S198" i="1" s="1"/>
  <c r="X198" i="1"/>
  <c r="W195" i="1"/>
  <c r="U160" i="1"/>
  <c r="S160" i="1" s="1"/>
  <c r="AG158" i="1"/>
  <c r="AI158" i="1" s="1"/>
  <c r="T158" i="1"/>
  <c r="X158" i="1"/>
  <c r="U148" i="1"/>
  <c r="S148" i="1" s="1"/>
  <c r="AI178" i="1"/>
  <c r="AI168" i="1"/>
  <c r="U132" i="1"/>
  <c r="S132" i="1" s="1"/>
  <c r="AI135" i="1"/>
  <c r="AI192" i="1"/>
  <c r="X154" i="1"/>
  <c r="T154" i="1"/>
  <c r="U154" i="1" s="1"/>
  <c r="S154" i="1" s="1"/>
  <c r="X150" i="1"/>
  <c r="T150" i="1"/>
  <c r="U150" i="1" s="1"/>
  <c r="S150" i="1" s="1"/>
  <c r="AI185" i="1"/>
  <c r="X146" i="1"/>
  <c r="T146" i="1"/>
  <c r="U146" i="1" s="1"/>
  <c r="S146" i="1" s="1"/>
  <c r="AI181" i="1"/>
  <c r="X142" i="1"/>
  <c r="T142" i="1"/>
  <c r="U142" i="1" s="1"/>
  <c r="S142" i="1" s="1"/>
  <c r="X138" i="1"/>
  <c r="T138" i="1"/>
  <c r="U138" i="1" s="1"/>
  <c r="S138" i="1" s="1"/>
  <c r="S137" i="1"/>
  <c r="X134" i="1"/>
  <c r="T134" i="1"/>
  <c r="U134" i="1" s="1"/>
  <c r="S134" i="1" s="1"/>
  <c r="X130" i="1"/>
  <c r="T130" i="1"/>
  <c r="U130" i="1" s="1"/>
  <c r="S130" i="1" s="1"/>
  <c r="X126" i="1"/>
  <c r="T126" i="1"/>
  <c r="U126" i="1" s="1"/>
  <c r="S126" i="1" s="1"/>
  <c r="X122" i="1"/>
  <c r="T122" i="1"/>
  <c r="U122" i="1" s="1"/>
  <c r="S122" i="1" s="1"/>
  <c r="X118" i="1"/>
  <c r="T118" i="1"/>
  <c r="U118" i="1" s="1"/>
  <c r="S118" i="1" s="1"/>
  <c r="AI154" i="1"/>
  <c r="X114" i="1"/>
  <c r="T114" i="1"/>
  <c r="U114" i="1" s="1"/>
  <c r="S114" i="1" s="1"/>
  <c r="AI150" i="1"/>
  <c r="X110" i="1"/>
  <c r="T110" i="1"/>
  <c r="U110" i="1" s="1"/>
  <c r="S110" i="1" s="1"/>
  <c r="AI146" i="1"/>
  <c r="X106" i="1"/>
  <c r="T106" i="1"/>
  <c r="U106" i="1" s="1"/>
  <c r="S106" i="1" s="1"/>
  <c r="AI142" i="1"/>
  <c r="X104" i="1"/>
  <c r="T104" i="1"/>
  <c r="U104" i="1" s="1"/>
  <c r="S104" i="1" s="1"/>
  <c r="X100" i="1"/>
  <c r="T100" i="1"/>
  <c r="U100" i="1" s="1"/>
  <c r="S100" i="1" s="1"/>
  <c r="T192" i="1"/>
  <c r="U192" i="1" s="1"/>
  <c r="S192" i="1" s="1"/>
  <c r="S191" i="1"/>
  <c r="U92" i="1"/>
  <c r="S92" i="1" s="1"/>
  <c r="X155" i="1"/>
  <c r="X151" i="1"/>
  <c r="X147" i="1"/>
  <c r="X143" i="1"/>
  <c r="X139" i="1"/>
  <c r="X135" i="1"/>
  <c r="X131" i="1"/>
  <c r="AG128" i="1"/>
  <c r="X127" i="1"/>
  <c r="AG124" i="1"/>
  <c r="X123" i="1"/>
  <c r="AG120" i="1"/>
  <c r="X119" i="1"/>
  <c r="AG116" i="1"/>
  <c r="X115" i="1"/>
  <c r="AG112" i="1"/>
  <c r="X111" i="1"/>
  <c r="AG108" i="1"/>
  <c r="X107" i="1"/>
  <c r="AG209" i="1"/>
  <c r="X105" i="1"/>
  <c r="AG102" i="1"/>
  <c r="X101" i="1"/>
  <c r="AG194" i="1"/>
  <c r="AI194" i="1" s="1"/>
  <c r="X193" i="1"/>
  <c r="AG98" i="1"/>
  <c r="AI98" i="1" s="1"/>
  <c r="AI127" i="1"/>
  <c r="X157" i="1"/>
  <c r="X153" i="1"/>
  <c r="X149" i="1"/>
  <c r="X145" i="1"/>
  <c r="X141" i="1"/>
  <c r="X137" i="1"/>
  <c r="X133" i="1"/>
  <c r="T190" i="1"/>
  <c r="U190" i="1" s="1"/>
  <c r="S190" i="1" s="1"/>
  <c r="AA189" i="1"/>
  <c r="T188" i="1"/>
  <c r="X188" i="1"/>
  <c r="AG188" i="1"/>
  <c r="W188" i="1" s="1"/>
  <c r="U172" i="1"/>
  <c r="S172" i="1" s="1"/>
  <c r="X187" i="1"/>
  <c r="AI123" i="1"/>
  <c r="AG184" i="1"/>
  <c r="AI184" i="1" s="1"/>
  <c r="X183" i="1"/>
  <c r="S182" i="1"/>
  <c r="AG97" i="1"/>
  <c r="W97" i="1" s="1"/>
  <c r="X180" i="1"/>
  <c r="AI115" i="1"/>
  <c r="AG177" i="1"/>
  <c r="AI177" i="1" s="1"/>
  <c r="X176" i="1"/>
  <c r="AI111" i="1"/>
  <c r="AG173" i="1"/>
  <c r="AI173" i="1" s="1"/>
  <c r="X172" i="1"/>
  <c r="AI107" i="1"/>
  <c r="AG170" i="1"/>
  <c r="W170" i="1" s="1"/>
  <c r="X169" i="1"/>
  <c r="AI103" i="1"/>
  <c r="S168" i="1"/>
  <c r="AG166" i="1"/>
  <c r="W166" i="1" s="1"/>
  <c r="AI99" i="1"/>
  <c r="AG162" i="1"/>
  <c r="AI162" i="1" s="1"/>
  <c r="AI95" i="1"/>
  <c r="S95" i="1"/>
  <c r="AG93" i="1"/>
  <c r="X92" i="1"/>
  <c r="AI91" i="1"/>
  <c r="S91" i="1"/>
  <c r="AG89" i="1"/>
  <c r="W89" i="1" s="1"/>
  <c r="AG88" i="1"/>
  <c r="W88" i="1" s="1"/>
  <c r="T88" i="1"/>
  <c r="T87" i="1"/>
  <c r="U87" i="1" s="1"/>
  <c r="S87" i="1" s="1"/>
  <c r="X87" i="1"/>
  <c r="AA86" i="1"/>
  <c r="AG84" i="1"/>
  <c r="T84" i="1"/>
  <c r="X84" i="1"/>
  <c r="AI83" i="1"/>
  <c r="AI78" i="1"/>
  <c r="W64" i="1"/>
  <c r="AI60" i="1"/>
  <c r="X184" i="1"/>
  <c r="T184" i="1"/>
  <c r="X97" i="1"/>
  <c r="T97" i="1"/>
  <c r="X177" i="1"/>
  <c r="X173" i="1"/>
  <c r="X170" i="1"/>
  <c r="AI104" i="1"/>
  <c r="X166" i="1"/>
  <c r="AI100" i="1"/>
  <c r="AI96" i="1"/>
  <c r="X93" i="1"/>
  <c r="AI92" i="1"/>
  <c r="X89" i="1"/>
  <c r="AI87" i="1"/>
  <c r="AI82" i="1"/>
  <c r="AI64" i="1"/>
  <c r="T79" i="1"/>
  <c r="U79" i="1" s="1"/>
  <c r="S79" i="1" s="1"/>
  <c r="X79" i="1"/>
  <c r="AI72" i="1"/>
  <c r="T83" i="1"/>
  <c r="U83" i="1" s="1"/>
  <c r="S83" i="1" s="1"/>
  <c r="X83" i="1"/>
  <c r="U82" i="1"/>
  <c r="S82" i="1" s="1"/>
  <c r="AG80" i="1"/>
  <c r="T80" i="1"/>
  <c r="X80" i="1"/>
  <c r="AI79" i="1"/>
  <c r="AI76" i="1"/>
  <c r="U71" i="1"/>
  <c r="S71" i="1" s="1"/>
  <c r="AI56" i="1"/>
  <c r="AI53" i="1"/>
  <c r="U53" i="1"/>
  <c r="X76" i="1"/>
  <c r="T76" i="1"/>
  <c r="U76" i="1" s="1"/>
  <c r="S76" i="1" s="1"/>
  <c r="AI75" i="1"/>
  <c r="X72" i="1"/>
  <c r="T72" i="1"/>
  <c r="U72" i="1" s="1"/>
  <c r="S72" i="1" s="1"/>
  <c r="AI71" i="1"/>
  <c r="X68" i="1"/>
  <c r="T68" i="1"/>
  <c r="X64" i="1"/>
  <c r="T64" i="1"/>
  <c r="U64" i="1" s="1"/>
  <c r="X60" i="1"/>
  <c r="T60" i="1"/>
  <c r="U60" i="1" s="1"/>
  <c r="S60" i="1" s="1"/>
  <c r="X56" i="1"/>
  <c r="T56" i="1"/>
  <c r="U56" i="1" s="1"/>
  <c r="S56" i="1" s="1"/>
  <c r="X52" i="1"/>
  <c r="T51" i="1"/>
  <c r="U51" i="1" s="1"/>
  <c r="S51" i="1" s="1"/>
  <c r="X51" i="1"/>
  <c r="AA46" i="1"/>
  <c r="W46" i="1" s="1"/>
  <c r="T43" i="1"/>
  <c r="X43" i="1"/>
  <c r="AG43" i="1"/>
  <c r="W43" i="1" s="1"/>
  <c r="U41" i="1"/>
  <c r="S41" i="1" s="1"/>
  <c r="W40" i="1"/>
  <c r="AI36" i="1"/>
  <c r="W15" i="1"/>
  <c r="U74" i="1"/>
  <c r="S74" i="1" s="1"/>
  <c r="U70" i="1"/>
  <c r="S70" i="1" s="1"/>
  <c r="U66" i="1"/>
  <c r="S66" i="1" s="1"/>
  <c r="T47" i="1"/>
  <c r="X47" i="1"/>
  <c r="AG47" i="1"/>
  <c r="U15" i="1"/>
  <c r="S15" i="1" s="1"/>
  <c r="AI15" i="1"/>
  <c r="AG67" i="1"/>
  <c r="AG63" i="1"/>
  <c r="AG59" i="1"/>
  <c r="AG55" i="1"/>
  <c r="W55" i="1" s="1"/>
  <c r="S46" i="1"/>
  <c r="AI46" i="1"/>
  <c r="AI28" i="1"/>
  <c r="AI24" i="1"/>
  <c r="AI20" i="1"/>
  <c r="X75" i="1"/>
  <c r="AI74" i="1"/>
  <c r="X71" i="1"/>
  <c r="AI70" i="1"/>
  <c r="X67" i="1"/>
  <c r="AI66" i="1"/>
  <c r="X63" i="1"/>
  <c r="AI62" i="1"/>
  <c r="X59" i="1"/>
  <c r="AI58" i="1"/>
  <c r="X55" i="1"/>
  <c r="AG52" i="1"/>
  <c r="AA50" i="1"/>
  <c r="AG48" i="1"/>
  <c r="T48" i="1"/>
  <c r="X48" i="1"/>
  <c r="U42" i="1"/>
  <c r="S42" i="1" s="1"/>
  <c r="AI32" i="1"/>
  <c r="X44" i="1"/>
  <c r="T44" i="1"/>
  <c r="U44" i="1" s="1"/>
  <c r="S44" i="1" s="1"/>
  <c r="X40" i="1"/>
  <c r="T40" i="1"/>
  <c r="U40" i="1" s="1"/>
  <c r="S40" i="1" s="1"/>
  <c r="X36" i="1"/>
  <c r="T36" i="1"/>
  <c r="U36" i="1" s="1"/>
  <c r="S36" i="1" s="1"/>
  <c r="X32" i="1"/>
  <c r="T32" i="1"/>
  <c r="U32" i="1" s="1"/>
  <c r="S32" i="1" s="1"/>
  <c r="U25" i="1"/>
  <c r="S25" i="1" s="1"/>
  <c r="U21" i="1"/>
  <c r="S21" i="1" s="1"/>
  <c r="U38" i="1"/>
  <c r="S38" i="1" s="1"/>
  <c r="U34" i="1"/>
  <c r="AG26" i="1"/>
  <c r="W26" i="1" s="1"/>
  <c r="AG22" i="1"/>
  <c r="W22" i="1" s="1"/>
  <c r="AG18" i="1"/>
  <c r="AG14" i="1"/>
  <c r="AG39" i="1"/>
  <c r="W39" i="1" s="1"/>
  <c r="AG35" i="1"/>
  <c r="AG31" i="1"/>
  <c r="W31" i="1" s="1"/>
  <c r="AG27" i="1"/>
  <c r="X26" i="1"/>
  <c r="AG23" i="1"/>
  <c r="W23" i="1" s="1"/>
  <c r="X22" i="1"/>
  <c r="AG19" i="1"/>
  <c r="W19" i="1" s="1"/>
  <c r="X18" i="1"/>
  <c r="X39" i="1"/>
  <c r="AI38" i="1"/>
  <c r="X35" i="1"/>
  <c r="AI34" i="1"/>
  <c r="X31" i="1"/>
  <c r="X27" i="1"/>
  <c r="X23" i="1"/>
  <c r="X19" i="1"/>
  <c r="Y28" i="3"/>
  <c r="AE16" i="3"/>
  <c r="AE12" i="3"/>
  <c r="AE8" i="3"/>
  <c r="AD30" i="3"/>
  <c r="Y35" i="3"/>
  <c r="AD16" i="3"/>
  <c r="AD14" i="3"/>
  <c r="Y11" i="3"/>
  <c r="AD10" i="3"/>
  <c r="AD8" i="3"/>
  <c r="AE36" i="3"/>
  <c r="Y25" i="3"/>
  <c r="AD29" i="3"/>
  <c r="Y19" i="3"/>
  <c r="AD25" i="3"/>
  <c r="AC16" i="3"/>
  <c r="AD13" i="3"/>
  <c r="AD9" i="3"/>
  <c r="AD33" i="3"/>
  <c r="Y17" i="3"/>
  <c r="AD28" i="3"/>
  <c r="AC9" i="3"/>
  <c r="AE24" i="3"/>
  <c r="Y24" i="3"/>
  <c r="AD17" i="3"/>
  <c r="AD12" i="3"/>
  <c r="AC21" i="3"/>
  <c r="T29" i="3"/>
  <c r="T8" i="3"/>
  <c r="Y31" i="3"/>
  <c r="Y29" i="3"/>
  <c r="Y14" i="3"/>
  <c r="Y8" i="3"/>
  <c r="AE27" i="3"/>
  <c r="T19" i="3"/>
  <c r="AE15" i="3"/>
  <c r="T27" i="3"/>
  <c r="AE11" i="3"/>
  <c r="T32" i="3"/>
  <c r="AE34" i="3"/>
  <c r="T37" i="3"/>
  <c r="AD31" i="3"/>
  <c r="AE30" i="3"/>
  <c r="T33" i="3"/>
  <c r="AD23" i="3"/>
  <c r="AE22" i="3"/>
  <c r="AD19" i="3"/>
  <c r="AE18" i="3"/>
  <c r="T28" i="3"/>
  <c r="AD15" i="3"/>
  <c r="AE14" i="3"/>
  <c r="T15" i="3"/>
  <c r="AD11" i="3"/>
  <c r="AE10" i="3"/>
  <c r="T21" i="3"/>
  <c r="AE35" i="3"/>
  <c r="T36" i="3"/>
  <c r="AE31" i="3"/>
  <c r="T30" i="3"/>
  <c r="AE23" i="3"/>
  <c r="T34" i="3"/>
  <c r="AE19" i="3"/>
  <c r="T23" i="3"/>
  <c r="AD35" i="3"/>
  <c r="AD27" i="3"/>
  <c r="AE26" i="3"/>
  <c r="T9" i="3"/>
  <c r="T16" i="3"/>
  <c r="AE37" i="3"/>
  <c r="AE33" i="3"/>
  <c r="AE29" i="3"/>
  <c r="AE25" i="3"/>
  <c r="AE21" i="3"/>
  <c r="AE17" i="3"/>
  <c r="AE13" i="3"/>
  <c r="AE9" i="3"/>
  <c r="AI176" i="1" l="1"/>
  <c r="U58" i="1"/>
  <c r="S58" i="1" s="1"/>
  <c r="W96" i="1"/>
  <c r="U211" i="1"/>
  <c r="S211" i="1" s="1"/>
  <c r="W203" i="1"/>
  <c r="W58" i="1"/>
  <c r="U203" i="1"/>
  <c r="S203" i="1" s="1"/>
  <c r="W17" i="1"/>
  <c r="U152" i="1"/>
  <c r="S152" i="1" s="1"/>
  <c r="W209" i="1"/>
  <c r="W112" i="1"/>
  <c r="W120" i="1"/>
  <c r="W21" i="1"/>
  <c r="W201" i="1"/>
  <c r="W95" i="1"/>
  <c r="W186" i="1"/>
  <c r="W45" i="1"/>
  <c r="W178" i="1"/>
  <c r="W42" i="1"/>
  <c r="W116" i="1"/>
  <c r="W124" i="1"/>
  <c r="AI189" i="1"/>
  <c r="W75" i="1"/>
  <c r="W94" i="1"/>
  <c r="U37" i="1"/>
  <c r="S37" i="1" s="1"/>
  <c r="W157" i="1"/>
  <c r="W147" i="1"/>
  <c r="W205" i="1"/>
  <c r="AI119" i="1"/>
  <c r="U187" i="1"/>
  <c r="S187" i="1" s="1"/>
  <c r="AI186" i="1"/>
  <c r="U201" i="1"/>
  <c r="S201" i="1" s="1"/>
  <c r="W34" i="1"/>
  <c r="W133" i="1"/>
  <c r="U17" i="1"/>
  <c r="S17" i="1" s="1"/>
  <c r="AI54" i="1"/>
  <c r="W63" i="1"/>
  <c r="AI50" i="1"/>
  <c r="U68" i="1"/>
  <c r="S68" i="1" s="1"/>
  <c r="W108" i="1"/>
  <c r="W212" i="1"/>
  <c r="AI155" i="1"/>
  <c r="U200" i="1"/>
  <c r="S200" i="1" s="1"/>
  <c r="W29" i="1"/>
  <c r="W38" i="1"/>
  <c r="W179" i="1"/>
  <c r="W61" i="1"/>
  <c r="W27" i="1"/>
  <c r="W54" i="1"/>
  <c r="W68" i="1"/>
  <c r="W180" i="1"/>
  <c r="W30" i="1"/>
  <c r="W62" i="1"/>
  <c r="U163" i="1"/>
  <c r="S163" i="1" s="1"/>
  <c r="W145" i="1"/>
  <c r="W153" i="1"/>
  <c r="W131" i="1"/>
  <c r="U30" i="1"/>
  <c r="S30" i="1" s="1"/>
  <c r="W50" i="1"/>
  <c r="U165" i="1"/>
  <c r="S165" i="1" s="1"/>
  <c r="U215" i="1"/>
  <c r="S215" i="1" s="1"/>
  <c r="W172" i="1"/>
  <c r="U164" i="1"/>
  <c r="S164" i="1" s="1"/>
  <c r="U135" i="1"/>
  <c r="S135" i="1" s="1"/>
  <c r="W200" i="1"/>
  <c r="AI86" i="1"/>
  <c r="U161" i="1"/>
  <c r="S161" i="1" s="1"/>
  <c r="U141" i="1"/>
  <c r="S141" i="1" s="1"/>
  <c r="W169" i="1"/>
  <c r="W137" i="1"/>
  <c r="U169" i="1"/>
  <c r="S169" i="1" s="1"/>
  <c r="W161" i="1"/>
  <c r="W149" i="1"/>
  <c r="AI112" i="1"/>
  <c r="AI120" i="1"/>
  <c r="W86" i="1"/>
  <c r="W189" i="1"/>
  <c r="AI165" i="1"/>
  <c r="U147" i="1"/>
  <c r="S147" i="1" s="1"/>
  <c r="U151" i="1"/>
  <c r="S151" i="1" s="1"/>
  <c r="W36" i="1"/>
  <c r="U186" i="1"/>
  <c r="S186" i="1" s="1"/>
  <c r="AI124" i="1"/>
  <c r="AI108" i="1"/>
  <c r="W41" i="1"/>
  <c r="AI116" i="1"/>
  <c r="W105" i="1"/>
  <c r="W155" i="1"/>
  <c r="W91" i="1"/>
  <c r="S143" i="1"/>
  <c r="U175" i="1"/>
  <c r="S175" i="1" s="1"/>
  <c r="AI175" i="1"/>
  <c r="W143" i="1"/>
  <c r="W119" i="1"/>
  <c r="W152" i="1"/>
  <c r="AI174" i="1"/>
  <c r="AI180" i="1"/>
  <c r="W85" i="1"/>
  <c r="W211" i="1"/>
  <c r="W219" i="1"/>
  <c r="W208" i="1"/>
  <c r="W204" i="1"/>
  <c r="W128" i="1"/>
  <c r="AI128" i="1"/>
  <c r="AI166" i="1"/>
  <c r="AI170" i="1"/>
  <c r="AI209" i="1"/>
  <c r="U73" i="1"/>
  <c r="S73" i="1" s="1"/>
  <c r="AI73" i="1"/>
  <c r="U90" i="1"/>
  <c r="S90" i="1" s="1"/>
  <c r="AI90" i="1"/>
  <c r="W164" i="1"/>
  <c r="W151" i="1"/>
  <c r="W202" i="1"/>
  <c r="AI202" i="1"/>
  <c r="W176" i="1"/>
  <c r="U167" i="1"/>
  <c r="S167" i="1" s="1"/>
  <c r="AI167" i="1"/>
  <c r="W71" i="1"/>
  <c r="W90" i="1"/>
  <c r="W73" i="1"/>
  <c r="W167" i="1"/>
  <c r="W102" i="1"/>
  <c r="AI102" i="1"/>
  <c r="AI188" i="1"/>
  <c r="W206" i="1"/>
  <c r="AI206" i="1"/>
  <c r="U29" i="1"/>
  <c r="S29" i="1" s="1"/>
  <c r="AI29" i="1"/>
  <c r="U94" i="1"/>
  <c r="S94" i="1" s="1"/>
  <c r="AI94" i="1"/>
  <c r="U179" i="1"/>
  <c r="S179" i="1" s="1"/>
  <c r="AI179" i="1"/>
  <c r="U16" i="1"/>
  <c r="S16" i="1" s="1"/>
  <c r="AI16" i="1"/>
  <c r="W174" i="1"/>
  <c r="U183" i="1"/>
  <c r="S183" i="1" s="1"/>
  <c r="AI183" i="1"/>
  <c r="U65" i="1"/>
  <c r="S65" i="1" s="1"/>
  <c r="AI65" i="1"/>
  <c r="U75" i="1"/>
  <c r="S75" i="1" s="1"/>
  <c r="W103" i="1"/>
  <c r="W65" i="1"/>
  <c r="U81" i="1"/>
  <c r="S81" i="1" s="1"/>
  <c r="AI81" i="1"/>
  <c r="U171" i="1"/>
  <c r="S171" i="1" s="1"/>
  <c r="AI171" i="1"/>
  <c r="U85" i="1"/>
  <c r="S85" i="1" s="1"/>
  <c r="AI85" i="1"/>
  <c r="W135" i="1"/>
  <c r="U84" i="1"/>
  <c r="S84" i="1" s="1"/>
  <c r="W84" i="1"/>
  <c r="AI84" i="1"/>
  <c r="U216" i="1"/>
  <c r="S216" i="1" s="1"/>
  <c r="AI216" i="1"/>
  <c r="AI18" i="1"/>
  <c r="U18" i="1"/>
  <c r="S18" i="1" s="1"/>
  <c r="U63" i="1"/>
  <c r="S63" i="1" s="1"/>
  <c r="AI63" i="1"/>
  <c r="U80" i="1"/>
  <c r="S80" i="1" s="1"/>
  <c r="AI80" i="1"/>
  <c r="U88" i="1"/>
  <c r="S88" i="1" s="1"/>
  <c r="AI88" i="1"/>
  <c r="U188" i="1"/>
  <c r="S188" i="1" s="1"/>
  <c r="AI125" i="1"/>
  <c r="W80" i="1"/>
  <c r="AI129" i="1"/>
  <c r="U98" i="1"/>
  <c r="S98" i="1" s="1"/>
  <c r="AI137" i="1"/>
  <c r="U102" i="1"/>
  <c r="S102" i="1" s="1"/>
  <c r="AI145" i="1"/>
  <c r="U108" i="1"/>
  <c r="S108" i="1" s="1"/>
  <c r="AI153" i="1"/>
  <c r="U116" i="1"/>
  <c r="S116" i="1" s="1"/>
  <c r="U124" i="1"/>
  <c r="S124" i="1" s="1"/>
  <c r="U158" i="1"/>
  <c r="S158" i="1" s="1"/>
  <c r="AI193" i="1"/>
  <c r="U202" i="1"/>
  <c r="S202" i="1" s="1"/>
  <c r="AI204" i="1"/>
  <c r="U220" i="1"/>
  <c r="S220" i="1" s="1"/>
  <c r="AI220" i="1"/>
  <c r="U195" i="1"/>
  <c r="S195" i="1" s="1"/>
  <c r="AI197" i="1"/>
  <c r="U52" i="1"/>
  <c r="S52" i="1" s="1"/>
  <c r="AI52" i="1"/>
  <c r="U59" i="1"/>
  <c r="S59" i="1" s="1"/>
  <c r="AI59" i="1"/>
  <c r="W52" i="1"/>
  <c r="U23" i="1"/>
  <c r="S23" i="1" s="1"/>
  <c r="AI23" i="1"/>
  <c r="U35" i="1"/>
  <c r="S34" i="1" s="1"/>
  <c r="AI35" i="1"/>
  <c r="AI22" i="1"/>
  <c r="U22" i="1"/>
  <c r="S22" i="1" s="1"/>
  <c r="U48" i="1"/>
  <c r="S48" i="1" s="1"/>
  <c r="AI48" i="1"/>
  <c r="W48" i="1"/>
  <c r="U39" i="1"/>
  <c r="S39" i="1" s="1"/>
  <c r="AI39" i="1"/>
  <c r="AI26" i="1"/>
  <c r="U26" i="1"/>
  <c r="S26" i="1" s="1"/>
  <c r="AI89" i="1"/>
  <c r="U89" i="1"/>
  <c r="S89" i="1" s="1"/>
  <c r="AI93" i="1"/>
  <c r="U93" i="1"/>
  <c r="S93" i="1" s="1"/>
  <c r="AI97" i="1"/>
  <c r="U162" i="1"/>
  <c r="S162" i="1" s="1"/>
  <c r="AI101" i="1"/>
  <c r="U166" i="1"/>
  <c r="S166" i="1" s="1"/>
  <c r="AI105" i="1"/>
  <c r="U170" i="1"/>
  <c r="S170" i="1" s="1"/>
  <c r="AI109" i="1"/>
  <c r="U173" i="1"/>
  <c r="S173" i="1" s="1"/>
  <c r="AI113" i="1"/>
  <c r="U177" i="1"/>
  <c r="S177" i="1" s="1"/>
  <c r="AI117" i="1"/>
  <c r="U97" i="1"/>
  <c r="S97" i="1" s="1"/>
  <c r="AI121" i="1"/>
  <c r="U184" i="1"/>
  <c r="S184" i="1" s="1"/>
  <c r="W93" i="1"/>
  <c r="W173" i="1"/>
  <c r="W184" i="1"/>
  <c r="W158" i="1"/>
  <c r="U206" i="1"/>
  <c r="S206" i="1" s="1"/>
  <c r="AI208" i="1"/>
  <c r="W216" i="1"/>
  <c r="W220" i="1"/>
  <c r="U31" i="1"/>
  <c r="S31" i="1" s="1"/>
  <c r="AI31" i="1"/>
  <c r="U67" i="1"/>
  <c r="S67" i="1" s="1"/>
  <c r="AI67" i="1"/>
  <c r="U19" i="1"/>
  <c r="S19" i="1" s="1"/>
  <c r="AI19" i="1"/>
  <c r="U27" i="1"/>
  <c r="S27" i="1" s="1"/>
  <c r="AI27" i="1"/>
  <c r="AI14" i="1"/>
  <c r="U14" i="1"/>
  <c r="S14" i="1" s="1"/>
  <c r="W35" i="1"/>
  <c r="U55" i="1"/>
  <c r="S55" i="1" s="1"/>
  <c r="AI55" i="1"/>
  <c r="W14" i="1"/>
  <c r="W18" i="1"/>
  <c r="U47" i="1"/>
  <c r="S47" i="1" s="1"/>
  <c r="AI47" i="1"/>
  <c r="U43" i="1"/>
  <c r="S43" i="1" s="1"/>
  <c r="AI43" i="1"/>
  <c r="W47" i="1"/>
  <c r="W59" i="1"/>
  <c r="W67" i="1"/>
  <c r="W162" i="1"/>
  <c r="W177" i="1"/>
  <c r="AI133" i="1"/>
  <c r="U194" i="1"/>
  <c r="S194" i="1" s="1"/>
  <c r="AI141" i="1"/>
  <c r="U209" i="1"/>
  <c r="S209" i="1" s="1"/>
  <c r="AI149" i="1"/>
  <c r="U112" i="1"/>
  <c r="S112" i="1" s="1"/>
  <c r="AI157" i="1"/>
  <c r="U120" i="1"/>
  <c r="S120" i="1" s="1"/>
  <c r="AI164" i="1"/>
  <c r="U128" i="1"/>
  <c r="S128" i="1" s="1"/>
  <c r="W194" i="1"/>
  <c r="U212" i="1"/>
  <c r="S212" i="1" s="1"/>
  <c r="AI212" i="1"/>
  <c r="W98" i="1"/>
  <c r="S7" i="3"/>
  <c r="R7" i="3"/>
  <c r="M7" i="3"/>
  <c r="U7" i="3"/>
  <c r="T7" i="3" s="1"/>
  <c r="V7" i="3"/>
  <c r="W7" i="3"/>
  <c r="X7" i="3"/>
  <c r="AC7" i="3"/>
  <c r="Y7" i="3" l="1"/>
  <c r="M23" i="5" l="1"/>
  <c r="D22" i="10" l="1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3" i="10" l="1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N13" i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7" i="3" l="1"/>
  <c r="N19" i="3"/>
  <c r="N29" i="3"/>
  <c r="N35" i="3"/>
  <c r="N14" i="3"/>
  <c r="N13" i="3"/>
  <c r="N15" i="3"/>
  <c r="N32" i="3"/>
  <c r="N30" i="3"/>
  <c r="N24" i="3"/>
  <c r="N28" i="3"/>
  <c r="N11" i="3"/>
  <c r="N27" i="3"/>
  <c r="N8" i="3"/>
  <c r="N21" i="3"/>
  <c r="N12" i="3"/>
  <c r="N9" i="3"/>
  <c r="N34" i="3"/>
  <c r="N18" i="3"/>
  <c r="N23" i="3"/>
  <c r="N20" i="3"/>
  <c r="N10" i="3"/>
  <c r="N36" i="3"/>
  <c r="N25" i="3"/>
  <c r="N37" i="3"/>
  <c r="N31" i="3"/>
  <c r="N33" i="3"/>
  <c r="N16" i="3"/>
  <c r="N22" i="3"/>
  <c r="N26" i="3"/>
  <c r="N7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G3" i="6"/>
  <c r="J3" i="6"/>
  <c r="H3" i="6"/>
  <c r="B4" i="6"/>
  <c r="I4" i="6" l="1"/>
  <c r="F4" i="6"/>
  <c r="J4" i="6"/>
  <c r="H4" i="6"/>
  <c r="G4" i="6"/>
  <c r="B5" i="6" l="1"/>
  <c r="I5" i="6" l="1"/>
  <c r="F5" i="6"/>
  <c r="B6" i="6"/>
  <c r="G5" i="6"/>
  <c r="H5" i="6"/>
  <c r="J5" i="6"/>
  <c r="I6" i="6" l="1"/>
  <c r="F6" i="6"/>
  <c r="J6" i="6"/>
  <c r="H6" i="6"/>
  <c r="G6" i="6"/>
  <c r="B7" i="6"/>
  <c r="I7" i="6" l="1"/>
  <c r="F7" i="6"/>
  <c r="H7" i="6"/>
  <c r="J7" i="6"/>
  <c r="G7" i="6"/>
  <c r="B8" i="6"/>
  <c r="I8" i="6" l="1"/>
  <c r="F8" i="6"/>
  <c r="H8" i="6"/>
  <c r="J8" i="6"/>
  <c r="G8" i="6"/>
  <c r="B9" i="6"/>
  <c r="I9" i="6" l="1"/>
  <c r="F9" i="6"/>
  <c r="H9" i="6"/>
  <c r="J9" i="6"/>
  <c r="G9" i="6"/>
  <c r="B10" i="6" l="1"/>
  <c r="I10" i="6" l="1"/>
  <c r="F10" i="6"/>
  <c r="B11" i="6"/>
  <c r="J10" i="6"/>
  <c r="G10" i="6"/>
  <c r="H10" i="6"/>
  <c r="I11" i="6" l="1"/>
  <c r="F11" i="6"/>
  <c r="B12" i="6"/>
  <c r="J11" i="6"/>
  <c r="G11" i="6"/>
  <c r="H11" i="6"/>
  <c r="I12" i="6" l="1"/>
  <c r="F12" i="6"/>
  <c r="H12" i="6"/>
  <c r="J12" i="6"/>
  <c r="G12" i="6"/>
  <c r="B13" i="6"/>
  <c r="I13" i="6" l="1"/>
  <c r="F13" i="6"/>
  <c r="B14" i="6"/>
  <c r="G13" i="6"/>
  <c r="J13" i="6"/>
  <c r="H13" i="6"/>
  <c r="I14" i="6" l="1"/>
  <c r="F14" i="6"/>
  <c r="G14" i="6"/>
  <c r="H14" i="6"/>
  <c r="J14" i="6"/>
  <c r="B15" i="6"/>
  <c r="I15" i="6" l="1"/>
  <c r="F15" i="6"/>
  <c r="J15" i="6"/>
  <c r="G15" i="6"/>
  <c r="H15" i="6"/>
  <c r="B16" i="6"/>
  <c r="I16" i="6" l="1"/>
  <c r="F16" i="6"/>
  <c r="G16" i="6"/>
  <c r="H16" i="6"/>
  <c r="J16" i="6"/>
  <c r="B17" i="6"/>
  <c r="I17" i="6" l="1"/>
  <c r="F17" i="6"/>
  <c r="B18" i="6"/>
  <c r="J17" i="6"/>
  <c r="H17" i="6"/>
  <c r="G17" i="6"/>
  <c r="I18" i="6" l="1"/>
  <c r="F18" i="6"/>
  <c r="J18" i="6"/>
  <c r="G18" i="6"/>
  <c r="H18" i="6"/>
  <c r="B19" i="6"/>
  <c r="I19" i="6" l="1"/>
  <c r="F19" i="6"/>
  <c r="B20" i="6"/>
  <c r="G19" i="6"/>
  <c r="J19" i="6"/>
  <c r="H19" i="6"/>
  <c r="I20" i="6" l="1"/>
  <c r="F20" i="6"/>
  <c r="G20" i="6"/>
  <c r="J20" i="6"/>
  <c r="H20" i="6"/>
  <c r="B21" i="6"/>
  <c r="I21" i="6" l="1"/>
  <c r="F21" i="6"/>
  <c r="B22" i="6"/>
  <c r="G21" i="6"/>
  <c r="J21" i="6"/>
  <c r="H21" i="6"/>
  <c r="I22" i="6" l="1"/>
  <c r="F22" i="6"/>
  <c r="G22" i="6"/>
  <c r="H22" i="6"/>
  <c r="J22" i="6"/>
  <c r="B23" i="6"/>
  <c r="I23" i="6" l="1"/>
  <c r="F23" i="6"/>
  <c r="B24" i="6"/>
  <c r="G23" i="6"/>
  <c r="H23" i="6"/>
  <c r="J23" i="6"/>
  <c r="I24" i="6" l="1"/>
  <c r="F24" i="6"/>
  <c r="G24" i="6"/>
  <c r="H24" i="6"/>
  <c r="J24" i="6"/>
  <c r="B25" i="6"/>
  <c r="I25" i="6" l="1"/>
  <c r="F25" i="6"/>
  <c r="G25" i="6"/>
  <c r="H25" i="6"/>
  <c r="J25" i="6"/>
  <c r="B26" i="6"/>
  <c r="I26" i="6" l="1"/>
  <c r="F26" i="6"/>
  <c r="B27" i="6"/>
  <c r="J26" i="6"/>
  <c r="G26" i="6"/>
  <c r="H26" i="6"/>
  <c r="I27" i="6" l="1"/>
  <c r="F27" i="6"/>
  <c r="B28" i="6"/>
  <c r="J27" i="6"/>
  <c r="G27" i="6"/>
  <c r="H27" i="6"/>
  <c r="I28" i="6" l="1"/>
  <c r="F28" i="6"/>
  <c r="H28" i="6"/>
  <c r="G28" i="6"/>
  <c r="J28" i="6"/>
  <c r="B29" i="6"/>
  <c r="I29" i="6" l="1"/>
  <c r="F29" i="6"/>
  <c r="B30" i="6"/>
  <c r="G29" i="6"/>
  <c r="J29" i="6"/>
  <c r="H29" i="6"/>
  <c r="I30" i="6" l="1"/>
  <c r="F30" i="6"/>
  <c r="B31" i="6"/>
  <c r="J30" i="6"/>
  <c r="G30" i="6"/>
  <c r="H30" i="6"/>
  <c r="I31" i="6" l="1"/>
  <c r="F31" i="6"/>
  <c r="J31" i="6"/>
  <c r="G31" i="6"/>
  <c r="H31" i="6"/>
  <c r="B32" i="6"/>
  <c r="I32" i="6" l="1"/>
  <c r="F32" i="6"/>
  <c r="H32" i="6"/>
  <c r="J32" i="6"/>
  <c r="G32" i="6"/>
  <c r="B33" i="6"/>
  <c r="I33" i="6" l="1"/>
  <c r="F33" i="6"/>
  <c r="B34" i="6"/>
  <c r="J33" i="6"/>
  <c r="H33" i="6"/>
  <c r="G33" i="6"/>
  <c r="I34" i="6" l="1"/>
  <c r="F34" i="6"/>
  <c r="J34" i="6"/>
  <c r="G34" i="6"/>
  <c r="H34" i="6"/>
  <c r="B35" i="6"/>
  <c r="I35" i="6" l="1"/>
  <c r="F35" i="6"/>
  <c r="G35" i="6"/>
  <c r="H35" i="6"/>
  <c r="J35" i="6"/>
  <c r="B36" i="6"/>
  <c r="I36" i="6" l="1"/>
  <c r="F36" i="6"/>
  <c r="G36" i="6"/>
  <c r="H36" i="6"/>
  <c r="J36" i="6"/>
  <c r="B37" i="6"/>
  <c r="I37" i="6" l="1"/>
  <c r="F37" i="6"/>
  <c r="B38" i="6"/>
  <c r="J37" i="6"/>
  <c r="H37" i="6"/>
  <c r="G37" i="6"/>
  <c r="I38" i="6" l="1"/>
  <c r="F38" i="6"/>
  <c r="B39" i="6"/>
  <c r="J38" i="6"/>
  <c r="G38" i="6"/>
  <c r="H38" i="6"/>
  <c r="I39" i="6" l="1"/>
  <c r="F39" i="6"/>
  <c r="H39" i="6"/>
  <c r="G39" i="6"/>
  <c r="J39" i="6"/>
  <c r="B40" i="6"/>
  <c r="I40" i="6" l="1"/>
  <c r="F40" i="6"/>
  <c r="G40" i="6"/>
  <c r="H40" i="6"/>
  <c r="J40" i="6"/>
  <c r="B41" i="6"/>
  <c r="I41" i="6" l="1"/>
  <c r="F41" i="6"/>
  <c r="B42" i="6"/>
  <c r="J41" i="6"/>
  <c r="H41" i="6"/>
  <c r="G41" i="6"/>
  <c r="I42" i="6" l="1"/>
  <c r="F42" i="6"/>
  <c r="B43" i="6"/>
  <c r="J42" i="6"/>
  <c r="G42" i="6"/>
  <c r="H42" i="6"/>
  <c r="I43" i="6" l="1"/>
  <c r="F43" i="6"/>
  <c r="B44" i="6"/>
  <c r="J43" i="6"/>
  <c r="G43" i="6"/>
  <c r="H43" i="6"/>
  <c r="I44" i="6" l="1"/>
  <c r="F44" i="6"/>
  <c r="J44" i="6"/>
  <c r="H44" i="6"/>
  <c r="G44" i="6"/>
  <c r="B45" i="6"/>
  <c r="I45" i="6" l="1"/>
  <c r="F45" i="6"/>
  <c r="J45" i="6"/>
  <c r="H45" i="6"/>
  <c r="G45" i="6"/>
  <c r="B46" i="6"/>
  <c r="I46" i="6" l="1"/>
  <c r="F46" i="6"/>
  <c r="J46" i="6"/>
  <c r="G46" i="6"/>
  <c r="H46" i="6"/>
  <c r="B47" i="6"/>
  <c r="I47" i="6" l="1"/>
  <c r="F47" i="6"/>
  <c r="B48" i="6"/>
  <c r="G47" i="6"/>
  <c r="H47" i="6"/>
  <c r="J47" i="6"/>
  <c r="I48" i="6" l="1"/>
  <c r="F48" i="6"/>
  <c r="G48" i="6"/>
  <c r="H48" i="6"/>
  <c r="J48" i="6"/>
  <c r="B49" i="6"/>
  <c r="I49" i="6" l="1"/>
  <c r="F49" i="6"/>
  <c r="B50" i="6"/>
  <c r="J49" i="6"/>
  <c r="G49" i="6"/>
  <c r="H49" i="6"/>
  <c r="I50" i="6" l="1"/>
  <c r="F50" i="6"/>
  <c r="H50" i="6"/>
  <c r="G50" i="6"/>
  <c r="J50" i="6"/>
  <c r="B51" i="6"/>
  <c r="I51" i="6" l="1"/>
  <c r="F51" i="6"/>
  <c r="B52" i="6"/>
  <c r="H51" i="6"/>
  <c r="G51" i="6"/>
  <c r="J51" i="6"/>
  <c r="I52" i="6" l="1"/>
  <c r="F52" i="6"/>
  <c r="B53" i="6"/>
  <c r="J52" i="6"/>
  <c r="H52" i="6"/>
  <c r="G52" i="6"/>
  <c r="I53" i="6" l="1"/>
  <c r="F53" i="6"/>
  <c r="J53" i="6"/>
  <c r="H53" i="6"/>
  <c r="G53" i="6"/>
  <c r="B54" i="6"/>
  <c r="I54" i="6" l="1"/>
  <c r="F54" i="6"/>
  <c r="J54" i="6"/>
  <c r="H54" i="6"/>
  <c r="G54" i="6"/>
  <c r="B55" i="6"/>
  <c r="I55" i="6" l="1"/>
  <c r="F55" i="6"/>
  <c r="B56" i="6"/>
  <c r="J55" i="6"/>
  <c r="G55" i="6"/>
  <c r="H55" i="6"/>
  <c r="I56" i="6" l="1"/>
  <c r="F56" i="6"/>
  <c r="B57" i="6"/>
  <c r="G56" i="6"/>
  <c r="H56" i="6"/>
  <c r="J56" i="6"/>
  <c r="I57" i="6" l="1"/>
  <c r="F57" i="6"/>
  <c r="B58" i="6"/>
  <c r="J57" i="6"/>
  <c r="H57" i="6"/>
  <c r="G57" i="6"/>
  <c r="I58" i="6" l="1"/>
  <c r="F58" i="6"/>
  <c r="B59" i="6"/>
  <c r="H58" i="6"/>
  <c r="J58" i="6"/>
  <c r="G58" i="6"/>
  <c r="I59" i="6" l="1"/>
  <c r="F59" i="6"/>
  <c r="G59" i="6"/>
  <c r="H59" i="6"/>
  <c r="J59" i="6"/>
  <c r="B60" i="6"/>
  <c r="I60" i="6" l="1"/>
  <c r="F60" i="6"/>
  <c r="B61" i="6"/>
  <c r="G60" i="6"/>
  <c r="J60" i="6"/>
  <c r="H60" i="6"/>
  <c r="I61" i="6" l="1"/>
  <c r="F61" i="6"/>
  <c r="H61" i="6"/>
  <c r="J61" i="6"/>
  <c r="G61" i="6"/>
  <c r="B62" i="6"/>
  <c r="I62" i="6" l="1"/>
  <c r="F62" i="6"/>
  <c r="H62" i="6"/>
  <c r="G62" i="6"/>
  <c r="J62" i="6"/>
  <c r="B63" i="6"/>
  <c r="I63" i="6" l="1"/>
  <c r="F63" i="6"/>
  <c r="H63" i="6"/>
  <c r="G63" i="6"/>
  <c r="J63" i="6"/>
  <c r="B64" i="6"/>
  <c r="I64" i="6" l="1"/>
  <c r="F64" i="6"/>
  <c r="H64" i="6"/>
  <c r="J64" i="6"/>
  <c r="G64" i="6"/>
  <c r="B65" i="6"/>
  <c r="I65" i="6" l="1"/>
  <c r="F65" i="6"/>
  <c r="J65" i="6"/>
  <c r="G65" i="6"/>
  <c r="H65" i="6"/>
  <c r="B66" i="6"/>
  <c r="I66" i="6" l="1"/>
  <c r="F66" i="6"/>
  <c r="J66" i="6"/>
  <c r="H66" i="6"/>
  <c r="G66" i="6"/>
  <c r="B67" i="6"/>
  <c r="I67" i="6" l="1"/>
  <c r="F67" i="6"/>
  <c r="G67" i="6"/>
  <c r="H67" i="6"/>
  <c r="J67" i="6"/>
  <c r="B68" i="6"/>
  <c r="I68" i="6" l="1"/>
  <c r="F68" i="6"/>
  <c r="B69" i="6"/>
  <c r="J68" i="6"/>
  <c r="G68" i="6"/>
  <c r="H68" i="6"/>
  <c r="I69" i="6" l="1"/>
  <c r="F69" i="6"/>
  <c r="J69" i="6"/>
  <c r="H69" i="6"/>
  <c r="G69" i="6"/>
  <c r="B70" i="6"/>
  <c r="I70" i="6" l="1"/>
  <c r="F70" i="6"/>
  <c r="B71" i="6"/>
  <c r="J70" i="6"/>
  <c r="G70" i="6"/>
  <c r="H70" i="6"/>
  <c r="I71" i="6" l="1"/>
  <c r="F71" i="6"/>
  <c r="B72" i="6"/>
  <c r="H71" i="6"/>
  <c r="G71" i="6"/>
  <c r="J71" i="6"/>
  <c r="I72" i="6" l="1"/>
  <c r="F72" i="6"/>
  <c r="B73" i="6"/>
  <c r="J72" i="6"/>
  <c r="G72" i="6"/>
  <c r="H72" i="6"/>
  <c r="I73" i="6" l="1"/>
  <c r="F73" i="6"/>
  <c r="B74" i="6"/>
  <c r="J73" i="6"/>
  <c r="H73" i="6"/>
  <c r="G73" i="6"/>
  <c r="I74" i="6" l="1"/>
  <c r="F74" i="6"/>
  <c r="G74" i="6"/>
  <c r="H74" i="6"/>
  <c r="J74" i="6"/>
  <c r="B75" i="6"/>
  <c r="I75" i="6" l="1"/>
  <c r="F75" i="6"/>
  <c r="B76" i="6"/>
  <c r="J75" i="6"/>
  <c r="G75" i="6"/>
  <c r="H75" i="6"/>
  <c r="I76" i="6" l="1"/>
  <c r="F76" i="6"/>
  <c r="G76" i="6"/>
  <c r="H76" i="6"/>
  <c r="J76" i="6"/>
  <c r="B77" i="6"/>
  <c r="I77" i="6" l="1"/>
  <c r="F77" i="6"/>
  <c r="H77" i="6"/>
  <c r="G77" i="6"/>
  <c r="J77" i="6"/>
  <c r="B78" i="6"/>
  <c r="I78" i="6" l="1"/>
  <c r="F78" i="6"/>
  <c r="J78" i="6"/>
  <c r="H78" i="6"/>
  <c r="G78" i="6"/>
  <c r="B79" i="6"/>
  <c r="I79" i="6" l="1"/>
  <c r="F79" i="6"/>
  <c r="H79" i="6"/>
  <c r="G79" i="6"/>
  <c r="J79" i="6"/>
  <c r="B80" i="6"/>
  <c r="I80" i="6" l="1"/>
  <c r="F80" i="6"/>
  <c r="H80" i="6"/>
  <c r="G80" i="6"/>
  <c r="J80" i="6"/>
  <c r="B81" i="6"/>
  <c r="I81" i="6" l="1"/>
  <c r="F81" i="6"/>
  <c r="J81" i="6"/>
  <c r="G81" i="6"/>
  <c r="H81" i="6"/>
  <c r="B82" i="6"/>
  <c r="I82" i="6" l="1"/>
  <c r="F82" i="6"/>
  <c r="G82" i="6"/>
  <c r="H82" i="6"/>
  <c r="J82" i="6"/>
  <c r="B83" i="6"/>
  <c r="I83" i="6" l="1"/>
  <c r="F83" i="6"/>
  <c r="B84" i="6"/>
  <c r="H83" i="6"/>
  <c r="G83" i="6"/>
  <c r="J83" i="6"/>
  <c r="I84" i="6" l="1"/>
  <c r="F84" i="6"/>
  <c r="B85" i="6"/>
  <c r="J84" i="6"/>
  <c r="G84" i="6"/>
  <c r="H84" i="6"/>
  <c r="I85" i="6" l="1"/>
  <c r="F85" i="6"/>
  <c r="H85" i="6"/>
  <c r="G85" i="6"/>
  <c r="J85" i="6"/>
  <c r="B86" i="6"/>
  <c r="I86" i="6" l="1"/>
  <c r="F86" i="6"/>
  <c r="H86" i="6"/>
  <c r="J86" i="6"/>
  <c r="G86" i="6"/>
  <c r="B87" i="6"/>
  <c r="I87" i="6" l="1"/>
  <c r="F87" i="6"/>
  <c r="G87" i="6"/>
  <c r="J87" i="6"/>
  <c r="H87" i="6"/>
  <c r="B88" i="6"/>
  <c r="I88" i="6" l="1"/>
  <c r="F88" i="6"/>
  <c r="B89" i="6"/>
  <c r="H88" i="6"/>
  <c r="J88" i="6"/>
  <c r="G88" i="6"/>
  <c r="I89" i="6" l="1"/>
  <c r="F89" i="6"/>
  <c r="B90" i="6"/>
  <c r="J89" i="6"/>
  <c r="H89" i="6"/>
  <c r="G89" i="6"/>
  <c r="I90" i="6" l="1"/>
  <c r="F90" i="6"/>
  <c r="B92" i="6"/>
  <c r="B91" i="6"/>
  <c r="G90" i="6"/>
  <c r="H90" i="6"/>
  <c r="J90" i="6"/>
  <c r="I91" i="6" l="1"/>
  <c r="F91" i="6"/>
  <c r="I92" i="6"/>
  <c r="F92" i="6"/>
  <c r="G91" i="6"/>
  <c r="H91" i="6"/>
  <c r="J91" i="6"/>
  <c r="J92" i="6"/>
  <c r="G92" i="6"/>
  <c r="H92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<sst xmlns="http://schemas.openxmlformats.org/spreadsheetml/2006/main" count="2836" uniqueCount="977">
  <si>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</si>
  <si>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</si>
  <si>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</si>
  <si>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</si>
  <si>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</si>
  <si>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</si>
  <si>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</si>
  <si>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</si>
  <si>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</si>
  <si>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</si>
  <si>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</si>
  <si>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</si>
  <si>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</si>
  <si>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</si>
  <si>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</si>
  <si>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</si>
  <si>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</si>
  <si>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</si>
  <si>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</si>
  <si>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</si>
  <si>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</si>
  <si>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</si>
  <si>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</si>
  <si>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</si>
  <si>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</si>
  <si>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</si>
  <si>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</si>
  <si>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</si>
  <si>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</si>
  <si>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</si>
  <si>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</si>
  <si>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</si>
  <si>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</si>
  <si>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</si>
  <si>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</si>
  <si>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</si>
  <si>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</si>
  <si>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</si>
  <si>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</si>
  <si>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</si>
  <si>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</si>
  <si>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</si>
  <si>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</si>
  <si>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</si>
  <si>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</si>
  <si>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</si>
  <si>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</si>
  <si>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</si>
  <si>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</si>
  <si>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</si>
  <si>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</si>
  <si>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</si>
  <si>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</si>
  <si>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</si>
  <si>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</si>
  <si>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</si>
  <si>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</si>
  <si>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</si>
  <si>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</si>
  <si>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</si>
  <si>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</si>
  <si>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</si>
  <si>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</si>
  <si>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</si>
  <si>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</si>
  <si>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</si>
  <si>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</si>
  <si>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</si>
  <si>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</si>
  <si>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</si>
  <si>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</si>
  <si>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</si>
  <si>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</si>
  <si>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</si>
  <si>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</si>
  <si>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</si>
  <si>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</si>
  <si>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</si>
  <si>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</si>
  <si>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</si>
  <si>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</si>
  <si>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</si>
  <si>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</si>
  <si>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</si>
  <si>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</si>
  <si>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</si>
  <si>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</si>
  <si>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</si>
  <si>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</si>
  <si>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</si>
  <si>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</si>
  <si>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</si>
  <si>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</si>
  <si>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</si>
  <si>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</si>
  <si>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</si>
  <si>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</si>
  <si>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</si>
  <si>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</si>
  <si>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</si>
  <si>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</si>
  <si>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</si>
  <si>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</si>
  <si>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</si>
  <si>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</si>
  <si>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</si>
  <si>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</si>
  <si>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</si>
  <si>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</si>
  <si>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</si>
  <si>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</si>
  <si>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</si>
  <si>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</si>
  <si>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</si>
  <si>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</si>
  <si>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</si>
  <si>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</si>
  <si>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</si>
  <si>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</si>
  <si>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</si>
  <si>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</si>
  <si>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</si>
  <si>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</si>
  <si>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</si>
  <si>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</si>
  <si>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</si>
  <si>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</si>
  <si>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</si>
  <si>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</si>
  <si>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</si>
  <si>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</si>
  <si>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</si>
  <si>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</si>
  <si>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</si>
  <si>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</si>
  <si>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</si>
  <si>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</si>
  <si>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</si>
  <si>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</si>
  <si>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</si>
  <si>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</si>
  <si>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</si>
  <si>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</si>
  <si>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</si>
  <si>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</si>
  <si>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</si>
  <si>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</si>
  <si>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</si>
  <si>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</si>
  <si>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</si>
  <si>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</si>
  <si>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</si>
  <si>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</si>
  <si>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</si>
  <si>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</si>
  <si>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</si>
  <si>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</si>
  <si>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</si>
  <si>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</si>
  <si>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</si>
  <si>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</si>
  <si>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</si>
  <si>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</si>
  <si>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</si>
  <si>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</si>
  <si>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</si>
  <si>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</si>
  <si>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</si>
  <si>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</si>
  <si>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</si>
  <si>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</si>
  <si>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</si>
  <si>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</si>
  <si>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</si>
  <si>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</si>
  <si>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</si>
  <si>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</si>
  <si>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</si>
  <si>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</si>
  <si>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</si>
  <si>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</si>
  <si>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</si>
  <si>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</si>
  <si>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</si>
  <si>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</si>
  <si>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</si>
  <si>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</si>
  <si>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</si>
  <si>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</si>
  <si>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</si>
  <si>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</si>
  <si>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</si>
  <si>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</si>
  <si>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</si>
  <si>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</si>
  <si>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</si>
  <si>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</si>
  <si>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</si>
  <si>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</si>
  <si>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</si>
  <si>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</si>
  <si>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</si>
  <si>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</si>
  <si>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</si>
  <si>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</si>
  <si>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Uncaught Wi-MAX GREP</t>
  </si>
  <si>
    <t>204:451</t>
  </si>
  <si>
    <t>204:457</t>
  </si>
  <si>
    <t>204:460</t>
  </si>
  <si>
    <t>BROWN</t>
  </si>
  <si>
    <t>JACOB</t>
  </si>
  <si>
    <t>204:453</t>
  </si>
  <si>
    <t>204:455</t>
  </si>
  <si>
    <t>204:141</t>
  </si>
  <si>
    <t>204:440</t>
  </si>
  <si>
    <t>204:156</t>
  </si>
  <si>
    <t>204:147</t>
  </si>
  <si>
    <t>204:447</t>
  </si>
  <si>
    <t>204:466</t>
  </si>
  <si>
    <t>PERMANENT SPEED RESTRICTION</t>
  </si>
  <si>
    <t>Speed (6)</t>
  </si>
  <si>
    <t>DE.1.0.9.0</t>
  </si>
  <si>
    <t>204:458</t>
  </si>
  <si>
    <t>204:233297</t>
  </si>
  <si>
    <t>204:233312</t>
  </si>
  <si>
    <t>204:467</t>
  </si>
  <si>
    <t>204:233000</t>
  </si>
  <si>
    <t>204:233295</t>
  </si>
  <si>
    <t>204:232971</t>
  </si>
  <si>
    <t>rtdc.l.rtdc.4020:itc</t>
  </si>
  <si>
    <t>204:469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</si>
  <si>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</si>
  <si>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</si>
  <si>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</si>
  <si>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</si>
  <si>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</si>
  <si>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</si>
  <si>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</si>
  <si>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</si>
  <si>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</si>
  <si>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</si>
  <si>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</si>
  <si>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</si>
  <si>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</si>
  <si>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</si>
  <si>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</si>
  <si>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</si>
  <si>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</si>
  <si>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</si>
  <si>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</si>
  <si>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</si>
  <si>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</si>
  <si>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</si>
  <si>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</si>
  <si>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</si>
  <si>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</si>
  <si>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</si>
  <si>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</si>
  <si>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</si>
  <si>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</si>
  <si>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</si>
  <si>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</si>
  <si>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</si>
  <si>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</si>
  <si>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</si>
  <si>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</si>
  <si>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</si>
  <si>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</si>
  <si>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</si>
  <si>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</si>
  <si>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</si>
  <si>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</si>
  <si>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</si>
  <si>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</si>
  <si>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</si>
  <si>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</si>
  <si>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</si>
  <si>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</si>
  <si>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</si>
  <si>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</si>
  <si>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</si>
  <si>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</si>
  <si>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</si>
  <si>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</si>
  <si>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</si>
  <si>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</si>
  <si>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</si>
  <si>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</si>
  <si>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</si>
  <si>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</si>
  <si>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</si>
  <si>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</si>
  <si>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</si>
  <si>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</si>
  <si>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</si>
  <si>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</si>
  <si>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</si>
  <si>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</si>
  <si>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</si>
  <si>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</si>
  <si>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</si>
  <si>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</si>
  <si>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</si>
  <si>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</si>
  <si>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</si>
  <si>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</si>
  <si>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</si>
  <si>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</si>
  <si>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</si>
  <si>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</si>
  <si>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</si>
  <si>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</si>
  <si>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</si>
  <si>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</si>
  <si>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</si>
  <si>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</si>
  <si>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</si>
  <si>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</si>
  <si>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</si>
  <si>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</si>
  <si>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</si>
  <si>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</si>
  <si>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</si>
  <si>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</si>
  <si>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</si>
  <si>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</si>
  <si>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</si>
  <si>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</si>
  <si>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</si>
  <si>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</si>
  <si>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</si>
  <si>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</si>
  <si>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</si>
  <si>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</si>
  <si>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</si>
  <si>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</si>
  <si>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</si>
  <si>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</si>
  <si>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</si>
  <si>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</si>
  <si>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</si>
  <si>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</si>
  <si>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</si>
  <si>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</si>
  <si>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</si>
  <si>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</si>
  <si>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</si>
  <si>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</si>
  <si>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</si>
  <si>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</si>
  <si>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</si>
  <si>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</si>
  <si>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</si>
  <si>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</si>
  <si>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</si>
  <si>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</si>
  <si>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</si>
  <si>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</si>
  <si>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</si>
  <si>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</si>
  <si>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</si>
  <si>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204:232982</t>
  </si>
  <si>
    <t>partly-cloudy-night</t>
  </si>
  <si>
    <t>Partly Cloudy</t>
  </si>
  <si>
    <t>partly-cloudy-day</t>
  </si>
  <si>
    <t>SIGNAL</t>
  </si>
  <si>
    <t>Signal based authority (5)</t>
  </si>
  <si>
    <t>rtdc.l.rtdc.4051:itc</t>
  </si>
  <si>
    <t>Y</t>
  </si>
  <si>
    <t>204:233307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</si>
  <si>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</si>
  <si>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</si>
  <si>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</si>
  <si>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</si>
  <si>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</si>
  <si>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</si>
  <si>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</si>
  <si>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</si>
  <si>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</si>
  <si>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</si>
  <si>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</si>
  <si>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</si>
  <si>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</si>
  <si>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</si>
  <si>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</si>
  <si>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</si>
  <si>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</si>
  <si>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</si>
  <si>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</si>
  <si>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</si>
  <si>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</si>
  <si>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</si>
  <si>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</si>
  <si>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</si>
  <si>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</si>
  <si>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</si>
  <si>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204:233306</t>
  </si>
  <si>
    <t>204:232984</t>
  </si>
  <si>
    <t>204:233293</t>
  </si>
  <si>
    <t>204:462</t>
  </si>
  <si>
    <t>300:23346</t>
  </si>
  <si>
    <t>204:138</t>
  </si>
  <si>
    <t>rtdc.l.rtdc.4053:itc</t>
  </si>
  <si>
    <t>rtdc.l.rtdc.4054:itc</t>
  </si>
  <si>
    <t>rtdc.l.rtdc.4028:itc</t>
  </si>
  <si>
    <t>rtdc.l.rtdc.4027:itc</t>
  </si>
  <si>
    <t>STAMBAUGH</t>
  </si>
  <si>
    <t>204:232975</t>
  </si>
  <si>
    <t>300:58939</t>
  </si>
  <si>
    <t>204:232987</t>
  </si>
  <si>
    <t>204:471</t>
  </si>
  <si>
    <t>300:23304</t>
  </si>
  <si>
    <t>rtdc.l.rtdc.4032:itc</t>
  </si>
  <si>
    <t>rtdc.l.rtdc.4031:itc</t>
  </si>
  <si>
    <t>rtdc.l.rtdc.4052:itc</t>
  </si>
  <si>
    <t>BADERTSCHER</t>
  </si>
  <si>
    <t>DIANE</t>
  </si>
  <si>
    <t>204:145</t>
  </si>
  <si>
    <t>204:163</t>
  </si>
  <si>
    <t>rtdc.l.rtdc.4045:itc</t>
  </si>
  <si>
    <t>rtdc.l.rtdc.4046:itc</t>
  </si>
  <si>
    <t>rtdc.l.rtdc.4001:itc</t>
  </si>
  <si>
    <t>GEBRETEKLE</t>
  </si>
  <si>
    <t>DAGNEW</t>
  </si>
  <si>
    <t>JOHN</t>
  </si>
  <si>
    <t>rtdc.l.rtdc.4002:itc</t>
  </si>
  <si>
    <t>HELVIE</t>
  </si>
  <si>
    <t>ADAM</t>
  </si>
  <si>
    <t>DELGADO</t>
  </si>
  <si>
    <t>DIANAH</t>
  </si>
  <si>
    <t>BRUDER</t>
  </si>
  <si>
    <t>RICHARD</t>
  </si>
  <si>
    <t>WHITED</t>
  </si>
  <si>
    <t>DUSTIN</t>
  </si>
  <si>
    <t>204:143</t>
  </si>
  <si>
    <t>204:233304</t>
  </si>
  <si>
    <t>204:233286</t>
  </si>
  <si>
    <t>204:233013</t>
  </si>
  <si>
    <t>204:233308</t>
  </si>
  <si>
    <t>300:58630</t>
  </si>
  <si>
    <t>rtdc.l.rtdc.4021:itc</t>
  </si>
  <si>
    <t>ROBINSON</t>
  </si>
  <si>
    <t>KADDIBA</t>
  </si>
  <si>
    <t>rtdc.l.rtdc.4022:itc</t>
  </si>
  <si>
    <t>SHOOK</t>
  </si>
  <si>
    <t>SMITH</t>
  </si>
  <si>
    <t>BRANDNER</t>
  </si>
  <si>
    <t>MELINDA</t>
  </si>
  <si>
    <t>204:446</t>
  </si>
  <si>
    <t>204:444</t>
  </si>
  <si>
    <t>204:233008</t>
  </si>
  <si>
    <t>204:232990</t>
  </si>
  <si>
    <t>204:473</t>
  </si>
  <si>
    <t>204:136</t>
  </si>
  <si>
    <t>204:477</t>
  </si>
  <si>
    <t>300:58935</t>
  </si>
  <si>
    <t>300:58926</t>
  </si>
  <si>
    <t>300:58626</t>
  </si>
  <si>
    <t>300:58931</t>
  </si>
  <si>
    <t>rtdc.l.rtdc.4011:itc</t>
  </si>
  <si>
    <t>rtdc.l.rtdc.4015:itc</t>
  </si>
  <si>
    <t>rtdc.l.rtdc.4044:itc</t>
  </si>
  <si>
    <t>rtdc.l.rtdc.4043:itc</t>
  </si>
  <si>
    <t>rtdc.l.rtdc.4012:itc</t>
  </si>
  <si>
    <t>rtdc.l.rtdc.4016:itc</t>
  </si>
  <si>
    <t>STEWART</t>
  </si>
  <si>
    <t>ROMERO</t>
  </si>
  <si>
    <t>CHAD</t>
  </si>
  <si>
    <t>SAFIEF</t>
  </si>
  <si>
    <t>AEIMEN</t>
  </si>
  <si>
    <t>204:426</t>
  </si>
  <si>
    <t>204:233305</t>
  </si>
  <si>
    <t>204:431</t>
  </si>
  <si>
    <t>204:129</t>
  </si>
  <si>
    <t>204:233278</t>
  </si>
  <si>
    <t>204:170</t>
  </si>
  <si>
    <t>204:233003</t>
  </si>
  <si>
    <t>204:160</t>
  </si>
  <si>
    <t>204:741</t>
  </si>
  <si>
    <t>300:58615</t>
  </si>
  <si>
    <t>300:58933</t>
  </si>
  <si>
    <t>204:740</t>
  </si>
  <si>
    <t>300:58613</t>
  </si>
  <si>
    <t>rtdc.l.rtdc.4029:itc</t>
  </si>
  <si>
    <t>SWITCH UNKNOWN</t>
  </si>
  <si>
    <t>Track device (7)</t>
  </si>
  <si>
    <t>225-18</t>
  </si>
  <si>
    <t>216-18</t>
  </si>
  <si>
    <t>222-18</t>
  </si>
  <si>
    <t>227-18</t>
  </si>
  <si>
    <t>224-18</t>
  </si>
  <si>
    <t>238-18</t>
  </si>
  <si>
    <t>243-18</t>
  </si>
  <si>
    <t>DAVIS</t>
  </si>
  <si>
    <t>WENDY</t>
  </si>
  <si>
    <t>SANTIZO</t>
  </si>
  <si>
    <t>D. EDY</t>
  </si>
  <si>
    <t>MAELZER</t>
  </si>
  <si>
    <t>KURT</t>
  </si>
  <si>
    <t>LEVIN</t>
  </si>
  <si>
    <t>SCOTT</t>
  </si>
  <si>
    <t>NELSON</t>
  </si>
  <si>
    <t>ARIANE</t>
  </si>
  <si>
    <t>214-18</t>
  </si>
  <si>
    <t>MACDONALD</t>
  </si>
  <si>
    <t>THOMAS</t>
  </si>
  <si>
    <t>1829-18</t>
  </si>
  <si>
    <t>307-18</t>
  </si>
  <si>
    <t>1830-18</t>
  </si>
  <si>
    <t>231-18</t>
  </si>
  <si>
    <t>226-18</t>
  </si>
  <si>
    <t>1831-18</t>
  </si>
  <si>
    <t>228-18</t>
  </si>
  <si>
    <t>1832-18</t>
  </si>
  <si>
    <t>230-18</t>
  </si>
  <si>
    <t>233-18</t>
  </si>
  <si>
    <t>1833-18</t>
  </si>
  <si>
    <t>234-18</t>
  </si>
  <si>
    <t>237-18</t>
  </si>
  <si>
    <t>1902-18</t>
  </si>
  <si>
    <t>53-18</t>
  </si>
  <si>
    <t>52-18</t>
  </si>
  <si>
    <t>55-18</t>
  </si>
  <si>
    <t>241-18</t>
  </si>
  <si>
    <t>240-18</t>
  </si>
  <si>
    <t>67-18</t>
  </si>
  <si>
    <t>245-18</t>
  </si>
  <si>
    <t>242-18</t>
  </si>
  <si>
    <t>309-18</t>
  </si>
  <si>
    <t>244-18</t>
  </si>
  <si>
    <t>311-18</t>
  </si>
  <si>
    <t>246-18</t>
  </si>
  <si>
    <t>313-18</t>
  </si>
  <si>
    <t>315-18</t>
  </si>
  <si>
    <t>204:233393</t>
  </si>
  <si>
    <t>204:486</t>
  </si>
  <si>
    <t>204:438</t>
  </si>
  <si>
    <t>204:754</t>
  </si>
  <si>
    <t>204:232986</t>
  </si>
  <si>
    <t>204:449</t>
  </si>
  <si>
    <t>204:232981</t>
  </si>
  <si>
    <t>204:233004</t>
  </si>
  <si>
    <t>204:233320</t>
  </si>
  <si>
    <t>204:1032</t>
  </si>
  <si>
    <t>204:233317</t>
  </si>
  <si>
    <t>204:233303</t>
  </si>
  <si>
    <t>204:233314</t>
  </si>
  <si>
    <t>204:233315</t>
  </si>
  <si>
    <t>204:233309</t>
  </si>
  <si>
    <t>204:478</t>
  </si>
  <si>
    <t>204:232989</t>
  </si>
  <si>
    <t>204:139</t>
  </si>
  <si>
    <t>204:233391</t>
  </si>
  <si>
    <t>204:232973</t>
  </si>
  <si>
    <t>204:233021</t>
  </si>
  <si>
    <t>204:232993</t>
  </si>
  <si>
    <t>204:747</t>
  </si>
  <si>
    <t>204:1006</t>
  </si>
  <si>
    <t>300:58943</t>
  </si>
  <si>
    <t>300:58929</t>
  </si>
  <si>
    <t>300:58623</t>
  </si>
  <si>
    <t>204:233387</t>
  </si>
  <si>
    <t>204:232996</t>
  </si>
  <si>
    <t>204:232980</t>
  </si>
  <si>
    <t>204:233276</t>
  </si>
  <si>
    <t>204:233291</t>
  </si>
  <si>
    <t>204:232983</t>
  </si>
  <si>
    <t>204:233326</t>
  </si>
  <si>
    <t>204:1238</t>
  </si>
  <si>
    <t>204:1156</t>
  </si>
  <si>
    <t>204:939</t>
  </si>
  <si>
    <t>107-19</t>
  </si>
  <si>
    <t>rtdc.l.rtdc.4004:itc</t>
  </si>
  <si>
    <t>104-19</t>
  </si>
  <si>
    <t>rtdc.l.rtdc.4040:itc</t>
  </si>
  <si>
    <t>113-19</t>
  </si>
  <si>
    <t>122-19</t>
  </si>
  <si>
    <t>1804-19</t>
  </si>
  <si>
    <t>135-19</t>
  </si>
  <si>
    <t>147-19</t>
  </si>
  <si>
    <t>149-19</t>
  </si>
  <si>
    <t>146-19</t>
  </si>
  <si>
    <t>rtdc.l.rtdc.4026:itc</t>
  </si>
  <si>
    <t>152-19</t>
  </si>
  <si>
    <t>155-19</t>
  </si>
  <si>
    <t>148-19</t>
  </si>
  <si>
    <t>rtdc.l.rtdc.4003:itc</t>
  </si>
  <si>
    <t>159-19</t>
  </si>
  <si>
    <t>rtdc.l.rtdc.4039:itc</t>
  </si>
  <si>
    <t>156-19</t>
  </si>
  <si>
    <t>1812-19</t>
  </si>
  <si>
    <t>rtdc.l.rtdc.4019:itc</t>
  </si>
  <si>
    <t>154-19</t>
  </si>
  <si>
    <t>1814-19</t>
  </si>
  <si>
    <t>176-19</t>
  </si>
  <si>
    <t>185-19</t>
  </si>
  <si>
    <t>184-19</t>
  </si>
  <si>
    <t>1820-19</t>
  </si>
  <si>
    <t>197-19</t>
  </si>
  <si>
    <t>198-19</t>
  </si>
  <si>
    <t>215-19</t>
  </si>
  <si>
    <t>rtdc.l.rtdc.4064:itc</t>
  </si>
  <si>
    <t>80-19</t>
  </si>
  <si>
    <t>1833-19</t>
  </si>
  <si>
    <t>230-19</t>
  </si>
  <si>
    <t>241-19</t>
  </si>
  <si>
    <t>302-19</t>
  </si>
  <si>
    <t>101-19</t>
  </si>
  <si>
    <t>304-19</t>
  </si>
  <si>
    <t>103-19</t>
  </si>
  <si>
    <t>rtdc.l.rtdc.4017:itc</t>
  </si>
  <si>
    <t>306-19</t>
  </si>
  <si>
    <t>102-19</t>
  </si>
  <si>
    <t>105-19</t>
  </si>
  <si>
    <t>308-19</t>
  </si>
  <si>
    <t>310-19</t>
  </si>
  <si>
    <t>rtdc.l.rtdc.4025:itc</t>
  </si>
  <si>
    <t>109-19</t>
  </si>
  <si>
    <t>111-19</t>
  </si>
  <si>
    <t>106-19</t>
  </si>
  <si>
    <t>1901-19</t>
  </si>
  <si>
    <t>YORK</t>
  </si>
  <si>
    <t>EDGAR</t>
  </si>
  <si>
    <t>108-19</t>
  </si>
  <si>
    <t>115-19</t>
  </si>
  <si>
    <t>1800-19</t>
  </si>
  <si>
    <t>117-19</t>
  </si>
  <si>
    <t>110-19</t>
  </si>
  <si>
    <t>112-19</t>
  </si>
  <si>
    <t>114-19</t>
  </si>
  <si>
    <t>1801-19</t>
  </si>
  <si>
    <t>119-19</t>
  </si>
  <si>
    <t>121-19</t>
  </si>
  <si>
    <t>116-19</t>
  </si>
  <si>
    <t>123-19</t>
  </si>
  <si>
    <t>118-19</t>
  </si>
  <si>
    <t>1802-19</t>
  </si>
  <si>
    <t>125-19</t>
  </si>
  <si>
    <t>120-19</t>
  </si>
  <si>
    <t>127-19</t>
  </si>
  <si>
    <t>1803-19</t>
  </si>
  <si>
    <t>129-19</t>
  </si>
  <si>
    <t>MOSES</t>
  </si>
  <si>
    <t>BRADLEY</t>
  </si>
  <si>
    <t>124-19</t>
  </si>
  <si>
    <t>131-19</t>
  </si>
  <si>
    <t>126-19</t>
  </si>
  <si>
    <t>128-19</t>
  </si>
  <si>
    <t>133-19</t>
  </si>
  <si>
    <t>1805-19</t>
  </si>
  <si>
    <t>130-19</t>
  </si>
  <si>
    <t>137-19</t>
  </si>
  <si>
    <t>132-19</t>
  </si>
  <si>
    <t>139-19</t>
  </si>
  <si>
    <t>134-19</t>
  </si>
  <si>
    <t>141-19</t>
  </si>
  <si>
    <t>1806-19</t>
  </si>
  <si>
    <t>143-19</t>
  </si>
  <si>
    <t>136-19</t>
  </si>
  <si>
    <t>1807-19</t>
  </si>
  <si>
    <t>138-19</t>
  </si>
  <si>
    <t>145-19</t>
  </si>
  <si>
    <t>140-19</t>
  </si>
  <si>
    <t>142-19</t>
  </si>
  <si>
    <t>1808-19</t>
  </si>
  <si>
    <t>144-19</t>
  </si>
  <si>
    <t>1809-19</t>
  </si>
  <si>
    <t>151-19</t>
  </si>
  <si>
    <t>153-19</t>
  </si>
  <si>
    <t>rtdc.l.rtdc.4041:itc</t>
  </si>
  <si>
    <t>50-19</t>
  </si>
  <si>
    <t>LALONDE</t>
  </si>
  <si>
    <t>GREGORY</t>
  </si>
  <si>
    <t>1810-19</t>
  </si>
  <si>
    <t>150-19</t>
  </si>
  <si>
    <t>157-19</t>
  </si>
  <si>
    <t>1811-19</t>
  </si>
  <si>
    <t>rtdc.l.rtdc.4042:itc</t>
  </si>
  <si>
    <t>51-19</t>
  </si>
  <si>
    <t>161-19</t>
  </si>
  <si>
    <t>158-19</t>
  </si>
  <si>
    <t>163-19</t>
  </si>
  <si>
    <t>165-19</t>
  </si>
  <si>
    <t>160-19</t>
  </si>
  <si>
    <t>167-19</t>
  </si>
  <si>
    <t>LOCKLEAR</t>
  </si>
  <si>
    <t>TRAVIS</t>
  </si>
  <si>
    <t>1813-19</t>
  </si>
  <si>
    <t>162-19</t>
  </si>
  <si>
    <t>169-19</t>
  </si>
  <si>
    <t>164-19</t>
  </si>
  <si>
    <t>171-19</t>
  </si>
  <si>
    <t>166-19</t>
  </si>
  <si>
    <t>173-19</t>
  </si>
  <si>
    <t>170-19</t>
  </si>
  <si>
    <t>168-19</t>
  </si>
  <si>
    <t>175-19</t>
  </si>
  <si>
    <t>1815-19</t>
  </si>
  <si>
    <t>177-19</t>
  </si>
  <si>
    <t>172-19</t>
  </si>
  <si>
    <t>179-19</t>
  </si>
  <si>
    <t>1816-19</t>
  </si>
  <si>
    <t>174-19</t>
  </si>
  <si>
    <t>181-19</t>
  </si>
  <si>
    <t>183-19</t>
  </si>
  <si>
    <t>178-19</t>
  </si>
  <si>
    <t>1817-19</t>
  </si>
  <si>
    <t>180-19</t>
  </si>
  <si>
    <t>187-19</t>
  </si>
  <si>
    <t>1818-19</t>
  </si>
  <si>
    <t>189-19</t>
  </si>
  <si>
    <t>182-19</t>
  </si>
  <si>
    <t>191-19</t>
  </si>
  <si>
    <t>186-19</t>
  </si>
  <si>
    <t>193-19</t>
  </si>
  <si>
    <t>1819-19</t>
  </si>
  <si>
    <t>188-19</t>
  </si>
  <si>
    <t>195-19</t>
  </si>
  <si>
    <t>190-19</t>
  </si>
  <si>
    <t>192-19</t>
  </si>
  <si>
    <t>199-19</t>
  </si>
  <si>
    <t>194-19</t>
  </si>
  <si>
    <t>201-19</t>
  </si>
  <si>
    <t>1821-19</t>
  </si>
  <si>
    <t>196-19</t>
  </si>
  <si>
    <t>203-19</t>
  </si>
  <si>
    <t>1822-19</t>
  </si>
  <si>
    <t>205-19</t>
  </si>
  <si>
    <t>200-19</t>
  </si>
  <si>
    <t>207-19</t>
  </si>
  <si>
    <t>202-19</t>
  </si>
  <si>
    <t>209-19</t>
  </si>
  <si>
    <t>CHANDLER</t>
  </si>
  <si>
    <t>KELVIN</t>
  </si>
  <si>
    <t>1823-19</t>
  </si>
  <si>
    <t>204-19</t>
  </si>
  <si>
    <t>rtdc.l.rtdc.4018:itc</t>
  </si>
  <si>
    <t>65-19</t>
  </si>
  <si>
    <t>211-19</t>
  </si>
  <si>
    <t>206-19</t>
  </si>
  <si>
    <t>1824-19</t>
  </si>
  <si>
    <t>213-19</t>
  </si>
  <si>
    <t>208-19</t>
  </si>
  <si>
    <t>52-19</t>
  </si>
  <si>
    <t>DUNCAN</t>
  </si>
  <si>
    <t>SHEILA</t>
  </si>
  <si>
    <t>210-19</t>
  </si>
  <si>
    <t>217-19</t>
  </si>
  <si>
    <t>1825-19</t>
  </si>
  <si>
    <t>212-19</t>
  </si>
  <si>
    <t>219-19</t>
  </si>
  <si>
    <t>1826-19</t>
  </si>
  <si>
    <t>214-19</t>
  </si>
  <si>
    <t>303-19</t>
  </si>
  <si>
    <t>216-19</t>
  </si>
  <si>
    <t>218-19</t>
  </si>
  <si>
    <t>221-19</t>
  </si>
  <si>
    <t>305-19</t>
  </si>
  <si>
    <t>1827-19</t>
  </si>
  <si>
    <t>220-19</t>
  </si>
  <si>
    <t>223-19</t>
  </si>
  <si>
    <t>NEWELL</t>
  </si>
  <si>
    <t>1828-19</t>
  </si>
  <si>
    <t>307-19</t>
  </si>
  <si>
    <t>222-19</t>
  </si>
  <si>
    <t>225-19</t>
  </si>
  <si>
    <t>YANG</t>
  </si>
  <si>
    <t>JAN</t>
  </si>
  <si>
    <t>227-19</t>
  </si>
  <si>
    <t>224-19</t>
  </si>
  <si>
    <t>1829-19</t>
  </si>
  <si>
    <t>rtdc.l.rtdc.4063:itc</t>
  </si>
  <si>
    <t>81-19</t>
  </si>
  <si>
    <t>1830-19</t>
  </si>
  <si>
    <t>226-19</t>
  </si>
  <si>
    <t>229-19</t>
  </si>
  <si>
    <t>1831-19</t>
  </si>
  <si>
    <t>228-19</t>
  </si>
  <si>
    <t>231-19</t>
  </si>
  <si>
    <t>1832-19</t>
  </si>
  <si>
    <t>233-19</t>
  </si>
  <si>
    <t>235-19</t>
  </si>
  <si>
    <t>232-19</t>
  </si>
  <si>
    <t>1902-19</t>
  </si>
  <si>
    <t>234-19</t>
  </si>
  <si>
    <t>237-19</t>
  </si>
  <si>
    <t>236-19</t>
  </si>
  <si>
    <t>239-19</t>
  </si>
  <si>
    <t>238-19</t>
  </si>
  <si>
    <t>243-19</t>
  </si>
  <si>
    <t>240-19</t>
  </si>
  <si>
    <t>315-19</t>
  </si>
  <si>
    <t>242-19</t>
  </si>
  <si>
    <t>309-19</t>
  </si>
  <si>
    <t>244-19</t>
  </si>
  <si>
    <t>311-19</t>
  </si>
  <si>
    <t>313-19</t>
  </si>
  <si>
    <t>Mostly Cloudy</t>
  </si>
  <si>
    <t>204:737</t>
  </si>
  <si>
    <t>204:232654</t>
  </si>
  <si>
    <t>204:757</t>
  </si>
  <si>
    <t>204:233344</t>
  </si>
  <si>
    <t>204:232707</t>
  </si>
  <si>
    <t>204:232658</t>
  </si>
  <si>
    <t>204:121</t>
  </si>
  <si>
    <t>204:495</t>
  </si>
  <si>
    <t>204:723</t>
  </si>
  <si>
    <t>204:233327</t>
  </si>
  <si>
    <t>204:233328</t>
  </si>
  <si>
    <t>204:233011</t>
  </si>
  <si>
    <t>204:161</t>
  </si>
  <si>
    <t>204:684</t>
  </si>
  <si>
    <t>204:233331</t>
  </si>
  <si>
    <t>204:232976</t>
  </si>
  <si>
    <t>204:123</t>
  </si>
  <si>
    <t>204:233280</t>
  </si>
  <si>
    <t>204:232957</t>
  </si>
  <si>
    <t>204:67774</t>
  </si>
  <si>
    <t>204:64169</t>
  </si>
  <si>
    <t>204:233289</t>
  </si>
  <si>
    <t>204:232970</t>
  </si>
  <si>
    <t>204:233322</t>
  </si>
  <si>
    <t>204:233007</t>
  </si>
  <si>
    <t>204:169</t>
  </si>
  <si>
    <t>204:19138</t>
  </si>
  <si>
    <t>204:233321</t>
  </si>
  <si>
    <t>204:1326</t>
  </si>
  <si>
    <t>204:233288</t>
  </si>
  <si>
    <t>204:480</t>
  </si>
  <si>
    <t>204:233285</t>
  </si>
  <si>
    <t>204:232972</t>
  </si>
  <si>
    <t>204:38221</t>
  </si>
  <si>
    <t>204:36664</t>
  </si>
  <si>
    <t>204:232959</t>
  </si>
  <si>
    <t>204:482</t>
  </si>
  <si>
    <t>204:233284</t>
  </si>
  <si>
    <t>204:221</t>
  </si>
  <si>
    <t>204:233381</t>
  </si>
  <si>
    <t>204:233059</t>
  </si>
  <si>
    <t>204:233349</t>
  </si>
  <si>
    <t>204:233040</t>
  </si>
  <si>
    <t>204:429</t>
  </si>
  <si>
    <t>204:149881</t>
  </si>
  <si>
    <t>204:233372</t>
  </si>
  <si>
    <t>204:233060</t>
  </si>
  <si>
    <t>204:233334</t>
  </si>
  <si>
    <t>204:232988</t>
  </si>
  <si>
    <t>204:517</t>
  </si>
  <si>
    <t>204:233090</t>
  </si>
  <si>
    <t>204:233332</t>
  </si>
  <si>
    <t>204:233030</t>
  </si>
  <si>
    <t>204:233345</t>
  </si>
  <si>
    <t>204:233038</t>
  </si>
  <si>
    <t>300:58619</t>
  </si>
  <si>
    <t>204:1039</t>
  </si>
  <si>
    <t>204:752</t>
  </si>
  <si>
    <t>204:1046</t>
  </si>
  <si>
    <t>300:58928</t>
  </si>
  <si>
    <t>204:769</t>
  </si>
  <si>
    <t>204:1056</t>
  </si>
  <si>
    <t>204:1041</t>
  </si>
  <si>
    <t>300:58604</t>
  </si>
  <si>
    <t>204:750</t>
  </si>
  <si>
    <t>204:1037</t>
  </si>
  <si>
    <t>204:1035</t>
  </si>
  <si>
    <t>300:58937</t>
  </si>
  <si>
    <t>204:759</t>
  </si>
  <si>
    <t>204:792</t>
  </si>
  <si>
    <t>204:1079</t>
  </si>
  <si>
    <t>300:58611</t>
  </si>
  <si>
    <t>204:768</t>
  </si>
  <si>
    <t>204:1074</t>
  </si>
  <si>
    <t>300:58609</t>
  </si>
  <si>
    <t>204:1049</t>
  </si>
  <si>
    <t>204:233005</t>
  </si>
  <si>
    <t>204:1048</t>
  </si>
  <si>
    <t>204:724</t>
  </si>
  <si>
    <t>300:58624</t>
  </si>
  <si>
    <t>204:764</t>
  </si>
  <si>
    <t>300:58948</t>
  </si>
  <si>
    <t>204:233370</t>
  </si>
  <si>
    <t>204:813</t>
  </si>
  <si>
    <t>204:1104</t>
  </si>
  <si>
    <t>204:233051</t>
  </si>
  <si>
    <t>204:233213</t>
  </si>
  <si>
    <t>204:232902</t>
  </si>
  <si>
    <t>204:475</t>
  </si>
  <si>
    <t>300:29964</t>
  </si>
  <si>
    <t>300:21723</t>
  </si>
  <si>
    <t>204:233357</t>
  </si>
  <si>
    <t>204:132</t>
  </si>
  <si>
    <t>204:233374</t>
  </si>
  <si>
    <t>204:233062</t>
  </si>
  <si>
    <t>204:167</t>
  </si>
  <si>
    <t>204:233078</t>
  </si>
  <si>
    <t>204:134</t>
  </si>
  <si>
    <t>204:233017</t>
  </si>
  <si>
    <t>204:165</t>
  </si>
  <si>
    <t>204:484</t>
  </si>
  <si>
    <t>204:232969</t>
  </si>
  <si>
    <t>204:464</t>
  </si>
  <si>
    <t>204:232950</t>
  </si>
  <si>
    <t>204:233347</t>
  </si>
  <si>
    <t>204:233042</t>
  </si>
  <si>
    <t>204:232967</t>
  </si>
  <si>
    <t>204:233108</t>
  </si>
  <si>
    <t>204:232960</t>
  </si>
  <si>
    <t>204:191</t>
  </si>
  <si>
    <t>204:18773</t>
  </si>
  <si>
    <t>204:233113</t>
  </si>
  <si>
    <t>204:36797</t>
  </si>
  <si>
    <t>204:233434</t>
  </si>
  <si>
    <t>204:233100</t>
  </si>
  <si>
    <t>204:435</t>
  </si>
  <si>
    <t>204:233106</t>
  </si>
  <si>
    <t>204:500</t>
  </si>
  <si>
    <t>204:232944</t>
  </si>
  <si>
    <t>204:232991</t>
  </si>
  <si>
    <t>204:233071</t>
  </si>
  <si>
    <t>300:23297</t>
  </si>
  <si>
    <t>300:19575</t>
  </si>
  <si>
    <t>300:23321</t>
  </si>
  <si>
    <t>300:23145</t>
  </si>
  <si>
    <t>300:22951</t>
  </si>
  <si>
    <t>204:130</t>
  </si>
  <si>
    <t>300:22986</t>
  </si>
  <si>
    <t>300:23616</t>
  </si>
  <si>
    <t>300:22998</t>
  </si>
  <si>
    <t>300:23500</t>
  </si>
  <si>
    <t>300:23301</t>
  </si>
  <si>
    <t>300:23299</t>
  </si>
  <si>
    <t>300:22286</t>
  </si>
  <si>
    <t>204:442</t>
  </si>
  <si>
    <t>300:23295</t>
  </si>
  <si>
    <t>300:21748</t>
  </si>
  <si>
    <t>204:1939</t>
  </si>
  <si>
    <t>204:1479</t>
  </si>
  <si>
    <t>300:23142</t>
  </si>
  <si>
    <t>204:1158</t>
  </si>
  <si>
    <t>204:148</t>
  </si>
  <si>
    <t>300:23978</t>
  </si>
  <si>
    <t>204:437</t>
  </si>
  <si>
    <t>start /low /b %USERPROFILE%\Documents\GitHub\eaglep3\Utilities\DownloadLogsFromS3.py --loco 4015 --day 2017-03-19</t>
  </si>
  <si>
    <t>start /low /b %USERPROFILE%\Documents\GitHub\eaglep3\Utilities\DownloadLogsFromS3.py --loco 4020 --day 2017-03-19</t>
  </si>
  <si>
    <t>start /low /b %USERPROFILE%\Documents\GitHub\eaglep3\Utilities\DownloadLogsFromS3.py --loco 4016 --day 2017-03-19</t>
  </si>
  <si>
    <t>start /low /b %USERPROFILE%\Documents\GitHub\eaglep3\Utilities\DownloadLogsFromS3.py --loco 4003 --day 2017-03-19</t>
  </si>
  <si>
    <t>start /low /b %USERPROFILE%\Documents\GitHub\eaglep3\Utilities\DownloadLogsFromS3.py --loco 4016 --day 2017-03-20</t>
  </si>
  <si>
    <t>start /low /b %USERPROFILE%\Documents\GitHub\eaglep3\Utilities\DownloadLogsFromS3.py --loco 4051 --day 2017-03-19</t>
  </si>
  <si>
    <t>start /low /b %USERPROFILE%\Documents\GitHub\eaglep3\Utilities\DownloadLogsFromS3.py --loco 4001 --day 2017-03-19</t>
  </si>
  <si>
    <t>start /low /b %USERPROFILE%\Documents\GitHub\eaglep3\Utilities\DownloadLogsFromS3.py --loco 4002 --day 2017-03-20</t>
  </si>
  <si>
    <t>start /low /b %USERPROFILE%\Documents\GitHub\eaglep3\Utilities\DownloadLogsFromS3.py --loco 4002 --day 2017-03-19</t>
  </si>
  <si>
    <t>start /low /b %USERPROFILE%\Documents\GitHub\eaglep3\Utilities\DownloadLogsFromS3.py --loco 4039 --day 2017-03-19</t>
  </si>
  <si>
    <t>start /low /b %USERPROFILE%\Documents\GitHub\eaglep3\Utilities\DownloadLogsFromS3.py --loco 4026 --day 2017-03-19</t>
  </si>
  <si>
    <t>start /low /b %USERPROFILE%\Documents\GitHub\eaglep3\Utilities\DownloadLogsFromS3.py --loco 4053 --day 2017-03-19</t>
  </si>
  <si>
    <t>start /low /b %USERPROFILE%\Documents\GitHub\eaglep3\Utilities\DownloadLogsFromS3.py --loco 4004 --day 2017-03-19</t>
  </si>
  <si>
    <t>start /low /b %USERPROFILE%\Documents\GitHub\eaglep3\Utilities\DownloadLogsFromS3.py --loco 4019 --day 2017-03-19</t>
  </si>
  <si>
    <t>start /low /b %USERPROFILE%\Documents\GitHub\eaglep3\Utilities\DownloadLogsFromS3.py --loco 4019 --day 2017-03-20</t>
  </si>
  <si>
    <t>start /low /b %USERPROFILE%\Documents\GitHub\eaglep3\Utilities\DownloadLogsFromS3.py --loco 4040 --day 2017-03-19</t>
  </si>
  <si>
    <t>start /low /b %USERPROFILE%\Documents\GitHub\eaglep3\Utilities\DownloadLogsFromS3.py --loco 4003 --day 2017-03-20</t>
  </si>
  <si>
    <t>start /low /b %USERPROFILE%\Documents\GitHub\eaglep3\Utilities\DownloadLogsFromS3.py --loco 4052 --day 2017-03-19</t>
  </si>
  <si>
    <t>start /low /b %USERPROFILE%\Documents\GitHub\eaglep3\Utilities\DownloadLogsFromS3.py --loco 4051 --day 2017-03-20</t>
  </si>
  <si>
    <t>Wi-MAX data drop</t>
  </si>
  <si>
    <t>Selected wrong track</t>
  </si>
  <si>
    <t>Emergency braking delayed trip</t>
  </si>
  <si>
    <t>http://stevetu21.github.io/eaglep3/load_kml.html?kml=http://rtdc.gmaps-snips.s3.amazonaws.com/c3459d5e-5411-489c-ba7b-8081ddbed64b.kml</t>
  </si>
  <si>
    <t>Extended Onboard Wi-MAX outage</t>
  </si>
  <si>
    <t>Onboard in-route failure</t>
  </si>
  <si>
    <t>Early arrival</t>
  </si>
  <si>
    <t>40th 4S STOP</t>
  </si>
  <si>
    <t>http://stevetu21.github.io/eaglep3/load_kml.html?kml=http://rtdc.gmaps-snips.s3.amazonaws.com/265dca55-7cd5-4cc0-b011-114282b2b5a4.kml</t>
  </si>
  <si>
    <t>DIA 4S STOP</t>
  </si>
  <si>
    <t>Minor onboard in-route failure</t>
  </si>
  <si>
    <t>At approx 2017-03-19 11:41 CPU2 interpreted 40th 2N as a stop target despite its being PROCEED CAB (SG-5) for the past 6 minutes. CPU2 was promptly voted out by the other processors, but not before it had a chance to command a penalty brake</t>
  </si>
  <si>
    <t>http://stevetu21.github.io/eaglep3/load_kml.html?kml=http://rtdc.gmaps-snips.s3.amazonaws.com/b89991bc-a524-441a-bb4e-59b984b2cb66.kml, no issues found within nomad status</t>
  </si>
  <si>
    <t>Wi-MAX data drop, radio 2 was down</t>
  </si>
  <si>
    <t>http://stevetu21.github.io/eaglep3/load_kml.html?kml=http://rtdc.gmaps-snips.s3.amazonaws.com/854ccf54-334a-47c2-afcb-919165d878e3.kml, no issues found in nomad status</t>
  </si>
  <si>
    <t>http://stevetu21.github.io/eaglep3/load_kml.html?kml=http://rtdc.gmaps-snips.s3.amazonaws.com/a5c7b6f1-b7b3-4c62-923c-fcf98c60b033.kml, no issues found in nomad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</si>
</sst>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8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  <xf numFmtId="169" fontId="24" fillId="0" borderId="0" applyNumberFormat="0" applyFill="0" applyBorder="0" applyAlignment="0" applyProtection="0"/>
  </cellStyleXfs>
  <cellXfs count="22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24" fillId="0" borderId="0" xfId="7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8">
    <cellStyle name="Calculation" xfId="6" builtinId="22"/>
    <cellStyle name="Hyperlink" xfId="7" builtinId="8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stevetu21.github.io/eaglep3/load_kml.html?kml=http://rtdc.gmaps-snips.s3.amazonaws.com/a5c7b6f1-b7b3-4c62-923c-fcf98c60b033.kml,%20no%20issues%20found%20in%20nomad%20status" TargetMode="External"/><Relationship Id="rId7" Type="http://schemas.openxmlformats.org/officeDocument/2006/relationships/ctrlProp" Target="../ctrlProps/ctrlProp2.xml"/><Relationship Id="rId2" Type="http://schemas.openxmlformats.org/officeDocument/2006/relationships/hyperlink" Target="http://stevetu21.github.io/eaglep3/load_kml.html?kml=http://rtdc.gmaps-snips.s3.amazonaws.com/854ccf54-334a-47c2-afcb-919165d878e3.kml,%20no%20issues%20found%20in%20nomad%20status" TargetMode="External"/><Relationship Id="rId1" Type="http://schemas.openxmlformats.org/officeDocument/2006/relationships/hyperlink" Target="http://stevetu21.github.io/eaglep3/load_kml.html?kml=http://rtdc.gmaps-snips.s3.amazonaws.com/b89991bc-a524-441a-bb4e-59b984b2cb66.kml,%20no%20issues%20found%20within%20nomad%20status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2"/>
  <sheetViews>
    <sheetView topLeftCell="A28" workbookViewId="0">
      <selection activeCell="R34" sqref="R34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104</v>
      </c>
      <c r="J1" s="37"/>
      <c r="K1" s="27"/>
      <c r="L1" s="27"/>
      <c r="M1" s="36"/>
      <c r="N1" s="37"/>
      <c r="O1" s="2"/>
      <c r="P1" s="2"/>
      <c r="R1" s="34" t="s">
        <v>105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42813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42813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34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COUNTIFS($N$13:$N$9331,"&gt;0",$AG$13:$AG$9331,I1)</f>
        <v>139</v>
      </c>
      <c r="K5" s="40"/>
      <c r="L5" s="40"/>
      <c r="M5" s="41">
        <f>AVERAGEIFS($N$13:$N$9331,$AG$13:$AG$9331,I1)</f>
        <v>38.465227817600635</v>
      </c>
      <c r="N5" s="39">
        <f t="array" ref="N5">MIN(IF($AG$13:$AG$9331=I1,IF(ISNUMBER($N$13:$N$9331),IF($N$13:$N$9331&gt;0,$N$13:$N$9331))))</f>
        <v>34.68333333148621</v>
      </c>
      <c r="O5" s="3">
        <f t="array" ref="O5">MAX(IF($AG$13:$AG$9331=I1,IF(ISNUMBER($N$13:$N$9331),IF($N$13:$N$9331&gt;0,$N$13:$N$9331))))</f>
        <v>51.250000004656613</v>
      </c>
      <c r="P5" s="2"/>
      <c r="R5" s="74" t="s">
        <v>17</v>
      </c>
      <c r="S5" s="50">
        <f>COUNTIFS($N$13:$N$9331,"&gt;0",$AG$13:$AG$9331,R1)</f>
        <v>34</v>
      </c>
      <c r="T5" s="40"/>
      <c r="U5" s="177"/>
      <c r="V5" s="174">
        <f>AVERAGEIFS($N$13:$N$9331,$AG$13:$AG$9331,R1)</f>
        <v>13.493627452202524</v>
      </c>
      <c r="W5" s="175">
        <f t="array" ref="W5">MIN(IF($AG$13:$AG$9331=R1,IF(ISNUMBER($N$13:$N$9331),IF($N$13:$N$9331&gt;0,$N$13:$N$9331))))</f>
        <v>11.899999994784594</v>
      </c>
      <c r="X5" s="176">
        <f t="array" ref="X5">MAX(IF($AG$13:$AG$9331=R1,IF(ISNUMBER($N$13:$N$9331),IF($N$13:$N$9331&gt;0,$N$13:$N$9331))))</f>
        <v>15.90000000782311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COUNT($O$13:$O$117)</f>
        <v>0</v>
      </c>
      <c r="K6" s="40"/>
      <c r="L6" s="40"/>
      <c r="M6" s="41">
        <f>IFERROR(AVERAGE($O$13:$O$117),0)</f>
        <v>0</v>
      </c>
      <c r="N6" s="39">
        <f>MIN($O$13:$O$117)</f>
        <v>0</v>
      </c>
      <c r="O6" s="3">
        <f>MAX($O$13:$O$117)</f>
        <v>0</v>
      </c>
      <c r="P6" s="2"/>
      <c r="R6" s="75" t="s">
        <v>43</v>
      </c>
      <c r="S6" s="50">
        <f>COUNT($O$13:$O$117)</f>
        <v>0</v>
      </c>
      <c r="T6" s="40"/>
      <c r="U6" s="177"/>
      <c r="V6" s="174">
        <f>IFERROR(AVERAGE($O$13:$O$117),0)</f>
        <v>0</v>
      </c>
      <c r="W6" s="175">
        <f>MIN($O$13:$O$117)</f>
        <v>0</v>
      </c>
      <c r="X6" s="176">
        <f>MAX($O$13:$O$117)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COUNTIFS($P$13:$P$9331,"&gt;0",$AG$13:$AG$9331,I1)</f>
        <v>5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COUNTIFS($P$13:$P$9331,"&gt;0",$AG$13:$AG$9331,R1)</f>
        <v>0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139</v>
      </c>
      <c r="K8" s="40"/>
      <c r="L8" s="40"/>
      <c r="M8" s="41">
        <f>M5</f>
        <v>38.465227817600635</v>
      </c>
      <c r="N8" s="39">
        <f>N5</f>
        <v>34.68333333148621</v>
      </c>
      <c r="O8" s="3">
        <f>O5</f>
        <v>51.250000004656613</v>
      </c>
      <c r="P8" s="2"/>
      <c r="R8" s="74" t="s">
        <v>16</v>
      </c>
      <c r="S8" s="50">
        <f>S5</f>
        <v>34</v>
      </c>
      <c r="T8" s="40"/>
      <c r="U8" s="177"/>
      <c r="V8" s="174">
        <f>V5</f>
        <v>13.493627452202524</v>
      </c>
      <c r="W8" s="175">
        <f>W5</f>
        <v>11.899999994784594</v>
      </c>
      <c r="X8" s="176">
        <f>X5</f>
        <v>15.90000000782311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0.96527777777777779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221" t="str">
        <f>"Eagle P3 System Performance - "&amp;TEXT(Variables!A2,"yyyy-mm-dd")</f>
        <v>Eagle P3 System Performance - 2017-03-19</v>
      </c>
      <c r="B11" s="221"/>
      <c r="C11" s="221"/>
      <c r="D11" s="221"/>
      <c r="E11" s="221"/>
      <c r="F11" s="221"/>
      <c r="G11" s="221"/>
      <c r="H11" s="221"/>
      <c r="I11" s="221"/>
      <c r="J11" s="221"/>
      <c r="K11" s="221"/>
      <c r="L11" s="221"/>
      <c r="M11" s="221"/>
      <c r="N11" s="221"/>
      <c r="O11" s="221"/>
      <c r="P11" s="221"/>
      <c r="S11" s="64">
        <f>AVERAGE(S13:S87)</f>
        <v>1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93</v>
      </c>
      <c r="AG12" s="4" t="s">
        <v>106</v>
      </c>
      <c r="AH12" s="87" t="s">
        <v>108</v>
      </c>
      <c r="AI12" s="107" t="s">
        <v>146</v>
      </c>
      <c r="AJ12" s="47" t="s">
        <v>147</v>
      </c>
      <c r="AK12" s="47" t="s">
        <v>120</v>
      </c>
      <c r="AL12" s="47" t="s">
        <v>148</v>
      </c>
      <c r="AM12" s="155" t="s">
        <v>201</v>
      </c>
      <c r="AN12" s="47" t="s">
        <v>205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607</v>
      </c>
      <c r="B13" s="7">
        <v>4020</v>
      </c>
      <c r="C13" s="21" t="s">
        <v>221</v>
      </c>
      <c r="D13" s="21" t="s">
        <v>798</v>
      </c>
      <c r="E13" s="13">
        <v>42813.128761574073</v>
      </c>
      <c r="F13" s="13">
        <v>42813.135625000003</v>
      </c>
      <c r="G13" s="7">
        <v>1</v>
      </c>
      <c r="H13" s="21" t="s">
        <v>548</v>
      </c>
      <c r="I13" s="13">
        <v>42813.160381944443</v>
      </c>
      <c r="J13" s="7">
        <v>0</v>
      </c>
      <c r="K13" s="98" t="str">
        <f t="shared" ref="K13:K76" si="0">IF(ISEVEN(B13),(B13-1)&amp;"/"&amp;B13,B13&amp;"/"&amp;(B13+1))</f>
        <v>4019/4020</v>
      </c>
      <c r="L13" s="21" t="str">
        <f>VLOOKUP(A13,'Trips&amp;Operators'!$C$1:$G$99999,5,FALSE)</f>
        <v>SANTIZO D. EDY</v>
      </c>
      <c r="M13" s="6">
        <f t="shared" ref="M13:M44" si="1">I13-F13</f>
        <v>2.4756944440014195E-2</v>
      </c>
      <c r="N13" s="7">
        <f t="shared" ref="N13:N33" si="2">24*60*SUM($M13:$M13)</f>
        <v>35.64999999362044</v>
      </c>
      <c r="O13" s="7"/>
      <c r="P13" s="7"/>
      <c r="Q13" s="22"/>
      <c r="R13" s="22"/>
      <c r="S13" s="31">
        <f t="shared" ref="S13:S33" si="3">SUM(U13:U13)/IF(AG13="EC",12,1)</f>
        <v>1</v>
      </c>
      <c r="T13" s="46" t="str">
        <f t="shared" ref="T13:T76" si="4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-19T02:05:25-0600',mode:absolute,to:'2017-03-19T04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" s="187" t="str">
        <f t="shared" ref="W13:W76" si="6">IF(AA13&lt;IF(AG13="EC",23,5.65),"Y","N")</f>
        <v>N</v>
      </c>
      <c r="X13" s="187" t="e">
        <f t="shared" ref="X13:X44" si="7">VALUE(LEFT(AD13,4))-VALUE(LEFT(AD12,4))</f>
        <v>#VALUE!</v>
      </c>
      <c r="Y13" s="62">
        <f t="shared" ref="Y13:Y76" si="8">RIGHT(D13,LEN(D13)-4)/10000</f>
        <v>7.3700000000000002E-2</v>
      </c>
      <c r="Z13" s="62">
        <f t="shared" ref="Z13:Z44" si="9">RIGHT(H13,LEN(H13)-4)/10000</f>
        <v>23.3309</v>
      </c>
      <c r="AA13" s="62">
        <f t="shared" ref="AA13:AA76" si="10">ABS(Z13-Y13)</f>
        <v>23.257200000000001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0101-19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s3://rtdc.mdm.uploadarchive.raw/RTDC4020/ "%USERPROFILE%\AppData\Local\Temp\OnboardLogs"\RTDC4020\2017-03-19 --exclude "*" --recursive --include "*20170319*" &amp; "%USERPROFILE%\Documents\GitHub\mrs-test-scripts\Headless Mode &amp; Sideloading\WalkAndUnGZ.bat" "%USERPROFILE%\AppData\Local\Temp\OnboardLogs"\RTDC4020\2017-03-19 &amp; aws s3 cp s3://rtdc.mdm.uploadarchive.raw/RTDC4020/ "%USERPROFILE%\AppData\Local\Temp\OnboardLogs"\RTDC4020\2017-03-20 --exclude "*" --recursive --include "*20170320*" &amp; "%USERPROFILE%\Documents\GitHub\mrs-test-scripts\Headless Mode &amp; Sideloading\WalkAndUnGZ.bat" "%USERPROFILE%\AppData\Local\Temp\OnboardLogs"\RTDC4020\2017-03-20</v>
      </c>
      <c r="AF13" s="82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/stypes="app*4020*20170319*" /stext=" 09:.+((SYSTEM_STATE.+slice.+state.+changed )|(ment ac)|(multiple cpu faults)|(system.+state.+changed )|(\[timeout)|(PRM\|1\|D)|(kpr)|(kdp)|(\|lc)|(penalty))"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101-19 --locoid 4020 --swversion DE.1.0.9.0 --startMP 204:737 --initTime 2017-03-19T03:05:25 --startdatetime 2017-03-19T03:15:18 --delay 1 --endMP 204:233309 --enddatetime 2017-03-19T03:50:57 --enforcementcount 0 &gt;&gt;%USERPROFILE%\Documents\GitHub\eaglep3-reporting\EC\2017-03-19-refined-times.txt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{"issue":{"subject":"","project_id":79,"tracker_id":40,"status_id":1,"priority_id":2,"assigned_to_id":23,"start_date":"2017-03-19","description":"","custom_fields":[{"id":1,"name":"Subdivision","value":"EC"},{"id":4,"name":"Milepost","value":"23.3309"},{"id":17,"name":"Train ID","value":"101-19"},{"id":16,"name":"Locomotive ID","value":"4020"},{"id":130,"name":"Impact","value":""},{"id":150,"name":"Time of Event (Mountain Time)","value":"03:50:57"},{"id":151,"name":"Denver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4020 --day 2017-03-19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"%USERPROFILE%\AppData\Local\Temp\OnboardLogs"\RTDC4020\*4020*20170319* | grep -SE "(Enforcement Action)|(\[TIMEOUT)|(CHR.+\|PRM\|1\|D.+(SWITCH|SIGNAL).+UNKNOWN)" - &gt;&gt; 2017-03-19-UncaughtWiMAX.txt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612</v>
      </c>
      <c r="B14" s="7">
        <v>4039</v>
      </c>
      <c r="C14" s="21" t="s">
        <v>221</v>
      </c>
      <c r="D14" s="21" t="s">
        <v>799</v>
      </c>
      <c r="E14" s="13">
        <v>42813.165381944447</v>
      </c>
      <c r="F14" s="13">
        <v>42813.174479166664</v>
      </c>
      <c r="G14" s="7">
        <v>1</v>
      </c>
      <c r="H14" s="21" t="s">
        <v>401</v>
      </c>
      <c r="I14" s="13">
        <v>42813.20076388889</v>
      </c>
      <c r="J14" s="7">
        <v>0</v>
      </c>
      <c r="K14" s="98" t="str">
        <f t="shared" si="0"/>
        <v>4039/4040</v>
      </c>
      <c r="L14" s="21" t="str">
        <f>VLOOKUP(A14,'Trips&amp;Operators'!$C$1:$G$99999,5,FALSE)</f>
        <v>SANTIZO D. EDY</v>
      </c>
      <c r="M14" s="6">
        <f t="shared" si="1"/>
        <v>2.6284722225682344E-2</v>
      </c>
      <c r="N14" s="7">
        <f t="shared" si="2"/>
        <v>37.850000004982576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5"/>
        <v>https://d0f6bd738d7f1b3e5a7ca70fe4ff75f0.us-east-1.aws.found.io/app/kibana#/discover/Steve-Slow-Train-Analysis-(2080s-and-2083s)?_g=(refreshInterval:(display:Off,pause:!f,section:0,value:0),time:(from:'2017-03-19T02:58:09-0600',mode:absolute,to:'2017-03-19T05:49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" s="187" t="str">
        <f t="shared" si="6"/>
        <v>N</v>
      </c>
      <c r="X14" s="187">
        <f t="shared" si="7"/>
        <v>1</v>
      </c>
      <c r="Y14" s="62">
        <f t="shared" si="8"/>
        <v>23.2654</v>
      </c>
      <c r="Z14" s="62">
        <f t="shared" si="9"/>
        <v>1.38E-2</v>
      </c>
      <c r="AA14" s="62">
        <f t="shared" si="10"/>
        <v>23.2516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0102-19</v>
      </c>
      <c r="AE14" s="85" t="str">
        <f t="shared" si="12"/>
        <v>aws s3 cp s3://rtdc.mdm.uploadarchive.raw/RTDC4039/ "%USERPROFILE%\AppData\Local\Temp\OnboardLogs"\RTDC4039\2017-03-19 --exclude "*" --recursive --include "*20170319*" &amp; "%USERPROFILE%\Documents\GitHub\mrs-test-scripts\Headless Mode &amp; Sideloading\WalkAndUnGZ.bat" "%USERPROFILE%\AppData\Local\Temp\OnboardLogs"\RTDC4039\2017-03-19 &amp; 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</v>
      </c>
      <c r="AF14" s="82" t="str">
        <f t="shared" si="13"/>
        <v>"C:\Program Files (x86)\AstroGrep\AstroGrep.exe" /e /r /s /spath="%USERPROFILE%\AppData\Local\Temp\OnboardLogs" /stypes="app*4039*20170319*"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102-19 --locoid 4039 --swversion DE.1.0.9.0 --startMP 204:232654 --initTime 2017-03-19T03:58:09 --startdatetime 2017-03-19T04:11:15 --delay 1 --endMP 204:138 --enddatetime 2017-03-19T04:49:06 --enforcementcount 0 &gt;&gt;%USERPROFILE%\Documents\GitHub\eaglep3-reporting\EC\2017-03-19-refined-times.txt</v>
      </c>
      <c r="AI14" s="108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{"issue":{"subject":"","project_id":79,"tracker_id":40,"status_id":1,"priority_id":2,"assigned_to_id":23,"start_date":"2017-03-19","description":"","custom_fields":[{"id":1,"name":"Subdivision","value":"EC"},{"id":4,"name":"Milepost","value":"0.0138"},{"id":17,"name":"Train ID","value":"102-19"},{"id":16,"name":"Locomotive ID","value":"4039"},{"id":130,"name":"Impact","value":""},{"id":150,"name":"Time of Event (Mountain Time)","value":"04:49:06"},{"id":151,"name":"Denver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20">"start /low /b "&amp;dls3logs&amp;" --loco "&amp;B14&amp;" --day "&amp;TEXT(F14,"YYYY-MM-DD")</f>
        <v>start /low /b %USERPROFILE%\Documents\GitHub\eaglep3\Utilities\DownloadLogsFromS3.py --loco 4039 --day 2017-03-19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"%USERPROFILE%\AppData\Local\Temp\OnboardLogs"\RTDC4039\*4039*20170319* | grep -SE "(Enforcement Action)|(\[TIMEOUT)|(CHR.+\|PRM\|1\|D.+(SWITCH|SIGNAL).+UNKNOWN)" - &gt;&gt; 2017-03-19-UncaughtWiMAX.txt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609</v>
      </c>
      <c r="B15" s="7">
        <v>4053</v>
      </c>
      <c r="C15" s="21" t="s">
        <v>221</v>
      </c>
      <c r="D15" s="21" t="s">
        <v>800</v>
      </c>
      <c r="E15" s="13">
        <v>42813.148125</v>
      </c>
      <c r="F15" s="13">
        <v>42813.156527777777</v>
      </c>
      <c r="G15" s="7">
        <v>1</v>
      </c>
      <c r="H15" s="21" t="s">
        <v>801</v>
      </c>
      <c r="I15" s="13">
        <v>42813.181793981479</v>
      </c>
      <c r="J15" s="7">
        <v>0</v>
      </c>
      <c r="K15" s="98" t="str">
        <f t="shared" si="0"/>
        <v>4053/4054</v>
      </c>
      <c r="L15" s="21" t="str">
        <f>VLOOKUP(A15,'Trips&amp;Operators'!$C$1:$G$99999,5,FALSE)</f>
        <v>MAELZER KURT</v>
      </c>
      <c r="M15" s="6">
        <f t="shared" si="1"/>
        <v>2.5266203701903578E-2</v>
      </c>
      <c r="N15" s="7">
        <f t="shared" si="2"/>
        <v>36.383333330741152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5"/>
        <v>https://d0f6bd738d7f1b3e5a7ca70fe4ff75f0.us-east-1.aws.found.io/app/kibana#/discover/Steve-Slow-Train-Analysis-(2080s-and-2083s)?_g=(refreshInterval:(display:Off,pause:!f,section:0,value:0),time:(from:'2017-03-19T02:33:18-0600',mode:absolute,to:'2017-03-19T05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" s="187" t="str">
        <f t="shared" si="6"/>
        <v>N</v>
      </c>
      <c r="X15" s="187">
        <f t="shared" si="7"/>
        <v>1</v>
      </c>
      <c r="Y15" s="62">
        <f t="shared" si="8"/>
        <v>7.5700000000000003E-2</v>
      </c>
      <c r="Z15" s="62">
        <f t="shared" si="9"/>
        <v>23.334399999999999</v>
      </c>
      <c r="AA15" s="62">
        <f t="shared" si="10"/>
        <v>23.258699999999997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0103-19</v>
      </c>
      <c r="AE15" s="85" t="str">
        <f t="shared" si="12"/>
        <v>aws s3 cp s3://rtdc.mdm.uploadarchive.raw/RTDC4053/ "%USERPROFILE%\AppData\Local\Temp\OnboardLogs"\RTDC4053\2017-03-19 --exclude "*" --recursive --include "*20170319*" &amp; "%USERPROFILE%\Documents\GitHub\mrs-test-scripts\Headless Mode &amp; Sideloading\WalkAndUnGZ.bat" "%USERPROFILE%\AppData\Local\Temp\OnboardLogs"\RTDC4053\2017-03-19 &amp; aws s3 cp s3://rtdc.mdm.uploadarchive.raw/RTDC4053/ "%USERPROFILE%\AppData\Local\Temp\OnboardLogs"\RTDC4053\2017-03-20 --exclude "*" --recursive --include "*20170320*" &amp; "%USERPROFILE%\Documents\GitHub\mrs-test-scripts\Headless Mode &amp; Sideloading\WalkAndUnGZ.bat" "%USERPROFILE%\AppData\Local\Temp\OnboardLogs"\RTDC4053\2017-03-20</v>
      </c>
      <c r="AF15" s="82" t="str">
        <f t="shared" si="13"/>
        <v>"C:\Program Files (x86)\AstroGrep\AstroGrep.exe" /e /r /s /spath="%USERPROFILE%\AppData\Local\Temp\OnboardLogs" /stypes="app*4053*20170319*"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8"/>
        <v>"%USERPROFILE%\Documents\GitHub\eaglep3\Utilities\RefineRTDCRunTimes.py" --tripid 103-19 --locoid 4053 --swversion DE.1.0.9.0 --startMP 204:757 --initTime 2017-03-19T03:33:18 --startdatetime 2017-03-19T03:45:24 --delay 1 --endMP 204:233344 --enddatetime 2017-03-19T04:21:47 --enforcementcount 0 &gt;&gt;%USERPROFILE%\Documents\GitHub\eaglep3-reporting\EC\2017-03-19-refined-times.txt</v>
      </c>
      <c r="AI15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{"issue":{"subject":"","project_id":79,"tracker_id":40,"status_id":1,"priority_id":2,"assigned_to_id":23,"start_date":"2017-03-19","description":"","custom_fields":[{"id":1,"name":"Subdivision","value":"EC"},{"id":4,"name":"Milepost","value":"23.3344"},{"id":17,"name":"Train ID","value":"103-19"},{"id":16,"name":"Locomotive ID","value":"4053"},{"id":130,"name":"Impact","value":""},{"id":150,"name":"Time of Event (Mountain Time)","value":"04:21:47"},{"id":151,"name":"Denver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4053 --day 2017-03-19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"%USERPROFILE%\AppData\Local\Temp\OnboardLogs"\RTDC4053\*4053*20170319* | grep -SE "(Enforcement Action)|(\[TIMEOUT)|(CHR.+\|PRM\|1\|D.+(SWITCH|SIGNAL).+UNKNOWN)" - &gt;&gt; 2017-03-19-UncaughtWiMAX.txt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573</v>
      </c>
      <c r="B16" s="7">
        <v>4004</v>
      </c>
      <c r="C16" s="21" t="s">
        <v>221</v>
      </c>
      <c r="D16" s="21" t="s">
        <v>802</v>
      </c>
      <c r="E16" s="13">
        <v>42813.1877662037</v>
      </c>
      <c r="F16" s="13">
        <v>42813.195428240739</v>
      </c>
      <c r="G16" s="7">
        <v>1</v>
      </c>
      <c r="H16" s="21" t="s">
        <v>551</v>
      </c>
      <c r="I16" s="13">
        <v>42813.223668981482</v>
      </c>
      <c r="J16" s="7">
        <v>0</v>
      </c>
      <c r="K16" s="98" t="str">
        <f t="shared" si="0"/>
        <v>4003/4004</v>
      </c>
      <c r="L16" s="21" t="str">
        <f>VLOOKUP(A16,'Trips&amp;Operators'!$C$1:$G$99999,5,FALSE)</f>
        <v>MAELZER KURT</v>
      </c>
      <c r="M16" s="6">
        <f t="shared" si="1"/>
        <v>2.8240740743058268E-2</v>
      </c>
      <c r="N16" s="7">
        <f t="shared" si="2"/>
        <v>40.666666670003906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5"/>
        <v>https://d0f6bd738d7f1b3e5a7ca70fe4ff75f0.us-east-1.aws.found.io/app/kibana#/discover/Steve-Slow-Train-Analysis-(2080s-and-2083s)?_g=(refreshInterval:(display:Off,pause:!f,section:0,value:0),time:(from:'2017-03-19T03:30:23-0600',mode:absolute,to:'2017-03-19T06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" s="187" t="str">
        <f t="shared" si="6"/>
        <v>N</v>
      </c>
      <c r="X16" s="187">
        <f t="shared" si="7"/>
        <v>1</v>
      </c>
      <c r="Y16" s="62">
        <f t="shared" si="8"/>
        <v>23.270700000000001</v>
      </c>
      <c r="Z16" s="62">
        <f t="shared" si="9"/>
        <v>1.3899999999999999E-2</v>
      </c>
      <c r="AA16" s="62">
        <f t="shared" si="10"/>
        <v>23.256800000000002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0104-19</v>
      </c>
      <c r="AE16" s="85" t="str">
        <f t="shared" si="12"/>
        <v>aws s3 cp s3://rtdc.mdm.uploadarchive.raw/RTDC4004/ "%USERPROFILE%\AppData\Local\Temp\OnboardLogs"\RTDC4004\2017-03-19 --exclude "*" --recursive --include "*20170319*" &amp; "%USERPROFILE%\Documents\GitHub\mrs-test-scripts\Headless Mode &amp; Sideloading\WalkAndUnGZ.bat" "%USERPROFILE%\AppData\Local\Temp\OnboardLogs"\RTDC4004\2017-03-19 &amp; 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</v>
      </c>
      <c r="AF16" s="82" t="str">
        <f t="shared" si="13"/>
        <v>"C:\Program Files (x86)\AstroGrep\AstroGrep.exe" /e /r /s /spath="%USERPROFILE%\AppData\Local\Temp\OnboardLogs" /stypes="app*4004*20170319*"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8"/>
        <v>"%USERPROFILE%\Documents\GitHub\eaglep3\Utilities\RefineRTDCRunTimes.py" --tripid 104-19 --locoid 4004 --swversion DE.1.0.9.0 --startMP 204:232707 --initTime 2017-03-19T04:30:23 --startdatetime 2017-03-19T04:41:25 --delay 1 --endMP 204:139 --enddatetime 2017-03-19T05:22:05 --enforcementcount 0 &gt;&gt;%USERPROFILE%\Documents\GitHub\eaglep3-reporting\EC\2017-03-19-refined-times.txt</v>
      </c>
      <c r="AI16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{"issue":{"subject":"","project_id":79,"tracker_id":40,"status_id":1,"priority_id":2,"assigned_to_id":23,"start_date":"2017-03-19","description":"","custom_fields":[{"id":1,"name":"Subdivision","value":"EC"},{"id":4,"name":"Milepost","value":"0.0139"},{"id":17,"name":"Train ID","value":"104-19"},{"id":16,"name":"Locomotive ID","value":"4004"},{"id":130,"name":"Impact","value":""},{"id":150,"name":"Time of Event (Mountain Time)","value":"05:22:05"},{"id":151,"name":"Denver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4004 --day 2017-03-19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"%USERPROFILE%\AppData\Local\Temp\OnboardLogs"\RTDC4004\*4004*20170319* | grep -SE "(Enforcement Action)|(\[TIMEOUT)|(CHR.+\|PRM\|1\|D.+(SWITCH|SIGNAL).+UNKNOWN)" - &gt;&gt; 2017-03-19-UncaughtWiMAX.txt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613</v>
      </c>
      <c r="B17" s="7">
        <v>4002</v>
      </c>
      <c r="C17" s="21" t="s">
        <v>221</v>
      </c>
      <c r="D17" s="21" t="s">
        <v>800</v>
      </c>
      <c r="E17" s="13">
        <v>42813.172222222223</v>
      </c>
      <c r="F17" s="13">
        <v>42813.177256944444</v>
      </c>
      <c r="G17" s="7">
        <v>1</v>
      </c>
      <c r="H17" s="21" t="s">
        <v>565</v>
      </c>
      <c r="I17" s="13">
        <v>42813.203819444447</v>
      </c>
      <c r="J17" s="7">
        <v>0</v>
      </c>
      <c r="K17" s="98" t="str">
        <f t="shared" si="0"/>
        <v>4001/4002</v>
      </c>
      <c r="L17" s="21" t="str">
        <f>VLOOKUP(A17,'Trips&amp;Operators'!$C$1:$G$99999,5,FALSE)</f>
        <v>BADERTSCHER DIANE</v>
      </c>
      <c r="M17" s="6">
        <f t="shared" si="1"/>
        <v>2.6562500002910383E-2</v>
      </c>
      <c r="N17" s="7">
        <f t="shared" si="2"/>
        <v>38.250000004190952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5"/>
        <v>https://d0f6bd738d7f1b3e5a7ca70fe4ff75f0.us-east-1.aws.found.io/app/kibana#/discover/Steve-Slow-Train-Analysis-(2080s-and-2083s)?_g=(refreshInterval:(display:Off,pause:!f,section:0,value:0),time:(from:'2017-03-19T03:08:00-0600',mode:absolute,to:'2017-03-19T05:53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" s="187" t="str">
        <f t="shared" si="6"/>
        <v>N</v>
      </c>
      <c r="X17" s="187">
        <f t="shared" si="7"/>
        <v>1</v>
      </c>
      <c r="Y17" s="62">
        <f t="shared" si="8"/>
        <v>7.5700000000000003E-2</v>
      </c>
      <c r="Z17" s="62">
        <f t="shared" si="9"/>
        <v>23.3291</v>
      </c>
      <c r="AA17" s="62">
        <f t="shared" si="10"/>
        <v>23.253399999999999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0105-19</v>
      </c>
      <c r="AE17" s="85" t="str">
        <f t="shared" si="12"/>
        <v>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 &amp; 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</v>
      </c>
      <c r="AF17" s="82" t="str">
        <f t="shared" si="13"/>
        <v>"C:\Program Files (x86)\AstroGrep\AstroGrep.exe" /e /r /s /spath="%USERPROFILE%\AppData\Local\Temp\OnboardLogs" /stypes="app*4002*20170319*"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8"/>
        <v>"%USERPROFILE%\Documents\GitHub\eaglep3\Utilities\RefineRTDCRunTimes.py" --tripid 105-19 --locoid 4002 --swversion DE.1.0.9.0 --startMP 204:757 --initTime 2017-03-19T04:08:00 --startdatetime 2017-03-19T04:15:15 --delay 1 --endMP 204:233291 --enddatetime 2017-03-19T04:53:30 --enforcementcount 0 &gt;&gt;%USERPROFILE%\Documents\GitHub\eaglep3-reporting\EC\2017-03-19-refined-times.txt</v>
      </c>
      <c r="AI17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{"issue":{"subject":"","project_id":79,"tracker_id":40,"status_id":1,"priority_id":2,"assigned_to_id":23,"start_date":"2017-03-19","description":"","custom_fields":[{"id":1,"name":"Subdivision","value":"EC"},{"id":4,"name":"Milepost","value":"23.3291"},{"id":17,"name":"Train ID","value":"105-19"},{"id":16,"name":"Locomotive ID","value":"4002"},{"id":130,"name":"Impact","value":""},{"id":150,"name":"Time of Event (Mountain Time)","value":"04:53:30"},{"id":151,"name":"Denver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4002 --day 2017-03-19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"%USERPROFILE%\AppData\Local\Temp\OnboardLogs"\RTDC4002\*4002*20170319* | grep -SE "(Enforcement Action)|(\[TIMEOUT)|(CHR.+\|PRM\|1\|D.+(SWITCH|SIGNAL).+UNKNOWN)" - &gt;&gt; 2017-03-19-UncaughtWiMAX.txt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619</v>
      </c>
      <c r="B18" s="7">
        <v>4017</v>
      </c>
      <c r="C18" s="21" t="s">
        <v>221</v>
      </c>
      <c r="D18" s="21" t="s">
        <v>803</v>
      </c>
      <c r="E18" s="13">
        <v>42813.210555555554</v>
      </c>
      <c r="F18" s="13">
        <v>42813.216168981482</v>
      </c>
      <c r="G18" s="7">
        <v>1</v>
      </c>
      <c r="H18" s="21" t="s">
        <v>804</v>
      </c>
      <c r="I18" s="13">
        <v>42813.244606481479</v>
      </c>
      <c r="J18" s="7">
        <v>0</v>
      </c>
      <c r="K18" s="98" t="str">
        <f t="shared" si="0"/>
        <v>4017/4018</v>
      </c>
      <c r="L18" s="21" t="str">
        <f>VLOOKUP(A18,'Trips&amp;Operators'!$C$1:$G$99999,5,FALSE)</f>
        <v>BADERTSCHER DIANE</v>
      </c>
      <c r="M18" s="6">
        <f t="shared" si="1"/>
        <v>2.8437499997380655E-2</v>
      </c>
      <c r="N18" s="7">
        <f t="shared" si="2"/>
        <v>40.949999996228144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5"/>
        <v>https://d0f6bd738d7f1b3e5a7ca70fe4ff75f0.us-east-1.aws.found.io/app/kibana#/discover/Steve-Slow-Train-Analysis-(2080s-and-2083s)?_g=(refreshInterval:(display:Off,pause:!f,section:0,value:0),time:(from:'2017-03-19T04:03:12-0600',mode:absolute,to:'2017-03-19T06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" s="187" t="str">
        <f t="shared" si="6"/>
        <v>N</v>
      </c>
      <c r="X18" s="187">
        <f t="shared" si="7"/>
        <v>1</v>
      </c>
      <c r="Y18" s="62">
        <f t="shared" si="8"/>
        <v>23.265799999999999</v>
      </c>
      <c r="Z18" s="62">
        <f t="shared" si="9"/>
        <v>1.21E-2</v>
      </c>
      <c r="AA18" s="62">
        <f t="shared" si="10"/>
        <v>23.253699999999998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0106-19</v>
      </c>
      <c r="AE18" s="85" t="str">
        <f t="shared" si="12"/>
        <v>aws s3 cp s3://rtdc.mdm.uploadarchive.raw/RTDC4017/ "%USERPROFILE%\AppData\Local\Temp\OnboardLogs"\RTDC4017\2017-03-19 --exclude "*" --recursive --include "*20170319*" &amp; "%USERPROFILE%\Documents\GitHub\mrs-test-scripts\Headless Mode &amp; Sideloading\WalkAndUnGZ.bat" "%USERPROFILE%\AppData\Local\Temp\OnboardLogs"\RTDC4017\2017-03-19 &amp; aws s3 cp s3://rtdc.mdm.uploadarchive.raw/RTDC4017/ "%USERPROFILE%\AppData\Local\Temp\OnboardLogs"\RTDC4017\2017-03-20 --exclude "*" --recursive --include "*20170320*" &amp; "%USERPROFILE%\Documents\GitHub\mrs-test-scripts\Headless Mode &amp; Sideloading\WalkAndUnGZ.bat" "%USERPROFILE%\AppData\Local\Temp\OnboardLogs"\RTDC4017\2017-03-20</v>
      </c>
      <c r="AF18" s="82" t="str">
        <f t="shared" si="13"/>
        <v>"C:\Program Files (x86)\AstroGrep\AstroGrep.exe" /e /r /s /spath="%USERPROFILE%\AppData\Local\Temp\OnboardLogs" /stypes="app*4017*20170319*"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8"/>
        <v>"%USERPROFILE%\Documents\GitHub\eaglep3\Utilities\RefineRTDCRunTimes.py" --tripid 106-19 --locoid 4017 --swversion DE.1.0.9.0 --startMP 204:232658 --initTime 2017-03-19T05:03:12 --startdatetime 2017-03-19T05:11:17 --delay 1 --endMP 204:121 --enddatetime 2017-03-19T05:52:14 --enforcementcount 0 &gt;&gt;%USERPROFILE%\Documents\GitHub\eaglep3-reporting\EC\2017-03-19-refined-times.txt</v>
      </c>
      <c r="AI18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{"issue":{"subject":"","project_id":79,"tracker_id":40,"status_id":1,"priority_id":2,"assigned_to_id":23,"start_date":"2017-03-19","description":"","custom_fields":[{"id":1,"name":"Subdivision","value":"EC"},{"id":4,"name":"Milepost","value":"0.0121"},{"id":17,"name":"Train ID","value":"106-19"},{"id":16,"name":"Locomotive ID","value":"4017"},{"id":130,"name":"Impact","value":""},{"id":150,"name":"Time of Event (Mountain Time)","value":"05:52:14"},{"id":151,"name":"Denver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4017 --day 2017-03-19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"%USERPROFILE%\AppData\Local\Temp\OnboardLogs"\RTDC4017\*4017*20170319* | grep -SE "(Enforcement Action)|(\[TIMEOUT)|(CHR.+\|PRM\|1\|D.+(SWITCH|SIGNAL).+UNKNOWN)" - &gt;&gt; 2017-03-19-UncaughtWiMAX.txt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571</v>
      </c>
      <c r="B19" s="7">
        <v>4016</v>
      </c>
      <c r="C19" s="21" t="s">
        <v>221</v>
      </c>
      <c r="D19" s="21" t="s">
        <v>452</v>
      </c>
      <c r="E19" s="13">
        <v>42813.183252314811</v>
      </c>
      <c r="F19" s="13">
        <v>42813.187708333331</v>
      </c>
      <c r="G19" s="7">
        <v>1</v>
      </c>
      <c r="H19" s="21" t="s">
        <v>547</v>
      </c>
      <c r="I19" s="13">
        <v>42813.21435185185</v>
      </c>
      <c r="J19" s="7">
        <v>0</v>
      </c>
      <c r="K19" s="98" t="str">
        <f t="shared" si="0"/>
        <v>4015/4016</v>
      </c>
      <c r="L19" s="21" t="str">
        <f>VLOOKUP(A19,'Trips&amp;Operators'!$C$1:$G$99999,5,FALSE)</f>
        <v>DAVIS WENDY</v>
      </c>
      <c r="M19" s="6">
        <f t="shared" si="1"/>
        <v>2.6643518518540077E-2</v>
      </c>
      <c r="N19" s="7">
        <f t="shared" si="2"/>
        <v>38.366666666697711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5"/>
        <v>https://d0f6bd738d7f1b3e5a7ca70fe4ff75f0.us-east-1.aws.found.io/app/kibana#/discover/Steve-Slow-Train-Analysis-(2080s-and-2083s)?_g=(refreshInterval:(display:Off,pause:!f,section:0,value:0),time:(from:'2017-03-19T03:23:53-0600',mode:absolute,to:'2017-03-19T06:08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" s="187" t="str">
        <f t="shared" si="6"/>
        <v>N</v>
      </c>
      <c r="X19" s="187">
        <f t="shared" si="7"/>
        <v>1</v>
      </c>
      <c r="Y19" s="62">
        <f t="shared" si="8"/>
        <v>4.7300000000000002E-2</v>
      </c>
      <c r="Z19" s="62">
        <f t="shared" si="9"/>
        <v>23.331499999999998</v>
      </c>
      <c r="AA19" s="62">
        <f t="shared" si="10"/>
        <v>23.284199999999998</v>
      </c>
      <c r="AB19" s="59" t="str">
        <f>VLOOKUP(A19,Enforcements!$C$7:$K$13,8,0)</f>
        <v>Bulletin (2)</v>
      </c>
      <c r="AC19" s="55" t="str">
        <f>VLOOKUP(A19,Enforcements!$C$7:$E$13,3,0)</f>
        <v>GRADE CROSSING</v>
      </c>
      <c r="AD19" s="56" t="str">
        <f t="shared" si="11"/>
        <v>0107-19</v>
      </c>
      <c r="AE19" s="85" t="str">
        <f t="shared" si="12"/>
        <v>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 &amp; 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</v>
      </c>
      <c r="AF19" s="82" t="str">
        <f t="shared" si="13"/>
        <v>"C:\Program Files (x86)\AstroGrep\AstroGrep.exe" /e /r /s /spath="%USERPROFILE%\AppData\Local\Temp\OnboardLogs" /stypes="app*4016*20170319*"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8"/>
        <v>"%USERPROFILE%\Documents\GitHub\eaglep3\Utilities\RefineRTDCRunTimes.py" --tripid 107-19 --locoid 4016 --swversion DE.1.0.9.0 --startMP 204:473 --initTime 2017-03-19T04:23:53 --startdatetime 2017-03-19T04:30:18 --delay 1 --endMP 204:233315 --enddatetime 2017-03-19T05:08:40 --enforcementcount 0 &gt;&gt;%USERPROFILE%\Documents\GitHub\eaglep3-reporting\EC\2017-03-19-refined-times.txt</v>
      </c>
      <c r="AI19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{"issue":{"subject":"","project_id":79,"tracker_id":40,"status_id":1,"priority_id":2,"assigned_to_id":23,"start_date":"2017-03-19","description":"","custom_fields":[{"id":1,"name":"Subdivision","value":"EC"},{"id":4,"name":"Milepost","value":"23.3315"},{"id":17,"name":"Train ID","value":"107-19"},{"id":16,"name":"Locomotive ID","value":"4016"},{"id":130,"name":"Impact","value":""},{"id":150,"name":"Time of Event (Mountain Time)","value":"05:08:40"},{"id":151,"name":"Denver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4016 --day 2017-03-19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"%USERPROFILE%\AppData\Local\Temp\OnboardLogs"\RTDC4016\*4016*20170319* | grep -SE "(Enforcement Action)|(\[TIMEOUT)|(CHR.+\|PRM\|1\|D.+(SWITCH|SIGNAL).+UNKNOWN)" - &gt;&gt; 2017-03-19-UncaughtWiMAX.txt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623</v>
      </c>
      <c r="B20" s="7">
        <v>4015</v>
      </c>
      <c r="C20" s="21" t="s">
        <v>221</v>
      </c>
      <c r="D20" s="21" t="s">
        <v>226</v>
      </c>
      <c r="E20" s="13">
        <v>42813.221400462964</v>
      </c>
      <c r="F20" s="13">
        <v>42813.226759259262</v>
      </c>
      <c r="G20" s="7">
        <v>1</v>
      </c>
      <c r="H20" s="21" t="s">
        <v>475</v>
      </c>
      <c r="I20" s="13">
        <v>42813.256226851852</v>
      </c>
      <c r="J20" s="7">
        <v>0</v>
      </c>
      <c r="K20" s="98" t="str">
        <f t="shared" si="0"/>
        <v>4015/4016</v>
      </c>
      <c r="L20" s="21" t="str">
        <f>VLOOKUP(A20,'Trips&amp;Operators'!$C$1:$G$99999,5,FALSE)</f>
        <v>DAVIS WENDY</v>
      </c>
      <c r="M20" s="6">
        <f t="shared" si="1"/>
        <v>2.9467592590663116E-2</v>
      </c>
      <c r="N20" s="7">
        <f t="shared" si="2"/>
        <v>42.433333330554888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5"/>
        <v>https://d0f6bd738d7f1b3e5a7ca70fe4ff75f0.us-east-1.aws.found.io/app/kibana#/discover/Steve-Slow-Train-Analysis-(2080s-and-2083s)?_g=(refreshInterval:(display:Off,pause:!f,section:0,value:0),time:(from:'2017-03-19T04:18:49-0600',mode:absolute,to:'2017-03-19T07:08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" s="187" t="str">
        <f t="shared" si="6"/>
        <v>N</v>
      </c>
      <c r="X20" s="187">
        <f t="shared" si="7"/>
        <v>1</v>
      </c>
      <c r="Y20" s="62">
        <f t="shared" si="8"/>
        <v>23.3</v>
      </c>
      <c r="Z20" s="62">
        <f t="shared" si="9"/>
        <v>1.7000000000000001E-2</v>
      </c>
      <c r="AA20" s="62">
        <f t="shared" si="10"/>
        <v>23.283000000000001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0108-19</v>
      </c>
      <c r="AE20" s="85" t="str">
        <f t="shared" si="12"/>
        <v>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 &amp; 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</v>
      </c>
      <c r="AF20" s="82" t="str">
        <f t="shared" si="13"/>
        <v>"C:\Program Files (x86)\AstroGrep\AstroGrep.exe" /e /r /s /spath="%USERPROFILE%\AppData\Local\Temp\OnboardLogs" /stypes="app*4015*20170319*"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8"/>
        <v>"%USERPROFILE%\Documents\GitHub\eaglep3\Utilities\RefineRTDCRunTimes.py" --tripid 108-19 --locoid 4015 --swversion DE.1.0.9.0 --startMP 204:233000 --initTime 2017-03-19T05:18:49 --startdatetime 2017-03-19T05:26:32 --delay 1 --endMP 204:170 --enddatetime 2017-03-19T06:08:58 --enforcementcount 0 &gt;&gt;%USERPROFILE%\Documents\GitHub\eaglep3-reporting\EC\2017-03-19-refined-times.txt</v>
      </c>
      <c r="AI20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{"issue":{"subject":"","project_id":79,"tracker_id":40,"status_id":1,"priority_id":2,"assigned_to_id":23,"start_date":"2017-03-19","description":"","custom_fields":[{"id":1,"name":"Subdivision","value":"EC"},{"id":4,"name":"Milepost","value":"0.017"},{"id":17,"name":"Train ID","value":"108-19"},{"id":16,"name":"Locomotive ID","value":"4015"},{"id":130,"name":"Impact","value":""},{"id":150,"name":"Time of Event (Mountain Time)","value":"06:08:58"},{"id":151,"name":"Denver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4015 --day 2017-03-19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"%USERPROFILE%\AppData\Local\Temp\OnboardLogs"\RTDC4015\*4015*20170319* | grep -SE "(Enforcement Action)|(\[TIMEOUT)|(CHR.+\|PRM\|1\|D.+(SWITCH|SIGNAL).+UNKNOWN)" - &gt;&gt; 2017-03-19-UncaughtWiMAX.txt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617</v>
      </c>
      <c r="B21" s="7">
        <v>4025</v>
      </c>
      <c r="C21" s="21" t="s">
        <v>221</v>
      </c>
      <c r="D21" s="21" t="s">
        <v>805</v>
      </c>
      <c r="E21" s="13">
        <v>42813.190763888888</v>
      </c>
      <c r="F21" s="13">
        <v>42813.198078703703</v>
      </c>
      <c r="G21" s="7">
        <v>1</v>
      </c>
      <c r="H21" s="21" t="s">
        <v>565</v>
      </c>
      <c r="I21" s="13">
        <v>42813.223229166666</v>
      </c>
      <c r="J21" s="7">
        <v>0</v>
      </c>
      <c r="K21" s="98" t="str">
        <f t="shared" si="0"/>
        <v>4025/4026</v>
      </c>
      <c r="L21" s="21" t="str">
        <f>VLOOKUP(A21,'Trips&amp;Operators'!$C$1:$G$99999,5,FALSE)</f>
        <v>ROBINSON KADDIBA</v>
      </c>
      <c r="M21" s="6">
        <f t="shared" si="1"/>
        <v>2.5150462963210884E-2</v>
      </c>
      <c r="N21" s="7">
        <f t="shared" si="2"/>
        <v>36.216666667023674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5"/>
        <v>https://d0f6bd738d7f1b3e5a7ca70fe4ff75f0.us-east-1.aws.found.io/app/kibana#/discover/Steve-Slow-Train-Analysis-(2080s-and-2083s)?_g=(refreshInterval:(display:Off,pause:!f,section:0,value:0),time:(from:'2017-03-19T03:34:42-0600',mode:absolute,to:'2017-03-19T06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" s="187" t="str">
        <f t="shared" si="6"/>
        <v>N</v>
      </c>
      <c r="X21" s="187">
        <f t="shared" si="7"/>
        <v>1</v>
      </c>
      <c r="Y21" s="62">
        <f t="shared" si="8"/>
        <v>4.9500000000000002E-2</v>
      </c>
      <c r="Z21" s="62">
        <f t="shared" si="9"/>
        <v>23.3291</v>
      </c>
      <c r="AA21" s="62">
        <f t="shared" si="10"/>
        <v>23.279600000000002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0109-19</v>
      </c>
      <c r="AE21" s="85" t="str">
        <f t="shared" si="12"/>
        <v>aws s3 cp s3://rtdc.mdm.uploadarchive.raw/RTDC4025/ "%USERPROFILE%\AppData\Local\Temp\OnboardLogs"\RTDC4025\2017-03-19 --exclude "*" --recursive --include "*20170319*" &amp; "%USERPROFILE%\Documents\GitHub\mrs-test-scripts\Headless Mode &amp; Sideloading\WalkAndUnGZ.bat" "%USERPROFILE%\AppData\Local\Temp\OnboardLogs"\RTDC4025\2017-03-19 &amp; 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</v>
      </c>
      <c r="AF21" s="82" t="str">
        <f t="shared" si="13"/>
        <v>"C:\Program Files (x86)\AstroGrep\AstroGrep.exe" /e /r /s /spath="%USERPROFILE%\AppData\Local\Temp\OnboardLogs" /stypes="app*4025*20170319*"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8"/>
        <v>"%USERPROFILE%\Documents\GitHub\eaglep3\Utilities\RefineRTDCRunTimes.py" --tripid 109-19 --locoid 4025 --swversion DE.1.0.9.0 --startMP 204:495 --initTime 2017-03-19T04:34:42 --startdatetime 2017-03-19T04:45:14 --delay 1 --endMP 204:233291 --enddatetime 2017-03-19T05:21:27 --enforcementcount 0 &gt;&gt;%USERPROFILE%\Documents\GitHub\eaglep3-reporting\EC\2017-03-19-refined-times.txt</v>
      </c>
      <c r="AI21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{"issue":{"subject":"","project_id":79,"tracker_id":40,"status_id":1,"priority_id":2,"assigned_to_id":23,"start_date":"2017-03-19","description":"","custom_fields":[{"id":1,"name":"Subdivision","value":"EC"},{"id":4,"name":"Milepost","value":"23.3291"},{"id":17,"name":"Train ID","value":"109-19"},{"id":16,"name":"Locomotive ID","value":"4025"},{"id":130,"name":"Impact","value":""},{"id":150,"name":"Time of Event (Mountain Time)","value":"05:21:27"},{"id":151,"name":"Denver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4025 --day 2017-03-19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"%USERPROFILE%\AppData\Local\Temp\OnboardLogs"\RTDC4025\*4025*20170319* | grep -SE "(Enforcement Action)|(\[TIMEOUT)|(CHR.+\|PRM\|1\|D.+(SWITCH|SIGNAL).+UNKNOWN)" - &gt;&gt; 2017-03-19-UncaughtWiMAX.txt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627</v>
      </c>
      <c r="B22" s="7">
        <v>4026</v>
      </c>
      <c r="C22" s="21" t="s">
        <v>221</v>
      </c>
      <c r="D22" s="21" t="s">
        <v>553</v>
      </c>
      <c r="E22" s="13">
        <v>42813.231770833336</v>
      </c>
      <c r="F22" s="13">
        <v>42813.236979166664</v>
      </c>
      <c r="G22" s="7">
        <v>0</v>
      </c>
      <c r="H22" s="21" t="s">
        <v>183</v>
      </c>
      <c r="I22" s="13">
        <v>42813.264444444445</v>
      </c>
      <c r="J22" s="7">
        <v>0</v>
      </c>
      <c r="K22" s="98" t="str">
        <f t="shared" si="0"/>
        <v>4025/4026</v>
      </c>
      <c r="L22" s="21" t="str">
        <f>VLOOKUP(A22,'Trips&amp;Operators'!$C$1:$G$99999,5,FALSE)</f>
        <v>ROBINSON KADDIBA</v>
      </c>
      <c r="M22" s="6">
        <f t="shared" si="1"/>
        <v>2.7465277780720498E-2</v>
      </c>
      <c r="N22" s="7">
        <f t="shared" si="2"/>
        <v>39.550000004237518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5"/>
        <v>https://d0f6bd738d7f1b3e5a7ca70fe4ff75f0.us-east-1.aws.found.io/app/kibana#/discover/Steve-Slow-Train-Analysis-(2080s-and-2083s)?_g=(refreshInterval:(display:Off,pause:!f,section:0,value:0),time:(from:'2017-03-19T04:33:45-0600',mode:absolute,to:'2017-03-19T07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" s="187" t="str">
        <f t="shared" si="6"/>
        <v>N</v>
      </c>
      <c r="X22" s="187">
        <f t="shared" si="7"/>
        <v>1</v>
      </c>
      <c r="Y22" s="62">
        <f t="shared" si="8"/>
        <v>23.2973</v>
      </c>
      <c r="Z22" s="62">
        <f t="shared" si="9"/>
        <v>1.49E-2</v>
      </c>
      <c r="AA22" s="62">
        <f t="shared" si="10"/>
        <v>23.282399999999999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0110-19</v>
      </c>
      <c r="AE22" s="85" t="str">
        <f t="shared" si="12"/>
        <v>aws s3 cp s3://rtdc.mdm.uploadarchive.raw/RTDC4026/ "%USERPROFILE%\AppData\Local\Temp\OnboardLogs"\RTDC4026\2017-03-19 --exclude "*" --recursive --include "*20170319*" &amp; "%USERPROFILE%\Documents\GitHub\mrs-test-scripts\Headless Mode &amp; Sideloading\WalkAndUnGZ.bat" "%USERPROFILE%\AppData\Local\Temp\OnboardLogs"\RTDC4026\2017-03-19 &amp; 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</v>
      </c>
      <c r="AF22" s="82" t="str">
        <f t="shared" si="13"/>
        <v>"C:\Program Files (x86)\AstroGrep\AstroGrep.exe" /e /r /s /spath="%USERPROFILE%\AppData\Local\Temp\OnboardLogs" /stypes="app*4026*20170319*"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8"/>
        <v>"%USERPROFILE%\Documents\GitHub\eaglep3\Utilities\RefineRTDCRunTimes.py" --tripid 110-19 --locoid 4026 --swversion DE.1.0.9.0 --startMP 204:232973 --initTime 2017-03-19T05:33:45 --startdatetime 2017-03-19T05:41:15 --delay 0 --endMP 204:149 --enddatetime 2017-03-19T06:20:48 --enforcementcount 0 &gt;&gt;%USERPROFILE%\Documents\GitHub\eaglep3-reporting\EC\2017-03-19-refined-times.txt</v>
      </c>
      <c r="AI22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{"issue":{"subject":"","project_id":79,"tracker_id":40,"status_id":1,"priority_id":2,"assigned_to_id":23,"start_date":"2017-03-19","description":"","custom_fields":[{"id":1,"name":"Subdivision","value":"EC"},{"id":4,"name":"Milepost","value":"0.0149"},{"id":17,"name":"Train ID","value":"110-19"},{"id":16,"name":"Locomotive ID","value":"4026"},{"id":130,"name":"Impact","value":""},{"id":150,"name":"Time of Event (Mountain Time)","value":"06:20:48"},{"id":151,"name":"Denver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4026 --day 2017-03-19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"%USERPROFILE%\AppData\Local\Temp\OnboardLogs"\RTDC4026\*4026*20170319* | grep -SE "(Enforcement Action)|(\[TIMEOUT)|(CHR.+\|PRM\|1\|D.+(SWITCH|SIGNAL).+UNKNOWN)" - &gt;&gt; 2017-03-19-UncaughtWiMAX.txt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618</v>
      </c>
      <c r="B23" s="7">
        <v>4020</v>
      </c>
      <c r="C23" s="21" t="s">
        <v>221</v>
      </c>
      <c r="D23" s="21" t="s">
        <v>806</v>
      </c>
      <c r="E23" s="13">
        <v>42813.203969907408</v>
      </c>
      <c r="F23" s="13">
        <v>42813.208518518521</v>
      </c>
      <c r="G23" s="7">
        <v>1</v>
      </c>
      <c r="H23" s="21" t="s">
        <v>807</v>
      </c>
      <c r="I23" s="13">
        <v>42813.234513888892</v>
      </c>
      <c r="J23" s="7">
        <v>0</v>
      </c>
      <c r="K23" s="98" t="str">
        <f t="shared" si="0"/>
        <v>4019/4020</v>
      </c>
      <c r="L23" s="21" t="str">
        <f>VLOOKUP(A23,'Trips&amp;Operators'!$C$1:$G$99999,5,FALSE)</f>
        <v>DELGADO DIANAH</v>
      </c>
      <c r="M23" s="6">
        <f t="shared" si="1"/>
        <v>2.5995370371674653E-2</v>
      </c>
      <c r="N23" s="7">
        <f t="shared" si="2"/>
        <v>37.433333335211501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5"/>
        <v>https://d0f6bd738d7f1b3e5a7ca70fe4ff75f0.us-east-1.aws.found.io/app/kibana#/discover/Steve-Slow-Train-Analysis-(2080s-and-2083s)?_g=(refreshInterval:(display:Off,pause:!f,section:0,value:0),time:(from:'2017-03-19T03:53:43-0600',mode:absolute,to:'2017-03-19T06:37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" s="187" t="str">
        <f t="shared" si="6"/>
        <v>N</v>
      </c>
      <c r="X23" s="187">
        <f t="shared" si="7"/>
        <v>1</v>
      </c>
      <c r="Y23" s="62">
        <f t="shared" si="8"/>
        <v>7.2300000000000003E-2</v>
      </c>
      <c r="Z23" s="62">
        <f t="shared" si="9"/>
        <v>23.332699999999999</v>
      </c>
      <c r="AA23" s="62">
        <f t="shared" si="10"/>
        <v>23.260400000000001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0111-19</v>
      </c>
      <c r="AE23" s="85" t="str">
        <f t="shared" si="12"/>
        <v>aws s3 cp s3://rtdc.mdm.uploadarchive.raw/RTDC4020/ "%USERPROFILE%\AppData\Local\Temp\OnboardLogs"\RTDC4020\2017-03-19 --exclude "*" --recursive --include "*20170319*" &amp; "%USERPROFILE%\Documents\GitHub\mrs-test-scripts\Headless Mode &amp; Sideloading\WalkAndUnGZ.bat" "%USERPROFILE%\AppData\Local\Temp\OnboardLogs"\RTDC4020\2017-03-19 &amp; aws s3 cp s3://rtdc.mdm.uploadarchive.raw/RTDC4020/ "%USERPROFILE%\AppData\Local\Temp\OnboardLogs"\RTDC4020\2017-03-20 --exclude "*" --recursive --include "*20170320*" &amp; "%USERPROFILE%\Documents\GitHub\mrs-test-scripts\Headless Mode &amp; Sideloading\WalkAndUnGZ.bat" "%USERPROFILE%\AppData\Local\Temp\OnboardLogs"\RTDC4020\2017-03-20</v>
      </c>
      <c r="AF23" s="82" t="str">
        <f t="shared" si="13"/>
        <v>"C:\Program Files (x86)\AstroGrep\AstroGrep.exe" /e /r /s /spath="%USERPROFILE%\AppData\Local\Temp\OnboardLogs" /stypes="app*4020*20170319*"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8"/>
        <v>"%USERPROFILE%\Documents\GitHub\eaglep3\Utilities\RefineRTDCRunTimes.py" --tripid 111-19 --locoid 4020 --swversion DE.1.0.9.0 --startMP 204:723 --initTime 2017-03-19T04:53:43 --startdatetime 2017-03-19T05:00:16 --delay 1 --endMP 204:233327 --enddatetime 2017-03-19T05:37:42 --enforcementcount 0 &gt;&gt;%USERPROFILE%\Documents\GitHub\eaglep3-reporting\EC\2017-03-19-refined-times.txt</v>
      </c>
      <c r="AI23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{"issue":{"subject":"","project_id":79,"tracker_id":40,"status_id":1,"priority_id":2,"assigned_to_id":23,"start_date":"2017-03-19","description":"","custom_fields":[{"id":1,"name":"Subdivision","value":"EC"},{"id":4,"name":"Milepost","value":"23.3327"},{"id":17,"name":"Train ID","value":"111-19"},{"id":16,"name":"Locomotive ID","value":"4020"},{"id":130,"name":"Impact","value":""},{"id":150,"name":"Time of Event (Mountain Time)","value":"05:37:42"},{"id":151,"name":"Denver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4020 --day 2017-03-19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"%USERPROFILE%\AppData\Local\Temp\OnboardLogs"\RTDC4020\*4020*20170319* | grep -SE "(Enforcement Action)|(\[TIMEOUT)|(CHR.+\|PRM\|1\|D.+(SWITCH|SIGNAL).+UNKNOWN)" - &gt;&gt; 2017-03-19-UncaughtWiMAX.txt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628</v>
      </c>
      <c r="B24" s="7">
        <v>4019</v>
      </c>
      <c r="C24" s="21" t="s">
        <v>221</v>
      </c>
      <c r="D24" s="21" t="s">
        <v>554</v>
      </c>
      <c r="E24" s="13">
        <v>42813.242083333331</v>
      </c>
      <c r="F24" s="13">
        <v>42813.247384259259</v>
      </c>
      <c r="G24" s="7">
        <v>2</v>
      </c>
      <c r="H24" s="21" t="s">
        <v>204</v>
      </c>
      <c r="I24" s="13">
        <v>42813.273958333331</v>
      </c>
      <c r="J24" s="7">
        <v>0</v>
      </c>
      <c r="K24" s="98" t="str">
        <f t="shared" si="0"/>
        <v>4019/4020</v>
      </c>
      <c r="L24" s="21" t="str">
        <f>VLOOKUP(A24,'Trips&amp;Operators'!$C$1:$G$99999,5,FALSE)</f>
        <v>DELGADO DIANAH</v>
      </c>
      <c r="M24" s="6">
        <f t="shared" si="1"/>
        <v>2.6574074072414078E-2</v>
      </c>
      <c r="N24" s="7">
        <f t="shared" si="2"/>
        <v>38.266666664276272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5"/>
        <v>https://d0f6bd738d7f1b3e5a7ca70fe4ff75f0.us-east-1.aws.found.io/app/kibana#/discover/Steve-Slow-Train-Analysis-(2080s-and-2083s)?_g=(refreshInterval:(display:Off,pause:!f,section:0,value:0),time:(from:'2017-03-19T04:48:36-0600',mode:absolute,to:'2017-03-19T07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4" s="187" t="str">
        <f t="shared" si="6"/>
        <v>N</v>
      </c>
      <c r="X24" s="187">
        <f t="shared" si="7"/>
        <v>1</v>
      </c>
      <c r="Y24" s="62">
        <f t="shared" si="8"/>
        <v>23.302099999999999</v>
      </c>
      <c r="Z24" s="62">
        <f t="shared" si="9"/>
        <v>1.54E-2</v>
      </c>
      <c r="AA24" s="62">
        <f t="shared" si="10"/>
        <v>23.2867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0112-19</v>
      </c>
      <c r="AE24" s="85" t="str">
        <f t="shared" si="12"/>
        <v>aws s3 cp s3://rtdc.mdm.uploadarchive.raw/RTDC4019/ "%USERPROFILE%\AppData\Local\Temp\OnboardLogs"\RTDC4019\2017-03-19 --exclude "*" --recursive --include "*20170319*" &amp; "%USERPROFILE%\Documents\GitHub\mrs-test-scripts\Headless Mode &amp; Sideloading\WalkAndUnGZ.bat" "%USERPROFILE%\AppData\Local\Temp\OnboardLogs"\RTDC4019\2017-03-19 &amp; aws s3 cp s3://rtdc.mdm.uploadarchive.raw/RTDC4019/ "%USERPROFILE%\AppData\Local\Temp\OnboardLogs"\RTDC4019\2017-03-20 --exclude "*" --recursive --include "*20170320*" &amp; "%USERPROFILE%\Documents\GitHub\mrs-test-scripts\Headless Mode &amp; Sideloading\WalkAndUnGZ.bat" "%USERPROFILE%\AppData\Local\Temp\OnboardLogs"\RTDC4019\2017-03-20</v>
      </c>
      <c r="AF24" s="82" t="str">
        <f t="shared" si="13"/>
        <v>"C:\Program Files (x86)\AstroGrep\AstroGrep.exe" /e /r /s /spath="%USERPROFILE%\AppData\Local\Temp\OnboardLogs" /stypes="app*4019*20170319*"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8"/>
        <v>"%USERPROFILE%\Documents\GitHub\eaglep3\Utilities\RefineRTDCRunTimes.py" --tripid 112-19 --locoid 4019 --swversion DE.1.0.9.0 --startMP 204:233021 --initTime 2017-03-19T05:48:36 --startdatetime 2017-03-19T05:56:14 --delay 2 --endMP 204:154 --enddatetime 2017-03-19T06:34:30 --enforcementcount 0 &gt;&gt;%USERPROFILE%\Documents\GitHub\eaglep3-reporting\EC\2017-03-19-refined-times.txt</v>
      </c>
      <c r="AI24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{"issue":{"subject":"","project_id":79,"tracker_id":40,"status_id":1,"priority_id":2,"assigned_to_id":23,"start_date":"2017-03-19","description":"","custom_fields":[{"id":1,"name":"Subdivision","value":"EC"},{"id":4,"name":"Milepost","value":"0.0154"},{"id":17,"name":"Train ID","value":"112-19"},{"id":16,"name":"Locomotive ID","value":"4019"},{"id":130,"name":"Impact","value":""},{"id":150,"name":"Time of Event (Mountain Time)","value":"06:34:30"},{"id":151,"name":"Denver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4019 --day 2017-03-19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"%USERPROFILE%\AppData\Local\Temp\OnboardLogs"\RTDC4019\*4019*20170319* | grep -SE "(Enforcement Action)|(\[TIMEOUT)|(CHR.+\|PRM\|1\|D.+(SWITCH|SIGNAL).+UNKNOWN)" - &gt;&gt; 2017-03-19-UncaughtWiMAX.txt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575</v>
      </c>
      <c r="B25" s="7">
        <v>4040</v>
      </c>
      <c r="C25" s="21" t="s">
        <v>221</v>
      </c>
      <c r="D25" s="21" t="s">
        <v>448</v>
      </c>
      <c r="E25" s="13">
        <v>42813.204375000001</v>
      </c>
      <c r="F25" s="13">
        <v>42813.219236111108</v>
      </c>
      <c r="G25" s="7">
        <v>1</v>
      </c>
      <c r="H25" s="21" t="s">
        <v>808</v>
      </c>
      <c r="I25" s="13">
        <v>42813.243518518517</v>
      </c>
      <c r="J25" s="7">
        <v>0</v>
      </c>
      <c r="K25" s="98" t="str">
        <f t="shared" si="0"/>
        <v>4039/4040</v>
      </c>
      <c r="L25" s="21" t="str">
        <f>VLOOKUP(A25,'Trips&amp;Operators'!$C$1:$G$99999,5,FALSE)</f>
        <v>SANTIZO D. EDY</v>
      </c>
      <c r="M25" s="6">
        <f t="shared" si="1"/>
        <v>2.4282407408463769E-2</v>
      </c>
      <c r="N25" s="7">
        <f t="shared" si="2"/>
        <v>34.966666668187827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5"/>
        <v>https://d0f6bd738d7f1b3e5a7ca70fe4ff75f0.us-east-1.aws.found.io/app/kibana#/discover/Steve-Slow-Train-Analysis-(2080s-and-2083s)?_g=(refreshInterval:(display:Off,pause:!f,section:0,value:0),time:(from:'2017-03-19T03:54:18-0600',mode:absolute,to:'2017-03-19T06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5" s="187" t="str">
        <f t="shared" si="6"/>
        <v>N</v>
      </c>
      <c r="X25" s="187">
        <f t="shared" si="7"/>
        <v>1</v>
      </c>
      <c r="Y25" s="62">
        <f t="shared" si="8"/>
        <v>4.4600000000000001E-2</v>
      </c>
      <c r="Z25" s="62">
        <f t="shared" si="9"/>
        <v>23.332799999999999</v>
      </c>
      <c r="AA25" s="62">
        <f t="shared" si="10"/>
        <v>23.2882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0113-19</v>
      </c>
      <c r="AE25" s="85" t="str">
        <f t="shared" si="12"/>
        <v>aws s3 cp s3://rtdc.mdm.uploadarchive.raw/RTDC4040/ "%USERPROFILE%\AppData\Local\Temp\OnboardLogs"\RTDC4040\2017-03-19 --exclude "*" --recursive --include "*20170319*" &amp; "%USERPROFILE%\Documents\GitHub\mrs-test-scripts\Headless Mode &amp; Sideloading\WalkAndUnGZ.bat" "%USERPROFILE%\AppData\Local\Temp\OnboardLogs"\RTDC4040\2017-03-19 &amp; 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</v>
      </c>
      <c r="AF25" s="82" t="str">
        <f t="shared" si="13"/>
        <v>"C:\Program Files (x86)\AstroGrep\AstroGrep.exe" /e /r /s /spath="%USERPROFILE%\AppData\Local\Temp\OnboardLogs" /stypes="app*4040*20170319*"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8"/>
        <v>"%USERPROFILE%\Documents\GitHub\eaglep3\Utilities\RefineRTDCRunTimes.py" --tripid 113-19 --locoid 4040 --swversion DE.1.0.9.0 --startMP 204:446 --initTime 2017-03-19T04:54:18 --startdatetime 2017-03-19T05:15:42 --delay 1 --endMP 204:233328 --enddatetime 2017-03-19T05:50:40 --enforcementcount 0 &gt;&gt;%USERPROFILE%\Documents\GitHub\eaglep3-reporting\EC\2017-03-19-refined-times.txt</v>
      </c>
      <c r="AI25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{"issue":{"subject":"","project_id":79,"tracker_id":40,"status_id":1,"priority_id":2,"assigned_to_id":23,"start_date":"2017-03-19","description":"","custom_fields":[{"id":1,"name":"Subdivision","value":"EC"},{"id":4,"name":"Milepost","value":"23.3328"},{"id":17,"name":"Train ID","value":"113-19"},{"id":16,"name":"Locomotive ID","value":"4040"},{"id":130,"name":"Impact","value":""},{"id":150,"name":"Time of Event (Mountain Time)","value":"05:50:40"},{"id":151,"name":"Denver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4040 --day 2017-03-19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"%USERPROFILE%\AppData\Local\Temp\OnboardLogs"\RTDC4040\*4040*20170319* | grep -SE "(Enforcement Action)|(\[TIMEOUT)|(CHR.+\|PRM\|1\|D.+(SWITCH|SIGNAL).+UNKNOWN)" - &gt;&gt; 2017-03-19-UncaughtWiMAX.txt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629</v>
      </c>
      <c r="B26" s="7">
        <v>4039</v>
      </c>
      <c r="C26" s="21" t="s">
        <v>221</v>
      </c>
      <c r="D26" s="21" t="s">
        <v>809</v>
      </c>
      <c r="E26" s="13">
        <v>42813.24486111111</v>
      </c>
      <c r="F26" s="13">
        <v>42813.257777777777</v>
      </c>
      <c r="G26" s="7">
        <v>1</v>
      </c>
      <c r="H26" s="21" t="s">
        <v>810</v>
      </c>
      <c r="I26" s="13">
        <v>42813.284270833334</v>
      </c>
      <c r="J26" s="7">
        <v>0</v>
      </c>
      <c r="K26" s="98" t="str">
        <f t="shared" si="0"/>
        <v>4039/4040</v>
      </c>
      <c r="L26" s="21" t="str">
        <f>VLOOKUP(A26,'Trips&amp;Operators'!$C$1:$G$99999,5,FALSE)</f>
        <v>SANTIZO D. EDY</v>
      </c>
      <c r="M26" s="6">
        <f t="shared" si="1"/>
        <v>2.6493055556784384E-2</v>
      </c>
      <c r="N26" s="7">
        <f t="shared" si="2"/>
        <v>38.150000001769513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5"/>
        <v>https://d0f6bd738d7f1b3e5a7ca70fe4ff75f0.us-east-1.aws.found.io/app/kibana#/discover/Steve-Slow-Train-Analysis-(2080s-and-2083s)?_g=(refreshInterval:(display:Off,pause:!f,section:0,value:0),time:(from:'2017-03-19T04:52:36-0600',mode:absolute,to:'2017-03-19T07:49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6" s="187" t="str">
        <f t="shared" si="6"/>
        <v>N</v>
      </c>
      <c r="X26" s="187">
        <f t="shared" si="7"/>
        <v>1</v>
      </c>
      <c r="Y26" s="62">
        <f t="shared" si="8"/>
        <v>23.301100000000002</v>
      </c>
      <c r="Z26" s="62">
        <f t="shared" si="9"/>
        <v>1.61E-2</v>
      </c>
      <c r="AA26" s="62">
        <f t="shared" si="10"/>
        <v>23.285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0114-19</v>
      </c>
      <c r="AE26" s="85" t="str">
        <f t="shared" si="12"/>
        <v>aws s3 cp s3://rtdc.mdm.uploadarchive.raw/RTDC4039/ "%USERPROFILE%\AppData\Local\Temp\OnboardLogs"\RTDC4039\2017-03-19 --exclude "*" --recursive --include "*20170319*" &amp; "%USERPROFILE%\Documents\GitHub\mrs-test-scripts\Headless Mode &amp; Sideloading\WalkAndUnGZ.bat" "%USERPROFILE%\AppData\Local\Temp\OnboardLogs"\RTDC4039\2017-03-19 &amp; 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</v>
      </c>
      <c r="AF26" s="82" t="str">
        <f t="shared" si="13"/>
        <v>"C:\Program Files (x86)\AstroGrep\AstroGrep.exe" /e /r /s /spath="%USERPROFILE%\AppData\Local\Temp\OnboardLogs" /stypes="app*4039*20170319*"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8"/>
        <v>"%USERPROFILE%\Documents\GitHub\eaglep3\Utilities\RefineRTDCRunTimes.py" --tripid 114-19 --locoid 4039 --swversion DE.1.0.9.0 --startMP 204:233011 --initTime 2017-03-19T05:52:36 --startdatetime 2017-03-19T06:11:12 --delay 1 --endMP 204:161 --enddatetime 2017-03-19T06:49:21 --enforcementcount 0 &gt;&gt;%USERPROFILE%\Documents\GitHub\eaglep3-reporting\EC\2017-03-19-refined-times.txt</v>
      </c>
      <c r="AI26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{"issue":{"subject":"","project_id":79,"tracker_id":40,"status_id":1,"priority_id":2,"assigned_to_id":23,"start_date":"2017-03-19","description":"","custom_fields":[{"id":1,"name":"Subdivision","value":"EC"},{"id":4,"name":"Milepost","value":"0.0161"},{"id":17,"name":"Train ID","value":"114-19"},{"id":16,"name":"Locomotive ID","value":"4039"},{"id":130,"name":"Impact","value":""},{"id":150,"name":"Time of Event (Mountain Time)","value":"06:49:21"},{"id":151,"name":"Denver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4039 --day 2017-03-19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"%USERPROFILE%\AppData\Local\Temp\OnboardLogs"\RTDC4039\*4039*20170319* | grep -SE "(Enforcement Action)|(\[TIMEOUT)|(CHR.+\|PRM\|1\|D.+(SWITCH|SIGNAL).+UNKNOWN)" - &gt;&gt; 2017-03-19-UncaughtWiMAX.txt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624</v>
      </c>
      <c r="B27" s="7">
        <v>4053</v>
      </c>
      <c r="C27" s="21" t="s">
        <v>221</v>
      </c>
      <c r="D27" s="21" t="s">
        <v>811</v>
      </c>
      <c r="E27" s="13">
        <v>42813.226446759261</v>
      </c>
      <c r="F27" s="13">
        <v>42813.229351851849</v>
      </c>
      <c r="G27" s="7">
        <v>1</v>
      </c>
      <c r="H27" s="21" t="s">
        <v>812</v>
      </c>
      <c r="I27" s="13">
        <v>42813.256064814814</v>
      </c>
      <c r="J27" s="7">
        <v>0</v>
      </c>
      <c r="K27" s="98" t="str">
        <f t="shared" si="0"/>
        <v>4053/4054</v>
      </c>
      <c r="L27" s="21" t="str">
        <f>VLOOKUP(A27,'Trips&amp;Operators'!$C$1:$G$99999,5,FALSE)</f>
        <v>SHOOK JOHN</v>
      </c>
      <c r="M27" s="6">
        <f t="shared" si="1"/>
        <v>2.6712962964666076E-2</v>
      </c>
      <c r="N27" s="7">
        <f t="shared" si="2"/>
        <v>38.466666669119149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5"/>
        <v>https://d0f6bd738d7f1b3e5a7ca70fe4ff75f0.us-east-1.aws.found.io/app/kibana#/discover/Steve-Slow-Train-Analysis-(2080s-and-2083s)?_g=(refreshInterval:(display:Off,pause:!f,section:0,value:0),time:(from:'2017-03-19T04:26:05-0600',mode:absolute,to:'2017-03-19T07:08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7" s="187" t="str">
        <f t="shared" si="6"/>
        <v>N</v>
      </c>
      <c r="X27" s="187">
        <f t="shared" si="7"/>
        <v>1</v>
      </c>
      <c r="Y27" s="62">
        <f t="shared" si="8"/>
        <v>6.8400000000000002E-2</v>
      </c>
      <c r="Z27" s="62">
        <f t="shared" si="9"/>
        <v>23.333100000000002</v>
      </c>
      <c r="AA27" s="62">
        <f t="shared" si="10"/>
        <v>23.264700000000001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0115-19</v>
      </c>
      <c r="AE27" s="85" t="str">
        <f t="shared" si="12"/>
        <v>aws s3 cp s3://rtdc.mdm.uploadarchive.raw/RTDC4053/ "%USERPROFILE%\AppData\Local\Temp\OnboardLogs"\RTDC4053\2017-03-19 --exclude "*" --recursive --include "*20170319*" &amp; "%USERPROFILE%\Documents\GitHub\mrs-test-scripts\Headless Mode &amp; Sideloading\WalkAndUnGZ.bat" "%USERPROFILE%\AppData\Local\Temp\OnboardLogs"\RTDC4053\2017-03-19 &amp; aws s3 cp s3://rtdc.mdm.uploadarchive.raw/RTDC4053/ "%USERPROFILE%\AppData\Local\Temp\OnboardLogs"\RTDC4053\2017-03-20 --exclude "*" --recursive --include "*20170320*" &amp; "%USERPROFILE%\Documents\GitHub\mrs-test-scripts\Headless Mode &amp; Sideloading\WalkAndUnGZ.bat" "%USERPROFILE%\AppData\Local\Temp\OnboardLogs"\RTDC4053\2017-03-20</v>
      </c>
      <c r="AF27" s="82" t="str">
        <f t="shared" si="13"/>
        <v>"C:\Program Files (x86)\AstroGrep\AstroGrep.exe" /e /r /s /spath="%USERPROFILE%\AppData\Local\Temp\OnboardLogs" /stypes="app*4053*20170319*"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8"/>
        <v>"%USERPROFILE%\Documents\GitHub\eaglep3\Utilities\RefineRTDCRunTimes.py" --tripid 115-19 --locoid 4053 --swversion DE.1.0.9.0 --startMP 204:684 --initTime 2017-03-19T05:26:05 --startdatetime 2017-03-19T05:30:16 --delay 1 --endMP 204:233331 --enddatetime 2017-03-19T06:08:44 --enforcementcount 0 &gt;&gt;%USERPROFILE%\Documents\GitHub\eaglep3-reporting\EC\2017-03-19-refined-times.txt</v>
      </c>
      <c r="AI27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{"issue":{"subject":"","project_id":79,"tracker_id":40,"status_id":1,"priority_id":2,"assigned_to_id":23,"start_date":"2017-03-19","description":"","custom_fields":[{"id":1,"name":"Subdivision","value":"EC"},{"id":4,"name":"Milepost","value":"23.3331"},{"id":17,"name":"Train ID","value":"115-19"},{"id":16,"name":"Locomotive ID","value":"4053"},{"id":130,"name":"Impact","value":""},{"id":150,"name":"Time of Event (Mountain Time)","value":"06:08:44"},{"id":151,"name":"Denver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4053 --day 2017-03-19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"%USERPROFILE%\AppData\Local\Temp\OnboardLogs"\RTDC4053\*4053*20170319* | grep -SE "(Enforcement Action)|(\[TIMEOUT)|(CHR.+\|PRM\|1\|D.+(SWITCH|SIGNAL).+UNKNOWN)" - &gt;&gt; 2017-03-19-UncaughtWiMAX.txt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633</v>
      </c>
      <c r="B28" s="7">
        <v>4054</v>
      </c>
      <c r="C28" s="21" t="s">
        <v>221</v>
      </c>
      <c r="D28" s="21" t="s">
        <v>809</v>
      </c>
      <c r="E28" s="13">
        <v>42813.258425925924</v>
      </c>
      <c r="F28" s="13">
        <v>42813.268287037034</v>
      </c>
      <c r="G28" s="7">
        <v>1</v>
      </c>
      <c r="H28" s="21" t="s">
        <v>183</v>
      </c>
      <c r="I28" s="13">
        <v>42813.297164351854</v>
      </c>
      <c r="J28" s="7">
        <v>0</v>
      </c>
      <c r="K28" s="98" t="str">
        <f t="shared" si="0"/>
        <v>4053/4054</v>
      </c>
      <c r="L28" s="21" t="str">
        <f>VLOOKUP(A28,'Trips&amp;Operators'!$C$1:$G$99999,5,FALSE)</f>
        <v>SHOOK JOHN</v>
      </c>
      <c r="M28" s="6">
        <f t="shared" si="1"/>
        <v>2.8877314820419997E-2</v>
      </c>
      <c r="N28" s="7">
        <f t="shared" si="2"/>
        <v>41.583333341404796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5"/>
        <v>https://d0f6bd738d7f1b3e5a7ca70fe4ff75f0.us-east-1.aws.found.io/app/kibana#/discover/Steve-Slow-Train-Analysis-(2080s-and-2083s)?_g=(refreshInterval:(display:Off,pause:!f,section:0,value:0),time:(from:'2017-03-19T05:12:08-0600',mode:absolute,to:'2017-03-19T08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8" s="187" t="str">
        <f t="shared" si="6"/>
        <v>N</v>
      </c>
      <c r="X28" s="187">
        <f t="shared" si="7"/>
        <v>1</v>
      </c>
      <c r="Y28" s="62">
        <f t="shared" si="8"/>
        <v>23.301100000000002</v>
      </c>
      <c r="Z28" s="62">
        <f t="shared" si="9"/>
        <v>1.49E-2</v>
      </c>
      <c r="AA28" s="62">
        <f t="shared" si="10"/>
        <v>23.286200000000001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0116-19</v>
      </c>
      <c r="AE28" s="85" t="str">
        <f t="shared" si="12"/>
        <v>aws s3 cp s3://rtdc.mdm.uploadarchive.raw/RTDC4054/ "%USERPROFILE%\AppData\Local\Temp\OnboardLogs"\RTDC4054\2017-03-19 --exclude "*" --recursive --include "*20170319*" &amp; "%USERPROFILE%\Documents\GitHub\mrs-test-scripts\Headless Mode &amp; Sideloading\WalkAndUnGZ.bat" "%USERPROFILE%\AppData\Local\Temp\OnboardLogs"\RTDC4054\2017-03-19 &amp; aws s3 cp s3://rtdc.mdm.uploadarchive.raw/RTDC4054/ "%USERPROFILE%\AppData\Local\Temp\OnboardLogs"\RTDC4054\2017-03-20 --exclude "*" --recursive --include "*20170320*" &amp; "%USERPROFILE%\Documents\GitHub\mrs-test-scripts\Headless Mode &amp; Sideloading\WalkAndUnGZ.bat" "%USERPROFILE%\AppData\Local\Temp\OnboardLogs"\RTDC4054\2017-03-20</v>
      </c>
      <c r="AF28" s="82" t="str">
        <f t="shared" si="13"/>
        <v>"C:\Program Files (x86)\AstroGrep\AstroGrep.exe" /e /r /s /spath="%USERPROFILE%\AppData\Local\Temp\OnboardLogs" /stypes="app*4054*20170319*" /stext=" 13:.+((SYSTEM_STATE.+slice.+state.+changed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8"/>
        <v>"%USERPROFILE%\Documents\GitHub\eaglep3\Utilities\RefineRTDCRunTimes.py" --tripid 116-19 --locoid 4054 --swversion DE.1.0.9.0 --startMP 204:233011 --initTime 2017-03-19T06:12:08 --startdatetime 2017-03-19T06:26:20 --delay 1 --endMP 204:149 --enddatetime 2017-03-19T07:07:55 --enforcementcount 0 &gt;&gt;%USERPROFILE%\Documents\GitHub\eaglep3-reporting\EC\2017-03-19-refined-times.txt</v>
      </c>
      <c r="AI28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{"issue":{"subject":"","project_id":79,"tracker_id":40,"status_id":1,"priority_id":2,"assigned_to_id":23,"start_date":"2017-03-19","description":"","custom_fields":[{"id":1,"name":"Subdivision","value":"EC"},{"id":4,"name":"Milepost","value":"0.0149"},{"id":17,"name":"Train ID","value":"116-19"},{"id":16,"name":"Locomotive ID","value":"4054"},{"id":130,"name":"Impact","value":""},{"id":150,"name":"Time of Event (Mountain Time)","value":"07:07:55"},{"id":151,"name":"Denver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4054 --day 2017-03-19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"%USERPROFILE%\AppData\Local\Temp\OnboardLogs"\RTDC4054\*4054*20170319* | grep -SE "(Enforcement Action)|(\[TIMEOUT)|(CHR.+\|PRM\|1\|D.+(SWITCH|SIGNAL).+UNKNOWN)" - &gt;&gt; 2017-03-19-UncaughtWiMAX.txt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626</v>
      </c>
      <c r="B29" s="7">
        <v>4003</v>
      </c>
      <c r="C29" s="21" t="s">
        <v>221</v>
      </c>
      <c r="D29" s="21" t="s">
        <v>448</v>
      </c>
      <c r="E29" s="13">
        <v>42813.228900462964</v>
      </c>
      <c r="F29" s="13">
        <v>42813.239849537036</v>
      </c>
      <c r="G29" s="7">
        <v>1</v>
      </c>
      <c r="H29" s="21" t="s">
        <v>542</v>
      </c>
      <c r="I29" s="13">
        <v>42813.264918981484</v>
      </c>
      <c r="J29" s="7">
        <v>0</v>
      </c>
      <c r="K29" s="98" t="str">
        <f t="shared" si="0"/>
        <v>4003/4004</v>
      </c>
      <c r="L29" s="21" t="str">
        <f>VLOOKUP(A29,'Trips&amp;Operators'!$C$1:$G$99999,5,FALSE)</f>
        <v>MAELZER KURT</v>
      </c>
      <c r="M29" s="6">
        <f t="shared" si="1"/>
        <v>2.5069444447581191E-2</v>
      </c>
      <c r="N29" s="7">
        <f t="shared" si="2"/>
        <v>36.100000004516914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5"/>
        <v>https://d0f6bd738d7f1b3e5a7ca70fe4ff75f0.us-east-1.aws.found.io/app/kibana#/discover/Steve-Slow-Train-Analysis-(2080s-and-2083s)?_g=(refreshInterval:(display:Off,pause:!f,section:0,value:0),time:(from:'2017-03-19T04:29:37-0600',mode:absolute,to:'2017-03-19T07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9" s="187" t="str">
        <f t="shared" si="6"/>
        <v>N</v>
      </c>
      <c r="X29" s="187">
        <f t="shared" si="7"/>
        <v>1</v>
      </c>
      <c r="Y29" s="62">
        <f t="shared" si="8"/>
        <v>4.4600000000000001E-2</v>
      </c>
      <c r="Z29" s="62">
        <f t="shared" si="9"/>
        <v>23.332000000000001</v>
      </c>
      <c r="AA29" s="62">
        <f t="shared" si="10"/>
        <v>23.287400000000002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0117-19</v>
      </c>
      <c r="AE29" s="85" t="str">
        <f t="shared" si="12"/>
        <v>aws s3 cp s3://rtdc.mdm.uploadarchive.raw/RTDC4003/ "%USERPROFILE%\AppData\Local\Temp\OnboardLogs"\RTDC4003\2017-03-19 --exclude "*" --recursive --include "*20170319*" &amp; "%USERPROFILE%\Documents\GitHub\mrs-test-scripts\Headless Mode &amp; Sideloading\WalkAndUnGZ.bat" "%USERPROFILE%\AppData\Local\Temp\OnboardLogs"\RTDC4003\2017-03-19 &amp; 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</v>
      </c>
      <c r="AF29" s="82" t="str">
        <f t="shared" si="13"/>
        <v>"C:\Program Files (x86)\AstroGrep\AstroGrep.exe" /e /r /s /spath="%USERPROFILE%\AppData\Local\Temp\OnboardLogs" /stypes="app*4003*20170319*"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8"/>
        <v>"%USERPROFILE%\Documents\GitHub\eaglep3\Utilities\RefineRTDCRunTimes.py" --tripid 117-19 --locoid 4003 --swversion DE.1.0.9.0 --startMP 204:446 --initTime 2017-03-19T05:29:37 --startdatetime 2017-03-19T05:45:23 --delay 1 --endMP 204:233320 --enddatetime 2017-03-19T06:21:29 --enforcementcount 0 &gt;&gt;%USERPROFILE%\Documents\GitHub\eaglep3-reporting\EC\2017-03-19-refined-times.txt</v>
      </c>
      <c r="AI29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{"issue":{"subject":"","project_id":79,"tracker_id":40,"status_id":1,"priority_id":2,"assigned_to_id":23,"start_date":"2017-03-19","description":"","custom_fields":[{"id":1,"name":"Subdivision","value":"EC"},{"id":4,"name":"Milepost","value":"23.332"},{"id":17,"name":"Train ID","value":"117-19"},{"id":16,"name":"Locomotive ID","value":"4003"},{"id":130,"name":"Impact","value":""},{"id":150,"name":"Time of Event (Mountain Time)","value":"06:21:29"},{"id":151,"name":"Denver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4003 --day 2017-03-19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"%USERPROFILE%\AppData\Local\Temp\OnboardLogs"\RTDC4003\*4003*20170319* | grep -SE "(Enforcement Action)|(\[TIMEOUT)|(CHR.+\|PRM\|1\|D.+(SWITCH|SIGNAL).+UNKNOWN)" - &gt;&gt; 2017-03-19-UncaughtWiMAX.txt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635</v>
      </c>
      <c r="B30" s="7">
        <v>4004</v>
      </c>
      <c r="C30" s="21" t="s">
        <v>221</v>
      </c>
      <c r="D30" s="21" t="s">
        <v>476</v>
      </c>
      <c r="E30" s="13">
        <v>42813.273159722223</v>
      </c>
      <c r="F30" s="13">
        <v>42813.278726851851</v>
      </c>
      <c r="G30" s="7">
        <v>1</v>
      </c>
      <c r="H30" s="21" t="s">
        <v>216</v>
      </c>
      <c r="I30" s="13">
        <v>42813.30609953704</v>
      </c>
      <c r="J30" s="7">
        <v>0</v>
      </c>
      <c r="K30" s="98" t="str">
        <f t="shared" si="0"/>
        <v>4003/4004</v>
      </c>
      <c r="L30" s="21" t="str">
        <f>VLOOKUP(A30,'Trips&amp;Operators'!$C$1:$G$99999,5,FALSE)</f>
        <v>MAELZER KURT</v>
      </c>
      <c r="M30" s="6">
        <f t="shared" si="1"/>
        <v>2.7372685188311152E-2</v>
      </c>
      <c r="N30" s="7">
        <f t="shared" si="2"/>
        <v>39.416666671168059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5"/>
        <v>https://d0f6bd738d7f1b3e5a7ca70fe4ff75f0.us-east-1.aws.found.io/app/kibana#/discover/Steve-Slow-Train-Analysis-(2080s-and-2083s)?_g=(refreshInterval:(display:Off,pause:!f,section:0,value:0),time:(from:'2017-03-19T05:33:21-0600',mode:absolute,to:'2017-03-19T08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0" s="187" t="str">
        <f t="shared" si="6"/>
        <v>N</v>
      </c>
      <c r="X30" s="187">
        <f t="shared" si="7"/>
        <v>1</v>
      </c>
      <c r="Y30" s="62">
        <f t="shared" si="8"/>
        <v>23.3003</v>
      </c>
      <c r="Z30" s="62">
        <f t="shared" si="9"/>
        <v>1.47E-2</v>
      </c>
      <c r="AA30" s="62">
        <f t="shared" si="10"/>
        <v>23.285599999999999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0118-19</v>
      </c>
      <c r="AE30" s="85" t="str">
        <f t="shared" si="12"/>
        <v>aws s3 cp s3://rtdc.mdm.uploadarchive.raw/RTDC4004/ "%USERPROFILE%\AppData\Local\Temp\OnboardLogs"\RTDC4004\2017-03-19 --exclude "*" --recursive --include "*20170319*" &amp; "%USERPROFILE%\Documents\GitHub\mrs-test-scripts\Headless Mode &amp; Sideloading\WalkAndUnGZ.bat" "%USERPROFILE%\AppData\Local\Temp\OnboardLogs"\RTDC4004\2017-03-19 &amp; 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</v>
      </c>
      <c r="AF30" s="82" t="str">
        <f t="shared" si="13"/>
        <v>"C:\Program Files (x86)\AstroGrep\AstroGrep.exe" /e /r /s /spath="%USERPROFILE%\AppData\Local\Temp\OnboardLogs" /stypes="app*4004*20170319*" /stext=" 13:.+((SYSTEM_STATE.+slice.+state.+changed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8"/>
        <v>"%USERPROFILE%\Documents\GitHub\eaglep3\Utilities\RefineRTDCRunTimes.py" --tripid 118-19 --locoid 4004 --swversion DE.1.0.9.0 --startMP 204:233003 --initTime 2017-03-19T06:33:21 --startdatetime 2017-03-19T06:41:22 --delay 1 --endMP 204:147 --enddatetime 2017-03-19T07:20:47 --enforcementcount 0 &gt;&gt;%USERPROFILE%\Documents\GitHub\eaglep3-reporting\EC\2017-03-19-refined-times.txt</v>
      </c>
      <c r="AI30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{"issue":{"subject":"","project_id":79,"tracker_id":40,"status_id":1,"priority_id":2,"assigned_to_id":23,"start_date":"2017-03-19","description":"","custom_fields":[{"id":1,"name":"Subdivision","value":"EC"},{"id":4,"name":"Milepost","value":"0.0147"},{"id":17,"name":"Train ID","value":"118-19"},{"id":16,"name":"Locomotive ID","value":"4004"},{"id":130,"name":"Impact","value":""},{"id":150,"name":"Time of Event (Mountain Time)","value":"07:20:47"},{"id":151,"name":"Denver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4004 --day 2017-03-19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"%USERPROFILE%\AppData\Local\Temp\OnboardLogs"\RTDC4004\*4004*20170319* | grep -SE "(Enforcement Action)|(\[TIMEOUT)|(CHR.+\|PRM\|1\|D.+(SWITCH|SIGNAL).+UNKNOWN)" - &gt;&gt; 2017-03-19-UncaughtWiMAX.txt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631</v>
      </c>
      <c r="B31" s="7">
        <v>4002</v>
      </c>
      <c r="C31" s="21" t="s">
        <v>221</v>
      </c>
      <c r="D31" s="21" t="s">
        <v>478</v>
      </c>
      <c r="E31" s="13">
        <v>42813.249560185184</v>
      </c>
      <c r="F31" s="13">
        <v>42813.251099537039</v>
      </c>
      <c r="G31" s="7">
        <v>1</v>
      </c>
      <c r="H31" s="21" t="s">
        <v>227</v>
      </c>
      <c r="I31" s="13">
        <v>42813.277118055557</v>
      </c>
      <c r="J31" s="7">
        <v>0</v>
      </c>
      <c r="K31" s="98" t="str">
        <f t="shared" si="0"/>
        <v>4001/4002</v>
      </c>
      <c r="L31" s="21" t="str">
        <f>VLOOKUP(A31,'Trips&amp;Operators'!$C$1:$G$99999,5,FALSE)</f>
        <v>BADERTSCHER DIANE</v>
      </c>
      <c r="M31" s="6">
        <f t="shared" si="1"/>
        <v>2.6018518517958E-2</v>
      </c>
      <c r="N31" s="7">
        <f t="shared" si="2"/>
        <v>37.46666666585952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5"/>
        <v>https://d0f6bd738d7f1b3e5a7ca70fe4ff75f0.us-east-1.aws.found.io/app/kibana#/discover/Steve-Slow-Train-Analysis-(2080s-and-2083s)?_g=(refreshInterval:(display:Off,pause:!f,section:0,value:0),time:(from:'2017-03-19T04:59:22-0600',mode:absolute,to:'2017-03-19T07:39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1" s="187" t="str">
        <f t="shared" si="6"/>
        <v>N</v>
      </c>
      <c r="X31" s="187">
        <f t="shared" si="7"/>
        <v>1</v>
      </c>
      <c r="Y31" s="62">
        <f t="shared" si="8"/>
        <v>7.4099999999999999E-2</v>
      </c>
      <c r="Z31" s="62">
        <f t="shared" si="9"/>
        <v>23.329499999999999</v>
      </c>
      <c r="AA31" s="62">
        <f t="shared" si="10"/>
        <v>23.255399999999998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0119-19</v>
      </c>
      <c r="AE31" s="85" t="str">
        <f t="shared" si="12"/>
        <v>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 &amp; 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</v>
      </c>
      <c r="AF31" s="82" t="str">
        <f t="shared" si="13"/>
        <v>"C:\Program Files (x86)\AstroGrep\AstroGrep.exe" /e /r /s /spath="%USERPROFILE%\AppData\Local\Temp\OnboardLogs" /stypes="app*4002*20170319*" /stext=" 12:.+((SYSTEM_STATE.+slice.+state.+changed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8"/>
        <v>"%USERPROFILE%\Documents\GitHub\eaglep3\Utilities\RefineRTDCRunTimes.py" --tripid 119-19 --locoid 4002 --swversion DE.1.0.9.0 --startMP 204:741 --initTime 2017-03-19T05:59:22 --startdatetime 2017-03-19T06:01:35 --delay 1 --endMP 204:233295 --enddatetime 2017-03-19T06:39:03 --enforcementcount 0 &gt;&gt;%USERPROFILE%\Documents\GitHub\eaglep3-reporting\EC\2017-03-19-refined-times.txt</v>
      </c>
      <c r="AI31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{"issue":{"subject":"","project_id":79,"tracker_id":40,"status_id":1,"priority_id":2,"assigned_to_id":23,"start_date":"2017-03-19","description":"","custom_fields":[{"id":1,"name":"Subdivision","value":"EC"},{"id":4,"name":"Milepost","value":"23.3295"},{"id":17,"name":"Train ID","value":"119-19"},{"id":16,"name":"Locomotive ID","value":"4002"},{"id":130,"name":"Impact","value":""},{"id":150,"name":"Time of Event (Mountain Time)","value":"06:39:03"},{"id":151,"name":"Denver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4002 --day 2017-03-19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"%USERPROFILE%\AppData\Local\Temp\OnboardLogs"\RTDC4002\*4002*20170319* | grep -SE "(Enforcement Action)|(\[TIMEOUT)|(CHR.+\|PRM\|1\|D.+(SWITCH|SIGNAL).+UNKNOWN)" - &gt;&gt; 2017-03-19-UncaughtWiMAX.txt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638</v>
      </c>
      <c r="B32" s="7">
        <v>4001</v>
      </c>
      <c r="C32" s="21" t="s">
        <v>221</v>
      </c>
      <c r="D32" s="21" t="s">
        <v>813</v>
      </c>
      <c r="E32" s="13">
        <v>42813.280127314814</v>
      </c>
      <c r="F32" s="13">
        <v>42813.289189814815</v>
      </c>
      <c r="G32" s="7">
        <v>1</v>
      </c>
      <c r="H32" s="21" t="s">
        <v>814</v>
      </c>
      <c r="I32" s="13">
        <v>42813.316331018519</v>
      </c>
      <c r="J32" s="7">
        <v>0</v>
      </c>
      <c r="K32" s="98" t="str">
        <f t="shared" si="0"/>
        <v>4001/4002</v>
      </c>
      <c r="L32" s="21" t="str">
        <f>VLOOKUP(A32,'Trips&amp;Operators'!$C$1:$G$99999,5,FALSE)</f>
        <v>BADERTSCHER DIANE</v>
      </c>
      <c r="M32" s="6">
        <f t="shared" si="1"/>
        <v>2.7141203703649808E-2</v>
      </c>
      <c r="N32" s="7">
        <f t="shared" si="2"/>
        <v>39.083333333255723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5"/>
        <v>https://d0f6bd738d7f1b3e5a7ca70fe4ff75f0.us-east-1.aws.found.io/app/kibana#/discover/Steve-Slow-Train-Analysis-(2080s-and-2083s)?_g=(refreshInterval:(display:Off,pause:!f,section:0,value:0),time:(from:'2017-03-19T05:43:23-0600',mode:absolute,to:'2017-03-19T08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2" s="187" t="str">
        <f t="shared" si="6"/>
        <v>N</v>
      </c>
      <c r="X32" s="187">
        <f t="shared" si="7"/>
        <v>1</v>
      </c>
      <c r="Y32" s="62">
        <f t="shared" si="8"/>
        <v>23.297599999999999</v>
      </c>
      <c r="Z32" s="62">
        <f t="shared" si="9"/>
        <v>1.23E-2</v>
      </c>
      <c r="AA32" s="62">
        <f t="shared" si="10"/>
        <v>23.285299999999999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0120-19</v>
      </c>
      <c r="AE32" s="85" t="str">
        <f t="shared" si="12"/>
        <v>aws s3 cp s3://rtdc.mdm.uploadarchive.raw/RTDC4001/ "%USERPROFILE%\AppData\Local\Temp\OnboardLogs"\RTDC4001\2017-03-19 --exclude "*" --recursive --include "*20170319*" &amp; "%USERPROFILE%\Documents\GitHub\mrs-test-scripts\Headless Mode &amp; Sideloading\WalkAndUnGZ.bat" "%USERPROFILE%\AppData\Local\Temp\OnboardLogs"\RTDC4001\2017-03-19 &amp; aws s3 cp s3://rtdc.mdm.uploadarchive.raw/RTDC4001/ "%USERPROFILE%\AppData\Local\Temp\OnboardLogs"\RTDC4001\2017-03-20 --exclude "*" --recursive --include "*20170320*" &amp; "%USERPROFILE%\Documents\GitHub\mrs-test-scripts\Headless Mode &amp; Sideloading\WalkAndUnGZ.bat" "%USERPROFILE%\AppData\Local\Temp\OnboardLogs"\RTDC4001\2017-03-20</v>
      </c>
      <c r="AF32" s="82" t="str">
        <f t="shared" si="13"/>
        <v>"C:\Program Files (x86)\AstroGrep\AstroGrep.exe" /e /r /s /spath="%USERPROFILE%\AppData\Local\Temp\OnboardLogs" /stypes="app*4001*20170319*" /stext=" 13:.+((SYSTEM_STATE.+slice.+state.+changed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8"/>
        <v>"%USERPROFILE%\Documents\GitHub\eaglep3\Utilities\RefineRTDCRunTimes.py" --tripid 120-19 --locoid 4001 --swversion DE.1.0.9.0 --startMP 204:232976 --initTime 2017-03-19T06:43:23 --startdatetime 2017-03-19T06:56:26 --delay 1 --endMP 204:123 --enddatetime 2017-03-19T07:35:31 --enforcementcount 0 &gt;&gt;%USERPROFILE%\Documents\GitHub\eaglep3-reporting\EC\2017-03-19-refined-times.txt</v>
      </c>
      <c r="AI32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{"issue":{"subject":"","project_id":79,"tracker_id":40,"status_id":1,"priority_id":2,"assigned_to_id":23,"start_date":"2017-03-19","description":"","custom_fields":[{"id":1,"name":"Subdivision","value":"EC"},{"id":4,"name":"Milepost","value":"0.0123"},{"id":17,"name":"Train ID","value":"120-19"},{"id":16,"name":"Locomotive ID","value":"4001"},{"id":130,"name":"Impact","value":""},{"id":150,"name":"Time of Event (Mountain Time)","value":"07:35:31"},{"id":151,"name":"Denver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4001 --day 2017-03-19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"%USERPROFILE%\AppData\Local\Temp\OnboardLogs"\RTDC4001\*4001*20170319* | grep -SE "(Enforcement Action)|(\[TIMEOUT)|(CHR.+\|PRM\|1\|D.+(SWITCH|SIGNAL).+UNKNOWN)" - &gt;&gt; 2017-03-19-UncaughtWiMAX.txt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632</v>
      </c>
      <c r="B33" s="7">
        <v>4016</v>
      </c>
      <c r="C33" s="21" t="s">
        <v>221</v>
      </c>
      <c r="D33" s="21" t="s">
        <v>211</v>
      </c>
      <c r="E33" s="13">
        <v>42813.258553240739</v>
      </c>
      <c r="F33" s="13">
        <v>42813.260578703703</v>
      </c>
      <c r="G33" s="7">
        <v>1</v>
      </c>
      <c r="H33" s="21" t="s">
        <v>815</v>
      </c>
      <c r="I33" s="13">
        <v>42813.287060185183</v>
      </c>
      <c r="J33" s="7">
        <v>0</v>
      </c>
      <c r="K33" s="98" t="str">
        <f t="shared" si="0"/>
        <v>4015/4016</v>
      </c>
      <c r="L33" s="21" t="str">
        <f>VLOOKUP(A33,'Trips&amp;Operators'!$C$1:$G$99999,5,FALSE)</f>
        <v>DAVIS WENDY</v>
      </c>
      <c r="M33" s="6">
        <f t="shared" si="1"/>
        <v>2.6481481480004732E-2</v>
      </c>
      <c r="N33" s="7">
        <f t="shared" si="2"/>
        <v>38.133333331206813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5"/>
        <v>https://d0f6bd738d7f1b3e5a7ca70fe4ff75f0.us-east-1.aws.found.io/app/kibana#/discover/Steve-Slow-Train-Analysis-(2080s-and-2083s)?_g=(refreshInterval:(display:Off,pause:!f,section:0,value:0),time:(from:'2017-03-19T05:12:19-0600',mode:absolute,to:'2017-03-19T07:53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3" s="187" t="str">
        <f t="shared" si="6"/>
        <v>N</v>
      </c>
      <c r="X33" s="187">
        <f t="shared" si="7"/>
        <v>1</v>
      </c>
      <c r="Y33" s="62">
        <f t="shared" si="8"/>
        <v>4.53E-2</v>
      </c>
      <c r="Z33" s="62">
        <f t="shared" si="9"/>
        <v>23.327999999999999</v>
      </c>
      <c r="AA33" s="62">
        <f t="shared" si="10"/>
        <v>23.282699999999998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0121-19</v>
      </c>
      <c r="AE33" s="85" t="str">
        <f t="shared" si="12"/>
        <v>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 &amp; 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</v>
      </c>
      <c r="AF33" s="82" t="str">
        <f t="shared" si="13"/>
        <v>"C:\Program Files (x86)\AstroGrep\AstroGrep.exe" /e /r /s /spath="%USERPROFILE%\AppData\Local\Temp\OnboardLogs" /stypes="app*4016*20170319*" /stext=" 12:.+((SYSTEM_STATE.+slice.+state.+changed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8"/>
        <v>"%USERPROFILE%\Documents\GitHub\eaglep3\Utilities\RefineRTDCRunTimes.py" --tripid 121-19 --locoid 4016 --swversion DE.1.0.9.0 --startMP 204:453 --initTime 2017-03-19T06:12:19 --startdatetime 2017-03-19T06:15:14 --delay 1 --endMP 204:233280 --enddatetime 2017-03-19T06:53:22 --enforcementcount 0 &gt;&gt;%USERPROFILE%\Documents\GitHub\eaglep3-reporting\EC\2017-03-19-refined-times.txt</v>
      </c>
      <c r="AI33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{"issue":{"subject":"","project_id":79,"tracker_id":40,"status_id":1,"priority_id":2,"assigned_to_id":23,"start_date":"2017-03-19","description":"","custom_fields":[{"id":1,"name":"Subdivision","value":"EC"},{"id":4,"name":"Milepost","value":"23.328"},{"id":17,"name":"Train ID","value":"121-19"},{"id":16,"name":"Locomotive ID","value":"4016"},{"id":130,"name":"Impact","value":""},{"id":150,"name":"Time of Event (Mountain Time)","value":"06:53:22"},{"id":151,"name":"Denver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4016 --day 2017-03-19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"%USERPROFILE%\AppData\Local\Temp\OnboardLogs"\RTDC4016\*4016*20170319* | grep -SE "(Enforcement Action)|(\[TIMEOUT)|(CHR.+\|PRM\|1\|D.+(SWITCH|SIGNAL).+UNKNOWN)" - &gt;&gt; 2017-03-19-UncaughtWiMAX.txt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576</v>
      </c>
      <c r="B34" s="7">
        <v>4015</v>
      </c>
      <c r="C34" s="21" t="s">
        <v>221</v>
      </c>
      <c r="D34" s="21" t="s">
        <v>816</v>
      </c>
      <c r="E34" s="13">
        <v>42813.297037037039</v>
      </c>
      <c r="F34" s="13">
        <v>42813.319409722222</v>
      </c>
      <c r="G34" s="7">
        <v>1</v>
      </c>
      <c r="H34" s="21" t="s">
        <v>817</v>
      </c>
      <c r="I34" s="13">
        <v>42813.330567129633</v>
      </c>
      <c r="J34" s="7">
        <v>0</v>
      </c>
      <c r="K34" s="98" t="str">
        <f t="shared" si="0"/>
        <v>4015/4016</v>
      </c>
      <c r="L34" s="21" t="str">
        <f>VLOOKUP(A34,'Trips&amp;Operators'!$C$1:$G$99999,5,FALSE)</f>
        <v>DAVIS WENDY</v>
      </c>
      <c r="M34" s="6">
        <f t="shared" si="1"/>
        <v>1.1157407410792075E-2</v>
      </c>
      <c r="N34" s="7"/>
      <c r="O34" s="7"/>
      <c r="P34" s="7">
        <f>24*60*SUM($M34:$M34)</f>
        <v>16.066666671540588</v>
      </c>
      <c r="Q34" s="22"/>
      <c r="R34" s="22" t="s">
        <v>961</v>
      </c>
      <c r="S34" s="31">
        <f>SUM(U34:U35)/IF(AG34="EC",12,1)</f>
        <v>1</v>
      </c>
      <c r="T34" s="46" t="str">
        <f t="shared" si="4"/>
        <v>Southbound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3</v>
      </c>
      <c r="V34" s="186" t="str">
        <f t="shared" si="5"/>
        <v>https://d0f6bd738d7f1b3e5a7ca70fe4ff75f0.us-east-1.aws.found.io/app/kibana#/discover/Steve-Slow-Train-Analysis-(2080s-and-2083s)?_g=(refreshInterval:(display:Off,pause:!f,section:0,value:0),time:(from:'2017-03-19T06:07:44-0600',mode:absolute,to:'2017-03-19T08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4" s="187" t="str">
        <f t="shared" si="6"/>
        <v>Y</v>
      </c>
      <c r="X34" s="187">
        <f t="shared" si="7"/>
        <v>1</v>
      </c>
      <c r="Y34" s="62">
        <f t="shared" si="8"/>
        <v>23.2957</v>
      </c>
      <c r="Z34" s="62">
        <f t="shared" si="9"/>
        <v>6.7774000000000001</v>
      </c>
      <c r="AA34" s="62">
        <f t="shared" si="10"/>
        <v>16.5183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0122-19</v>
      </c>
      <c r="AE34" s="85" t="str">
        <f t="shared" si="12"/>
        <v>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 &amp; 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</v>
      </c>
      <c r="AF34" s="82" t="str">
        <f t="shared" si="13"/>
        <v>"C:\Program Files (x86)\AstroGrep\AstroGrep.exe" /e /r /s /spath="%USERPROFILE%\AppData\Local\Temp\OnboardLogs" /stypes="app*4015*20170319*" /stext=" 13:.+((SYSTEM_STATE.+slice.+state.+changed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8"/>
        <v>"%USERPROFILE%\Documents\GitHub\eaglep3\Utilities\RefineRTDCRunTimes.py" --tripid 122-19 --locoid 4015 --swversion DE.1.0.9.0 --startMP 204:232957 --initTime 2017-03-19T07:07:44 --startdatetime 2017-03-19T07:39:57 --delay 1 --endMP 204:67774 --enddatetime 2017-03-19T07:56:01 --enforcementcount 0 &gt;&gt;%USERPROFILE%\Documents\GitHub\eaglep3-reporting\EC\2017-03-19-refined-times.txt</v>
      </c>
      <c r="AI34" s="108" t="str">
        <f t="shared" si="19"/>
        <v>echo {"issue":{"subject":"Wi-MAX data drop","project_id":79,"tracker_id":40,"status_id":1,"priority_id":2,"assigned_to_id":23,"start_date":"2017-03-19","description":"","custom_fields":[{"id":1,"name":"Subdivision","value":"EC"},{"id":4,"name":"Milepost","value":"6.7774"},{"id":17,"name":"Train ID","value":"122-19"},{"id":16,"name":"Locomotive ID","value":"4015"},{"id":130,"name":"Impact","value":""},{"id":150,"name":"Time of Event (Mountain Time)","value":"07:56:01"},{"id":151,"name":"Denver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4015 --day 2017-03-19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"%USERPROFILE%\AppData\Local\Temp\OnboardLogs"\RTDC4015\*4015*20170319* | grep -SE "(Enforcement Action)|(\[TIMEOUT)|(CHR.+\|PRM\|1\|D.+(SWITCH|SIGNAL).+UNKNOWN)" - &gt;&gt; 2017-03-19-UncaughtWiMAX.txt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576</v>
      </c>
      <c r="B35" s="7">
        <v>4015</v>
      </c>
      <c r="C35" s="21" t="s">
        <v>221</v>
      </c>
      <c r="D35" s="21" t="s">
        <v>818</v>
      </c>
      <c r="E35" s="13">
        <v>42813.31858796296</v>
      </c>
      <c r="F35" s="13">
        <v>42813.319409722222</v>
      </c>
      <c r="G35" s="7">
        <v>1</v>
      </c>
      <c r="H35" s="21" t="s">
        <v>215</v>
      </c>
      <c r="I35" s="13">
        <v>42813.330567129633</v>
      </c>
      <c r="J35" s="7">
        <v>0</v>
      </c>
      <c r="K35" s="98" t="str">
        <f t="shared" si="0"/>
        <v>4015/4016</v>
      </c>
      <c r="L35" s="21" t="str">
        <f>VLOOKUP(A35,'Trips&amp;Operators'!$C$1:$G$99999,5,FALSE)</f>
        <v>DAVIS WENDY</v>
      </c>
      <c r="M35" s="6">
        <f t="shared" si="1"/>
        <v>1.1157407410792075E-2</v>
      </c>
      <c r="N35" s="7"/>
      <c r="O35" s="7"/>
      <c r="P35" s="7"/>
      <c r="Q35" s="22"/>
      <c r="R35" s="22"/>
      <c r="S35" s="31"/>
      <c r="T35" s="46" t="str">
        <f t="shared" si="4"/>
        <v>Southbound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9</v>
      </c>
      <c r="V35" s="186" t="str">
        <f t="shared" si="5"/>
        <v>https://d0f6bd738d7f1b3e5a7ca70fe4ff75f0.us-east-1.aws.found.io/app/kibana#/discover/Steve-Slow-Train-Analysis-(2080s-and-2083s)?_g=(refreshInterval:(display:Off,pause:!f,section:0,value:0),time:(from:'2017-03-19T06:38:46-0600',mode:absolute,to:'2017-03-19T08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5" s="187" t="str">
        <f t="shared" si="6"/>
        <v>Y</v>
      </c>
      <c r="X35" s="187">
        <f t="shared" si="7"/>
        <v>0</v>
      </c>
      <c r="Y35" s="62">
        <f t="shared" si="8"/>
        <v>6.4169</v>
      </c>
      <c r="Z35" s="62">
        <f t="shared" si="9"/>
        <v>1.5599999999999999E-2</v>
      </c>
      <c r="AA35" s="62">
        <f t="shared" si="10"/>
        <v>6.4013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0122-19</v>
      </c>
      <c r="AE35" s="85" t="str">
        <f t="shared" si="12"/>
        <v>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 &amp; 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</v>
      </c>
      <c r="AF35" s="82" t="str">
        <f t="shared" si="13"/>
        <v>"C:\Program Files (x86)\AstroGrep\AstroGrep.exe" /e /r /s /spath="%USERPROFILE%\AppData\Local\Temp\OnboardLogs" /stypes="app*4015*20170319*"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8"/>
        <v>"%USERPROFILE%\Documents\GitHub\eaglep3\Utilities\RefineRTDCRunTimes.py" --tripid 122-19 --locoid 4015 --swversion DE.1.0.9.0 --startMP 204:64169 --initTime 2017-03-19T07:38:46 --startdatetime 2017-03-19T07:39:57 --delay 1 --endMP 204:156 --enddatetime 2017-03-19T07:56:01 --enforcementcount 0 &gt;&gt;%USERPROFILE%\Documents\GitHub\eaglep3-reporting\EC\2017-03-19-refined-times.txt</v>
      </c>
      <c r="AI35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{"issue":{"subject":"","project_id":79,"tracker_id":40,"status_id":1,"priority_id":2,"assigned_to_id":23,"start_date":"2017-03-19","description":"","custom_fields":[{"id":1,"name":"Subdivision","value":"EC"},{"id":4,"name":"Milepost","value":"0.0156"},{"id":17,"name":"Train ID","value":"122-19"},{"id":16,"name":"Locomotive ID","value":"4015"},{"id":130,"name":"Impact","value":""},{"id":150,"name":"Time of Event (Mountain Time)","value":"07:56:01"},{"id":151,"name":"Denver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4015 --day 2017-03-19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"%USERPROFILE%\AppData\Local\Temp\OnboardLogs"\RTDC4015\*4015*20170319* | grep -SE "(Enforcement Action)|(\[TIMEOUT)|(CHR.+\|PRM\|1\|D.+(SWITCH|SIGNAL).+UNKNOWN)" - &gt;&gt; 2017-03-19-UncaughtWiMAX.txt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634</v>
      </c>
      <c r="B36" s="7">
        <v>4025</v>
      </c>
      <c r="C36" s="21" t="s">
        <v>221</v>
      </c>
      <c r="D36" s="21" t="s">
        <v>539</v>
      </c>
      <c r="E36" s="13">
        <v>42813.266238425924</v>
      </c>
      <c r="F36" s="13">
        <v>42813.270995370367</v>
      </c>
      <c r="G36" s="7">
        <v>1</v>
      </c>
      <c r="H36" s="21" t="s">
        <v>819</v>
      </c>
      <c r="I36" s="13">
        <v>42813.296203703707</v>
      </c>
      <c r="J36" s="7">
        <v>0</v>
      </c>
      <c r="K36" s="98" t="str">
        <f t="shared" si="0"/>
        <v>4025/4026</v>
      </c>
      <c r="L36" s="21" t="str">
        <f>VLOOKUP(A36,'Trips&amp;Operators'!$C$1:$G$99999,5,FALSE)</f>
        <v>ROBINSON KADDIBA</v>
      </c>
      <c r="M36" s="6">
        <f t="shared" si="1"/>
        <v>2.5208333339833189E-2</v>
      </c>
      <c r="N36" s="7">
        <f t="shared" ref="N36:N51" si="21">24*60*SUM($M36:$M36)</f>
        <v>36.300000009359792</v>
      </c>
      <c r="O36" s="7"/>
      <c r="P36" s="7"/>
      <c r="Q36" s="22"/>
      <c r="R36" s="22"/>
      <c r="S36" s="31">
        <f t="shared" ref="S36:S52" si="22">SUM(U36:U36)/IF(AG36="EC",12,1)</f>
        <v>1</v>
      </c>
      <c r="T36" s="46" t="str">
        <f t="shared" si="4"/>
        <v>NorthBound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5"/>
        <v>https://d0f6bd738d7f1b3e5a7ca70fe4ff75f0.us-east-1.aws.found.io/app/kibana#/discover/Steve-Slow-Train-Analysis-(2080s-and-2083s)?_g=(refreshInterval:(display:Off,pause:!f,section:0,value:0),time:(from:'2017-03-19T05:23:23-0600',mode:absolute,to:'2017-03-19T08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6" s="187" t="str">
        <f t="shared" si="6"/>
        <v>N</v>
      </c>
      <c r="X36" s="187">
        <f t="shared" si="7"/>
        <v>1</v>
      </c>
      <c r="Y36" s="62">
        <f t="shared" si="8"/>
        <v>4.4900000000000002E-2</v>
      </c>
      <c r="Z36" s="62">
        <f t="shared" si="9"/>
        <v>23.328900000000001</v>
      </c>
      <c r="AA36" s="62">
        <f t="shared" si="10"/>
        <v>23.284000000000002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0123-19</v>
      </c>
      <c r="AE36" s="85" t="str">
        <f t="shared" si="12"/>
        <v>aws s3 cp s3://rtdc.mdm.uploadarchive.raw/RTDC4025/ "%USERPROFILE%\AppData\Local\Temp\OnboardLogs"\RTDC4025\2017-03-19 --exclude "*" --recursive --include "*20170319*" &amp; "%USERPROFILE%\Documents\GitHub\mrs-test-scripts\Headless Mode &amp; Sideloading\WalkAndUnGZ.bat" "%USERPROFILE%\AppData\Local\Temp\OnboardLogs"\RTDC4025\2017-03-19 &amp; 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</v>
      </c>
      <c r="AF36" s="82" t="str">
        <f t="shared" si="13"/>
        <v>"C:\Program Files (x86)\AstroGrep\AstroGrep.exe" /e /r /s /spath="%USERPROFILE%\AppData\Local\Temp\OnboardLogs" /stypes="app*4025*20170319*" /stext=" 13:.+((SYSTEM_STATE.+slice.+state.+changed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8"/>
        <v>"%USERPROFILE%\Documents\GitHub\eaglep3\Utilities\RefineRTDCRunTimes.py" --tripid 123-19 --locoid 4025 --swversion DE.1.0.9.0 --startMP 204:449 --initTime 2017-03-19T06:23:23 --startdatetime 2017-03-19T06:30:14 --delay 1 --endMP 204:233289 --enddatetime 2017-03-19T07:06:32 --enforcementcount 0 &gt;&gt;%USERPROFILE%\Documents\GitHub\eaglep3-reporting\EC\2017-03-19-refined-times.txt</v>
      </c>
      <c r="AI36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{"issue":{"subject":"","project_id":79,"tracker_id":40,"status_id":1,"priority_id":2,"assigned_to_id":23,"start_date":"2017-03-19","description":"","custom_fields":[{"id":1,"name":"Subdivision","value":"EC"},{"id":4,"name":"Milepost","value":"23.3289"},{"id":17,"name":"Train ID","value":"123-19"},{"id":16,"name":"Locomotive ID","value":"4025"},{"id":130,"name":"Impact","value":""},{"id":150,"name":"Time of Event (Mountain Time)","value":"07:06:32"},{"id":151,"name":"Denver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4025 --day 2017-03-19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"%USERPROFILE%\AppData\Local\Temp\OnboardLogs"\RTDC4025\*4025*20170319* | grep -SE "(Enforcement Action)|(\[TIMEOUT)|(CHR.+\|PRM\|1\|D.+(SWITCH|SIGNAL).+UNKNOWN)" - &gt;&gt; 2017-03-19-UncaughtWiMAX.txt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644</v>
      </c>
      <c r="B37" s="7">
        <v>4026</v>
      </c>
      <c r="C37" s="21" t="s">
        <v>221</v>
      </c>
      <c r="D37" s="21" t="s">
        <v>820</v>
      </c>
      <c r="E37" s="13">
        <v>42813.304594907408</v>
      </c>
      <c r="F37" s="13">
        <v>42813.309884259259</v>
      </c>
      <c r="G37" s="7">
        <v>1</v>
      </c>
      <c r="H37" s="21" t="s">
        <v>434</v>
      </c>
      <c r="I37" s="13">
        <v>42813.336168981485</v>
      </c>
      <c r="J37" s="7">
        <v>0</v>
      </c>
      <c r="K37" s="98" t="str">
        <f t="shared" si="0"/>
        <v>4025/4026</v>
      </c>
      <c r="L37" s="21" t="str">
        <f>VLOOKUP(A37,'Trips&amp;Operators'!$C$1:$G$99999,5,FALSE)</f>
        <v>ROBINSON KADDIBA</v>
      </c>
      <c r="M37" s="6">
        <f t="shared" si="1"/>
        <v>2.6284722225682344E-2</v>
      </c>
      <c r="N37" s="7">
        <f t="shared" si="21"/>
        <v>37.850000004982576</v>
      </c>
      <c r="O37" s="7"/>
      <c r="P37" s="7"/>
      <c r="Q37" s="22"/>
      <c r="R37" s="22"/>
      <c r="S37" s="31">
        <f t="shared" si="22"/>
        <v>1</v>
      </c>
      <c r="T37" s="46" t="str">
        <f t="shared" si="4"/>
        <v>Southbound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5"/>
        <v>https://d0f6bd738d7f1b3e5a7ca70fe4ff75f0.us-east-1.aws.found.io/app/kibana#/discover/Steve-Slow-Train-Analysis-(2080s-and-2083s)?_g=(refreshInterval:(display:Off,pause:!f,section:0,value:0),time:(from:'2017-03-19T06:18:37-0600',mode:absolute,to:'2017-03-19T09:04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7" s="187" t="str">
        <f t="shared" si="6"/>
        <v>N</v>
      </c>
      <c r="X37" s="187">
        <f t="shared" si="7"/>
        <v>1</v>
      </c>
      <c r="Y37" s="62">
        <f t="shared" si="8"/>
        <v>23.297000000000001</v>
      </c>
      <c r="Z37" s="62">
        <f t="shared" si="9"/>
        <v>1.43E-2</v>
      </c>
      <c r="AA37" s="62">
        <f t="shared" si="10"/>
        <v>23.282700000000002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0124-19</v>
      </c>
      <c r="AE37" s="85" t="str">
        <f t="shared" si="12"/>
        <v>aws s3 cp s3://rtdc.mdm.uploadarchive.raw/RTDC4026/ "%USERPROFILE%\AppData\Local\Temp\OnboardLogs"\RTDC4026\2017-03-19 --exclude "*" --recursive --include "*20170319*" &amp; "%USERPROFILE%\Documents\GitHub\mrs-test-scripts\Headless Mode &amp; Sideloading\WalkAndUnGZ.bat" "%USERPROFILE%\AppData\Local\Temp\OnboardLogs"\RTDC4026\2017-03-19 &amp; 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</v>
      </c>
      <c r="AF37" s="82" t="str">
        <f t="shared" si="13"/>
        <v>"C:\Program Files (x86)\AstroGrep\AstroGrep.exe" /e /r /s /spath="%USERPROFILE%\AppData\Local\Temp\OnboardLogs" /stypes="app*4026*20170319*" /stext=" 14:.+((SYSTEM_STATE.+slice.+state.+changed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8"/>
        <v>"%USERPROFILE%\Documents\GitHub\eaglep3\Utilities\RefineRTDCRunTimes.py" --tripid 124-19 --locoid 4026 --swversion DE.1.0.9.0 --startMP 204:232970 --initTime 2017-03-19T07:18:37 --startdatetime 2017-03-19T07:26:14 --delay 1 --endMP 204:143 --enddatetime 2017-03-19T08:04:05 --enforcementcount 0 &gt;&gt;%USERPROFILE%\Documents\GitHub\eaglep3-reporting\EC\2017-03-19-refined-times.txt</v>
      </c>
      <c r="AI37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{"issue":{"subject":"","project_id":79,"tracker_id":40,"status_id":1,"priority_id":2,"assigned_to_id":23,"start_date":"2017-03-19","description":"","custom_fields":[{"id":1,"name":"Subdivision","value":"EC"},{"id":4,"name":"Milepost","value":"0.0143"},{"id":17,"name":"Train ID","value":"124-19"},{"id":16,"name":"Locomotive ID","value":"4026"},{"id":130,"name":"Impact","value":""},{"id":150,"name":"Time of Event (Mountain Time)","value":"08:04:05"},{"id":151,"name":"Denver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4026 --day 2017-03-19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"%USERPROFILE%\AppData\Local\Temp\OnboardLogs"\RTDC4026\*4026*20170319* | grep -SE "(Enforcement Action)|(\[TIMEOUT)|(CHR.+\|PRM\|1\|D.+(SWITCH|SIGNAL).+UNKNOWN)" - &gt;&gt; 2017-03-19-UncaughtWiMAX.txt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637</v>
      </c>
      <c r="B38" s="7">
        <v>4020</v>
      </c>
      <c r="C38" s="21" t="s">
        <v>221</v>
      </c>
      <c r="D38" s="21" t="s">
        <v>217</v>
      </c>
      <c r="E38" s="13">
        <v>42813.275555555556</v>
      </c>
      <c r="F38" s="13">
        <v>42813.281446759262</v>
      </c>
      <c r="G38" s="7">
        <v>1</v>
      </c>
      <c r="H38" s="21" t="s">
        <v>821</v>
      </c>
      <c r="I38" s="13">
        <v>42813.305995370371</v>
      </c>
      <c r="J38" s="7">
        <v>0</v>
      </c>
      <c r="K38" s="98" t="str">
        <f t="shared" si="0"/>
        <v>4019/4020</v>
      </c>
      <c r="L38" s="21" t="str">
        <f>VLOOKUP(A38,'Trips&amp;Operators'!$C$1:$G$99999,5,FALSE)</f>
        <v>GEBRETEKLE DAGNEW</v>
      </c>
      <c r="M38" s="6">
        <f t="shared" si="1"/>
        <v>2.4548611108912155E-2</v>
      </c>
      <c r="N38" s="7">
        <f t="shared" si="21"/>
        <v>35.349999996833503</v>
      </c>
      <c r="O38" s="7"/>
      <c r="P38" s="7"/>
      <c r="Q38" s="22"/>
      <c r="R38" s="22"/>
      <c r="S38" s="31">
        <f t="shared" si="22"/>
        <v>1</v>
      </c>
      <c r="T38" s="46" t="str">
        <f t="shared" si="4"/>
        <v>NorthBound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5"/>
        <v>https://d0f6bd738d7f1b3e5a7ca70fe4ff75f0.us-east-1.aws.found.io/app/kibana#/discover/Steve-Slow-Train-Analysis-(2080s-and-2083s)?_g=(refreshInterval:(display:Off,pause:!f,section:0,value:0),time:(from:'2017-03-19T05:36:48-0600',mode:absolute,to:'2017-03-19T08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8" s="187" t="str">
        <f t="shared" si="6"/>
        <v>N</v>
      </c>
      <c r="X38" s="187">
        <f t="shared" si="7"/>
        <v>1</v>
      </c>
      <c r="Y38" s="62">
        <f t="shared" si="8"/>
        <v>4.4699999999999997E-2</v>
      </c>
      <c r="Z38" s="62">
        <f t="shared" si="9"/>
        <v>23.3322</v>
      </c>
      <c r="AA38" s="62">
        <f t="shared" si="10"/>
        <v>23.287500000000001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0125-19</v>
      </c>
      <c r="AE38" s="85" t="str">
        <f t="shared" si="12"/>
        <v>aws s3 cp s3://rtdc.mdm.uploadarchive.raw/RTDC4020/ "%USERPROFILE%\AppData\Local\Temp\OnboardLogs"\RTDC4020\2017-03-19 --exclude "*" --recursive --include "*20170319*" &amp; "%USERPROFILE%\Documents\GitHub\mrs-test-scripts\Headless Mode &amp; Sideloading\WalkAndUnGZ.bat" "%USERPROFILE%\AppData\Local\Temp\OnboardLogs"\RTDC4020\2017-03-19 &amp; aws s3 cp s3://rtdc.mdm.uploadarchive.raw/RTDC4020/ "%USERPROFILE%\AppData\Local\Temp\OnboardLogs"\RTDC4020\2017-03-20 --exclude "*" --recursive --include "*20170320*" &amp; "%USERPROFILE%\Documents\GitHub\mrs-test-scripts\Headless Mode &amp; Sideloading\WalkAndUnGZ.bat" "%USERPROFILE%\AppData\Local\Temp\OnboardLogs"\RTDC4020\2017-03-20</v>
      </c>
      <c r="AF38" s="82" t="str">
        <f t="shared" si="13"/>
        <v>"C:\Program Files (x86)\AstroGrep\AstroGrep.exe" /e /r /s /spath="%USERPROFILE%\AppData\Local\Temp\OnboardLogs" /stypes="app*4020*20170319*" /stext=" 13:.+((SYSTEM_STATE.+slice.+state.+changed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8"/>
        <v>"%USERPROFILE%\Documents\GitHub\eaglep3\Utilities\RefineRTDCRunTimes.py" --tripid 125-19 --locoid 4020 --swversion DE.1.0.9.0 --startMP 204:447 --initTime 2017-03-19T06:36:48 --startdatetime 2017-03-19T06:45:17 --delay 1 --endMP 204:233322 --enddatetime 2017-03-19T07:20:38 --enforcementcount 0 &gt;&gt;%USERPROFILE%\Documents\GitHub\eaglep3-reporting\EC\2017-03-19-refined-times.txt</v>
      </c>
      <c r="AI38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{"issue":{"subject":"","project_id":79,"tracker_id":40,"status_id":1,"priority_id":2,"assigned_to_id":23,"start_date":"2017-03-19","description":"","custom_fields":[{"id":1,"name":"Subdivision","value":"EC"},{"id":4,"name":"Milepost","value":"23.3322"},{"id":17,"name":"Train ID","value":"125-19"},{"id":16,"name":"Locomotive ID","value":"4020"},{"id":130,"name":"Impact","value":""},{"id":150,"name":"Time of Event (Mountain Time)","value":"07:20:38"},{"id":151,"name":"Denver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4020 --day 2017-03-19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"%USERPROFILE%\AppData\Local\Temp\OnboardLogs"\RTDC4020\*4020*20170319* | grep -SE "(Enforcement Action)|(\[TIMEOUT)|(CHR.+\|PRM\|1\|D.+(SWITCH|SIGNAL).+UNKNOWN)" - &gt;&gt; 2017-03-19-UncaughtWiMAX.txt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646</v>
      </c>
      <c r="B39" s="7">
        <v>4019</v>
      </c>
      <c r="C39" s="21" t="s">
        <v>221</v>
      </c>
      <c r="D39" s="21" t="s">
        <v>822</v>
      </c>
      <c r="E39" s="13">
        <v>42813.315104166664</v>
      </c>
      <c r="F39" s="13">
        <v>42813.320335648146</v>
      </c>
      <c r="G39" s="7">
        <v>1</v>
      </c>
      <c r="H39" s="21" t="s">
        <v>823</v>
      </c>
      <c r="I39" s="13">
        <v>42813.34642361111</v>
      </c>
      <c r="J39" s="7">
        <v>0</v>
      </c>
      <c r="K39" s="98" t="str">
        <f t="shared" si="0"/>
        <v>4019/4020</v>
      </c>
      <c r="L39" s="21" t="str">
        <f>VLOOKUP(A39,'Trips&amp;Operators'!$C$1:$G$99999,5,FALSE)</f>
        <v>GEBRETEKLE DAGNEW</v>
      </c>
      <c r="M39" s="6">
        <f t="shared" si="1"/>
        <v>2.6087962964083999E-2</v>
      </c>
      <c r="N39" s="7">
        <f t="shared" si="21"/>
        <v>37.566666668280959</v>
      </c>
      <c r="O39" s="7"/>
      <c r="P39" s="7"/>
      <c r="Q39" s="22"/>
      <c r="R39" s="22"/>
      <c r="S39" s="31">
        <f t="shared" si="22"/>
        <v>1</v>
      </c>
      <c r="T39" s="46" t="str">
        <f t="shared" si="4"/>
        <v>Southbound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5"/>
        <v>https://d0f6bd738d7f1b3e5a7ca70fe4ff75f0.us-east-1.aws.found.io/app/kibana#/discover/Steve-Slow-Train-Analysis-(2080s-and-2083s)?_g=(refreshInterval:(display:Off,pause:!f,section:0,value:0),time:(from:'2017-03-19T06:33:45-0600',mode:absolute,to:'2017-03-19T09:18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9" s="187" t="str">
        <f t="shared" si="6"/>
        <v>N</v>
      </c>
      <c r="X39" s="187">
        <f t="shared" si="7"/>
        <v>1</v>
      </c>
      <c r="Y39" s="62">
        <f t="shared" si="8"/>
        <v>23.300699999999999</v>
      </c>
      <c r="Z39" s="62">
        <f t="shared" si="9"/>
        <v>1.6899999999999998E-2</v>
      </c>
      <c r="AA39" s="62">
        <f t="shared" si="10"/>
        <v>23.283799999999999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0126-19</v>
      </c>
      <c r="AE39" s="85" t="str">
        <f t="shared" si="12"/>
        <v>aws s3 cp s3://rtdc.mdm.uploadarchive.raw/RTDC4019/ "%USERPROFILE%\AppData\Local\Temp\OnboardLogs"\RTDC4019\2017-03-19 --exclude "*" --recursive --include "*20170319*" &amp; "%USERPROFILE%\Documents\GitHub\mrs-test-scripts\Headless Mode &amp; Sideloading\WalkAndUnGZ.bat" "%USERPROFILE%\AppData\Local\Temp\OnboardLogs"\RTDC4019\2017-03-19 &amp; aws s3 cp s3://rtdc.mdm.uploadarchive.raw/RTDC4019/ "%USERPROFILE%\AppData\Local\Temp\OnboardLogs"\RTDC4019\2017-03-20 --exclude "*" --recursive --include "*20170320*" &amp; "%USERPROFILE%\Documents\GitHub\mrs-test-scripts\Headless Mode &amp; Sideloading\WalkAndUnGZ.bat" "%USERPROFILE%\AppData\Local\Temp\OnboardLogs"\RTDC4019\2017-03-20</v>
      </c>
      <c r="AF39" s="82" t="str">
        <f t="shared" si="13"/>
        <v>"C:\Program Files (x86)\AstroGrep\AstroGrep.exe" /e /r /s /spath="%USERPROFILE%\AppData\Local\Temp\OnboardLogs" /stypes="app*4019*20170319*" /stext=" 14:.+((SYSTEM_STATE.+slice.+state.+changed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8"/>
        <v>"%USERPROFILE%\Documents\GitHub\eaglep3\Utilities\RefineRTDCRunTimes.py" --tripid 126-19 --locoid 4019 --swversion DE.1.0.9.0 --startMP 204:233007 --initTime 2017-03-19T07:33:45 --startdatetime 2017-03-19T07:41:17 --delay 1 --endMP 204:169 --enddatetime 2017-03-19T08:18:51 --enforcementcount 0 &gt;&gt;%USERPROFILE%\Documents\GitHub\eaglep3-reporting\EC\2017-03-19-refined-times.txt</v>
      </c>
      <c r="AI39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{"issue":{"subject":"","project_id":79,"tracker_id":40,"status_id":1,"priority_id":2,"assigned_to_id":23,"start_date":"2017-03-19","description":"","custom_fields":[{"id":1,"name":"Subdivision","value":"EC"},{"id":4,"name":"Milepost","value":"0.0169"},{"id":17,"name":"Train ID","value":"126-19"},{"id":16,"name":"Locomotive ID","value":"4019"},{"id":130,"name":"Impact","value":""},{"id":150,"name":"Time of Event (Mountain Time)","value":"08:18:51"},{"id":151,"name":"Denver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4019 --day 2017-03-19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"%USERPROFILE%\AppData\Local\Temp\OnboardLogs"\RTDC4019\*4019*20170319* | grep -SE "(Enforcement Action)|(\[TIMEOUT)|(CHR.+\|PRM\|1\|D.+(SWITCH|SIGNAL).+UNKNOWN)" - &gt;&gt; 2017-03-19-UncaughtWiMAX.txt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639</v>
      </c>
      <c r="B40" s="7">
        <v>4040</v>
      </c>
      <c r="C40" s="21" t="s">
        <v>221</v>
      </c>
      <c r="D40" s="21" t="s">
        <v>222</v>
      </c>
      <c r="E40" s="13">
        <v>42813.285069444442</v>
      </c>
      <c r="F40" s="13">
        <v>42813.291898148149</v>
      </c>
      <c r="G40" s="7">
        <v>1</v>
      </c>
      <c r="H40" s="21" t="s">
        <v>438</v>
      </c>
      <c r="I40" s="13">
        <v>42813.316805555558</v>
      </c>
      <c r="J40" s="7">
        <v>0</v>
      </c>
      <c r="K40" s="98" t="str">
        <f t="shared" si="0"/>
        <v>4039/4040</v>
      </c>
      <c r="L40" s="21" t="str">
        <f>VLOOKUP(A40,'Trips&amp;Operators'!$C$1:$G$99999,5,FALSE)</f>
        <v>SANTIZO D. EDY</v>
      </c>
      <c r="M40" s="6">
        <f t="shared" si="1"/>
        <v>2.4907407409045845E-2</v>
      </c>
      <c r="N40" s="7">
        <f t="shared" si="21"/>
        <v>35.866666669026017</v>
      </c>
      <c r="O40" s="7"/>
      <c r="P40" s="7"/>
      <c r="Q40" s="22"/>
      <c r="R40" s="22"/>
      <c r="S40" s="31">
        <f t="shared" si="22"/>
        <v>1</v>
      </c>
      <c r="T40" s="46" t="str">
        <f t="shared" si="4"/>
        <v>NorthBound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5"/>
        <v>https://d0f6bd738d7f1b3e5a7ca70fe4ff75f0.us-east-1.aws.found.io/app/kibana#/discover/Steve-Slow-Train-Analysis-(2080s-and-2083s)?_g=(refreshInterval:(display:Off,pause:!f,section:0,value:0),time:(from:'2017-03-19T05:50:30-0600',mode:absolute,to:'2017-03-19T08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0" s="187" t="str">
        <f t="shared" si="6"/>
        <v>N</v>
      </c>
      <c r="X40" s="187">
        <f t="shared" si="7"/>
        <v>1</v>
      </c>
      <c r="Y40" s="62">
        <f t="shared" si="8"/>
        <v>4.58E-2</v>
      </c>
      <c r="Z40" s="62">
        <f t="shared" si="9"/>
        <v>23.3308</v>
      </c>
      <c r="AA40" s="62">
        <f t="shared" si="10"/>
        <v>23.285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0127-19</v>
      </c>
      <c r="AE40" s="85" t="str">
        <f t="shared" si="12"/>
        <v>aws s3 cp s3://rtdc.mdm.uploadarchive.raw/RTDC4040/ "%USERPROFILE%\AppData\Local\Temp\OnboardLogs"\RTDC4040\2017-03-19 --exclude "*" --recursive --include "*20170319*" &amp; "%USERPROFILE%\Documents\GitHub\mrs-test-scripts\Headless Mode &amp; Sideloading\WalkAndUnGZ.bat" "%USERPROFILE%\AppData\Local\Temp\OnboardLogs"\RTDC4040\2017-03-19 &amp; 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</v>
      </c>
      <c r="AF40" s="82" t="str">
        <f t="shared" si="13"/>
        <v>"C:\Program Files (x86)\AstroGrep\AstroGrep.exe" /e /r /s /spath="%USERPROFILE%\AppData\Local\Temp\OnboardLogs" /stypes="app*4040*20170319*" /stext=" 13:.+((SYSTEM_STATE.+slice.+state.+changed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8"/>
        <v>"%USERPROFILE%\Documents\GitHub\eaglep3\Utilities\RefineRTDCRunTimes.py" --tripid 127-19 --locoid 4040 --swversion DE.1.0.9.0 --startMP 204:458 --initTime 2017-03-19T06:50:30 --startdatetime 2017-03-19T07:00:20 --delay 1 --endMP 204:233308 --enddatetime 2017-03-19T07:36:12 --enforcementcount 0 &gt;&gt;%USERPROFILE%\Documents\GitHub\eaglep3-reporting\EC\2017-03-19-refined-times.txt</v>
      </c>
      <c r="AI40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{"issue":{"subject":"","project_id":79,"tracker_id":40,"status_id":1,"priority_id":2,"assigned_to_id":23,"start_date":"2017-03-19","description":"","custom_fields":[{"id":1,"name":"Subdivision","value":"EC"},{"id":4,"name":"Milepost","value":"23.3308"},{"id":17,"name":"Train ID","value":"127-19"},{"id":16,"name":"Locomotive ID","value":"4040"},{"id":130,"name":"Impact","value":""},{"id":150,"name":"Time of Event (Mountain Time)","value":"07:36:12"},{"id":151,"name":"Denver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4040 --day 2017-03-19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"%USERPROFILE%\AppData\Local\Temp\OnboardLogs"\RTDC4040\*4040*20170319* | grep -SE "(Enforcement Action)|(\[TIMEOUT)|(CHR.+\|PRM\|1\|D.+(SWITCH|SIGNAL).+UNKNOWN)" - &gt;&gt; 2017-03-19-UncaughtWiMAX.txt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647</v>
      </c>
      <c r="B41" s="7">
        <v>4039</v>
      </c>
      <c r="C41" s="21" t="s">
        <v>221</v>
      </c>
      <c r="D41" s="21" t="s">
        <v>450</v>
      </c>
      <c r="E41" s="13">
        <v>42813.318252314813</v>
      </c>
      <c r="F41" s="13">
        <v>42813.330821759257</v>
      </c>
      <c r="G41" s="7">
        <v>1</v>
      </c>
      <c r="H41" s="21" t="s">
        <v>183</v>
      </c>
      <c r="I41" s="13">
        <v>42813.356608796297</v>
      </c>
      <c r="J41" s="7">
        <v>0</v>
      </c>
      <c r="K41" s="98" t="str">
        <f t="shared" si="0"/>
        <v>4039/4040</v>
      </c>
      <c r="L41" s="21" t="str">
        <f>VLOOKUP(A41,'Trips&amp;Operators'!$C$1:$G$99999,5,FALSE)</f>
        <v>SANTIZO D. EDY</v>
      </c>
      <c r="M41" s="6">
        <f t="shared" si="1"/>
        <v>2.5787037040572613E-2</v>
      </c>
      <c r="N41" s="7">
        <f t="shared" si="21"/>
        <v>37.133333338424563</v>
      </c>
      <c r="O41" s="7"/>
      <c r="P41" s="7"/>
      <c r="Q41" s="22"/>
      <c r="R41" s="22"/>
      <c r="S41" s="31">
        <f t="shared" si="22"/>
        <v>1</v>
      </c>
      <c r="T41" s="46" t="str">
        <f t="shared" si="4"/>
        <v>Southbound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5"/>
        <v>https://d0f6bd738d7f1b3e5a7ca70fe4ff75f0.us-east-1.aws.found.io/app/kibana#/discover/Steve-Slow-Train-Analysis-(2080s-and-2083s)?_g=(refreshInterval:(display:Off,pause:!f,section:0,value:0),time:(from:'2017-03-19T06:38:17-0600',mode:absolute,to:'2017-03-19T09:33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1" s="187" t="str">
        <f t="shared" si="6"/>
        <v>N</v>
      </c>
      <c r="X41" s="187">
        <f t="shared" si="7"/>
        <v>1</v>
      </c>
      <c r="Y41" s="62">
        <f t="shared" si="8"/>
        <v>23.300799999999999</v>
      </c>
      <c r="Z41" s="62">
        <f t="shared" si="9"/>
        <v>1.49E-2</v>
      </c>
      <c r="AA41" s="62">
        <f t="shared" si="10"/>
        <v>23.285899999999998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0128-19</v>
      </c>
      <c r="AE41" s="85" t="str">
        <f t="shared" si="12"/>
        <v>aws s3 cp s3://rtdc.mdm.uploadarchive.raw/RTDC4039/ "%USERPROFILE%\AppData\Local\Temp\OnboardLogs"\RTDC4039\2017-03-19 --exclude "*" --recursive --include "*20170319*" &amp; "%USERPROFILE%\Documents\GitHub\mrs-test-scripts\Headless Mode &amp; Sideloading\WalkAndUnGZ.bat" "%USERPROFILE%\AppData\Local\Temp\OnboardLogs"\RTDC4039\2017-03-19 &amp; 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</v>
      </c>
      <c r="AF41" s="82" t="str">
        <f t="shared" si="13"/>
        <v>"C:\Program Files (x86)\AstroGrep\AstroGrep.exe" /e /r /s /spath="%USERPROFILE%\AppData\Local\Temp\OnboardLogs" /stypes="app*4039*20170319*" /stext=" 14:.+((SYSTEM_STATE.+slice.+state.+changed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8"/>
        <v>"%USERPROFILE%\Documents\GitHub\eaglep3\Utilities\RefineRTDCRunTimes.py" --tripid 128-19 --locoid 4039 --swversion DE.1.0.9.0 --startMP 204:233008 --initTime 2017-03-19T07:38:17 --startdatetime 2017-03-19T07:56:23 --delay 1 --endMP 204:149 --enddatetime 2017-03-19T08:33:31 --enforcementcount 0 &gt;&gt;%USERPROFILE%\Documents\GitHub\eaglep3-reporting\EC\2017-03-19-refined-times.txt</v>
      </c>
      <c r="AI41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{"issue":{"subject":"","project_id":79,"tracker_id":40,"status_id":1,"priority_id":2,"assigned_to_id":23,"start_date":"2017-03-19","description":"","custom_fields":[{"id":1,"name":"Subdivision","value":"EC"},{"id":4,"name":"Milepost","value":"0.0149"},{"id":17,"name":"Train ID","value":"128-19"},{"id":16,"name":"Locomotive ID","value":"4039"},{"id":130,"name":"Impact","value":""},{"id":150,"name":"Time of Event (Mountain Time)","value":"08:33:31"},{"id":151,"name":"Denver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4039 --day 2017-03-19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"%USERPROFILE%\AppData\Local\Temp\OnboardLogs"\RTDC4039\*4039*20170319* | grep -SE "(Enforcement Action)|(\[TIMEOUT)|(CHR.+\|PRM\|1\|D.+(SWITCH|SIGNAL).+UNKNOWN)" - &gt;&gt; 2017-03-19-UncaughtWiMAX.txt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641</v>
      </c>
      <c r="B42" s="7">
        <v>4053</v>
      </c>
      <c r="C42" s="21" t="s">
        <v>221</v>
      </c>
      <c r="D42" s="21" t="s">
        <v>217</v>
      </c>
      <c r="E42" s="13">
        <v>42813.298495370371</v>
      </c>
      <c r="F42" s="13">
        <v>42813.30228009259</v>
      </c>
      <c r="G42" s="7">
        <v>1</v>
      </c>
      <c r="H42" s="21" t="s">
        <v>224</v>
      </c>
      <c r="I42" s="13">
        <v>42813.326828703706</v>
      </c>
      <c r="J42" s="7">
        <v>0</v>
      </c>
      <c r="K42" s="98" t="str">
        <f t="shared" si="0"/>
        <v>4053/4054</v>
      </c>
      <c r="L42" s="21" t="str">
        <f>VLOOKUP(A42,'Trips&amp;Operators'!$C$1:$G$99999,5,FALSE)</f>
        <v>MOSES BRADLEY</v>
      </c>
      <c r="M42" s="6">
        <f t="shared" si="1"/>
        <v>2.4548611116188113E-2</v>
      </c>
      <c r="N42" s="7">
        <f t="shared" si="21"/>
        <v>35.350000007310882</v>
      </c>
      <c r="O42" s="7"/>
      <c r="P42" s="7"/>
      <c r="Q42" s="22"/>
      <c r="R42" s="22"/>
      <c r="S42" s="31">
        <f t="shared" si="22"/>
        <v>1</v>
      </c>
      <c r="T42" s="46" t="str">
        <f t="shared" si="4"/>
        <v>NorthBound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5"/>
        <v>https://d0f6bd738d7f1b3e5a7ca70fe4ff75f0.us-east-1.aws.found.io/app/kibana#/discover/Steve-Slow-Train-Analysis-(2080s-and-2083s)?_g=(refreshInterval:(display:Off,pause:!f,section:0,value:0),time:(from:'2017-03-19T06:09:50-0600',mode:absolute,to:'2017-03-19T08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2" s="187" t="str">
        <f t="shared" si="6"/>
        <v>N</v>
      </c>
      <c r="X42" s="187">
        <f t="shared" si="7"/>
        <v>1</v>
      </c>
      <c r="Y42" s="62">
        <f t="shared" si="8"/>
        <v>4.4699999999999997E-2</v>
      </c>
      <c r="Z42" s="62">
        <f t="shared" si="9"/>
        <v>23.331199999999999</v>
      </c>
      <c r="AA42" s="62">
        <f t="shared" si="10"/>
        <v>23.2865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0129-19</v>
      </c>
      <c r="AE42" s="85" t="str">
        <f t="shared" si="12"/>
        <v>aws s3 cp s3://rtdc.mdm.uploadarchive.raw/RTDC4053/ "%USERPROFILE%\AppData\Local\Temp\OnboardLogs"\RTDC4053\2017-03-19 --exclude "*" --recursive --include "*20170319*" &amp; "%USERPROFILE%\Documents\GitHub\mrs-test-scripts\Headless Mode &amp; Sideloading\WalkAndUnGZ.bat" "%USERPROFILE%\AppData\Local\Temp\OnboardLogs"\RTDC4053\2017-03-19 &amp; aws s3 cp s3://rtdc.mdm.uploadarchive.raw/RTDC4053/ "%USERPROFILE%\AppData\Local\Temp\OnboardLogs"\RTDC4053\2017-03-20 --exclude "*" --recursive --include "*20170320*" &amp; "%USERPROFILE%\Documents\GitHub\mrs-test-scripts\Headless Mode &amp; Sideloading\WalkAndUnGZ.bat" "%USERPROFILE%\AppData\Local\Temp\OnboardLogs"\RTDC4053\2017-03-20</v>
      </c>
      <c r="AF42" s="82" t="str">
        <f t="shared" si="13"/>
        <v>"C:\Program Files (x86)\AstroGrep\AstroGrep.exe" /e /r /s /spath="%USERPROFILE%\AppData\Local\Temp\OnboardLogs" /stypes="app*4053*20170319*" /stext=" 13:.+((SYSTEM_STATE.+slice.+state.+changed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8"/>
        <v>"%USERPROFILE%\Documents\GitHub\eaglep3\Utilities\RefineRTDCRunTimes.py" --tripid 129-19 --locoid 4053 --swversion DE.1.0.9.0 --startMP 204:447 --initTime 2017-03-19T07:09:50 --startdatetime 2017-03-19T07:15:17 --delay 1 --endMP 204:233312 --enddatetime 2017-03-19T07:50:38 --enforcementcount 0 &gt;&gt;%USERPROFILE%\Documents\GitHub\eaglep3-reporting\EC\2017-03-19-refined-times.txt</v>
      </c>
      <c r="AI42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{"issue":{"subject":"","project_id":79,"tracker_id":40,"status_id":1,"priority_id":2,"assigned_to_id":23,"start_date":"2017-03-19","description":"","custom_fields":[{"id":1,"name":"Subdivision","value":"EC"},{"id":4,"name":"Milepost","value":"23.3312"},{"id":17,"name":"Train ID","value":"129-19"},{"id":16,"name":"Locomotive ID","value":"4053"},{"id":130,"name":"Impact","value":""},{"id":150,"name":"Time of Event (Mountain Time)","value":"07:50:38"},{"id":151,"name":"Denver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4053 --day 2017-03-19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"%USERPROFILE%\AppData\Local\Temp\OnboardLogs"\RTDC4053\*4053*20170319* | grep -SE "(Enforcement Action)|(\[TIMEOUT)|(CHR.+\|PRM\|1\|D.+(SWITCH|SIGNAL).+UNKNOWN)" - &gt;&gt; 2017-03-19-UncaughtWiMAX.txt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650</v>
      </c>
      <c r="B43" s="7">
        <v>4054</v>
      </c>
      <c r="C43" s="21" t="s">
        <v>221</v>
      </c>
      <c r="D43" s="21" t="s">
        <v>228</v>
      </c>
      <c r="E43" s="13">
        <v>42813.337627314817</v>
      </c>
      <c r="F43" s="13">
        <v>42813.341180555559</v>
      </c>
      <c r="G43" s="7">
        <v>1</v>
      </c>
      <c r="H43" s="21" t="s">
        <v>418</v>
      </c>
      <c r="I43" s="13">
        <v>42813.368414351855</v>
      </c>
      <c r="J43" s="7">
        <v>0</v>
      </c>
      <c r="K43" s="98" t="str">
        <f t="shared" si="0"/>
        <v>4053/4054</v>
      </c>
      <c r="L43" s="21" t="str">
        <f>VLOOKUP(A43,'Trips&amp;Operators'!$C$1:$G$99999,5,FALSE)</f>
        <v>MOSES BRADLEY</v>
      </c>
      <c r="M43" s="6">
        <f t="shared" si="1"/>
        <v>2.7233796296059154E-2</v>
      </c>
      <c r="N43" s="7">
        <f t="shared" si="21"/>
        <v>39.216666666325182</v>
      </c>
      <c r="O43" s="7"/>
      <c r="P43" s="7"/>
      <c r="Q43" s="22"/>
      <c r="R43" s="22"/>
      <c r="S43" s="31">
        <f t="shared" si="22"/>
        <v>1</v>
      </c>
      <c r="T43" s="46" t="str">
        <f t="shared" si="4"/>
        <v>Southbound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5"/>
        <v>https://d0f6bd738d7f1b3e5a7ca70fe4ff75f0.us-east-1.aws.found.io/app/kibana#/discover/Steve-Slow-Train-Analysis-(2080s-and-2083s)?_g=(refreshInterval:(display:Off,pause:!f,section:0,value:0),time:(from:'2017-03-19T07:06:11-0600',mode:absolute,to:'2017-03-19T09:50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3" s="187" t="str">
        <f t="shared" si="6"/>
        <v>N</v>
      </c>
      <c r="X43" s="187">
        <f t="shared" si="7"/>
        <v>1</v>
      </c>
      <c r="Y43" s="62">
        <f t="shared" si="8"/>
        <v>23.2971</v>
      </c>
      <c r="Z43" s="62">
        <f t="shared" si="9"/>
        <v>1.6299999999999999E-2</v>
      </c>
      <c r="AA43" s="62">
        <f t="shared" si="10"/>
        <v>23.280799999999999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0130-19</v>
      </c>
      <c r="AE43" s="85" t="str">
        <f t="shared" si="12"/>
        <v>aws s3 cp s3://rtdc.mdm.uploadarchive.raw/RTDC4054/ "%USERPROFILE%\AppData\Local\Temp\OnboardLogs"\RTDC4054\2017-03-19 --exclude "*" --recursive --include "*20170319*" &amp; "%USERPROFILE%\Documents\GitHub\mrs-test-scripts\Headless Mode &amp; Sideloading\WalkAndUnGZ.bat" "%USERPROFILE%\AppData\Local\Temp\OnboardLogs"\RTDC4054\2017-03-19 &amp; aws s3 cp s3://rtdc.mdm.uploadarchive.raw/RTDC4054/ "%USERPROFILE%\AppData\Local\Temp\OnboardLogs"\RTDC4054\2017-03-20 --exclude "*" --recursive --include "*20170320*" &amp; "%USERPROFILE%\Documents\GitHub\mrs-test-scripts\Headless Mode &amp; Sideloading\WalkAndUnGZ.bat" "%USERPROFILE%\AppData\Local\Temp\OnboardLogs"\RTDC4054\2017-03-20</v>
      </c>
      <c r="AF43" s="82" t="str">
        <f t="shared" si="13"/>
        <v>"C:\Program Files (x86)\AstroGrep\AstroGrep.exe" /e /r /s /spath="%USERPROFILE%\AppData\Local\Temp\OnboardLogs" /stypes="app*4054*20170319*" /stext=" 14:.+((SYSTEM_STATE.+slice.+state.+changed )|(ment ac)|(multiple cpu faults)|(system.+state.+changed )|(\[timeout)|(PRM\|1\|D)|(kpr)|(kdp)|(\|lc)|(penalty))"</v>
      </c>
      <c r="AG43" s="1" t="str">
        <f t="shared" si="14"/>
        <v>EC</v>
      </c>
      <c r="AH43" s="86" t="str">
        <f t="shared" si="18"/>
        <v>"%USERPROFILE%\Documents\GitHub\eaglep3\Utilities\RefineRTDCRunTimes.py" --tripid 130-19 --locoid 4054 --swversion DE.1.0.9.0 --startMP 204:232971 --initTime 2017-03-19T08:06:11 --startdatetime 2017-03-19T08:11:18 --delay 1 --endMP 204:163 --enddatetime 2017-03-19T08:50:31 --enforcementcount 0 &gt;&gt;%USERPROFILE%\Documents\GitHub\eaglep3-reporting\EC\2017-03-19-refined-times.txt</v>
      </c>
      <c r="AI43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{"issue":{"subject":"","project_id":79,"tracker_id":40,"status_id":1,"priority_id":2,"assigned_to_id":23,"start_date":"2017-03-19","description":"","custom_fields":[{"id":1,"name":"Subdivision","value":"EC"},{"id":4,"name":"Milepost","value":"0.0163"},{"id":17,"name":"Train ID","value":"130-19"},{"id":16,"name":"Locomotive ID","value":"4054"},{"id":130,"name":"Impact","value":""},{"id":150,"name":"Time of Event (Mountain Time)","value":"08:50:31"},{"id":151,"name":"Denver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4054 --day 2017-03-19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"%USERPROFILE%\AppData\Local\Temp\OnboardLogs"\RTDC4054\*4054*20170319* | grep -SE "(Enforcement Action)|(\[TIMEOUT)|(CHR.+\|PRM\|1\|D.+(SWITCH|SIGNAL).+UNKNOWN)" - &gt;&gt; 2017-03-19-UncaughtWiMAX.txt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645</v>
      </c>
      <c r="B44" s="7">
        <v>4003</v>
      </c>
      <c r="C44" s="21" t="s">
        <v>221</v>
      </c>
      <c r="D44" s="21" t="s">
        <v>222</v>
      </c>
      <c r="E44" s="13">
        <v>42813.308263888888</v>
      </c>
      <c r="F44" s="13">
        <v>42813.312708333331</v>
      </c>
      <c r="G44" s="7">
        <v>1</v>
      </c>
      <c r="H44" s="21" t="s">
        <v>224</v>
      </c>
      <c r="I44" s="13">
        <v>42813.337916666664</v>
      </c>
      <c r="J44" s="7">
        <v>0</v>
      </c>
      <c r="K44" s="98" t="str">
        <f t="shared" si="0"/>
        <v>4003/4004</v>
      </c>
      <c r="L44" s="21" t="str">
        <f>VLOOKUP(A44,'Trips&amp;Operators'!$C$1:$G$99999,5,FALSE)</f>
        <v>MAELZER KURT</v>
      </c>
      <c r="M44" s="6">
        <f t="shared" si="1"/>
        <v>2.5208333332557231E-2</v>
      </c>
      <c r="N44" s="7">
        <f t="shared" si="21"/>
        <v>36.299999998882413</v>
      </c>
      <c r="O44" s="7"/>
      <c r="P44" s="7"/>
      <c r="Q44" s="22"/>
      <c r="R44" s="22"/>
      <c r="S44" s="31">
        <f t="shared" si="22"/>
        <v>1</v>
      </c>
      <c r="T44" s="46" t="str">
        <f t="shared" si="4"/>
        <v>NorthBound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5"/>
        <v>https://d0f6bd738d7f1b3e5a7ca70fe4ff75f0.us-east-1.aws.found.io/app/kibana#/discover/Steve-Slow-Train-Analysis-(2080s-and-2083s)?_g=(refreshInterval:(display:Off,pause:!f,section:0,value:0),time:(from:'2017-03-19T06:23:54-0600',mode:absolute,to:'2017-03-19T09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4" s="187" t="str">
        <f t="shared" si="6"/>
        <v>N</v>
      </c>
      <c r="X44" s="187">
        <f t="shared" si="7"/>
        <v>1</v>
      </c>
      <c r="Y44" s="62">
        <f t="shared" si="8"/>
        <v>4.58E-2</v>
      </c>
      <c r="Z44" s="62">
        <f t="shared" si="9"/>
        <v>23.331199999999999</v>
      </c>
      <c r="AA44" s="62">
        <f t="shared" si="10"/>
        <v>23.285399999999999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0131-19</v>
      </c>
      <c r="AE44" s="85" t="str">
        <f t="shared" si="12"/>
        <v>aws s3 cp s3://rtdc.mdm.uploadarchive.raw/RTDC4003/ "%USERPROFILE%\AppData\Local\Temp\OnboardLogs"\RTDC4003\2017-03-19 --exclude "*" --recursive --include "*20170319*" &amp; "%USERPROFILE%\Documents\GitHub\mrs-test-scripts\Headless Mode &amp; Sideloading\WalkAndUnGZ.bat" "%USERPROFILE%\AppData\Local\Temp\OnboardLogs"\RTDC4003\2017-03-19 &amp; 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</v>
      </c>
      <c r="AF44" s="82" t="str">
        <f t="shared" si="13"/>
        <v>"C:\Program Files (x86)\AstroGrep\AstroGrep.exe" /e /r /s /spath="%USERPROFILE%\AppData\Local\Temp\OnboardLogs" /stypes="app*4003*20170319*" /stext=" 14:.+((SYSTEM_STATE.+slice.+state.+changed )|(ment ac)|(multiple cpu faults)|(system.+state.+changed )|(\[timeout)|(PRM\|1\|D)|(kpr)|(kdp)|(\|lc)|(penalty))"</v>
      </c>
      <c r="AG44" s="1" t="str">
        <f t="shared" si="14"/>
        <v>EC</v>
      </c>
      <c r="AH44" s="86" t="str">
        <f t="shared" si="18"/>
        <v>"%USERPROFILE%\Documents\GitHub\eaglep3\Utilities\RefineRTDCRunTimes.py" --tripid 131-19 --locoid 4003 --swversion DE.1.0.9.0 --startMP 204:458 --initTime 2017-03-19T07:23:54 --startdatetime 2017-03-19T07:30:18 --delay 1 --endMP 204:233312 --enddatetime 2017-03-19T08:06:36 --enforcementcount 0 &gt;&gt;%USERPROFILE%\Documents\GitHub\eaglep3-reporting\EC\2017-03-19-refined-times.txt</v>
      </c>
      <c r="AI44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{"issue":{"subject":"","project_id":79,"tracker_id":40,"status_id":1,"priority_id":2,"assigned_to_id":23,"start_date":"2017-03-19","description":"","custom_fields":[{"id":1,"name":"Subdivision","value":"EC"},{"id":4,"name":"Milepost","value":"23.3312"},{"id":17,"name":"Train ID","value":"131-19"},{"id":16,"name":"Locomotive ID","value":"4003"},{"id":130,"name":"Impact","value":""},{"id":150,"name":"Time of Event (Mountain Time)","value":"08:06:36"},{"id":151,"name":"Denver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4003 --day 2017-03-19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"%USERPROFILE%\AppData\Local\Temp\OnboardLogs"\RTDC4003\*4003*20170319* | grep -SE "(Enforcement Action)|(\[TIMEOUT)|(CHR.+\|PRM\|1\|D.+(SWITCH|SIGNAL).+UNKNOWN)" - &gt;&gt; 2017-03-19-UncaughtWiMAX.txt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652</v>
      </c>
      <c r="B45" s="7">
        <v>4004</v>
      </c>
      <c r="C45" s="21" t="s">
        <v>221</v>
      </c>
      <c r="D45" s="21" t="s">
        <v>437</v>
      </c>
      <c r="E45" s="13">
        <v>42813.344039351854</v>
      </c>
      <c r="F45" s="13">
        <v>42813.351666666669</v>
      </c>
      <c r="G45" s="7">
        <v>1</v>
      </c>
      <c r="H45" s="21" t="s">
        <v>417</v>
      </c>
      <c r="I45" s="13">
        <v>42813.378657407404</v>
      </c>
      <c r="J45" s="7">
        <v>0</v>
      </c>
      <c r="K45" s="98" t="str">
        <f t="shared" si="0"/>
        <v>4003/4004</v>
      </c>
      <c r="L45" s="21" t="str">
        <f>VLOOKUP(A45,'Trips&amp;Operators'!$C$1:$G$99999,5,FALSE)</f>
        <v>MAELZER KURT</v>
      </c>
      <c r="M45" s="6">
        <f t="shared" ref="M45:M76" si="23">I45-F45</f>
        <v>2.6990740734618157E-2</v>
      </c>
      <c r="N45" s="7">
        <f t="shared" si="21"/>
        <v>38.866666657850146</v>
      </c>
      <c r="O45" s="7"/>
      <c r="P45" s="7"/>
      <c r="Q45" s="22"/>
      <c r="R45" s="22"/>
      <c r="S45" s="31">
        <f t="shared" si="22"/>
        <v>1</v>
      </c>
      <c r="T45" s="46" t="str">
        <f t="shared" si="4"/>
        <v>Southbound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5"/>
        <v>https://d0f6bd738d7f1b3e5a7ca70fe4ff75f0.us-east-1.aws.found.io/app/kibana#/discover/Steve-Slow-Train-Analysis-(2080s-and-2083s)?_g=(refreshInterval:(display:Off,pause:!f,section:0,value:0),time:(from:'2017-03-19T07:15:25-0600',mode:absolute,to:'2017-03-19T10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5" s="187" t="str">
        <f t="shared" si="6"/>
        <v>N</v>
      </c>
      <c r="X45" s="187">
        <f t="shared" ref="X45:X76" si="24">VALUE(LEFT(AD45,4))-VALUE(LEFT(AD44,4))</f>
        <v>1</v>
      </c>
      <c r="Y45" s="62">
        <f t="shared" si="8"/>
        <v>23.301300000000001</v>
      </c>
      <c r="Z45" s="62">
        <f t="shared" ref="Z45:Z73" si="25">RIGHT(H45,LEN(H45)-4)/10000</f>
        <v>1.4500000000000001E-2</v>
      </c>
      <c r="AA45" s="62">
        <f t="shared" si="10"/>
        <v>23.286799999999999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0132-19</v>
      </c>
      <c r="AE45" s="85" t="str">
        <f t="shared" si="12"/>
        <v>aws s3 cp s3://rtdc.mdm.uploadarchive.raw/RTDC4004/ "%USERPROFILE%\AppData\Local\Temp\OnboardLogs"\RTDC4004\2017-03-19 --exclude "*" --recursive --include "*20170319*" &amp; "%USERPROFILE%\Documents\GitHub\mrs-test-scripts\Headless Mode &amp; Sideloading\WalkAndUnGZ.bat" "%USERPROFILE%\AppData\Local\Temp\OnboardLogs"\RTDC4004\2017-03-19 &amp; 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</v>
      </c>
      <c r="AF45" s="82" t="str">
        <f t="shared" si="13"/>
        <v>"C:\Program Files (x86)\AstroGrep\AstroGrep.exe" /e /r /s /spath="%USERPROFILE%\AppData\Local\Temp\OnboardLogs" /stypes="app*4004*20170319*" /stext=" 15:.+((SYSTEM_STATE.+slice.+state.+changed )|(ment ac)|(multiple cpu faults)|(system.+state.+changed )|(\[timeout)|(PRM\|1\|D)|(kpr)|(kdp)|(\|lc)|(penalty))"</v>
      </c>
      <c r="AG45" s="1" t="str">
        <f t="shared" si="14"/>
        <v>EC</v>
      </c>
      <c r="AH45" s="86" t="str">
        <f t="shared" si="18"/>
        <v>"%USERPROFILE%\Documents\GitHub\eaglep3\Utilities\RefineRTDCRunTimes.py" --tripid 132-19 --locoid 4004 --swversion DE.1.0.9.0 --startMP 204:233013 --initTime 2017-03-19T08:15:25 --startdatetime 2017-03-19T08:26:24 --delay 1 --endMP 204:145 --enddatetime 2017-03-19T09:05:16 --enforcementcount 0 &gt;&gt;%USERPROFILE%\Documents\GitHub\eaglep3-reporting\EC\2017-03-19-refined-times.txt</v>
      </c>
      <c r="AI45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{"issue":{"subject":"","project_id":79,"tracker_id":40,"status_id":1,"priority_id":2,"assigned_to_id":23,"start_date":"2017-03-19","description":"","custom_fields":[{"id":1,"name":"Subdivision","value":"EC"},{"id":4,"name":"Milepost","value":"0.0145"},{"id":17,"name":"Train ID","value":"132-19"},{"id":16,"name":"Locomotive ID","value":"4004"},{"id":130,"name":"Impact","value":""},{"id":150,"name":"Time of Event (Mountain Time)","value":"09:05:16"},{"id":151,"name":"Denver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4004 --day 2017-03-19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"%USERPROFILE%\AppData\Local\Temp\OnboardLogs"\RTDC4004\*4004*20170319* | grep -SE "(Enforcement Action)|(\[TIMEOUT)|(CHR.+\|PRM\|1\|D.+(SWITCH|SIGNAL).+UNKNOWN)" - &gt;&gt; 2017-03-19-UncaughtWiMAX.txt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648</v>
      </c>
      <c r="B46" s="7">
        <v>4002</v>
      </c>
      <c r="C46" s="21" t="s">
        <v>221</v>
      </c>
      <c r="D46" s="21" t="s">
        <v>472</v>
      </c>
      <c r="E46" s="13">
        <v>42813.320300925923</v>
      </c>
      <c r="F46" s="13">
        <v>42813.32309027778</v>
      </c>
      <c r="G46" s="7">
        <v>1</v>
      </c>
      <c r="H46" s="21" t="s">
        <v>471</v>
      </c>
      <c r="I46" s="13">
        <v>42813.348171296297</v>
      </c>
      <c r="J46" s="7">
        <v>0</v>
      </c>
      <c r="K46" s="98" t="str">
        <f t="shared" si="0"/>
        <v>4001/4002</v>
      </c>
      <c r="L46" s="21" t="str">
        <f>VLOOKUP(A46,'Trips&amp;Operators'!$C$1:$G$99999,5,FALSE)</f>
        <v>BADERTSCHER DIANE</v>
      </c>
      <c r="M46" s="6">
        <f t="shared" si="23"/>
        <v>2.5081018517084885E-2</v>
      </c>
      <c r="N46" s="7">
        <f t="shared" si="21"/>
        <v>36.116666664602235</v>
      </c>
      <c r="O46" s="7"/>
      <c r="P46" s="7"/>
      <c r="Q46" s="22"/>
      <c r="R46" s="22"/>
      <c r="S46" s="31">
        <f t="shared" si="22"/>
        <v>1</v>
      </c>
      <c r="T46" s="46" t="str">
        <f t="shared" si="4"/>
        <v>NorthBound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5"/>
        <v>https://d0f6bd738d7f1b3e5a7ca70fe4ff75f0.us-east-1.aws.found.io/app/kibana#/discover/Steve-Slow-Train-Analysis-(2080s-and-2083s)?_g=(refreshInterval:(display:Off,pause:!f,section:0,value:0),time:(from:'2017-03-19T06:41:14-0600',mode:absolute,to:'2017-03-19T09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6" s="187" t="str">
        <f t="shared" si="6"/>
        <v>N</v>
      </c>
      <c r="X46" s="187">
        <f t="shared" si="24"/>
        <v>1</v>
      </c>
      <c r="Y46" s="62">
        <f t="shared" si="8"/>
        <v>4.3099999999999999E-2</v>
      </c>
      <c r="Z46" s="62">
        <f t="shared" si="25"/>
        <v>23.330500000000001</v>
      </c>
      <c r="AA46" s="62">
        <f t="shared" si="10"/>
        <v>23.287400000000002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0133-19</v>
      </c>
      <c r="AE46" s="85" t="str">
        <f t="shared" si="12"/>
        <v>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 &amp; 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</v>
      </c>
      <c r="AF46" s="82" t="str">
        <f t="shared" si="13"/>
        <v>"C:\Program Files (x86)\AstroGrep\AstroGrep.exe" /e /r /s /spath="%USERPROFILE%\AppData\Local\Temp\OnboardLogs" /stypes="app*4002*20170319*" /stext=" 14:.+((SYSTEM_STATE.+slice.+state.+changed )|(ment ac)|(multiple cpu faults)|(system.+state.+changed )|(\[timeout)|(PRM\|1\|D)|(kpr)|(kdp)|(\|lc)|(penalty))"</v>
      </c>
      <c r="AG46" s="1" t="str">
        <f t="shared" si="14"/>
        <v>EC</v>
      </c>
      <c r="AH46" s="86" t="str">
        <f t="shared" si="18"/>
        <v>"%USERPROFILE%\Documents\GitHub\eaglep3\Utilities\RefineRTDCRunTimes.py" --tripid 133-19 --locoid 4002 --swversion DE.1.0.9.0 --startMP 204:431 --initTime 2017-03-19T07:41:14 --startdatetime 2017-03-19T07:45:15 --delay 1 --endMP 204:233305 --enddatetime 2017-03-19T08:21:22 --enforcementcount 0 &gt;&gt;%USERPROFILE%\Documents\GitHub\eaglep3-reporting\EC\2017-03-19-refined-times.txt</v>
      </c>
      <c r="AI46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{"issue":{"subject":"","project_id":79,"tracker_id":40,"status_id":1,"priority_id":2,"assigned_to_id":23,"start_date":"2017-03-19","description":"","custom_fields":[{"id":1,"name":"Subdivision","value":"EC"},{"id":4,"name":"Milepost","value":"23.3305"},{"id":17,"name":"Train ID","value":"133-19"},{"id":16,"name":"Locomotive ID","value":"4002"},{"id":130,"name":"Impact","value":""},{"id":150,"name":"Time of Event (Mountain Time)","value":"08:21:22"},{"id":151,"name":"Denver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4002 --day 2017-03-19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"%USERPROFILE%\AppData\Local\Temp\OnboardLogs"\RTDC4002\*4002*20170319* | grep -SE "(Enforcement Action)|(\[TIMEOUT)|(CHR.+\|PRM\|1\|D.+(SWITCH|SIGNAL).+UNKNOWN)" - &gt;&gt; 2017-03-19-UncaughtWiMAX.txt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654</v>
      </c>
      <c r="B47" s="7">
        <v>4001</v>
      </c>
      <c r="C47" s="21" t="s">
        <v>221</v>
      </c>
      <c r="D47" s="21" t="s">
        <v>407</v>
      </c>
      <c r="E47" s="13">
        <v>42813.357071759259</v>
      </c>
      <c r="F47" s="13">
        <v>42813.361990740741</v>
      </c>
      <c r="G47" s="7">
        <v>1</v>
      </c>
      <c r="H47" s="21" t="s">
        <v>434</v>
      </c>
      <c r="I47" s="13">
        <v>42813.389837962961</v>
      </c>
      <c r="J47" s="7">
        <v>0</v>
      </c>
      <c r="K47" s="98" t="str">
        <f t="shared" si="0"/>
        <v>4001/4002</v>
      </c>
      <c r="L47" s="21" t="str">
        <f>VLOOKUP(A47,'Trips&amp;Operators'!$C$1:$G$99999,5,FALSE)</f>
        <v>BADERTSCHER DIANE</v>
      </c>
      <c r="M47" s="6">
        <f t="shared" si="23"/>
        <v>2.7847222219861578E-2</v>
      </c>
      <c r="N47" s="7">
        <f t="shared" si="21"/>
        <v>40.099999996600673</v>
      </c>
      <c r="O47" s="7"/>
      <c r="P47" s="7"/>
      <c r="Q47" s="22"/>
      <c r="R47" s="22"/>
      <c r="S47" s="31">
        <f t="shared" si="22"/>
        <v>1</v>
      </c>
      <c r="T47" s="46" t="str">
        <f t="shared" si="4"/>
        <v>Southbound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5"/>
        <v>https://d0f6bd738d7f1b3e5a7ca70fe4ff75f0.us-east-1.aws.found.io/app/kibana#/discover/Steve-Slow-Train-Analysis-(2080s-and-2083s)?_g=(refreshInterval:(display:Off,pause:!f,section:0,value:0),time:(from:'2017-03-19T07:34:11-0600',mode:absolute,to:'2017-03-19T10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7" s="187" t="str">
        <f t="shared" si="6"/>
        <v>N</v>
      </c>
      <c r="X47" s="187">
        <f t="shared" si="24"/>
        <v>1</v>
      </c>
      <c r="Y47" s="62">
        <f t="shared" si="8"/>
        <v>23.297499999999999</v>
      </c>
      <c r="Z47" s="62">
        <f t="shared" si="25"/>
        <v>1.43E-2</v>
      </c>
      <c r="AA47" s="62">
        <f t="shared" si="10"/>
        <v>23.283200000000001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0134-19</v>
      </c>
      <c r="AE47" s="85" t="str">
        <f t="shared" si="12"/>
        <v>aws s3 cp s3://rtdc.mdm.uploadarchive.raw/RTDC4001/ "%USERPROFILE%\AppData\Local\Temp\OnboardLogs"\RTDC4001\2017-03-19 --exclude "*" --recursive --include "*20170319*" &amp; "%USERPROFILE%\Documents\GitHub\mrs-test-scripts\Headless Mode &amp; Sideloading\WalkAndUnGZ.bat" "%USERPROFILE%\AppData\Local\Temp\OnboardLogs"\RTDC4001\2017-03-19 &amp; aws s3 cp s3://rtdc.mdm.uploadarchive.raw/RTDC4001/ "%USERPROFILE%\AppData\Local\Temp\OnboardLogs"\RTDC4001\2017-03-20 --exclude "*" --recursive --include "*20170320*" &amp; "%USERPROFILE%\Documents\GitHub\mrs-test-scripts\Headless Mode &amp; Sideloading\WalkAndUnGZ.bat" "%USERPROFILE%\AppData\Local\Temp\OnboardLogs"\RTDC4001\2017-03-20</v>
      </c>
      <c r="AF47" s="82" t="str">
        <f t="shared" si="13"/>
        <v>"C:\Program Files (x86)\AstroGrep\AstroGrep.exe" /e /r /s /spath="%USERPROFILE%\AppData\Local\Temp\OnboardLogs" /stypes="app*4001*20170319*" /stext=" 15:.+((SYSTEM_STATE.+slice.+state.+changed )|(ment ac)|(multiple cpu faults)|(system.+state.+changed )|(\[timeout)|(PRM\|1\|D)|(kpr)|(kdp)|(\|lc)|(penalty))"</v>
      </c>
      <c r="AG47" s="1" t="str">
        <f t="shared" si="14"/>
        <v>EC</v>
      </c>
      <c r="AH47" s="86" t="str">
        <f t="shared" si="18"/>
        <v>"%USERPROFILE%\Documents\GitHub\eaglep3\Utilities\RefineRTDCRunTimes.py" --tripid 134-19 --locoid 4001 --swversion DE.1.0.9.0 --startMP 204:232975 --initTime 2017-03-19T08:34:11 --startdatetime 2017-03-19T08:41:16 --delay 1 --endMP 204:143 --enddatetime 2017-03-19T09:21:22 --enforcementcount 0 &gt;&gt;%USERPROFILE%\Documents\GitHub\eaglep3-reporting\EC\2017-03-19-refined-times.txt</v>
      </c>
      <c r="AI47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{"issue":{"subject":"","project_id":79,"tracker_id":40,"status_id":1,"priority_id":2,"assigned_to_id":23,"start_date":"2017-03-19","description":"","custom_fields":[{"id":1,"name":"Subdivision","value":"EC"},{"id":4,"name":"Milepost","value":"0.0143"},{"id":17,"name":"Train ID","value":"134-19"},{"id":16,"name":"Locomotive ID","value":"4001"},{"id":130,"name":"Impact","value":""},{"id":150,"name":"Time of Event (Mountain Time)","value":"09:21:22"},{"id":151,"name":"Denver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4001 --day 2017-03-19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"%USERPROFILE%\AppData\Local\Temp\OnboardLogs"\RTDC4001\*4001*20170319* | grep -SE "(Enforcement Action)|(\[TIMEOUT)|(CHR.+\|PRM\|1\|D.+(SWITCH|SIGNAL).+UNKNOWN)" - &gt;&gt; 2017-03-19-UncaughtWiMAX.txt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578</v>
      </c>
      <c r="B48" s="7">
        <v>4016</v>
      </c>
      <c r="C48" s="21" t="s">
        <v>221</v>
      </c>
      <c r="D48" s="21" t="s">
        <v>539</v>
      </c>
      <c r="E48" s="13">
        <v>42813.331620370373</v>
      </c>
      <c r="F48" s="13">
        <v>42813.333506944444</v>
      </c>
      <c r="G48" s="7">
        <v>1</v>
      </c>
      <c r="H48" s="21" t="s">
        <v>396</v>
      </c>
      <c r="I48" s="13">
        <v>42813.360277777778</v>
      </c>
      <c r="J48" s="7">
        <v>0</v>
      </c>
      <c r="K48" s="98" t="str">
        <f t="shared" si="0"/>
        <v>4015/4016</v>
      </c>
      <c r="L48" s="21" t="str">
        <f>VLOOKUP(A48,'Trips&amp;Operators'!$C$1:$G$99999,5,FALSE)</f>
        <v>DAVIS WENDY</v>
      </c>
      <c r="M48" s="6">
        <f t="shared" si="23"/>
        <v>2.6770833334012423E-2</v>
      </c>
      <c r="N48" s="7">
        <f t="shared" si="21"/>
        <v>38.550000000977889</v>
      </c>
      <c r="O48" s="7"/>
      <c r="P48" s="7"/>
      <c r="Q48" s="22"/>
      <c r="R48" s="22"/>
      <c r="S48" s="31">
        <f t="shared" si="22"/>
        <v>1</v>
      </c>
      <c r="T48" s="46" t="str">
        <f t="shared" si="4"/>
        <v>NorthBound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5"/>
        <v>https://d0f6bd738d7f1b3e5a7ca70fe4ff75f0.us-east-1.aws.found.io/app/kibana#/discover/Steve-Slow-Train-Analysis-(2080s-and-2083s)?_g=(refreshInterval:(display:Off,pause:!f,section:0,value:0),time:(from:'2017-03-19T06:57:32-0600',mode:absolute,to:'2017-03-19T09:38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8" s="187" t="str">
        <f t="shared" si="6"/>
        <v>N</v>
      </c>
      <c r="X48" s="187">
        <f t="shared" si="24"/>
        <v>1</v>
      </c>
      <c r="Y48" s="62">
        <f t="shared" si="8"/>
        <v>4.4900000000000002E-2</v>
      </c>
      <c r="Z48" s="62">
        <f t="shared" si="25"/>
        <v>23.3306</v>
      </c>
      <c r="AA48" s="62">
        <f t="shared" si="10"/>
        <v>23.285700000000002</v>
      </c>
      <c r="AB48" s="59" t="str">
        <f>VLOOKUP(A48,Enforcements!$C$7:$K$13,8,0)</f>
        <v>Bulletin (2)</v>
      </c>
      <c r="AC48" s="55" t="str">
        <f>VLOOKUP(A48,Enforcements!$C$7:$E$13,3,0)</f>
        <v>GRADE CROSSING</v>
      </c>
      <c r="AD48" s="56" t="str">
        <f t="shared" si="11"/>
        <v>0135-19</v>
      </c>
      <c r="AE48" s="85" t="str">
        <f t="shared" si="12"/>
        <v>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 &amp; 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</v>
      </c>
      <c r="AF48" s="82" t="str">
        <f t="shared" si="13"/>
        <v>"C:\Program Files (x86)\AstroGrep\AstroGrep.exe" /e /r /s /spath="%USERPROFILE%\AppData\Local\Temp\OnboardLogs" /stypes="app*4016*20170319*" /stext=" 14:.+((SYSTEM_STATE.+slice.+state.+changed )|(ment ac)|(multiple cpu faults)|(system.+state.+changed )|(\[timeout)|(PRM\|1\|D)|(kpr)|(kdp)|(\|lc)|(penalty))"</v>
      </c>
      <c r="AG48" s="1" t="str">
        <f t="shared" si="14"/>
        <v>EC</v>
      </c>
      <c r="AH48" s="86" t="str">
        <f t="shared" si="18"/>
        <v>"%USERPROFILE%\Documents\GitHub\eaglep3\Utilities\RefineRTDCRunTimes.py" --tripid 135-19 --locoid 4016 --swversion DE.1.0.9.0 --startMP 204:449 --initTime 2017-03-19T07:57:32 --startdatetime 2017-03-19T08:00:15 --delay 1 --endMP 204:233306 --enddatetime 2017-03-19T08:38:48 --enforcementcount 0 &gt;&gt;%USERPROFILE%\Documents\GitHub\eaglep3-reporting\EC\2017-03-19-refined-times.txt</v>
      </c>
      <c r="AI48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{"issue":{"subject":"","project_id":79,"tracker_id":40,"status_id":1,"priority_id":2,"assigned_to_id":23,"start_date":"2017-03-19","description":"","custom_fields":[{"id":1,"name":"Subdivision","value":"EC"},{"id":4,"name":"Milepost","value":"23.3306"},{"id":17,"name":"Train ID","value":"135-19"},{"id":16,"name":"Locomotive ID","value":"4016"},{"id":130,"name":"Impact","value":""},{"id":150,"name":"Time of Event (Mountain Time)","value":"08:38:48"},{"id":151,"name":"Denver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4016 --day 2017-03-19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"%USERPROFILE%\AppData\Local\Temp\OnboardLogs"\RTDC4016\*4016*20170319* | grep -SE "(Enforcement Action)|(\[TIMEOUT)|(CHR.+\|PRM\|1\|D.+(SWITCH|SIGNAL).+UNKNOWN)" - &gt;&gt; 2017-03-19-UncaughtWiMAX.txt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658</v>
      </c>
      <c r="B49" s="7">
        <v>4015</v>
      </c>
      <c r="C49" s="21" t="s">
        <v>221</v>
      </c>
      <c r="D49" s="21" t="s">
        <v>562</v>
      </c>
      <c r="E49" s="13">
        <v>42813.370462962965</v>
      </c>
      <c r="F49" s="13">
        <v>42813.372337962966</v>
      </c>
      <c r="G49" s="7">
        <v>1</v>
      </c>
      <c r="H49" s="21" t="s">
        <v>810</v>
      </c>
      <c r="I49" s="13">
        <v>42813.401134259257</v>
      </c>
      <c r="J49" s="7">
        <v>0</v>
      </c>
      <c r="K49" s="98" t="str">
        <f t="shared" si="0"/>
        <v>4015/4016</v>
      </c>
      <c r="L49" s="21" t="str">
        <f>VLOOKUP(A49,'Trips&amp;Operators'!$C$1:$G$99999,5,FALSE)</f>
        <v>DAVIS WENDY</v>
      </c>
      <c r="M49" s="6">
        <f t="shared" si="23"/>
        <v>2.8796296290238388E-2</v>
      </c>
      <c r="N49" s="7">
        <f t="shared" si="21"/>
        <v>41.466666657943279</v>
      </c>
      <c r="O49" s="7"/>
      <c r="P49" s="7"/>
      <c r="Q49" s="22"/>
      <c r="R49" s="22"/>
      <c r="S49" s="31">
        <f t="shared" si="22"/>
        <v>1</v>
      </c>
      <c r="T49" s="46" t="str">
        <f t="shared" si="4"/>
        <v>Southbound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5"/>
        <v>https://d0f6bd738d7f1b3e5a7ca70fe4ff75f0.us-east-1.aws.found.io/app/kibana#/discover/Steve-Slow-Train-Analysis-(2080s-and-2083s)?_g=(refreshInterval:(display:Off,pause:!f,section:0,value:0),time:(from:'2017-03-19T07:53:28-0600',mode:absolute,to:'2017-03-19T10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9" s="187" t="str">
        <f t="shared" si="6"/>
        <v>N</v>
      </c>
      <c r="X49" s="187">
        <f t="shared" si="24"/>
        <v>1</v>
      </c>
      <c r="Y49" s="62">
        <f t="shared" si="8"/>
        <v>23.299600000000002</v>
      </c>
      <c r="Z49" s="62">
        <f t="shared" si="25"/>
        <v>1.61E-2</v>
      </c>
      <c r="AA49" s="62">
        <f t="shared" si="10"/>
        <v>23.2835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0136-19</v>
      </c>
      <c r="AE49" s="85" t="str">
        <f t="shared" si="12"/>
        <v>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 &amp; 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</v>
      </c>
      <c r="AF49" s="82" t="str">
        <f t="shared" si="13"/>
        <v>"C:\Program Files (x86)\AstroGrep\AstroGrep.exe" /e /r /s /spath="%USERPROFILE%\AppData\Local\Temp\OnboardLogs" /stypes="app*4015*20170319*" /stext=" 15:.+((SYSTEM_STATE.+slice.+state.+changed )|(ment ac)|(multiple cpu faults)|(system.+state.+changed )|(\[timeout)|(PRM\|1\|D)|(kpr)|(kdp)|(\|lc)|(penalty))"</v>
      </c>
      <c r="AG49" s="1" t="str">
        <f t="shared" si="14"/>
        <v>EC</v>
      </c>
      <c r="AH49" s="86" t="str">
        <f t="shared" si="18"/>
        <v>"%USERPROFILE%\Documents\GitHub\eaglep3\Utilities\RefineRTDCRunTimes.py" --tripid 136-19 --locoid 4015 --swversion DE.1.0.9.0 --startMP 204:232996 --initTime 2017-03-19T08:53:28 --startdatetime 2017-03-19T08:56:10 --delay 1 --endMP 204:161 --enddatetime 2017-03-19T09:37:38 --enforcementcount 0 &gt;&gt;%USERPROFILE%\Documents\GitHub\eaglep3-reporting\EC\2017-03-19-refined-times.txt</v>
      </c>
      <c r="AI49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{"issue":{"subject":"","project_id":79,"tracker_id":40,"status_id":1,"priority_id":2,"assigned_to_id":23,"start_date":"2017-03-19","description":"","custom_fields":[{"id":1,"name":"Subdivision","value":"EC"},{"id":4,"name":"Milepost","value":"0.0161"},{"id":17,"name":"Train ID","value":"136-19"},{"id":16,"name":"Locomotive ID","value":"4015"},{"id":130,"name":"Impact","value":""},{"id":150,"name":"Time of Event (Mountain Time)","value":"09:37:38"},{"id":151,"name":"Denver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4015 --day 2017-03-19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"%USERPROFILE%\AppData\Local\Temp\OnboardLogs"\RTDC4015\*4015*20170319* | grep -SE "(Enforcement Action)|(\[TIMEOUT)|(CHR.+\|PRM\|1\|D.+(SWITCH|SIGNAL).+UNKNOWN)" - &gt;&gt; 2017-03-19-UncaughtWiMAX.txt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651</v>
      </c>
      <c r="B50" s="7">
        <v>4025</v>
      </c>
      <c r="C50" s="21" t="s">
        <v>221</v>
      </c>
      <c r="D50" s="21" t="s">
        <v>410</v>
      </c>
      <c r="E50" s="13">
        <v>42813.339791666665</v>
      </c>
      <c r="F50" s="13">
        <v>42813.343946759262</v>
      </c>
      <c r="G50" s="7">
        <v>1</v>
      </c>
      <c r="H50" s="21" t="s">
        <v>369</v>
      </c>
      <c r="I50" s="13">
        <v>42813.36855324074</v>
      </c>
      <c r="J50" s="7">
        <v>0</v>
      </c>
      <c r="K50" s="98" t="str">
        <f t="shared" si="0"/>
        <v>4025/4026</v>
      </c>
      <c r="L50" s="21" t="str">
        <f>VLOOKUP(A50,'Trips&amp;Operators'!$C$1:$G$99999,5,FALSE)</f>
        <v>ROBINSON KADDIBA</v>
      </c>
      <c r="M50" s="6">
        <f t="shared" si="23"/>
        <v>2.4606481478258502E-2</v>
      </c>
      <c r="N50" s="7">
        <f t="shared" si="21"/>
        <v>35.433333328692243</v>
      </c>
      <c r="O50" s="7"/>
      <c r="P50" s="7"/>
      <c r="Q50" s="22"/>
      <c r="R50" s="22"/>
      <c r="S50" s="31">
        <f t="shared" si="22"/>
        <v>1</v>
      </c>
      <c r="T50" s="46" t="str">
        <f t="shared" si="4"/>
        <v>NorthBound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5"/>
        <v>https://d0f6bd738d7f1b3e5a7ca70fe4ff75f0.us-east-1.aws.found.io/app/kibana#/discover/Steve-Slow-Train-Analysis-(2080s-and-2083s)?_g=(refreshInterval:(display:Off,pause:!f,section:0,value:0),time:(from:'2017-03-19T07:09:18-0600',mode:absolute,to:'2017-03-19T09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0" s="187" t="str">
        <f t="shared" si="6"/>
        <v>N</v>
      </c>
      <c r="X50" s="187">
        <f t="shared" si="24"/>
        <v>1</v>
      </c>
      <c r="Y50" s="62">
        <f t="shared" si="8"/>
        <v>4.7100000000000003E-2</v>
      </c>
      <c r="Z50" s="62">
        <f t="shared" si="25"/>
        <v>23.3307</v>
      </c>
      <c r="AA50" s="62">
        <f t="shared" si="10"/>
        <v>23.2836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0137-19</v>
      </c>
      <c r="AE50" s="85" t="str">
        <f t="shared" si="12"/>
        <v>aws s3 cp s3://rtdc.mdm.uploadarchive.raw/RTDC4025/ "%USERPROFILE%\AppData\Local\Temp\OnboardLogs"\RTDC4025\2017-03-19 --exclude "*" --recursive --include "*20170319*" &amp; "%USERPROFILE%\Documents\GitHub\mrs-test-scripts\Headless Mode &amp; Sideloading\WalkAndUnGZ.bat" "%USERPROFILE%\AppData\Local\Temp\OnboardLogs"\RTDC4025\2017-03-19 &amp; 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</v>
      </c>
      <c r="AF50" s="82" t="str">
        <f t="shared" si="13"/>
        <v>"C:\Program Files (x86)\AstroGrep\AstroGrep.exe" /e /r /s /spath="%USERPROFILE%\AppData\Local\Temp\OnboardLogs" /stypes="app*4025*20170319*" /stext=" 14:.+((SYSTEM_STATE.+slice.+state.+changed )|(ment ac)|(multiple cpu faults)|(system.+state.+changed )|(\[timeout)|(PRM\|1\|D)|(kpr)|(kdp)|(\|lc)|(penalty))"</v>
      </c>
      <c r="AG50" s="1" t="str">
        <f t="shared" si="14"/>
        <v>EC</v>
      </c>
      <c r="AH50" s="86" t="str">
        <f t="shared" si="18"/>
        <v>"%USERPROFILE%\Documents\GitHub\eaglep3\Utilities\RefineRTDCRunTimes.py" --tripid 137-19 --locoid 4025 --swversion DE.1.0.9.0 --startMP 204:471 --initTime 2017-03-19T08:09:18 --startdatetime 2017-03-19T08:15:17 --delay 1 --endMP 204:233307 --enddatetime 2017-03-19T08:50:43 --enforcementcount 0 &gt;&gt;%USERPROFILE%\Documents\GitHub\eaglep3-reporting\EC\2017-03-19-refined-times.txt</v>
      </c>
      <c r="AI50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{"issue":{"subject":"","project_id":79,"tracker_id":40,"status_id":1,"priority_id":2,"assigned_to_id":23,"start_date":"2017-03-19","description":"","custom_fields":[{"id":1,"name":"Subdivision","value":"EC"},{"id":4,"name":"Milepost","value":"23.3307"},{"id":17,"name":"Train ID","value":"137-19"},{"id":16,"name":"Locomotive ID","value":"4025"},{"id":130,"name":"Impact","value":""},{"id":150,"name":"Time of Event (Mountain Time)","value":"08:50:43"},{"id":151,"name":"Denver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4025 --day 2017-03-19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"%USERPROFILE%\AppData\Local\Temp\OnboardLogs"\RTDC4025\*4025*20170319* | grep -SE "(Enforcement Action)|(\[TIMEOUT)|(CHR.+\|PRM\|1\|D.+(SWITCH|SIGNAL).+UNKNOWN)" - &gt;&gt; 2017-03-19-UncaughtWiMAX.txt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660</v>
      </c>
      <c r="B51" s="7">
        <v>4026</v>
      </c>
      <c r="C51" s="21" t="s">
        <v>221</v>
      </c>
      <c r="D51" s="21" t="s">
        <v>407</v>
      </c>
      <c r="E51" s="13">
        <v>42813.376516203702</v>
      </c>
      <c r="F51" s="13">
        <v>42813.382905092592</v>
      </c>
      <c r="G51" s="7">
        <v>1</v>
      </c>
      <c r="H51" s="21" t="s">
        <v>477</v>
      </c>
      <c r="I51" s="13">
        <v>42813.409398148149</v>
      </c>
      <c r="J51" s="7">
        <v>0</v>
      </c>
      <c r="K51" s="98" t="str">
        <f t="shared" si="0"/>
        <v>4025/4026</v>
      </c>
      <c r="L51" s="21" t="str">
        <f>VLOOKUP(A51,'Trips&amp;Operators'!$C$1:$G$99999,5,FALSE)</f>
        <v>ROBINSON KADDIBA</v>
      </c>
      <c r="M51" s="6">
        <f t="shared" si="23"/>
        <v>2.6493055556784384E-2</v>
      </c>
      <c r="N51" s="7">
        <f t="shared" si="21"/>
        <v>38.150000001769513</v>
      </c>
      <c r="O51" s="7"/>
      <c r="P51" s="7"/>
      <c r="Q51" s="22"/>
      <c r="R51" s="22"/>
      <c r="S51" s="31">
        <f t="shared" si="22"/>
        <v>1</v>
      </c>
      <c r="T51" s="46" t="str">
        <f t="shared" si="4"/>
        <v>Southbound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5"/>
        <v>https://d0f6bd738d7f1b3e5a7ca70fe4ff75f0.us-east-1.aws.found.io/app/kibana#/discover/Steve-Slow-Train-Analysis-(2080s-and-2083s)?_g=(refreshInterval:(display:Off,pause:!f,section:0,value:0),time:(from:'2017-03-19T08:02:11-0600',mode:absolute,to:'2017-03-19T10:49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1" s="187" t="str">
        <f t="shared" si="6"/>
        <v>N</v>
      </c>
      <c r="X51" s="187">
        <f t="shared" si="24"/>
        <v>1</v>
      </c>
      <c r="Y51" s="62">
        <f t="shared" si="8"/>
        <v>23.297499999999999</v>
      </c>
      <c r="Z51" s="62">
        <f t="shared" si="25"/>
        <v>1.6E-2</v>
      </c>
      <c r="AA51" s="62">
        <f t="shared" si="10"/>
        <v>23.281500000000001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0138-19</v>
      </c>
      <c r="AE51" s="85" t="str">
        <f t="shared" si="12"/>
        <v>aws s3 cp s3://rtdc.mdm.uploadarchive.raw/RTDC4026/ "%USERPROFILE%\AppData\Local\Temp\OnboardLogs"\RTDC4026\2017-03-19 --exclude "*" --recursive --include "*20170319*" &amp; "%USERPROFILE%\Documents\GitHub\mrs-test-scripts\Headless Mode &amp; Sideloading\WalkAndUnGZ.bat" "%USERPROFILE%\AppData\Local\Temp\OnboardLogs"\RTDC4026\2017-03-19 &amp; 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</v>
      </c>
      <c r="AF51" s="82" t="str">
        <f t="shared" si="13"/>
        <v>"C:\Program Files (x86)\AstroGrep\AstroGrep.exe" /e /r /s /spath="%USERPROFILE%\AppData\Local\Temp\OnboardLogs" /stypes="app*4026*20170319*" /stext=" 15:.+((SYSTEM_STATE.+slice.+state.+changed )|(ment ac)|(multiple cpu faults)|(system.+state.+changed )|(\[timeout)|(PRM\|1\|D)|(kpr)|(kdp)|(\|lc)|(penalty))"</v>
      </c>
      <c r="AG51" s="1" t="str">
        <f t="shared" si="14"/>
        <v>EC</v>
      </c>
      <c r="AH51" s="86" t="str">
        <f t="shared" si="18"/>
        <v>"%USERPROFILE%\Documents\GitHub\eaglep3\Utilities\RefineRTDCRunTimes.py" --tripid 138-19 --locoid 4026 --swversion DE.1.0.9.0 --startMP 204:232975 --initTime 2017-03-19T09:02:11 --startdatetime 2017-03-19T09:11:23 --delay 1 --endMP 204:160 --enddatetime 2017-03-19T09:49:32 --enforcementcount 0 &gt;&gt;%USERPROFILE%\Documents\GitHub\eaglep3-reporting\EC\2017-03-19-refined-times.txt</v>
      </c>
      <c r="AI51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{"issue":{"subject":"","project_id":79,"tracker_id":40,"status_id":1,"priority_id":2,"assigned_to_id":23,"start_date":"2017-03-19","description":"","custom_fields":[{"id":1,"name":"Subdivision","value":"EC"},{"id":4,"name":"Milepost","value":"0.016"},{"id":17,"name":"Train ID","value":"138-19"},{"id":16,"name":"Locomotive ID","value":"4026"},{"id":130,"name":"Impact","value":""},{"id":150,"name":"Time of Event (Mountain Time)","value":"09:49:32"},{"id":151,"name":"Denver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4026 --day 2017-03-19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"%USERPROFILE%\AppData\Local\Temp\OnboardLogs"\RTDC4026\*4026*20170319* | grep -SE "(Enforcement Action)|(\[TIMEOUT)|(CHR.+\|PRM\|1\|D.+(SWITCH|SIGNAL).+UNKNOWN)" - &gt;&gt; 2017-03-19-UncaughtWiMAX.txt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653</v>
      </c>
      <c r="B52" s="7">
        <v>4020</v>
      </c>
      <c r="C52" s="21" t="s">
        <v>221</v>
      </c>
      <c r="D52" s="21" t="s">
        <v>824</v>
      </c>
      <c r="E52" s="13">
        <v>42813.358298611114</v>
      </c>
      <c r="F52" s="13">
        <v>42813.359224537038</v>
      </c>
      <c r="G52" s="7">
        <v>1</v>
      </c>
      <c r="H52" s="21" t="s">
        <v>825</v>
      </c>
      <c r="I52" s="13">
        <v>42813.380543981482</v>
      </c>
      <c r="J52" s="7">
        <v>0</v>
      </c>
      <c r="K52" s="98" t="str">
        <f t="shared" si="0"/>
        <v>4019/4020</v>
      </c>
      <c r="L52" s="21" t="str">
        <f>VLOOKUP(A52,'Trips&amp;Operators'!$C$1:$G$99999,5,FALSE)</f>
        <v>GEBRETEKLE DAGNEW</v>
      </c>
      <c r="M52" s="6">
        <f t="shared" si="23"/>
        <v>2.1319444444088731E-2</v>
      </c>
      <c r="N52" s="7"/>
      <c r="O52" s="7"/>
      <c r="P52" s="7">
        <f>24*60*SUM($M52:$M52)</f>
        <v>30.699999999487773</v>
      </c>
      <c r="Q52" s="22"/>
      <c r="R52" s="22" t="s">
        <v>962</v>
      </c>
      <c r="S52" s="31">
        <f t="shared" si="22"/>
        <v>1</v>
      </c>
      <c r="T52" s="46" t="str">
        <f t="shared" si="4"/>
        <v>NorthBound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5"/>
        <v>https://d0f6bd738d7f1b3e5a7ca70fe4ff75f0.us-east-1.aws.found.io/app/kibana#/discover/Steve-Slow-Train-Analysis-(2080s-and-2083s)?_g=(refreshInterval:(display:Off,pause:!f,section:0,value:0),time:(from:'2017-03-19T07:35:57-0600',mode:absolute,to:'2017-03-19T10:07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2" s="187" t="str">
        <f t="shared" si="6"/>
        <v>Y</v>
      </c>
      <c r="X52" s="187">
        <f t="shared" si="24"/>
        <v>1</v>
      </c>
      <c r="Y52" s="62">
        <f t="shared" si="8"/>
        <v>1.9137999999999999</v>
      </c>
      <c r="Z52" s="62">
        <f t="shared" si="25"/>
        <v>23.332100000000001</v>
      </c>
      <c r="AA52" s="62">
        <f t="shared" si="10"/>
        <v>21.418300000000002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0139-19</v>
      </c>
      <c r="AE52" s="85" t="str">
        <f t="shared" si="12"/>
        <v>aws s3 cp s3://rtdc.mdm.uploadarchive.raw/RTDC4020/ "%USERPROFILE%\AppData\Local\Temp\OnboardLogs"\RTDC4020\2017-03-19 --exclude "*" --recursive --include "*20170319*" &amp; "%USERPROFILE%\Documents\GitHub\mrs-test-scripts\Headless Mode &amp; Sideloading\WalkAndUnGZ.bat" "%USERPROFILE%\AppData\Local\Temp\OnboardLogs"\RTDC4020\2017-03-19 &amp; aws s3 cp s3://rtdc.mdm.uploadarchive.raw/RTDC4020/ "%USERPROFILE%\AppData\Local\Temp\OnboardLogs"\RTDC4020\2017-03-20 --exclude "*" --recursive --include "*20170320*" &amp; "%USERPROFILE%\Documents\GitHub\mrs-test-scripts\Headless Mode &amp; Sideloading\WalkAndUnGZ.bat" "%USERPROFILE%\AppData\Local\Temp\OnboardLogs"\RTDC4020\2017-03-20</v>
      </c>
      <c r="AF52" s="82" t="str">
        <f t="shared" si="13"/>
        <v>"C:\Program Files (x86)\AstroGrep\AstroGrep.exe" /e /r /s /spath="%USERPROFILE%\AppData\Local\Temp\OnboardLogs" /stypes="app*4020*20170319*" /stext=" 15:.+((SYSTEM_STATE.+slice.+state.+changed )|(ment ac)|(multiple cpu faults)|(system.+state.+changed )|(\[timeout)|(PRM\|1\|D)|(kpr)|(kdp)|(\|lc)|(penalty))"</v>
      </c>
      <c r="AG52" s="1" t="str">
        <f t="shared" si="14"/>
        <v>EC</v>
      </c>
      <c r="AH52" s="86" t="str">
        <f t="shared" si="18"/>
        <v>"%USERPROFILE%\Documents\GitHub\eaglep3\Utilities\RefineRTDCRunTimes.py" --tripid 139-19 --locoid 4020 --swversion DE.1.0.9.0 --startMP 204:19138 --initTime 2017-03-19T08:35:57 --startdatetime 2017-03-19T08:37:17 --delay 1 --endMP 204:233321 --enddatetime 2017-03-19T09:07:59 --enforcementcount 0 &gt;&gt;%USERPROFILE%\Documents\GitHub\eaglep3-reporting\EC\2017-03-19-refined-times.txt</v>
      </c>
      <c r="AI52" s="108" t="str">
        <f t="shared" si="19"/>
        <v>echo {"issue":{"subject":"Selected wrong track","project_id":79,"tracker_id":40,"status_id":1,"priority_id":2,"assigned_to_id":23,"start_date":"2017-03-19","description":"","custom_fields":[{"id":1,"name":"Subdivision","value":"EC"},{"id":4,"name":"Milepost","value":"23.3321"},{"id":17,"name":"Train ID","value":"139-19"},{"id":16,"name":"Locomotive ID","value":"4020"},{"id":130,"name":"Impact","value":""},{"id":150,"name":"Time of Event (Mountain Time)","value":"09:07:59"},{"id":151,"name":"Denver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4020 --day 2017-03-19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"%USERPROFILE%\AppData\Local\Temp\OnboardLogs"\RTDC4020\*4020*20170319* | grep -SE "(Enforcement Action)|(\[TIMEOUT)|(CHR.+\|PRM\|1\|D.+(SWITCH|SIGNAL).+UNKNOWN)" - &gt;&gt; 2017-03-19-UncaughtWiMAX.txt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653</v>
      </c>
      <c r="B53" s="7">
        <v>4020</v>
      </c>
      <c r="C53" s="21" t="s">
        <v>221</v>
      </c>
      <c r="D53" s="21" t="s">
        <v>212</v>
      </c>
      <c r="E53" s="13">
        <v>42813.349027777775</v>
      </c>
      <c r="F53" s="13">
        <v>42813.359224537038</v>
      </c>
      <c r="G53" s="7">
        <v>2</v>
      </c>
      <c r="H53" s="21" t="s">
        <v>826</v>
      </c>
      <c r="I53" s="13">
        <v>42813.380543981482</v>
      </c>
      <c r="J53" s="7">
        <v>0</v>
      </c>
      <c r="K53" s="98" t="str">
        <f t="shared" si="0"/>
        <v>4019/4020</v>
      </c>
      <c r="L53" s="21" t="str">
        <f>VLOOKUP(A53,'Trips&amp;Operators'!$C$1:$G$99999,5,FALSE)</f>
        <v>GEBRETEKLE DAGNEW</v>
      </c>
      <c r="M53" s="6">
        <f t="shared" si="23"/>
        <v>2.1319444444088731E-2</v>
      </c>
      <c r="N53" s="7"/>
      <c r="O53" s="7"/>
      <c r="P53" s="7"/>
      <c r="Q53" s="22"/>
      <c r="R53" s="22"/>
      <c r="S53" s="31"/>
      <c r="T53" s="46" t="str">
        <f t="shared" si="4"/>
        <v>NorthBound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0</v>
      </c>
      <c r="V53" s="186" t="str">
        <f t="shared" si="5"/>
        <v>https://d0f6bd738d7f1b3e5a7ca70fe4ff75f0.us-east-1.aws.found.io/app/kibana#/discover/Steve-Slow-Train-Analysis-(2080s-and-2083s)?_g=(refreshInterval:(display:Off,pause:!f,section:0,value:0),time:(from:'2017-03-19T07:22:36-0600',mode:absolute,to:'2017-03-19T10:07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3" s="187" t="str">
        <f t="shared" si="6"/>
        <v>Y</v>
      </c>
      <c r="X53" s="187">
        <f t="shared" si="24"/>
        <v>0</v>
      </c>
      <c r="Y53" s="62">
        <f t="shared" si="8"/>
        <v>4.5499999999999999E-2</v>
      </c>
      <c r="Z53" s="62">
        <f t="shared" si="25"/>
        <v>0.1326</v>
      </c>
      <c r="AA53" s="62">
        <f t="shared" si="10"/>
        <v>8.7099999999999997E-2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0139-19</v>
      </c>
      <c r="AE53" s="85" t="str">
        <f t="shared" si="12"/>
        <v>aws s3 cp s3://rtdc.mdm.uploadarchive.raw/RTDC4020/ "%USERPROFILE%\AppData\Local\Temp\OnboardLogs"\RTDC4020\2017-03-19 --exclude "*" --recursive --include "*20170319*" &amp; "%USERPROFILE%\Documents\GitHub\mrs-test-scripts\Headless Mode &amp; Sideloading\WalkAndUnGZ.bat" "%USERPROFILE%\AppData\Local\Temp\OnboardLogs"\RTDC4020\2017-03-19 &amp; aws s3 cp s3://rtdc.mdm.uploadarchive.raw/RTDC4020/ "%USERPROFILE%\AppData\Local\Temp\OnboardLogs"\RTDC4020\2017-03-20 --exclude "*" --recursive --include "*20170320*" &amp; "%USERPROFILE%\Documents\GitHub\mrs-test-scripts\Headless Mode &amp; Sideloading\WalkAndUnGZ.bat" "%USERPROFILE%\AppData\Local\Temp\OnboardLogs"\RTDC4020\2017-03-20</v>
      </c>
      <c r="AF53" s="82" t="str">
        <f t="shared" si="13"/>
        <v>"C:\Program Files (x86)\AstroGrep\AstroGrep.exe" /e /r /s /spath="%USERPROFILE%\AppData\Local\Temp\OnboardLogs" /stypes="app*4020*20170319*" /stext=" 15:.+((SYSTEM_STATE.+slice.+state.+changed )|(ment ac)|(multiple cpu faults)|(system.+state.+changed )|(\[timeout)|(PRM\|1\|D)|(kpr)|(kdp)|(\|lc)|(penalty))"</v>
      </c>
      <c r="AG53" s="1" t="str">
        <f t="shared" si="14"/>
        <v>EC</v>
      </c>
      <c r="AH53" s="86" t="str">
        <f t="shared" si="18"/>
        <v>"%USERPROFILE%\Documents\GitHub\eaglep3\Utilities\RefineRTDCRunTimes.py" --tripid 139-19 --locoid 4020 --swversion DE.1.0.9.0 --startMP 204:455 --initTime 2017-03-19T08:22:36 --startdatetime 2017-03-19T08:37:17 --delay 2 --endMP 204:1326 --enddatetime 2017-03-19T09:07:59 --enforcementcount 0 &gt;&gt;%USERPROFILE%\Documents\GitHub\eaglep3-reporting\EC\2017-03-19-refined-times.txt</v>
      </c>
      <c r="AI53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{"issue":{"subject":"","project_id":79,"tracker_id":40,"status_id":1,"priority_id":2,"assigned_to_id":23,"start_date":"2017-03-19","description":"","custom_fields":[{"id":1,"name":"Subdivision","value":"EC"},{"id":4,"name":"Milepost","value":"0.1326"},{"id":17,"name":"Train ID","value":"139-19"},{"id":16,"name":"Locomotive ID","value":"4020"},{"id":130,"name":"Impact","value":""},{"id":150,"name":"Time of Event (Mountain Time)","value":"09:07:59"},{"id":151,"name":"Denver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4020 --day 2017-03-19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"%USERPROFILE%\AppData\Local\Temp\OnboardLogs"\RTDC4020\*4020*20170319* | grep -SE "(Enforcement Action)|(\[TIMEOUT)|(CHR.+\|PRM\|1\|D.+(SWITCH|SIGNAL).+UNKNOWN)" - &gt;&gt; 2017-03-19-UncaughtWiMAX.txt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662</v>
      </c>
      <c r="B54" s="7">
        <v>4019</v>
      </c>
      <c r="C54" s="21" t="s">
        <v>221</v>
      </c>
      <c r="D54" s="21" t="s">
        <v>555</v>
      </c>
      <c r="E54" s="13">
        <v>42813.390208333331</v>
      </c>
      <c r="F54" s="13">
        <v>42813.393240740741</v>
      </c>
      <c r="G54" s="7">
        <v>1</v>
      </c>
      <c r="H54" s="21" t="s">
        <v>198</v>
      </c>
      <c r="I54" s="13">
        <v>42813.419224537036</v>
      </c>
      <c r="J54" s="7">
        <v>0</v>
      </c>
      <c r="K54" s="98" t="str">
        <f t="shared" si="0"/>
        <v>4019/4020</v>
      </c>
      <c r="L54" s="21" t="str">
        <f>VLOOKUP(A54,'Trips&amp;Operators'!$C$1:$G$99999,5,FALSE)</f>
        <v>GEBRETEKLE DAGNEW</v>
      </c>
      <c r="M54" s="6">
        <f t="shared" si="23"/>
        <v>2.5983796294895001E-2</v>
      </c>
      <c r="N54" s="7">
        <f t="shared" ref="N54:N62" si="26">24*60*SUM($M54:$M54)</f>
        <v>37.416666664648801</v>
      </c>
      <c r="O54" s="7"/>
      <c r="P54" s="7"/>
      <c r="Q54" s="22"/>
      <c r="R54" s="22"/>
      <c r="S54" s="31">
        <f t="shared" ref="S54:S62" si="27">SUM(U54:U54)/IF(AG54="EC",12,1)</f>
        <v>1</v>
      </c>
      <c r="T54" s="46" t="str">
        <f t="shared" si="4"/>
        <v>Southbound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5"/>
        <v>https://d0f6bd738d7f1b3e5a7ca70fe4ff75f0.us-east-1.aws.found.io/app/kibana#/discover/Steve-Slow-Train-Analysis-(2080s-and-2083s)?_g=(refreshInterval:(display:Off,pause:!f,section:0,value:0),time:(from:'2017-03-19T08:21:54-0600',mode:absolute,to:'2017-03-19T11:03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4" s="187" t="str">
        <f t="shared" si="6"/>
        <v>N</v>
      </c>
      <c r="X54" s="187">
        <f t="shared" si="24"/>
        <v>1</v>
      </c>
      <c r="Y54" s="62">
        <f t="shared" si="8"/>
        <v>23.299299999999999</v>
      </c>
      <c r="Z54" s="62">
        <f t="shared" si="25"/>
        <v>1.52E-2</v>
      </c>
      <c r="AA54" s="62">
        <f t="shared" si="10"/>
        <v>23.284099999999999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0140-19</v>
      </c>
      <c r="AE54" s="85" t="str">
        <f t="shared" si="12"/>
        <v>aws s3 cp s3://rtdc.mdm.uploadarchive.raw/RTDC4019/ "%USERPROFILE%\AppData\Local\Temp\OnboardLogs"\RTDC4019\2017-03-19 --exclude "*" --recursive --include "*20170319*" &amp; "%USERPROFILE%\Documents\GitHub\mrs-test-scripts\Headless Mode &amp; Sideloading\WalkAndUnGZ.bat" "%USERPROFILE%\AppData\Local\Temp\OnboardLogs"\RTDC4019\2017-03-19 &amp; aws s3 cp s3://rtdc.mdm.uploadarchive.raw/RTDC4019/ "%USERPROFILE%\AppData\Local\Temp\OnboardLogs"\RTDC4019\2017-03-20 --exclude "*" --recursive --include "*20170320*" &amp; "%USERPROFILE%\Documents\GitHub\mrs-test-scripts\Headless Mode &amp; Sideloading\WalkAndUnGZ.bat" "%USERPROFILE%\AppData\Local\Temp\OnboardLogs"\RTDC4019\2017-03-20</v>
      </c>
      <c r="AF54" s="82" t="str">
        <f t="shared" si="13"/>
        <v>"C:\Program Files (x86)\AstroGrep\AstroGrep.exe" /e /r /s /spath="%USERPROFILE%\AppData\Local\Temp\OnboardLogs" /stypes="app*4019*20170319*" /stext=" 16:.+((SYSTEM_STATE.+slice.+state.+changed )|(ment ac)|(multiple cpu faults)|(system.+state.+changed )|(\[timeout)|(PRM\|1\|D)|(kpr)|(kdp)|(\|lc)|(penalty))"</v>
      </c>
      <c r="AG54" s="1" t="str">
        <f t="shared" si="14"/>
        <v>EC</v>
      </c>
      <c r="AH54" s="86" t="str">
        <f t="shared" si="18"/>
        <v>"%USERPROFILE%\Documents\GitHub\eaglep3\Utilities\RefineRTDCRunTimes.py" --tripid 140-19 --locoid 4019 --swversion DE.1.0.9.0 --startMP 204:232993 --initTime 2017-03-19T09:21:54 --startdatetime 2017-03-19T09:26:16 --delay 1 --endMP 204:152 --enddatetime 2017-03-19T10:03:41 --enforcementcount 0 &gt;&gt;%USERPROFILE%\Documents\GitHub\eaglep3-reporting\EC\2017-03-19-refined-times.txt</v>
      </c>
      <c r="AI54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{"issue":{"subject":"","project_id":79,"tracker_id":40,"status_id":1,"priority_id":2,"assigned_to_id":23,"start_date":"2017-03-19","description":"","custom_fields":[{"id":1,"name":"Subdivision","value":"EC"},{"id":4,"name":"Milepost","value":"0.0152"},{"id":17,"name":"Train ID","value":"140-19"},{"id":16,"name":"Locomotive ID","value":"4019"},{"id":130,"name":"Impact","value":""},{"id":150,"name":"Time of Event (Mountain Time)","value":"10:03:41"},{"id":151,"name":"Denver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4019 --day 2017-03-19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"%USERPROFILE%\AppData\Local\Temp\OnboardLogs"\RTDC4019\*4019*20170319* | grep -SE "(Enforcement Action)|(\[TIMEOUT)|(CHR.+\|PRM\|1\|D.+(SWITCH|SIGNAL).+UNKNOWN)" - &gt;&gt; 2017-03-19-UncaughtWiMAX.txt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655</v>
      </c>
      <c r="B55" s="7">
        <v>4040</v>
      </c>
      <c r="C55" s="21" t="s">
        <v>221</v>
      </c>
      <c r="D55" s="21" t="s">
        <v>217</v>
      </c>
      <c r="E55" s="13">
        <v>42813.357523148145</v>
      </c>
      <c r="F55" s="13">
        <v>42813.364953703705</v>
      </c>
      <c r="G55" s="7">
        <v>1</v>
      </c>
      <c r="H55" s="21" t="s">
        <v>827</v>
      </c>
      <c r="I55" s="13">
        <v>42813.389525462961</v>
      </c>
      <c r="J55" s="7">
        <v>0</v>
      </c>
      <c r="K55" s="98" t="str">
        <f t="shared" si="0"/>
        <v>4039/4040</v>
      </c>
      <c r="L55" s="21" t="str">
        <f>VLOOKUP(A55,'Trips&amp;Operators'!$C$1:$G$99999,5,FALSE)</f>
        <v>SANTIZO D. EDY</v>
      </c>
      <c r="M55" s="6">
        <f t="shared" si="23"/>
        <v>2.4571759255195502E-2</v>
      </c>
      <c r="N55" s="7">
        <f t="shared" si="26"/>
        <v>35.383333327481523</v>
      </c>
      <c r="O55" s="7"/>
      <c r="P55" s="7"/>
      <c r="Q55" s="22"/>
      <c r="R55" s="22"/>
      <c r="S55" s="31">
        <f t="shared" si="27"/>
        <v>1</v>
      </c>
      <c r="T55" s="46" t="str">
        <f t="shared" si="4"/>
        <v>NorthBound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5"/>
        <v>https://d0f6bd738d7f1b3e5a7ca70fe4ff75f0.us-east-1.aws.found.io/app/kibana#/discover/Steve-Slow-Train-Analysis-(2080s-and-2083s)?_g=(refreshInterval:(display:Off,pause:!f,section:0,value:0),time:(from:'2017-03-19T07:34:50-0600',mode:absolute,to:'2017-03-19T10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5" s="187" t="str">
        <f t="shared" si="6"/>
        <v>N</v>
      </c>
      <c r="X55" s="187">
        <f t="shared" si="24"/>
        <v>1</v>
      </c>
      <c r="Y55" s="62">
        <f t="shared" si="8"/>
        <v>4.4699999999999997E-2</v>
      </c>
      <c r="Z55" s="62">
        <f t="shared" si="25"/>
        <v>23.328800000000001</v>
      </c>
      <c r="AA55" s="62">
        <f t="shared" si="10"/>
        <v>23.284100000000002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0141-19</v>
      </c>
      <c r="AE55" s="85" t="str">
        <f t="shared" si="12"/>
        <v>aws s3 cp s3://rtdc.mdm.uploadarchive.raw/RTDC4040/ "%USERPROFILE%\AppData\Local\Temp\OnboardLogs"\RTDC4040\2017-03-19 --exclude "*" --recursive --include "*20170319*" &amp; "%USERPROFILE%\Documents\GitHub\mrs-test-scripts\Headless Mode &amp; Sideloading\WalkAndUnGZ.bat" "%USERPROFILE%\AppData\Local\Temp\OnboardLogs"\RTDC4040\2017-03-19 &amp; 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</v>
      </c>
      <c r="AF55" s="82" t="str">
        <f t="shared" si="13"/>
        <v>"C:\Program Files (x86)\AstroGrep\AstroGrep.exe" /e /r /s /spath="%USERPROFILE%\AppData\Local\Temp\OnboardLogs" /stypes="app*4040*20170319*" /stext=" 15:.+((SYSTEM_STATE.+slice.+state.+changed )|(ment ac)|(multiple cpu faults)|(system.+state.+changed )|(\[timeout)|(PRM\|1\|D)|(kpr)|(kdp)|(\|lc)|(penalty))"</v>
      </c>
      <c r="AG55" s="1" t="str">
        <f t="shared" si="14"/>
        <v>EC</v>
      </c>
      <c r="AH55" s="86" t="str">
        <f t="shared" si="18"/>
        <v>"%USERPROFILE%\Documents\GitHub\eaglep3\Utilities\RefineRTDCRunTimes.py" --tripid 141-19 --locoid 4040 --swversion DE.1.0.9.0 --startMP 204:447 --initTime 2017-03-19T08:34:50 --startdatetime 2017-03-19T08:45:32 --delay 1 --endMP 204:233288 --enddatetime 2017-03-19T09:20:55 --enforcementcount 0 &gt;&gt;%USERPROFILE%\Documents\GitHub\eaglep3-reporting\EC\2017-03-19-refined-times.txt</v>
      </c>
      <c r="AI55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{"issue":{"subject":"","project_id":79,"tracker_id":40,"status_id":1,"priority_id":2,"assigned_to_id":23,"start_date":"2017-03-19","description":"","custom_fields":[{"id":1,"name":"Subdivision","value":"EC"},{"id":4,"name":"Milepost","value":"23.3288"},{"id":17,"name":"Train ID","value":"141-19"},{"id":16,"name":"Locomotive ID","value":"4040"},{"id":130,"name":"Impact","value":""},{"id":150,"name":"Time of Event (Mountain Time)","value":"09:20:55"},{"id":151,"name":"Denver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4040 --day 2017-03-19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"%USERPROFILE%\AppData\Local\Temp\OnboardLogs"\RTDC4040\*4040*20170319* | grep -SE "(Enforcement Action)|(\[TIMEOUT)|(CHR.+\|PRM\|1\|D.+(SWITCH|SIGNAL).+UNKNOWN)" - &gt;&gt; 2017-03-19-UncaughtWiMAX.txt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663</v>
      </c>
      <c r="B56" s="7">
        <v>4039</v>
      </c>
      <c r="C56" s="21" t="s">
        <v>221</v>
      </c>
      <c r="D56" s="21" t="s">
        <v>563</v>
      </c>
      <c r="E56" s="13">
        <v>42813.391076388885</v>
      </c>
      <c r="F56" s="13">
        <v>42813.403703703705</v>
      </c>
      <c r="G56" s="7">
        <v>1</v>
      </c>
      <c r="H56" s="21" t="s">
        <v>216</v>
      </c>
      <c r="I56" s="13">
        <v>42813.430694444447</v>
      </c>
      <c r="J56" s="7">
        <v>0</v>
      </c>
      <c r="K56" s="98" t="str">
        <f t="shared" si="0"/>
        <v>4039/4040</v>
      </c>
      <c r="L56" s="21" t="str">
        <f>VLOOKUP(A56,'Trips&amp;Operators'!$C$1:$G$99999,5,FALSE)</f>
        <v>SANTIZO D. EDY</v>
      </c>
      <c r="M56" s="6">
        <f t="shared" si="23"/>
        <v>2.6990740741894115E-2</v>
      </c>
      <c r="N56" s="7">
        <f t="shared" si="26"/>
        <v>38.866666668327525</v>
      </c>
      <c r="O56" s="7"/>
      <c r="P56" s="7"/>
      <c r="Q56" s="22"/>
      <c r="R56" s="22"/>
      <c r="S56" s="31">
        <f t="shared" si="27"/>
        <v>1</v>
      </c>
      <c r="T56" s="46" t="str">
        <f t="shared" si="4"/>
        <v>Southbound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5"/>
        <v>https://d0f6bd738d7f1b3e5a7ca70fe4ff75f0.us-east-1.aws.found.io/app/kibana#/discover/Steve-Slow-Train-Analysis-(2080s-and-2083s)?_g=(refreshInterval:(display:Off,pause:!f,section:0,value:0),time:(from:'2017-03-19T08:23:09-0600',mode:absolute,to:'2017-03-19T11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6" s="187" t="str">
        <f t="shared" si="6"/>
        <v>N</v>
      </c>
      <c r="X56" s="187">
        <f t="shared" si="24"/>
        <v>1</v>
      </c>
      <c r="Y56" s="62">
        <f t="shared" si="8"/>
        <v>23.297999999999998</v>
      </c>
      <c r="Z56" s="62">
        <f t="shared" si="25"/>
        <v>1.47E-2</v>
      </c>
      <c r="AA56" s="62">
        <f t="shared" si="10"/>
        <v>23.283299999999997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0142-19</v>
      </c>
      <c r="AE56" s="85" t="str">
        <f t="shared" si="12"/>
        <v>aws s3 cp s3://rtdc.mdm.uploadarchive.raw/RTDC4039/ "%USERPROFILE%\AppData\Local\Temp\OnboardLogs"\RTDC4039\2017-03-19 --exclude "*" --recursive --include "*20170319*" &amp; "%USERPROFILE%\Documents\GitHub\mrs-test-scripts\Headless Mode &amp; Sideloading\WalkAndUnGZ.bat" "%USERPROFILE%\AppData\Local\Temp\OnboardLogs"\RTDC4039\2017-03-19 &amp; 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</v>
      </c>
      <c r="AF56" s="82" t="str">
        <f t="shared" si="13"/>
        <v>"C:\Program Files (x86)\AstroGrep\AstroGrep.exe" /e /r /s /spath="%USERPROFILE%\AppData\Local\Temp\OnboardLogs" /stypes="app*4039*20170319*" /stext=" 16:.+((SYSTEM_STATE.+slice.+state.+changed )|(ment ac)|(multiple cpu faults)|(system.+state.+changed )|(\[timeout)|(PRM\|1\|D)|(kpr)|(kdp)|(\|lc)|(penalty))"</v>
      </c>
      <c r="AG56" s="1" t="str">
        <f t="shared" si="14"/>
        <v>EC</v>
      </c>
      <c r="AH56" s="86" t="str">
        <f t="shared" si="18"/>
        <v>"%USERPROFILE%\Documents\GitHub\eaglep3\Utilities\RefineRTDCRunTimes.py" --tripid 142-19 --locoid 4039 --swversion DE.1.0.9.0 --startMP 204:232980 --initTime 2017-03-19T09:23:09 --startdatetime 2017-03-19T09:41:20 --delay 1 --endMP 204:147 --enddatetime 2017-03-19T10:20:12 --enforcementcount 0 &gt;&gt;%USERPROFILE%\Documents\GitHub\eaglep3-reporting\EC\2017-03-19-refined-times.txt</v>
      </c>
      <c r="AI56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{"issue":{"subject":"","project_id":79,"tracker_id":40,"status_id":1,"priority_id":2,"assigned_to_id":23,"start_date":"2017-03-19","description":"","custom_fields":[{"id":1,"name":"Subdivision","value":"EC"},{"id":4,"name":"Milepost","value":"0.0147"},{"id":17,"name":"Train ID","value":"142-19"},{"id":16,"name":"Locomotive ID","value":"4039"},{"id":130,"name":"Impact","value":""},{"id":150,"name":"Time of Event (Mountain Time)","value":"10:20:12"},{"id":151,"name":"Denver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4039 --day 2017-03-19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"%USERPROFILE%\AppData\Local\Temp\OnboardLogs"\RTDC4039\*4039*20170319* | grep -SE "(Enforcement Action)|(\[TIMEOUT)|(CHR.+\|PRM\|1\|D.+(SWITCH|SIGNAL).+UNKNOWN)" - &gt;&gt; 2017-03-19-UncaughtWiMAX.txt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657</v>
      </c>
      <c r="B57" s="7">
        <v>4053</v>
      </c>
      <c r="C57" s="21" t="s">
        <v>221</v>
      </c>
      <c r="D57" s="21" t="s">
        <v>828</v>
      </c>
      <c r="E57" s="13">
        <v>42813.37</v>
      </c>
      <c r="F57" s="13">
        <v>42813.375173611108</v>
      </c>
      <c r="G57" s="7">
        <v>1</v>
      </c>
      <c r="H57" s="21" t="s">
        <v>224</v>
      </c>
      <c r="I57" s="13">
        <v>42813.400208333333</v>
      </c>
      <c r="J57" s="7">
        <v>0</v>
      </c>
      <c r="K57" s="98" t="str">
        <f t="shared" si="0"/>
        <v>4053/4054</v>
      </c>
      <c r="L57" s="21" t="str">
        <f>VLOOKUP(A57,'Trips&amp;Operators'!$C$1:$G$99999,5,FALSE)</f>
        <v>SHOOK JOHN</v>
      </c>
      <c r="M57" s="6">
        <f t="shared" si="23"/>
        <v>2.5034722224518191E-2</v>
      </c>
      <c r="N57" s="7">
        <f t="shared" si="26"/>
        <v>36.050000003306195</v>
      </c>
      <c r="O57" s="7"/>
      <c r="P57" s="7"/>
      <c r="Q57" s="22"/>
      <c r="R57" s="22"/>
      <c r="S57" s="31">
        <f t="shared" si="27"/>
        <v>1</v>
      </c>
      <c r="T57" s="46" t="str">
        <f t="shared" si="4"/>
        <v>NorthBound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5"/>
        <v>https://d0f6bd738d7f1b3e5a7ca70fe4ff75f0.us-east-1.aws.found.io/app/kibana#/discover/Steve-Slow-Train-Analysis-(2080s-and-2083s)?_g=(refreshInterval:(display:Off,pause:!f,section:0,value:0),time:(from:'2017-03-19T07:52:48-0600',mode:absolute,to:'2017-03-19T10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7" s="187" t="str">
        <f t="shared" si="6"/>
        <v>N</v>
      </c>
      <c r="X57" s="187">
        <f t="shared" si="24"/>
        <v>1</v>
      </c>
      <c r="Y57" s="62">
        <f t="shared" si="8"/>
        <v>4.8000000000000001E-2</v>
      </c>
      <c r="Z57" s="62">
        <f t="shared" si="25"/>
        <v>23.331199999999999</v>
      </c>
      <c r="AA57" s="62">
        <f t="shared" si="10"/>
        <v>23.283200000000001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0143-19</v>
      </c>
      <c r="AE57" s="85" t="str">
        <f t="shared" si="12"/>
        <v>aws s3 cp s3://rtdc.mdm.uploadarchive.raw/RTDC4053/ "%USERPROFILE%\AppData\Local\Temp\OnboardLogs"\RTDC4053\2017-03-19 --exclude "*" --recursive --include "*20170319*" &amp; "%USERPROFILE%\Documents\GitHub\mrs-test-scripts\Headless Mode &amp; Sideloading\WalkAndUnGZ.bat" "%USERPROFILE%\AppData\Local\Temp\OnboardLogs"\RTDC4053\2017-03-19 &amp; aws s3 cp s3://rtdc.mdm.uploadarchive.raw/RTDC4053/ "%USERPROFILE%\AppData\Local\Temp\OnboardLogs"\RTDC4053\2017-03-20 --exclude "*" --recursive --include "*20170320*" &amp; "%USERPROFILE%\Documents\GitHub\mrs-test-scripts\Headless Mode &amp; Sideloading\WalkAndUnGZ.bat" "%USERPROFILE%\AppData\Local\Temp\OnboardLogs"\RTDC4053\2017-03-20</v>
      </c>
      <c r="AF57" s="82" t="str">
        <f t="shared" si="13"/>
        <v>"C:\Program Files (x86)\AstroGrep\AstroGrep.exe" /e /r /s /spath="%USERPROFILE%\AppData\Local\Temp\OnboardLogs" /stypes="app*4053*20170319*" /stext=" 15:.+((SYSTEM_STATE.+slice.+state.+changed )|(ment ac)|(multiple cpu faults)|(system.+state.+changed )|(\[timeout)|(PRM\|1\|D)|(kpr)|(kdp)|(\|lc)|(penalty))"</v>
      </c>
      <c r="AG57" s="1" t="str">
        <f t="shared" si="14"/>
        <v>EC</v>
      </c>
      <c r="AH57" s="86" t="str">
        <f t="shared" si="18"/>
        <v>"%USERPROFILE%\Documents\GitHub\eaglep3\Utilities\RefineRTDCRunTimes.py" --tripid 143-19 --locoid 4053 --swversion DE.1.0.9.0 --startMP 204:480 --initTime 2017-03-19T08:52:48 --startdatetime 2017-03-19T09:00:15 --delay 1 --endMP 204:233312 --enddatetime 2017-03-19T09:36:18 --enforcementcount 0 &gt;&gt;%USERPROFILE%\Documents\GitHub\eaglep3-reporting\EC\2017-03-19-refined-times.txt</v>
      </c>
      <c r="AI57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{"issue":{"subject":"","project_id":79,"tracker_id":40,"status_id":1,"priority_id":2,"assigned_to_id":23,"start_date":"2017-03-19","description":"","custom_fields":[{"id":1,"name":"Subdivision","value":"EC"},{"id":4,"name":"Milepost","value":"23.3312"},{"id":17,"name":"Train ID","value":"143-19"},{"id":16,"name":"Locomotive ID","value":"4053"},{"id":130,"name":"Impact","value":""},{"id":150,"name":"Time of Event (Mountain Time)","value":"09:36:18"},{"id":151,"name":"Denver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4053 --day 2017-03-19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"%USERPROFILE%\AppData\Local\Temp\OnboardLogs"\RTDC4053\*4053*20170319* | grep -SE "(Enforcement Action)|(\[TIMEOUT)|(CHR.+\|PRM\|1\|D.+(SWITCH|SIGNAL).+UNKNOWN)" - &gt;&gt; 2017-03-19-UncaughtWiMAX.txt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665</v>
      </c>
      <c r="B58" s="7">
        <v>4054</v>
      </c>
      <c r="C58" s="21" t="s">
        <v>221</v>
      </c>
      <c r="D58" s="21" t="s">
        <v>450</v>
      </c>
      <c r="E58" s="13">
        <v>42813.401782407411</v>
      </c>
      <c r="F58" s="13">
        <v>42813.414050925923</v>
      </c>
      <c r="G58" s="7">
        <v>1</v>
      </c>
      <c r="H58" s="21" t="s">
        <v>199</v>
      </c>
      <c r="I58" s="13">
        <v>42813.443252314813</v>
      </c>
      <c r="J58" s="7">
        <v>0</v>
      </c>
      <c r="K58" s="98" t="str">
        <f t="shared" si="0"/>
        <v>4053/4054</v>
      </c>
      <c r="L58" s="21" t="str">
        <f>VLOOKUP(A58,'Trips&amp;Operators'!$C$1:$G$99999,5,FALSE)</f>
        <v>SHOOK JOHN</v>
      </c>
      <c r="M58" s="6">
        <f t="shared" si="23"/>
        <v>2.920138889021473E-2</v>
      </c>
      <c r="N58" s="7">
        <f t="shared" si="26"/>
        <v>42.050000001909211</v>
      </c>
      <c r="O58" s="7"/>
      <c r="P58" s="7"/>
      <c r="Q58" s="22"/>
      <c r="R58" s="22"/>
      <c r="S58" s="31">
        <f t="shared" si="27"/>
        <v>1</v>
      </c>
      <c r="T58" s="46" t="str">
        <f t="shared" si="4"/>
        <v>Southbound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5"/>
        <v>https://d0f6bd738d7f1b3e5a7ca70fe4ff75f0.us-east-1.aws.found.io/app/kibana#/discover/Steve-Slow-Train-Analysis-(2080s-and-2083s)?_g=(refreshInterval:(display:Off,pause:!f,section:0,value:0),time:(from:'2017-03-19T08:38:34-0600',mode:absolute,to:'2017-03-19T11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8" s="187" t="str">
        <f t="shared" si="6"/>
        <v>N</v>
      </c>
      <c r="X58" s="187">
        <f t="shared" si="24"/>
        <v>1</v>
      </c>
      <c r="Y58" s="62">
        <f t="shared" si="8"/>
        <v>23.300799999999999</v>
      </c>
      <c r="Z58" s="62">
        <f t="shared" si="25"/>
        <v>1.5800000000000002E-2</v>
      </c>
      <c r="AA58" s="62">
        <f t="shared" si="10"/>
        <v>23.285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0144-19</v>
      </c>
      <c r="AE58" s="85" t="str">
        <f t="shared" si="12"/>
        <v>aws s3 cp s3://rtdc.mdm.uploadarchive.raw/RTDC4054/ "%USERPROFILE%\AppData\Local\Temp\OnboardLogs"\RTDC4054\2017-03-19 --exclude "*" --recursive --include "*20170319*" &amp; "%USERPROFILE%\Documents\GitHub\mrs-test-scripts\Headless Mode &amp; Sideloading\WalkAndUnGZ.bat" "%USERPROFILE%\AppData\Local\Temp\OnboardLogs"\RTDC4054\2017-03-19 &amp; aws s3 cp s3://rtdc.mdm.uploadarchive.raw/RTDC4054/ "%USERPROFILE%\AppData\Local\Temp\OnboardLogs"\RTDC4054\2017-03-20 --exclude "*" --recursive --include "*20170320*" &amp; "%USERPROFILE%\Documents\GitHub\mrs-test-scripts\Headless Mode &amp; Sideloading\WalkAndUnGZ.bat" "%USERPROFILE%\AppData\Local\Temp\OnboardLogs"\RTDC4054\2017-03-20</v>
      </c>
      <c r="AF58" s="82" t="str">
        <f t="shared" si="13"/>
        <v>"C:\Program Files (x86)\AstroGrep\AstroGrep.exe" /e /r /s /spath="%USERPROFILE%\AppData\Local\Temp\OnboardLogs" /stypes="app*4054*20170319*" /stext=" 16:.+((SYSTEM_STATE.+slice.+state.+changed )|(ment ac)|(multiple cpu faults)|(system.+state.+changed )|(\[timeout)|(PRM\|1\|D)|(kpr)|(kdp)|(\|lc)|(penalty))"</v>
      </c>
      <c r="AG58" s="1" t="str">
        <f t="shared" si="14"/>
        <v>EC</v>
      </c>
      <c r="AH58" s="86" t="str">
        <f t="shared" si="18"/>
        <v>"%USERPROFILE%\Documents\GitHub\eaglep3\Utilities\RefineRTDCRunTimes.py" --tripid 144-19 --locoid 4054 --swversion DE.1.0.9.0 --startMP 204:233008 --initTime 2017-03-19T09:38:34 --startdatetime 2017-03-19T09:56:14 --delay 1 --endMP 204:158 --enddatetime 2017-03-19T10:38:17 --enforcementcount 0 &gt;&gt;%USERPROFILE%\Documents\GitHub\eaglep3-reporting\EC\2017-03-19-refined-times.txt</v>
      </c>
      <c r="AI58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{"issue":{"subject":"","project_id":79,"tracker_id":40,"status_id":1,"priority_id":2,"assigned_to_id":23,"start_date":"2017-03-19","description":"","custom_fields":[{"id":1,"name":"Subdivision","value":"EC"},{"id":4,"name":"Milepost","value":"0.0158"},{"id":17,"name":"Train ID","value":"144-19"},{"id":16,"name":"Locomotive ID","value":"4054"},{"id":130,"name":"Impact","value":""},{"id":150,"name":"Time of Event (Mountain Time)","value":"10:38:17"},{"id":151,"name":"Denver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4054 --day 2017-03-19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"%USERPROFILE%\AppData\Local\Temp\OnboardLogs"\RTDC4054\*4054*20170319* | grep -SE "(Enforcement Action)|(\[TIMEOUT)|(CHR.+\|PRM\|1\|D.+(SWITCH|SIGNAL).+UNKNOWN)" - &gt;&gt; 2017-03-19-UncaughtWiMAX.txt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661</v>
      </c>
      <c r="B59" s="7">
        <v>4003</v>
      </c>
      <c r="C59" s="21" t="s">
        <v>221</v>
      </c>
      <c r="D59" s="21" t="s">
        <v>222</v>
      </c>
      <c r="E59" s="13">
        <v>42813.382002314815</v>
      </c>
      <c r="F59" s="13">
        <v>42813.385671296295</v>
      </c>
      <c r="G59" s="7">
        <v>1</v>
      </c>
      <c r="H59" s="21" t="s">
        <v>545</v>
      </c>
      <c r="I59" s="13">
        <v>42813.410208333335</v>
      </c>
      <c r="J59" s="7">
        <v>0</v>
      </c>
      <c r="K59" s="98" t="str">
        <f t="shared" si="0"/>
        <v>4003/4004</v>
      </c>
      <c r="L59" s="21" t="str">
        <f>VLOOKUP(A59,'Trips&amp;Operators'!$C$1:$G$99999,5,FALSE)</f>
        <v>MAELZER KURT</v>
      </c>
      <c r="M59" s="6">
        <f t="shared" si="23"/>
        <v>2.453703703940846E-2</v>
      </c>
      <c r="N59" s="7">
        <f t="shared" si="26"/>
        <v>35.333333336748183</v>
      </c>
      <c r="O59" s="7"/>
      <c r="P59" s="7"/>
      <c r="Q59" s="22"/>
      <c r="R59" s="22"/>
      <c r="S59" s="31">
        <f t="shared" si="27"/>
        <v>1</v>
      </c>
      <c r="T59" s="46" t="str">
        <f t="shared" si="4"/>
        <v>NorthBound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5"/>
        <v>https://d0f6bd738d7f1b3e5a7ca70fe4ff75f0.us-east-1.aws.found.io/app/kibana#/discover/Steve-Slow-Train-Analysis-(2080s-and-2083s)?_g=(refreshInterval:(display:Off,pause:!f,section:0,value:0),time:(from:'2017-03-19T08:10:05-0600',mode:absolute,to:'2017-03-19T10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9" s="187" t="str">
        <f t="shared" si="6"/>
        <v>N</v>
      </c>
      <c r="X59" s="187">
        <f t="shared" si="24"/>
        <v>1</v>
      </c>
      <c r="Y59" s="62">
        <f t="shared" si="8"/>
        <v>4.58E-2</v>
      </c>
      <c r="Z59" s="62">
        <f t="shared" si="25"/>
        <v>23.330300000000001</v>
      </c>
      <c r="AA59" s="62">
        <f t="shared" si="10"/>
        <v>23.284500000000001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0145-19</v>
      </c>
      <c r="AE59" s="85" t="str">
        <f t="shared" si="12"/>
        <v>aws s3 cp s3://rtdc.mdm.uploadarchive.raw/RTDC4003/ "%USERPROFILE%\AppData\Local\Temp\OnboardLogs"\RTDC4003\2017-03-19 --exclude "*" --recursive --include "*20170319*" &amp; "%USERPROFILE%\Documents\GitHub\mrs-test-scripts\Headless Mode &amp; Sideloading\WalkAndUnGZ.bat" "%USERPROFILE%\AppData\Local\Temp\OnboardLogs"\RTDC4003\2017-03-19 &amp; 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</v>
      </c>
      <c r="AF59" s="82" t="str">
        <f t="shared" si="13"/>
        <v>"C:\Program Files (x86)\AstroGrep\AstroGrep.exe" /e /r /s /spath="%USERPROFILE%\AppData\Local\Temp\OnboardLogs" /stypes="app*4003*20170319*" /stext=" 15:.+((SYSTEM_STATE.+slice.+state.+changed )|(ment ac)|(multiple cpu faults)|(system.+state.+changed )|(\[timeout)|(PRM\|1\|D)|(kpr)|(kdp)|(\|lc)|(penalty))"</v>
      </c>
      <c r="AG59" s="1" t="str">
        <f t="shared" si="14"/>
        <v>EC</v>
      </c>
      <c r="AH59" s="86" t="str">
        <f t="shared" si="18"/>
        <v>"%USERPROFILE%\Documents\GitHub\eaglep3\Utilities\RefineRTDCRunTimes.py" --tripid 145-19 --locoid 4003 --swversion DE.1.0.9.0 --startMP 204:458 --initTime 2017-03-19T09:10:05 --startdatetime 2017-03-19T09:15:22 --delay 1 --endMP 204:233303 --enddatetime 2017-03-19T09:50:42 --enforcementcount 0 &gt;&gt;%USERPROFILE%\Documents\GitHub\eaglep3-reporting\EC\2017-03-19-refined-times.txt</v>
      </c>
      <c r="AI59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{"issue":{"subject":"","project_id":79,"tracker_id":40,"status_id":1,"priority_id":2,"assigned_to_id":23,"start_date":"2017-03-19","description":"","custom_fields":[{"id":1,"name":"Subdivision","value":"EC"},{"id":4,"name":"Milepost","value":"23.3303"},{"id":17,"name":"Train ID","value":"145-19"},{"id":16,"name":"Locomotive ID","value":"4003"},{"id":130,"name":"Impact","value":""},{"id":150,"name":"Time of Event (Mountain Time)","value":"09:50:42"},{"id":151,"name":"Denver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4003 --day 2017-03-19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"%USERPROFILE%\AppData\Local\Temp\OnboardLogs"\RTDC4003\*4003*20170319* | grep -SE "(Enforcement Action)|(\[TIMEOUT)|(CHR.+\|PRM\|1\|D.+(SWITCH|SIGNAL).+UNKNOWN)" - &gt;&gt; 2017-03-19-UncaughtWiMAX.txt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581</v>
      </c>
      <c r="B60" s="7">
        <v>4004</v>
      </c>
      <c r="C60" s="21" t="s">
        <v>221</v>
      </c>
      <c r="D60" s="21" t="s">
        <v>538</v>
      </c>
      <c r="E60" s="13">
        <v>42813.422222222223</v>
      </c>
      <c r="F60" s="13">
        <v>42813.42460648148</v>
      </c>
      <c r="G60" s="7">
        <v>0</v>
      </c>
      <c r="H60" s="21" t="s">
        <v>401</v>
      </c>
      <c r="I60" s="13">
        <v>42813.453611111108</v>
      </c>
      <c r="J60" s="7">
        <v>0</v>
      </c>
      <c r="K60" s="98" t="str">
        <f t="shared" si="0"/>
        <v>4003/4004</v>
      </c>
      <c r="L60" s="21" t="str">
        <f>VLOOKUP(A60,'Trips&amp;Operators'!$C$1:$G$99999,5,FALSE)</f>
        <v>MAELZER KURT</v>
      </c>
      <c r="M60" s="6">
        <f t="shared" si="23"/>
        <v>2.9004629628616385E-2</v>
      </c>
      <c r="N60" s="7">
        <f t="shared" si="26"/>
        <v>41.766666665207595</v>
      </c>
      <c r="O60" s="7"/>
      <c r="P60" s="7"/>
      <c r="Q60" s="22"/>
      <c r="R60" s="22"/>
      <c r="S60" s="31">
        <f t="shared" si="27"/>
        <v>1</v>
      </c>
      <c r="T60" s="46" t="str">
        <f t="shared" si="4"/>
        <v>Southbound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5"/>
        <v>https://d0f6bd738d7f1b3e5a7ca70fe4ff75f0.us-east-1.aws.found.io/app/kibana#/discover/Steve-Slow-Train-Analysis-(2080s-and-2083s)?_g=(refreshInterval:(display:Off,pause:!f,section:0,value:0),time:(from:'2017-03-19T09:08:00-0600',mode:absolute,to:'2017-03-19T11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0" s="187" t="str">
        <f t="shared" si="6"/>
        <v>N</v>
      </c>
      <c r="X60" s="187">
        <f t="shared" si="24"/>
        <v>1</v>
      </c>
      <c r="Y60" s="62">
        <f t="shared" si="8"/>
        <v>23.2986</v>
      </c>
      <c r="Z60" s="62">
        <f t="shared" si="25"/>
        <v>1.38E-2</v>
      </c>
      <c r="AA60" s="62">
        <f t="shared" si="10"/>
        <v>23.284800000000001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0146-19</v>
      </c>
      <c r="AE60" s="85" t="str">
        <f t="shared" si="12"/>
        <v>aws s3 cp s3://rtdc.mdm.uploadarchive.raw/RTDC4004/ "%USERPROFILE%\AppData\Local\Temp\OnboardLogs"\RTDC4004\2017-03-19 --exclude "*" --recursive --include "*20170319*" &amp; "%USERPROFILE%\Documents\GitHub\mrs-test-scripts\Headless Mode &amp; Sideloading\WalkAndUnGZ.bat" "%USERPROFILE%\AppData\Local\Temp\OnboardLogs"\RTDC4004\2017-03-19 &amp; 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</v>
      </c>
      <c r="AF60" s="82" t="str">
        <f t="shared" si="13"/>
        <v>"C:\Program Files (x86)\AstroGrep\AstroGrep.exe" /e /r /s /spath="%USERPROFILE%\AppData\Local\Temp\OnboardLogs" /stypes="app*4004*20170319*" /stext=" 16:.+((SYSTEM_STATE.+slice.+state.+changed )|(ment ac)|(multiple cpu faults)|(system.+state.+changed )|(\[timeout)|(PRM\|1\|D)|(kpr)|(kdp)|(\|lc)|(penalty))"</v>
      </c>
      <c r="AG60" s="1" t="str">
        <f t="shared" si="14"/>
        <v>EC</v>
      </c>
      <c r="AH60" s="86" t="str">
        <f t="shared" si="18"/>
        <v>"%USERPROFILE%\Documents\GitHub\eaglep3\Utilities\RefineRTDCRunTimes.py" --tripid 146-19 --locoid 4004 --swversion DE.1.0.9.0 --startMP 204:232986 --initTime 2017-03-19T10:08:00 --startdatetime 2017-03-19T10:11:26 --delay 0 --endMP 204:138 --enddatetime 2017-03-19T10:53:12 --enforcementcount 0 &gt;&gt;%USERPROFILE%\Documents\GitHub\eaglep3-reporting\EC\2017-03-19-refined-times.txt</v>
      </c>
      <c r="AI60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{"issue":{"subject":"","project_id":79,"tracker_id":40,"status_id":1,"priority_id":2,"assigned_to_id":23,"start_date":"2017-03-19","description":"","custom_fields":[{"id":1,"name":"Subdivision","value":"EC"},{"id":4,"name":"Milepost","value":"0.0138"},{"id":17,"name":"Train ID","value":"146-19"},{"id":16,"name":"Locomotive ID","value":"4004"},{"id":130,"name":"Impact","value":""},{"id":150,"name":"Time of Event (Mountain Time)","value":"10:53:12"},{"id":151,"name":"Denver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4004 --day 2017-03-19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"%USERPROFILE%\AppData\Local\Temp\OnboardLogs"\RTDC4004\*4004*20170319* | grep -SE "(Enforcement Action)|(\[TIMEOUT)|(CHR.+\|PRM\|1\|D.+(SWITCH|SIGNAL).+UNKNOWN)" - &gt;&gt; 2017-03-19-UncaughtWiMAX.txt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579</v>
      </c>
      <c r="B61" s="7">
        <v>4002</v>
      </c>
      <c r="C61" s="21" t="s">
        <v>221</v>
      </c>
      <c r="D61" s="21" t="s">
        <v>472</v>
      </c>
      <c r="E61" s="13">
        <v>42813.393912037034</v>
      </c>
      <c r="F61" s="13">
        <v>42813.396111111113</v>
      </c>
      <c r="G61" s="7">
        <v>0</v>
      </c>
      <c r="H61" s="21" t="s">
        <v>829</v>
      </c>
      <c r="I61" s="13">
        <v>42813.423541666663</v>
      </c>
      <c r="J61" s="7">
        <v>0</v>
      </c>
      <c r="K61" s="98" t="str">
        <f t="shared" si="0"/>
        <v>4001/4002</v>
      </c>
      <c r="L61" s="21" t="str">
        <f>VLOOKUP(A61,'Trips&amp;Operators'!$C$1:$G$99999,5,FALSE)</f>
        <v>BADERTSCHER DIANE</v>
      </c>
      <c r="M61" s="6">
        <f t="shared" si="23"/>
        <v>2.7430555550381541E-2</v>
      </c>
      <c r="N61" s="7">
        <f t="shared" si="26"/>
        <v>39.499999992549419</v>
      </c>
      <c r="O61" s="7"/>
      <c r="P61" s="7"/>
      <c r="Q61" s="22"/>
      <c r="R61" s="22"/>
      <c r="S61" s="31">
        <f t="shared" si="27"/>
        <v>1</v>
      </c>
      <c r="T61" s="46" t="str">
        <f t="shared" si="4"/>
        <v>NorthBound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5"/>
        <v>https://d0f6bd738d7f1b3e5a7ca70fe4ff75f0.us-east-1.aws.found.io/app/kibana#/discover/Steve-Slow-Train-Analysis-(2080s-and-2083s)?_g=(refreshInterval:(display:Off,pause:!f,section:0,value:0),time:(from:'2017-03-19T08:27:14-0600',mode:absolute,to:'2017-03-19T11:09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1" s="187" t="str">
        <f t="shared" si="6"/>
        <v>N</v>
      </c>
      <c r="X61" s="187">
        <f t="shared" si="24"/>
        <v>1</v>
      </c>
      <c r="Y61" s="62">
        <f t="shared" si="8"/>
        <v>4.3099999999999999E-2</v>
      </c>
      <c r="Z61" s="62">
        <f t="shared" si="25"/>
        <v>23.328499999999998</v>
      </c>
      <c r="AA61" s="62">
        <f t="shared" si="10"/>
        <v>23.285399999999999</v>
      </c>
      <c r="AB61" s="59" t="str">
        <f>VLOOKUP(A61,Enforcements!$C$7:$K$13,8,0)</f>
        <v>Speed (6)</v>
      </c>
      <c r="AC61" s="55" t="str">
        <f>VLOOKUP(A61,Enforcements!$C$7:$E$13,3,0)</f>
        <v>PERMANENT SPEED RESTRICTION</v>
      </c>
      <c r="AD61" s="56" t="str">
        <f t="shared" si="11"/>
        <v>0147-19</v>
      </c>
      <c r="AE61" s="85" t="str">
        <f t="shared" si="12"/>
        <v>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 &amp; 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</v>
      </c>
      <c r="AF61" s="82" t="str">
        <f t="shared" si="13"/>
        <v>"C:\Program Files (x86)\AstroGrep\AstroGrep.exe" /e /r /s /spath="%USERPROFILE%\AppData\Local\Temp\OnboardLogs" /stypes="app*4002*20170319*" /stext=" 16:.+((SYSTEM_STATE.+slice.+state.+changed )|(ment ac)|(multiple cpu faults)|(system.+state.+changed )|(\[timeout)|(PRM\|1\|D)|(kpr)|(kdp)|(\|lc)|(penalty))"</v>
      </c>
      <c r="AG61" s="1" t="str">
        <f t="shared" si="14"/>
        <v>EC</v>
      </c>
      <c r="AH61" s="86" t="str">
        <f t="shared" si="18"/>
        <v>"%USERPROFILE%\Documents\GitHub\eaglep3\Utilities\RefineRTDCRunTimes.py" --tripid 147-19 --locoid 4002 --swversion DE.1.0.9.0 --startMP 204:431 --initTime 2017-03-19T09:27:14 --startdatetime 2017-03-19T09:30:24 --delay 0 --endMP 204:233285 --enddatetime 2017-03-19T10:09:54 --enforcementcount 0 &gt;&gt;%USERPROFILE%\Documents\GitHub\eaglep3-reporting\EC\2017-03-19-refined-times.txt</v>
      </c>
      <c r="AI61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{"issue":{"subject":"","project_id":79,"tracker_id":40,"status_id":1,"priority_id":2,"assigned_to_id":23,"start_date":"2017-03-19","description":"","custom_fields":[{"id":1,"name":"Subdivision","value":"EC"},{"id":4,"name":"Milepost","value":"23.3285"},{"id":17,"name":"Train ID","value":"147-19"},{"id":16,"name":"Locomotive ID","value":"4002"},{"id":130,"name":"Impact","value":""},{"id":150,"name":"Time of Event (Mountain Time)","value":"10:09:54"},{"id":151,"name":"Denver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4002 --day 2017-03-19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"%USERPROFILE%\AppData\Local\Temp\OnboardLogs"\RTDC4002\*4002*20170319* | grep -SE "(Enforcement Action)|(\[TIMEOUT)|(CHR.+\|PRM\|1\|D.+(SWITCH|SIGNAL).+UNKNOWN)" - &gt;&gt; 2017-03-19-UncaughtWiMAX.txt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585</v>
      </c>
      <c r="B62" s="7">
        <v>4001</v>
      </c>
      <c r="C62" s="21" t="s">
        <v>221</v>
      </c>
      <c r="D62" s="21" t="s">
        <v>830</v>
      </c>
      <c r="E62" s="13">
        <v>42813.426446759258</v>
      </c>
      <c r="F62" s="13">
        <v>42813.435185185182</v>
      </c>
      <c r="G62" s="7">
        <v>1</v>
      </c>
      <c r="H62" s="21" t="s">
        <v>477</v>
      </c>
      <c r="I62" s="13">
        <v>42813.463055555556</v>
      </c>
      <c r="J62" s="7">
        <v>0</v>
      </c>
      <c r="K62" s="98" t="str">
        <f t="shared" si="0"/>
        <v>4001/4002</v>
      </c>
      <c r="L62" s="21" t="str">
        <f>VLOOKUP(A62,'Trips&amp;Operators'!$C$1:$G$99999,5,FALSE)</f>
        <v>BADERTSCHER DIANE</v>
      </c>
      <c r="M62" s="6">
        <f t="shared" si="23"/>
        <v>2.7870370373420883E-2</v>
      </c>
      <c r="N62" s="7">
        <f t="shared" si="26"/>
        <v>40.133333337726071</v>
      </c>
      <c r="O62" s="7"/>
      <c r="P62" s="7"/>
      <c r="Q62" s="22"/>
      <c r="R62" s="22"/>
      <c r="S62" s="31">
        <f t="shared" si="27"/>
        <v>1</v>
      </c>
      <c r="T62" s="46" t="str">
        <f t="shared" si="4"/>
        <v>Southbound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5"/>
        <v>https://d0f6bd738d7f1b3e5a7ca70fe4ff75f0.us-east-1.aws.found.io/app/kibana#/discover/Steve-Slow-Train-Analysis-(2080s-and-2083s)?_g=(refreshInterval:(display:Off,pause:!f,section:0,value:0),time:(from:'2017-03-19T09:14:05-0600',mode:absolute,to:'2017-03-19T12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2" s="187" t="str">
        <f t="shared" si="6"/>
        <v>N</v>
      </c>
      <c r="X62" s="187">
        <f t="shared" si="24"/>
        <v>1</v>
      </c>
      <c r="Y62" s="62">
        <f t="shared" si="8"/>
        <v>23.2972</v>
      </c>
      <c r="Z62" s="62">
        <f t="shared" si="25"/>
        <v>1.6E-2</v>
      </c>
      <c r="AA62" s="62">
        <f t="shared" si="10"/>
        <v>23.281200000000002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0148-19</v>
      </c>
      <c r="AE62" s="85" t="str">
        <f t="shared" si="12"/>
        <v>aws s3 cp s3://rtdc.mdm.uploadarchive.raw/RTDC4001/ "%USERPROFILE%\AppData\Local\Temp\OnboardLogs"\RTDC4001\2017-03-19 --exclude "*" --recursive --include "*20170319*" &amp; "%USERPROFILE%\Documents\GitHub\mrs-test-scripts\Headless Mode &amp; Sideloading\WalkAndUnGZ.bat" "%USERPROFILE%\AppData\Local\Temp\OnboardLogs"\RTDC4001\2017-03-19 &amp; aws s3 cp s3://rtdc.mdm.uploadarchive.raw/RTDC4001/ "%USERPROFILE%\AppData\Local\Temp\OnboardLogs"\RTDC4001\2017-03-20 --exclude "*" --recursive --include "*20170320*" &amp; "%USERPROFILE%\Documents\GitHub\mrs-test-scripts\Headless Mode &amp; Sideloading\WalkAndUnGZ.bat" "%USERPROFILE%\AppData\Local\Temp\OnboardLogs"\RTDC4001\2017-03-20</v>
      </c>
      <c r="AF62" s="82" t="str">
        <f t="shared" si="13"/>
        <v>"C:\Program Files (x86)\AstroGrep\AstroGrep.exe" /e /r /s /spath="%USERPROFILE%\AppData\Local\Temp\OnboardLogs" /stypes="app*4001*20170319*" /stext=" 17:.+((SYSTEM_STATE.+slice.+state.+changed )|(ment ac)|(multiple cpu faults)|(system.+state.+changed )|(\[timeout)|(PRM\|1\|D)|(kpr)|(kdp)|(\|lc)|(penalty))"</v>
      </c>
      <c r="AG62" s="1" t="str">
        <f t="shared" si="14"/>
        <v>EC</v>
      </c>
      <c r="AH62" s="86" t="str">
        <f t="shared" si="18"/>
        <v>"%USERPROFILE%\Documents\GitHub\eaglep3\Utilities\RefineRTDCRunTimes.py" --tripid 148-19 --locoid 4001 --swversion DE.1.0.9.0 --startMP 204:232972 --initTime 2017-03-19T10:14:05 --startdatetime 2017-03-19T10:26:40 --delay 1 --endMP 204:160 --enddatetime 2017-03-19T11:06:48 --enforcementcount 0 &gt;&gt;%USERPROFILE%\Documents\GitHub\eaglep3-reporting\EC\2017-03-19-refined-times.txt</v>
      </c>
      <c r="AI62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{"issue":{"subject":"","project_id":79,"tracker_id":40,"status_id":1,"priority_id":2,"assigned_to_id":23,"start_date":"2017-03-19","description":"","custom_fields":[{"id":1,"name":"Subdivision","value":"EC"},{"id":4,"name":"Milepost","value":"0.016"},{"id":17,"name":"Train ID","value":"148-19"},{"id":16,"name":"Locomotive ID","value":"4001"},{"id":130,"name":"Impact","value":""},{"id":150,"name":"Time of Event (Mountain Time)","value":"11:06:48"},{"id":151,"name":"Denver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4001 --day 2017-03-19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"%USERPROFILE%\AppData\Local\Temp\OnboardLogs"\RTDC4001\*4001*20170319* | grep -SE "(Enforcement Action)|(\[TIMEOUT)|(CHR.+\|PRM\|1\|D.+(SWITCH|SIGNAL).+UNKNOWN)" - &gt;&gt; 2017-03-19-UncaughtWiMAX.txt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580</v>
      </c>
      <c r="B63" s="7">
        <v>4016</v>
      </c>
      <c r="C63" s="21" t="s">
        <v>221</v>
      </c>
      <c r="D63" s="21" t="s">
        <v>831</v>
      </c>
      <c r="E63" s="13">
        <v>42813.415729166663</v>
      </c>
      <c r="F63" s="13">
        <v>42813.416481481479</v>
      </c>
      <c r="G63" s="7">
        <v>1</v>
      </c>
      <c r="H63" s="21" t="s">
        <v>815</v>
      </c>
      <c r="I63" s="13">
        <v>42813.43472222222</v>
      </c>
      <c r="J63" s="7">
        <v>0</v>
      </c>
      <c r="K63" s="98" t="str">
        <f t="shared" si="0"/>
        <v>4015/4016</v>
      </c>
      <c r="L63" s="21" t="str">
        <f>VLOOKUP(A63,'Trips&amp;Operators'!$C$1:$G$99999,5,FALSE)</f>
        <v>DAVIS WENDY</v>
      </c>
      <c r="M63" s="6">
        <f t="shared" si="23"/>
        <v>1.8240740741021E-2</v>
      </c>
      <c r="N63" s="7"/>
      <c r="O63" s="7"/>
      <c r="P63" s="7">
        <f>24*60*SUM($M63:$M63)</f>
        <v>26.26666666707024</v>
      </c>
      <c r="Q63" s="22"/>
      <c r="R63" s="22" t="s">
        <v>961</v>
      </c>
      <c r="S63" s="31">
        <f>SUM(U63:U64)/IF(AG63="EC",12,1)</f>
        <v>1</v>
      </c>
      <c r="T63" s="46" t="str">
        <f t="shared" si="4"/>
        <v>NorthBound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9</v>
      </c>
      <c r="V63" s="186" t="str">
        <f t="shared" si="5"/>
        <v>https://d0f6bd738d7f1b3e5a7ca70fe4ff75f0.us-east-1.aws.found.io/app/kibana#/discover/Steve-Slow-Train-Analysis-(2080s-and-2083s)?_g=(refreshInterval:(display:Off,pause:!f,section:0,value:0),time:(from:'2017-03-19T08:58:39-0600',mode:absolute,to:'2017-03-19T11:26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3" s="187" t="str">
        <f t="shared" si="6"/>
        <v>Y</v>
      </c>
      <c r="X63" s="187">
        <f t="shared" si="24"/>
        <v>1</v>
      </c>
      <c r="Y63" s="62">
        <f t="shared" si="8"/>
        <v>3.8220999999999998</v>
      </c>
      <c r="Z63" s="62">
        <f t="shared" si="25"/>
        <v>23.327999999999999</v>
      </c>
      <c r="AA63" s="62">
        <f t="shared" si="10"/>
        <v>19.5059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0149-19</v>
      </c>
      <c r="AE63" s="85" t="str">
        <f t="shared" si="12"/>
        <v>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 &amp; 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</v>
      </c>
      <c r="AF63" s="82" t="str">
        <f t="shared" si="13"/>
        <v>"C:\Program Files (x86)\AstroGrep\AstroGrep.exe" /e /r /s /spath="%USERPROFILE%\AppData\Local\Temp\OnboardLogs" /stypes="app*4016*20170319*" /stext=" 16:.+((SYSTEM_STATE.+slice.+state.+changed )|(ment ac)|(multiple cpu faults)|(system.+state.+changed )|(\[timeout)|(PRM\|1\|D)|(kpr)|(kdp)|(\|lc)|(penalty))"</v>
      </c>
      <c r="AG63" s="1" t="str">
        <f t="shared" si="14"/>
        <v>EC</v>
      </c>
      <c r="AH63" s="86" t="str">
        <f t="shared" si="18"/>
        <v>"%USERPROFILE%\Documents\GitHub\eaglep3\Utilities\RefineRTDCRunTimes.py" --tripid 149-19 --locoid 4016 --swversion DE.1.0.9.0 --startMP 204:38221 --initTime 2017-03-19T09:58:39 --startdatetime 2017-03-19T09:59:44 --delay 1 --endMP 204:233280 --enddatetime 2017-03-19T10:26:00 --enforcementcount 0 &gt;&gt;%USERPROFILE%\Documents\GitHub\eaglep3-reporting\EC\2017-03-19-refined-times.txt</v>
      </c>
      <c r="AI63" s="108" t="str">
        <f t="shared" si="19"/>
        <v>echo {"issue":{"subject":"Wi-MAX data drop","project_id":79,"tracker_id":40,"status_id":1,"priority_id":2,"assigned_to_id":23,"start_date":"2017-03-19","description":"","custom_fields":[{"id":1,"name":"Subdivision","value":"EC"},{"id":4,"name":"Milepost","value":"23.328"},{"id":17,"name":"Train ID","value":"149-19"},{"id":16,"name":"Locomotive ID","value":"4016"},{"id":130,"name":"Impact","value":""},{"id":150,"name":"Time of Event (Mountain Time)","value":"10:26:00"},{"id":151,"name":"Denver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4016 --day 2017-03-19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"%USERPROFILE%\AppData\Local\Temp\OnboardLogs"\RTDC4016\*4016*20170319* | grep -SE "(Enforcement Action)|(\[TIMEOUT)|(CHR.+\|PRM\|1\|D.+(SWITCH|SIGNAL).+UNKNOWN)" - &gt;&gt; 2017-03-19-UncaughtWiMAX.txt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580</v>
      </c>
      <c r="B64" s="7">
        <v>4016</v>
      </c>
      <c r="C64" s="21" t="s">
        <v>221</v>
      </c>
      <c r="D64" s="21" t="s">
        <v>549</v>
      </c>
      <c r="E64" s="13">
        <v>42813.403715277775</v>
      </c>
      <c r="F64" s="13">
        <v>42813.416481481479</v>
      </c>
      <c r="G64" s="7">
        <v>1</v>
      </c>
      <c r="H64" s="21" t="s">
        <v>832</v>
      </c>
      <c r="I64" s="13">
        <v>42813.43472222222</v>
      </c>
      <c r="J64" s="7">
        <v>0</v>
      </c>
      <c r="K64" s="98" t="str">
        <f t="shared" si="0"/>
        <v>4015/4016</v>
      </c>
      <c r="L64" s="21" t="str">
        <f>VLOOKUP(A64,'Trips&amp;Operators'!$C$1:$G$99999,5,FALSE)</f>
        <v>DAVIS WENDY</v>
      </c>
      <c r="M64" s="6">
        <f t="shared" si="23"/>
        <v>1.8240740741021E-2</v>
      </c>
      <c r="N64" s="7"/>
      <c r="O64" s="7"/>
      <c r="P64" s="7"/>
      <c r="Q64" s="22"/>
      <c r="R64" s="22"/>
      <c r="S64" s="31"/>
      <c r="T64" s="46" t="str">
        <f t="shared" si="4"/>
        <v>NorthBound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3</v>
      </c>
      <c r="V64" s="186" t="str">
        <f t="shared" si="5"/>
        <v>https://d0f6bd738d7f1b3e5a7ca70fe4ff75f0.us-east-1.aws.found.io/app/kibana#/discover/Steve-Slow-Train-Analysis-(2080s-and-2083s)?_g=(refreshInterval:(display:Off,pause:!f,section:0,value:0),time:(from:'2017-03-19T08:41:21-0600',mode:absolute,to:'2017-03-19T11:26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4" s="187" t="str">
        <f t="shared" si="6"/>
        <v>Y</v>
      </c>
      <c r="X64" s="187">
        <f t="shared" si="24"/>
        <v>0</v>
      </c>
      <c r="Y64" s="62">
        <f t="shared" si="8"/>
        <v>4.7800000000000002E-2</v>
      </c>
      <c r="Z64" s="62">
        <f t="shared" si="25"/>
        <v>3.6663999999999999</v>
      </c>
      <c r="AA64" s="62">
        <f t="shared" si="10"/>
        <v>3.6185999999999998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0149-19</v>
      </c>
      <c r="AE64" s="85" t="str">
        <f t="shared" si="12"/>
        <v>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 &amp; 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</v>
      </c>
      <c r="AF64" s="82" t="str">
        <f t="shared" si="13"/>
        <v>"C:\Program Files (x86)\AstroGrep\AstroGrep.exe" /e /r /s /spath="%USERPROFILE%\AppData\Local\Temp\OnboardLogs" /stypes="app*4016*20170319*" /stext=" 16:.+((SYSTEM_STATE.+slice.+state.+changed )|(ment ac)|(multiple cpu faults)|(system.+state.+changed )|(\[timeout)|(PRM\|1\|D)|(kpr)|(kdp)|(\|lc)|(penalty))"</v>
      </c>
      <c r="AG64" s="1" t="str">
        <f t="shared" si="14"/>
        <v>EC</v>
      </c>
      <c r="AH64" s="86" t="str">
        <f t="shared" si="18"/>
        <v>"%USERPROFILE%\Documents\GitHub\eaglep3\Utilities\RefineRTDCRunTimes.py" --tripid 149-19 --locoid 4016 --swversion DE.1.0.9.0 --startMP 204:478 --initTime 2017-03-19T09:41:21 --startdatetime 2017-03-19T09:59:44 --delay 1 --endMP 204:36664 --enddatetime 2017-03-19T10:26:00 --enforcementcount 0 &gt;&gt;%USERPROFILE%\Documents\GitHub\eaglep3-reporting\EC\2017-03-19-refined-times.txt</v>
      </c>
      <c r="AI64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{"issue":{"subject":"","project_id":79,"tracker_id":40,"status_id":1,"priority_id":2,"assigned_to_id":23,"start_date":"2017-03-19","description":"","custom_fields":[{"id":1,"name":"Subdivision","value":"EC"},{"id":4,"name":"Milepost","value":"3.6664"},{"id":17,"name":"Train ID","value":"149-19"},{"id":16,"name":"Locomotive ID","value":"4016"},{"id":130,"name":"Impact","value":""},{"id":150,"name":"Time of Event (Mountain Time)","value":"10:26:00"},{"id":151,"name":"Denver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4016 --day 2017-03-19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"%USERPROFILE%\AppData\Local\Temp\OnboardLogs"\RTDC4016\*4016*20170319* | grep -SE "(Enforcement Action)|(\[TIMEOUT)|(CHR.+\|PRM\|1\|D.+(SWITCH|SIGNAL).+UNKNOWN)" - &gt;&gt; 2017-03-19-UncaughtWiMAX.txt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674</v>
      </c>
      <c r="B65" s="7">
        <v>4015</v>
      </c>
      <c r="C65" s="21" t="s">
        <v>221</v>
      </c>
      <c r="D65" s="21" t="s">
        <v>833</v>
      </c>
      <c r="E65" s="13">
        <v>42813.442488425928</v>
      </c>
      <c r="F65" s="13">
        <v>42813.4453125</v>
      </c>
      <c r="G65" s="7">
        <v>0</v>
      </c>
      <c r="H65" s="21" t="s">
        <v>190</v>
      </c>
      <c r="I65" s="13">
        <v>42813.473611111112</v>
      </c>
      <c r="J65" s="7">
        <v>0</v>
      </c>
      <c r="K65" s="98" t="str">
        <f t="shared" si="0"/>
        <v>4015/4016</v>
      </c>
      <c r="L65" s="21" t="str">
        <f>VLOOKUP(A65,'Trips&amp;Operators'!$C$1:$G$99999,5,FALSE)</f>
        <v>DAVIS WENDY</v>
      </c>
      <c r="M65" s="6">
        <f t="shared" si="23"/>
        <v>2.8298611112404615E-2</v>
      </c>
      <c r="N65" s="7">
        <f t="shared" ref="N65:N96" si="28">24*60*SUM($M65:$M65)</f>
        <v>40.750000001862645</v>
      </c>
      <c r="O65" s="7"/>
      <c r="P65" s="7"/>
      <c r="Q65" s="22"/>
      <c r="R65" s="22"/>
      <c r="S65" s="31">
        <f t="shared" ref="S65:S96" si="29">SUM(U65:U65)/IF(AG65="EC",12,1)</f>
        <v>1</v>
      </c>
      <c r="T65" s="46" t="str">
        <f t="shared" si="4"/>
        <v>Southbound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5"/>
        <v>https://d0f6bd738d7f1b3e5a7ca70fe4ff75f0.us-east-1.aws.found.io/app/kibana#/discover/Steve-Slow-Train-Analysis-(2080s-and-2083s)?_g=(refreshInterval:(display:Off,pause:!f,section:0,value:0),time:(from:'2017-03-19T09:37:11-0600',mode:absolute,to:'2017-03-19T12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5" s="187" t="str">
        <f t="shared" si="6"/>
        <v>N</v>
      </c>
      <c r="X65" s="187">
        <f t="shared" si="24"/>
        <v>1</v>
      </c>
      <c r="Y65" s="62">
        <f t="shared" si="8"/>
        <v>23.2959</v>
      </c>
      <c r="Z65" s="62">
        <f t="shared" si="25"/>
        <v>1.4999999999999999E-2</v>
      </c>
      <c r="AA65" s="62">
        <f t="shared" si="10"/>
        <v>23.280899999999999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0150-19</v>
      </c>
      <c r="AE65" s="85" t="str">
        <f t="shared" si="12"/>
        <v>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 &amp; 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</v>
      </c>
      <c r="AF65" s="82" t="str">
        <f t="shared" si="13"/>
        <v>"C:\Program Files (x86)\AstroGrep\AstroGrep.exe" /e /r /s /spath="%USERPROFILE%\AppData\Local\Temp\OnboardLogs" /stypes="app*4015*20170319*" /stext=" 17:.+((SYSTEM_STATE.+slice.+state.+changed )|(ment ac)|(multiple cpu faults)|(system.+state.+changed )|(\[timeout)|(PRM\|1\|D)|(kpr)|(kdp)|(\|lc)|(penalty))"</v>
      </c>
      <c r="AG65" s="1" t="str">
        <f t="shared" si="14"/>
        <v>EC</v>
      </c>
      <c r="AH65" s="86" t="str">
        <f t="shared" si="18"/>
        <v>"%USERPROFILE%\Documents\GitHub\eaglep3\Utilities\RefineRTDCRunTimes.py" --tripid 150-19 --locoid 4015 --swversion DE.1.0.9.0 --startMP 204:232959 --initTime 2017-03-19T10:37:11 --startdatetime 2017-03-19T10:41:15 --delay 0 --endMP 204:150 --enddatetime 2017-03-19T11:22:00 --enforcementcount 0 &gt;&gt;%USERPROFILE%\Documents\GitHub\eaglep3-reporting\EC\2017-03-19-refined-times.txt</v>
      </c>
      <c r="AI65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{"issue":{"subject":"","project_id":79,"tracker_id":40,"status_id":1,"priority_id":2,"assigned_to_id":23,"start_date":"2017-03-19","description":"","custom_fields":[{"id":1,"name":"Subdivision","value":"EC"},{"id":4,"name":"Milepost","value":"0.015"},{"id":17,"name":"Train ID","value":"150-19"},{"id":16,"name":"Locomotive ID","value":"4015"},{"id":130,"name":"Impact","value":""},{"id":150,"name":"Time of Event (Mountain Time)","value":"11:22:00"},{"id":151,"name":"Denver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4015 --day 2017-03-19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"%USERPROFILE%\AppData\Local\Temp\OnboardLogs"\RTDC4015\*4015*20170319* | grep -SE "(Enforcement Action)|(\[TIMEOUT)|(CHR.+\|PRM\|1\|D.+(SWITCH|SIGNAL).+UNKNOWN)" - &gt;&gt; 2017-03-19-UncaughtWiMAX.txt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667</v>
      </c>
      <c r="B66" s="7">
        <v>4025</v>
      </c>
      <c r="C66" s="21" t="s">
        <v>221</v>
      </c>
      <c r="D66" s="21" t="s">
        <v>834</v>
      </c>
      <c r="E66" s="13">
        <v>42813.413240740738</v>
      </c>
      <c r="F66" s="13">
        <v>42813.416863425926</v>
      </c>
      <c r="G66" s="7">
        <v>1</v>
      </c>
      <c r="H66" s="21" t="s">
        <v>227</v>
      </c>
      <c r="I66" s="13">
        <v>42813.442164351851</v>
      </c>
      <c r="J66" s="7">
        <v>0</v>
      </c>
      <c r="K66" s="98" t="str">
        <f t="shared" si="0"/>
        <v>4025/4026</v>
      </c>
      <c r="L66" s="21" t="str">
        <f>VLOOKUP(A66,'Trips&amp;Operators'!$C$1:$G$99999,5,FALSE)</f>
        <v>ROBINSON KADDIBA</v>
      </c>
      <c r="M66" s="6">
        <f t="shared" si="23"/>
        <v>2.5300925924966577E-2</v>
      </c>
      <c r="N66" s="7">
        <f t="shared" si="28"/>
        <v>36.433333331951872</v>
      </c>
      <c r="O66" s="7"/>
      <c r="P66" s="7"/>
      <c r="Q66" s="22"/>
      <c r="R66" s="22"/>
      <c r="S66" s="31">
        <f t="shared" si="29"/>
        <v>1</v>
      </c>
      <c r="T66" s="46" t="str">
        <f t="shared" si="4"/>
        <v>NorthBound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5"/>
        <v>https://d0f6bd738d7f1b3e5a7ca70fe4ff75f0.us-east-1.aws.found.io/app/kibana#/discover/Steve-Slow-Train-Analysis-(2080s-and-2083s)?_g=(refreshInterval:(display:Off,pause:!f,section:0,value:0),time:(from:'2017-03-19T08:55:04-0600',mode:absolute,to:'2017-03-19T11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6" s="187" t="str">
        <f t="shared" si="6"/>
        <v>N</v>
      </c>
      <c r="X66" s="187">
        <f t="shared" si="24"/>
        <v>1</v>
      </c>
      <c r="Y66" s="62">
        <f t="shared" si="8"/>
        <v>4.82E-2</v>
      </c>
      <c r="Z66" s="62">
        <f t="shared" si="25"/>
        <v>23.329499999999999</v>
      </c>
      <c r="AA66" s="62">
        <f t="shared" si="10"/>
        <v>23.281299999999998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0151-19</v>
      </c>
      <c r="AE66" s="85" t="str">
        <f t="shared" si="12"/>
        <v>aws s3 cp s3://rtdc.mdm.uploadarchive.raw/RTDC4025/ "%USERPROFILE%\AppData\Local\Temp\OnboardLogs"\RTDC4025\2017-03-19 --exclude "*" --recursive --include "*20170319*" &amp; "%USERPROFILE%\Documents\GitHub\mrs-test-scripts\Headless Mode &amp; Sideloading\WalkAndUnGZ.bat" "%USERPROFILE%\AppData\Local\Temp\OnboardLogs"\RTDC4025\2017-03-19 &amp; 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</v>
      </c>
      <c r="AF66" s="82" t="str">
        <f t="shared" si="13"/>
        <v>"C:\Program Files (x86)\AstroGrep\AstroGrep.exe" /e /r /s /spath="%USERPROFILE%\AppData\Local\Temp\OnboardLogs" /stypes="app*4025*20170319*" /stext=" 16:.+((SYSTEM_STATE.+slice.+state.+changed )|(ment ac)|(multiple cpu faults)|(system.+state.+changed )|(\[timeout)|(PRM\|1\|D)|(kpr)|(kdp)|(\|lc)|(penalty))"</v>
      </c>
      <c r="AG66" s="1" t="str">
        <f t="shared" si="14"/>
        <v>EC</v>
      </c>
      <c r="AH66" s="86" t="str">
        <f t="shared" si="18"/>
        <v>"%USERPROFILE%\Documents\GitHub\eaglep3\Utilities\RefineRTDCRunTimes.py" --tripid 151-19 --locoid 4025 --swversion DE.1.0.9.0 --startMP 204:482 --initTime 2017-03-19T09:55:04 --startdatetime 2017-03-19T10:00:17 --delay 1 --endMP 204:233295 --enddatetime 2017-03-19T10:36:43 --enforcementcount 0 &gt;&gt;%USERPROFILE%\Documents\GitHub\eaglep3-reporting\EC\2017-03-19-refined-times.txt</v>
      </c>
      <c r="AI66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{"issue":{"subject":"","project_id":79,"tracker_id":40,"status_id":1,"priority_id":2,"assigned_to_id":23,"start_date":"2017-03-19","description":"","custom_fields":[{"id":1,"name":"Subdivision","value":"EC"},{"id":4,"name":"Milepost","value":"23.3295"},{"id":17,"name":"Train ID","value":"151-19"},{"id":16,"name":"Locomotive ID","value":"4025"},{"id":130,"name":"Impact","value":""},{"id":150,"name":"Time of Event (Mountain Time)","value":"10:36:43"},{"id":151,"name":"Denver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4025 --day 2017-03-19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"%USERPROFILE%\AppData\Local\Temp\OnboardLogs"\RTDC4025\*4025*20170319* | grep -SE "(Enforcement Action)|(\[TIMEOUT)|(CHR.+\|PRM\|1\|D.+(SWITCH|SIGNAL).+UNKNOWN)" - &gt;&gt; 2017-03-19-UncaughtWiMAX.txt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583</v>
      </c>
      <c r="B67" s="7">
        <v>4026</v>
      </c>
      <c r="C67" s="21" t="s">
        <v>221</v>
      </c>
      <c r="D67" s="21" t="s">
        <v>540</v>
      </c>
      <c r="E67" s="13">
        <v>42813.452037037037</v>
      </c>
      <c r="F67" s="13">
        <v>42813.455717592595</v>
      </c>
      <c r="G67" s="7">
        <v>1</v>
      </c>
      <c r="H67" s="21" t="s">
        <v>401</v>
      </c>
      <c r="I67" s="13">
        <v>42813.482685185183</v>
      </c>
      <c r="J67" s="7">
        <v>0</v>
      </c>
      <c r="K67" s="98" t="str">
        <f t="shared" si="0"/>
        <v>4025/4026</v>
      </c>
      <c r="L67" s="21" t="str">
        <f>VLOOKUP(A67,'Trips&amp;Operators'!$C$1:$G$99999,5,FALSE)</f>
        <v>ROBINSON KADDIBA</v>
      </c>
      <c r="M67" s="6">
        <f t="shared" si="23"/>
        <v>2.696759258833481E-2</v>
      </c>
      <c r="N67" s="7">
        <f t="shared" si="28"/>
        <v>38.833333327202126</v>
      </c>
      <c r="O67" s="7"/>
      <c r="P67" s="7"/>
      <c r="Q67" s="22"/>
      <c r="R67" s="22"/>
      <c r="S67" s="31">
        <f t="shared" si="29"/>
        <v>1</v>
      </c>
      <c r="T67" s="46" t="str">
        <f t="shared" si="4"/>
        <v>Southbound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5"/>
        <v>https://d0f6bd738d7f1b3e5a7ca70fe4ff75f0.us-east-1.aws.found.io/app/kibana#/discover/Steve-Slow-Train-Analysis-(2080s-and-2083s)?_g=(refreshInterval:(display:Off,pause:!f,section:0,value:0),time:(from:'2017-03-19T09:50:56-0600',mode:absolute,to:'2017-03-19T12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7" s="187" t="str">
        <f t="shared" si="6"/>
        <v>N</v>
      </c>
      <c r="X67" s="187">
        <f t="shared" si="24"/>
        <v>1</v>
      </c>
      <c r="Y67" s="62">
        <f t="shared" si="8"/>
        <v>23.298100000000002</v>
      </c>
      <c r="Z67" s="62">
        <f t="shared" si="25"/>
        <v>1.38E-2</v>
      </c>
      <c r="AA67" s="62">
        <f t="shared" si="10"/>
        <v>23.284300000000002</v>
      </c>
      <c r="AB67" s="59" t="str">
        <f>VLOOKUP(A67,Enforcements!$C$7:$K$13,8,0)</f>
        <v>Speed (6)</v>
      </c>
      <c r="AC67" s="55" t="str">
        <f>VLOOKUP(A67,Enforcements!$C$7:$E$13,3,0)</f>
        <v>PERMANENT SPEED RESTRICTION</v>
      </c>
      <c r="AD67" s="56" t="str">
        <f t="shared" si="11"/>
        <v>0152-19</v>
      </c>
      <c r="AE67" s="85" t="str">
        <f t="shared" si="12"/>
        <v>aws s3 cp s3://rtdc.mdm.uploadarchive.raw/RTDC4026/ "%USERPROFILE%\AppData\Local\Temp\OnboardLogs"\RTDC4026\2017-03-19 --exclude "*" --recursive --include "*20170319*" &amp; "%USERPROFILE%\Documents\GitHub\mrs-test-scripts\Headless Mode &amp; Sideloading\WalkAndUnGZ.bat" "%USERPROFILE%\AppData\Local\Temp\OnboardLogs"\RTDC4026\2017-03-19 &amp; 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</v>
      </c>
      <c r="AF67" s="82" t="str">
        <f t="shared" si="13"/>
        <v>"C:\Program Files (x86)\AstroGrep\AstroGrep.exe" /e /r /s /spath="%USERPROFILE%\AppData\Local\Temp\OnboardLogs" /stypes="app*4026*20170319*" /stext=" 17:.+((SYSTEM_STATE.+slice.+state.+changed )|(ment ac)|(multiple cpu faults)|(system.+state.+changed )|(\[timeout)|(PRM\|1\|D)|(kpr)|(kdp)|(\|lc)|(penalty))"</v>
      </c>
      <c r="AG67" s="1" t="str">
        <f t="shared" si="14"/>
        <v>EC</v>
      </c>
      <c r="AH67" s="86" t="str">
        <f t="shared" si="18"/>
        <v>"%USERPROFILE%\Documents\GitHub\eaglep3\Utilities\RefineRTDCRunTimes.py" --tripid 152-19 --locoid 4026 --swversion DE.1.0.9.0 --startMP 204:232981 --initTime 2017-03-19T10:50:56 --startdatetime 2017-03-19T10:56:14 --delay 1 --endMP 204:138 --enddatetime 2017-03-19T11:35:04 --enforcementcount 0 &gt;&gt;%USERPROFILE%\Documents\GitHub\eaglep3-reporting\EC\2017-03-19-refined-times.txt</v>
      </c>
      <c r="AI67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{"issue":{"subject":"","project_id":79,"tracker_id":40,"status_id":1,"priority_id":2,"assigned_to_id":23,"start_date":"2017-03-19","description":"","custom_fields":[{"id":1,"name":"Subdivision","value":"EC"},{"id":4,"name":"Milepost","value":"0.0138"},{"id":17,"name":"Train ID","value":"152-19"},{"id":16,"name":"Locomotive ID","value":"4026"},{"id":130,"name":"Impact","value":""},{"id":150,"name":"Time of Event (Mountain Time)","value":"11:35:04"},{"id":151,"name":"Denver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4026 --day 2017-03-19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"%USERPROFILE%\AppData\Local\Temp\OnboardLogs"\RTDC4026\*4026*20170319* | grep -SE "(Enforcement Action)|(\[TIMEOUT)|(CHR.+\|PRM\|1\|D.+(SWITCH|SIGNAL).+UNKNOWN)" - &gt;&gt; 2017-03-19-UncaughtWiMAX.txt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668</v>
      </c>
      <c r="B68" s="7">
        <v>4020</v>
      </c>
      <c r="C68" s="21" t="s">
        <v>221</v>
      </c>
      <c r="D68" s="21" t="s">
        <v>222</v>
      </c>
      <c r="E68" s="13">
        <v>42813.421238425923</v>
      </c>
      <c r="F68" s="13">
        <v>42813.427256944444</v>
      </c>
      <c r="G68" s="7">
        <v>1</v>
      </c>
      <c r="H68" s="21" t="s">
        <v>835</v>
      </c>
      <c r="I68" s="13">
        <v>42813.451631944445</v>
      </c>
      <c r="J68" s="7">
        <v>0</v>
      </c>
      <c r="K68" s="98" t="str">
        <f t="shared" si="0"/>
        <v>4019/4020</v>
      </c>
      <c r="L68" s="21" t="str">
        <f>VLOOKUP(A68,'Trips&amp;Operators'!$C$1:$G$99999,5,FALSE)</f>
        <v>GEBRETEKLE DAGNEW</v>
      </c>
      <c r="M68" s="6">
        <f t="shared" si="23"/>
        <v>2.4375000000873115E-2</v>
      </c>
      <c r="N68" s="7">
        <f t="shared" si="28"/>
        <v>35.100000001257285</v>
      </c>
      <c r="O68" s="7"/>
      <c r="P68" s="7"/>
      <c r="Q68" s="22"/>
      <c r="R68" s="22"/>
      <c r="S68" s="31">
        <f t="shared" si="29"/>
        <v>1</v>
      </c>
      <c r="T68" s="46" t="str">
        <f t="shared" si="4"/>
        <v>NorthBound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5"/>
        <v>https://d0f6bd738d7f1b3e5a7ca70fe4ff75f0.us-east-1.aws.found.io/app/kibana#/discover/Steve-Slow-Train-Analysis-(2080s-and-2083s)?_g=(refreshInterval:(display:Off,pause:!f,section:0,value:0),time:(from:'2017-03-19T09:06:35-0600',mode:absolute,to:'2017-03-19T11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8" s="187" t="str">
        <f t="shared" si="6"/>
        <v>N</v>
      </c>
      <c r="X68" s="187">
        <f t="shared" si="24"/>
        <v>1</v>
      </c>
      <c r="Y68" s="62">
        <f t="shared" si="8"/>
        <v>4.58E-2</v>
      </c>
      <c r="Z68" s="62">
        <f t="shared" si="25"/>
        <v>23.328399999999998</v>
      </c>
      <c r="AA68" s="62">
        <f t="shared" si="10"/>
        <v>23.282599999999999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0153-19</v>
      </c>
      <c r="AE68" s="85" t="str">
        <f t="shared" si="12"/>
        <v>aws s3 cp s3://rtdc.mdm.uploadarchive.raw/RTDC4020/ "%USERPROFILE%\AppData\Local\Temp\OnboardLogs"\RTDC4020\2017-03-19 --exclude "*" --recursive --include "*20170319*" &amp; "%USERPROFILE%\Documents\GitHub\mrs-test-scripts\Headless Mode &amp; Sideloading\WalkAndUnGZ.bat" "%USERPROFILE%\AppData\Local\Temp\OnboardLogs"\RTDC4020\2017-03-19 &amp; aws s3 cp s3://rtdc.mdm.uploadarchive.raw/RTDC4020/ "%USERPROFILE%\AppData\Local\Temp\OnboardLogs"\RTDC4020\2017-03-20 --exclude "*" --recursive --include "*20170320*" &amp; "%USERPROFILE%\Documents\GitHub\mrs-test-scripts\Headless Mode &amp; Sideloading\WalkAndUnGZ.bat" "%USERPROFILE%\AppData\Local\Temp\OnboardLogs"\RTDC4020\2017-03-20</v>
      </c>
      <c r="AF68" s="82" t="str">
        <f t="shared" si="13"/>
        <v>"C:\Program Files (x86)\AstroGrep\AstroGrep.exe" /e /r /s /spath="%USERPROFILE%\AppData\Local\Temp\OnboardLogs" /stypes="app*4020*20170319*" /stext=" 16:.+((SYSTEM_STATE.+slice.+state.+changed )|(ment ac)|(multiple cpu faults)|(system.+state.+changed )|(\[timeout)|(PRM\|1\|D)|(kpr)|(kdp)|(\|lc)|(penalty))"</v>
      </c>
      <c r="AG68" s="1" t="str">
        <f t="shared" si="14"/>
        <v>EC</v>
      </c>
      <c r="AH68" s="86" t="str">
        <f t="shared" si="18"/>
        <v>"%USERPROFILE%\Documents\GitHub\eaglep3\Utilities\RefineRTDCRunTimes.py" --tripid 153-19 --locoid 4020 --swversion DE.1.0.9.0 --startMP 204:458 --initTime 2017-03-19T10:06:35 --startdatetime 2017-03-19T10:15:15 --delay 1 --endMP 204:233284 --enddatetime 2017-03-19T10:50:21 --enforcementcount 0 &gt;&gt;%USERPROFILE%\Documents\GitHub\eaglep3-reporting\EC\2017-03-19-refined-times.txt</v>
      </c>
      <c r="AI68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{"issue":{"subject":"","project_id":79,"tracker_id":40,"status_id":1,"priority_id":2,"assigned_to_id":23,"start_date":"2017-03-19","description":"","custom_fields":[{"id":1,"name":"Subdivision","value":"EC"},{"id":4,"name":"Milepost","value":"23.3284"},{"id":17,"name":"Train ID","value":"153-19"},{"id":16,"name":"Locomotive ID","value":"4020"},{"id":130,"name":"Impact","value":""},{"id":150,"name":"Time of Event (Mountain Time)","value":"10:50:21"},{"id":151,"name":"Denver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4020 --day 2017-03-19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"%USERPROFILE%\AppData\Local\Temp\OnboardLogs"\RTDC4020\*4020*20170319* | grep -SE "(Enforcement Action)|(\[TIMEOUT)|(CHR.+\|PRM\|1\|D.+(SWITCH|SIGNAL).+UNKNOWN)" - &gt;&gt; 2017-03-19-UncaughtWiMAX.txt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592</v>
      </c>
      <c r="B69" s="7">
        <v>4019</v>
      </c>
      <c r="C69" s="21" t="s">
        <v>221</v>
      </c>
      <c r="D69" s="21" t="s">
        <v>833</v>
      </c>
      <c r="E69" s="13">
        <v>42813.45989583333</v>
      </c>
      <c r="F69" s="13">
        <v>42813.466122685182</v>
      </c>
      <c r="G69" s="7">
        <v>0</v>
      </c>
      <c r="H69" s="21" t="s">
        <v>836</v>
      </c>
      <c r="I69" s="13">
        <v>42813.492847222224</v>
      </c>
      <c r="J69" s="7">
        <v>0</v>
      </c>
      <c r="K69" s="98" t="str">
        <f t="shared" si="0"/>
        <v>4019/4020</v>
      </c>
      <c r="L69" s="21" t="str">
        <f>VLOOKUP(A69,'Trips&amp;Operators'!$C$1:$G$99999,5,FALSE)</f>
        <v>GEBRETEKLE DAGNEW</v>
      </c>
      <c r="M69" s="6">
        <f t="shared" si="23"/>
        <v>2.6724537041445728E-2</v>
      </c>
      <c r="N69" s="7">
        <f t="shared" si="28"/>
        <v>38.483333339681849</v>
      </c>
      <c r="O69" s="7"/>
      <c r="P69" s="7"/>
      <c r="Q69" s="22"/>
      <c r="R69" s="22"/>
      <c r="S69" s="31">
        <f t="shared" si="29"/>
        <v>1</v>
      </c>
      <c r="T69" s="46" t="str">
        <f t="shared" si="4"/>
        <v>Southbound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5"/>
        <v>https://d0f6bd738d7f1b3e5a7ca70fe4ff75f0.us-east-1.aws.found.io/app/kibana#/discover/Steve-Slow-Train-Analysis-(2080s-and-2083s)?_g=(refreshInterval:(display:Off,pause:!f,section:0,value:0),time:(from:'2017-03-19T10:02:15-0600',mode:absolute,to:'2017-03-19T12:49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9" s="187" t="str">
        <f t="shared" si="6"/>
        <v>N</v>
      </c>
      <c r="X69" s="187">
        <f t="shared" si="24"/>
        <v>1</v>
      </c>
      <c r="Y69" s="62">
        <f t="shared" si="8"/>
        <v>23.2959</v>
      </c>
      <c r="Z69" s="62">
        <f t="shared" si="25"/>
        <v>2.2100000000000002E-2</v>
      </c>
      <c r="AA69" s="62">
        <f t="shared" si="10"/>
        <v>23.273800000000001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0154-19</v>
      </c>
      <c r="AE69" s="85" t="str">
        <f t="shared" si="12"/>
        <v>aws s3 cp s3://rtdc.mdm.uploadarchive.raw/RTDC4019/ "%USERPROFILE%\AppData\Local\Temp\OnboardLogs"\RTDC4019\2017-03-19 --exclude "*" --recursive --include "*20170319*" &amp; "%USERPROFILE%\Documents\GitHub\mrs-test-scripts\Headless Mode &amp; Sideloading\WalkAndUnGZ.bat" "%USERPROFILE%\AppData\Local\Temp\OnboardLogs"\RTDC4019\2017-03-19 &amp; aws s3 cp s3://rtdc.mdm.uploadarchive.raw/RTDC4019/ "%USERPROFILE%\AppData\Local\Temp\OnboardLogs"\RTDC4019\2017-03-20 --exclude "*" --recursive --include "*20170320*" &amp; "%USERPROFILE%\Documents\GitHub\mrs-test-scripts\Headless Mode &amp; Sideloading\WalkAndUnGZ.bat" "%USERPROFILE%\AppData\Local\Temp\OnboardLogs"\RTDC4019\2017-03-20</v>
      </c>
      <c r="AF69" s="82" t="str">
        <f t="shared" si="13"/>
        <v>"C:\Program Files (x86)\AstroGrep\AstroGrep.exe" /e /r /s /spath="%USERPROFILE%\AppData\Local\Temp\OnboardLogs" /stypes="app*4019*20170319*" /stext=" 17:.+((SYSTEM_STATE.+slice.+state.+changed )|(ment ac)|(multiple cpu faults)|(system.+state.+changed )|(\[timeout)|(PRM\|1\|D)|(kpr)|(kdp)|(\|lc)|(penalty))"</v>
      </c>
      <c r="AG69" s="1" t="str">
        <f t="shared" si="14"/>
        <v>EC</v>
      </c>
      <c r="AH69" s="86" t="str">
        <f t="shared" si="18"/>
        <v>"%USERPROFILE%\Documents\GitHub\eaglep3\Utilities\RefineRTDCRunTimes.py" --tripid 154-19 --locoid 4019 --swversion DE.1.0.9.0 --startMP 204:232959 --initTime 2017-03-19T11:02:15 --startdatetime 2017-03-19T11:11:13 --delay 0 --endMP 204:221 --enddatetime 2017-03-19T11:49:42 --enforcementcount 0 &gt;&gt;%USERPROFILE%\Documents\GitHub\eaglep3-reporting\EC\2017-03-19-refined-times.txt</v>
      </c>
      <c r="AI69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{"issue":{"subject":"","project_id":79,"tracker_id":40,"status_id":1,"priority_id":2,"assigned_to_id":23,"start_date":"2017-03-19","description":"","custom_fields":[{"id":1,"name":"Subdivision","value":"EC"},{"id":4,"name":"Milepost","value":"0.0221"},{"id":17,"name":"Train ID","value":"154-19"},{"id":16,"name":"Locomotive ID","value":"4019"},{"id":130,"name":"Impact","value":""},{"id":150,"name":"Time of Event (Mountain Time)","value":"11:49:42"},{"id":151,"name":"Denver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4019 --day 2017-03-19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"%USERPROFILE%\AppData\Local\Temp\OnboardLogs"\RTDC4019\*4019*20170319* | grep -SE "(Enforcement Action)|(\[TIMEOUT)|(CHR.+\|PRM\|1\|D.+(SWITCH|SIGNAL).+UNKNOWN)" - &gt;&gt; 2017-03-19-UncaughtWiMAX.txt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584</v>
      </c>
      <c r="B70" s="7">
        <v>4040</v>
      </c>
      <c r="C70" s="21" t="s">
        <v>221</v>
      </c>
      <c r="D70" s="21" t="s">
        <v>449</v>
      </c>
      <c r="E70" s="13">
        <v>42813.434108796297</v>
      </c>
      <c r="F70" s="13">
        <v>42813.437696759262</v>
      </c>
      <c r="G70" s="7">
        <v>1</v>
      </c>
      <c r="H70" s="21" t="s">
        <v>837</v>
      </c>
      <c r="I70" s="13">
        <v>42813.462280092594</v>
      </c>
      <c r="J70" s="7">
        <v>0</v>
      </c>
      <c r="K70" s="98" t="str">
        <f t="shared" si="0"/>
        <v>4039/4040</v>
      </c>
      <c r="L70" s="21" t="str">
        <f>VLOOKUP(A70,'Trips&amp;Operators'!$C$1:$G$99999,5,FALSE)</f>
        <v>ROMERO CHAD</v>
      </c>
      <c r="M70" s="6">
        <f t="shared" si="23"/>
        <v>2.4583333331975155E-2</v>
      </c>
      <c r="N70" s="7">
        <f t="shared" si="28"/>
        <v>35.399999998044223</v>
      </c>
      <c r="O70" s="7"/>
      <c r="P70" s="7"/>
      <c r="Q70" s="22"/>
      <c r="R70" s="22"/>
      <c r="S70" s="31">
        <f t="shared" si="29"/>
        <v>1</v>
      </c>
      <c r="T70" s="46" t="str">
        <f t="shared" si="4"/>
        <v>NorthBound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5"/>
        <v>https://d0f6bd738d7f1b3e5a7ca70fe4ff75f0.us-east-1.aws.found.io/app/kibana#/discover/Steve-Slow-Train-Analysis-(2080s-and-2083s)?_g=(refreshInterval:(display:Off,pause:!f,section:0,value:0),time:(from:'2017-03-19T09:25:07-0600',mode:absolute,to:'2017-03-19T12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0" s="187" t="str">
        <f t="shared" si="6"/>
        <v>N</v>
      </c>
      <c r="X70" s="187">
        <f t="shared" si="24"/>
        <v>1</v>
      </c>
      <c r="Y70" s="62">
        <f t="shared" si="8"/>
        <v>4.4400000000000002E-2</v>
      </c>
      <c r="Z70" s="62">
        <f t="shared" si="25"/>
        <v>23.338100000000001</v>
      </c>
      <c r="AA70" s="62">
        <f t="shared" si="10"/>
        <v>23.293700000000001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0155-19</v>
      </c>
      <c r="AE70" s="85" t="str">
        <f t="shared" si="12"/>
        <v>aws s3 cp s3://rtdc.mdm.uploadarchive.raw/RTDC4040/ "%USERPROFILE%\AppData\Local\Temp\OnboardLogs"\RTDC4040\2017-03-19 --exclude "*" --recursive --include "*20170319*" &amp; "%USERPROFILE%\Documents\GitHub\mrs-test-scripts\Headless Mode &amp; Sideloading\WalkAndUnGZ.bat" "%USERPROFILE%\AppData\Local\Temp\OnboardLogs"\RTDC4040\2017-03-19 &amp; 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</v>
      </c>
      <c r="AF70" s="82" t="str">
        <f t="shared" si="13"/>
        <v>"C:\Program Files (x86)\AstroGrep\AstroGrep.exe" /e /r /s /spath="%USERPROFILE%\AppData\Local\Temp\OnboardLogs" /stypes="app*4040*20170319*" /stext=" 17:.+((SYSTEM_STATE.+slice.+state.+changed )|(ment ac)|(multiple cpu faults)|(system.+state.+changed )|(\[timeout)|(PRM\|1\|D)|(kpr)|(kdp)|(\|lc)|(penalty))"</v>
      </c>
      <c r="AG70" s="1" t="str">
        <f t="shared" si="14"/>
        <v>EC</v>
      </c>
      <c r="AH70" s="86" t="str">
        <f t="shared" si="18"/>
        <v>"%USERPROFILE%\Documents\GitHub\eaglep3\Utilities\RefineRTDCRunTimes.py" --tripid 155-19 --locoid 4040 --swversion DE.1.0.9.0 --startMP 204:444 --initTime 2017-03-19T10:25:07 --startdatetime 2017-03-19T10:30:17 --delay 1 --endMP 204:233381 --enddatetime 2017-03-19T11:05:41 --enforcementcount 0 &gt;&gt;%USERPROFILE%\Documents\GitHub\eaglep3-reporting\EC\2017-03-19-refined-times.txt</v>
      </c>
      <c r="AI70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{"issue":{"subject":"","project_id":79,"tracker_id":40,"status_id":1,"priority_id":2,"assigned_to_id":23,"start_date":"2017-03-19","description":"","custom_fields":[{"id":1,"name":"Subdivision","value":"EC"},{"id":4,"name":"Milepost","value":"23.3381"},{"id":17,"name":"Train ID","value":"155-19"},{"id":16,"name":"Locomotive ID","value":"4040"},{"id":130,"name":"Impact","value":""},{"id":150,"name":"Time of Event (Mountain Time)","value":"11:05:41"},{"id":151,"name":"Denver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4040 --day 2017-03-19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"%USERPROFILE%\AppData\Local\Temp\OnboardLogs"\RTDC4040\*4040*20170319* | grep -SE "(Enforcement Action)|(\[TIMEOUT)|(CHR.+\|PRM\|1\|D.+(SWITCH|SIGNAL).+UNKNOWN)" - &gt;&gt; 2017-03-19-UncaughtWiMAX.txt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589</v>
      </c>
      <c r="B71" s="7">
        <v>4039</v>
      </c>
      <c r="C71" s="21" t="s">
        <v>221</v>
      </c>
      <c r="D71" s="21" t="s">
        <v>838</v>
      </c>
      <c r="E71" s="13">
        <v>42813.464212962965</v>
      </c>
      <c r="F71" s="13">
        <v>42813.476527777777</v>
      </c>
      <c r="G71" s="7">
        <v>1</v>
      </c>
      <c r="H71" s="21" t="s">
        <v>551</v>
      </c>
      <c r="I71" s="13">
        <v>42813.504571759258</v>
      </c>
      <c r="J71" s="7">
        <v>0</v>
      </c>
      <c r="K71" s="98" t="str">
        <f t="shared" si="0"/>
        <v>4039/4040</v>
      </c>
      <c r="L71" s="21" t="str">
        <f>VLOOKUP(A71,'Trips&amp;Operators'!$C$1:$G$99999,5,FALSE)</f>
        <v>ROMERO CHAD</v>
      </c>
      <c r="M71" s="6">
        <f t="shared" si="23"/>
        <v>2.8043981481459923E-2</v>
      </c>
      <c r="N71" s="7">
        <f t="shared" si="28"/>
        <v>40.383333333302289</v>
      </c>
      <c r="O71" s="7"/>
      <c r="P71" s="7"/>
      <c r="Q71" s="22"/>
      <c r="R71" s="22"/>
      <c r="S71" s="31">
        <f t="shared" si="29"/>
        <v>1</v>
      </c>
      <c r="T71" s="46" t="str">
        <f t="shared" si="4"/>
        <v>Southbound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5"/>
        <v>https://d0f6bd738d7f1b3e5a7ca70fe4ff75f0.us-east-1.aws.found.io/app/kibana#/discover/Steve-Slow-Train-Analysis-(2080s-and-2083s)?_g=(refreshInterval:(display:Off,pause:!f,section:0,value:0),time:(from:'2017-03-19T10:08:28-0600',mode:absolute,to:'2017-03-19T13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1" s="187" t="str">
        <f t="shared" si="6"/>
        <v>N</v>
      </c>
      <c r="X71" s="187">
        <f t="shared" si="24"/>
        <v>1</v>
      </c>
      <c r="Y71" s="62">
        <f t="shared" si="8"/>
        <v>23.305900000000001</v>
      </c>
      <c r="Z71" s="62">
        <f t="shared" si="25"/>
        <v>1.3899999999999999E-2</v>
      </c>
      <c r="AA71" s="62">
        <f t="shared" si="10"/>
        <v>23.292000000000002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0156-19</v>
      </c>
      <c r="AE71" s="85" t="str">
        <f t="shared" si="12"/>
        <v>aws s3 cp s3://rtdc.mdm.uploadarchive.raw/RTDC4039/ "%USERPROFILE%\AppData\Local\Temp\OnboardLogs"\RTDC4039\2017-03-19 --exclude "*" --recursive --include "*20170319*" &amp; "%USERPROFILE%\Documents\GitHub\mrs-test-scripts\Headless Mode &amp; Sideloading\WalkAndUnGZ.bat" "%USERPROFILE%\AppData\Local\Temp\OnboardLogs"\RTDC4039\2017-03-19 &amp; 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</v>
      </c>
      <c r="AF71" s="82" t="str">
        <f t="shared" si="13"/>
        <v>"C:\Program Files (x86)\AstroGrep\AstroGrep.exe" /e /r /s /spath="%USERPROFILE%\AppData\Local\Temp\OnboardLogs" /stypes="app*4039*20170319*" /stext=" 18:.+((SYSTEM_STATE.+slice.+state.+changed )|(ment ac)|(multiple cpu faults)|(system.+state.+changed )|(\[timeout)|(PRM\|1\|D)|(kpr)|(kdp)|(\|lc)|(penalty))"</v>
      </c>
      <c r="AG71" s="1" t="str">
        <f t="shared" si="14"/>
        <v>EC</v>
      </c>
      <c r="AH71" s="86" t="str">
        <f t="shared" si="18"/>
        <v>"%USERPROFILE%\Documents\GitHub\eaglep3\Utilities\RefineRTDCRunTimes.py" --tripid 156-19 --locoid 4039 --swversion DE.1.0.9.0 --startMP 204:233059 --initTime 2017-03-19T11:08:28 --startdatetime 2017-03-19T11:26:12 --delay 1 --endMP 204:139 --enddatetime 2017-03-19T12:06:35 --enforcementcount 0 &gt;&gt;%USERPROFILE%\Documents\GitHub\eaglep3-reporting\EC\2017-03-19-refined-times.txt</v>
      </c>
      <c r="AI71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{"issue":{"subject":"","project_id":79,"tracker_id":40,"status_id":1,"priority_id":2,"assigned_to_id":23,"start_date":"2017-03-19","description":"","custom_fields":[{"id":1,"name":"Subdivision","value":"EC"},{"id":4,"name":"Milepost","value":"0.0139"},{"id":17,"name":"Train ID","value":"156-19"},{"id":16,"name":"Locomotive ID","value":"4039"},{"id":130,"name":"Impact","value":""},{"id":150,"name":"Time of Event (Mountain Time)","value":"12:06:35"},{"id":151,"name":"Denver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4039 --day 2017-03-19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"%USERPROFILE%\AppData\Local\Temp\OnboardLogs"\RTDC4039\*4039*20170319* | grep -SE "(Enforcement Action)|(\[TIMEOUT)|(CHR.+\|PRM\|1\|D.+(SWITCH|SIGNAL).+UNKNOWN)" - &gt;&gt; 2017-03-19-UncaughtWiMAX.txt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675</v>
      </c>
      <c r="B72" s="7">
        <v>4053</v>
      </c>
      <c r="C72" s="21" t="s">
        <v>221</v>
      </c>
      <c r="D72" s="21" t="s">
        <v>536</v>
      </c>
      <c r="E72" s="13">
        <v>42813.444756944446</v>
      </c>
      <c r="F72" s="13">
        <v>42813.448078703703</v>
      </c>
      <c r="G72" s="7">
        <v>1</v>
      </c>
      <c r="H72" s="21" t="s">
        <v>839</v>
      </c>
      <c r="I72" s="13">
        <v>42813.473124999997</v>
      </c>
      <c r="J72" s="7">
        <v>0</v>
      </c>
      <c r="K72" s="98" t="str">
        <f t="shared" si="0"/>
        <v>4053/4054</v>
      </c>
      <c r="L72" s="21" t="str">
        <f>VLOOKUP(A72,'Trips&amp;Operators'!$C$1:$G$99999,5,FALSE)</f>
        <v>SHOOK JOHN</v>
      </c>
      <c r="M72" s="6">
        <f t="shared" si="23"/>
        <v>2.5046296294021886E-2</v>
      </c>
      <c r="N72" s="7">
        <f t="shared" si="28"/>
        <v>36.066666663391516</v>
      </c>
      <c r="O72" s="7"/>
      <c r="P72" s="7"/>
      <c r="Q72" s="22"/>
      <c r="R72" s="22"/>
      <c r="S72" s="31">
        <f t="shared" si="29"/>
        <v>1</v>
      </c>
      <c r="T72" s="46" t="str">
        <f t="shared" si="4"/>
        <v>NorthBound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5"/>
        <v>https://d0f6bd738d7f1b3e5a7ca70fe4ff75f0.us-east-1.aws.found.io/app/kibana#/discover/Steve-Slow-Train-Analysis-(2080s-and-2083s)?_g=(refreshInterval:(display:Off,pause:!f,section:0,value:0),time:(from:'2017-03-19T09:40:27-0600',mode:absolute,to:'2017-03-19T12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2" s="187" t="str">
        <f t="shared" si="6"/>
        <v>N</v>
      </c>
      <c r="X72" s="187">
        <f t="shared" si="24"/>
        <v>1</v>
      </c>
      <c r="Y72" s="62">
        <f t="shared" si="8"/>
        <v>4.3799999999999999E-2</v>
      </c>
      <c r="Z72" s="62">
        <f t="shared" si="25"/>
        <v>23.334900000000001</v>
      </c>
      <c r="AA72" s="62">
        <f t="shared" si="10"/>
        <v>23.2911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0157-19</v>
      </c>
      <c r="AE72" s="85" t="str">
        <f t="shared" si="12"/>
        <v>aws s3 cp s3://rtdc.mdm.uploadarchive.raw/RTDC4053/ "%USERPROFILE%\AppData\Local\Temp\OnboardLogs"\RTDC4053\2017-03-19 --exclude "*" --recursive --include "*20170319*" &amp; "%USERPROFILE%\Documents\GitHub\mrs-test-scripts\Headless Mode &amp; Sideloading\WalkAndUnGZ.bat" "%USERPROFILE%\AppData\Local\Temp\OnboardLogs"\RTDC4053\2017-03-19 &amp; aws s3 cp s3://rtdc.mdm.uploadarchive.raw/RTDC4053/ "%USERPROFILE%\AppData\Local\Temp\OnboardLogs"\RTDC4053\2017-03-20 --exclude "*" --recursive --include "*20170320*" &amp; "%USERPROFILE%\Documents\GitHub\mrs-test-scripts\Headless Mode &amp; Sideloading\WalkAndUnGZ.bat" "%USERPROFILE%\AppData\Local\Temp\OnboardLogs"\RTDC4053\2017-03-20</v>
      </c>
      <c r="AF72" s="82" t="str">
        <f t="shared" si="13"/>
        <v>"C:\Program Files (x86)\AstroGrep\AstroGrep.exe" /e /r /s /spath="%USERPROFILE%\AppData\Local\Temp\OnboardLogs" /stypes="app*4053*20170319*" /stext=" 17:.+((SYSTEM_STATE.+slice.+state.+changed )|(ment ac)|(multiple cpu faults)|(system.+state.+changed )|(\[timeout)|(PRM\|1\|D)|(kpr)|(kdp)|(\|lc)|(penalty))"</v>
      </c>
      <c r="AG72" s="1" t="str">
        <f t="shared" si="14"/>
        <v>EC</v>
      </c>
      <c r="AH72" s="86" t="str">
        <f t="shared" si="18"/>
        <v>"%USERPROFILE%\Documents\GitHub\eaglep3\Utilities\RefineRTDCRunTimes.py" --tripid 157-19 --locoid 4053 --swversion DE.1.0.9.0 --startMP 204:438 --initTime 2017-03-19T10:40:27 --startdatetime 2017-03-19T10:45:14 --delay 1 --endMP 204:233349 --enddatetime 2017-03-19T11:21:18 --enforcementcount 0 &gt;&gt;%USERPROFILE%\Documents\GitHub\eaglep3-reporting\EC\2017-03-19-refined-times.txt</v>
      </c>
      <c r="AI72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{"issue":{"subject":"","project_id":79,"tracker_id":40,"status_id":1,"priority_id":2,"assigned_to_id":23,"start_date":"2017-03-19","description":"","custom_fields":[{"id":1,"name":"Subdivision","value":"EC"},{"id":4,"name":"Milepost","value":"23.3349"},{"id":17,"name":"Train ID","value":"157-19"},{"id":16,"name":"Locomotive ID","value":"4053"},{"id":130,"name":"Impact","value":""},{"id":150,"name":"Time of Event (Mountain Time)","value":"11:21:18"},{"id":151,"name":"Denver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4053 --day 2017-03-19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"%USERPROFILE%\AppData\Local\Temp\OnboardLogs"\RTDC4053\*4053*20170319* | grep -SE "(Enforcement Action)|(\[TIMEOUT)|(CHR.+\|PRM\|1\|D.+(SWITCH|SIGNAL).+UNKNOWN)" - &gt;&gt; 2017-03-19-UncaughtWiMAX.txt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680</v>
      </c>
      <c r="B73" s="7">
        <v>4054</v>
      </c>
      <c r="C73" s="21" t="s">
        <v>221</v>
      </c>
      <c r="D73" s="21" t="s">
        <v>840</v>
      </c>
      <c r="E73" s="13">
        <v>42813.474594907406</v>
      </c>
      <c r="F73" s="13">
        <v>42813.486967592595</v>
      </c>
      <c r="G73" s="7">
        <v>1</v>
      </c>
      <c r="H73" s="21" t="s">
        <v>477</v>
      </c>
      <c r="I73" s="13">
        <v>42813.51703703704</v>
      </c>
      <c r="J73" s="7">
        <v>0</v>
      </c>
      <c r="K73" s="98" t="str">
        <f t="shared" si="0"/>
        <v>4053/4054</v>
      </c>
      <c r="L73" s="21" t="str">
        <f>VLOOKUP(A73,'Trips&amp;Operators'!$C$1:$G$99999,5,FALSE)</f>
        <v>SHOOK JOHN</v>
      </c>
      <c r="M73" s="6">
        <f t="shared" si="23"/>
        <v>3.0069444444961846E-2</v>
      </c>
      <c r="N73" s="7">
        <f t="shared" si="28"/>
        <v>43.300000000745058</v>
      </c>
      <c r="O73" s="7"/>
      <c r="P73" s="7"/>
      <c r="Q73" s="22"/>
      <c r="R73" s="22"/>
      <c r="S73" s="31">
        <f t="shared" si="29"/>
        <v>1</v>
      </c>
      <c r="T73" s="46" t="str">
        <f t="shared" si="4"/>
        <v>Southbound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5"/>
        <v>https://d0f6bd738d7f1b3e5a7ca70fe4ff75f0.us-east-1.aws.found.io/app/kibana#/discover/Steve-Slow-Train-Analysis-(2080s-and-2083s)?_g=(refreshInterval:(display:Off,pause:!f,section:0,value:0),time:(from:'2017-03-19T10:23:25-0600',mode:absolute,to:'2017-03-19T13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3" s="187" t="str">
        <f t="shared" si="6"/>
        <v>N</v>
      </c>
      <c r="X73" s="187">
        <f t="shared" si="24"/>
        <v>1</v>
      </c>
      <c r="Y73" s="62">
        <f t="shared" si="8"/>
        <v>23.303999999999998</v>
      </c>
      <c r="Z73" s="62">
        <f t="shared" si="25"/>
        <v>1.6E-2</v>
      </c>
      <c r="AA73" s="62">
        <f t="shared" si="10"/>
        <v>23.288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0158-19</v>
      </c>
      <c r="AE73" s="85" t="str">
        <f t="shared" si="12"/>
        <v>aws s3 cp s3://rtdc.mdm.uploadarchive.raw/RTDC4054/ "%USERPROFILE%\AppData\Local\Temp\OnboardLogs"\RTDC4054\2017-03-19 --exclude "*" --recursive --include "*20170319*" &amp; "%USERPROFILE%\Documents\GitHub\mrs-test-scripts\Headless Mode &amp; Sideloading\WalkAndUnGZ.bat" "%USERPROFILE%\AppData\Local\Temp\OnboardLogs"\RTDC4054\2017-03-19 &amp; aws s3 cp s3://rtdc.mdm.uploadarchive.raw/RTDC4054/ "%USERPROFILE%\AppData\Local\Temp\OnboardLogs"\RTDC4054\2017-03-20 --exclude "*" --recursive --include "*20170320*" &amp; "%USERPROFILE%\Documents\GitHub\mrs-test-scripts\Headless Mode &amp; Sideloading\WalkAndUnGZ.bat" "%USERPROFILE%\AppData\Local\Temp\OnboardLogs"\RTDC4054\2017-03-20</v>
      </c>
      <c r="AF73" s="82" t="str">
        <f t="shared" si="13"/>
        <v>"C:\Program Files (x86)\AstroGrep\AstroGrep.exe" /e /r /s /spath="%USERPROFILE%\AppData\Local\Temp\OnboardLogs" /stypes="app*4054*20170319*" /stext=" 18:.+((SYSTEM_STATE.+slice.+state.+changed )|(ment ac)|(multiple cpu faults)|(system.+state.+changed )|(\[timeout)|(PRM\|1\|D)|(kpr)|(kdp)|(\|lc)|(penalty))"</v>
      </c>
      <c r="AG73" s="1" t="str">
        <f t="shared" si="14"/>
        <v>EC</v>
      </c>
      <c r="AH73" s="86" t="str">
        <f t="shared" si="18"/>
        <v>"%USERPROFILE%\Documents\GitHub\eaglep3\Utilities\RefineRTDCRunTimes.py" --tripid 158-19 --locoid 4054 --swversion DE.1.0.9.0 --startMP 204:233040 --initTime 2017-03-19T11:23:25 --startdatetime 2017-03-19T11:41:14 --delay 1 --endMP 204:160 --enddatetime 2017-03-19T12:24:32 --enforcementcount 0 &gt;&gt;%USERPROFILE%\Documents\GitHub\eaglep3-reporting\EC\2017-03-19-refined-times.txt</v>
      </c>
      <c r="AI73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{"issue":{"subject":"","project_id":79,"tracker_id":40,"status_id":1,"priority_id":2,"assigned_to_id":23,"start_date":"2017-03-19","description":"","custom_fields":[{"id":1,"name":"Subdivision","value":"EC"},{"id":4,"name":"Milepost","value":"0.016"},{"id":17,"name":"Train ID","value":"158-19"},{"id":16,"name":"Locomotive ID","value":"4054"},{"id":130,"name":"Impact","value":""},{"id":150,"name":"Time of Event (Mountain Time)","value":"12:24:32"},{"id":151,"name":"Denver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4054 --day 2017-03-19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"%USERPROFILE%\AppData\Local\Temp\OnboardLogs"\RTDC4054\*4054*20170319* | grep -SE "(Enforcement Action)|(\[TIMEOUT)|(CHR.+\|PRM\|1\|D.+(SWITCH|SIGNAL).+UNKNOWN)" - &gt;&gt; 2017-03-19-UncaughtWiMAX.txt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587</v>
      </c>
      <c r="B74" s="7">
        <v>4003</v>
      </c>
      <c r="C74" s="21" t="s">
        <v>221</v>
      </c>
      <c r="D74" s="21" t="s">
        <v>841</v>
      </c>
      <c r="E74" s="13">
        <v>42813.455682870372</v>
      </c>
      <c r="F74" s="13">
        <v>42813.458553240744</v>
      </c>
      <c r="G74" s="7">
        <v>1</v>
      </c>
      <c r="H74" s="21" t="s">
        <v>842</v>
      </c>
      <c r="I74" s="13">
        <v>42813.485358796293</v>
      </c>
      <c r="J74" s="7">
        <v>0</v>
      </c>
      <c r="K74" s="98" t="str">
        <f t="shared" si="0"/>
        <v>4003/4004</v>
      </c>
      <c r="L74" s="21" t="str">
        <f>VLOOKUP(A74,'Trips&amp;Operators'!$C$1:$G$99999,5,FALSE)</f>
        <v>STEWART MICHAEL</v>
      </c>
      <c r="M74" s="6">
        <f t="shared" si="23"/>
        <v>2.6805555549799465E-2</v>
      </c>
      <c r="N74" s="7">
        <f t="shared" si="28"/>
        <v>38.599999991711229</v>
      </c>
      <c r="O74" s="7"/>
      <c r="P74" s="7"/>
      <c r="Q74" s="22"/>
      <c r="R74" s="22"/>
      <c r="S74" s="31">
        <f t="shared" si="29"/>
        <v>1</v>
      </c>
      <c r="T74" s="46" t="str">
        <f t="shared" si="4"/>
        <v>NorthBound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5"/>
        <v>https://d0f6bd738d7f1b3e5a7ca70fe4ff75f0.us-east-1.aws.found.io/app/kibana#/discover/Steve-Slow-Train-Analysis-(2080s-and-2083s)?_g=(refreshInterval:(display:Off,pause:!f,section:0,value:0),time:(from:'2017-03-19T09:56:11-0600',mode:absolute,to:'2017-03-19T12:38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4" s="187" t="str">
        <f t="shared" si="6"/>
        <v>N</v>
      </c>
      <c r="X74" s="187">
        <f t="shared" si="24"/>
        <v>1</v>
      </c>
      <c r="Y74" s="62">
        <f t="shared" si="8"/>
        <v>4.2900000000000001E-2</v>
      </c>
      <c r="Z74" s="62">
        <v>23.3</v>
      </c>
      <c r="AA74" s="62">
        <f t="shared" si="10"/>
        <v>23.257100000000001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0159-19</v>
      </c>
      <c r="AE74" s="85" t="str">
        <f t="shared" si="12"/>
        <v>aws s3 cp s3://rtdc.mdm.uploadarchive.raw/RTDC4003/ "%USERPROFILE%\AppData\Local\Temp\OnboardLogs"\RTDC4003\2017-03-19 --exclude "*" --recursive --include "*20170319*" &amp; "%USERPROFILE%\Documents\GitHub\mrs-test-scripts\Headless Mode &amp; Sideloading\WalkAndUnGZ.bat" "%USERPROFILE%\AppData\Local\Temp\OnboardLogs"\RTDC4003\2017-03-19 &amp; 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</v>
      </c>
      <c r="AF74" s="82" t="str">
        <f t="shared" si="13"/>
        <v>"C:\Program Files (x86)\AstroGrep\AstroGrep.exe" /e /r /s /spath="%USERPROFILE%\AppData\Local\Temp\OnboardLogs" /stypes="app*4003*20170319*" /stext=" 17:.+((SYSTEM_STATE.+slice.+state.+changed )|(ment ac)|(multiple cpu faults)|(system.+state.+changed )|(\[timeout)|(PRM\|1\|D)|(kpr)|(kdp)|(\|lc)|(penalty))"</v>
      </c>
      <c r="AG74" s="1" t="str">
        <f t="shared" si="14"/>
        <v>EC</v>
      </c>
      <c r="AH74" s="86" t="str">
        <f t="shared" si="18"/>
        <v>"%USERPROFILE%\Documents\GitHub\eaglep3\Utilities\RefineRTDCRunTimes.py" --tripid 159-19 --locoid 4003 --swversion DE.1.0.9.0 --startMP 204:429 --initTime 2017-03-19T10:56:11 --startdatetime 2017-03-19T11:00:19 --delay 1 --endMP 204:149881 --enddatetime 2017-03-19T11:38:55 --enforcementcount 0 &gt;&gt;%USERPROFILE%\Documents\GitHub\eaglep3-reporting\EC\2017-03-19-refined-times.txt</v>
      </c>
      <c r="AI74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{"issue":{"subject":"","project_id":79,"tracker_id":40,"status_id":1,"priority_id":2,"assigned_to_id":23,"start_date":"2017-03-19","description":"","custom_fields":[{"id":1,"name":"Subdivision","value":"EC"},{"id":4,"name":"Milepost","value":"23.3"},{"id":17,"name":"Train ID","value":"159-19"},{"id":16,"name":"Locomotive ID","value":"4003"},{"id":130,"name":"Impact","value":""},{"id":150,"name":"Time of Event (Mountain Time)","value":"11:38:55"},{"id":151,"name":"Denver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4003 --day 2017-03-19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"%USERPROFILE%\AppData\Local\Temp\OnboardLogs"\RTDC4003\*4003*20170319* | grep -SE "(Enforcement Action)|(\[TIMEOUT)|(CHR.+\|PRM\|1\|D.+(SWITCH|SIGNAL).+UNKNOWN)" - &gt;&gt; 2017-03-19-UncaughtWiMAX.txt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683</v>
      </c>
      <c r="B75" s="7">
        <v>4004</v>
      </c>
      <c r="C75" s="21" t="s">
        <v>221</v>
      </c>
      <c r="D75" s="21" t="s">
        <v>566</v>
      </c>
      <c r="E75" s="13">
        <v>42813.492638888885</v>
      </c>
      <c r="F75" s="13">
        <v>42813.497499999998</v>
      </c>
      <c r="G75" s="7">
        <v>2</v>
      </c>
      <c r="H75" s="21" t="s">
        <v>810</v>
      </c>
      <c r="I75" s="13">
        <v>42813.524525462963</v>
      </c>
      <c r="J75" s="7">
        <v>0</v>
      </c>
      <c r="K75" s="98" t="str">
        <f t="shared" si="0"/>
        <v>4003/4004</v>
      </c>
      <c r="L75" s="21" t="str">
        <f>VLOOKUP(A75,'Trips&amp;Operators'!$C$1:$G$99999,5,FALSE)</f>
        <v>STEWART MICHAEL</v>
      </c>
      <c r="M75" s="6">
        <f t="shared" si="23"/>
        <v>2.7025462964957114E-2</v>
      </c>
      <c r="N75" s="7">
        <f t="shared" si="28"/>
        <v>38.916666669538245</v>
      </c>
      <c r="O75" s="7"/>
      <c r="P75" s="7"/>
      <c r="Q75" s="22"/>
      <c r="R75" s="22"/>
      <c r="S75" s="31">
        <f t="shared" si="29"/>
        <v>1</v>
      </c>
      <c r="T75" s="46" t="str">
        <f t="shared" si="4"/>
        <v>Southbound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5"/>
        <v>https://d0f6bd738d7f1b3e5a7ca70fe4ff75f0.us-east-1.aws.found.io/app/kibana#/discover/Steve-Slow-Train-Analysis-(2080s-and-2083s)?_g=(refreshInterval:(display:Off,pause:!f,section:0,value:0),time:(from:'2017-03-19T10:49:24-0600',mode:absolute,to:'2017-03-19T13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5" s="187" t="str">
        <f t="shared" si="6"/>
        <v>N</v>
      </c>
      <c r="X75" s="187">
        <f t="shared" si="24"/>
        <v>1</v>
      </c>
      <c r="Y75" s="62">
        <f t="shared" si="8"/>
        <v>23.298300000000001</v>
      </c>
      <c r="Z75" s="62">
        <f t="shared" ref="Z75:Z106" si="30">RIGHT(H75,LEN(H75)-4)/10000</f>
        <v>1.61E-2</v>
      </c>
      <c r="AA75" s="62">
        <f t="shared" si="10"/>
        <v>23.2822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0160-19</v>
      </c>
      <c r="AE75" s="85" t="str">
        <f t="shared" si="12"/>
        <v>aws s3 cp s3://rtdc.mdm.uploadarchive.raw/RTDC4004/ "%USERPROFILE%\AppData\Local\Temp\OnboardLogs"\RTDC4004\2017-03-19 --exclude "*" --recursive --include "*20170319*" &amp; "%USERPROFILE%\Documents\GitHub\mrs-test-scripts\Headless Mode &amp; Sideloading\WalkAndUnGZ.bat" "%USERPROFILE%\AppData\Local\Temp\OnboardLogs"\RTDC4004\2017-03-19 &amp; 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</v>
      </c>
      <c r="AF75" s="82" t="str">
        <f t="shared" si="13"/>
        <v>"C:\Program Files (x86)\AstroGrep\AstroGrep.exe" /e /r /s /spath="%USERPROFILE%\AppData\Local\Temp\OnboardLogs" /stypes="app*4004*20170319*" /stext=" 18:.+((SYSTEM_STATE.+slice.+state.+changed )|(ment ac)|(multiple cpu faults)|(system.+state.+changed )|(\[timeout)|(PRM\|1\|D)|(kpr)|(kdp)|(\|lc)|(penalty))"</v>
      </c>
      <c r="AG75" s="1" t="str">
        <f t="shared" si="14"/>
        <v>EC</v>
      </c>
      <c r="AH75" s="86" t="str">
        <f t="shared" si="18"/>
        <v>"%USERPROFILE%\Documents\GitHub\eaglep3\Utilities\RefineRTDCRunTimes.py" --tripid 160-19 --locoid 4004 --swversion DE.1.0.9.0 --startMP 204:232983 --initTime 2017-03-19T11:49:24 --startdatetime 2017-03-19T11:56:24 --delay 2 --endMP 204:161 --enddatetime 2017-03-19T12:35:19 --enforcementcount 0 &gt;&gt;%USERPROFILE%\Documents\GitHub\eaglep3-reporting\EC\2017-03-19-refined-times.txt</v>
      </c>
      <c r="AI75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{"issue":{"subject":"","project_id":79,"tracker_id":40,"status_id":1,"priority_id":2,"assigned_to_id":23,"start_date":"2017-03-19","description":"","custom_fields":[{"id":1,"name":"Subdivision","value":"EC"},{"id":4,"name":"Milepost","value":"0.0161"},{"id":17,"name":"Train ID","value":"160-19"},{"id":16,"name":"Locomotive ID","value":"4004"},{"id":130,"name":"Impact","value":""},{"id":150,"name":"Time of Event (Mountain Time)","value":"12:35:19"},{"id":151,"name":"Denver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4004 --day 2017-03-19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"%USERPROFILE%\AppData\Local\Temp\OnboardLogs"\RTDC4004\*4004*20170319* | grep -SE "(Enforcement Action)|(\[TIMEOUT)|(CHR.+\|PRM\|1\|D.+(SWITCH|SIGNAL).+UNKNOWN)" - &gt;&gt; 2017-03-19-UncaughtWiMAX.txt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679</v>
      </c>
      <c r="B76" s="7">
        <v>4002</v>
      </c>
      <c r="C76" s="21" t="s">
        <v>221</v>
      </c>
      <c r="D76" s="21" t="s">
        <v>218</v>
      </c>
      <c r="E76" s="13">
        <v>42813.468506944446</v>
      </c>
      <c r="F76" s="13">
        <v>42813.469953703701</v>
      </c>
      <c r="G76" s="7">
        <v>1</v>
      </c>
      <c r="H76" s="21" t="s">
        <v>545</v>
      </c>
      <c r="I76" s="13">
        <v>42813.49722222222</v>
      </c>
      <c r="J76" s="7">
        <v>0</v>
      </c>
      <c r="K76" s="98" t="str">
        <f t="shared" si="0"/>
        <v>4001/4002</v>
      </c>
      <c r="L76" s="21" t="str">
        <f>VLOOKUP(A76,'Trips&amp;Operators'!$C$1:$G$99999,5,FALSE)</f>
        <v>DAVIS MICHAEL</v>
      </c>
      <c r="M76" s="6">
        <f t="shared" si="23"/>
        <v>2.7268518519122154E-2</v>
      </c>
      <c r="N76" s="7">
        <f t="shared" si="28"/>
        <v>39.266666667535901</v>
      </c>
      <c r="O76" s="7"/>
      <c r="P76" s="7"/>
      <c r="Q76" s="22"/>
      <c r="R76" s="22" t="s">
        <v>971</v>
      </c>
      <c r="S76" s="31">
        <f t="shared" si="29"/>
        <v>1</v>
      </c>
      <c r="T76" s="46" t="str">
        <f t="shared" si="4"/>
        <v>NorthBound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5"/>
        <v>https://d0f6bd738d7f1b3e5a7ca70fe4ff75f0.us-east-1.aws.found.io/app/kibana#/discover/Steve-Slow-Train-Analysis-(2080s-and-2083s)?_g=(refreshInterval:(display:Off,pause:!f,section:0,value:0),time:(from:'2017-03-19T10:14:39-0600',mode:absolute,to:'2017-03-19T12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6" s="187" t="str">
        <f t="shared" si="6"/>
        <v>N</v>
      </c>
      <c r="X76" s="187">
        <f t="shared" si="24"/>
        <v>1</v>
      </c>
      <c r="Y76" s="62">
        <f t="shared" si="8"/>
        <v>4.6600000000000003E-2</v>
      </c>
      <c r="Z76" s="62">
        <f t="shared" si="30"/>
        <v>23.330300000000001</v>
      </c>
      <c r="AA76" s="62">
        <f t="shared" si="10"/>
        <v>23.2837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0161-19</v>
      </c>
      <c r="AE76" s="85" t="str">
        <f t="shared" si="12"/>
        <v>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 &amp; 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</v>
      </c>
      <c r="AF76" s="82" t="str">
        <f t="shared" si="13"/>
        <v>"C:\Program Files (x86)\AstroGrep\AstroGrep.exe" /e /r /s /spath="%USERPROFILE%\AppData\Local\Temp\OnboardLogs" /stypes="app*4002*20170319*" /stext=" 17:.+((SYSTEM_STATE.+slice.+state.+changed )|(ment ac)|(multiple cpu faults)|(system.+state.+changed )|(\[timeout)|(PRM\|1\|D)|(kpr)|(kdp)|(\|lc)|(penalty))"</v>
      </c>
      <c r="AG76" s="1" t="str">
        <f t="shared" si="14"/>
        <v>EC</v>
      </c>
      <c r="AH76" s="86" t="str">
        <f t="shared" si="18"/>
        <v>"%USERPROFILE%\Documents\GitHub\eaglep3\Utilities\RefineRTDCRunTimes.py" --tripid 161-19 --locoid 4002 --swversion DE.1.0.9.0 --startMP 204:466 --initTime 2017-03-19T11:14:39 --startdatetime 2017-03-19T11:16:44 --delay 1 --endMP 204:233303 --enddatetime 2017-03-19T11:56:00 --enforcementcount 0 &gt;&gt;%USERPROFILE%\Documents\GitHub\eaglep3-reporting\EC\2017-03-19-refined-times.txt</v>
      </c>
      <c r="AI76" s="108" t="str">
        <f t="shared" si="19"/>
        <v>echo {"issue":{"subject":"Minor onboard in-route failure","project_id":79,"tracker_id":40,"status_id":1,"priority_id":2,"assigned_to_id":23,"start_date":"2017-03-19","description":"At approx 2017-03-19 11:41 CPU2 interpreted 40th 2N as a stop target despite its being PROCEED CAB (SG-5) for the past 6 minutes. CPU2 was promptly voted out by the other processors, but not before it had a chance to command a penalty brake","custom_fields":[{"id":1,"name":"Subdivision","value":"EC"},{"id":4,"name":"Milepost","value":"23.3303"},{"id":17,"name":"Train ID","value":"161-19"},{"id":16,"name":"Locomotive ID","value":"4002"},{"id":130,"name":"Impact","value":""},{"id":150,"name":"Time of Event (Mountain Time)","value":"11:56:00"},{"id":151,"name":"Denver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 t="s">
        <v>972</v>
      </c>
      <c r="AK76" s="48"/>
      <c r="AL76" s="48"/>
      <c r="AM76" s="154" t="str">
        <f t="shared" si="20"/>
        <v>start /low /b %USERPROFILE%\Documents\GitHub\eaglep3\Utilities\DownloadLogsFromS3.py --loco 4002 --day 2017-03-19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"%USERPROFILE%\AppData\Local\Temp\OnboardLogs"\RTDC4002\*4002*20170319* | grep -SE "(Enforcement Action)|(\[TIMEOUT)|(CHR.+\|PRM\|1\|D.+(SWITCH|SIGNAL).+UNKNOWN)" - &gt;&gt; 2017-03-19-UncaughtWiMAX.txt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688</v>
      </c>
      <c r="B77" s="7">
        <v>4001</v>
      </c>
      <c r="C77" s="21" t="s">
        <v>221</v>
      </c>
      <c r="D77" s="21" t="s">
        <v>361</v>
      </c>
      <c r="E77" s="13">
        <v>42813.50472222222</v>
      </c>
      <c r="F77" s="13">
        <v>42813.507893518516</v>
      </c>
      <c r="G77" s="7">
        <v>2</v>
      </c>
      <c r="H77" s="21" t="s">
        <v>434</v>
      </c>
      <c r="I77" s="13">
        <v>42813.536458333336</v>
      </c>
      <c r="J77" s="7">
        <v>0</v>
      </c>
      <c r="K77" s="98" t="str">
        <f t="shared" ref="K77:K140" si="31">IF(ISEVEN(B77),(B77-1)&amp;"/"&amp;B77,B77&amp;"/"&amp;(B77+1))</f>
        <v>4001/4002</v>
      </c>
      <c r="L77" s="21" t="str">
        <f>VLOOKUP(A77,'Trips&amp;Operators'!$C$1:$G$99999,5,FALSE)</f>
        <v>DAVIS MICHAEL</v>
      </c>
      <c r="M77" s="6">
        <f t="shared" ref="M77:M108" si="32">I77-F77</f>
        <v>2.8564814820128959E-2</v>
      </c>
      <c r="N77" s="7">
        <f t="shared" si="28"/>
        <v>41.1333333409857</v>
      </c>
      <c r="O77" s="7"/>
      <c r="P77" s="7"/>
      <c r="Q77" s="22"/>
      <c r="R77" s="22"/>
      <c r="S77" s="31">
        <f t="shared" si="29"/>
        <v>1</v>
      </c>
      <c r="T77" s="46" t="str">
        <f t="shared" ref="T77:T140" si="33">IF(ISEVEN(LEFT(AD77,4)),"Southbound","NorthBound")</f>
        <v>Southbound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3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-19T11:06:48-0600',mode:absolute,to:'2017-03-19T13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7" s="187" t="str">
        <f t="shared" ref="W77:W140" si="35">IF(AA77&lt;IF(AG77="EC",23,5.65),"Y","N")</f>
        <v>N</v>
      </c>
      <c r="X77" s="187">
        <f t="shared" ref="X77:X108" si="36">VALUE(LEFT(AD77,4))-VALUE(LEFT(AD76,4))</f>
        <v>1</v>
      </c>
      <c r="Y77" s="62">
        <f t="shared" ref="Y77:Y140" si="37">RIGHT(D77,LEN(D77)-4)/10000</f>
        <v>23.298200000000001</v>
      </c>
      <c r="Z77" s="62">
        <f t="shared" si="30"/>
        <v>1.43E-2</v>
      </c>
      <c r="AA77" s="62">
        <f t="shared" ref="AA77:AA140" si="38">ABS(Z77-Y77)</f>
        <v>23.283900000000003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9">IF(LEN(A77)=6,"0"&amp;A77,A77)</f>
        <v>0162-19</v>
      </c>
      <c r="AE77" s="85" t="str">
        <f t="shared" ref="AE77:AE140" si="40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s3://rtdc.mdm.uploadarchive.raw/RTDC4001/ "%USERPROFILE%\AppData\Local\Temp\OnboardLogs"\RTDC4001\2017-03-19 --exclude "*" --recursive --include "*20170319*" &amp; "%USERPROFILE%\Documents\GitHub\mrs-test-scripts\Headless Mode &amp; Sideloading\WalkAndUnGZ.bat" "%USERPROFILE%\AppData\Local\Temp\OnboardLogs"\RTDC4001\2017-03-19 &amp; aws s3 cp s3://rtdc.mdm.uploadarchive.raw/RTDC4001/ "%USERPROFILE%\AppData\Local\Temp\OnboardLogs"\RTDC4001\2017-03-20 --exclude "*" --recursive --include "*20170320*" &amp; "%USERPROFILE%\Documents\GitHub\mrs-test-scripts\Headless Mode &amp; Sideloading\WalkAndUnGZ.bat" "%USERPROFILE%\AppData\Local\Temp\OnboardLogs"\RTDC4001\2017-03-20</v>
      </c>
      <c r="AF77" s="82" t="str">
        <f t="shared" ref="AF77:AF140" si="41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/stypes="app*4001*20170319*" /stext=" 18:.+((SYSTEM_STATE.+slice.+state.+changed )|(ment ac)|(multiple cpu faults)|(system.+state.+changed )|(\[timeout)|(PRM\|1\|D)|(kpr)|(kdp)|(\|lc)|(penalty))"</v>
      </c>
      <c r="AG77" s="1" t="str">
        <f t="shared" ref="AG77:AG140" si="42">IFERROR(IF(VALUE(LEFT(AD77,2))&lt;=2,"EC",IF(OR(VALUE(LEFT(AD77,2))=8,VALUE(LEFT(AD77,2))=18),"NW","Other")),"Other")</f>
        <v>EC</v>
      </c>
      <c r="AH77" s="86" t="str">
        <f t="shared" si="18"/>
        <v>"%USERPROFILE%\Documents\GitHub\eaglep3\Utilities\RefineRTDCRunTimes.py" --tripid 162-19 --locoid 4001 --swversion DE.1.0.9.0 --startMP 204:232982 --initTime 2017-03-19T12:06:48 --startdatetime 2017-03-19T12:11:22 --delay 2 --endMP 204:143 --enddatetime 2017-03-19T12:52:30 --enforcementcount 0 &gt;&gt;%USERPROFILE%\Documents\GitHub\eaglep3-reporting\EC\2017-03-19-refined-times.txt</v>
      </c>
      <c r="AI77" s="108" t="str">
        <f t="shared" si="19"/>
        <v>echo {"issue":{"subject":"","project_id":79,"tracker_id":40,"status_id":1,"priority_id":2,"assigned_to_id":23,"start_date":"2017-03-19","description":"","custom_fields":[{"id":1,"name":"Subdivision","value":"EC"},{"id":4,"name":"Milepost","value":"0.0143"},{"id":17,"name":"Train ID","value":"162-19"},{"id":16,"name":"Locomotive ID","value":"4001"},{"id":130,"name":"Impact","value":""},{"id":150,"name":"Time of Event (Mountain Time)","value":"12:52:30"},{"id":151,"name":"Denver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0"/>
        <v>start /low /b %USERPROFILE%\Documents\GitHub\eaglep3\Utilities\DownloadLogsFromS3.py --loco 4001 --day 2017-03-19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"%USERPROFILE%\AppData\Local\Temp\OnboardLogs"\RTDC4001\*4001*20170319* | grep -SE "(Enforcement Action)|(\[TIMEOUT)|(CHR.+\|PRM\|1\|D.+(SWITCH|SIGNAL).+UNKNOWN)" - &gt;&gt; 2017-03-19-UncaughtWiMAX.txt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681</v>
      </c>
      <c r="B78" s="7">
        <v>4016</v>
      </c>
      <c r="C78" s="21" t="s">
        <v>221</v>
      </c>
      <c r="D78" s="21" t="s">
        <v>208</v>
      </c>
      <c r="E78" s="13">
        <v>42813.475578703707</v>
      </c>
      <c r="F78" s="13">
        <v>42813.479444444441</v>
      </c>
      <c r="G78" s="7">
        <v>1</v>
      </c>
      <c r="H78" s="21" t="s">
        <v>843</v>
      </c>
      <c r="I78" s="13">
        <v>42813.504699074074</v>
      </c>
      <c r="J78" s="7">
        <v>0</v>
      </c>
      <c r="K78" s="98" t="str">
        <f t="shared" si="31"/>
        <v>4015/4016</v>
      </c>
      <c r="L78" s="21" t="str">
        <f>VLOOKUP(A78,'Trips&amp;Operators'!$C$1:$G$99999,5,FALSE)</f>
        <v>LEVIN SCOTT</v>
      </c>
      <c r="M78" s="6">
        <f t="shared" si="32"/>
        <v>2.5254629632399883E-2</v>
      </c>
      <c r="N78" s="7">
        <f t="shared" si="28"/>
        <v>36.366666670655832</v>
      </c>
      <c r="O78" s="7"/>
      <c r="P78" s="7"/>
      <c r="Q78" s="22"/>
      <c r="R78" s="22"/>
      <c r="S78" s="31">
        <f t="shared" si="29"/>
        <v>1</v>
      </c>
      <c r="T78" s="46" t="str">
        <f t="shared" si="33"/>
        <v>NorthBound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34"/>
        <v>https://d0f6bd738d7f1b3e5a7ca70fe4ff75f0.us-east-1.aws.found.io/app/kibana#/discover/Steve-Slow-Train-Analysis-(2080s-and-2083s)?_g=(refreshInterval:(display:Off,pause:!f,section:0,value:0),time:(from:'2017-03-19T10:24:50-0600',mode:absolute,to:'2017-03-19T13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8" s="187" t="str">
        <f t="shared" si="35"/>
        <v>N</v>
      </c>
      <c r="X78" s="187">
        <f t="shared" si="36"/>
        <v>1</v>
      </c>
      <c r="Y78" s="62">
        <f t="shared" si="37"/>
        <v>4.5999999999999999E-2</v>
      </c>
      <c r="Z78" s="62">
        <f t="shared" si="30"/>
        <v>23.337199999999999</v>
      </c>
      <c r="AA78" s="62">
        <f t="shared" si="38"/>
        <v>23.2912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9"/>
        <v>0163-19</v>
      </c>
      <c r="AE78" s="85" t="str">
        <f t="shared" si="40"/>
        <v>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 &amp; 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</v>
      </c>
      <c r="AF78" s="82" t="str">
        <f t="shared" si="41"/>
        <v>"C:\Program Files (x86)\AstroGrep\AstroGrep.exe" /e /r /s /spath="%USERPROFILE%\AppData\Local\Temp\OnboardLogs" /stypes="app*4016*20170319*" /stext=" 18:.+((SYSTEM_STATE.+slice.+state.+changed )|(ment ac)|(multiple cpu faults)|(system.+state.+changed )|(\[timeout)|(PRM\|1\|D)|(kpr)|(kdp)|(\|lc)|(penalty))"</v>
      </c>
      <c r="AG78" s="1" t="str">
        <f t="shared" si="42"/>
        <v>EC</v>
      </c>
      <c r="AH78" s="86" t="str">
        <f t="shared" ref="AH78:AH141" si="43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163-19 --locoid 4016 --swversion DE.1.0.9.0 --startMP 204:460 --initTime 2017-03-19T11:24:50 --startdatetime 2017-03-19T11:30:24 --delay 1 --endMP 204:233372 --enddatetime 2017-03-19T12:06:46 --enforcementcount 0 &gt;&gt;%USERPROFILE%\Documents\GitHub\eaglep3-reporting\EC\2017-03-19-refined-times.txt</v>
      </c>
      <c r="AI78" s="108" t="str">
        <f t="shared" ref="AI78:AI141" si="44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{"issue":{"subject":"","project_id":79,"tracker_id":40,"status_id":1,"priority_id":2,"assigned_to_id":23,"start_date":"2017-03-19","description":"","custom_fields":[{"id":1,"name":"Subdivision","value":"EC"},{"id":4,"name":"Milepost","value":"23.3372"},{"id":17,"name":"Train ID","value":"163-19"},{"id":16,"name":"Locomotive ID","value":"4016"},{"id":130,"name":"Impact","value":""},{"id":150,"name":"Time of Event (Mountain Time)","value":"12:06:46"},{"id":151,"name":"Denver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1" si="45">"start /low /b "&amp;dls3logs&amp;" --loco "&amp;B78&amp;" --day "&amp;TEXT(F78,"YYYY-MM-DD")</f>
        <v>start /low /b %USERPROFILE%\Documents\GitHub\eaglep3\Utilities\DownloadLogsFromS3.py --loco 4016 --day 2017-03-19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"%USERPROFILE%\AppData\Local\Temp\OnboardLogs"\RTDC4016\*4016*20170319* | grep -SE "(Enforcement Action)|(\[TIMEOUT)|(CHR.+\|PRM\|1\|D.+(SWITCH|SIGNAL).+UNKNOWN)" - &gt;&gt; 2017-03-19-UncaughtWiMAX.txt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690</v>
      </c>
      <c r="B79" s="7">
        <v>4015</v>
      </c>
      <c r="C79" s="21" t="s">
        <v>221</v>
      </c>
      <c r="D79" s="21" t="s">
        <v>844</v>
      </c>
      <c r="E79" s="13">
        <v>42813.513449074075</v>
      </c>
      <c r="F79" s="13">
        <v>42813.518321759257</v>
      </c>
      <c r="G79" s="7">
        <v>1</v>
      </c>
      <c r="H79" s="21" t="s">
        <v>473</v>
      </c>
      <c r="I79" s="13">
        <v>42813.544918981483</v>
      </c>
      <c r="J79" s="7">
        <v>0</v>
      </c>
      <c r="K79" s="98" t="str">
        <f t="shared" si="31"/>
        <v>4015/4016</v>
      </c>
      <c r="L79" s="21" t="str">
        <f>VLOOKUP(A79,'Trips&amp;Operators'!$C$1:$G$99999,5,FALSE)</f>
        <v>LEVIN SCOTT</v>
      </c>
      <c r="M79" s="6">
        <f t="shared" si="32"/>
        <v>2.6597222225973383E-2</v>
      </c>
      <c r="N79" s="7">
        <f t="shared" si="28"/>
        <v>38.300000005401671</v>
      </c>
      <c r="O79" s="7"/>
      <c r="P79" s="7"/>
      <c r="Q79" s="22"/>
      <c r="R79" s="22"/>
      <c r="S79" s="31">
        <f t="shared" si="29"/>
        <v>1</v>
      </c>
      <c r="T79" s="46" t="str">
        <f t="shared" si="33"/>
        <v>Southbound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34"/>
        <v>https://d0f6bd738d7f1b3e5a7ca70fe4ff75f0.us-east-1.aws.found.io/app/kibana#/discover/Steve-Slow-Train-Analysis-(2080s-and-2083s)?_g=(refreshInterval:(display:Off,pause:!f,section:0,value:0),time:(from:'2017-03-19T11:19:22-0600',mode:absolute,to:'2017-03-19T14:04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9" s="187" t="str">
        <f t="shared" si="35"/>
        <v>N</v>
      </c>
      <c r="X79" s="187">
        <f t="shared" si="36"/>
        <v>1</v>
      </c>
      <c r="Y79" s="62">
        <f t="shared" si="37"/>
        <v>23.306000000000001</v>
      </c>
      <c r="Z79" s="62">
        <f t="shared" si="30"/>
        <v>1.29E-2</v>
      </c>
      <c r="AA79" s="62">
        <f t="shared" si="38"/>
        <v>23.293100000000003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9"/>
        <v>0164-19</v>
      </c>
      <c r="AE79" s="85" t="str">
        <f t="shared" si="40"/>
        <v>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 &amp; 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</v>
      </c>
      <c r="AF79" s="82" t="str">
        <f t="shared" si="41"/>
        <v>"C:\Program Files (x86)\AstroGrep\AstroGrep.exe" /e /r /s /spath="%USERPROFILE%\AppData\Local\Temp\OnboardLogs" /stypes="app*4015*20170319*" /stext=" 19:.+((SYSTEM_STATE.+slice.+state.+changed )|(ment ac)|(multiple cpu faults)|(system.+state.+changed )|(\[timeout)|(PRM\|1\|D)|(kpr)|(kdp)|(\|lc)|(penalty))"</v>
      </c>
      <c r="AG79" s="1" t="str">
        <f t="shared" si="42"/>
        <v>EC</v>
      </c>
      <c r="AH79" s="86" t="str">
        <f t="shared" si="43"/>
        <v>"%USERPROFILE%\Documents\GitHub\eaglep3\Utilities\RefineRTDCRunTimes.py" --tripid 164-19 --locoid 4015 --swversion DE.1.0.9.0 --startMP 204:233060 --initTime 2017-03-19T12:19:22 --startdatetime 2017-03-19T12:26:23 --delay 1 --endMP 204:129 --enddatetime 2017-03-19T13:04:41 --enforcementcount 0 &gt;&gt;%USERPROFILE%\Documents\GitHub\eaglep3-reporting\EC\2017-03-19-refined-times.txt</v>
      </c>
      <c r="AI79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{"issue":{"subject":"","project_id":79,"tracker_id":40,"status_id":1,"priority_id":2,"assigned_to_id":23,"start_date":"2017-03-19","description":"","custom_fields":[{"id":1,"name":"Subdivision","value":"EC"},{"id":4,"name":"Milepost","value":"0.0129"},{"id":17,"name":"Train ID","value":"164-19"},{"id":16,"name":"Locomotive ID","value":"4015"},{"id":130,"name":"Impact","value":""},{"id":150,"name":"Time of Event (Mountain Time)","value":"13:04:41"},{"id":151,"name":"Denver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45"/>
        <v>start /low /b %USERPROFILE%\Documents\GitHub\eaglep3\Utilities\DownloadLogsFromS3.py --loco 4015 --day 2017-03-19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"%USERPROFILE%\AppData\Local\Temp\OnboardLogs"\RTDC4015\*4015*20170319* | grep -SE "(Enforcement Action)|(\[TIMEOUT)|(CHR.+\|PRM\|1\|D.+(SWITCH|SIGNAL).+UNKNOWN)" - &gt;&gt; 2017-03-19-UncaughtWiMAX.txt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682</v>
      </c>
      <c r="B80" s="7">
        <v>4025</v>
      </c>
      <c r="C80" s="21" t="s">
        <v>221</v>
      </c>
      <c r="D80" s="21" t="s">
        <v>410</v>
      </c>
      <c r="E80" s="13">
        <v>42813.486226851855</v>
      </c>
      <c r="F80" s="13">
        <v>42813.489756944444</v>
      </c>
      <c r="G80" s="7">
        <v>1</v>
      </c>
      <c r="H80" s="21" t="s">
        <v>845</v>
      </c>
      <c r="I80" s="13">
        <v>42813.514236111114</v>
      </c>
      <c r="J80" s="7">
        <v>0</v>
      </c>
      <c r="K80" s="98" t="str">
        <f t="shared" si="31"/>
        <v>4025/4026</v>
      </c>
      <c r="L80" s="21" t="str">
        <f>VLOOKUP(A80,'Trips&amp;Operators'!$C$1:$G$99999,5,FALSE)</f>
        <v>BRUDER RICHARD</v>
      </c>
      <c r="M80" s="6">
        <f t="shared" si="32"/>
        <v>2.4479166670062114E-2</v>
      </c>
      <c r="N80" s="7">
        <f t="shared" si="28"/>
        <v>35.250000004889444</v>
      </c>
      <c r="O80" s="7"/>
      <c r="P80" s="7"/>
      <c r="Q80" s="22"/>
      <c r="R80" s="22"/>
      <c r="S80" s="31">
        <f t="shared" si="29"/>
        <v>1</v>
      </c>
      <c r="T80" s="46" t="str">
        <f t="shared" si="33"/>
        <v>NorthBound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34"/>
        <v>https://d0f6bd738d7f1b3e5a7ca70fe4ff75f0.us-east-1.aws.found.io/app/kibana#/discover/Steve-Slow-Train-Analysis-(2080s-and-2083s)?_g=(refreshInterval:(display:Off,pause:!f,section:0,value:0),time:(from:'2017-03-19T10:40:10-0600',mode:absolute,to:'2017-03-19T13:20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0" s="187" t="str">
        <f t="shared" si="35"/>
        <v>N</v>
      </c>
      <c r="X80" s="187">
        <f t="shared" si="36"/>
        <v>1</v>
      </c>
      <c r="Y80" s="62">
        <f t="shared" si="37"/>
        <v>4.7100000000000003E-2</v>
      </c>
      <c r="Z80" s="62">
        <f t="shared" si="30"/>
        <v>23.333400000000001</v>
      </c>
      <c r="AA80" s="62">
        <f t="shared" si="38"/>
        <v>23.286300000000001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9"/>
        <v>0165-19</v>
      </c>
      <c r="AE80" s="85" t="str">
        <f t="shared" si="40"/>
        <v>aws s3 cp s3://rtdc.mdm.uploadarchive.raw/RTDC4025/ "%USERPROFILE%\AppData\Local\Temp\OnboardLogs"\RTDC4025\2017-03-19 --exclude "*" --recursive --include "*20170319*" &amp; "%USERPROFILE%\Documents\GitHub\mrs-test-scripts\Headless Mode &amp; Sideloading\WalkAndUnGZ.bat" "%USERPROFILE%\AppData\Local\Temp\OnboardLogs"\RTDC4025\2017-03-19 &amp; 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</v>
      </c>
      <c r="AF80" s="82" t="str">
        <f t="shared" si="41"/>
        <v>"C:\Program Files (x86)\AstroGrep\AstroGrep.exe" /e /r /s /spath="%USERPROFILE%\AppData\Local\Temp\OnboardLogs" /stypes="app*4025*20170319*" /stext=" 18:.+((SYSTEM_STATE.+slice.+state.+changed )|(ment ac)|(multiple cpu faults)|(system.+state.+changed )|(\[timeout)|(PRM\|1\|D)|(kpr)|(kdp)|(\|lc)|(penalty))"</v>
      </c>
      <c r="AG80" s="1" t="str">
        <f t="shared" si="42"/>
        <v>EC</v>
      </c>
      <c r="AH80" s="86" t="str">
        <f t="shared" si="43"/>
        <v>"%USERPROFILE%\Documents\GitHub\eaglep3\Utilities\RefineRTDCRunTimes.py" --tripid 165-19 --locoid 4025 --swversion DE.1.0.9.0 --startMP 204:471 --initTime 2017-03-19T11:40:10 --startdatetime 2017-03-19T11:45:15 --delay 1 --endMP 204:233334 --enddatetime 2017-03-19T12:20:30 --enforcementcount 0 &gt;&gt;%USERPROFILE%\Documents\GitHub\eaglep3-reporting\EC\2017-03-19-refined-times.txt</v>
      </c>
      <c r="AI80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{"issue":{"subject":"","project_id":79,"tracker_id":40,"status_id":1,"priority_id":2,"assigned_to_id":23,"start_date":"2017-03-19","description":"","custom_fields":[{"id":1,"name":"Subdivision","value":"EC"},{"id":4,"name":"Milepost","value":"23.3334"},{"id":17,"name":"Train ID","value":"165-19"},{"id":16,"name":"Locomotive ID","value":"4025"},{"id":130,"name":"Impact","value":""},{"id":150,"name":"Time of Event (Mountain Time)","value":"12:20:30"},{"id":151,"name":"Denver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45"/>
        <v>start /low /b %USERPROFILE%\Documents\GitHub\eaglep3\Utilities\DownloadLogsFromS3.py --loco 4025 --day 2017-03-19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"%USERPROFILE%\AppData\Local\Temp\OnboardLogs"\RTDC4025\*4025*20170319* | grep -SE "(Enforcement Action)|(\[TIMEOUT)|(CHR.+\|PRM\|1\|D.+(SWITCH|SIGNAL).+UNKNOWN)" - &gt;&gt; 2017-03-19-UncaughtWiMAX.txt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692</v>
      </c>
      <c r="B81" s="7">
        <v>4026</v>
      </c>
      <c r="C81" s="21" t="s">
        <v>221</v>
      </c>
      <c r="D81" s="21" t="s">
        <v>846</v>
      </c>
      <c r="E81" s="13">
        <v>42813.523634259262</v>
      </c>
      <c r="F81" s="13">
        <v>42813.528680555559</v>
      </c>
      <c r="G81" s="7">
        <v>1</v>
      </c>
      <c r="H81" s="21" t="s">
        <v>183</v>
      </c>
      <c r="I81" s="13">
        <v>42813.555462962962</v>
      </c>
      <c r="J81" s="7">
        <v>0</v>
      </c>
      <c r="K81" s="98" t="str">
        <f t="shared" si="31"/>
        <v>4025/4026</v>
      </c>
      <c r="L81" s="21" t="str">
        <f>VLOOKUP(A81,'Trips&amp;Operators'!$C$1:$G$99999,5,FALSE)</f>
        <v>BRUDER RICHARD</v>
      </c>
      <c r="M81" s="6">
        <f t="shared" si="32"/>
        <v>2.6782407403516117E-2</v>
      </c>
      <c r="N81" s="7">
        <f t="shared" si="28"/>
        <v>38.566666661063209</v>
      </c>
      <c r="O81" s="7"/>
      <c r="P81" s="7"/>
      <c r="Q81" s="22"/>
      <c r="R81" s="22"/>
      <c r="S81" s="31">
        <f t="shared" si="29"/>
        <v>1</v>
      </c>
      <c r="T81" s="46" t="str">
        <f t="shared" si="33"/>
        <v>Southbound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34"/>
        <v>https://d0f6bd738d7f1b3e5a7ca70fe4ff75f0.us-east-1.aws.found.io/app/kibana#/discover/Steve-Slow-Train-Analysis-(2080s-and-2083s)?_g=(refreshInterval:(display:Off,pause:!f,section:0,value:0),time:(from:'2017-03-19T11:34:02-0600',mode:absolute,to:'2017-03-19T14:19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1" s="187" t="str">
        <f t="shared" si="35"/>
        <v>N</v>
      </c>
      <c r="X81" s="187">
        <f t="shared" si="36"/>
        <v>1</v>
      </c>
      <c r="Y81" s="62">
        <f t="shared" si="37"/>
        <v>23.2988</v>
      </c>
      <c r="Z81" s="62">
        <f t="shared" si="30"/>
        <v>1.49E-2</v>
      </c>
      <c r="AA81" s="62">
        <f t="shared" si="38"/>
        <v>23.283899999999999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9"/>
        <v>0166-19</v>
      </c>
      <c r="AE81" s="85" t="str">
        <f t="shared" si="40"/>
        <v>aws s3 cp s3://rtdc.mdm.uploadarchive.raw/RTDC4026/ "%USERPROFILE%\AppData\Local\Temp\OnboardLogs"\RTDC4026\2017-03-19 --exclude "*" --recursive --include "*20170319*" &amp; "%USERPROFILE%\Documents\GitHub\mrs-test-scripts\Headless Mode &amp; Sideloading\WalkAndUnGZ.bat" "%USERPROFILE%\AppData\Local\Temp\OnboardLogs"\RTDC4026\2017-03-19 &amp; 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</v>
      </c>
      <c r="AF81" s="82" t="str">
        <f t="shared" si="41"/>
        <v>"C:\Program Files (x86)\AstroGrep\AstroGrep.exe" /e /r /s /spath="%USERPROFILE%\AppData\Local\Temp\OnboardLogs" /stypes="app*4026*20170319*" /stext=" 19:.+((SYSTEM_STATE.+slice.+state.+changed )|(ment ac)|(multiple cpu faults)|(system.+state.+changed )|(\[timeout)|(PRM\|1\|D)|(kpr)|(kdp)|(\|lc)|(penalty))"</v>
      </c>
      <c r="AG81" s="1" t="str">
        <f t="shared" si="42"/>
        <v>EC</v>
      </c>
      <c r="AH81" s="86" t="str">
        <f t="shared" si="43"/>
        <v>"%USERPROFILE%\Documents\GitHub\eaglep3\Utilities\RefineRTDCRunTimes.py" --tripid 166-19 --locoid 4026 --swversion DE.1.0.9.0 --startMP 204:232988 --initTime 2017-03-19T12:34:02 --startdatetime 2017-03-19T12:41:18 --delay 1 --endMP 204:149 --enddatetime 2017-03-19T13:19:52 --enforcementcount 0 &gt;&gt;%USERPROFILE%\Documents\GitHub\eaglep3-reporting\EC\2017-03-19-refined-times.txt</v>
      </c>
      <c r="AI81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{"issue":{"subject":"","project_id":79,"tracker_id":40,"status_id":1,"priority_id":2,"assigned_to_id":23,"start_date":"2017-03-19","description":"","custom_fields":[{"id":1,"name":"Subdivision","value":"EC"},{"id":4,"name":"Milepost","value":"0.0149"},{"id":17,"name":"Train ID","value":"166-19"},{"id":16,"name":"Locomotive ID","value":"4026"},{"id":130,"name":"Impact","value":""},{"id":150,"name":"Time of Event (Mountain Time)","value":"13:19:52"},{"id":151,"name":"Denver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45"/>
        <v>start /low /b %USERPROFILE%\Documents\GitHub\eaglep3\Utilities\DownloadLogsFromS3.py --loco 4026 --day 2017-03-19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"%USERPROFILE%\AppData\Local\Temp\OnboardLogs"\RTDC4026\*4026*20170319* | grep -SE "(Enforcement Action)|(\[TIMEOUT)|(CHR.+\|PRM\|1\|D.+(SWITCH|SIGNAL).+UNKNOWN)" - &gt;&gt; 2017-03-19-UncaughtWiMAX.txt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3" t="s">
        <v>684</v>
      </c>
      <c r="B82" s="7">
        <v>4020</v>
      </c>
      <c r="C82" s="21" t="s">
        <v>221</v>
      </c>
      <c r="D82" s="21" t="s">
        <v>847</v>
      </c>
      <c r="E82" s="13">
        <v>42813.495196759257</v>
      </c>
      <c r="F82" s="13">
        <v>42813.500208333331</v>
      </c>
      <c r="G82" s="7">
        <v>1</v>
      </c>
      <c r="H82" s="21" t="s">
        <v>544</v>
      </c>
      <c r="I82" s="13">
        <v>42813.525520833333</v>
      </c>
      <c r="J82" s="7">
        <v>0</v>
      </c>
      <c r="K82" s="98" t="str">
        <f t="shared" si="31"/>
        <v>4019/4020</v>
      </c>
      <c r="L82" s="21" t="str">
        <f>VLOOKUP(A82,'Trips&amp;Operators'!$C$1:$G$99999,5,FALSE)</f>
        <v>LOCKLEAR TRAVIS</v>
      </c>
      <c r="M82" s="6">
        <f t="shared" si="32"/>
        <v>2.531250000174623E-2</v>
      </c>
      <c r="N82" s="7">
        <f t="shared" si="28"/>
        <v>36.450000002514571</v>
      </c>
      <c r="O82" s="7"/>
      <c r="P82" s="7"/>
      <c r="Q82" s="22"/>
      <c r="R82" s="22"/>
      <c r="S82" s="31">
        <f t="shared" si="29"/>
        <v>1</v>
      </c>
      <c r="T82" s="46" t="str">
        <f t="shared" si="33"/>
        <v>NorthBound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34"/>
        <v>https://d0f6bd738d7f1b3e5a7ca70fe4ff75f0.us-east-1.aws.found.io/app/kibana#/discover/Steve-Slow-Train-Analysis-(2080s-and-2083s)?_g=(refreshInterval:(display:Off,pause:!f,section:0,value:0),time:(from:'2017-03-19T10:53:05-0600',mode:absolute,to:'2017-03-19T13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2" s="187" t="str">
        <f t="shared" si="35"/>
        <v>N</v>
      </c>
      <c r="X82" s="187">
        <f t="shared" si="36"/>
        <v>1</v>
      </c>
      <c r="Y82" s="62">
        <f t="shared" si="37"/>
        <v>5.1700000000000003E-2</v>
      </c>
      <c r="Z82" s="62">
        <f t="shared" si="30"/>
        <v>23.331700000000001</v>
      </c>
      <c r="AA82" s="62">
        <f t="shared" si="38"/>
        <v>23.28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9"/>
        <v>0167-19</v>
      </c>
      <c r="AE82" s="85" t="str">
        <f t="shared" si="40"/>
        <v>aws s3 cp s3://rtdc.mdm.uploadarchive.raw/RTDC4020/ "%USERPROFILE%\AppData\Local\Temp\OnboardLogs"\RTDC4020\2017-03-19 --exclude "*" --recursive --include "*20170319*" &amp; "%USERPROFILE%\Documents\GitHub\mrs-test-scripts\Headless Mode &amp; Sideloading\WalkAndUnGZ.bat" "%USERPROFILE%\AppData\Local\Temp\OnboardLogs"\RTDC4020\2017-03-19 &amp; aws s3 cp s3://rtdc.mdm.uploadarchive.raw/RTDC4020/ "%USERPROFILE%\AppData\Local\Temp\OnboardLogs"\RTDC4020\2017-03-20 --exclude "*" --recursive --include "*20170320*" &amp; "%USERPROFILE%\Documents\GitHub\mrs-test-scripts\Headless Mode &amp; Sideloading\WalkAndUnGZ.bat" "%USERPROFILE%\AppData\Local\Temp\OnboardLogs"\RTDC4020\2017-03-20</v>
      </c>
      <c r="AF82" s="82" t="str">
        <f t="shared" si="41"/>
        <v>"C:\Program Files (x86)\AstroGrep\AstroGrep.exe" /e /r /s /spath="%USERPROFILE%\AppData\Local\Temp\OnboardLogs" /stypes="app*4020*20170319*" /stext=" 18:.+((SYSTEM_STATE.+slice.+state.+changed )|(ment ac)|(multiple cpu faults)|(system.+state.+changed )|(\[timeout)|(PRM\|1\|D)|(kpr)|(kdp)|(\|lc)|(penalty))"</v>
      </c>
      <c r="AG82" s="1" t="str">
        <f t="shared" si="42"/>
        <v>EC</v>
      </c>
      <c r="AH82" s="86" t="str">
        <f t="shared" si="43"/>
        <v>"%USERPROFILE%\Documents\GitHub\eaglep3\Utilities\RefineRTDCRunTimes.py" --tripid 167-19 --locoid 4020 --swversion DE.1.0.9.0 --startMP 204:517 --initTime 2017-03-19T11:53:05 --startdatetime 2017-03-19T12:00:18 --delay 1 --endMP 204:233317 --enddatetime 2017-03-19T12:36:45 --enforcementcount 0 &gt;&gt;%USERPROFILE%\Documents\GitHub\eaglep3-reporting\EC\2017-03-19-refined-times.txt</v>
      </c>
      <c r="AI82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{"issue":{"subject":"","project_id":79,"tracker_id":40,"status_id":1,"priority_id":2,"assigned_to_id":23,"start_date":"2017-03-19","description":"","custom_fields":[{"id":1,"name":"Subdivision","value":"EC"},{"id":4,"name":"Milepost","value":"23.3317"},{"id":17,"name":"Train ID","value":"167-19"},{"id":16,"name":"Locomotive ID","value":"4020"},{"id":130,"name":"Impact","value":""},{"id":150,"name":"Time of Event (Mountain Time)","value":"12:36:45"},{"id":151,"name":"Denver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45"/>
        <v>start /low /b %USERPROFILE%\Documents\GitHub\eaglep3\Utilities\DownloadLogsFromS3.py --loco 4020 --day 2017-03-19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"%USERPROFILE%\AppData\Local\Temp\OnboardLogs"\RTDC4020\*4020*20170319* | grep -SE "(Enforcement Action)|(\[TIMEOUT)|(CHR.+\|PRM\|1\|D.+(SWITCH|SIGNAL).+UNKNOWN)" - &gt;&gt; 2017-03-19-UncaughtWiMAX.txt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695</v>
      </c>
      <c r="B83" s="7">
        <v>4019</v>
      </c>
      <c r="C83" s="21" t="s">
        <v>221</v>
      </c>
      <c r="D83" s="21" t="s">
        <v>541</v>
      </c>
      <c r="E83" s="13">
        <v>42813.537581018521</v>
      </c>
      <c r="F83" s="13">
        <v>42813.539039351854</v>
      </c>
      <c r="G83" s="7">
        <v>1</v>
      </c>
      <c r="H83" s="21" t="s">
        <v>434</v>
      </c>
      <c r="I83" s="13">
        <v>42813.56627314815</v>
      </c>
      <c r="J83" s="7">
        <v>0</v>
      </c>
      <c r="K83" s="98" t="str">
        <f t="shared" si="31"/>
        <v>4019/4020</v>
      </c>
      <c r="L83" s="21" t="str">
        <f>VLOOKUP(A83,'Trips&amp;Operators'!$C$1:$G$99999,5,FALSE)</f>
        <v>LOCKLEAR TRAVIS</v>
      </c>
      <c r="M83" s="6">
        <f t="shared" si="32"/>
        <v>2.7233796296059154E-2</v>
      </c>
      <c r="N83" s="7">
        <f t="shared" si="28"/>
        <v>39.216666666325182</v>
      </c>
      <c r="O83" s="7"/>
      <c r="P83" s="7"/>
      <c r="Q83" s="22"/>
      <c r="R83" s="22"/>
      <c r="S83" s="31">
        <f t="shared" si="29"/>
        <v>1</v>
      </c>
      <c r="T83" s="46" t="str">
        <f t="shared" si="33"/>
        <v>Southbound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34"/>
        <v>https://d0f6bd738d7f1b3e5a7ca70fe4ff75f0.us-east-1.aws.found.io/app/kibana#/discover/Steve-Slow-Train-Analysis-(2080s-and-2083s)?_g=(refreshInterval:(display:Off,pause:!f,section:0,value:0),time:(from:'2017-03-19T11:54:07-0600',mode:absolute,to:'2017-03-19T14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3" s="187" t="str">
        <f t="shared" si="35"/>
        <v>N</v>
      </c>
      <c r="X83" s="187">
        <f t="shared" si="36"/>
        <v>1</v>
      </c>
      <c r="Y83" s="62">
        <f t="shared" si="37"/>
        <v>23.3004</v>
      </c>
      <c r="Z83" s="62">
        <f t="shared" si="30"/>
        <v>1.43E-2</v>
      </c>
      <c r="AA83" s="62">
        <f t="shared" si="38"/>
        <v>23.286100000000001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9"/>
        <v>0168-19</v>
      </c>
      <c r="AE83" s="85" t="str">
        <f t="shared" si="40"/>
        <v>aws s3 cp s3://rtdc.mdm.uploadarchive.raw/RTDC4019/ "%USERPROFILE%\AppData\Local\Temp\OnboardLogs"\RTDC4019\2017-03-19 --exclude "*" --recursive --include "*20170319*" &amp; "%USERPROFILE%\Documents\GitHub\mrs-test-scripts\Headless Mode &amp; Sideloading\WalkAndUnGZ.bat" "%USERPROFILE%\AppData\Local\Temp\OnboardLogs"\RTDC4019\2017-03-19 &amp; aws s3 cp s3://rtdc.mdm.uploadarchive.raw/RTDC4019/ "%USERPROFILE%\AppData\Local\Temp\OnboardLogs"\RTDC4019\2017-03-20 --exclude "*" --recursive --include "*20170320*" &amp; "%USERPROFILE%\Documents\GitHub\mrs-test-scripts\Headless Mode &amp; Sideloading\WalkAndUnGZ.bat" "%USERPROFILE%\AppData\Local\Temp\OnboardLogs"\RTDC4019\2017-03-20</v>
      </c>
      <c r="AF83" s="82" t="str">
        <f t="shared" si="41"/>
        <v>"C:\Program Files (x86)\AstroGrep\AstroGrep.exe" /e /r /s /spath="%USERPROFILE%\AppData\Local\Temp\OnboardLogs" /stypes="app*4019*20170319*" /stext=" 19:.+((SYSTEM_STATE.+slice.+state.+changed )|(ment ac)|(multiple cpu faults)|(system.+state.+changed )|(\[timeout)|(PRM\|1\|D)|(kpr)|(kdp)|(\|lc)|(penalty))"</v>
      </c>
      <c r="AG83" s="1" t="str">
        <f t="shared" si="42"/>
        <v>EC</v>
      </c>
      <c r="AH83" s="86" t="str">
        <f t="shared" si="43"/>
        <v>"%USERPROFILE%\Documents\GitHub\eaglep3\Utilities\RefineRTDCRunTimes.py" --tripid 168-19 --locoid 4019 --swversion DE.1.0.9.0 --startMP 204:233004 --initTime 2017-03-19T12:54:07 --startdatetime 2017-03-19T12:56:13 --delay 1 --endMP 204:143 --enddatetime 2017-03-19T13:35:26 --enforcementcount 0 &gt;&gt;%USERPROFILE%\Documents\GitHub\eaglep3-reporting\EC\2017-03-19-refined-times.txt</v>
      </c>
      <c r="AI83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{"issue":{"subject":"","project_id":79,"tracker_id":40,"status_id":1,"priority_id":2,"assigned_to_id":23,"start_date":"2017-03-19","description":"","custom_fields":[{"id":1,"name":"Subdivision","value":"EC"},{"id":4,"name":"Milepost","value":"0.0143"},{"id":17,"name":"Train ID","value":"168-19"},{"id":16,"name":"Locomotive ID","value":"4019"},{"id":130,"name":"Impact","value":""},{"id":150,"name":"Time of Event (Mountain Time)","value":"13:35:26"},{"id":151,"name":"Denver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45"/>
        <v>start /low /b %USERPROFILE%\Documents\GitHub\eaglep3\Utilities\DownloadLogsFromS3.py --loco 4019 --day 2017-03-19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"%USERPROFILE%\AppData\Local\Temp\OnboardLogs"\RTDC4019\*4019*20170319* | grep -SE "(Enforcement Action)|(\[TIMEOUT)|(CHR.+\|PRM\|1\|D.+(SWITCH|SIGNAL).+UNKNOWN)" - &gt;&gt; 2017-03-19-UncaughtWiMAX.txt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689</v>
      </c>
      <c r="B84" s="7">
        <v>4040</v>
      </c>
      <c r="C84" s="21" t="s">
        <v>221</v>
      </c>
      <c r="D84" s="21" t="s">
        <v>217</v>
      </c>
      <c r="E84" s="13">
        <v>42813.506423611114</v>
      </c>
      <c r="F84" s="13">
        <v>42813.510578703703</v>
      </c>
      <c r="G84" s="7">
        <v>1</v>
      </c>
      <c r="H84" s="21" t="s">
        <v>534</v>
      </c>
      <c r="I84" s="13">
        <v>42813.535011574073</v>
      </c>
      <c r="J84" s="7">
        <v>0</v>
      </c>
      <c r="K84" s="98" t="str">
        <f t="shared" si="31"/>
        <v>4039/4040</v>
      </c>
      <c r="L84" s="21" t="str">
        <f>VLOOKUP(A84,'Trips&amp;Operators'!$C$1:$G$99999,5,FALSE)</f>
        <v>ROMERO CHAD</v>
      </c>
      <c r="M84" s="6">
        <f t="shared" si="32"/>
        <v>2.4432870370219462E-2</v>
      </c>
      <c r="N84" s="7">
        <f t="shared" si="28"/>
        <v>35.183333333116025</v>
      </c>
      <c r="O84" s="7"/>
      <c r="P84" s="7"/>
      <c r="Q84" s="22"/>
      <c r="R84" s="22"/>
      <c r="S84" s="31">
        <f t="shared" si="29"/>
        <v>1</v>
      </c>
      <c r="T84" s="46" t="str">
        <f t="shared" si="33"/>
        <v>NorthBound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34"/>
        <v>https://d0f6bd738d7f1b3e5a7ca70fe4ff75f0.us-east-1.aws.found.io/app/kibana#/discover/Steve-Slow-Train-Analysis-(2080s-and-2083s)?_g=(refreshInterval:(display:Off,pause:!f,section:0,value:0),time:(from:'2017-03-19T11:09:15-0600',mode:absolute,to:'2017-03-19T13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4" s="187" t="str">
        <f t="shared" si="35"/>
        <v>N</v>
      </c>
      <c r="X84" s="187">
        <f t="shared" si="36"/>
        <v>1</v>
      </c>
      <c r="Y84" s="62">
        <f t="shared" si="37"/>
        <v>4.4699999999999997E-2</v>
      </c>
      <c r="Z84" s="62">
        <f t="shared" si="30"/>
        <v>23.339300000000001</v>
      </c>
      <c r="AA84" s="62">
        <f t="shared" si="38"/>
        <v>23.294600000000003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9"/>
        <v>0169-19</v>
      </c>
      <c r="AE84" s="85" t="str">
        <f t="shared" si="40"/>
        <v>aws s3 cp s3://rtdc.mdm.uploadarchive.raw/RTDC4040/ "%USERPROFILE%\AppData\Local\Temp\OnboardLogs"\RTDC4040\2017-03-19 --exclude "*" --recursive --include "*20170319*" &amp; "%USERPROFILE%\Documents\GitHub\mrs-test-scripts\Headless Mode &amp; Sideloading\WalkAndUnGZ.bat" "%USERPROFILE%\AppData\Local\Temp\OnboardLogs"\RTDC4040\2017-03-19 &amp; 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</v>
      </c>
      <c r="AF84" s="82" t="str">
        <f t="shared" si="41"/>
        <v>"C:\Program Files (x86)\AstroGrep\AstroGrep.exe" /e /r /s /spath="%USERPROFILE%\AppData\Local\Temp\OnboardLogs" /stypes="app*4040*20170319*" /stext=" 18:.+((SYSTEM_STATE.+slice.+state.+changed )|(ment ac)|(multiple cpu faults)|(system.+state.+changed )|(\[timeout)|(PRM\|1\|D)|(kpr)|(kdp)|(\|lc)|(penalty))"</v>
      </c>
      <c r="AG84" s="1" t="str">
        <f t="shared" si="42"/>
        <v>EC</v>
      </c>
      <c r="AH84" s="86" t="str">
        <f t="shared" si="43"/>
        <v>"%USERPROFILE%\Documents\GitHub\eaglep3\Utilities\RefineRTDCRunTimes.py" --tripid 169-19 --locoid 4040 --swversion DE.1.0.9.0 --startMP 204:447 --initTime 2017-03-19T12:09:15 --startdatetime 2017-03-19T12:15:14 --delay 1 --endMP 204:233393 --enddatetime 2017-03-19T12:50:25 --enforcementcount 0 &gt;&gt;%USERPROFILE%\Documents\GitHub\eaglep3-reporting\EC\2017-03-19-refined-times.txt</v>
      </c>
      <c r="AI84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{"issue":{"subject":"","project_id":79,"tracker_id":40,"status_id":1,"priority_id":2,"assigned_to_id":23,"start_date":"2017-03-19","description":"","custom_fields":[{"id":1,"name":"Subdivision","value":"EC"},{"id":4,"name":"Milepost","value":"23.3393"},{"id":17,"name":"Train ID","value":"169-19"},{"id":16,"name":"Locomotive ID","value":"4040"},{"id":130,"name":"Impact","value":""},{"id":150,"name":"Time of Event (Mountain Time)","value":"12:50:25"},{"id":151,"name":"Denver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45"/>
        <v>start /low /b %USERPROFILE%\Documents\GitHub\eaglep3\Utilities\DownloadLogsFromS3.py --loco 4040 --day 2017-03-19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"%USERPROFILE%\AppData\Local\Temp\OnboardLogs"\RTDC4040\*4040*20170319* | grep -SE "(Enforcement Action)|(\[TIMEOUT)|(CHR.+\|PRM\|1\|D.+(SWITCH|SIGNAL).+UNKNOWN)" - &gt;&gt; 2017-03-19-UncaughtWiMAX.txt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694</v>
      </c>
      <c r="B85" s="7">
        <v>4039</v>
      </c>
      <c r="C85" s="21" t="s">
        <v>221</v>
      </c>
      <c r="D85" s="21" t="s">
        <v>848</v>
      </c>
      <c r="E85" s="13">
        <v>42813.536886574075</v>
      </c>
      <c r="F85" s="13">
        <v>42813.549537037034</v>
      </c>
      <c r="G85" s="7">
        <v>1</v>
      </c>
      <c r="H85" s="21" t="s">
        <v>190</v>
      </c>
      <c r="I85" s="13">
        <v>42813.57608796296</v>
      </c>
      <c r="J85" s="7">
        <v>0</v>
      </c>
      <c r="K85" s="98" t="str">
        <f t="shared" si="31"/>
        <v>4039/4040</v>
      </c>
      <c r="L85" s="21" t="str">
        <f>VLOOKUP(A85,'Trips&amp;Operators'!$C$1:$G$99999,5,FALSE)</f>
        <v>ROMERO CHAD</v>
      </c>
      <c r="M85" s="6">
        <f t="shared" si="32"/>
        <v>2.6550925926130731E-2</v>
      </c>
      <c r="N85" s="7">
        <f t="shared" si="28"/>
        <v>38.233333333628252</v>
      </c>
      <c r="O85" s="7"/>
      <c r="P85" s="7"/>
      <c r="Q85" s="22"/>
      <c r="R85" s="22"/>
      <c r="S85" s="31">
        <f t="shared" si="29"/>
        <v>1</v>
      </c>
      <c r="T85" s="46" t="str">
        <f t="shared" si="33"/>
        <v>Southbound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34"/>
        <v>https://d0f6bd738d7f1b3e5a7ca70fe4ff75f0.us-east-1.aws.found.io/app/kibana#/discover/Steve-Slow-Train-Analysis-(2080s-and-2083s)?_g=(refreshInterval:(display:Off,pause:!f,section:0,value:0),time:(from:'2017-03-19T11:53:07-0600',mode:absolute,to:'2017-03-19T14:49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5" s="187" t="str">
        <f t="shared" si="35"/>
        <v>N</v>
      </c>
      <c r="X85" s="187">
        <f t="shared" si="36"/>
        <v>1</v>
      </c>
      <c r="Y85" s="62">
        <f t="shared" si="37"/>
        <v>23.309000000000001</v>
      </c>
      <c r="Z85" s="62">
        <f t="shared" si="30"/>
        <v>1.4999999999999999E-2</v>
      </c>
      <c r="AA85" s="62">
        <f t="shared" si="38"/>
        <v>23.294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9"/>
        <v>0170-19</v>
      </c>
      <c r="AE85" s="85" t="str">
        <f t="shared" si="40"/>
        <v>aws s3 cp s3://rtdc.mdm.uploadarchive.raw/RTDC4039/ "%USERPROFILE%\AppData\Local\Temp\OnboardLogs"\RTDC4039\2017-03-19 --exclude "*" --recursive --include "*20170319*" &amp; "%USERPROFILE%\Documents\GitHub\mrs-test-scripts\Headless Mode &amp; Sideloading\WalkAndUnGZ.bat" "%USERPROFILE%\AppData\Local\Temp\OnboardLogs"\RTDC4039\2017-03-19 &amp; 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</v>
      </c>
      <c r="AF85" s="82" t="str">
        <f t="shared" si="41"/>
        <v>"C:\Program Files (x86)\AstroGrep\AstroGrep.exe" /e /r /s /spath="%USERPROFILE%\AppData\Local\Temp\OnboardLogs" /stypes="app*4039*20170319*" /stext=" 19:.+((SYSTEM_STATE.+slice.+state.+changed )|(ment ac)|(multiple cpu faults)|(system.+state.+changed )|(\[timeout)|(PRM\|1\|D)|(kpr)|(kdp)|(\|lc)|(penalty))"</v>
      </c>
      <c r="AG85" s="1" t="str">
        <f t="shared" si="42"/>
        <v>EC</v>
      </c>
      <c r="AH85" s="86" t="str">
        <f t="shared" si="43"/>
        <v>"%USERPROFILE%\Documents\GitHub\eaglep3\Utilities\RefineRTDCRunTimes.py" --tripid 170-19 --locoid 4039 --swversion DE.1.0.9.0 --startMP 204:233090 --initTime 2017-03-19T12:53:07 --startdatetime 2017-03-19T13:11:20 --delay 1 --endMP 204:150 --enddatetime 2017-03-19T13:49:34 --enforcementcount 0 &gt;&gt;%USERPROFILE%\Documents\GitHub\eaglep3-reporting\EC\2017-03-19-refined-times.txt</v>
      </c>
      <c r="AI85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{"issue":{"subject":"","project_id":79,"tracker_id":40,"status_id":1,"priority_id":2,"assigned_to_id":23,"start_date":"2017-03-19","description":"","custom_fields":[{"id":1,"name":"Subdivision","value":"EC"},{"id":4,"name":"Milepost","value":"0.015"},{"id":17,"name":"Train ID","value":"170-19"},{"id":16,"name":"Locomotive ID","value":"4039"},{"id":130,"name":"Impact","value":""},{"id":150,"name":"Time of Event (Mountain Time)","value":"13:49:34"},{"id":151,"name":"Denver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45"/>
        <v>start /low /b %USERPROFILE%\Documents\GitHub\eaglep3\Utilities\DownloadLogsFromS3.py --loco 4039 --day 2017-03-19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"%USERPROFILE%\AppData\Local\Temp\OnboardLogs"\RTDC4039\*4039*20170319* | grep -SE "(Enforcement Action)|(\[TIMEOUT)|(CHR.+\|PRM\|1\|D.+(SWITCH|SIGNAL).+UNKNOWN)" - &gt;&gt; 2017-03-19-UncaughtWiMAX.txt</v>
      </c>
    </row>
    <row r="86" spans="1:91" s="20" customFormat="1" x14ac:dyDescent="0.25">
      <c r="A86" s="33" t="s">
        <v>691</v>
      </c>
      <c r="B86" s="7">
        <v>4053</v>
      </c>
      <c r="C86" s="21" t="s">
        <v>221</v>
      </c>
      <c r="D86" s="21" t="s">
        <v>208</v>
      </c>
      <c r="E86" s="13">
        <v>42813.519120370373</v>
      </c>
      <c r="F86" s="13">
        <v>42813.521018518521</v>
      </c>
      <c r="G86" s="7">
        <v>1</v>
      </c>
      <c r="H86" s="21" t="s">
        <v>849</v>
      </c>
      <c r="I86" s="13">
        <v>42813.546261574076</v>
      </c>
      <c r="J86" s="7">
        <v>0</v>
      </c>
      <c r="K86" s="98" t="str">
        <f t="shared" si="31"/>
        <v>4053/4054</v>
      </c>
      <c r="L86" s="21" t="str">
        <f>VLOOKUP(A86,'Trips&amp;Operators'!$C$1:$G$99999,5,FALSE)</f>
        <v>BRANDNER MELINDA</v>
      </c>
      <c r="M86" s="6">
        <f t="shared" si="32"/>
        <v>2.5243055555620231E-2</v>
      </c>
      <c r="N86" s="7">
        <f t="shared" si="28"/>
        <v>36.350000000093132</v>
      </c>
      <c r="O86" s="7"/>
      <c r="P86" s="7"/>
      <c r="Q86" s="22"/>
      <c r="R86" s="22"/>
      <c r="S86" s="31">
        <f t="shared" si="29"/>
        <v>1</v>
      </c>
      <c r="T86" s="46" t="str">
        <f t="shared" si="33"/>
        <v>NorthBound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34"/>
        <v>https://d0f6bd738d7f1b3e5a7ca70fe4ff75f0.us-east-1.aws.found.io/app/kibana#/discover/Steve-Slow-Train-Analysis-(2080s-and-2083s)?_g=(refreshInterval:(display:Off,pause:!f,section:0,value:0),time:(from:'2017-03-19T11:27:32-0600',mode:absolute,to:'2017-03-19T14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6" s="187" t="str">
        <f t="shared" si="35"/>
        <v>N</v>
      </c>
      <c r="X86" s="187">
        <f t="shared" si="36"/>
        <v>1</v>
      </c>
      <c r="Y86" s="62">
        <f t="shared" si="37"/>
        <v>4.5999999999999999E-2</v>
      </c>
      <c r="Z86" s="62">
        <f t="shared" si="30"/>
        <v>23.333200000000001</v>
      </c>
      <c r="AA86" s="62">
        <f t="shared" si="38"/>
        <v>23.287200000000002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9"/>
        <v>0171-19</v>
      </c>
      <c r="AE86" s="85" t="str">
        <f t="shared" si="40"/>
        <v>aws s3 cp s3://rtdc.mdm.uploadarchive.raw/RTDC4053/ "%USERPROFILE%\AppData\Local\Temp\OnboardLogs"\RTDC4053\2017-03-19 --exclude "*" --recursive --include "*20170319*" &amp; "%USERPROFILE%\Documents\GitHub\mrs-test-scripts\Headless Mode &amp; Sideloading\WalkAndUnGZ.bat" "%USERPROFILE%\AppData\Local\Temp\OnboardLogs"\RTDC4053\2017-03-19 &amp; aws s3 cp s3://rtdc.mdm.uploadarchive.raw/RTDC4053/ "%USERPROFILE%\AppData\Local\Temp\OnboardLogs"\RTDC4053\2017-03-20 --exclude "*" --recursive --include "*20170320*" &amp; "%USERPROFILE%\Documents\GitHub\mrs-test-scripts\Headless Mode &amp; Sideloading\WalkAndUnGZ.bat" "%USERPROFILE%\AppData\Local\Temp\OnboardLogs"\RTDC4053\2017-03-20</v>
      </c>
      <c r="AF86" s="82" t="str">
        <f t="shared" si="41"/>
        <v>"C:\Program Files (x86)\AstroGrep\AstroGrep.exe" /e /r /s /spath="%USERPROFILE%\AppData\Local\Temp\OnboardLogs" /stypes="app*4053*20170319*" /stext=" 19:.+((SYSTEM_STATE.+slice.+state.+changed )|(ment ac)|(multiple cpu faults)|(system.+state.+changed )|(\[timeout)|(PRM\|1\|D)|(kpr)|(kdp)|(\|lc)|(penalty))"</v>
      </c>
      <c r="AG86" s="1" t="str">
        <f t="shared" si="42"/>
        <v>EC</v>
      </c>
      <c r="AH86" s="86" t="str">
        <f t="shared" si="43"/>
        <v>"%USERPROFILE%\Documents\GitHub\eaglep3\Utilities\RefineRTDCRunTimes.py" --tripid 171-19 --locoid 4053 --swversion DE.1.0.9.0 --startMP 204:460 --initTime 2017-03-19T12:27:32 --startdatetime 2017-03-19T12:30:16 --delay 1 --endMP 204:233332 --enddatetime 2017-03-19T13:06:37 --enforcementcount 0 &gt;&gt;%USERPROFILE%\Documents\GitHub\eaglep3-reporting\EC\2017-03-19-refined-times.txt</v>
      </c>
      <c r="AI86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{"issue":{"subject":"","project_id":79,"tracker_id":40,"status_id":1,"priority_id":2,"assigned_to_id":23,"start_date":"2017-03-19","description":"","custom_fields":[{"id":1,"name":"Subdivision","value":"EC"},{"id":4,"name":"Milepost","value":"23.3332"},{"id":17,"name":"Train ID","value":"171-19"},{"id":16,"name":"Locomotive ID","value":"4053"},{"id":130,"name":"Impact","value":""},{"id":150,"name":"Time of Event (Mountain Time)","value":"13:06:37"},{"id":151,"name":"Denver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45"/>
        <v>start /low /b %USERPROFILE%\Documents\GitHub\eaglep3\Utilities\DownloadLogsFromS3.py --loco 4053 --day 2017-03-19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"%USERPROFILE%\AppData\Local\Temp\OnboardLogs"\RTDC4053\*4053*20170319* | grep -SE "(Enforcement Action)|(\[TIMEOUT)|(CHR.+\|PRM\|1\|D.+(SWITCH|SIGNAL).+UNKNOWN)" - &gt;&gt; 2017-03-19-UncaughtWiMAX.txt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699</v>
      </c>
      <c r="B87" s="7">
        <v>4054</v>
      </c>
      <c r="C87" s="21" t="s">
        <v>221</v>
      </c>
      <c r="D87" s="21" t="s">
        <v>850</v>
      </c>
      <c r="E87" s="13">
        <v>42813.552557870367</v>
      </c>
      <c r="F87" s="13">
        <v>42813.559942129628</v>
      </c>
      <c r="G87" s="7">
        <v>1</v>
      </c>
      <c r="H87" s="21" t="s">
        <v>204</v>
      </c>
      <c r="I87" s="13">
        <v>42813.587916666664</v>
      </c>
      <c r="J87" s="7">
        <v>0</v>
      </c>
      <c r="K87" s="98" t="str">
        <f t="shared" si="31"/>
        <v>4053/4054</v>
      </c>
      <c r="L87" s="21" t="str">
        <f>VLOOKUP(A87,'Trips&amp;Operators'!$C$1:$G$99999,5,FALSE)</f>
        <v>BRANDNER MELINDA</v>
      </c>
      <c r="M87" s="6">
        <f t="shared" si="32"/>
        <v>2.7974537035333924E-2</v>
      </c>
      <c r="N87" s="7">
        <f t="shared" si="28"/>
        <v>40.283333330880851</v>
      </c>
      <c r="O87" s="7"/>
      <c r="P87" s="7"/>
      <c r="Q87" s="22"/>
      <c r="R87" s="22"/>
      <c r="S87" s="31">
        <f t="shared" si="29"/>
        <v>1</v>
      </c>
      <c r="T87" s="46" t="str">
        <f t="shared" si="33"/>
        <v>Southbound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34"/>
        <v>https://d0f6bd738d7f1b3e5a7ca70fe4ff75f0.us-east-1.aws.found.io/app/kibana#/discover/Steve-Slow-Train-Analysis-(2080s-and-2083s)?_g=(refreshInterval:(display:Off,pause:!f,section:0,value:0),time:(from:'2017-03-19T12:15:41-0600',mode:absolute,to:'2017-03-19T15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7" s="187" t="str">
        <f t="shared" si="35"/>
        <v>N</v>
      </c>
      <c r="X87" s="187">
        <f t="shared" si="36"/>
        <v>1</v>
      </c>
      <c r="Y87" s="62">
        <f t="shared" si="37"/>
        <v>23.303000000000001</v>
      </c>
      <c r="Z87" s="62">
        <f t="shared" si="30"/>
        <v>1.54E-2</v>
      </c>
      <c r="AA87" s="62">
        <f t="shared" si="38"/>
        <v>23.287600000000001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9"/>
        <v>0172-19</v>
      </c>
      <c r="AE87" s="85" t="str">
        <f t="shared" si="40"/>
        <v>aws s3 cp s3://rtdc.mdm.uploadarchive.raw/RTDC4054/ "%USERPROFILE%\AppData\Local\Temp\OnboardLogs"\RTDC4054\2017-03-19 --exclude "*" --recursive --include "*20170319*" &amp; "%USERPROFILE%\Documents\GitHub\mrs-test-scripts\Headless Mode &amp; Sideloading\WalkAndUnGZ.bat" "%USERPROFILE%\AppData\Local\Temp\OnboardLogs"\RTDC4054\2017-03-19 &amp; aws s3 cp s3://rtdc.mdm.uploadarchive.raw/RTDC4054/ "%USERPROFILE%\AppData\Local\Temp\OnboardLogs"\RTDC4054\2017-03-20 --exclude "*" --recursive --include "*20170320*" &amp; "%USERPROFILE%\Documents\GitHub\mrs-test-scripts\Headless Mode &amp; Sideloading\WalkAndUnGZ.bat" "%USERPROFILE%\AppData\Local\Temp\OnboardLogs"\RTDC4054\2017-03-20</v>
      </c>
      <c r="AF87" s="82" t="str">
        <f t="shared" si="41"/>
        <v>"C:\Program Files (x86)\AstroGrep\AstroGrep.exe" /e /r /s /spath="%USERPROFILE%\AppData\Local\Temp\OnboardLogs" /stypes="app*4054*20170319*" /stext=" 20:.+((SYSTEM_STATE.+slice.+state.+changed )|(ment ac)|(multiple cpu faults)|(system.+state.+changed )|(\[timeout)|(PRM\|1\|D)|(kpr)|(kdp)|(\|lc)|(penalty))"</v>
      </c>
      <c r="AG87" s="1" t="str">
        <f t="shared" si="42"/>
        <v>EC</v>
      </c>
      <c r="AH87" s="86" t="str">
        <f t="shared" si="43"/>
        <v>"%USERPROFILE%\Documents\GitHub\eaglep3\Utilities\RefineRTDCRunTimes.py" --tripid 172-19 --locoid 4054 --swversion DE.1.0.9.0 --startMP 204:233030 --initTime 2017-03-19T13:15:41 --startdatetime 2017-03-19T13:26:19 --delay 1 --endMP 204:154 --enddatetime 2017-03-19T14:06:36 --enforcementcount 0 &gt;&gt;%USERPROFILE%\Documents\GitHub\eaglep3-reporting\EC\2017-03-19-refined-times.txt</v>
      </c>
      <c r="AI87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{"issue":{"subject":"","project_id":79,"tracker_id":40,"status_id":1,"priority_id":2,"assigned_to_id":23,"start_date":"2017-03-19","description":"","custom_fields":[{"id":1,"name":"Subdivision","value":"EC"},{"id":4,"name":"Milepost","value":"0.0154"},{"id":17,"name":"Train ID","value":"172-19"},{"id":16,"name":"Locomotive ID","value":"4054"},{"id":130,"name":"Impact","value":""},{"id":150,"name":"Time of Event (Mountain Time)","value":"14:06:36"},{"id":151,"name":"Denver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45"/>
        <v>start /low /b %USERPROFILE%\Documents\GitHub\eaglep3\Utilities\DownloadLogsFromS3.py --loco 4054 --day 2017-03-19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"%USERPROFILE%\AppData\Local\Temp\OnboardLogs"\RTDC4054\*4054*20170319* | grep -SE "(Enforcement Action)|(\[TIMEOUT)|(CHR.+\|PRM\|1\|D.+(SWITCH|SIGNAL).+UNKNOWN)" - &gt;&gt; 2017-03-19-UncaughtWiMAX.txt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693</v>
      </c>
      <c r="B88" s="7">
        <v>4003</v>
      </c>
      <c r="C88" s="21" t="s">
        <v>221</v>
      </c>
      <c r="D88" s="21" t="s">
        <v>454</v>
      </c>
      <c r="E88" s="13">
        <v>42813.526979166665</v>
      </c>
      <c r="F88" s="13">
        <v>42813.531608796293</v>
      </c>
      <c r="G88" s="7">
        <v>2</v>
      </c>
      <c r="H88" s="21" t="s">
        <v>565</v>
      </c>
      <c r="I88" s="13">
        <v>42813.556192129632</v>
      </c>
      <c r="J88" s="7">
        <v>0</v>
      </c>
      <c r="K88" s="98" t="str">
        <f t="shared" si="31"/>
        <v>4003/4004</v>
      </c>
      <c r="L88" s="21" t="str">
        <f>VLOOKUP(A88,'Trips&amp;Operators'!$C$1:$G$99999,5,FALSE)</f>
        <v>STEWART MICHAEL</v>
      </c>
      <c r="M88" s="6">
        <f t="shared" si="32"/>
        <v>2.4583333339251112E-2</v>
      </c>
      <c r="N88" s="7">
        <f t="shared" si="28"/>
        <v>35.400000008521602</v>
      </c>
      <c r="O88" s="7"/>
      <c r="P88" s="7"/>
      <c r="Q88" s="22"/>
      <c r="R88" s="22"/>
      <c r="S88" s="31">
        <f t="shared" si="29"/>
        <v>1</v>
      </c>
      <c r="T88" s="46" t="str">
        <f t="shared" si="33"/>
        <v>NorthBound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34"/>
        <v>https://d0f6bd738d7f1b3e5a7ca70fe4ff75f0.us-east-1.aws.found.io/app/kibana#/discover/Steve-Slow-Train-Analysis-(2080s-and-2083s)?_g=(refreshInterval:(display:Off,pause:!f,section:0,value:0),time:(from:'2017-03-19T11:38:51-0600',mode:absolute,to:'2017-03-19T14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8" s="187" t="str">
        <f t="shared" si="35"/>
        <v>N</v>
      </c>
      <c r="X88" s="187">
        <f t="shared" si="36"/>
        <v>1</v>
      </c>
      <c r="Y88" s="62">
        <f t="shared" si="37"/>
        <v>4.7699999999999999E-2</v>
      </c>
      <c r="Z88" s="62">
        <f t="shared" si="30"/>
        <v>23.3291</v>
      </c>
      <c r="AA88" s="62">
        <f t="shared" si="38"/>
        <v>23.281400000000001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9"/>
        <v>0173-19</v>
      </c>
      <c r="AE88" s="85" t="str">
        <f t="shared" si="40"/>
        <v>aws s3 cp s3://rtdc.mdm.uploadarchive.raw/RTDC4003/ "%USERPROFILE%\AppData\Local\Temp\OnboardLogs"\RTDC4003\2017-03-19 --exclude "*" --recursive --include "*20170319*" &amp; "%USERPROFILE%\Documents\GitHub\mrs-test-scripts\Headless Mode &amp; Sideloading\WalkAndUnGZ.bat" "%USERPROFILE%\AppData\Local\Temp\OnboardLogs"\RTDC4003\2017-03-19 &amp; 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</v>
      </c>
      <c r="AF88" s="82" t="str">
        <f t="shared" si="41"/>
        <v>"C:\Program Files (x86)\AstroGrep\AstroGrep.exe" /e /r /s /spath="%USERPROFILE%\AppData\Local\Temp\OnboardLogs" /stypes="app*4003*20170319*" /stext=" 19:.+((SYSTEM_STATE.+slice.+state.+changed )|(ment ac)|(multiple cpu faults)|(system.+state.+changed )|(\[timeout)|(PRM\|1\|D)|(kpr)|(kdp)|(\|lc)|(penalty))"</v>
      </c>
      <c r="AG88" s="1" t="str">
        <f t="shared" si="42"/>
        <v>EC</v>
      </c>
      <c r="AH88" s="86" t="str">
        <f t="shared" si="43"/>
        <v>"%USERPROFILE%\Documents\GitHub\eaglep3\Utilities\RefineRTDCRunTimes.py" --tripid 173-19 --locoid 4003 --swversion DE.1.0.9.0 --startMP 204:477 --initTime 2017-03-19T12:38:51 --startdatetime 2017-03-19T12:45:31 --delay 2 --endMP 204:233291 --enddatetime 2017-03-19T13:20:55 --enforcementcount 0 &gt;&gt;%USERPROFILE%\Documents\GitHub\eaglep3-reporting\EC\2017-03-19-refined-times.txt</v>
      </c>
      <c r="AI88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{"issue":{"subject":"","project_id":79,"tracker_id":40,"status_id":1,"priority_id":2,"assigned_to_id":23,"start_date":"2017-03-19","description":"","custom_fields":[{"id":1,"name":"Subdivision","value":"EC"},{"id":4,"name":"Milepost","value":"23.3291"},{"id":17,"name":"Train ID","value":"173-19"},{"id":16,"name":"Locomotive ID","value":"4003"},{"id":130,"name":"Impact","value":""},{"id":150,"name":"Time of Event (Mountain Time)","value":"13:20:55"},{"id":151,"name":"Denver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45"/>
        <v>start /low /b %USERPROFILE%\Documents\GitHub\eaglep3\Utilities\DownloadLogsFromS3.py --loco 4003 --day 2017-03-19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"%USERPROFILE%\AppData\Local\Temp\OnboardLogs"\RTDC4003\*4003*20170319* | grep -SE "(Enforcement Action)|(\[TIMEOUT)|(CHR.+\|PRM\|1\|D.+(SWITCH|SIGNAL).+UNKNOWN)" - &gt;&gt; 2017-03-19-UncaughtWiMAX.txt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3" t="s">
        <v>702</v>
      </c>
      <c r="B89" s="7">
        <v>4004</v>
      </c>
      <c r="C89" s="21" t="s">
        <v>221</v>
      </c>
      <c r="D89" s="21" t="s">
        <v>228</v>
      </c>
      <c r="E89" s="13">
        <v>42813.567743055559</v>
      </c>
      <c r="F89" s="13">
        <v>42813.570347222223</v>
      </c>
      <c r="G89" s="7">
        <v>1</v>
      </c>
      <c r="H89" s="21" t="s">
        <v>216</v>
      </c>
      <c r="I89" s="13">
        <v>42813.597314814811</v>
      </c>
      <c r="J89" s="7">
        <v>0</v>
      </c>
      <c r="K89" s="98" t="str">
        <f t="shared" si="31"/>
        <v>4003/4004</v>
      </c>
      <c r="L89" s="21" t="str">
        <f>VLOOKUP(A89,'Trips&amp;Operators'!$C$1:$G$99999,5,FALSE)</f>
        <v>STEWART MICHAEL</v>
      </c>
      <c r="M89" s="6">
        <f t="shared" si="32"/>
        <v>2.696759258833481E-2</v>
      </c>
      <c r="N89" s="7">
        <f t="shared" si="28"/>
        <v>38.833333327202126</v>
      </c>
      <c r="O89" s="7"/>
      <c r="P89" s="7"/>
      <c r="Q89" s="22"/>
      <c r="R89" s="22"/>
      <c r="S89" s="31">
        <f t="shared" si="29"/>
        <v>1</v>
      </c>
      <c r="T89" s="46" t="str">
        <f t="shared" si="33"/>
        <v>Southbound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34"/>
        <v>https://d0f6bd738d7f1b3e5a7ca70fe4ff75f0.us-east-1.aws.found.io/app/kibana#/discover/Steve-Slow-Train-Analysis-(2080s-and-2083s)?_g=(refreshInterval:(display:Off,pause:!f,section:0,value:0),time:(from:'2017-03-19T12:37:33-0600',mode:absolute,to:'2017-03-19T15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9" s="187" t="str">
        <f t="shared" si="35"/>
        <v>N</v>
      </c>
      <c r="X89" s="187">
        <f t="shared" si="36"/>
        <v>1</v>
      </c>
      <c r="Y89" s="62">
        <f t="shared" si="37"/>
        <v>23.2971</v>
      </c>
      <c r="Z89" s="62">
        <f t="shared" si="30"/>
        <v>1.47E-2</v>
      </c>
      <c r="AA89" s="62">
        <f t="shared" si="38"/>
        <v>23.282399999999999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9"/>
        <v>0174-19</v>
      </c>
      <c r="AE89" s="85" t="str">
        <f t="shared" si="40"/>
        <v>aws s3 cp s3://rtdc.mdm.uploadarchive.raw/RTDC4004/ "%USERPROFILE%\AppData\Local\Temp\OnboardLogs"\RTDC4004\2017-03-19 --exclude "*" --recursive --include "*20170319*" &amp; "%USERPROFILE%\Documents\GitHub\mrs-test-scripts\Headless Mode &amp; Sideloading\WalkAndUnGZ.bat" "%USERPROFILE%\AppData\Local\Temp\OnboardLogs"\RTDC4004\2017-03-19 &amp; 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</v>
      </c>
      <c r="AF89" s="82" t="str">
        <f t="shared" si="41"/>
        <v>"C:\Program Files (x86)\AstroGrep\AstroGrep.exe" /e /r /s /spath="%USERPROFILE%\AppData\Local\Temp\OnboardLogs" /stypes="app*4004*20170319*" /stext=" 20:.+((SYSTEM_STATE.+slice.+state.+changed )|(ment ac)|(multiple cpu faults)|(system.+state.+changed )|(\[timeout)|(PRM\|1\|D)|(kpr)|(kdp)|(\|lc)|(penalty))"</v>
      </c>
      <c r="AG89" s="1" t="str">
        <f t="shared" si="42"/>
        <v>EC</v>
      </c>
      <c r="AH89" s="86" t="str">
        <f t="shared" si="43"/>
        <v>"%USERPROFILE%\Documents\GitHub\eaglep3\Utilities\RefineRTDCRunTimes.py" --tripid 174-19 --locoid 4004 --swversion DE.1.0.9.0 --startMP 204:232971 --initTime 2017-03-19T13:37:33 --startdatetime 2017-03-19T13:41:18 --delay 1 --endMP 204:147 --enddatetime 2017-03-19T14:20:08 --enforcementcount 0 &gt;&gt;%USERPROFILE%\Documents\GitHub\eaglep3-reporting\EC\2017-03-19-refined-times.txt</v>
      </c>
      <c r="AI89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{"issue":{"subject":"","project_id":79,"tracker_id":40,"status_id":1,"priority_id":2,"assigned_to_id":23,"start_date":"2017-03-19","description":"","custom_fields":[{"id":1,"name":"Subdivision","value":"EC"},{"id":4,"name":"Milepost","value":"0.0147"},{"id":17,"name":"Train ID","value":"174-19"},{"id":16,"name":"Locomotive ID","value":"4004"},{"id":130,"name":"Impact","value":""},{"id":150,"name":"Time of Event (Mountain Time)","value":"14:20:08"},{"id":151,"name":"Denver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45"/>
        <v>start /low /b %USERPROFILE%\Documents\GitHub\eaglep3\Utilities\DownloadLogsFromS3.py --loco 4004 --day 2017-03-19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"%USERPROFILE%\AppData\Local\Temp\OnboardLogs"\RTDC4004\*4004*20170319* | grep -SE "(Enforcement Action)|(\[TIMEOUT)|(CHR.+\|PRM\|1\|D.+(SWITCH|SIGNAL).+UNKNOWN)" - &gt;&gt; 2017-03-19-UncaughtWiMAX.txt</v>
      </c>
    </row>
    <row r="90" spans="1:91" s="20" customFormat="1" x14ac:dyDescent="0.25">
      <c r="A90" s="33" t="s">
        <v>696</v>
      </c>
      <c r="B90" s="7">
        <v>4002</v>
      </c>
      <c r="C90" s="21" t="s">
        <v>221</v>
      </c>
      <c r="D90" s="21" t="s">
        <v>212</v>
      </c>
      <c r="E90" s="13">
        <v>42813.539976851855</v>
      </c>
      <c r="F90" s="13">
        <v>42813.541909722226</v>
      </c>
      <c r="G90" s="7">
        <v>1</v>
      </c>
      <c r="H90" s="21" t="s">
        <v>435</v>
      </c>
      <c r="I90" s="13">
        <v>42813.568842592591</v>
      </c>
      <c r="J90" s="7">
        <v>0</v>
      </c>
      <c r="K90" s="98" t="str">
        <f t="shared" si="31"/>
        <v>4001/4002</v>
      </c>
      <c r="L90" s="21" t="str">
        <f>VLOOKUP(A90,'Trips&amp;Operators'!$C$1:$G$99999,5,FALSE)</f>
        <v>DAVIS MICHAEL</v>
      </c>
      <c r="M90" s="6">
        <f t="shared" si="32"/>
        <v>2.693287036527181E-2</v>
      </c>
      <c r="N90" s="7">
        <f t="shared" si="28"/>
        <v>38.783333325991407</v>
      </c>
      <c r="O90" s="7"/>
      <c r="P90" s="7"/>
      <c r="Q90" s="22"/>
      <c r="R90" s="22"/>
      <c r="S90" s="31">
        <f t="shared" si="29"/>
        <v>1</v>
      </c>
      <c r="T90" s="46" t="str">
        <f t="shared" si="33"/>
        <v>NorthBound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34"/>
        <v>https://d0f6bd738d7f1b3e5a7ca70fe4ff75f0.us-east-1.aws.found.io/app/kibana#/discover/Steve-Slow-Train-Analysis-(2080s-and-2083s)?_g=(refreshInterval:(display:Off,pause:!f,section:0,value:0),time:(from:'2017-03-19T11:57:34-0600',mode:absolute,to:'2017-03-19T14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0" s="187" t="str">
        <f t="shared" si="35"/>
        <v>N</v>
      </c>
      <c r="X90" s="187">
        <f t="shared" si="36"/>
        <v>1</v>
      </c>
      <c r="Y90" s="62">
        <f t="shared" si="37"/>
        <v>4.5499999999999999E-2</v>
      </c>
      <c r="Z90" s="62">
        <f t="shared" si="30"/>
        <v>23.330400000000001</v>
      </c>
      <c r="AA90" s="62">
        <f t="shared" si="38"/>
        <v>23.2849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9"/>
        <v>0175-19</v>
      </c>
      <c r="AE90" s="85" t="str">
        <f t="shared" si="40"/>
        <v>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 &amp; 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</v>
      </c>
      <c r="AF90" s="82" t="str">
        <f t="shared" si="41"/>
        <v>"C:\Program Files (x86)\AstroGrep\AstroGrep.exe" /e /r /s /spath="%USERPROFILE%\AppData\Local\Temp\OnboardLogs" /stypes="app*4002*20170319*" /stext=" 19:.+((SYSTEM_STATE.+slice.+state.+changed )|(ment ac)|(multiple cpu faults)|(system.+state.+changed )|(\[timeout)|(PRM\|1\|D)|(kpr)|(kdp)|(\|lc)|(penalty))"</v>
      </c>
      <c r="AG90" s="1" t="str">
        <f t="shared" si="42"/>
        <v>EC</v>
      </c>
      <c r="AH90" s="86" t="str">
        <f t="shared" si="43"/>
        <v>"%USERPROFILE%\Documents\GitHub\eaglep3\Utilities\RefineRTDCRunTimes.py" --tripid 175-19 --locoid 4002 --swversion DE.1.0.9.0 --startMP 204:455 --initTime 2017-03-19T12:57:34 --startdatetime 2017-03-19T13:00:21 --delay 1 --endMP 204:233304 --enddatetime 2017-03-19T13:39:08 --enforcementcount 0 &gt;&gt;%USERPROFILE%\Documents\GitHub\eaglep3-reporting\EC\2017-03-19-refined-times.txt</v>
      </c>
      <c r="AI90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{"issue":{"subject":"","project_id":79,"tracker_id":40,"status_id":1,"priority_id":2,"assigned_to_id":23,"start_date":"2017-03-19","description":"","custom_fields":[{"id":1,"name":"Subdivision","value":"EC"},{"id":4,"name":"Milepost","value":"23.3304"},{"id":17,"name":"Train ID","value":"175-19"},{"id":16,"name":"Locomotive ID","value":"4002"},{"id":130,"name":"Impact","value":""},{"id":150,"name":"Time of Event (Mountain Time)","value":"13:39:08"},{"id":151,"name":"Denver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45"/>
        <v>start /low /b %USERPROFILE%\Documents\GitHub\eaglep3\Utilities\DownloadLogsFromS3.py --loco 4002 --day 2017-03-19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"%USERPROFILE%\AppData\Local\Temp\OnboardLogs"\RTDC4002\*4002*20170319* | grep -SE "(Enforcement Action)|(\[TIMEOUT)|(CHR.+\|PRM\|1\|D.+(SWITCH|SIGNAL).+UNKNOWN)" - &gt;&gt; 2017-03-19-UncaughtWiMAX.txt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594</v>
      </c>
      <c r="B91" s="7">
        <v>4001</v>
      </c>
      <c r="C91" s="21" t="s">
        <v>221</v>
      </c>
      <c r="D91" s="21" t="s">
        <v>540</v>
      </c>
      <c r="E91" s="13">
        <v>42813.578032407408</v>
      </c>
      <c r="F91" s="13">
        <v>42813.581041666665</v>
      </c>
      <c r="G91" s="7">
        <v>1</v>
      </c>
      <c r="H91" s="21" t="s">
        <v>417</v>
      </c>
      <c r="I91" s="13">
        <v>42813.609224537038</v>
      </c>
      <c r="J91" s="7">
        <v>0</v>
      </c>
      <c r="K91" s="98" t="str">
        <f t="shared" si="31"/>
        <v>4001/4002</v>
      </c>
      <c r="L91" s="21" t="str">
        <f>VLOOKUP(A91,'Trips&amp;Operators'!$C$1:$G$99999,5,FALSE)</f>
        <v>DAVIS MICHAEL</v>
      </c>
      <c r="M91" s="6">
        <f t="shared" si="32"/>
        <v>2.8182870373711921E-2</v>
      </c>
      <c r="N91" s="7">
        <f t="shared" si="28"/>
        <v>40.583333338145167</v>
      </c>
      <c r="O91" s="7"/>
      <c r="P91" s="7"/>
      <c r="Q91" s="22"/>
      <c r="R91" s="22"/>
      <c r="S91" s="31">
        <f t="shared" si="29"/>
        <v>1</v>
      </c>
      <c r="T91" s="46" t="str">
        <f t="shared" si="33"/>
        <v>Southbound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34"/>
        <v>https://d0f6bd738d7f1b3e5a7ca70fe4ff75f0.us-east-1.aws.found.io/app/kibana#/discover/Steve-Slow-Train-Analysis-(2080s-and-2083s)?_g=(refreshInterval:(display:Off,pause:!f,section:0,value:0),time:(from:'2017-03-19T12:52:22-0600',mode:absolute,to:'2017-03-19T15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1" s="187" t="str">
        <f t="shared" si="35"/>
        <v>N</v>
      </c>
      <c r="X91" s="187">
        <f t="shared" si="36"/>
        <v>1</v>
      </c>
      <c r="Y91" s="62">
        <f t="shared" si="37"/>
        <v>23.298100000000002</v>
      </c>
      <c r="Z91" s="62">
        <f t="shared" si="30"/>
        <v>1.4500000000000001E-2</v>
      </c>
      <c r="AA91" s="62">
        <f t="shared" si="38"/>
        <v>23.2836</v>
      </c>
      <c r="AB91" s="59" t="str">
        <f>VLOOKUP(A91,Enforcements!$C$7:$K$13,8,0)</f>
        <v>Bulletin (2)</v>
      </c>
      <c r="AC91" s="55" t="str">
        <f>VLOOKUP(A91,Enforcements!$C$7:$E$13,3,0)</f>
        <v>GRADE CROSSING</v>
      </c>
      <c r="AD91" s="56" t="str">
        <f t="shared" si="39"/>
        <v>0176-19</v>
      </c>
      <c r="AE91" s="85" t="str">
        <f t="shared" si="40"/>
        <v>aws s3 cp s3://rtdc.mdm.uploadarchive.raw/RTDC4001/ "%USERPROFILE%\AppData\Local\Temp\OnboardLogs"\RTDC4001\2017-03-19 --exclude "*" --recursive --include "*20170319*" &amp; "%USERPROFILE%\Documents\GitHub\mrs-test-scripts\Headless Mode &amp; Sideloading\WalkAndUnGZ.bat" "%USERPROFILE%\AppData\Local\Temp\OnboardLogs"\RTDC4001\2017-03-19 &amp; aws s3 cp s3://rtdc.mdm.uploadarchive.raw/RTDC4001/ "%USERPROFILE%\AppData\Local\Temp\OnboardLogs"\RTDC4001\2017-03-20 --exclude "*" --recursive --include "*20170320*" &amp; "%USERPROFILE%\Documents\GitHub\mrs-test-scripts\Headless Mode &amp; Sideloading\WalkAndUnGZ.bat" "%USERPROFILE%\AppData\Local\Temp\OnboardLogs"\RTDC4001\2017-03-20</v>
      </c>
      <c r="AF91" s="82" t="str">
        <f t="shared" si="41"/>
        <v>"C:\Program Files (x86)\AstroGrep\AstroGrep.exe" /e /r /s /spath="%USERPROFILE%\AppData\Local\Temp\OnboardLogs" /stypes="app*4001*20170319*" /stext=" 20:.+((SYSTEM_STATE.+slice.+state.+changed )|(ment ac)|(multiple cpu faults)|(system.+state.+changed )|(\[timeout)|(PRM\|1\|D)|(kpr)|(kdp)|(\|lc)|(penalty))"</v>
      </c>
      <c r="AG91" s="1" t="str">
        <f t="shared" si="42"/>
        <v>EC</v>
      </c>
      <c r="AH91" s="86" t="str">
        <f t="shared" si="43"/>
        <v>"%USERPROFILE%\Documents\GitHub\eaglep3\Utilities\RefineRTDCRunTimes.py" --tripid 176-19 --locoid 4001 --swversion DE.1.0.9.0 --startMP 204:232981 --initTime 2017-03-19T13:52:22 --startdatetime 2017-03-19T13:56:42 --delay 1 --endMP 204:145 --enddatetime 2017-03-19T14:37:17 --enforcementcount 0 &gt;&gt;%USERPROFILE%\Documents\GitHub\eaglep3-reporting\EC\2017-03-19-refined-times.txt</v>
      </c>
      <c r="AI91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{"issue":{"subject":"","project_id":79,"tracker_id":40,"status_id":1,"priority_id":2,"assigned_to_id":23,"start_date":"2017-03-19","description":"","custom_fields":[{"id":1,"name":"Subdivision","value":"EC"},{"id":4,"name":"Milepost","value":"0.0145"},{"id":17,"name":"Train ID","value":"176-19"},{"id":16,"name":"Locomotive ID","value":"4001"},{"id":130,"name":"Impact","value":""},{"id":150,"name":"Time of Event (Mountain Time)","value":"14:37:17"},{"id":151,"name":"Denver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45"/>
        <v>start /low /b %USERPROFILE%\Documents\GitHub\eaglep3\Utilities\DownloadLogsFromS3.py --loco 4001 --day 2017-03-19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"%USERPROFILE%\AppData\Local\Temp\OnboardLogs"\RTDC4001\*4001*20170319* | grep -SE "(Enforcement Action)|(\[TIMEOUT)|(CHR.+\|PRM\|1\|D.+(SWITCH|SIGNAL).+UNKNOWN)" - &gt;&gt; 2017-03-19-UncaughtWiMAX.txt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698</v>
      </c>
      <c r="B92" s="7">
        <v>4016</v>
      </c>
      <c r="C92" s="21" t="s">
        <v>221</v>
      </c>
      <c r="D92" s="21" t="s">
        <v>539</v>
      </c>
      <c r="E92" s="13">
        <v>42813.548020833332</v>
      </c>
      <c r="F92" s="13">
        <v>42813.552268518521</v>
      </c>
      <c r="G92" s="7">
        <v>1</v>
      </c>
      <c r="H92" s="21" t="s">
        <v>851</v>
      </c>
      <c r="I92" s="13">
        <v>42813.576944444445</v>
      </c>
      <c r="J92" s="7">
        <v>0</v>
      </c>
      <c r="K92" s="98" t="str">
        <f t="shared" si="31"/>
        <v>4015/4016</v>
      </c>
      <c r="L92" s="21" t="str">
        <f>VLOOKUP(A92,'Trips&amp;Operators'!$C$1:$G$99999,5,FALSE)</f>
        <v>LEVIN SCOTT</v>
      </c>
      <c r="M92" s="6">
        <f t="shared" si="32"/>
        <v>2.4675925924384501E-2</v>
      </c>
      <c r="N92" s="7">
        <f t="shared" si="28"/>
        <v>35.533333331113681</v>
      </c>
      <c r="O92" s="7"/>
      <c r="P92" s="7"/>
      <c r="Q92" s="22"/>
      <c r="R92" s="22"/>
      <c r="S92" s="31">
        <f t="shared" si="29"/>
        <v>1</v>
      </c>
      <c r="T92" s="46" t="str">
        <f t="shared" si="33"/>
        <v>NorthBound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34"/>
        <v>https://d0f6bd738d7f1b3e5a7ca70fe4ff75f0.us-east-1.aws.found.io/app/kibana#/discover/Steve-Slow-Train-Analysis-(2080s-and-2083s)?_g=(refreshInterval:(display:Off,pause:!f,section:0,value:0),time:(from:'2017-03-19T12:09:09-0600',mode:absolute,to:'2017-03-19T14:50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2" s="187" t="str">
        <f t="shared" si="35"/>
        <v>N</v>
      </c>
      <c r="X92" s="187">
        <f t="shared" si="36"/>
        <v>1</v>
      </c>
      <c r="Y92" s="62">
        <f t="shared" si="37"/>
        <v>4.4900000000000002E-2</v>
      </c>
      <c r="Z92" s="62">
        <f t="shared" si="30"/>
        <v>23.334499999999998</v>
      </c>
      <c r="AA92" s="62">
        <f t="shared" si="38"/>
        <v>23.2896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9"/>
        <v>0177-19</v>
      </c>
      <c r="AE92" s="85" t="str">
        <f t="shared" si="40"/>
        <v>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 &amp; 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</v>
      </c>
      <c r="AF92" s="82" t="str">
        <f t="shared" si="41"/>
        <v>"C:\Program Files (x86)\AstroGrep\AstroGrep.exe" /e /r /s /spath="%USERPROFILE%\AppData\Local\Temp\OnboardLogs" /stypes="app*4016*20170319*" /stext=" 19:.+((SYSTEM_STATE.+slice.+state.+changed )|(ment ac)|(multiple cpu faults)|(system.+state.+changed )|(\[timeout)|(PRM\|1\|D)|(kpr)|(kdp)|(\|lc)|(penalty))"</v>
      </c>
      <c r="AG92" s="1" t="str">
        <f t="shared" si="42"/>
        <v>EC</v>
      </c>
      <c r="AH92" s="86" t="str">
        <f t="shared" si="43"/>
        <v>"%USERPROFILE%\Documents\GitHub\eaglep3\Utilities\RefineRTDCRunTimes.py" --tripid 177-19 --locoid 4016 --swversion DE.1.0.9.0 --startMP 204:449 --initTime 2017-03-19T13:09:09 --startdatetime 2017-03-19T13:15:16 --delay 1 --endMP 204:233345 --enddatetime 2017-03-19T13:50:48 --enforcementcount 0 &gt;&gt;%USERPROFILE%\Documents\GitHub\eaglep3-reporting\EC\2017-03-19-refined-times.txt</v>
      </c>
      <c r="AI92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{"issue":{"subject":"","project_id":79,"tracker_id":40,"status_id":1,"priority_id":2,"assigned_to_id":23,"start_date":"2017-03-19","description":"","custom_fields":[{"id":1,"name":"Subdivision","value":"EC"},{"id":4,"name":"Milepost","value":"23.3345"},{"id":17,"name":"Train ID","value":"177-19"},{"id":16,"name":"Locomotive ID","value":"4016"},{"id":130,"name":"Impact","value":""},{"id":150,"name":"Time of Event (Mountain Time)","value":"13:50:48"},{"id":151,"name":"Denver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45"/>
        <v>start /low /b %USERPROFILE%\Documents\GitHub\eaglep3\Utilities\DownloadLogsFromS3.py --loco 4016 --day 2017-03-19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"%USERPROFILE%\AppData\Local\Temp\OnboardLogs"\RTDC4016\*4016*20170319* | grep -SE "(Enforcement Action)|(\[TIMEOUT)|(CHR.+\|PRM\|1\|D.+(SWITCH|SIGNAL).+UNKNOWN)" - &gt;&gt; 2017-03-19-UncaughtWiMAX.txt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705</v>
      </c>
      <c r="B93" s="7">
        <v>4015</v>
      </c>
      <c r="C93" s="21" t="s">
        <v>221</v>
      </c>
      <c r="D93" s="21" t="s">
        <v>852</v>
      </c>
      <c r="E93" s="13">
        <v>42813.585949074077</v>
      </c>
      <c r="F93" s="13">
        <v>42813.591203703705</v>
      </c>
      <c r="G93" s="7">
        <v>1</v>
      </c>
      <c r="H93" s="21" t="s">
        <v>453</v>
      </c>
      <c r="I93" s="13">
        <v>42813.617928240739</v>
      </c>
      <c r="J93" s="7">
        <v>0</v>
      </c>
      <c r="K93" s="98" t="str">
        <f t="shared" si="31"/>
        <v>4015/4016</v>
      </c>
      <c r="L93" s="21" t="str">
        <f>VLOOKUP(A93,'Trips&amp;Operators'!$C$1:$G$99999,5,FALSE)</f>
        <v>LEVIN SCOTT</v>
      </c>
      <c r="M93" s="6">
        <f t="shared" si="32"/>
        <v>2.6724537034169771E-2</v>
      </c>
      <c r="N93" s="7">
        <f t="shared" si="28"/>
        <v>38.48333332920447</v>
      </c>
      <c r="O93" s="7"/>
      <c r="P93" s="7"/>
      <c r="Q93" s="22"/>
      <c r="R93" s="22"/>
      <c r="S93" s="31">
        <f t="shared" si="29"/>
        <v>1</v>
      </c>
      <c r="T93" s="46" t="str">
        <f t="shared" si="33"/>
        <v>Southbound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34"/>
        <v>https://d0f6bd738d7f1b3e5a7ca70fe4ff75f0.us-east-1.aws.found.io/app/kibana#/discover/Steve-Slow-Train-Analysis-(2080s-and-2083s)?_g=(refreshInterval:(display:Off,pause:!f,section:0,value:0),time:(from:'2017-03-19T13:03:46-0600',mode:absolute,to:'2017-03-19T15:49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3" s="187" t="str">
        <f t="shared" si="35"/>
        <v>N</v>
      </c>
      <c r="X93" s="187">
        <f t="shared" si="36"/>
        <v>1</v>
      </c>
      <c r="Y93" s="62">
        <f t="shared" si="37"/>
        <v>23.303799999999999</v>
      </c>
      <c r="Z93" s="62">
        <f t="shared" si="30"/>
        <v>1.3599999999999999E-2</v>
      </c>
      <c r="AA93" s="62">
        <f t="shared" si="38"/>
        <v>23.290199999999999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9"/>
        <v>0178-19</v>
      </c>
      <c r="AE93" s="85" t="str">
        <f t="shared" si="40"/>
        <v>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 &amp; 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</v>
      </c>
      <c r="AF93" s="82" t="str">
        <f t="shared" si="41"/>
        <v>"C:\Program Files (x86)\AstroGrep\AstroGrep.exe" /e /r /s /spath="%USERPROFILE%\AppData\Local\Temp\OnboardLogs" /stypes="app*4015*20170319*" /stext=" 20:.+((SYSTEM_STATE.+slice.+state.+changed )|(ment ac)|(multiple cpu faults)|(system.+state.+changed )|(\[timeout)|(PRM\|1\|D)|(kpr)|(kdp)|(\|lc)|(penalty))"</v>
      </c>
      <c r="AG93" s="1" t="str">
        <f t="shared" si="42"/>
        <v>EC</v>
      </c>
      <c r="AH93" s="86" t="str">
        <f t="shared" si="43"/>
        <v>"%USERPROFILE%\Documents\GitHub\eaglep3\Utilities\RefineRTDCRunTimes.py" --tripid 178-19 --locoid 4015 --swversion DE.1.0.9.0 --startMP 204:233038 --initTime 2017-03-19T14:03:46 --startdatetime 2017-03-19T14:11:20 --delay 1 --endMP 204:136 --enddatetime 2017-03-19T14:49:49 --enforcementcount 0 &gt;&gt;%USERPROFILE%\Documents\GitHub\eaglep3-reporting\EC\2017-03-19-refined-times.txt</v>
      </c>
      <c r="AI93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{"issue":{"subject":"","project_id":79,"tracker_id":40,"status_id":1,"priority_id":2,"assigned_to_id":23,"start_date":"2017-03-19","description":"","custom_fields":[{"id":1,"name":"Subdivision","value":"EC"},{"id":4,"name":"Milepost","value":"0.0136"},{"id":17,"name":"Train ID","value":"178-19"},{"id":16,"name":"Locomotive ID","value":"4015"},{"id":130,"name":"Impact","value":""},{"id":150,"name":"Time of Event (Mountain Time)","value":"14:49:49"},{"id":151,"name":"Denver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45"/>
        <v>start /low /b %USERPROFILE%\Documents\GitHub\eaglep3\Utilities\DownloadLogsFromS3.py --loco 4015 --day 2017-03-19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"%USERPROFILE%\AppData\Local\Temp\OnboardLogs"\RTDC4015\*4015*20170319* | grep -SE "(Enforcement Action)|(\[TIMEOUT)|(CHR.+\|PRM\|1\|D.+(SWITCH|SIGNAL).+UNKNOWN)" - &gt;&gt; 2017-03-19-UncaughtWiMAX.txt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700</v>
      </c>
      <c r="B94" s="7">
        <v>4025</v>
      </c>
      <c r="C94" s="21" t="s">
        <v>221</v>
      </c>
      <c r="D94" s="21" t="s">
        <v>535</v>
      </c>
      <c r="E94" s="13">
        <v>42813.558113425926</v>
      </c>
      <c r="F94" s="13">
        <v>42813.562662037039</v>
      </c>
      <c r="G94" s="7">
        <v>1</v>
      </c>
      <c r="H94" s="21" t="s">
        <v>223</v>
      </c>
      <c r="I94" s="13">
        <v>42813.587534722225</v>
      </c>
      <c r="J94" s="7">
        <v>0</v>
      </c>
      <c r="K94" s="98" t="str">
        <f t="shared" si="31"/>
        <v>4025/4026</v>
      </c>
      <c r="L94" s="21" t="str">
        <f>VLOOKUP(A94,'Trips&amp;Operators'!$C$1:$G$99999,5,FALSE)</f>
        <v>BRUDER RICHARD</v>
      </c>
      <c r="M94" s="6">
        <f t="shared" si="32"/>
        <v>2.4872685185982846E-2</v>
      </c>
      <c r="N94" s="7">
        <f t="shared" si="28"/>
        <v>35.816666667815298</v>
      </c>
      <c r="O94" s="7"/>
      <c r="P94" s="7"/>
      <c r="Q94" s="22"/>
      <c r="R94" s="22"/>
      <c r="S94" s="31">
        <f t="shared" si="29"/>
        <v>1</v>
      </c>
      <c r="T94" s="46" t="str">
        <f t="shared" si="33"/>
        <v>NorthBound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34"/>
        <v>https://d0f6bd738d7f1b3e5a7ca70fe4ff75f0.us-east-1.aws.found.io/app/kibana#/discover/Steve-Slow-Train-Analysis-(2080s-and-2083s)?_g=(refreshInterval:(display:Off,pause:!f,section:0,value:0),time:(from:'2017-03-19T12:23:41-0600',mode:absolute,to:'2017-03-19T15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4" s="187" t="str">
        <f t="shared" si="35"/>
        <v>N</v>
      </c>
      <c r="X94" s="187">
        <f t="shared" si="36"/>
        <v>1</v>
      </c>
      <c r="Y94" s="62">
        <f t="shared" si="37"/>
        <v>4.8599999999999997E-2</v>
      </c>
      <c r="Z94" s="62">
        <f t="shared" si="30"/>
        <v>23.329699999999999</v>
      </c>
      <c r="AA94" s="62">
        <f t="shared" si="38"/>
        <v>23.281099999999999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9"/>
        <v>0179-19</v>
      </c>
      <c r="AE94" s="85" t="str">
        <f t="shared" si="40"/>
        <v>aws s3 cp s3://rtdc.mdm.uploadarchive.raw/RTDC4025/ "%USERPROFILE%\AppData\Local\Temp\OnboardLogs"\RTDC4025\2017-03-19 --exclude "*" --recursive --include "*20170319*" &amp; "%USERPROFILE%\Documents\GitHub\mrs-test-scripts\Headless Mode &amp; Sideloading\WalkAndUnGZ.bat" "%USERPROFILE%\AppData\Local\Temp\OnboardLogs"\RTDC4025\2017-03-19 &amp; 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</v>
      </c>
      <c r="AF94" s="82" t="str">
        <f t="shared" si="41"/>
        <v>"C:\Program Files (x86)\AstroGrep\AstroGrep.exe" /e /r /s /spath="%USERPROFILE%\AppData\Local\Temp\OnboardLogs" /stypes="app*4025*20170319*" /stext=" 20:.+((SYSTEM_STATE.+slice.+state.+changed )|(ment ac)|(multiple cpu faults)|(system.+state.+changed )|(\[timeout)|(PRM\|1\|D)|(kpr)|(kdp)|(\|lc)|(penalty))"</v>
      </c>
      <c r="AG94" s="1" t="str">
        <f t="shared" si="42"/>
        <v>EC</v>
      </c>
      <c r="AH94" s="86" t="str">
        <f t="shared" si="43"/>
        <v>"%USERPROFILE%\Documents\GitHub\eaglep3\Utilities\RefineRTDCRunTimes.py" --tripid 179-19 --locoid 4025 --swversion DE.1.0.9.0 --startMP 204:486 --initTime 2017-03-19T13:23:41 --startdatetime 2017-03-19T13:30:14 --delay 1 --endMP 204:233297 --enddatetime 2017-03-19T14:06:03 --enforcementcount 0 &gt;&gt;%USERPROFILE%\Documents\GitHub\eaglep3-reporting\EC\2017-03-19-refined-times.txt</v>
      </c>
      <c r="AI94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{"issue":{"subject":"","project_id":79,"tracker_id":40,"status_id":1,"priority_id":2,"assigned_to_id":23,"start_date":"2017-03-19","description":"","custom_fields":[{"id":1,"name":"Subdivision","value":"EC"},{"id":4,"name":"Milepost","value":"23.3297"},{"id":17,"name":"Train ID","value":"179-19"},{"id":16,"name":"Locomotive ID","value":"4025"},{"id":130,"name":"Impact","value":""},{"id":150,"name":"Time of Event (Mountain Time)","value":"14:06:03"},{"id":151,"name":"Denver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45"/>
        <v>start /low /b %USERPROFILE%\Documents\GitHub\eaglep3\Utilities\DownloadLogsFromS3.py --loco 4025 --day 2017-03-19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"%USERPROFILE%\AppData\Local\Temp\OnboardLogs"\RTDC4025\*4025*20170319* | grep -SE "(Enforcement Action)|(\[TIMEOUT)|(CHR.+\|PRM\|1\|D.+(SWITCH|SIGNAL).+UNKNOWN)" - &gt;&gt; 2017-03-19-UncaughtWiMAX.txt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707</v>
      </c>
      <c r="B95" s="7">
        <v>4026</v>
      </c>
      <c r="C95" s="21" t="s">
        <v>221</v>
      </c>
      <c r="D95" s="21" t="s">
        <v>550</v>
      </c>
      <c r="E95" s="13">
        <v>42813.595925925925</v>
      </c>
      <c r="F95" s="13">
        <v>42813.601597222223</v>
      </c>
      <c r="G95" s="7">
        <v>1</v>
      </c>
      <c r="H95" s="21" t="s">
        <v>204</v>
      </c>
      <c r="I95" s="13">
        <v>42813.628321759257</v>
      </c>
      <c r="J95" s="7">
        <v>0</v>
      </c>
      <c r="K95" s="98" t="str">
        <f t="shared" si="31"/>
        <v>4025/4026</v>
      </c>
      <c r="L95" s="21" t="str">
        <f>VLOOKUP(A95,'Trips&amp;Operators'!$C$1:$G$99999,5,FALSE)</f>
        <v>BRUDER RICHARD</v>
      </c>
      <c r="M95" s="6">
        <f t="shared" si="32"/>
        <v>2.6724537034169771E-2</v>
      </c>
      <c r="N95" s="7">
        <f t="shared" si="28"/>
        <v>38.48333332920447</v>
      </c>
      <c r="O95" s="7"/>
      <c r="P95" s="7"/>
      <c r="Q95" s="22"/>
      <c r="R95" s="22"/>
      <c r="S95" s="31">
        <f t="shared" si="29"/>
        <v>1</v>
      </c>
      <c r="T95" s="46" t="str">
        <f t="shared" si="33"/>
        <v>Southbound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34"/>
        <v>https://d0f6bd738d7f1b3e5a7ca70fe4ff75f0.us-east-1.aws.found.io/app/kibana#/discover/Steve-Slow-Train-Analysis-(2080s-and-2083s)?_g=(refreshInterval:(display:Off,pause:!f,section:0,value:0),time:(from:'2017-03-19T13:18:08-0600',mode:absolute,to:'2017-03-19T16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5" s="187" t="str">
        <f t="shared" si="35"/>
        <v>N</v>
      </c>
      <c r="X95" s="187">
        <f t="shared" si="36"/>
        <v>1</v>
      </c>
      <c r="Y95" s="62">
        <f t="shared" si="37"/>
        <v>23.2989</v>
      </c>
      <c r="Z95" s="62">
        <f t="shared" si="30"/>
        <v>1.54E-2</v>
      </c>
      <c r="AA95" s="62">
        <f t="shared" si="38"/>
        <v>23.2835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9"/>
        <v>0180-19</v>
      </c>
      <c r="AE95" s="85" t="str">
        <f t="shared" si="40"/>
        <v>aws s3 cp s3://rtdc.mdm.uploadarchive.raw/RTDC4026/ "%USERPROFILE%\AppData\Local\Temp\OnboardLogs"\RTDC4026\2017-03-19 --exclude "*" --recursive --include "*20170319*" &amp; "%USERPROFILE%\Documents\GitHub\mrs-test-scripts\Headless Mode &amp; Sideloading\WalkAndUnGZ.bat" "%USERPROFILE%\AppData\Local\Temp\OnboardLogs"\RTDC4026\2017-03-19 &amp; 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</v>
      </c>
      <c r="AF95" s="82" t="str">
        <f t="shared" si="41"/>
        <v>"C:\Program Files (x86)\AstroGrep\AstroGrep.exe" /e /r /s /spath="%USERPROFILE%\AppData\Local\Temp\OnboardLogs" /stypes="app*4026*20170319*" /stext=" 21:.+((SYSTEM_STATE.+slice.+state.+changed )|(ment ac)|(multiple cpu faults)|(system.+state.+changed )|(\[timeout)|(PRM\|1\|D)|(kpr)|(kdp)|(\|lc)|(penalty))"</v>
      </c>
      <c r="AG95" s="1" t="str">
        <f t="shared" si="42"/>
        <v>EC</v>
      </c>
      <c r="AH95" s="86" t="str">
        <f t="shared" si="43"/>
        <v>"%USERPROFILE%\Documents\GitHub\eaglep3\Utilities\RefineRTDCRunTimes.py" --tripid 180-19 --locoid 4026 --swversion DE.1.0.9.0 --startMP 204:232989 --initTime 2017-03-19T14:18:08 --startdatetime 2017-03-19T14:26:18 --delay 1 --endMP 204:154 --enddatetime 2017-03-19T15:04:47 --enforcementcount 0 &gt;&gt;%USERPROFILE%\Documents\GitHub\eaglep3-reporting\EC\2017-03-19-refined-times.txt</v>
      </c>
      <c r="AI95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{"issue":{"subject":"","project_id":79,"tracker_id":40,"status_id":1,"priority_id":2,"assigned_to_id":23,"start_date":"2017-03-19","description":"","custom_fields":[{"id":1,"name":"Subdivision","value":"EC"},{"id":4,"name":"Milepost","value":"0.0154"},{"id":17,"name":"Train ID","value":"180-19"},{"id":16,"name":"Locomotive ID","value":"4026"},{"id":130,"name":"Impact","value":""},{"id":150,"name":"Time of Event (Mountain Time)","value":"15:04:47"},{"id":151,"name":"Denver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45"/>
        <v>start /low /b %USERPROFILE%\Documents\GitHub\eaglep3\Utilities\DownloadLogsFromS3.py --loco 4026 --day 2017-03-19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"%USERPROFILE%\AppData\Local\Temp\OnboardLogs"\RTDC4026\*4026*20170319* | grep -SE "(Enforcement Action)|(\[TIMEOUT)|(CHR.+\|PRM\|1\|D.+(SWITCH|SIGNAL).+UNKNOWN)" - &gt;&gt; 2017-03-19-UncaughtWiMAX.txt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703</v>
      </c>
      <c r="B96" s="7">
        <v>4020</v>
      </c>
      <c r="C96" s="21" t="s">
        <v>221</v>
      </c>
      <c r="D96" s="21" t="s">
        <v>539</v>
      </c>
      <c r="E96" s="13">
        <v>42813.57130787037</v>
      </c>
      <c r="F96" s="13">
        <v>42813.573136574072</v>
      </c>
      <c r="G96" s="7">
        <v>0</v>
      </c>
      <c r="H96" s="21" t="s">
        <v>546</v>
      </c>
      <c r="I96" s="13">
        <v>42813.598194444443</v>
      </c>
      <c r="J96" s="7">
        <v>0</v>
      </c>
      <c r="K96" s="98" t="str">
        <f t="shared" si="31"/>
        <v>4019/4020</v>
      </c>
      <c r="L96" s="21" t="str">
        <f>VLOOKUP(A96,'Trips&amp;Operators'!$C$1:$G$99999,5,FALSE)</f>
        <v>LOCKLEAR TRAVIS</v>
      </c>
      <c r="M96" s="6">
        <f t="shared" si="32"/>
        <v>2.5057870370801538E-2</v>
      </c>
      <c r="N96" s="7">
        <f t="shared" si="28"/>
        <v>36.083333333954215</v>
      </c>
      <c r="O96" s="7"/>
      <c r="P96" s="7"/>
      <c r="Q96" s="22"/>
      <c r="R96" s="22"/>
      <c r="S96" s="31">
        <f t="shared" si="29"/>
        <v>1</v>
      </c>
      <c r="T96" s="46" t="str">
        <f t="shared" si="33"/>
        <v>NorthBound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34"/>
        <v>https://d0f6bd738d7f1b3e5a7ca70fe4ff75f0.us-east-1.aws.found.io/app/kibana#/discover/Steve-Slow-Train-Analysis-(2080s-and-2083s)?_g=(refreshInterval:(display:Off,pause:!f,section:0,value:0),time:(from:'2017-03-19T12:42:41-0600',mode:absolute,to:'2017-03-19T15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6" s="187" t="str">
        <f t="shared" si="35"/>
        <v>N</v>
      </c>
      <c r="X96" s="187">
        <f t="shared" si="36"/>
        <v>1</v>
      </c>
      <c r="Y96" s="62">
        <f t="shared" si="37"/>
        <v>4.4900000000000002E-2</v>
      </c>
      <c r="Z96" s="62">
        <f t="shared" si="30"/>
        <v>23.331399999999999</v>
      </c>
      <c r="AA96" s="62">
        <f t="shared" si="38"/>
        <v>23.2865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9"/>
        <v>0181-19</v>
      </c>
      <c r="AE96" s="85" t="str">
        <f t="shared" si="40"/>
        <v>aws s3 cp s3://rtdc.mdm.uploadarchive.raw/RTDC4020/ "%USERPROFILE%\AppData\Local\Temp\OnboardLogs"\RTDC4020\2017-03-19 --exclude "*" --recursive --include "*20170319*" &amp; "%USERPROFILE%\Documents\GitHub\mrs-test-scripts\Headless Mode &amp; Sideloading\WalkAndUnGZ.bat" "%USERPROFILE%\AppData\Local\Temp\OnboardLogs"\RTDC4020\2017-03-19 &amp; aws s3 cp s3://rtdc.mdm.uploadarchive.raw/RTDC4020/ "%USERPROFILE%\AppData\Local\Temp\OnboardLogs"\RTDC4020\2017-03-20 --exclude "*" --recursive --include "*20170320*" &amp; "%USERPROFILE%\Documents\GitHub\mrs-test-scripts\Headless Mode &amp; Sideloading\WalkAndUnGZ.bat" "%USERPROFILE%\AppData\Local\Temp\OnboardLogs"\RTDC4020\2017-03-20</v>
      </c>
      <c r="AF96" s="82" t="str">
        <f t="shared" si="41"/>
        <v>"C:\Program Files (x86)\AstroGrep\AstroGrep.exe" /e /r /s /spath="%USERPROFILE%\AppData\Local\Temp\OnboardLogs" /stypes="app*4020*20170319*" /stext=" 20:.+((SYSTEM_STATE.+slice.+state.+changed )|(ment ac)|(multiple cpu faults)|(system.+state.+changed )|(\[timeout)|(PRM\|1\|D)|(kpr)|(kdp)|(\|lc)|(penalty))"</v>
      </c>
      <c r="AG96" s="1" t="str">
        <f t="shared" si="42"/>
        <v>EC</v>
      </c>
      <c r="AH96" s="86" t="str">
        <f t="shared" si="43"/>
        <v>"%USERPROFILE%\Documents\GitHub\eaglep3\Utilities\RefineRTDCRunTimes.py" --tripid 181-19 --locoid 4020 --swversion DE.1.0.9.0 --startMP 204:449 --initTime 2017-03-19T13:42:41 --startdatetime 2017-03-19T13:45:19 --delay 0 --endMP 204:233314 --enddatetime 2017-03-19T14:21:24 --enforcementcount 0 &gt;&gt;%USERPROFILE%\Documents\GitHub\eaglep3-reporting\EC\2017-03-19-refined-times.txt</v>
      </c>
      <c r="AI96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{"issue":{"subject":"","project_id":79,"tracker_id":40,"status_id":1,"priority_id":2,"assigned_to_id":23,"start_date":"2017-03-19","description":"","custom_fields":[{"id":1,"name":"Subdivision","value":"EC"},{"id":4,"name":"Milepost","value":"23.3314"},{"id":17,"name":"Train ID","value":"181-19"},{"id":16,"name":"Locomotive ID","value":"4020"},{"id":130,"name":"Impact","value":""},{"id":150,"name":"Time of Event (Mountain Time)","value":"14:21:24"},{"id":151,"name":"Denver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45"/>
        <v>start /low /b %USERPROFILE%\Documents\GitHub\eaglep3\Utilities\DownloadLogsFromS3.py --loco 4020 --day 2017-03-19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"%USERPROFILE%\AppData\Local\Temp\OnboardLogs"\RTDC4020\*4020*20170319* | grep -SE "(Enforcement Action)|(\[TIMEOUT)|(CHR.+\|PRM\|1\|D.+(SWITCH|SIGNAL).+UNKNOWN)" - &gt;&gt; 2017-03-19-UncaughtWiMAX.txt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3" t="s">
        <v>711</v>
      </c>
      <c r="B97" s="7">
        <v>4019</v>
      </c>
      <c r="C97" s="21" t="s">
        <v>221</v>
      </c>
      <c r="D97" s="21" t="s">
        <v>874</v>
      </c>
      <c r="E97" s="13">
        <v>42813.612210648149</v>
      </c>
      <c r="F97" s="13">
        <v>42813.613125000003</v>
      </c>
      <c r="G97" s="7">
        <v>1</v>
      </c>
      <c r="H97" s="21" t="s">
        <v>204</v>
      </c>
      <c r="I97" s="13">
        <v>42813.639745370368</v>
      </c>
      <c r="J97" s="7">
        <v>0</v>
      </c>
      <c r="K97" s="98" t="str">
        <f t="shared" si="31"/>
        <v>4019/4020</v>
      </c>
      <c r="L97" s="21" t="str">
        <f>VLOOKUP(A97,'Trips&amp;Operators'!$C$1:$G$99999,5,FALSE)</f>
        <v>LOCKLEAR TRAVIS</v>
      </c>
      <c r="M97" s="6">
        <f t="shared" si="32"/>
        <v>2.6620370364980772E-2</v>
      </c>
      <c r="N97" s="7">
        <f t="shared" ref="N97:N128" si="46">24*60*SUM($M97:$M97)</f>
        <v>38.333333325572312</v>
      </c>
      <c r="O97" s="7"/>
      <c r="P97" s="7"/>
      <c r="Q97" s="22"/>
      <c r="R97" s="22"/>
      <c r="S97" s="31">
        <f t="shared" ref="S97:S128" si="47">SUM(U97:U97)/IF(AG97="EC",12,1)</f>
        <v>1</v>
      </c>
      <c r="T97" s="46" t="str">
        <f t="shared" si="33"/>
        <v>Southbound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34"/>
        <v>https://d0f6bd738d7f1b3e5a7ca70fe4ff75f0.us-east-1.aws.found.io/app/kibana#/discover/Steve-Slow-Train-Analysis-(2080s-and-2083s)?_g=(refreshInterval:(display:Off,pause:!f,section:0,value:0),time:(from:'2017-03-19T13:41:35-0600',mode:absolute,to:'2017-03-19T16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7" s="187" t="str">
        <f t="shared" si="35"/>
        <v>N</v>
      </c>
      <c r="X97" s="187">
        <f t="shared" si="36"/>
        <v>1</v>
      </c>
      <c r="Y97" s="62">
        <f t="shared" si="37"/>
        <v>23.3005</v>
      </c>
      <c r="Z97" s="62">
        <f t="shared" si="30"/>
        <v>1.54E-2</v>
      </c>
      <c r="AA97" s="62">
        <f t="shared" si="38"/>
        <v>23.2851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9"/>
        <v>0182-19</v>
      </c>
      <c r="AE97" s="85" t="str">
        <f t="shared" si="40"/>
        <v>aws s3 cp s3://rtdc.mdm.uploadarchive.raw/RTDC4019/ "%USERPROFILE%\AppData\Local\Temp\OnboardLogs"\RTDC4019\2017-03-19 --exclude "*" --recursive --include "*20170319*" &amp; "%USERPROFILE%\Documents\GitHub\mrs-test-scripts\Headless Mode &amp; Sideloading\WalkAndUnGZ.bat" "%USERPROFILE%\AppData\Local\Temp\OnboardLogs"\RTDC4019\2017-03-19 &amp; aws s3 cp s3://rtdc.mdm.uploadarchive.raw/RTDC4019/ "%USERPROFILE%\AppData\Local\Temp\OnboardLogs"\RTDC4019\2017-03-20 --exclude "*" --recursive --include "*20170320*" &amp; "%USERPROFILE%\Documents\GitHub\mrs-test-scripts\Headless Mode &amp; Sideloading\WalkAndUnGZ.bat" "%USERPROFILE%\AppData\Local\Temp\OnboardLogs"\RTDC4019\2017-03-20</v>
      </c>
      <c r="AF97" s="82" t="str">
        <f t="shared" si="41"/>
        <v>"C:\Program Files (x86)\AstroGrep\AstroGrep.exe" /e /r /s /spath="%USERPROFILE%\AppData\Local\Temp\OnboardLogs" /stypes="app*4019*20170319*" /stext=" 21:.+((SYSTEM_STATE.+slice.+state.+changed )|(ment ac)|(multiple cpu faults)|(system.+state.+changed )|(\[timeout)|(PRM\|1\|D)|(kpr)|(kdp)|(\|lc)|(penalty))"</v>
      </c>
      <c r="AG97" s="1" t="str">
        <f t="shared" si="42"/>
        <v>EC</v>
      </c>
      <c r="AH97" s="86" t="str">
        <f t="shared" si="43"/>
        <v>"%USERPROFILE%\Documents\GitHub\eaglep3\Utilities\RefineRTDCRunTimes.py" --tripid 182-19 --locoid 4019 --swversion DE.1.0.9.0 --startMP 204:233005 --initTime 2017-03-19T14:41:35 --startdatetime 2017-03-19T14:42:54 --delay 1 --endMP 204:154 --enddatetime 2017-03-19T15:21:14 --enforcementcount 0 &gt;&gt;%USERPROFILE%\Documents\GitHub\eaglep3-reporting\EC\2017-03-19-refined-times.txt</v>
      </c>
      <c r="AI97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{"issue":{"subject":"","project_id":79,"tracker_id":40,"status_id":1,"priority_id":2,"assigned_to_id":23,"start_date":"2017-03-19","description":"","custom_fields":[{"id":1,"name":"Subdivision","value":"EC"},{"id":4,"name":"Milepost","value":"0.0154"},{"id":17,"name":"Train ID","value":"182-19"},{"id":16,"name":"Locomotive ID","value":"4019"},{"id":130,"name":"Impact","value":""},{"id":150,"name":"Time of Event (Mountain Time)","value":"15:21:14"},{"id":151,"name":"Denver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45"/>
        <v>start /low /b %USERPROFILE%\Documents\GitHub\eaglep3\Utilities\DownloadLogsFromS3.py --loco 4019 --day 2017-03-19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"%USERPROFILE%\AppData\Local\Temp\OnboardLogs"\RTDC4019\*4019*20170319* | grep -SE "(Enforcement Action)|(\[TIMEOUT)|(CHR.+\|PRM\|1\|D.+(SWITCH|SIGNAL).+UNKNOWN)" - &gt;&gt; 2017-03-19-UncaughtWiMAX.txt</v>
      </c>
    </row>
    <row r="98" spans="1:91" s="20" customFormat="1" x14ac:dyDescent="0.25">
      <c r="A98" s="33" t="s">
        <v>704</v>
      </c>
      <c r="B98" s="7">
        <v>4040</v>
      </c>
      <c r="C98" s="21" t="s">
        <v>221</v>
      </c>
      <c r="D98" s="21" t="s">
        <v>218</v>
      </c>
      <c r="E98" s="13">
        <v>42813.577835648146</v>
      </c>
      <c r="F98" s="13">
        <v>42813.58388888889</v>
      </c>
      <c r="G98" s="7">
        <v>1</v>
      </c>
      <c r="H98" s="21" t="s">
        <v>880</v>
      </c>
      <c r="I98" s="13">
        <v>42813.607974537037</v>
      </c>
      <c r="J98" s="7">
        <v>0</v>
      </c>
      <c r="K98" s="98" t="str">
        <f t="shared" si="31"/>
        <v>4039/4040</v>
      </c>
      <c r="L98" s="21" t="str">
        <f>VLOOKUP(A98,'Trips&amp;Operators'!$C$1:$G$99999,5,FALSE)</f>
        <v>ROMERO CHAD</v>
      </c>
      <c r="M98" s="6">
        <f t="shared" si="32"/>
        <v>2.4085648146865424E-2</v>
      </c>
      <c r="N98" s="7">
        <f t="shared" si="46"/>
        <v>34.68333333148621</v>
      </c>
      <c r="O98" s="7"/>
      <c r="P98" s="7"/>
      <c r="Q98" s="22"/>
      <c r="R98" s="22"/>
      <c r="S98" s="31">
        <f t="shared" si="47"/>
        <v>1</v>
      </c>
      <c r="T98" s="46" t="str">
        <f t="shared" si="33"/>
        <v>NorthBound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34"/>
        <v>https://d0f6bd738d7f1b3e5a7ca70fe4ff75f0.us-east-1.aws.found.io/app/kibana#/discover/Steve-Slow-Train-Analysis-(2080s-and-2083s)?_g=(refreshInterval:(display:Off,pause:!f,section:0,value:0),time:(from:'2017-03-19T12:52:05-0600',mode:absolute,to:'2017-03-19T15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8" s="187" t="str">
        <f t="shared" si="35"/>
        <v>N</v>
      </c>
      <c r="X98" s="187">
        <f t="shared" si="36"/>
        <v>1</v>
      </c>
      <c r="Y98" s="62">
        <f t="shared" si="37"/>
        <v>4.6600000000000003E-2</v>
      </c>
      <c r="Z98" s="62">
        <f t="shared" si="30"/>
        <v>23.337</v>
      </c>
      <c r="AA98" s="62">
        <f t="shared" si="38"/>
        <v>23.290399999999998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9"/>
        <v>0183-19</v>
      </c>
      <c r="AE98" s="85" t="str">
        <f t="shared" si="40"/>
        <v>aws s3 cp s3://rtdc.mdm.uploadarchive.raw/RTDC4040/ "%USERPROFILE%\AppData\Local\Temp\OnboardLogs"\RTDC4040\2017-03-19 --exclude "*" --recursive --include "*20170319*" &amp; "%USERPROFILE%\Documents\GitHub\mrs-test-scripts\Headless Mode &amp; Sideloading\WalkAndUnGZ.bat" "%USERPROFILE%\AppData\Local\Temp\OnboardLogs"\RTDC4040\2017-03-19 &amp; 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</v>
      </c>
      <c r="AF98" s="82" t="str">
        <f t="shared" si="41"/>
        <v>"C:\Program Files (x86)\AstroGrep\AstroGrep.exe" /e /r /s /spath="%USERPROFILE%\AppData\Local\Temp\OnboardLogs" /stypes="app*4040*20170319*" /stext=" 20:.+((SYSTEM_STATE.+slice.+state.+changed )|(ment ac)|(multiple cpu faults)|(system.+state.+changed )|(\[timeout)|(PRM\|1\|D)|(kpr)|(kdp)|(\|lc)|(penalty))"</v>
      </c>
      <c r="AG98" s="1" t="str">
        <f t="shared" si="42"/>
        <v>EC</v>
      </c>
      <c r="AH98" s="86" t="str">
        <f t="shared" si="43"/>
        <v>"%USERPROFILE%\Documents\GitHub\eaglep3\Utilities\RefineRTDCRunTimes.py" --tripid 183-19 --locoid 4040 --swversion DE.1.0.9.0 --startMP 204:466 --initTime 2017-03-19T13:52:05 --startdatetime 2017-03-19T14:00:48 --delay 1 --endMP 204:233370 --enddatetime 2017-03-19T14:35:29 --enforcementcount 0 &gt;&gt;%USERPROFILE%\Documents\GitHub\eaglep3-reporting\EC\2017-03-19-refined-times.txt</v>
      </c>
      <c r="AI98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{"issue":{"subject":"","project_id":79,"tracker_id":40,"status_id":1,"priority_id":2,"assigned_to_id":23,"start_date":"2017-03-19","description":"","custom_fields":[{"id":1,"name":"Subdivision","value":"EC"},{"id":4,"name":"Milepost","value":"23.337"},{"id":17,"name":"Train ID","value":"183-19"},{"id":16,"name":"Locomotive ID","value":"4040"},{"id":130,"name":"Impact","value":""},{"id":150,"name":"Time of Event (Mountain Time)","value":"14:35:29"},{"id":151,"name":"Denver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45"/>
        <v>start /low /b %USERPROFILE%\Documents\GitHub\eaglep3\Utilities\DownloadLogsFromS3.py --loco 4040 --day 2017-03-19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"%USERPROFILE%\AppData\Local\Temp\OnboardLogs"\RTDC4040\*4040*20170319* | grep -SE "(Enforcement Action)|(\[TIMEOUT)|(CHR.+\|PRM\|1\|D.+(SWITCH|SIGNAL).+UNKNOWN)" - &gt;&gt; 2017-03-19-UncaughtWiMAX.txt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596</v>
      </c>
      <c r="B99" s="7">
        <v>4039</v>
      </c>
      <c r="C99" s="21" t="s">
        <v>221</v>
      </c>
      <c r="D99" s="21" t="s">
        <v>883</v>
      </c>
      <c r="E99" s="13">
        <v>42813.617789351854</v>
      </c>
      <c r="F99" s="13">
        <v>42813.622361111113</v>
      </c>
      <c r="G99" s="7">
        <v>1</v>
      </c>
      <c r="H99" s="21" t="s">
        <v>417</v>
      </c>
      <c r="I99" s="13">
        <v>42813.649247685185</v>
      </c>
      <c r="J99" s="7">
        <v>0</v>
      </c>
      <c r="K99" s="98" t="str">
        <f t="shared" si="31"/>
        <v>4039/4040</v>
      </c>
      <c r="L99" s="21" t="str">
        <f>VLOOKUP(A99,'Trips&amp;Operators'!$C$1:$G$99999,5,FALSE)</f>
        <v>ROMERO CHAD</v>
      </c>
      <c r="M99" s="6">
        <f t="shared" si="32"/>
        <v>2.6886574072705116E-2</v>
      </c>
      <c r="N99" s="7">
        <f t="shared" si="46"/>
        <v>38.716666664695367</v>
      </c>
      <c r="O99" s="7"/>
      <c r="P99" s="7"/>
      <c r="Q99" s="22"/>
      <c r="R99" s="22"/>
      <c r="S99" s="31">
        <f t="shared" si="47"/>
        <v>1</v>
      </c>
      <c r="T99" s="46" t="str">
        <f t="shared" si="33"/>
        <v>Southbound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34"/>
        <v>https://d0f6bd738d7f1b3e5a7ca70fe4ff75f0.us-east-1.aws.found.io/app/kibana#/discover/Steve-Slow-Train-Analysis-(2080s-and-2083s)?_g=(refreshInterval:(display:Off,pause:!f,section:0,value:0),time:(from:'2017-03-19T13:49:37-0600',mode:absolute,to:'2017-03-19T16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9" s="187" t="str">
        <f t="shared" si="35"/>
        <v>N</v>
      </c>
      <c r="X99" s="187">
        <f t="shared" si="36"/>
        <v>1</v>
      </c>
      <c r="Y99" s="62">
        <f t="shared" si="37"/>
        <v>23.305099999999999</v>
      </c>
      <c r="Z99" s="62">
        <f t="shared" si="30"/>
        <v>1.4500000000000001E-2</v>
      </c>
      <c r="AA99" s="62">
        <f t="shared" si="38"/>
        <v>23.290599999999998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9"/>
        <v>0184-19</v>
      </c>
      <c r="AE99" s="85" t="str">
        <f t="shared" si="40"/>
        <v>aws s3 cp s3://rtdc.mdm.uploadarchive.raw/RTDC4039/ "%USERPROFILE%\AppData\Local\Temp\OnboardLogs"\RTDC4039\2017-03-19 --exclude "*" --recursive --include "*20170319*" &amp; "%USERPROFILE%\Documents\GitHub\mrs-test-scripts\Headless Mode &amp; Sideloading\WalkAndUnGZ.bat" "%USERPROFILE%\AppData\Local\Temp\OnboardLogs"\RTDC4039\2017-03-19 &amp; 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</v>
      </c>
      <c r="AF99" s="82" t="str">
        <f t="shared" si="41"/>
        <v>"C:\Program Files (x86)\AstroGrep\AstroGrep.exe" /e /r /s /spath="%USERPROFILE%\AppData\Local\Temp\OnboardLogs" /stypes="app*4039*20170319*" /stext=" 21:.+((SYSTEM_STATE.+slice.+state.+changed )|(ment ac)|(multiple cpu faults)|(system.+state.+changed )|(\[timeout)|(PRM\|1\|D)|(kpr)|(kdp)|(\|lc)|(penalty))"</v>
      </c>
      <c r="AG99" s="1" t="str">
        <f t="shared" si="42"/>
        <v>EC</v>
      </c>
      <c r="AH99" s="86" t="str">
        <f t="shared" si="43"/>
        <v>"%USERPROFILE%\Documents\GitHub\eaglep3\Utilities\RefineRTDCRunTimes.py" --tripid 184-19 --locoid 4039 --swversion DE.1.0.9.0 --startMP 204:233051 --initTime 2017-03-19T14:49:37 --startdatetime 2017-03-19T14:56:12 --delay 1 --endMP 204:145 --enddatetime 2017-03-19T15:34:55 --enforcementcount 0 &gt;&gt;%USERPROFILE%\Documents\GitHub\eaglep3-reporting\EC\2017-03-19-refined-times.txt</v>
      </c>
      <c r="AI99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{"issue":{"subject":"","project_id":79,"tracker_id":40,"status_id":1,"priority_id":2,"assigned_to_id":23,"start_date":"2017-03-19","description":"","custom_fields":[{"id":1,"name":"Subdivision","value":"EC"},{"id":4,"name":"Milepost","value":"0.0145"},{"id":17,"name":"Train ID","value":"184-19"},{"id":16,"name":"Locomotive ID","value":"4039"},{"id":130,"name":"Impact","value":""},{"id":150,"name":"Time of Event (Mountain Time)","value":"15:34:55"},{"id":151,"name":"Denver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45"/>
        <v>start /low /b %USERPROFILE%\Documents\GitHub\eaglep3\Utilities\DownloadLogsFromS3.py --loco 4039 --day 2017-03-19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"%USERPROFILE%\AppData\Local\Temp\OnboardLogs"\RTDC4039\*4039*20170319* | grep -SE "(Enforcement Action)|(\[TIMEOUT)|(CHR.+\|PRM\|1\|D.+(SWITCH|SIGNAL).+UNKNOWN)" - &gt;&gt; 2017-03-19-UncaughtWiMAX.txt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595</v>
      </c>
      <c r="B100" s="7">
        <v>4053</v>
      </c>
      <c r="C100" s="21" t="s">
        <v>221</v>
      </c>
      <c r="D100" s="21" t="s">
        <v>834</v>
      </c>
      <c r="E100" s="13">
        <v>42813.591168981482</v>
      </c>
      <c r="F100" s="13">
        <v>42813.593912037039</v>
      </c>
      <c r="G100" s="7">
        <v>1</v>
      </c>
      <c r="H100" s="21" t="s">
        <v>884</v>
      </c>
      <c r="I100" s="13">
        <v>42813.622129629628</v>
      </c>
      <c r="J100" s="7">
        <v>0</v>
      </c>
      <c r="K100" s="98" t="str">
        <f t="shared" si="31"/>
        <v>4053/4054</v>
      </c>
      <c r="L100" s="21" t="str">
        <f>VLOOKUP(A100,'Trips&amp;Operators'!$C$1:$G$99999,5,FALSE)</f>
        <v>BRANDNER MELINDA</v>
      </c>
      <c r="M100" s="6">
        <f t="shared" si="32"/>
        <v>2.8217592589498963E-2</v>
      </c>
      <c r="N100" s="7">
        <f t="shared" si="46"/>
        <v>40.633333328878507</v>
      </c>
      <c r="O100" s="7"/>
      <c r="P100" s="7"/>
      <c r="Q100" s="22"/>
      <c r="R100" s="22"/>
      <c r="S100" s="31">
        <f t="shared" si="47"/>
        <v>1</v>
      </c>
      <c r="T100" s="46" t="str">
        <f t="shared" si="33"/>
        <v>NorthBound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34"/>
        <v>https://d0f6bd738d7f1b3e5a7ca70fe4ff75f0.us-east-1.aws.found.io/app/kibana#/discover/Steve-Slow-Train-Analysis-(2080s-and-2083s)?_g=(refreshInterval:(display:Off,pause:!f,section:0,value:0),time:(from:'2017-03-19T13:11:17-0600',mode:absolute,to:'2017-03-19T15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0" s="187" t="str">
        <f t="shared" si="35"/>
        <v>N</v>
      </c>
      <c r="X100" s="187">
        <f t="shared" si="36"/>
        <v>1</v>
      </c>
      <c r="Y100" s="62">
        <f t="shared" si="37"/>
        <v>4.82E-2</v>
      </c>
      <c r="Z100" s="62">
        <f t="shared" si="30"/>
        <v>23.321300000000001</v>
      </c>
      <c r="AA100" s="62">
        <f t="shared" si="38"/>
        <v>23.273099999999999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9"/>
        <v>0185-19</v>
      </c>
      <c r="AE100" s="85" t="str">
        <f t="shared" si="40"/>
        <v>aws s3 cp s3://rtdc.mdm.uploadarchive.raw/RTDC4053/ "%USERPROFILE%\AppData\Local\Temp\OnboardLogs"\RTDC4053\2017-03-19 --exclude "*" --recursive --include "*20170319*" &amp; "%USERPROFILE%\Documents\GitHub\mrs-test-scripts\Headless Mode &amp; Sideloading\WalkAndUnGZ.bat" "%USERPROFILE%\AppData\Local\Temp\OnboardLogs"\RTDC4053\2017-03-19 &amp; aws s3 cp s3://rtdc.mdm.uploadarchive.raw/RTDC4053/ "%USERPROFILE%\AppData\Local\Temp\OnboardLogs"\RTDC4053\2017-03-20 --exclude "*" --recursive --include "*20170320*" &amp; "%USERPROFILE%\Documents\GitHub\mrs-test-scripts\Headless Mode &amp; Sideloading\WalkAndUnGZ.bat" "%USERPROFILE%\AppData\Local\Temp\OnboardLogs"\RTDC4053\2017-03-20</v>
      </c>
      <c r="AF100" s="82" t="str">
        <f t="shared" si="41"/>
        <v>"C:\Program Files (x86)\AstroGrep\AstroGrep.exe" /e /r /s /spath="%USERPROFILE%\AppData\Local\Temp\OnboardLogs" /stypes="app*4053*20170319*" /stext=" 20:.+((SYSTEM_STATE.+slice.+state.+changed )|(ment ac)|(multiple cpu faults)|(system.+state.+changed )|(\[timeout)|(PRM\|1\|D)|(kpr)|(kdp)|(\|lc)|(penalty))"</v>
      </c>
      <c r="AG100" s="1" t="str">
        <f t="shared" si="42"/>
        <v>EC</v>
      </c>
      <c r="AH100" s="86" t="str">
        <f t="shared" si="43"/>
        <v>"%USERPROFILE%\Documents\GitHub\eaglep3\Utilities\RefineRTDCRunTimes.py" --tripid 185-19 --locoid 4053 --swversion DE.1.0.9.0 --startMP 204:482 --initTime 2017-03-19T14:11:17 --startdatetime 2017-03-19T14:15:14 --delay 1 --endMP 204:233213 --enddatetime 2017-03-19T14:55:52 --enforcementcount 0 &gt;&gt;%USERPROFILE%\Documents\GitHub\eaglep3-reporting\EC\2017-03-19-refined-times.txt</v>
      </c>
      <c r="AI100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{"issue":{"subject":"","project_id":79,"tracker_id":40,"status_id":1,"priority_id":2,"assigned_to_id":23,"start_date":"2017-03-19","description":"","custom_fields":[{"id":1,"name":"Subdivision","value":"EC"},{"id":4,"name":"Milepost","value":"23.3213"},{"id":17,"name":"Train ID","value":"185-19"},{"id":16,"name":"Locomotive ID","value":"4053"},{"id":130,"name":"Impact","value":""},{"id":150,"name":"Time of Event (Mountain Time)","value":"14:55:52"},{"id":151,"name":"Denver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45"/>
        <v>start /low /b %USERPROFILE%\Documents\GitHub\eaglep3\Utilities\DownloadLogsFromS3.py --loco 4053 --day 2017-03-19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"%USERPROFILE%\AppData\Local\Temp\OnboardLogs"\RTDC4053\*4053*20170319* | grep -SE "(Enforcement Action)|(\[TIMEOUT)|(CHR.+\|PRM\|1\|D.+(SWITCH|SIGNAL).+UNKNOWN)" - &gt;&gt; 2017-03-19-UncaughtWiMAX.txt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713</v>
      </c>
      <c r="B101" s="7">
        <v>4054</v>
      </c>
      <c r="C101" s="21" t="s">
        <v>221</v>
      </c>
      <c r="D101" s="21" t="s">
        <v>885</v>
      </c>
      <c r="E101" s="13">
        <v>42813.628483796296</v>
      </c>
      <c r="F101" s="13">
        <v>42813.6328125</v>
      </c>
      <c r="G101" s="7">
        <v>1</v>
      </c>
      <c r="H101" s="21" t="s">
        <v>183</v>
      </c>
      <c r="I101" s="13">
        <v>42813.662280092591</v>
      </c>
      <c r="J101" s="7">
        <v>0</v>
      </c>
      <c r="K101" s="98" t="str">
        <f t="shared" si="31"/>
        <v>4053/4054</v>
      </c>
      <c r="L101" s="21" t="str">
        <f>VLOOKUP(A101,'Trips&amp;Operators'!$C$1:$G$99999,5,FALSE)</f>
        <v>BRANDNER MELINDA</v>
      </c>
      <c r="M101" s="6">
        <f t="shared" si="32"/>
        <v>2.9467592590663116E-2</v>
      </c>
      <c r="N101" s="7">
        <f t="shared" si="46"/>
        <v>42.433333330554888</v>
      </c>
      <c r="O101" s="7"/>
      <c r="P101" s="7"/>
      <c r="Q101" s="22"/>
      <c r="R101" s="22"/>
      <c r="S101" s="31">
        <f t="shared" si="47"/>
        <v>1</v>
      </c>
      <c r="T101" s="46" t="str">
        <f t="shared" si="33"/>
        <v>Southbound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34"/>
        <v>https://d0f6bd738d7f1b3e5a7ca70fe4ff75f0.us-east-1.aws.found.io/app/kibana#/discover/Steve-Slow-Train-Analysis-(2080s-and-2083s)?_g=(refreshInterval:(display:Off,pause:!f,section:0,value:0),time:(from:'2017-03-19T14:05:01-0600',mode:absolute,to:'2017-03-19T16:53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1" s="187" t="str">
        <f t="shared" si="35"/>
        <v>N</v>
      </c>
      <c r="X101" s="187">
        <f t="shared" si="36"/>
        <v>1</v>
      </c>
      <c r="Y101" s="62">
        <f t="shared" si="37"/>
        <v>23.290199999999999</v>
      </c>
      <c r="Z101" s="62">
        <f t="shared" si="30"/>
        <v>1.49E-2</v>
      </c>
      <c r="AA101" s="62">
        <f t="shared" si="38"/>
        <v>23.275299999999998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9"/>
        <v>0186-19</v>
      </c>
      <c r="AE101" s="85" t="str">
        <f t="shared" si="40"/>
        <v>aws s3 cp s3://rtdc.mdm.uploadarchive.raw/RTDC4054/ "%USERPROFILE%\AppData\Local\Temp\OnboardLogs"\RTDC4054\2017-03-19 --exclude "*" --recursive --include "*20170319*" &amp; "%USERPROFILE%\Documents\GitHub\mrs-test-scripts\Headless Mode &amp; Sideloading\WalkAndUnGZ.bat" "%USERPROFILE%\AppData\Local\Temp\OnboardLogs"\RTDC4054\2017-03-19 &amp; aws s3 cp s3://rtdc.mdm.uploadarchive.raw/RTDC4054/ "%USERPROFILE%\AppData\Local\Temp\OnboardLogs"\RTDC4054\2017-03-20 --exclude "*" --recursive --include "*20170320*" &amp; "%USERPROFILE%\Documents\GitHub\mrs-test-scripts\Headless Mode &amp; Sideloading\WalkAndUnGZ.bat" "%USERPROFILE%\AppData\Local\Temp\OnboardLogs"\RTDC4054\2017-03-20</v>
      </c>
      <c r="AF101" s="82" t="str">
        <f t="shared" si="41"/>
        <v>"C:\Program Files (x86)\AstroGrep\AstroGrep.exe" /e /r /s /spath="%USERPROFILE%\AppData\Local\Temp\OnboardLogs" /stypes="app*4054*20170319*" /stext=" 21:.+((SYSTEM_STATE.+slice.+state.+changed )|(ment ac)|(multiple cpu faults)|(system.+state.+changed )|(\[timeout)|(PRM\|1\|D)|(kpr)|(kdp)|(\|lc)|(penalty))"</v>
      </c>
      <c r="AG101" s="1" t="str">
        <f t="shared" si="42"/>
        <v>EC</v>
      </c>
      <c r="AH101" s="86" t="str">
        <f t="shared" si="43"/>
        <v>"%USERPROFILE%\Documents\GitHub\eaglep3\Utilities\RefineRTDCRunTimes.py" --tripid 186-19 --locoid 4054 --swversion DE.1.0.9.0 --startMP 204:232902 --initTime 2017-03-19T15:05:01 --startdatetime 2017-03-19T15:11:15 --delay 1 --endMP 204:149 --enddatetime 2017-03-19T15:53:41 --enforcementcount 0 &gt;&gt;%USERPROFILE%\Documents\GitHub\eaglep3-reporting\EC\2017-03-19-refined-times.txt</v>
      </c>
      <c r="AI101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{"issue":{"subject":"","project_id":79,"tracker_id":40,"status_id":1,"priority_id":2,"assigned_to_id":23,"start_date":"2017-03-19","description":"","custom_fields":[{"id":1,"name":"Subdivision","value":"EC"},{"id":4,"name":"Milepost","value":"0.0149"},{"id":17,"name":"Train ID","value":"186-19"},{"id":16,"name":"Locomotive ID","value":"4054"},{"id":130,"name":"Impact","value":""},{"id":150,"name":"Time of Event (Mountain Time)","value":"15:53:41"},{"id":151,"name":"Denver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45"/>
        <v>start /low /b %USERPROFILE%\Documents\GitHub\eaglep3\Utilities\DownloadLogsFromS3.py --loco 4054 --day 2017-03-19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"%USERPROFILE%\AppData\Local\Temp\OnboardLogs"\RTDC4054\*4054*20170319* | grep -SE "(Enforcement Action)|(\[TIMEOUT)|(CHR.+\|PRM\|1\|D.+(SWITCH|SIGNAL).+UNKNOWN)" - &gt;&gt; 2017-03-19-UncaughtWiMAX.txt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708</v>
      </c>
      <c r="B102" s="7">
        <v>4003</v>
      </c>
      <c r="C102" s="21" t="s">
        <v>221</v>
      </c>
      <c r="D102" s="21" t="s">
        <v>886</v>
      </c>
      <c r="E102" s="13">
        <v>42813.599502314813</v>
      </c>
      <c r="F102" s="13">
        <v>42813.604421296295</v>
      </c>
      <c r="G102" s="7">
        <v>2</v>
      </c>
      <c r="H102" s="21" t="s">
        <v>547</v>
      </c>
      <c r="I102" s="13">
        <v>42813.629479166666</v>
      </c>
      <c r="J102" s="7">
        <v>0</v>
      </c>
      <c r="K102" s="98" t="str">
        <f t="shared" si="31"/>
        <v>4003/4004</v>
      </c>
      <c r="L102" s="21" t="str">
        <f>VLOOKUP(A102,'Trips&amp;Operators'!$C$1:$G$99999,5,FALSE)</f>
        <v>STEWART MICHAEL</v>
      </c>
      <c r="M102" s="6">
        <f t="shared" si="32"/>
        <v>2.5057870370801538E-2</v>
      </c>
      <c r="N102" s="7">
        <f t="shared" si="46"/>
        <v>36.083333333954215</v>
      </c>
      <c r="O102" s="7"/>
      <c r="P102" s="7"/>
      <c r="Q102" s="22"/>
      <c r="R102" s="22"/>
      <c r="S102" s="31">
        <f t="shared" si="47"/>
        <v>1</v>
      </c>
      <c r="T102" s="46" t="str">
        <f t="shared" si="33"/>
        <v>NorthBound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34"/>
        <v>https://d0f6bd738d7f1b3e5a7ca70fe4ff75f0.us-east-1.aws.found.io/app/kibana#/discover/Steve-Slow-Train-Analysis-(2080s-and-2083s)?_g=(refreshInterval:(display:Off,pause:!f,section:0,value:0),time:(from:'2017-03-19T13:23:17-0600',mode:absolute,to:'2017-03-19T16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2" s="187" t="str">
        <f t="shared" si="35"/>
        <v>N</v>
      </c>
      <c r="X102" s="187">
        <f t="shared" si="36"/>
        <v>1</v>
      </c>
      <c r="Y102" s="62">
        <f t="shared" si="37"/>
        <v>4.7500000000000001E-2</v>
      </c>
      <c r="Z102" s="62">
        <f t="shared" si="30"/>
        <v>23.331499999999998</v>
      </c>
      <c r="AA102" s="62">
        <f t="shared" si="38"/>
        <v>23.283999999999999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9"/>
        <v>0187-19</v>
      </c>
      <c r="AE102" s="85" t="str">
        <f t="shared" si="40"/>
        <v>aws s3 cp s3://rtdc.mdm.uploadarchive.raw/RTDC4003/ "%USERPROFILE%\AppData\Local\Temp\OnboardLogs"\RTDC4003\2017-03-19 --exclude "*" --recursive --include "*20170319*" &amp; "%USERPROFILE%\Documents\GitHub\mrs-test-scripts\Headless Mode &amp; Sideloading\WalkAndUnGZ.bat" "%USERPROFILE%\AppData\Local\Temp\OnboardLogs"\RTDC4003\2017-03-19 &amp; 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</v>
      </c>
      <c r="AF102" s="82" t="str">
        <f t="shared" si="41"/>
        <v>"C:\Program Files (x86)\AstroGrep\AstroGrep.exe" /e /r /s /spath="%USERPROFILE%\AppData\Local\Temp\OnboardLogs" /stypes="app*4003*20170319*" /stext=" 21:.+((SYSTEM_STATE.+slice.+state.+changed )|(ment ac)|(multiple cpu faults)|(system.+state.+changed )|(\[timeout)|(PRM\|1\|D)|(kpr)|(kdp)|(\|lc)|(penalty))"</v>
      </c>
      <c r="AG102" s="1" t="str">
        <f t="shared" si="42"/>
        <v>EC</v>
      </c>
      <c r="AH102" s="86" t="str">
        <f t="shared" si="43"/>
        <v>"%USERPROFILE%\Documents\GitHub\eaglep3\Utilities\RefineRTDCRunTimes.py" --tripid 187-19 --locoid 4003 --swversion DE.1.0.9.0 --startMP 204:475 --initTime 2017-03-19T14:23:17 --startdatetime 2017-03-19T14:30:22 --delay 2 --endMP 204:233315 --enddatetime 2017-03-19T15:06:27 --enforcementcount 0 &gt;&gt;%USERPROFILE%\Documents\GitHub\eaglep3-reporting\EC\2017-03-19-refined-times.txt</v>
      </c>
      <c r="AI102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{"issue":{"subject":"","project_id":79,"tracker_id":40,"status_id":1,"priority_id":2,"assigned_to_id":23,"start_date":"2017-03-19","description":"","custom_fields":[{"id":1,"name":"Subdivision","value":"EC"},{"id":4,"name":"Milepost","value":"23.3315"},{"id":17,"name":"Train ID","value":"187-19"},{"id":16,"name":"Locomotive ID","value":"4003"},{"id":130,"name":"Impact","value":""},{"id":150,"name":"Time of Event (Mountain Time)","value":"15:06:27"},{"id":151,"name":"Denver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45"/>
        <v>start /low /b %USERPROFILE%\Documents\GitHub\eaglep3\Utilities\DownloadLogsFromS3.py --loco 4003 --day 2017-03-19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"%USERPROFILE%\AppData\Local\Temp\OnboardLogs"\RTDC4003\*4003*20170319* | grep -SE "(Enforcement Action)|(\[TIMEOUT)|(CHR.+\|PRM\|1\|D.+(SWITCH|SIGNAL).+UNKNOWN)" - &gt;&gt; 2017-03-19-UncaughtWiMAX.txt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716</v>
      </c>
      <c r="B103" s="7">
        <v>4004</v>
      </c>
      <c r="C103" s="21" t="s">
        <v>221</v>
      </c>
      <c r="D103" s="21" t="s">
        <v>409</v>
      </c>
      <c r="E103" s="13">
        <v>42813.641423611109</v>
      </c>
      <c r="F103" s="13">
        <v>42813.643460648149</v>
      </c>
      <c r="G103" s="7">
        <v>1</v>
      </c>
      <c r="H103" s="21" t="s">
        <v>823</v>
      </c>
      <c r="I103" s="13">
        <v>42813.670451388891</v>
      </c>
      <c r="J103" s="7">
        <v>0</v>
      </c>
      <c r="K103" s="98" t="str">
        <f t="shared" si="31"/>
        <v>4003/4004</v>
      </c>
      <c r="L103" s="21" t="str">
        <f>VLOOKUP(A103,'Trips&amp;Operators'!$C$1:$G$99999,5,FALSE)</f>
        <v>STEWART MICHAEL</v>
      </c>
      <c r="M103" s="6">
        <f t="shared" si="32"/>
        <v>2.6990740741894115E-2</v>
      </c>
      <c r="N103" s="7">
        <f t="shared" si="46"/>
        <v>38.866666668327525</v>
      </c>
      <c r="O103" s="7"/>
      <c r="P103" s="7"/>
      <c r="Q103" s="22"/>
      <c r="R103" s="22"/>
      <c r="S103" s="31">
        <f t="shared" si="47"/>
        <v>1</v>
      </c>
      <c r="T103" s="46" t="str">
        <f t="shared" si="33"/>
        <v>Southbound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34"/>
        <v>https://d0f6bd738d7f1b3e5a7ca70fe4ff75f0.us-east-1.aws.found.io/app/kibana#/discover/Steve-Slow-Train-Analysis-(2080s-and-2083s)?_g=(refreshInterval:(display:Off,pause:!f,section:0,value:0),time:(from:'2017-03-19T14:23:39-0600',mode:absolute,to:'2017-03-19T17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3" s="187" t="str">
        <f t="shared" si="35"/>
        <v>N</v>
      </c>
      <c r="X103" s="187">
        <f t="shared" si="36"/>
        <v>1</v>
      </c>
      <c r="Y103" s="62">
        <f t="shared" si="37"/>
        <v>23.2987</v>
      </c>
      <c r="Z103" s="62">
        <f t="shared" si="30"/>
        <v>1.6899999999999998E-2</v>
      </c>
      <c r="AA103" s="62">
        <f t="shared" si="38"/>
        <v>23.2818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9"/>
        <v>0188-19</v>
      </c>
      <c r="AE103" s="85" t="str">
        <f t="shared" si="40"/>
        <v>aws s3 cp s3://rtdc.mdm.uploadarchive.raw/RTDC4004/ "%USERPROFILE%\AppData\Local\Temp\OnboardLogs"\RTDC4004\2017-03-19 --exclude "*" --recursive --include "*20170319*" &amp; "%USERPROFILE%\Documents\GitHub\mrs-test-scripts\Headless Mode &amp; Sideloading\WalkAndUnGZ.bat" "%USERPROFILE%\AppData\Local\Temp\OnboardLogs"\RTDC4004\2017-03-19 &amp; 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</v>
      </c>
      <c r="AF103" s="82" t="str">
        <f t="shared" si="41"/>
        <v>"C:\Program Files (x86)\AstroGrep\AstroGrep.exe" /e /r /s /spath="%USERPROFILE%\AppData\Local\Temp\OnboardLogs" /stypes="app*4004*20170319*" /stext=" 22:.+((SYSTEM_STATE.+slice.+state.+changed )|(ment ac)|(multiple cpu faults)|(system.+state.+changed )|(\[timeout)|(PRM\|1\|D)|(kpr)|(kdp)|(\|lc)|(penalty))"</v>
      </c>
      <c r="AG103" s="1" t="str">
        <f t="shared" si="42"/>
        <v>EC</v>
      </c>
      <c r="AH103" s="86" t="str">
        <f t="shared" si="43"/>
        <v>"%USERPROFILE%\Documents\GitHub\eaglep3\Utilities\RefineRTDCRunTimes.py" --tripid 188-19 --locoid 4004 --swversion DE.1.0.9.0 --startMP 204:232987 --initTime 2017-03-19T15:23:39 --startdatetime 2017-03-19T15:26:35 --delay 1 --endMP 204:169 --enddatetime 2017-03-19T16:05:27 --enforcementcount 0 &gt;&gt;%USERPROFILE%\Documents\GitHub\eaglep3-reporting\EC\2017-03-19-refined-times.txt</v>
      </c>
      <c r="AI103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{"issue":{"subject":"","project_id":79,"tracker_id":40,"status_id":1,"priority_id":2,"assigned_to_id":23,"start_date":"2017-03-19","description":"","custom_fields":[{"id":1,"name":"Subdivision","value":"EC"},{"id":4,"name":"Milepost","value":"0.0169"},{"id":17,"name":"Train ID","value":"188-19"},{"id":16,"name":"Locomotive ID","value":"4004"},{"id":130,"name":"Impact","value":""},{"id":150,"name":"Time of Event (Mountain Time)","value":"16:05:27"},{"id":151,"name":"Denver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45"/>
        <v>start /low /b %USERPROFILE%\Documents\GitHub\eaglep3\Utilities\DownloadLogsFromS3.py --loco 4004 --day 2017-03-19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"%USERPROFILE%\AppData\Local\Temp\OnboardLogs"\RTDC4004\*4004*20170319* | grep -SE "(Enforcement Action)|(\[TIMEOUT)|(CHR.+\|PRM\|1\|D.+(SWITCH|SIGNAL).+UNKNOWN)" - &gt;&gt; 2017-03-19-UncaughtWiMAX.txt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710</v>
      </c>
      <c r="B104" s="7">
        <v>4002</v>
      </c>
      <c r="C104" s="21" t="s">
        <v>221</v>
      </c>
      <c r="D104" s="21" t="s">
        <v>218</v>
      </c>
      <c r="E104" s="13">
        <v>42813.61347222222</v>
      </c>
      <c r="F104" s="13">
        <v>42813.61519675926</v>
      </c>
      <c r="G104" s="7">
        <v>1</v>
      </c>
      <c r="H104" s="21" t="s">
        <v>545</v>
      </c>
      <c r="I104" s="13">
        <v>42813.642546296294</v>
      </c>
      <c r="J104" s="7">
        <v>0</v>
      </c>
      <c r="K104" s="98" t="str">
        <f t="shared" si="31"/>
        <v>4001/4002</v>
      </c>
      <c r="L104" s="21" t="str">
        <f>VLOOKUP(A104,'Trips&amp;Operators'!$C$1:$G$99999,5,FALSE)</f>
        <v>DAVIS MICHAEL</v>
      </c>
      <c r="M104" s="6">
        <f t="shared" si="32"/>
        <v>2.7349537034751847E-2</v>
      </c>
      <c r="N104" s="7">
        <f t="shared" si="46"/>
        <v>39.38333333004266</v>
      </c>
      <c r="O104" s="7"/>
      <c r="P104" s="7"/>
      <c r="Q104" s="22"/>
      <c r="R104" s="22"/>
      <c r="S104" s="31">
        <f t="shared" si="47"/>
        <v>1</v>
      </c>
      <c r="T104" s="46" t="str">
        <f t="shared" si="33"/>
        <v>NorthBound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34"/>
        <v>https://d0f6bd738d7f1b3e5a7ca70fe4ff75f0.us-east-1.aws.found.io/app/kibana#/discover/Steve-Slow-Train-Analysis-(2080s-and-2083s)?_g=(refreshInterval:(display:Off,pause:!f,section:0,value:0),time:(from:'2017-03-19T13:43:24-0600',mode:absolute,to:'2017-03-19T16:25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4" s="187" t="str">
        <f t="shared" si="35"/>
        <v>N</v>
      </c>
      <c r="X104" s="187">
        <f t="shared" si="36"/>
        <v>1</v>
      </c>
      <c r="Y104" s="62">
        <f t="shared" si="37"/>
        <v>4.6600000000000003E-2</v>
      </c>
      <c r="Z104" s="62">
        <f t="shared" si="30"/>
        <v>23.330300000000001</v>
      </c>
      <c r="AA104" s="62">
        <f t="shared" si="38"/>
        <v>23.2837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9"/>
        <v>0189-19</v>
      </c>
      <c r="AE104" s="85" t="str">
        <f t="shared" si="40"/>
        <v>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 &amp; 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</v>
      </c>
      <c r="AF104" s="82" t="str">
        <f t="shared" si="41"/>
        <v>"C:\Program Files (x86)\AstroGrep\AstroGrep.exe" /e /r /s /spath="%USERPROFILE%\AppData\Local\Temp\OnboardLogs" /stypes="app*4002*20170319*" /stext=" 21:.+((SYSTEM_STATE.+slice.+state.+changed )|(ment ac)|(multiple cpu faults)|(system.+state.+changed )|(\[timeout)|(PRM\|1\|D)|(kpr)|(kdp)|(\|lc)|(penalty))"</v>
      </c>
      <c r="AG104" s="1" t="str">
        <f t="shared" si="42"/>
        <v>EC</v>
      </c>
      <c r="AH104" s="86" t="str">
        <f t="shared" si="43"/>
        <v>"%USERPROFILE%\Documents\GitHub\eaglep3\Utilities\RefineRTDCRunTimes.py" --tripid 189-19 --locoid 4002 --swversion DE.1.0.9.0 --startMP 204:466 --initTime 2017-03-19T14:43:24 --startdatetime 2017-03-19T14:45:53 --delay 1 --endMP 204:233303 --enddatetime 2017-03-19T15:25:16 --enforcementcount 0 &gt;&gt;%USERPROFILE%\Documents\GitHub\eaglep3-reporting\EC\2017-03-19-refined-times.txt</v>
      </c>
      <c r="AI104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{"issue":{"subject":"","project_id":79,"tracker_id":40,"status_id":1,"priority_id":2,"assigned_to_id":23,"start_date":"2017-03-19","description":"","custom_fields":[{"id":1,"name":"Subdivision","value":"EC"},{"id":4,"name":"Milepost","value":"23.3303"},{"id":17,"name":"Train ID","value":"189-19"},{"id":16,"name":"Locomotive ID","value":"4002"},{"id":130,"name":"Impact","value":""},{"id":150,"name":"Time of Event (Mountain Time)","value":"15:25:16"},{"id":151,"name":"Denver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45"/>
        <v>start /low /b %USERPROFILE%\Documents\GitHub\eaglep3\Utilities\DownloadLogsFromS3.py --loco 4002 --day 2017-03-19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"%USERPROFILE%\AppData\Local\Temp\OnboardLogs"\RTDC4002\*4002*20170319* | grep -SE "(Enforcement Action)|(\[TIMEOUT)|(CHR.+\|PRM\|1\|D.+(SWITCH|SIGNAL).+UNKNOWN)" - &gt;&gt; 2017-03-19-UncaughtWiMAX.txt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718</v>
      </c>
      <c r="B105" s="7">
        <v>4001</v>
      </c>
      <c r="C105" s="21" t="s">
        <v>221</v>
      </c>
      <c r="D105" s="21" t="s">
        <v>397</v>
      </c>
      <c r="E105" s="13">
        <v>42813.651400462964</v>
      </c>
      <c r="F105" s="13">
        <v>42813.653784722221</v>
      </c>
      <c r="G105" s="7">
        <v>1</v>
      </c>
      <c r="H105" s="21" t="s">
        <v>183</v>
      </c>
      <c r="I105" s="13">
        <v>42813.681620370371</v>
      </c>
      <c r="J105" s="7">
        <v>0</v>
      </c>
      <c r="K105" s="98" t="str">
        <f t="shared" si="31"/>
        <v>4001/4002</v>
      </c>
      <c r="L105" s="21" t="str">
        <f>VLOOKUP(A105,'Trips&amp;Operators'!$C$1:$G$99999,5,FALSE)</f>
        <v>DAVIS MICHAEL</v>
      </c>
      <c r="M105" s="6">
        <f t="shared" si="32"/>
        <v>2.7835648150357883E-2</v>
      </c>
      <c r="N105" s="7">
        <f t="shared" si="46"/>
        <v>40.083333336515352</v>
      </c>
      <c r="O105" s="7"/>
      <c r="P105" s="7"/>
      <c r="Q105" s="22"/>
      <c r="R105" s="22"/>
      <c r="S105" s="31">
        <f t="shared" si="47"/>
        <v>1</v>
      </c>
      <c r="T105" s="46" t="str">
        <f t="shared" si="33"/>
        <v>Southbound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34"/>
        <v>https://d0f6bd738d7f1b3e5a7ca70fe4ff75f0.us-east-1.aws.found.io/app/kibana#/discover/Steve-Slow-Train-Analysis-(2080s-and-2083s)?_g=(refreshInterval:(display:Off,pause:!f,section:0,value:0),time:(from:'2017-03-19T14:38:01-0600',mode:absolute,to:'2017-03-19T17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5" s="187" t="str">
        <f t="shared" si="35"/>
        <v>N</v>
      </c>
      <c r="X105" s="187">
        <f t="shared" si="36"/>
        <v>1</v>
      </c>
      <c r="Y105" s="62">
        <f t="shared" si="37"/>
        <v>23.298400000000001</v>
      </c>
      <c r="Z105" s="62">
        <f t="shared" si="30"/>
        <v>1.49E-2</v>
      </c>
      <c r="AA105" s="62">
        <f t="shared" si="38"/>
        <v>23.2835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9"/>
        <v>0190-19</v>
      </c>
      <c r="AE105" s="85" t="str">
        <f t="shared" si="40"/>
        <v>aws s3 cp s3://rtdc.mdm.uploadarchive.raw/RTDC4001/ "%USERPROFILE%\AppData\Local\Temp\OnboardLogs"\RTDC4001\2017-03-19 --exclude "*" --recursive --include "*20170319*" &amp; "%USERPROFILE%\Documents\GitHub\mrs-test-scripts\Headless Mode &amp; Sideloading\WalkAndUnGZ.bat" "%USERPROFILE%\AppData\Local\Temp\OnboardLogs"\RTDC4001\2017-03-19 &amp; aws s3 cp s3://rtdc.mdm.uploadarchive.raw/RTDC4001/ "%USERPROFILE%\AppData\Local\Temp\OnboardLogs"\RTDC4001\2017-03-20 --exclude "*" --recursive --include "*20170320*" &amp; "%USERPROFILE%\Documents\GitHub\mrs-test-scripts\Headless Mode &amp; Sideloading\WalkAndUnGZ.bat" "%USERPROFILE%\AppData\Local\Temp\OnboardLogs"\RTDC4001\2017-03-20</v>
      </c>
      <c r="AF105" s="82" t="str">
        <f t="shared" si="41"/>
        <v>"C:\Program Files (x86)\AstroGrep\AstroGrep.exe" /e /r /s /spath="%USERPROFILE%\AppData\Local\Temp\OnboardLogs" /stypes="app*4001*20170319*" /stext=" 22:.+((SYSTEM_STATE.+slice.+state.+changed )|(ment ac)|(multiple cpu faults)|(system.+state.+changed )|(\[timeout)|(PRM\|1\|D)|(kpr)|(kdp)|(\|lc)|(penalty))"</v>
      </c>
      <c r="AG105" s="1" t="str">
        <f t="shared" si="42"/>
        <v>EC</v>
      </c>
      <c r="AH105" s="86" t="str">
        <f t="shared" si="43"/>
        <v>"%USERPROFILE%\Documents\GitHub\eaglep3\Utilities\RefineRTDCRunTimes.py" --tripid 190-19 --locoid 4001 --swversion DE.1.0.9.0 --startMP 204:232984 --initTime 2017-03-19T15:38:01 --startdatetime 2017-03-19T15:41:27 --delay 1 --endMP 204:149 --enddatetime 2017-03-19T16:21:32 --enforcementcount 0 &gt;&gt;%USERPROFILE%\Documents\GitHub\eaglep3-reporting\EC\2017-03-19-refined-times.txt</v>
      </c>
      <c r="AI105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{"issue":{"subject":"","project_id":79,"tracker_id":40,"status_id":1,"priority_id":2,"assigned_to_id":23,"start_date":"2017-03-19","description":"","custom_fields":[{"id":1,"name":"Subdivision","value":"EC"},{"id":4,"name":"Milepost","value":"0.0149"},{"id":17,"name":"Train ID","value":"190-19"},{"id":16,"name":"Locomotive ID","value":"4001"},{"id":130,"name":"Impact","value":""},{"id":150,"name":"Time of Event (Mountain Time)","value":"16:21:32"},{"id":151,"name":"Denver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45"/>
        <v>start /low /b %USERPROFILE%\Documents\GitHub\eaglep3\Utilities\DownloadLogsFromS3.py --loco 4001 --day 2017-03-19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"%USERPROFILE%\AppData\Local\Temp\OnboardLogs"\RTDC4001\*4001*20170319* | grep -SE "(Enforcement Action)|(\[TIMEOUT)|(CHR.+\|PRM\|1\|D.+(SWITCH|SIGNAL).+UNKNOWN)" - &gt;&gt; 2017-03-19-UncaughtWiMAX.txt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712</v>
      </c>
      <c r="B106" s="7">
        <v>4016</v>
      </c>
      <c r="C106" s="21" t="s">
        <v>221</v>
      </c>
      <c r="D106" s="21" t="s">
        <v>449</v>
      </c>
      <c r="E106" s="13">
        <v>42813.621481481481</v>
      </c>
      <c r="F106" s="13">
        <v>42813.625173611108</v>
      </c>
      <c r="G106" s="7">
        <v>1</v>
      </c>
      <c r="H106" s="21" t="s">
        <v>889</v>
      </c>
      <c r="I106" s="13">
        <v>42813.650057870371</v>
      </c>
      <c r="J106" s="7">
        <v>0</v>
      </c>
      <c r="K106" s="98" t="str">
        <f t="shared" si="31"/>
        <v>4015/4016</v>
      </c>
      <c r="L106" s="21" t="str">
        <f>VLOOKUP(A106,'Trips&amp;Operators'!$C$1:$G$99999,5,FALSE)</f>
        <v>LEVIN SCOTT</v>
      </c>
      <c r="M106" s="6">
        <f t="shared" si="32"/>
        <v>2.4884259262762498E-2</v>
      </c>
      <c r="N106" s="7">
        <f t="shared" si="46"/>
        <v>35.833333338377997</v>
      </c>
      <c r="O106" s="7"/>
      <c r="P106" s="7"/>
      <c r="Q106" s="22"/>
      <c r="R106" s="22"/>
      <c r="S106" s="31">
        <f t="shared" si="47"/>
        <v>1</v>
      </c>
      <c r="T106" s="46" t="str">
        <f t="shared" si="33"/>
        <v>NorthBound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34"/>
        <v>https://d0f6bd738d7f1b3e5a7ca70fe4ff75f0.us-east-1.aws.found.io/app/kibana#/discover/Steve-Slow-Train-Analysis-(2080s-and-2083s)?_g=(refreshInterval:(display:Off,pause:!f,section:0,value:0),time:(from:'2017-03-19T13:54:56-0600',mode:absolute,to:'2017-03-19T16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6" s="187" t="str">
        <f t="shared" si="35"/>
        <v>N</v>
      </c>
      <c r="X106" s="187">
        <f t="shared" si="36"/>
        <v>1</v>
      </c>
      <c r="Y106" s="62">
        <f t="shared" si="37"/>
        <v>4.4400000000000002E-2</v>
      </c>
      <c r="Z106" s="62">
        <f t="shared" si="30"/>
        <v>23.335699999999999</v>
      </c>
      <c r="AA106" s="62">
        <f t="shared" si="38"/>
        <v>23.2913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9"/>
        <v>0191-19</v>
      </c>
      <c r="AE106" s="85" t="str">
        <f t="shared" si="40"/>
        <v>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 &amp; 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</v>
      </c>
      <c r="AF106" s="82" t="str">
        <f t="shared" si="41"/>
        <v>"C:\Program Files (x86)\AstroGrep\AstroGrep.exe" /e /r /s /spath="%USERPROFILE%\AppData\Local\Temp\OnboardLogs" /stypes="app*4016*20170319*" /stext=" 21:.+((SYSTEM_STATE.+slice.+state.+changed )|(ment ac)|(multiple cpu faults)|(system.+state.+changed )|(\[timeout)|(PRM\|1\|D)|(kpr)|(kdp)|(\|lc)|(penalty))"</v>
      </c>
      <c r="AG106" s="1" t="str">
        <f t="shared" si="42"/>
        <v>EC</v>
      </c>
      <c r="AH106" s="86" t="str">
        <f t="shared" si="43"/>
        <v>"%USERPROFILE%\Documents\GitHub\eaglep3\Utilities\RefineRTDCRunTimes.py" --tripid 191-19 --locoid 4016 --swversion DE.1.0.9.0 --startMP 204:444 --initTime 2017-03-19T14:54:56 --startdatetime 2017-03-19T15:00:15 --delay 1 --endMP 204:233357 --enddatetime 2017-03-19T15:36:05 --enforcementcount 0 &gt;&gt;%USERPROFILE%\Documents\GitHub\eaglep3-reporting\EC\2017-03-19-refined-times.txt</v>
      </c>
      <c r="AI106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{"issue":{"subject":"","project_id":79,"tracker_id":40,"status_id":1,"priority_id":2,"assigned_to_id":23,"start_date":"2017-03-19","description":"","custom_fields":[{"id":1,"name":"Subdivision","value":"EC"},{"id":4,"name":"Milepost","value":"23.3357"},{"id":17,"name":"Train ID","value":"191-19"},{"id":16,"name":"Locomotive ID","value":"4016"},{"id":130,"name":"Impact","value":""},{"id":150,"name":"Time of Event (Mountain Time)","value":"15:36:05"},{"id":151,"name":"Denver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45"/>
        <v>start /low /b %USERPROFILE%\Documents\GitHub\eaglep3\Utilities\DownloadLogsFromS3.py --loco 4016 --day 2017-03-19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"%USERPROFILE%\AppData\Local\Temp\OnboardLogs"\RTDC4016\*4016*20170319* | grep -SE "(Enforcement Action)|(\[TIMEOUT)|(CHR.+\|PRM\|1\|D.+(SWITCH|SIGNAL).+UNKNOWN)" - &gt;&gt; 2017-03-19-UncaughtWiMAX.txt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719</v>
      </c>
      <c r="B107" s="7">
        <v>4015</v>
      </c>
      <c r="C107" s="21" t="s">
        <v>221</v>
      </c>
      <c r="D107" s="21" t="s">
        <v>838</v>
      </c>
      <c r="E107" s="13">
        <v>42813.658634259256</v>
      </c>
      <c r="F107" s="13">
        <v>42813.664050925923</v>
      </c>
      <c r="G107" s="7">
        <v>1</v>
      </c>
      <c r="H107" s="21" t="s">
        <v>890</v>
      </c>
      <c r="I107" s="13">
        <v>42813.692013888889</v>
      </c>
      <c r="J107" s="7">
        <v>0</v>
      </c>
      <c r="K107" s="98" t="str">
        <f t="shared" si="31"/>
        <v>4015/4016</v>
      </c>
      <c r="L107" s="21" t="str">
        <f>VLOOKUP(A107,'Trips&amp;Operators'!$C$1:$G$99999,5,FALSE)</f>
        <v>LEVIN SCOTT</v>
      </c>
      <c r="M107" s="6">
        <f t="shared" si="32"/>
        <v>2.7962962965830229E-2</v>
      </c>
      <c r="N107" s="7">
        <f t="shared" si="46"/>
        <v>40.26666667079553</v>
      </c>
      <c r="O107" s="7"/>
      <c r="P107" s="7"/>
      <c r="Q107" s="22"/>
      <c r="R107" s="22"/>
      <c r="S107" s="31">
        <f t="shared" si="47"/>
        <v>1</v>
      </c>
      <c r="T107" s="46" t="str">
        <f t="shared" si="33"/>
        <v>Southbound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34"/>
        <v>https://d0f6bd738d7f1b3e5a7ca70fe4ff75f0.us-east-1.aws.found.io/app/kibana#/discover/Steve-Slow-Train-Analysis-(2080s-and-2083s)?_g=(refreshInterval:(display:Off,pause:!f,section:0,value:0),time:(from:'2017-03-19T14:48:26-0600',mode:absolute,to:'2017-03-19T17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7" s="187" t="str">
        <f t="shared" si="35"/>
        <v>N</v>
      </c>
      <c r="X107" s="187">
        <f t="shared" si="36"/>
        <v>1</v>
      </c>
      <c r="Y107" s="62">
        <f t="shared" si="37"/>
        <v>23.305900000000001</v>
      </c>
      <c r="Z107" s="62">
        <f t="shared" ref="Z107:Z138" si="48">RIGHT(H107,LEN(H107)-4)/10000</f>
        <v>1.32E-2</v>
      </c>
      <c r="AA107" s="62">
        <f t="shared" si="38"/>
        <v>23.2927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9"/>
        <v>0192-19</v>
      </c>
      <c r="AE107" s="85" t="str">
        <f t="shared" si="40"/>
        <v>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 &amp; 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</v>
      </c>
      <c r="AF107" s="82" t="str">
        <f t="shared" si="41"/>
        <v>"C:\Program Files (x86)\AstroGrep\AstroGrep.exe" /e /r /s /spath="%USERPROFILE%\AppData\Local\Temp\OnboardLogs" /stypes="app*4015*20170319*" /stext=" 22:.+((SYSTEM_STATE.+slice.+state.+changed )|(ment ac)|(multiple cpu faults)|(system.+state.+changed )|(\[timeout)|(PRM\|1\|D)|(kpr)|(kdp)|(\|lc)|(penalty))"</v>
      </c>
      <c r="AG107" s="1" t="str">
        <f t="shared" si="42"/>
        <v>EC</v>
      </c>
      <c r="AH107" s="86" t="str">
        <f t="shared" si="43"/>
        <v>"%USERPROFILE%\Documents\GitHub\eaglep3\Utilities\RefineRTDCRunTimes.py" --tripid 192-19 --locoid 4015 --swversion DE.1.0.9.0 --startMP 204:233059 --initTime 2017-03-19T15:48:26 --startdatetime 2017-03-19T15:56:14 --delay 1 --endMP 204:132 --enddatetime 2017-03-19T16:36:30 --enforcementcount 0 &gt;&gt;%USERPROFILE%\Documents\GitHub\eaglep3-reporting\EC\2017-03-19-refined-times.txt</v>
      </c>
      <c r="AI107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{"issue":{"subject":"","project_id":79,"tracker_id":40,"status_id":1,"priority_id":2,"assigned_to_id":23,"start_date":"2017-03-19","description":"","custom_fields":[{"id":1,"name":"Subdivision","value":"EC"},{"id":4,"name":"Milepost","value":"0.0132"},{"id":17,"name":"Train ID","value":"192-19"},{"id":16,"name":"Locomotive ID","value":"4015"},{"id":130,"name":"Impact","value":""},{"id":150,"name":"Time of Event (Mountain Time)","value":"16:36:30"},{"id":151,"name":"Denver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45"/>
        <v>start /low /b %USERPROFILE%\Documents\GitHub\eaglep3\Utilities\DownloadLogsFromS3.py --loco 4015 --day 2017-03-19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"%USERPROFILE%\AppData\Local\Temp\OnboardLogs"\RTDC4015\*4015*20170319* | grep -SE "(Enforcement Action)|(\[TIMEOUT)|(CHR.+\|PRM\|1\|D.+(SWITCH|SIGNAL).+UNKNOWN)" - &gt;&gt; 2017-03-19-UncaughtWiMAX.txt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714</v>
      </c>
      <c r="B108" s="7">
        <v>4025</v>
      </c>
      <c r="C108" s="21" t="s">
        <v>221</v>
      </c>
      <c r="D108" s="21" t="s">
        <v>214</v>
      </c>
      <c r="E108" s="13">
        <v>42813.631215277775</v>
      </c>
      <c r="F108" s="13">
        <v>42813.63559027778</v>
      </c>
      <c r="G108" s="7">
        <v>1</v>
      </c>
      <c r="H108" s="21" t="s">
        <v>548</v>
      </c>
      <c r="I108" s="13">
        <v>42813.660763888889</v>
      </c>
      <c r="J108" s="7">
        <v>0</v>
      </c>
      <c r="K108" s="98" t="str">
        <f t="shared" si="31"/>
        <v>4025/4026</v>
      </c>
      <c r="L108" s="21" t="str">
        <f>VLOOKUP(A108,'Trips&amp;Operators'!$C$1:$G$99999,5,FALSE)</f>
        <v>BRUDER RICHARD</v>
      </c>
      <c r="M108" s="6">
        <f t="shared" si="32"/>
        <v>2.5173611109494232E-2</v>
      </c>
      <c r="N108" s="7">
        <f t="shared" si="46"/>
        <v>36.249999997671694</v>
      </c>
      <c r="O108" s="7"/>
      <c r="P108" s="7"/>
      <c r="Q108" s="22"/>
      <c r="R108" s="22"/>
      <c r="S108" s="31">
        <f t="shared" si="47"/>
        <v>1</v>
      </c>
      <c r="T108" s="46" t="str">
        <f t="shared" si="33"/>
        <v>NorthBound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34"/>
        <v>https://d0f6bd738d7f1b3e5a7ca70fe4ff75f0.us-east-1.aws.found.io/app/kibana#/discover/Steve-Slow-Train-Analysis-(2080s-and-2083s)?_g=(refreshInterval:(display:Off,pause:!f,section:0,value:0),time:(from:'2017-03-19T14:08:57-0600',mode:absolute,to:'2017-03-19T16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8" s="187" t="str">
        <f t="shared" si="35"/>
        <v>N</v>
      </c>
      <c r="X108" s="187">
        <f t="shared" si="36"/>
        <v>1</v>
      </c>
      <c r="Y108" s="62">
        <f t="shared" si="37"/>
        <v>4.3999999999999997E-2</v>
      </c>
      <c r="Z108" s="62">
        <f t="shared" si="48"/>
        <v>23.3309</v>
      </c>
      <c r="AA108" s="62">
        <f t="shared" si="38"/>
        <v>23.286899999999999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9"/>
        <v>0193-19</v>
      </c>
      <c r="AE108" s="85" t="str">
        <f t="shared" si="40"/>
        <v>aws s3 cp s3://rtdc.mdm.uploadarchive.raw/RTDC4025/ "%USERPROFILE%\AppData\Local\Temp\OnboardLogs"\RTDC4025\2017-03-19 --exclude "*" --recursive --include "*20170319*" &amp; "%USERPROFILE%\Documents\GitHub\mrs-test-scripts\Headless Mode &amp; Sideloading\WalkAndUnGZ.bat" "%USERPROFILE%\AppData\Local\Temp\OnboardLogs"\RTDC4025\2017-03-19 &amp; 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</v>
      </c>
      <c r="AF108" s="82" t="str">
        <f t="shared" si="41"/>
        <v>"C:\Program Files (x86)\AstroGrep\AstroGrep.exe" /e /r /s /spath="%USERPROFILE%\AppData\Local\Temp\OnboardLogs" /stypes="app*4025*20170319*" /stext=" 21:.+((SYSTEM_STATE.+slice.+state.+changed )|(ment ac)|(multiple cpu faults)|(system.+state.+changed )|(\[timeout)|(PRM\|1\|D)|(kpr)|(kdp)|(\|lc)|(penalty))"</v>
      </c>
      <c r="AG108" s="1" t="str">
        <f t="shared" si="42"/>
        <v>EC</v>
      </c>
      <c r="AH108" s="86" t="str">
        <f t="shared" si="43"/>
        <v>"%USERPROFILE%\Documents\GitHub\eaglep3\Utilities\RefineRTDCRunTimes.py" --tripid 193-19 --locoid 4025 --swversion DE.1.0.9.0 --startMP 204:440 --initTime 2017-03-19T15:08:57 --startdatetime 2017-03-19T15:15:15 --delay 1 --endMP 204:233309 --enddatetime 2017-03-19T15:51:30 --enforcementcount 0 &gt;&gt;%USERPROFILE%\Documents\GitHub\eaglep3-reporting\EC\2017-03-19-refined-times.txt</v>
      </c>
      <c r="AI108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{"issue":{"subject":"","project_id":79,"tracker_id":40,"status_id":1,"priority_id":2,"assigned_to_id":23,"start_date":"2017-03-19","description":"","custom_fields":[{"id":1,"name":"Subdivision","value":"EC"},{"id":4,"name":"Milepost","value":"23.3309"},{"id":17,"name":"Train ID","value":"193-19"},{"id":16,"name":"Locomotive ID","value":"4025"},{"id":130,"name":"Impact","value":""},{"id":150,"name":"Time of Event (Mountain Time)","value":"15:51:30"},{"id":151,"name":"Denver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45"/>
        <v>start /low /b %USERPROFILE%\Documents\GitHub\eaglep3\Utilities\DownloadLogsFromS3.py --loco 4025 --day 2017-03-19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"%USERPROFILE%\AppData\Local\Temp\OnboardLogs"\RTDC4025\*4025*20170319* | grep -SE "(Enforcement Action)|(\[TIMEOUT)|(CHR.+\|PRM\|1\|D.+(SWITCH|SIGNAL).+UNKNOWN)" - &gt;&gt; 2017-03-19-UncaughtWiMAX.txt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721</v>
      </c>
      <c r="B109" s="7">
        <v>4026</v>
      </c>
      <c r="C109" s="21" t="s">
        <v>221</v>
      </c>
      <c r="D109" s="21" t="s">
        <v>451</v>
      </c>
      <c r="E109" s="13">
        <v>42813.670416666668</v>
      </c>
      <c r="F109" s="13">
        <v>42813.674525462964</v>
      </c>
      <c r="G109" s="7">
        <v>1</v>
      </c>
      <c r="H109" s="21" t="s">
        <v>190</v>
      </c>
      <c r="I109" s="13">
        <v>42813.703275462962</v>
      </c>
      <c r="J109" s="7">
        <v>0</v>
      </c>
      <c r="K109" s="98" t="str">
        <f t="shared" si="31"/>
        <v>4025/4026</v>
      </c>
      <c r="L109" s="21" t="str">
        <f>VLOOKUP(A109,'Trips&amp;Operators'!$C$1:$G$99999,5,FALSE)</f>
        <v>BRUDER RICHARD</v>
      </c>
      <c r="M109" s="6">
        <f t="shared" ref="M109:M140" si="49">I109-F109</f>
        <v>2.8749999997671694E-2</v>
      </c>
      <c r="N109" s="7">
        <f t="shared" si="46"/>
        <v>41.399999996647239</v>
      </c>
      <c r="O109" s="7"/>
      <c r="P109" s="7"/>
      <c r="Q109" s="22"/>
      <c r="R109" s="22"/>
      <c r="S109" s="31">
        <f t="shared" si="47"/>
        <v>1</v>
      </c>
      <c r="T109" s="46" t="str">
        <f t="shared" si="33"/>
        <v>Southbound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34"/>
        <v>https://d0f6bd738d7f1b3e5a7ca70fe4ff75f0.us-east-1.aws.found.io/app/kibana#/discover/Steve-Slow-Train-Analysis-(2080s-and-2083s)?_g=(refreshInterval:(display:Off,pause:!f,section:0,value:0),time:(from:'2017-03-19T15:05:24-0600',mode:absolute,to:'2017-03-19T17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9" s="187" t="str">
        <f t="shared" si="35"/>
        <v>N</v>
      </c>
      <c r="X109" s="187">
        <f t="shared" ref="X109:X140" si="50">VALUE(LEFT(AD109,4))-VALUE(LEFT(AD108,4))</f>
        <v>1</v>
      </c>
      <c r="Y109" s="62">
        <f t="shared" si="37"/>
        <v>23.298999999999999</v>
      </c>
      <c r="Z109" s="62">
        <f t="shared" si="48"/>
        <v>1.4999999999999999E-2</v>
      </c>
      <c r="AA109" s="62">
        <f t="shared" si="38"/>
        <v>23.283999999999999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9"/>
        <v>0194-19</v>
      </c>
      <c r="AE109" s="85" t="str">
        <f t="shared" si="40"/>
        <v>aws s3 cp s3://rtdc.mdm.uploadarchive.raw/RTDC4026/ "%USERPROFILE%\AppData\Local\Temp\OnboardLogs"\RTDC4026\2017-03-19 --exclude "*" --recursive --include "*20170319*" &amp; "%USERPROFILE%\Documents\GitHub\mrs-test-scripts\Headless Mode &amp; Sideloading\WalkAndUnGZ.bat" "%USERPROFILE%\AppData\Local\Temp\OnboardLogs"\RTDC4026\2017-03-19 &amp; 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</v>
      </c>
      <c r="AF109" s="82" t="str">
        <f t="shared" si="41"/>
        <v>"C:\Program Files (x86)\AstroGrep\AstroGrep.exe" /e /r /s /spath="%USERPROFILE%\AppData\Local\Temp\OnboardLogs" /stypes="app*4026*20170319*" /stext=" 22:.+((SYSTEM_STATE.+slice.+state.+changed )|(ment ac)|(multiple cpu faults)|(system.+state.+changed )|(\[timeout)|(PRM\|1\|D)|(kpr)|(kdp)|(\|lc)|(penalty))"</v>
      </c>
      <c r="AG109" s="1" t="str">
        <f t="shared" si="42"/>
        <v>EC</v>
      </c>
      <c r="AH109" s="86" t="str">
        <f t="shared" si="43"/>
        <v>"%USERPROFILE%\Documents\GitHub\eaglep3\Utilities\RefineRTDCRunTimes.py" --tripid 194-19 --locoid 4026 --swversion DE.1.0.9.0 --startMP 204:232990 --initTime 2017-03-19T16:05:24 --startdatetime 2017-03-19T16:11:19 --delay 1 --endMP 204:150 --enddatetime 2017-03-19T16:52:43 --enforcementcount 0 &gt;&gt;%USERPROFILE%\Documents\GitHub\eaglep3-reporting\EC\2017-03-19-refined-times.txt</v>
      </c>
      <c r="AI109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{"issue":{"subject":"","project_id":79,"tracker_id":40,"status_id":1,"priority_id":2,"assigned_to_id":23,"start_date":"2017-03-19","description":"","custom_fields":[{"id":1,"name":"Subdivision","value":"EC"},{"id":4,"name":"Milepost","value":"0.015"},{"id":17,"name":"Train ID","value":"194-19"},{"id":16,"name":"Locomotive ID","value":"4026"},{"id":130,"name":"Impact","value":""},{"id":150,"name":"Time of Event (Mountain Time)","value":"16:52:43"},{"id":151,"name":"Denver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45"/>
        <v>start /low /b %USERPROFILE%\Documents\GitHub\eaglep3\Utilities\DownloadLogsFromS3.py --loco 4026 --day 2017-03-19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"%USERPROFILE%\AppData\Local\Temp\OnboardLogs"\RTDC4026\*4026*20170319* | grep -SE "(Enforcement Action)|(\[TIMEOUT)|(CHR.+\|PRM\|1\|D.+(SWITCH|SIGNAL).+UNKNOWN)" - &gt;&gt; 2017-03-19-UncaughtWiMAX.txt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717</v>
      </c>
      <c r="B110" s="7">
        <v>4020</v>
      </c>
      <c r="C110" s="21" t="s">
        <v>221</v>
      </c>
      <c r="D110" s="21" t="s">
        <v>222</v>
      </c>
      <c r="E110" s="13">
        <v>42813.643043981479</v>
      </c>
      <c r="F110" s="13">
        <v>42813.645995370367</v>
      </c>
      <c r="G110" s="7">
        <v>1</v>
      </c>
      <c r="H110" s="21" t="s">
        <v>891</v>
      </c>
      <c r="I110" s="13">
        <v>42813.671516203707</v>
      </c>
      <c r="J110" s="7">
        <v>0</v>
      </c>
      <c r="K110" s="98" t="str">
        <f t="shared" si="31"/>
        <v>4019/4020</v>
      </c>
      <c r="L110" s="21" t="str">
        <f>VLOOKUP(A110,'Trips&amp;Operators'!$C$1:$G$99999,5,FALSE)</f>
        <v>LOCKLEAR TRAVIS</v>
      </c>
      <c r="M110" s="6">
        <f t="shared" si="49"/>
        <v>2.5520833340124227E-2</v>
      </c>
      <c r="N110" s="7">
        <f t="shared" si="46"/>
        <v>36.750000009778887</v>
      </c>
      <c r="O110" s="7"/>
      <c r="P110" s="7"/>
      <c r="Q110" s="22"/>
      <c r="R110" s="22"/>
      <c r="S110" s="31">
        <f t="shared" si="47"/>
        <v>1</v>
      </c>
      <c r="T110" s="46" t="str">
        <f t="shared" si="33"/>
        <v>NorthBound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34"/>
        <v>https://d0f6bd738d7f1b3e5a7ca70fe4ff75f0.us-east-1.aws.found.io/app/kibana#/discover/Steve-Slow-Train-Analysis-(2080s-and-2083s)?_g=(refreshInterval:(display:Off,pause:!f,section:0,value:0),time:(from:'2017-03-19T14:25:59-0600',mode:absolute,to:'2017-03-19T17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0" s="187" t="str">
        <f t="shared" si="35"/>
        <v>N</v>
      </c>
      <c r="X110" s="187">
        <f t="shared" si="50"/>
        <v>1</v>
      </c>
      <c r="Y110" s="62">
        <f t="shared" si="37"/>
        <v>4.58E-2</v>
      </c>
      <c r="Z110" s="62">
        <f t="shared" si="48"/>
        <v>23.337399999999999</v>
      </c>
      <c r="AA110" s="62">
        <f t="shared" si="38"/>
        <v>23.291599999999999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9"/>
        <v>0195-19</v>
      </c>
      <c r="AE110" s="85" t="str">
        <f t="shared" si="40"/>
        <v>aws s3 cp s3://rtdc.mdm.uploadarchive.raw/RTDC4020/ "%USERPROFILE%\AppData\Local\Temp\OnboardLogs"\RTDC4020\2017-03-19 --exclude "*" --recursive --include "*20170319*" &amp; "%USERPROFILE%\Documents\GitHub\mrs-test-scripts\Headless Mode &amp; Sideloading\WalkAndUnGZ.bat" "%USERPROFILE%\AppData\Local\Temp\OnboardLogs"\RTDC4020\2017-03-19 &amp; aws s3 cp s3://rtdc.mdm.uploadarchive.raw/RTDC4020/ "%USERPROFILE%\AppData\Local\Temp\OnboardLogs"\RTDC4020\2017-03-20 --exclude "*" --recursive --include "*20170320*" &amp; "%USERPROFILE%\Documents\GitHub\mrs-test-scripts\Headless Mode &amp; Sideloading\WalkAndUnGZ.bat" "%USERPROFILE%\AppData\Local\Temp\OnboardLogs"\RTDC4020\2017-03-20</v>
      </c>
      <c r="AF110" s="82" t="str">
        <f t="shared" si="41"/>
        <v>"C:\Program Files (x86)\AstroGrep\AstroGrep.exe" /e /r /s /spath="%USERPROFILE%\AppData\Local\Temp\OnboardLogs" /stypes="app*4020*20170319*" /stext=" 22:.+((SYSTEM_STATE.+slice.+state.+changed )|(ment ac)|(multiple cpu faults)|(system.+state.+changed )|(\[timeout)|(PRM\|1\|D)|(kpr)|(kdp)|(\|lc)|(penalty))"</v>
      </c>
      <c r="AG110" s="1" t="str">
        <f t="shared" si="42"/>
        <v>EC</v>
      </c>
      <c r="AH110" s="86" t="str">
        <f t="shared" si="43"/>
        <v>"%USERPROFILE%\Documents\GitHub\eaglep3\Utilities\RefineRTDCRunTimes.py" --tripid 195-19 --locoid 4020 --swversion DE.1.0.9.0 --startMP 204:458 --initTime 2017-03-19T15:25:59 --startdatetime 2017-03-19T15:30:14 --delay 1 --endMP 204:233374 --enddatetime 2017-03-19T16:06:59 --enforcementcount 0 &gt;&gt;%USERPROFILE%\Documents\GitHub\eaglep3-reporting\EC\2017-03-19-refined-times.txt</v>
      </c>
      <c r="AI110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{"issue":{"subject":"","project_id":79,"tracker_id":40,"status_id":1,"priority_id":2,"assigned_to_id":23,"start_date":"2017-03-19","description":"","custom_fields":[{"id":1,"name":"Subdivision","value":"EC"},{"id":4,"name":"Milepost","value":"23.3374"},{"id":17,"name":"Train ID","value":"195-19"},{"id":16,"name":"Locomotive ID","value":"4020"},{"id":130,"name":"Impact","value":""},{"id":150,"name":"Time of Event (Mountain Time)","value":"16:06:59"},{"id":151,"name":"Denver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45"/>
        <v>start /low /b %USERPROFILE%\Documents\GitHub\eaglep3\Utilities\DownloadLogsFromS3.py --loco 4020 --day 2017-03-19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"%USERPROFILE%\AppData\Local\Temp\OnboardLogs"\RTDC4020\*4020*20170319* | grep -SE "(Enforcement Action)|(\[TIMEOUT)|(CHR.+\|PRM\|1\|D.+(SWITCH|SIGNAL).+UNKNOWN)" - &gt;&gt; 2017-03-19-UncaughtWiMAX.txt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724</v>
      </c>
      <c r="B111" s="7">
        <v>4019</v>
      </c>
      <c r="C111" s="21" t="s">
        <v>221</v>
      </c>
      <c r="D111" s="21" t="s">
        <v>892</v>
      </c>
      <c r="E111" s="13">
        <v>42813.681886574072</v>
      </c>
      <c r="F111" s="13">
        <v>42813.684872685182</v>
      </c>
      <c r="G111" s="7">
        <v>1</v>
      </c>
      <c r="H111" s="21" t="s">
        <v>893</v>
      </c>
      <c r="I111" s="13">
        <v>42813.715925925928</v>
      </c>
      <c r="J111" s="7">
        <v>0</v>
      </c>
      <c r="K111" s="98" t="str">
        <f t="shared" si="31"/>
        <v>4019/4020</v>
      </c>
      <c r="L111" s="21" t="str">
        <f>VLOOKUP(A111,'Trips&amp;Operators'!$C$1:$G$99999,5,FALSE)</f>
        <v>LOCKLEAR TRAVIS</v>
      </c>
      <c r="M111" s="6">
        <f t="shared" si="49"/>
        <v>3.1053240745677613E-2</v>
      </c>
      <c r="N111" s="7">
        <f t="shared" si="46"/>
        <v>44.716666673775762</v>
      </c>
      <c r="O111" s="7"/>
      <c r="P111" s="7"/>
      <c r="Q111" s="22"/>
      <c r="R111" s="22"/>
      <c r="S111" s="31">
        <f t="shared" si="47"/>
        <v>1</v>
      </c>
      <c r="T111" s="46" t="str">
        <f t="shared" si="33"/>
        <v>Southbound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34"/>
        <v>https://d0f6bd738d7f1b3e5a7ca70fe4ff75f0.us-east-1.aws.found.io/app/kibana#/discover/Steve-Slow-Train-Analysis-(2080s-and-2083s)?_g=(refreshInterval:(display:Off,pause:!f,section:0,value:0),time:(from:'2017-03-19T15:21:55-0600',mode:absolute,to:'2017-03-19T18:10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1" s="187" t="str">
        <f t="shared" si="35"/>
        <v>N</v>
      </c>
      <c r="X111" s="187">
        <f t="shared" si="50"/>
        <v>1</v>
      </c>
      <c r="Y111" s="62">
        <f t="shared" si="37"/>
        <v>23.3062</v>
      </c>
      <c r="Z111" s="62">
        <f t="shared" si="48"/>
        <v>1.67E-2</v>
      </c>
      <c r="AA111" s="62">
        <f t="shared" si="38"/>
        <v>23.2895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9"/>
        <v>0196-19</v>
      </c>
      <c r="AE111" s="85" t="str">
        <f t="shared" si="40"/>
        <v>aws s3 cp s3://rtdc.mdm.uploadarchive.raw/RTDC4019/ "%USERPROFILE%\AppData\Local\Temp\OnboardLogs"\RTDC4019\2017-03-19 --exclude "*" --recursive --include "*20170319*" &amp; "%USERPROFILE%\Documents\GitHub\mrs-test-scripts\Headless Mode &amp; Sideloading\WalkAndUnGZ.bat" "%USERPROFILE%\AppData\Local\Temp\OnboardLogs"\RTDC4019\2017-03-19 &amp; aws s3 cp s3://rtdc.mdm.uploadarchive.raw/RTDC4019/ "%USERPROFILE%\AppData\Local\Temp\OnboardLogs"\RTDC4019\2017-03-20 --exclude "*" --recursive --include "*20170320*" &amp; "%USERPROFILE%\Documents\GitHub\mrs-test-scripts\Headless Mode &amp; Sideloading\WalkAndUnGZ.bat" "%USERPROFILE%\AppData\Local\Temp\OnboardLogs"\RTDC4019\2017-03-20</v>
      </c>
      <c r="AF111" s="82" t="str">
        <f t="shared" si="41"/>
        <v>"C:\Program Files (x86)\AstroGrep\AstroGrep.exe" /e /r /s /spath="%USERPROFILE%\AppData\Local\Temp\OnboardLogs" /stypes="app*4019*20170319*" /stext=" 23:.+((SYSTEM_STATE.+slice.+state.+changed )|(ment ac)|(multiple cpu faults)|(system.+state.+changed )|(\[timeout)|(PRM\|1\|D)|(kpr)|(kdp)|(\|lc)|(penalty))"</v>
      </c>
      <c r="AG111" s="1" t="str">
        <f t="shared" si="42"/>
        <v>EC</v>
      </c>
      <c r="AH111" s="86" t="str">
        <f t="shared" si="43"/>
        <v>"%USERPROFILE%\Documents\GitHub\eaglep3\Utilities\RefineRTDCRunTimes.py" --tripid 196-19 --locoid 4019 --swversion DE.1.0.9.0 --startMP 204:233062 --initTime 2017-03-19T16:21:55 --startdatetime 2017-03-19T16:26:13 --delay 1 --endMP 204:167 --enddatetime 2017-03-19T17:10:56 --enforcementcount 0 &gt;&gt;%USERPROFILE%\Documents\GitHub\eaglep3-reporting\EC\2017-03-19-refined-times.txt</v>
      </c>
      <c r="AI111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{"issue":{"subject":"","project_id":79,"tracker_id":40,"status_id":1,"priority_id":2,"assigned_to_id":23,"start_date":"2017-03-19","description":"","custom_fields":[{"id":1,"name":"Subdivision","value":"EC"},{"id":4,"name":"Milepost","value":"0.0167"},{"id":17,"name":"Train ID","value":"196-19"},{"id":16,"name":"Locomotive ID","value":"4019"},{"id":130,"name":"Impact","value":""},{"id":150,"name":"Time of Event (Mountain Time)","value":"17:10:56"},{"id":151,"name":"Denver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45"/>
        <v>start /low /b %USERPROFILE%\Documents\GitHub\eaglep3\Utilities\DownloadLogsFromS3.py --loco 4019 --day 2017-03-19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"%USERPROFILE%\AppData\Local\Temp\OnboardLogs"\RTDC4019\*4019*20170319* | grep -SE "(Enforcement Action)|(\[TIMEOUT)|(CHR.+\|PRM\|1\|D.+(SWITCH|SIGNAL).+UNKNOWN)" - &gt;&gt; 2017-03-19-UncaughtWiMAX.txt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598</v>
      </c>
      <c r="B112" s="7">
        <v>4040</v>
      </c>
      <c r="C112" s="21" t="s">
        <v>221</v>
      </c>
      <c r="D112" s="21" t="s">
        <v>207</v>
      </c>
      <c r="E112" s="13">
        <v>42813.651041666664</v>
      </c>
      <c r="F112" s="13">
        <v>42813.656481481485</v>
      </c>
      <c r="G112" s="7">
        <v>2</v>
      </c>
      <c r="H112" s="21" t="s">
        <v>552</v>
      </c>
      <c r="I112" s="13">
        <v>42813.681886574072</v>
      </c>
      <c r="J112" s="7">
        <v>0</v>
      </c>
      <c r="K112" s="98" t="str">
        <f t="shared" si="31"/>
        <v>4039/4040</v>
      </c>
      <c r="L112" s="21" t="str">
        <f>VLOOKUP(A112,'Trips&amp;Operators'!$C$1:$G$99999,5,FALSE)</f>
        <v>WHITED DUSTIN</v>
      </c>
      <c r="M112" s="6">
        <f t="shared" si="49"/>
        <v>2.5405092586879618E-2</v>
      </c>
      <c r="N112" s="7">
        <f t="shared" si="46"/>
        <v>36.583333325106651</v>
      </c>
      <c r="O112" s="7"/>
      <c r="P112" s="7"/>
      <c r="Q112" s="22"/>
      <c r="R112" s="22"/>
      <c r="S112" s="31">
        <f t="shared" si="47"/>
        <v>1</v>
      </c>
      <c r="T112" s="46" t="str">
        <f t="shared" si="33"/>
        <v>NorthBound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34"/>
        <v>https://d0f6bd738d7f1b3e5a7ca70fe4ff75f0.us-east-1.aws.found.io/app/kibana#/discover/Steve-Slow-Train-Analysis-(2080s-and-2083s)?_g=(refreshInterval:(display:Off,pause:!f,section:0,value:0),time:(from:'2017-03-19T14:37:30-0600',mode:absolute,to:'2017-03-19T17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2" s="187" t="str">
        <f t="shared" si="35"/>
        <v>N</v>
      </c>
      <c r="X112" s="187">
        <f t="shared" si="50"/>
        <v>1</v>
      </c>
      <c r="Y112" s="62">
        <f t="shared" si="37"/>
        <v>4.5699999999999998E-2</v>
      </c>
      <c r="Z112" s="62">
        <f t="shared" si="48"/>
        <v>23.339099999999998</v>
      </c>
      <c r="AA112" s="62">
        <f t="shared" si="38"/>
        <v>23.293399999999998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9"/>
        <v>0197-19</v>
      </c>
      <c r="AE112" s="85" t="str">
        <f t="shared" si="40"/>
        <v>aws s3 cp s3://rtdc.mdm.uploadarchive.raw/RTDC4040/ "%USERPROFILE%\AppData\Local\Temp\OnboardLogs"\RTDC4040\2017-03-19 --exclude "*" --recursive --include "*20170319*" &amp; "%USERPROFILE%\Documents\GitHub\mrs-test-scripts\Headless Mode &amp; Sideloading\WalkAndUnGZ.bat" "%USERPROFILE%\AppData\Local\Temp\OnboardLogs"\RTDC4040\2017-03-19 &amp; 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</v>
      </c>
      <c r="AF112" s="82" t="str">
        <f t="shared" si="41"/>
        <v>"C:\Program Files (x86)\AstroGrep\AstroGrep.exe" /e /r /s /spath="%USERPROFILE%\AppData\Local\Temp\OnboardLogs" /stypes="app*4040*20170319*" /stext=" 22:.+((SYSTEM_STATE.+slice.+state.+changed )|(ment ac)|(multiple cpu faults)|(system.+state.+changed )|(\[timeout)|(PRM\|1\|D)|(kpr)|(kdp)|(\|lc)|(penalty))"</v>
      </c>
      <c r="AG112" s="1" t="str">
        <f t="shared" si="42"/>
        <v>EC</v>
      </c>
      <c r="AH112" s="86" t="str">
        <f t="shared" si="43"/>
        <v>"%USERPROFILE%\Documents\GitHub\eaglep3\Utilities\RefineRTDCRunTimes.py" --tripid 197-19 --locoid 4040 --swversion DE.1.0.9.0 --startMP 204:457 --initTime 2017-03-19T15:37:30 --startdatetime 2017-03-19T15:45:20 --delay 2 --endMP 204:233391 --enddatetime 2017-03-19T16:21:55 --enforcementcount 0 &gt;&gt;%USERPROFILE%\Documents\GitHub\eaglep3-reporting\EC\2017-03-19-refined-times.txt</v>
      </c>
      <c r="AI112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{"issue":{"subject":"","project_id":79,"tracker_id":40,"status_id":1,"priority_id":2,"assigned_to_id":23,"start_date":"2017-03-19","description":"","custom_fields":[{"id":1,"name":"Subdivision","value":"EC"},{"id":4,"name":"Milepost","value":"23.3391"},{"id":17,"name":"Train ID","value":"197-19"},{"id":16,"name":"Locomotive ID","value":"4040"},{"id":130,"name":"Impact","value":""},{"id":150,"name":"Time of Event (Mountain Time)","value":"16:21:55"},{"id":151,"name":"Denver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45"/>
        <v>start /low /b %USERPROFILE%\Documents\GitHub\eaglep3\Utilities\DownloadLogsFromS3.py --loco 4040 --day 2017-03-19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"%USERPROFILE%\AppData\Local\Temp\OnboardLogs"\RTDC4040\*4040*20170319* | grep -SE "(Enforcement Action)|(\[TIMEOUT)|(CHR.+\|PRM\|1\|D.+(SWITCH|SIGNAL).+UNKNOWN)" - &gt;&gt; 2017-03-19-UncaughtWiMAX.txt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599</v>
      </c>
      <c r="B113" s="7">
        <v>4039</v>
      </c>
      <c r="C113" s="21" t="s">
        <v>221</v>
      </c>
      <c r="D113" s="21" t="s">
        <v>894</v>
      </c>
      <c r="E113" s="13">
        <v>42813.687280092592</v>
      </c>
      <c r="F113" s="13">
        <v>42813.695381944446</v>
      </c>
      <c r="G113" s="7">
        <v>1</v>
      </c>
      <c r="H113" s="21" t="s">
        <v>895</v>
      </c>
      <c r="I113" s="13">
        <v>42813.726388888892</v>
      </c>
      <c r="J113" s="7">
        <v>0</v>
      </c>
      <c r="K113" s="98" t="str">
        <f t="shared" si="31"/>
        <v>4039/4040</v>
      </c>
      <c r="L113" s="21" t="str">
        <f>VLOOKUP(A113,'Trips&amp;Operators'!$C$1:$G$99999,5,FALSE)</f>
        <v>WHITED DUSTIN</v>
      </c>
      <c r="M113" s="6">
        <f t="shared" si="49"/>
        <v>3.1006944445834961E-2</v>
      </c>
      <c r="N113" s="7">
        <f t="shared" si="46"/>
        <v>44.650000002002344</v>
      </c>
      <c r="O113" s="7"/>
      <c r="P113" s="7"/>
      <c r="Q113" s="22"/>
      <c r="R113" s="22"/>
      <c r="S113" s="31">
        <f t="shared" si="47"/>
        <v>1</v>
      </c>
      <c r="T113" s="46" t="str">
        <f t="shared" si="33"/>
        <v>Southbound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34"/>
        <v>https://d0f6bd738d7f1b3e5a7ca70fe4ff75f0.us-east-1.aws.found.io/app/kibana#/discover/Steve-Slow-Train-Analysis-(2080s-and-2083s)?_g=(refreshInterval:(display:Off,pause:!f,section:0,value:0),time:(from:'2017-03-19T15:29:41-0600',mode:absolute,to:'2017-03-19T18:26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3" s="187" t="str">
        <f t="shared" si="35"/>
        <v>N</v>
      </c>
      <c r="X113" s="187">
        <f t="shared" si="50"/>
        <v>1</v>
      </c>
      <c r="Y113" s="62">
        <f t="shared" si="37"/>
        <v>23.3078</v>
      </c>
      <c r="Z113" s="62">
        <f t="shared" si="48"/>
        <v>1.34E-2</v>
      </c>
      <c r="AA113" s="62">
        <f t="shared" si="38"/>
        <v>23.2944</v>
      </c>
      <c r="AB113" s="59" t="str">
        <f>VLOOKUP(A113,Enforcements!$C$7:$K$13,8,0)</f>
        <v>Speed (6)</v>
      </c>
      <c r="AC113" s="55" t="str">
        <f>VLOOKUP(A113,Enforcements!$C$7:$E$13,3,0)</f>
        <v>PERMANENT SPEED RESTRICTION</v>
      </c>
      <c r="AD113" s="56" t="str">
        <f t="shared" si="39"/>
        <v>0198-19</v>
      </c>
      <c r="AE113" s="85" t="str">
        <f t="shared" si="40"/>
        <v>aws s3 cp s3://rtdc.mdm.uploadarchive.raw/RTDC4039/ "%USERPROFILE%\AppData\Local\Temp\OnboardLogs"\RTDC4039\2017-03-19 --exclude "*" --recursive --include "*20170319*" &amp; "%USERPROFILE%\Documents\GitHub\mrs-test-scripts\Headless Mode &amp; Sideloading\WalkAndUnGZ.bat" "%USERPROFILE%\AppData\Local\Temp\OnboardLogs"\RTDC4039\2017-03-19 &amp; 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</v>
      </c>
      <c r="AF113" s="82" t="str">
        <f t="shared" si="41"/>
        <v>"C:\Program Files (x86)\AstroGrep\AstroGrep.exe" /e /r /s /spath="%USERPROFILE%\AppData\Local\Temp\OnboardLogs" /stypes="app*4039*20170319*" /stext=" 23:.+((SYSTEM_STATE.+slice.+state.+changed )|(ment ac)|(multiple cpu faults)|(system.+state.+changed )|(\[timeout)|(PRM\|1\|D)|(kpr)|(kdp)|(\|lc)|(penalty))"</v>
      </c>
      <c r="AG113" s="1" t="str">
        <f t="shared" si="42"/>
        <v>EC</v>
      </c>
      <c r="AH113" s="86" t="str">
        <f t="shared" si="43"/>
        <v>"%USERPROFILE%\Documents\GitHub\eaglep3\Utilities\RefineRTDCRunTimes.py" --tripid 198-19 --locoid 4039 --swversion DE.1.0.9.0 --startMP 204:233078 --initTime 2017-03-19T16:29:41 --startdatetime 2017-03-19T16:41:21 --delay 1 --endMP 204:134 --enddatetime 2017-03-19T17:26:00 --enforcementcount 0 &gt;&gt;%USERPROFILE%\Documents\GitHub\eaglep3-reporting\EC\2017-03-19-refined-times.txt</v>
      </c>
      <c r="AI113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{"issue":{"subject":"","project_id":79,"tracker_id":40,"status_id":1,"priority_id":2,"assigned_to_id":23,"start_date":"2017-03-19","description":"","custom_fields":[{"id":1,"name":"Subdivision","value":"EC"},{"id":4,"name":"Milepost","value":"0.0134"},{"id":17,"name":"Train ID","value":"198-19"},{"id":16,"name":"Locomotive ID","value":"4039"},{"id":130,"name":"Impact","value":""},{"id":150,"name":"Time of Event (Mountain Time)","value":"17:26:00"},{"id":151,"name":"Denver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45"/>
        <v>start /low /b %USERPROFILE%\Documents\GitHub\eaglep3\Utilities\DownloadLogsFromS3.py --loco 4039 --day 2017-03-19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"%USERPROFILE%\AppData\Local\Temp\OnboardLogs"\RTDC4039\*4039*20170319* | grep -SE "(Enforcement Action)|(\[TIMEOUT)|(CHR.+\|PRM\|1\|D.+(SWITCH|SIGNAL).+UNKNOWN)" - &gt;&gt; 2017-03-19-UncaughtWiMAX.txt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x14ac:dyDescent="0.25">
      <c r="A114" s="33" t="s">
        <v>720</v>
      </c>
      <c r="B114" s="7">
        <v>4053</v>
      </c>
      <c r="C114" s="21" t="s">
        <v>221</v>
      </c>
      <c r="D114" s="21" t="s">
        <v>206</v>
      </c>
      <c r="E114" s="13">
        <v>42813.663726851853</v>
      </c>
      <c r="F114" s="13">
        <v>42813.666828703703</v>
      </c>
      <c r="G114" s="7">
        <v>2</v>
      </c>
      <c r="H114" s="21" t="s">
        <v>845</v>
      </c>
      <c r="I114" s="13">
        <v>42813.695347222223</v>
      </c>
      <c r="J114" s="7">
        <v>0</v>
      </c>
      <c r="K114" s="98" t="str">
        <f t="shared" si="31"/>
        <v>4053/4054</v>
      </c>
      <c r="L114" s="21" t="str">
        <f>VLOOKUP(A114,'Trips&amp;Operators'!$C$1:$G$99999,5,FALSE)</f>
        <v>BRANDNER MELINDA</v>
      </c>
      <c r="M114" s="6">
        <f t="shared" si="49"/>
        <v>2.8518518520286307E-2</v>
      </c>
      <c r="N114" s="7">
        <f t="shared" si="46"/>
        <v>41.066666669212282</v>
      </c>
      <c r="O114" s="7"/>
      <c r="P114" s="7"/>
      <c r="Q114" s="22"/>
      <c r="R114" s="22"/>
      <c r="S114" s="31">
        <f t="shared" si="47"/>
        <v>1</v>
      </c>
      <c r="T114" s="46" t="str">
        <f t="shared" si="33"/>
        <v>NorthBound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34"/>
        <v>https://d0f6bd738d7f1b3e5a7ca70fe4ff75f0.us-east-1.aws.found.io/app/kibana#/discover/Steve-Slow-Train-Analysis-(2080s-and-2083s)?_g=(refreshInterval:(display:Off,pause:!f,section:0,value:0),time:(from:'2017-03-19T14:55:46-0600',mode:absolute,to:'2017-03-19T17:41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4" s="187" t="str">
        <f t="shared" si="35"/>
        <v>N</v>
      </c>
      <c r="X114" s="187">
        <f t="shared" si="50"/>
        <v>1</v>
      </c>
      <c r="Y114" s="62">
        <f t="shared" si="37"/>
        <v>4.5100000000000001E-2</v>
      </c>
      <c r="Z114" s="62">
        <f t="shared" si="48"/>
        <v>23.333400000000001</v>
      </c>
      <c r="AA114" s="62">
        <f t="shared" si="38"/>
        <v>23.2883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9"/>
        <v>0199-19</v>
      </c>
      <c r="AE114" s="85" t="str">
        <f t="shared" si="40"/>
        <v>aws s3 cp s3://rtdc.mdm.uploadarchive.raw/RTDC4053/ "%USERPROFILE%\AppData\Local\Temp\OnboardLogs"\RTDC4053\2017-03-19 --exclude "*" --recursive --include "*20170319*" &amp; "%USERPROFILE%\Documents\GitHub\mrs-test-scripts\Headless Mode &amp; Sideloading\WalkAndUnGZ.bat" "%USERPROFILE%\AppData\Local\Temp\OnboardLogs"\RTDC4053\2017-03-19 &amp; aws s3 cp s3://rtdc.mdm.uploadarchive.raw/RTDC4053/ "%USERPROFILE%\AppData\Local\Temp\OnboardLogs"\RTDC4053\2017-03-20 --exclude "*" --recursive --include "*20170320*" &amp; "%USERPROFILE%\Documents\GitHub\mrs-test-scripts\Headless Mode &amp; Sideloading\WalkAndUnGZ.bat" "%USERPROFILE%\AppData\Local\Temp\OnboardLogs"\RTDC4053\2017-03-20</v>
      </c>
      <c r="AF114" s="82" t="str">
        <f t="shared" si="41"/>
        <v>"C:\Program Files (x86)\AstroGrep\AstroGrep.exe" /e /r /s /spath="%USERPROFILE%\AppData\Local\Temp\OnboardLogs" /stypes="app*4053*20170319*" /stext=" 22:.+((SYSTEM_STATE.+slice.+state.+changed )|(ment ac)|(multiple cpu faults)|(system.+state.+changed )|(\[timeout)|(PRM\|1\|D)|(kpr)|(kdp)|(\|lc)|(penalty))"</v>
      </c>
      <c r="AG114" s="1" t="str">
        <f t="shared" si="42"/>
        <v>EC</v>
      </c>
      <c r="AH114" s="86" t="str">
        <f t="shared" si="43"/>
        <v>"%USERPROFILE%\Documents\GitHub\eaglep3\Utilities\RefineRTDCRunTimes.py" --tripid 199-19 --locoid 4053 --swversion DE.1.0.9.0 --startMP 204:451 --initTime 2017-03-19T15:55:46 --startdatetime 2017-03-19T16:00:14 --delay 2 --endMP 204:233334 --enddatetime 2017-03-19T16:41:18 --enforcementcount 0 &gt;&gt;%USERPROFILE%\Documents\GitHub\eaglep3-reporting\EC\2017-03-19-refined-times.txt</v>
      </c>
      <c r="AI114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{"issue":{"subject":"","project_id":79,"tracker_id":40,"status_id":1,"priority_id":2,"assigned_to_id":23,"start_date":"2017-03-19","description":"","custom_fields":[{"id":1,"name":"Subdivision","value":"EC"},{"id":4,"name":"Milepost","value":"23.3334"},{"id":17,"name":"Train ID","value":"199-19"},{"id":16,"name":"Locomotive ID","value":"4053"},{"id":130,"name":"Impact","value":""},{"id":150,"name":"Time of Event (Mountain Time)","value":"16:41:18"},{"id":151,"name":"Denver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45"/>
        <v>start /low /b %USERPROFILE%\Documents\GitHub\eaglep3\Utilities\DownloadLogsFromS3.py --loco 4053 --day 2017-03-19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"%USERPROFILE%\AppData\Local\Temp\OnboardLogs"\RTDC4053\*4053*20170319* | grep -SE "(Enforcement Action)|(\[TIMEOUT)|(CHR.+\|PRM\|1\|D.+(SWITCH|SIGNAL).+UNKNOWN)" - &gt;&gt; 2017-03-19-UncaughtWiMAX.txt</v>
      </c>
    </row>
    <row r="115" spans="1:91" s="20" customFormat="1" x14ac:dyDescent="0.25">
      <c r="A115" s="33" t="s">
        <v>728</v>
      </c>
      <c r="B115" s="7">
        <v>4054</v>
      </c>
      <c r="C115" s="21" t="s">
        <v>221</v>
      </c>
      <c r="D115" s="21" t="s">
        <v>896</v>
      </c>
      <c r="E115" s="13">
        <v>42813.702453703707</v>
      </c>
      <c r="F115" s="13">
        <v>42813.705914351849</v>
      </c>
      <c r="G115" s="7">
        <v>1</v>
      </c>
      <c r="H115" s="21" t="s">
        <v>897</v>
      </c>
      <c r="I115" s="13">
        <v>42813.74150462963</v>
      </c>
      <c r="J115" s="7">
        <v>0</v>
      </c>
      <c r="K115" s="98" t="str">
        <f t="shared" si="31"/>
        <v>4053/4054</v>
      </c>
      <c r="L115" s="21" t="str">
        <f>VLOOKUP(A115,'Trips&amp;Operators'!$C$1:$G$99999,5,FALSE)</f>
        <v>BRANDNER MELINDA</v>
      </c>
      <c r="M115" s="6">
        <f t="shared" si="49"/>
        <v>3.5590277781011537E-2</v>
      </c>
      <c r="N115" s="7">
        <f t="shared" si="46"/>
        <v>51.250000004656613</v>
      </c>
      <c r="O115" s="7"/>
      <c r="P115" s="7"/>
      <c r="Q115" s="22"/>
      <c r="R115" s="22" t="s">
        <v>963</v>
      </c>
      <c r="S115" s="31">
        <f t="shared" si="47"/>
        <v>1</v>
      </c>
      <c r="T115" s="46" t="str">
        <f t="shared" si="33"/>
        <v>Southbound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34"/>
        <v>https://d0f6bd738d7f1b3e5a7ca70fe4ff75f0.us-east-1.aws.found.io/app/kibana#/discover/Steve-Slow-Train-Analysis-(2080s-and-2083s)?_g=(refreshInterval:(display:Off,pause:!f,section:0,value:0),time:(from:'2017-03-19T15:51:32-0600',mode:absolute,to:'2017-03-19T18:47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5" s="187" t="str">
        <f t="shared" si="35"/>
        <v>N</v>
      </c>
      <c r="X115" s="187">
        <f t="shared" si="50"/>
        <v>1</v>
      </c>
      <c r="Y115" s="62">
        <f t="shared" si="37"/>
        <v>23.3017</v>
      </c>
      <c r="Z115" s="62">
        <f t="shared" si="48"/>
        <v>1.6500000000000001E-2</v>
      </c>
      <c r="AA115" s="62">
        <f t="shared" si="38"/>
        <v>23.2852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9"/>
        <v>0200-19</v>
      </c>
      <c r="AE115" s="85" t="str">
        <f t="shared" si="40"/>
        <v>aws s3 cp s3://rtdc.mdm.uploadarchive.raw/RTDC4054/ "%USERPROFILE%\AppData\Local\Temp\OnboardLogs"\RTDC4054\2017-03-19 --exclude "*" --recursive --include "*20170319*" &amp; "%USERPROFILE%\Documents\GitHub\mrs-test-scripts\Headless Mode &amp; Sideloading\WalkAndUnGZ.bat" "%USERPROFILE%\AppData\Local\Temp\OnboardLogs"\RTDC4054\2017-03-19 &amp; aws s3 cp s3://rtdc.mdm.uploadarchive.raw/RTDC4054/ "%USERPROFILE%\AppData\Local\Temp\OnboardLogs"\RTDC4054\2017-03-20 --exclude "*" --recursive --include "*20170320*" &amp; "%USERPROFILE%\Documents\GitHub\mrs-test-scripts\Headless Mode &amp; Sideloading\WalkAndUnGZ.bat" "%USERPROFILE%\AppData\Local\Temp\OnboardLogs"\RTDC4054\2017-03-20</v>
      </c>
      <c r="AF115" s="82" t="str">
        <f t="shared" si="41"/>
        <v>"C:\Program Files (x86)\AstroGrep\AstroGrep.exe" /e /r /s /spath="%USERPROFILE%\AppData\Local\Temp\OnboardLogs" /stypes="app*4054*20170319*" /stext=" 23:.+((SYSTEM_STATE.+slice.+state.+changed )|(ment ac)|(multiple cpu faults)|(system.+state.+changed )|(\[timeout)|(PRM\|1\|D)|(kpr)|(kdp)|(\|lc)|(penalty))"</v>
      </c>
      <c r="AG115" s="1" t="str">
        <f t="shared" si="42"/>
        <v>EC</v>
      </c>
      <c r="AH115" s="86" t="str">
        <f t="shared" si="43"/>
        <v>"%USERPROFILE%\Documents\GitHub\eaglep3\Utilities\RefineRTDCRunTimes.py" --tripid 200-19 --locoid 4054 --swversion DE.1.0.9.0 --startMP 204:233017 --initTime 2017-03-19T16:51:32 --startdatetime 2017-03-19T16:56:31 --delay 1 --endMP 204:165 --enddatetime 2017-03-19T17:47:46 --enforcementcount 0 &gt;&gt;%USERPROFILE%\Documents\GitHub\eaglep3-reporting\EC\2017-03-19-refined-times.txt</v>
      </c>
      <c r="AI115" s="108" t="str">
        <f t="shared" si="44"/>
        <v>echo {"issue":{"subject":"Emergency braking delayed trip","project_id":79,"tracker_id":40,"status_id":1,"priority_id":2,"assigned_to_id":23,"start_date":"2017-03-19","description":"","custom_fields":[{"id":1,"name":"Subdivision","value":"EC"},{"id":4,"name":"Milepost","value":"0.0165"},{"id":17,"name":"Train ID","value":"200-19"},{"id":16,"name":"Locomotive ID","value":"4054"},{"id":130,"name":"Impact","value":""},{"id":150,"name":"Time of Event (Mountain Time)","value":"17:47:46"},{"id":151,"name":"Denver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45"/>
        <v>start /low /b %USERPROFILE%\Documents\GitHub\eaglep3\Utilities\DownloadLogsFromS3.py --loco 4054 --day 2017-03-19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"%USERPROFILE%\AppData\Local\Temp\OnboardLogs"\RTDC4054\*4054*20170319* | grep -SE "(Enforcement Action)|(\[TIMEOUT)|(CHR.+\|PRM\|1\|D.+(SWITCH|SIGNAL).+UNKNOWN)" - &gt;&gt; 2017-03-19-UncaughtWiMAX.txt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x14ac:dyDescent="0.25">
      <c r="A116" s="33" t="s">
        <v>722</v>
      </c>
      <c r="B116" s="7">
        <v>4003</v>
      </c>
      <c r="C116" s="21" t="s">
        <v>221</v>
      </c>
      <c r="D116" s="21" t="s">
        <v>898</v>
      </c>
      <c r="E116" s="13">
        <v>42813.674317129633</v>
      </c>
      <c r="F116" s="13">
        <v>42813.677361111113</v>
      </c>
      <c r="G116" s="7">
        <v>1</v>
      </c>
      <c r="H116" s="21" t="s">
        <v>223</v>
      </c>
      <c r="I116" s="13">
        <v>42813.703750000001</v>
      </c>
      <c r="J116" s="7">
        <v>0</v>
      </c>
      <c r="K116" s="98" t="str">
        <f t="shared" si="31"/>
        <v>4003/4004</v>
      </c>
      <c r="L116" s="21" t="str">
        <f>VLOOKUP(A116,'Trips&amp;Operators'!$C$1:$G$99999,5,FALSE)</f>
        <v>STEWART MICHAEL</v>
      </c>
      <c r="M116" s="6">
        <f t="shared" si="49"/>
        <v>2.6388888887595385E-2</v>
      </c>
      <c r="N116" s="7">
        <f t="shared" si="46"/>
        <v>37.999999998137355</v>
      </c>
      <c r="O116" s="7"/>
      <c r="P116" s="7"/>
      <c r="Q116" s="22"/>
      <c r="R116" s="22"/>
      <c r="S116" s="31">
        <f t="shared" si="47"/>
        <v>1</v>
      </c>
      <c r="T116" s="46" t="str">
        <f t="shared" si="33"/>
        <v>NorthBound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34"/>
        <v>https://d0f6bd738d7f1b3e5a7ca70fe4ff75f0.us-east-1.aws.found.io/app/kibana#/discover/Steve-Slow-Train-Analysis-(2080s-and-2083s)?_g=(refreshInterval:(display:Off,pause:!f,section:0,value:0),time:(from:'2017-03-19T15:11:01-0600',mode:absolute,to:'2017-03-19T17:53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6" s="187" t="str">
        <f t="shared" si="35"/>
        <v>N</v>
      </c>
      <c r="X116" s="187">
        <f t="shared" si="50"/>
        <v>1</v>
      </c>
      <c r="Y116" s="62">
        <f t="shared" si="37"/>
        <v>4.8399999999999999E-2</v>
      </c>
      <c r="Z116" s="62">
        <f t="shared" si="48"/>
        <v>23.329699999999999</v>
      </c>
      <c r="AA116" s="62">
        <f t="shared" si="38"/>
        <v>23.281299999999998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9"/>
        <v>0201-19</v>
      </c>
      <c r="AE116" s="85" t="str">
        <f t="shared" si="40"/>
        <v>aws s3 cp s3://rtdc.mdm.uploadarchive.raw/RTDC4003/ "%USERPROFILE%\AppData\Local\Temp\OnboardLogs"\RTDC4003\2017-03-19 --exclude "*" --recursive --include "*20170319*" &amp; "%USERPROFILE%\Documents\GitHub\mrs-test-scripts\Headless Mode &amp; Sideloading\WalkAndUnGZ.bat" "%USERPROFILE%\AppData\Local\Temp\OnboardLogs"\RTDC4003\2017-03-19 &amp; 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</v>
      </c>
      <c r="AF116" s="82" t="str">
        <f t="shared" si="41"/>
        <v>"C:\Program Files (x86)\AstroGrep\AstroGrep.exe" /e /r /s /spath="%USERPROFILE%\AppData\Local\Temp\OnboardLogs" /stypes="app*4003*20170319*" /stext=" 22:.+((SYSTEM_STATE.+slice.+state.+changed )|(ment ac)|(multiple cpu faults)|(system.+state.+changed )|(\[timeout)|(PRM\|1\|D)|(kpr)|(kdp)|(\|lc)|(penalty))"</v>
      </c>
      <c r="AG116" s="1" t="str">
        <f t="shared" si="42"/>
        <v>EC</v>
      </c>
      <c r="AH116" s="86" t="str">
        <f t="shared" si="43"/>
        <v>"%USERPROFILE%\Documents\GitHub\eaglep3\Utilities\RefineRTDCRunTimes.py" --tripid 201-19 --locoid 4003 --swversion DE.1.0.9.0 --startMP 204:484 --initTime 2017-03-19T16:11:01 --startdatetime 2017-03-19T16:15:24 --delay 1 --endMP 204:233297 --enddatetime 2017-03-19T16:53:24 --enforcementcount 0 &gt;&gt;%USERPROFILE%\Documents\GitHub\eaglep3-reporting\EC\2017-03-19-refined-times.txt</v>
      </c>
      <c r="AI116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{"issue":{"subject":"","project_id":79,"tracker_id":40,"status_id":1,"priority_id":2,"assigned_to_id":23,"start_date":"2017-03-19","description":"","custom_fields":[{"id":1,"name":"Subdivision","value":"EC"},{"id":4,"name":"Milepost","value":"23.3297"},{"id":17,"name":"Train ID","value":"201-19"},{"id":16,"name":"Locomotive ID","value":"4003"},{"id":130,"name":"Impact","value":""},{"id":150,"name":"Time of Event (Mountain Time)","value":"16:53:24"},{"id":151,"name":"Denver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45"/>
        <v>start /low /b %USERPROFILE%\Documents\GitHub\eaglep3\Utilities\DownloadLogsFromS3.py --loco 4003 --day 2017-03-19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"%USERPROFILE%\AppData\Local\Temp\OnboardLogs"\RTDC4003\*4003*20170319* | grep -SE "(Enforcement Action)|(\[TIMEOUT)|(CHR.+\|PRM\|1\|D.+(SWITCH|SIGNAL).+UNKNOWN)" - &gt;&gt; 2017-03-19-UncaughtWiMAX.txt</v>
      </c>
    </row>
    <row r="117" spans="1:91" s="20" customFormat="1" x14ac:dyDescent="0.25">
      <c r="A117" s="33" t="s">
        <v>730</v>
      </c>
      <c r="B117" s="7">
        <v>4004</v>
      </c>
      <c r="C117" s="21" t="s">
        <v>221</v>
      </c>
      <c r="D117" s="21" t="s">
        <v>899</v>
      </c>
      <c r="E117" s="13">
        <v>42813.712569444448</v>
      </c>
      <c r="F117" s="13">
        <v>42813.71634259259</v>
      </c>
      <c r="G117" s="7">
        <v>1</v>
      </c>
      <c r="H117" s="21" t="s">
        <v>199</v>
      </c>
      <c r="I117" s="13">
        <v>42813.745185185187</v>
      </c>
      <c r="J117" s="7">
        <v>0</v>
      </c>
      <c r="K117" s="98" t="str">
        <f t="shared" si="31"/>
        <v>4003/4004</v>
      </c>
      <c r="L117" s="21" t="str">
        <f>VLOOKUP(A117,'Trips&amp;Operators'!$C$1:$G$99999,5,FALSE)</f>
        <v>STEWART MICHAEL</v>
      </c>
      <c r="M117" s="6">
        <f t="shared" si="49"/>
        <v>2.8842592597356997E-2</v>
      </c>
      <c r="N117" s="7">
        <f t="shared" si="46"/>
        <v>41.533333340194076</v>
      </c>
      <c r="O117" s="7"/>
      <c r="P117" s="7"/>
      <c r="Q117" s="22"/>
      <c r="R117" s="22"/>
      <c r="S117" s="31">
        <f t="shared" si="47"/>
        <v>1</v>
      </c>
      <c r="T117" s="46" t="str">
        <f t="shared" si="33"/>
        <v>Southbound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34"/>
        <v>https://d0f6bd738d7f1b3e5a7ca70fe4ff75f0.us-east-1.aws.found.io/app/kibana#/discover/Steve-Slow-Train-Analysis-(2080s-and-2083s)?_g=(refreshInterval:(display:Off,pause:!f,section:0,value:0),time:(from:'2017-03-19T16:06:06-0600',mode:absolute,to:'2017-03-19T18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7" s="187" t="str">
        <f t="shared" si="35"/>
        <v>N</v>
      </c>
      <c r="X117" s="187">
        <f t="shared" si="50"/>
        <v>1</v>
      </c>
      <c r="Y117" s="62">
        <f t="shared" si="37"/>
        <v>23.296900000000001</v>
      </c>
      <c r="Z117" s="62">
        <f t="shared" si="48"/>
        <v>1.5800000000000002E-2</v>
      </c>
      <c r="AA117" s="62">
        <f t="shared" si="38"/>
        <v>23.281100000000002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9"/>
        <v>0202-19</v>
      </c>
      <c r="AE117" s="85" t="str">
        <f t="shared" si="40"/>
        <v>aws s3 cp s3://rtdc.mdm.uploadarchive.raw/RTDC4004/ "%USERPROFILE%\AppData\Local\Temp\OnboardLogs"\RTDC4004\2017-03-19 --exclude "*" --recursive --include "*20170319*" &amp; "%USERPROFILE%\Documents\GitHub\mrs-test-scripts\Headless Mode &amp; Sideloading\WalkAndUnGZ.bat" "%USERPROFILE%\AppData\Local\Temp\OnboardLogs"\RTDC4004\2017-03-19 &amp; 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</v>
      </c>
      <c r="AF117" s="82" t="str">
        <f t="shared" si="41"/>
        <v>"C:\Program Files (x86)\AstroGrep\AstroGrep.exe" /e /r /s /spath="%USERPROFILE%\AppData\Local\Temp\OnboardLogs" /stypes="app*4004*20170319*" /stext=" 23:.+((SYSTEM_STATE.+slice.+state.+changed )|(ment ac)|(multiple cpu faults)|(system.+state.+changed )|(\[timeout)|(PRM\|1\|D)|(kpr)|(kdp)|(\|lc)|(penalty))"</v>
      </c>
      <c r="AG117" s="1" t="str">
        <f t="shared" si="42"/>
        <v>EC</v>
      </c>
      <c r="AH117" s="86" t="str">
        <f t="shared" si="43"/>
        <v>"%USERPROFILE%\Documents\GitHub\eaglep3\Utilities\RefineRTDCRunTimes.py" --tripid 202-19 --locoid 4004 --swversion DE.1.0.9.0 --startMP 204:232969 --initTime 2017-03-19T17:06:06 --startdatetime 2017-03-19T17:11:32 --delay 1 --endMP 204:158 --enddatetime 2017-03-19T17:53:04 --enforcementcount 0 &gt;&gt;%USERPROFILE%\Documents\GitHub\eaglep3-reporting\EC\2017-03-19-refined-times.txt</v>
      </c>
      <c r="AI117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{"issue":{"subject":"","project_id":79,"tracker_id":40,"status_id":1,"priority_id":2,"assigned_to_id":23,"start_date":"2017-03-19","description":"","custom_fields":[{"id":1,"name":"Subdivision","value":"EC"},{"id":4,"name":"Milepost","value":"0.0158"},{"id":17,"name":"Train ID","value":"202-19"},{"id":16,"name":"Locomotive ID","value":"4004"},{"id":130,"name":"Impact","value":""},{"id":150,"name":"Time of Event (Mountain Time)","value":"17:53:04"},{"id":151,"name":"Denver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45"/>
        <v>start /low /b %USERPROFILE%\Documents\GitHub\eaglep3\Utilities\DownloadLogsFromS3.py --loco 4004 --day 2017-03-19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"%USERPROFILE%\AppData\Local\Temp\OnboardLogs"\RTDC4004\*4004*20170319* | grep -SE "(Enforcement Action)|(\[TIMEOUT)|(CHR.+\|PRM\|1\|D.+(SWITCH|SIGNAL).+UNKNOWN)" - &gt;&gt; 2017-03-19-UncaughtWiMAX.txt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725</v>
      </c>
      <c r="B118" s="7">
        <v>4002</v>
      </c>
      <c r="C118" s="21" t="s">
        <v>221</v>
      </c>
      <c r="D118" s="21" t="s">
        <v>217</v>
      </c>
      <c r="E118" s="13">
        <v>42813.687314814815</v>
      </c>
      <c r="F118" s="13">
        <v>42813.688842592594</v>
      </c>
      <c r="G118" s="7">
        <v>1</v>
      </c>
      <c r="H118" s="21" t="s">
        <v>564</v>
      </c>
      <c r="I118" s="13">
        <v>42813.717743055553</v>
      </c>
      <c r="J118" s="7">
        <v>0</v>
      </c>
      <c r="K118" s="98" t="str">
        <f t="shared" si="31"/>
        <v>4001/4002</v>
      </c>
      <c r="L118" s="21" t="str">
        <f>VLOOKUP(A118,'Trips&amp;Operators'!$C$1:$G$99999,5,FALSE)</f>
        <v>DAVIS MICHAEL</v>
      </c>
      <c r="M118" s="6">
        <f t="shared" si="49"/>
        <v>2.8900462959427387E-2</v>
      </c>
      <c r="N118" s="7">
        <f t="shared" si="46"/>
        <v>41.616666661575437</v>
      </c>
      <c r="O118" s="7"/>
      <c r="P118" s="7"/>
      <c r="Q118" s="22"/>
      <c r="R118" s="22"/>
      <c r="S118" s="31">
        <f t="shared" si="47"/>
        <v>1</v>
      </c>
      <c r="T118" s="46" t="str">
        <f t="shared" si="33"/>
        <v>NorthBound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34"/>
        <v>https://d0f6bd738d7f1b3e5a7ca70fe4ff75f0.us-east-1.aws.found.io/app/kibana#/discover/Steve-Slow-Train-Analysis-(2080s-and-2083s)?_g=(refreshInterval:(display:Off,pause:!f,section:0,value:0),time:(from:'2017-03-19T15:29:44-0600',mode:absolute,to:'2017-03-19T18:13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8" s="187" t="str">
        <f t="shared" si="35"/>
        <v>N</v>
      </c>
      <c r="X118" s="187">
        <f t="shared" si="50"/>
        <v>1</v>
      </c>
      <c r="Y118" s="62">
        <f t="shared" si="37"/>
        <v>4.4699999999999997E-2</v>
      </c>
      <c r="Z118" s="62">
        <f t="shared" si="48"/>
        <v>23.3276</v>
      </c>
      <c r="AA118" s="62">
        <f t="shared" si="38"/>
        <v>23.282900000000001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9"/>
        <v>0203-19</v>
      </c>
      <c r="AE118" s="85" t="str">
        <f t="shared" si="40"/>
        <v>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 &amp; 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</v>
      </c>
      <c r="AF118" s="82" t="str">
        <f t="shared" si="41"/>
        <v>"C:\Program Files (x86)\AstroGrep\AstroGrep.exe" /e /r /s /spath="%USERPROFILE%\AppData\Local\Temp\OnboardLogs" /stypes="app*4002*20170319*" /stext=" 23:.+((SYSTEM_STATE.+slice.+state.+changed )|(ment ac)|(multiple cpu faults)|(system.+state.+changed )|(\[timeout)|(PRM\|1\|D)|(kpr)|(kdp)|(\|lc)|(penalty))"</v>
      </c>
      <c r="AG118" s="1" t="str">
        <f t="shared" si="42"/>
        <v>EC</v>
      </c>
      <c r="AH118" s="86" t="str">
        <f t="shared" si="43"/>
        <v>"%USERPROFILE%\Documents\GitHub\eaglep3\Utilities\RefineRTDCRunTimes.py" --tripid 203-19 --locoid 4002 --swversion DE.1.0.9.0 --startMP 204:447 --initTime 2017-03-19T16:29:44 --startdatetime 2017-03-19T16:31:56 --delay 1 --endMP 204:233276 --enddatetime 2017-03-19T17:13:33 --enforcementcount 0 &gt;&gt;%USERPROFILE%\Documents\GitHub\eaglep3-reporting\EC\2017-03-19-refined-times.txt</v>
      </c>
      <c r="AI118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{"issue":{"subject":"","project_id":79,"tracker_id":40,"status_id":1,"priority_id":2,"assigned_to_id":23,"start_date":"2017-03-19","description":"","custom_fields":[{"id":1,"name":"Subdivision","value":"EC"},{"id":4,"name":"Milepost","value":"23.3276"},{"id":17,"name":"Train ID","value":"203-19"},{"id":16,"name":"Locomotive ID","value":"4002"},{"id":130,"name":"Impact","value":""},{"id":150,"name":"Time of Event (Mountain Time)","value":"17:13:33"},{"id":151,"name":"Denver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45"/>
        <v>start /low /b %USERPROFILE%\Documents\GitHub\eaglep3\Utilities\DownloadLogsFromS3.py --loco 4002 --day 2017-03-19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"%USERPROFILE%\AppData\Local\Temp\OnboardLogs"\RTDC4002\*4002*20170319* | grep -SE "(Enforcement Action)|(\[TIMEOUT)|(CHR.+\|PRM\|1\|D.+(SWITCH|SIGNAL).+UNKNOWN)" - &gt;&gt; 2017-03-19-UncaughtWiMAX.txt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735</v>
      </c>
      <c r="B119" s="7">
        <v>4001</v>
      </c>
      <c r="C119" s="21" t="s">
        <v>221</v>
      </c>
      <c r="D119" s="21" t="s">
        <v>555</v>
      </c>
      <c r="E119" s="13">
        <v>42813.72451388889</v>
      </c>
      <c r="F119" s="13">
        <v>42813.727407407408</v>
      </c>
      <c r="G119" s="7">
        <v>1</v>
      </c>
      <c r="H119" s="21" t="s">
        <v>198</v>
      </c>
      <c r="I119" s="13">
        <v>42813.757337962961</v>
      </c>
      <c r="J119" s="7">
        <v>0</v>
      </c>
      <c r="K119" s="98" t="str">
        <f t="shared" si="31"/>
        <v>4001/4002</v>
      </c>
      <c r="L119" s="21" t="str">
        <f>VLOOKUP(A119,'Trips&amp;Operators'!$C$1:$G$99999,5,FALSE)</f>
        <v>DAVIS MICHAEL</v>
      </c>
      <c r="M119" s="6">
        <f t="shared" si="49"/>
        <v>2.9930555552709848E-2</v>
      </c>
      <c r="N119" s="7">
        <f t="shared" si="46"/>
        <v>43.099999995902181</v>
      </c>
      <c r="O119" s="7"/>
      <c r="P119" s="7"/>
      <c r="Q119" s="22"/>
      <c r="R119" s="22"/>
      <c r="S119" s="31">
        <f t="shared" si="47"/>
        <v>1</v>
      </c>
      <c r="T119" s="46" t="str">
        <f t="shared" si="33"/>
        <v>Southbound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34"/>
        <v>https://d0f6bd738d7f1b3e5a7ca70fe4ff75f0.us-east-1.aws.found.io/app/kibana#/discover/Steve-Slow-Train-Analysis-(2080s-and-2083s)?_g=(refreshInterval:(display:Off,pause:!f,section:0,value:0),time:(from:'2017-03-19T16:23:18-0600',mode:absolute,to:'2017-03-19T19:10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9" s="187" t="str">
        <f t="shared" si="35"/>
        <v>N</v>
      </c>
      <c r="X119" s="187">
        <f t="shared" si="50"/>
        <v>1</v>
      </c>
      <c r="Y119" s="62">
        <f t="shared" si="37"/>
        <v>23.299299999999999</v>
      </c>
      <c r="Z119" s="62">
        <f t="shared" si="48"/>
        <v>1.52E-2</v>
      </c>
      <c r="AA119" s="62">
        <f t="shared" si="38"/>
        <v>23.284099999999999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9"/>
        <v>0204-19</v>
      </c>
      <c r="AE119" s="85" t="str">
        <f t="shared" si="40"/>
        <v>aws s3 cp s3://rtdc.mdm.uploadarchive.raw/RTDC4001/ "%USERPROFILE%\AppData\Local\Temp\OnboardLogs"\RTDC4001\2017-03-19 --exclude "*" --recursive --include "*20170319*" &amp; "%USERPROFILE%\Documents\GitHub\mrs-test-scripts\Headless Mode &amp; Sideloading\WalkAndUnGZ.bat" "%USERPROFILE%\AppData\Local\Temp\OnboardLogs"\RTDC4001\2017-03-19 &amp; aws s3 cp s3://rtdc.mdm.uploadarchive.raw/RTDC4001/ "%USERPROFILE%\AppData\Local\Temp\OnboardLogs"\RTDC4001\2017-03-20 --exclude "*" --recursive --include "*20170320*" &amp; "%USERPROFILE%\Documents\GitHub\mrs-test-scripts\Headless Mode &amp; Sideloading\WalkAndUnGZ.bat" "%USERPROFILE%\AppData\Local\Temp\OnboardLogs"\RTDC4001\2017-03-20</v>
      </c>
      <c r="AF119" s="82" t="str">
        <f t="shared" si="41"/>
        <v>"C:\Program Files (x86)\AstroGrep\AstroGrep.exe" /e /r /s /spath="%USERPROFILE%\AppData\Local\Temp\OnboardLogs" /stypes="app*4001*20170320*" /stext=" 00:.+((SYSTEM_STATE.+slice.+state.+changed )|(ment ac)|(multiple cpu faults)|(system.+state.+changed )|(\[timeout)|(PRM\|1\|D)|(kpr)|(kdp)|(\|lc)|(penalty))"</v>
      </c>
      <c r="AG119" s="1" t="str">
        <f t="shared" si="42"/>
        <v>EC</v>
      </c>
      <c r="AH119" s="86" t="str">
        <f t="shared" si="43"/>
        <v>"%USERPROFILE%\Documents\GitHub\eaglep3\Utilities\RefineRTDCRunTimes.py" --tripid 204-19 --locoid 4001 --swversion DE.1.0.9.0 --startMP 204:232993 --initTime 2017-03-19T17:23:18 --startdatetime 2017-03-19T17:27:28 --delay 1 --endMP 204:152 --enddatetime 2017-03-19T18:10:34 --enforcementcount 0 &gt;&gt;%USERPROFILE%\Documents\GitHub\eaglep3-reporting\EC\2017-03-19-refined-times.txt</v>
      </c>
      <c r="AI119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{"issue":{"subject":"","project_id":79,"tracker_id":40,"status_id":1,"priority_id":2,"assigned_to_id":23,"start_date":"2017-03-19","description":"","custom_fields":[{"id":1,"name":"Subdivision","value":"EC"},{"id":4,"name":"Milepost","value":"0.0152"},{"id":17,"name":"Train ID","value":"204-19"},{"id":16,"name":"Locomotive ID","value":"4001"},{"id":130,"name":"Impact","value":""},{"id":150,"name":"Time of Event (Mountain Time)","value":"18:10:34"},{"id":151,"name":"Denver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45"/>
        <v>start /low /b %USERPROFILE%\Documents\GitHub\eaglep3\Utilities\DownloadLogsFromS3.py --loco 4001 --day 2017-03-19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"%USERPROFILE%\AppData\Local\Temp\OnboardLogs"\RTDC4001\*4001*20170319* | grep -SE "(Enforcement Action)|(\[TIMEOUT)|(CHR.+\|PRM\|1\|D.+(SWITCH|SIGNAL).+UNKNOWN)" - &gt;&gt; 2017-03-19-UncaughtWiMAX.txt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727</v>
      </c>
      <c r="B120" s="7">
        <v>4016</v>
      </c>
      <c r="C120" s="21" t="s">
        <v>221</v>
      </c>
      <c r="D120" s="21" t="s">
        <v>207</v>
      </c>
      <c r="E120" s="13">
        <v>42813.694560185184</v>
      </c>
      <c r="F120" s="13">
        <v>42813.69809027778</v>
      </c>
      <c r="G120" s="7">
        <v>2</v>
      </c>
      <c r="H120" s="21" t="s">
        <v>567</v>
      </c>
      <c r="I120" s="13">
        <v>42813.724745370368</v>
      </c>
      <c r="J120" s="7">
        <v>0</v>
      </c>
      <c r="K120" s="98" t="str">
        <f t="shared" si="31"/>
        <v>4015/4016</v>
      </c>
      <c r="L120" s="21" t="str">
        <f>VLOOKUP(A120,'Trips&amp;Operators'!$C$1:$G$99999,5,FALSE)</f>
        <v>LEVIN SCOTT</v>
      </c>
      <c r="M120" s="6">
        <f t="shared" si="49"/>
        <v>2.6655092588043772E-2</v>
      </c>
      <c r="N120" s="7">
        <f t="shared" si="46"/>
        <v>38.383333326783031</v>
      </c>
      <c r="O120" s="7"/>
      <c r="P120" s="7"/>
      <c r="Q120" s="22"/>
      <c r="R120" s="22"/>
      <c r="S120" s="31">
        <f t="shared" si="47"/>
        <v>1</v>
      </c>
      <c r="T120" s="46" t="str">
        <f t="shared" si="33"/>
        <v>NorthBound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34"/>
        <v>https://d0f6bd738d7f1b3e5a7ca70fe4ff75f0.us-east-1.aws.found.io/app/kibana#/discover/Steve-Slow-Train-Analysis-(2080s-and-2083s)?_g=(refreshInterval:(display:Off,pause:!f,section:0,value:0),time:(from:'2017-03-19T15:40:10-0600',mode:absolute,to:'2017-03-19T18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0" s="187" t="str">
        <f t="shared" si="35"/>
        <v>N</v>
      </c>
      <c r="X120" s="187">
        <f t="shared" si="50"/>
        <v>1</v>
      </c>
      <c r="Y120" s="62">
        <f t="shared" si="37"/>
        <v>4.5699999999999998E-2</v>
      </c>
      <c r="Z120" s="62">
        <f t="shared" si="48"/>
        <v>23.332599999999999</v>
      </c>
      <c r="AA120" s="62">
        <f t="shared" si="38"/>
        <v>23.286899999999999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9"/>
        <v>0205-19</v>
      </c>
      <c r="AE120" s="85" t="str">
        <f t="shared" si="40"/>
        <v>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 &amp; 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</v>
      </c>
      <c r="AF120" s="82" t="str">
        <f t="shared" si="41"/>
        <v>"C:\Program Files (x86)\AstroGrep\AstroGrep.exe" /e /r /s /spath="%USERPROFILE%\AppData\Local\Temp\OnboardLogs" /stypes="app*4016*20170319*" /stext=" 23:.+((SYSTEM_STATE.+slice.+state.+changed )|(ment ac)|(multiple cpu faults)|(system.+state.+changed )|(\[timeout)|(PRM\|1\|D)|(kpr)|(kdp)|(\|lc)|(penalty))"</v>
      </c>
      <c r="AG120" s="1" t="str">
        <f t="shared" si="42"/>
        <v>EC</v>
      </c>
      <c r="AH120" s="86" t="str">
        <f t="shared" si="43"/>
        <v>"%USERPROFILE%\Documents\GitHub\eaglep3\Utilities\RefineRTDCRunTimes.py" --tripid 205-19 --locoid 4016 --swversion DE.1.0.9.0 --startMP 204:457 --initTime 2017-03-19T16:40:10 --startdatetime 2017-03-19T16:45:15 --delay 2 --endMP 204:233326 --enddatetime 2017-03-19T17:23:38 --enforcementcount 0 &gt;&gt;%USERPROFILE%\Documents\GitHub\eaglep3-reporting\EC\2017-03-19-refined-times.txt</v>
      </c>
      <c r="AI120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{"issue":{"subject":"","project_id":79,"tracker_id":40,"status_id":1,"priority_id":2,"assigned_to_id":23,"start_date":"2017-03-19","description":"","custom_fields":[{"id":1,"name":"Subdivision","value":"EC"},{"id":4,"name":"Milepost","value":"23.3326"},{"id":17,"name":"Train ID","value":"205-19"},{"id":16,"name":"Locomotive ID","value":"4016"},{"id":130,"name":"Impact","value":""},{"id":150,"name":"Time of Event (Mountain Time)","value":"17:23:38"},{"id":151,"name":"Denver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45"/>
        <v>start /low /b %USERPROFILE%\Documents\GitHub\eaglep3\Utilities\DownloadLogsFromS3.py --loco 4016 --day 2017-03-19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"%USERPROFILE%\AppData\Local\Temp\OnboardLogs"\RTDC4016\*4016*20170319* | grep -SE "(Enforcement Action)|(\[TIMEOUT)|(CHR.+\|PRM\|1\|D.+(SWITCH|SIGNAL).+UNKNOWN)" - &gt;&gt; 2017-03-19-UncaughtWiMAX.txt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739</v>
      </c>
      <c r="B121" s="7">
        <v>4015</v>
      </c>
      <c r="C121" s="21" t="s">
        <v>221</v>
      </c>
      <c r="D121" s="21" t="s">
        <v>896</v>
      </c>
      <c r="E121" s="13">
        <v>42813.729907407411</v>
      </c>
      <c r="F121" s="13">
        <v>42813.737962962965</v>
      </c>
      <c r="G121" s="7">
        <v>1</v>
      </c>
      <c r="H121" s="21" t="s">
        <v>213</v>
      </c>
      <c r="I121" s="13">
        <v>42813.766053240739</v>
      </c>
      <c r="J121" s="7">
        <v>0</v>
      </c>
      <c r="K121" s="98" t="str">
        <f t="shared" si="31"/>
        <v>4015/4016</v>
      </c>
      <c r="L121" s="21" t="str">
        <f>VLOOKUP(A121,'Trips&amp;Operators'!$C$1:$G$99999,5,FALSE)</f>
        <v>LEVIN SCOTT</v>
      </c>
      <c r="M121" s="6">
        <f t="shared" si="49"/>
        <v>2.8090277774026617E-2</v>
      </c>
      <c r="N121" s="7">
        <f t="shared" si="46"/>
        <v>40.449999994598329</v>
      </c>
      <c r="O121" s="7"/>
      <c r="P121" s="7"/>
      <c r="Q121" s="22"/>
      <c r="R121" s="22"/>
      <c r="S121" s="31">
        <f t="shared" si="47"/>
        <v>1</v>
      </c>
      <c r="T121" s="46" t="str">
        <f t="shared" si="33"/>
        <v>Southbound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34"/>
        <v>https://d0f6bd738d7f1b3e5a7ca70fe4ff75f0.us-east-1.aws.found.io/app/kibana#/discover/Steve-Slow-Train-Analysis-(2080s-and-2083s)?_g=(refreshInterval:(display:Off,pause:!f,section:0,value:0),time:(from:'2017-03-19T16:31:04-0600',mode:absolute,to:'2017-03-19T19:23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1" s="187" t="str">
        <f t="shared" si="35"/>
        <v>N</v>
      </c>
      <c r="X121" s="187">
        <f t="shared" si="50"/>
        <v>1</v>
      </c>
      <c r="Y121" s="62">
        <f t="shared" si="37"/>
        <v>23.3017</v>
      </c>
      <c r="Z121" s="62">
        <f t="shared" si="48"/>
        <v>1.41E-2</v>
      </c>
      <c r="AA121" s="62">
        <f t="shared" si="38"/>
        <v>23.287600000000001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9"/>
        <v>0206-19</v>
      </c>
      <c r="AE121" s="85" t="str">
        <f t="shared" si="40"/>
        <v>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 &amp; 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</v>
      </c>
      <c r="AF121" s="82" t="str">
        <f t="shared" si="41"/>
        <v>"C:\Program Files (x86)\AstroGrep\AstroGrep.exe" /e /r /s /spath="%USERPROFILE%\AppData\Local\Temp\OnboardLogs" /stypes="app*4015*20170320*" /stext=" 00:.+((SYSTEM_STATE.+slice.+state.+changed )|(ment ac)|(multiple cpu faults)|(system.+state.+changed )|(\[timeout)|(PRM\|1\|D)|(kpr)|(kdp)|(\|lc)|(penalty))"</v>
      </c>
      <c r="AG121" s="1" t="str">
        <f t="shared" si="42"/>
        <v>EC</v>
      </c>
      <c r="AH121" s="86" t="str">
        <f t="shared" si="43"/>
        <v>"%USERPROFILE%\Documents\GitHub\eaglep3\Utilities\RefineRTDCRunTimes.py" --tripid 206-19 --locoid 4015 --swversion DE.1.0.9.0 --startMP 204:233017 --initTime 2017-03-19T17:31:04 --startdatetime 2017-03-19T17:42:40 --delay 1 --endMP 204:141 --enddatetime 2017-03-19T18:23:07 --enforcementcount 0 &gt;&gt;%USERPROFILE%\Documents\GitHub\eaglep3-reporting\EC\2017-03-19-refined-times.txt</v>
      </c>
      <c r="AI121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{"issue":{"subject":"","project_id":79,"tracker_id":40,"status_id":1,"priority_id":2,"assigned_to_id":23,"start_date":"2017-03-19","description":"","custom_fields":[{"id":1,"name":"Subdivision","value":"EC"},{"id":4,"name":"Milepost","value":"0.0141"},{"id":17,"name":"Train ID","value":"206-19"},{"id":16,"name":"Locomotive ID","value":"4015"},{"id":130,"name":"Impact","value":""},{"id":150,"name":"Time of Event (Mountain Time)","value":"18:23:07"},{"id":151,"name":"Denver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45"/>
        <v>start /low /b %USERPROFILE%\Documents\GitHub\eaglep3\Utilities\DownloadLogsFromS3.py --loco 4015 --day 2017-03-19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"%USERPROFILE%\AppData\Local\Temp\OnboardLogs"\RTDC4015\*4015*20170320* | grep -SE "(Enforcement Action)|(\[TIMEOUT)|(CHR.+\|PRM\|1\|D.+(SWITCH|SIGNAL).+UNKNOWN)" - &gt;&gt; 2017-03-19-UncaughtWiMAX.txt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729</v>
      </c>
      <c r="B122" s="7">
        <v>4025</v>
      </c>
      <c r="C122" s="21" t="s">
        <v>221</v>
      </c>
      <c r="D122" s="21" t="s">
        <v>900</v>
      </c>
      <c r="E122" s="13">
        <v>42813.70484953704</v>
      </c>
      <c r="F122" s="13">
        <v>42813.708483796298</v>
      </c>
      <c r="G122" s="7">
        <v>1</v>
      </c>
      <c r="H122" s="21" t="s">
        <v>396</v>
      </c>
      <c r="I122" s="13">
        <v>42813.735983796294</v>
      </c>
      <c r="J122" s="7">
        <v>0</v>
      </c>
      <c r="K122" s="98" t="str">
        <f t="shared" si="31"/>
        <v>4025/4026</v>
      </c>
      <c r="L122" s="21" t="str">
        <f>VLOOKUP(A122,'Trips&amp;Operators'!$C$1:$G$99999,5,FALSE)</f>
        <v>BRUDER RICHARD</v>
      </c>
      <c r="M122" s="6">
        <f t="shared" si="49"/>
        <v>2.749999999650754E-2</v>
      </c>
      <c r="N122" s="7">
        <f t="shared" si="46"/>
        <v>39.599999994970858</v>
      </c>
      <c r="O122" s="7"/>
      <c r="P122" s="7"/>
      <c r="Q122" s="22"/>
      <c r="R122" s="22"/>
      <c r="S122" s="31">
        <f t="shared" si="47"/>
        <v>1</v>
      </c>
      <c r="T122" s="46" t="str">
        <f t="shared" si="33"/>
        <v>NorthBound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34"/>
        <v>https://d0f6bd738d7f1b3e5a7ca70fe4ff75f0.us-east-1.aws.found.io/app/kibana#/discover/Steve-Slow-Train-Analysis-(2080s-and-2083s)?_g=(refreshInterval:(display:Off,pause:!f,section:0,value:0),time:(from:'2017-03-19T15:54:59-0600',mode:absolute,to:'2017-03-19T18:39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2" s="187" t="str">
        <f t="shared" si="35"/>
        <v>N</v>
      </c>
      <c r="X122" s="187">
        <f t="shared" si="50"/>
        <v>1</v>
      </c>
      <c r="Y122" s="62">
        <f t="shared" si="37"/>
        <v>4.6399999999999997E-2</v>
      </c>
      <c r="Z122" s="62">
        <f t="shared" si="48"/>
        <v>23.3306</v>
      </c>
      <c r="AA122" s="62">
        <f t="shared" si="38"/>
        <v>23.284200000000002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9"/>
        <v>0207-19</v>
      </c>
      <c r="AE122" s="85" t="str">
        <f t="shared" si="40"/>
        <v>aws s3 cp s3://rtdc.mdm.uploadarchive.raw/RTDC4025/ "%USERPROFILE%\AppData\Local\Temp\OnboardLogs"\RTDC4025\2017-03-19 --exclude "*" --recursive --include "*20170319*" &amp; "%USERPROFILE%\Documents\GitHub\mrs-test-scripts\Headless Mode &amp; Sideloading\WalkAndUnGZ.bat" "%USERPROFILE%\AppData\Local\Temp\OnboardLogs"\RTDC4025\2017-03-19 &amp; 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</v>
      </c>
      <c r="AF122" s="82" t="str">
        <f t="shared" si="41"/>
        <v>"C:\Program Files (x86)\AstroGrep\AstroGrep.exe" /e /r /s /spath="%USERPROFILE%\AppData\Local\Temp\OnboardLogs" /stypes="app*4025*20170319*" /stext=" 23:.+((SYSTEM_STATE.+slice.+state.+changed )|(ment ac)|(multiple cpu faults)|(system.+state.+changed )|(\[timeout)|(PRM\|1\|D)|(kpr)|(kdp)|(\|lc)|(penalty))"</v>
      </c>
      <c r="AG122" s="1" t="str">
        <f t="shared" si="42"/>
        <v>EC</v>
      </c>
      <c r="AH122" s="86" t="str">
        <f t="shared" si="43"/>
        <v>"%USERPROFILE%\Documents\GitHub\eaglep3\Utilities\RefineRTDCRunTimes.py" --tripid 207-19 --locoid 4025 --swversion DE.1.0.9.0 --startMP 204:464 --initTime 2017-03-19T16:54:59 --startdatetime 2017-03-19T17:00:13 --delay 1 --endMP 204:233306 --enddatetime 2017-03-19T17:39:49 --enforcementcount 0 &gt;&gt;%USERPROFILE%\Documents\GitHub\eaglep3-reporting\EC\2017-03-19-refined-times.txt</v>
      </c>
      <c r="AI122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{"issue":{"subject":"","project_id":79,"tracker_id":40,"status_id":1,"priority_id":2,"assigned_to_id":23,"start_date":"2017-03-19","description":"","custom_fields":[{"id":1,"name":"Subdivision","value":"EC"},{"id":4,"name":"Milepost","value":"23.3306"},{"id":17,"name":"Train ID","value":"207-19"},{"id":16,"name":"Locomotive ID","value":"4025"},{"id":130,"name":"Impact","value":""},{"id":150,"name":"Time of Event (Mountain Time)","value":"17:39:49"},{"id":151,"name":"Denver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45"/>
        <v>start /low /b %USERPROFILE%\Documents\GitHub\eaglep3\Utilities\DownloadLogsFromS3.py --loco 4025 --day 2017-03-19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"%USERPROFILE%\AppData\Local\Temp\OnboardLogs"\RTDC4025\*4025*20170319* | grep -SE "(Enforcement Action)|(\[TIMEOUT)|(CHR.+\|PRM\|1\|D.+(SWITCH|SIGNAL).+UNKNOWN)" - &gt;&gt; 2017-03-19-UncaughtWiMAX.txt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742</v>
      </c>
      <c r="B123" s="7">
        <v>4026</v>
      </c>
      <c r="C123" s="21" t="s">
        <v>221</v>
      </c>
      <c r="D123" s="21" t="s">
        <v>555</v>
      </c>
      <c r="E123" s="13">
        <v>42813.74324074074</v>
      </c>
      <c r="F123" s="13">
        <v>42813.74796296296</v>
      </c>
      <c r="G123" s="7">
        <v>1</v>
      </c>
      <c r="H123" s="21" t="s">
        <v>434</v>
      </c>
      <c r="I123" s="13">
        <v>42813.774293981478</v>
      </c>
      <c r="J123" s="7">
        <v>0</v>
      </c>
      <c r="K123" s="98" t="str">
        <f t="shared" si="31"/>
        <v>4025/4026</v>
      </c>
      <c r="L123" s="21" t="str">
        <f>VLOOKUP(A123,'Trips&amp;Operators'!$C$1:$G$99999,5,FALSE)</f>
        <v>BRUDER RICHARD</v>
      </c>
      <c r="M123" s="6">
        <f t="shared" si="49"/>
        <v>2.6331018518249039E-2</v>
      </c>
      <c r="N123" s="7">
        <f t="shared" si="46"/>
        <v>37.916666666278616</v>
      </c>
      <c r="O123" s="7"/>
      <c r="P123" s="7"/>
      <c r="Q123" s="22"/>
      <c r="R123" s="22"/>
      <c r="S123" s="31">
        <f t="shared" si="47"/>
        <v>1</v>
      </c>
      <c r="T123" s="46" t="str">
        <f t="shared" si="33"/>
        <v>Southbound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34"/>
        <v>https://d0f6bd738d7f1b3e5a7ca70fe4ff75f0.us-east-1.aws.found.io/app/kibana#/discover/Steve-Slow-Train-Analysis-(2080s-and-2083s)?_g=(refreshInterval:(display:Off,pause:!f,section:0,value:0),time:(from:'2017-03-19T16:50:16-0600',mode:absolute,to:'2017-03-19T19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3" s="187" t="str">
        <f t="shared" si="35"/>
        <v>N</v>
      </c>
      <c r="X123" s="187">
        <f t="shared" si="50"/>
        <v>1</v>
      </c>
      <c r="Y123" s="62">
        <f t="shared" si="37"/>
        <v>23.299299999999999</v>
      </c>
      <c r="Z123" s="62">
        <f t="shared" si="48"/>
        <v>1.43E-2</v>
      </c>
      <c r="AA123" s="62">
        <f t="shared" si="38"/>
        <v>23.285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9"/>
        <v>0208-19</v>
      </c>
      <c r="AE123" s="85" t="str">
        <f t="shared" si="40"/>
        <v>aws s3 cp s3://rtdc.mdm.uploadarchive.raw/RTDC4026/ "%USERPROFILE%\AppData\Local\Temp\OnboardLogs"\RTDC4026\2017-03-19 --exclude "*" --recursive --include "*20170319*" &amp; "%USERPROFILE%\Documents\GitHub\mrs-test-scripts\Headless Mode &amp; Sideloading\WalkAndUnGZ.bat" "%USERPROFILE%\AppData\Local\Temp\OnboardLogs"\RTDC4026\2017-03-19 &amp; 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</v>
      </c>
      <c r="AF123" s="82" t="str">
        <f t="shared" si="41"/>
        <v>"C:\Program Files (x86)\AstroGrep\AstroGrep.exe" /e /r /s /spath="%USERPROFILE%\AppData\Local\Temp\OnboardLogs" /stypes="app*4026*20170320*" /stext=" 00:.+((SYSTEM_STATE.+slice.+state.+changed )|(ment ac)|(multiple cpu faults)|(system.+state.+changed )|(\[timeout)|(PRM\|1\|D)|(kpr)|(kdp)|(\|lc)|(penalty))"</v>
      </c>
      <c r="AG123" s="1" t="str">
        <f t="shared" si="42"/>
        <v>EC</v>
      </c>
      <c r="AH123" s="86" t="str">
        <f t="shared" si="43"/>
        <v>"%USERPROFILE%\Documents\GitHub\eaglep3\Utilities\RefineRTDCRunTimes.py" --tripid 208-19 --locoid 4026 --swversion DE.1.0.9.0 --startMP 204:232993 --initTime 2017-03-19T17:50:16 --startdatetime 2017-03-19T17:57:04 --delay 1 --endMP 204:143 --enddatetime 2017-03-19T18:34:59 --enforcementcount 0 &gt;&gt;%USERPROFILE%\Documents\GitHub\eaglep3-reporting\EC\2017-03-19-refined-times.txt</v>
      </c>
      <c r="AI123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{"issue":{"subject":"","project_id":79,"tracker_id":40,"status_id":1,"priority_id":2,"assigned_to_id":23,"start_date":"2017-03-19","description":"","custom_fields":[{"id":1,"name":"Subdivision","value":"EC"},{"id":4,"name":"Milepost","value":"0.0143"},{"id":17,"name":"Train ID","value":"208-19"},{"id":16,"name":"Locomotive ID","value":"4026"},{"id":130,"name":"Impact","value":""},{"id":150,"name":"Time of Event (Mountain Time)","value":"18:34:59"},{"id":151,"name":"Denver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45"/>
        <v>start /low /b %USERPROFILE%\Documents\GitHub\eaglep3\Utilities\DownloadLogsFromS3.py --loco 4026 --day 2017-03-19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"%USERPROFILE%\AppData\Local\Temp\OnboardLogs"\RTDC4026\*4026*20170320* | grep -SE "(Enforcement Action)|(\[TIMEOUT)|(CHR.+\|PRM\|1\|D.+(SWITCH|SIGNAL).+UNKNOWN)" - &gt;&gt; 2017-03-19-UncaughtWiMAX.txt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731</v>
      </c>
      <c r="B124" s="7">
        <v>4020</v>
      </c>
      <c r="C124" s="21" t="s">
        <v>221</v>
      </c>
      <c r="D124" s="21" t="s">
        <v>225</v>
      </c>
      <c r="E124" s="13">
        <v>42813.719502314816</v>
      </c>
      <c r="F124" s="13">
        <v>42813.720520833333</v>
      </c>
      <c r="G124" s="7">
        <v>1</v>
      </c>
      <c r="H124" s="21" t="s">
        <v>436</v>
      </c>
      <c r="I124" s="13">
        <v>42813.748206018521</v>
      </c>
      <c r="J124" s="7">
        <v>0</v>
      </c>
      <c r="K124" s="98" t="str">
        <f t="shared" si="31"/>
        <v>4019/4020</v>
      </c>
      <c r="L124" s="21" t="str">
        <f>VLOOKUP(A124,'Trips&amp;Operators'!$C$1:$G$99999,5,FALSE)</f>
        <v>CHANDLER KELVIN</v>
      </c>
      <c r="M124" s="6">
        <f t="shared" si="49"/>
        <v>2.768518518860219E-2</v>
      </c>
      <c r="N124" s="7">
        <f t="shared" si="46"/>
        <v>39.866666671587154</v>
      </c>
      <c r="O124" s="7"/>
      <c r="P124" s="7"/>
      <c r="Q124" s="22"/>
      <c r="R124" s="22"/>
      <c r="S124" s="31">
        <f t="shared" si="47"/>
        <v>1</v>
      </c>
      <c r="T124" s="46" t="str">
        <f t="shared" si="33"/>
        <v>NorthBound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34"/>
        <v>https://d0f6bd738d7f1b3e5a7ca70fe4ff75f0.us-east-1.aws.found.io/app/kibana#/discover/Steve-Slow-Train-Analysis-(2080s-and-2083s)?_g=(refreshInterval:(display:Off,pause:!f,section:0,value:0),time:(from:'2017-03-19T16:16:05-0600',mode:absolute,to:'2017-03-19T18:57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4" s="187" t="str">
        <f t="shared" si="35"/>
        <v>N</v>
      </c>
      <c r="X124" s="187">
        <f t="shared" si="50"/>
        <v>1</v>
      </c>
      <c r="Y124" s="62">
        <f t="shared" si="37"/>
        <v>4.6699999999999998E-2</v>
      </c>
      <c r="Z124" s="62">
        <f t="shared" si="48"/>
        <v>23.328600000000002</v>
      </c>
      <c r="AA124" s="62">
        <f t="shared" si="38"/>
        <v>23.2819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9"/>
        <v>0209-19</v>
      </c>
      <c r="AE124" s="85" t="str">
        <f t="shared" si="40"/>
        <v>aws s3 cp s3://rtdc.mdm.uploadarchive.raw/RTDC4020/ "%USERPROFILE%\AppData\Local\Temp\OnboardLogs"\RTDC4020\2017-03-19 --exclude "*" --recursive --include "*20170319*" &amp; "%USERPROFILE%\Documents\GitHub\mrs-test-scripts\Headless Mode &amp; Sideloading\WalkAndUnGZ.bat" "%USERPROFILE%\AppData\Local\Temp\OnboardLogs"\RTDC4020\2017-03-19 &amp; aws s3 cp s3://rtdc.mdm.uploadarchive.raw/RTDC4020/ "%USERPROFILE%\AppData\Local\Temp\OnboardLogs"\RTDC4020\2017-03-20 --exclude "*" --recursive --include "*20170320*" &amp; "%USERPROFILE%\Documents\GitHub\mrs-test-scripts\Headless Mode &amp; Sideloading\WalkAndUnGZ.bat" "%USERPROFILE%\AppData\Local\Temp\OnboardLogs"\RTDC4020\2017-03-20</v>
      </c>
      <c r="AF124" s="82" t="str">
        <f t="shared" si="41"/>
        <v>"C:\Program Files (x86)\AstroGrep\AstroGrep.exe" /e /r /s /spath="%USERPROFILE%\AppData\Local\Temp\OnboardLogs" /stypes="app*4020*20170319*" /stext=" 23:.+((SYSTEM_STATE.+slice.+state.+changed )|(ment ac)|(multiple cpu faults)|(system.+state.+changed )|(\[timeout)|(PRM\|1\|D)|(kpr)|(kdp)|(\|lc)|(penalty))"</v>
      </c>
      <c r="AG124" s="1" t="str">
        <f t="shared" si="42"/>
        <v>EC</v>
      </c>
      <c r="AH124" s="86" t="str">
        <f t="shared" si="43"/>
        <v>"%USERPROFILE%\Documents\GitHub\eaglep3\Utilities\RefineRTDCRunTimes.py" --tripid 209-19 --locoid 4020 --swversion DE.1.0.9.0 --startMP 204:467 --initTime 2017-03-19T17:16:05 --startdatetime 2017-03-19T17:17:33 --delay 1 --endMP 204:233286 --enddatetime 2017-03-19T17:57:25 --enforcementcount 0 &gt;&gt;%USERPROFILE%\Documents\GitHub\eaglep3-reporting\EC\2017-03-19-refined-times.txt</v>
      </c>
      <c r="AI124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{"issue":{"subject":"","project_id":79,"tracker_id":40,"status_id":1,"priority_id":2,"assigned_to_id":23,"start_date":"2017-03-19","description":"","custom_fields":[{"id":1,"name":"Subdivision","value":"EC"},{"id":4,"name":"Milepost","value":"23.3286"},{"id":17,"name":"Train ID","value":"209-19"},{"id":16,"name":"Locomotive ID","value":"4020"},{"id":130,"name":"Impact","value":""},{"id":150,"name":"Time of Event (Mountain Time)","value":"17:57:25"},{"id":151,"name":"Denver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45"/>
        <v>start /low /b %USERPROFILE%\Documents\GitHub\eaglep3\Utilities\DownloadLogsFromS3.py --loco 4020 --day 2017-03-19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"%USERPROFILE%\AppData\Local\Temp\OnboardLogs"\RTDC4020\*4020*20170319* | grep -SE "(Enforcement Action)|(\[TIMEOUT)|(CHR.+\|PRM\|1\|D.+(SWITCH|SIGNAL).+UNKNOWN)" - &gt;&gt; 2017-03-19-UncaughtWiMAX.txt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746</v>
      </c>
      <c r="B125" s="7">
        <v>4019</v>
      </c>
      <c r="C125" s="21" t="s">
        <v>221</v>
      </c>
      <c r="D125" s="21" t="s">
        <v>901</v>
      </c>
      <c r="E125" s="13">
        <v>42813.756608796299</v>
      </c>
      <c r="F125" s="13">
        <v>42813.758113425924</v>
      </c>
      <c r="G125" s="7">
        <v>1</v>
      </c>
      <c r="H125" s="21" t="s">
        <v>215</v>
      </c>
      <c r="I125" s="13">
        <v>42813.785810185182</v>
      </c>
      <c r="J125" s="7">
        <v>0</v>
      </c>
      <c r="K125" s="98" t="str">
        <f t="shared" si="31"/>
        <v>4019/4020</v>
      </c>
      <c r="L125" s="21" t="str">
        <f>VLOOKUP(A125,'Trips&amp;Operators'!$C$1:$G$99999,5,FALSE)</f>
        <v>CHANDLER KELVIN</v>
      </c>
      <c r="M125" s="6">
        <f t="shared" si="49"/>
        <v>2.7696759258105885E-2</v>
      </c>
      <c r="N125" s="7">
        <f t="shared" si="46"/>
        <v>39.883333331672475</v>
      </c>
      <c r="O125" s="7"/>
      <c r="P125" s="7"/>
      <c r="Q125" s="22"/>
      <c r="R125" s="22"/>
      <c r="S125" s="31">
        <f t="shared" si="47"/>
        <v>1</v>
      </c>
      <c r="T125" s="46" t="str">
        <f t="shared" si="33"/>
        <v>Southbound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34"/>
        <v>https://d0f6bd738d7f1b3e5a7ca70fe4ff75f0.us-east-1.aws.found.io/app/kibana#/discover/Steve-Slow-Train-Analysis-(2080s-and-2083s)?_g=(refreshInterval:(display:Off,pause:!f,section:0,value:0),time:(from:'2017-03-19T17:09:31-0600',mode:absolute,to:'2017-03-19T19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5" s="187" t="str">
        <f t="shared" si="35"/>
        <v>N</v>
      </c>
      <c r="X125" s="187">
        <f t="shared" si="50"/>
        <v>1</v>
      </c>
      <c r="Y125" s="62">
        <f t="shared" si="37"/>
        <v>23.295000000000002</v>
      </c>
      <c r="Z125" s="62">
        <f t="shared" si="48"/>
        <v>1.5599999999999999E-2</v>
      </c>
      <c r="AA125" s="62">
        <f t="shared" si="38"/>
        <v>23.279400000000003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9"/>
        <v>0210-19</v>
      </c>
      <c r="AE125" s="85" t="str">
        <f t="shared" si="40"/>
        <v>aws s3 cp s3://rtdc.mdm.uploadarchive.raw/RTDC4019/ "%USERPROFILE%\AppData\Local\Temp\OnboardLogs"\RTDC4019\2017-03-19 --exclude "*" --recursive --include "*20170319*" &amp; "%USERPROFILE%\Documents\GitHub\mrs-test-scripts\Headless Mode &amp; Sideloading\WalkAndUnGZ.bat" "%USERPROFILE%\AppData\Local\Temp\OnboardLogs"\RTDC4019\2017-03-19 &amp; aws s3 cp s3://rtdc.mdm.uploadarchive.raw/RTDC4019/ "%USERPROFILE%\AppData\Local\Temp\OnboardLogs"\RTDC4019\2017-03-20 --exclude "*" --recursive --include "*20170320*" &amp; "%USERPROFILE%\Documents\GitHub\mrs-test-scripts\Headless Mode &amp; Sideloading\WalkAndUnGZ.bat" "%USERPROFILE%\AppData\Local\Temp\OnboardLogs"\RTDC4019\2017-03-20</v>
      </c>
      <c r="AF125" s="82" t="str">
        <f t="shared" si="41"/>
        <v>"C:\Program Files (x86)\AstroGrep\AstroGrep.exe" /e /r /s /spath="%USERPROFILE%\AppData\Local\Temp\OnboardLogs" /stypes="app*4019*20170320*" /stext=" 00:.+((SYSTEM_STATE.+slice.+state.+changed )|(ment ac)|(multiple cpu faults)|(system.+state.+changed )|(\[timeout)|(PRM\|1\|D)|(kpr)|(kdp)|(\|lc)|(penalty))"</v>
      </c>
      <c r="AG125" s="1" t="str">
        <f t="shared" si="42"/>
        <v>EC</v>
      </c>
      <c r="AH125" s="86" t="str">
        <f t="shared" si="43"/>
        <v>"%USERPROFILE%\Documents\GitHub\eaglep3\Utilities\RefineRTDCRunTimes.py" --tripid 210-19 --locoid 4019 --swversion DE.1.0.9.0 --startMP 204:232950 --initTime 2017-03-19T18:09:31 --startdatetime 2017-03-19T18:11:41 --delay 1 --endMP 204:156 --enddatetime 2017-03-19T18:51:34 --enforcementcount 0 &gt;&gt;%USERPROFILE%\Documents\GitHub\eaglep3-reporting\EC\2017-03-19-refined-times.txt</v>
      </c>
      <c r="AI125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{"issue":{"subject":"","project_id":79,"tracker_id":40,"status_id":1,"priority_id":2,"assigned_to_id":23,"start_date":"2017-03-19","description":"","custom_fields":[{"id":1,"name":"Subdivision","value":"EC"},{"id":4,"name":"Milepost","value":"0.0156"},{"id":17,"name":"Train ID","value":"210-19"},{"id":16,"name":"Locomotive ID","value":"4019"},{"id":130,"name":"Impact","value":""},{"id":150,"name":"Time of Event (Mountain Time)","value":"18:51:34"},{"id":151,"name":"Denver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45"/>
        <v>start /low /b %USERPROFILE%\Documents\GitHub\eaglep3\Utilities\DownloadLogsFromS3.py --loco 4019 --day 2017-03-19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"%USERPROFILE%\AppData\Local\Temp\OnboardLogs"\RTDC4019\*4019*20170320* | grep -SE "(Enforcement Action)|(\[TIMEOUT)|(CHR.+\|PRM\|1\|D.+(SWITCH|SIGNAL).+UNKNOWN)" - &gt;&gt; 2017-03-19-UncaughtWiMAX.txt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738</v>
      </c>
      <c r="B126" s="7">
        <v>4040</v>
      </c>
      <c r="C126" s="21" t="s">
        <v>221</v>
      </c>
      <c r="D126" s="21" t="s">
        <v>472</v>
      </c>
      <c r="E126" s="13">
        <v>42813.727395833332</v>
      </c>
      <c r="F126" s="13">
        <v>42813.729386574072</v>
      </c>
      <c r="G126" s="7">
        <v>1</v>
      </c>
      <c r="H126" s="21" t="s">
        <v>902</v>
      </c>
      <c r="I126" s="13">
        <v>42813.755196759259</v>
      </c>
      <c r="J126" s="7">
        <v>0</v>
      </c>
      <c r="K126" s="98" t="str">
        <f t="shared" si="31"/>
        <v>4039/4040</v>
      </c>
      <c r="L126" s="21" t="str">
        <f>VLOOKUP(A126,'Trips&amp;Operators'!$C$1:$G$99999,5,FALSE)</f>
        <v>LOCKLEAR TRAVIS</v>
      </c>
      <c r="M126" s="6">
        <f t="shared" si="49"/>
        <v>2.5810185186855961E-2</v>
      </c>
      <c r="N126" s="7">
        <f t="shared" si="46"/>
        <v>37.166666669072583</v>
      </c>
      <c r="O126" s="7"/>
      <c r="P126" s="7"/>
      <c r="Q126" s="22"/>
      <c r="R126" s="22"/>
      <c r="S126" s="31">
        <f t="shared" si="47"/>
        <v>1</v>
      </c>
      <c r="T126" s="46" t="str">
        <f t="shared" si="33"/>
        <v>NorthBound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34"/>
        <v>https://d0f6bd738d7f1b3e5a7ca70fe4ff75f0.us-east-1.aws.found.io/app/kibana#/discover/Steve-Slow-Train-Analysis-(2080s-and-2083s)?_g=(refreshInterval:(display:Off,pause:!f,section:0,value:0),time:(from:'2017-03-19T16:27:27-0600',mode:absolute,to:'2017-03-19T19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6" s="187" t="str">
        <f t="shared" si="35"/>
        <v>N</v>
      </c>
      <c r="X126" s="187">
        <f t="shared" si="50"/>
        <v>1</v>
      </c>
      <c r="Y126" s="62">
        <f t="shared" si="37"/>
        <v>4.3099999999999999E-2</v>
      </c>
      <c r="Z126" s="62">
        <f t="shared" si="48"/>
        <v>23.334700000000002</v>
      </c>
      <c r="AA126" s="62">
        <f t="shared" si="38"/>
        <v>23.291600000000003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9"/>
        <v>0211-19</v>
      </c>
      <c r="AE126" s="85" t="str">
        <f t="shared" si="40"/>
        <v>aws s3 cp s3://rtdc.mdm.uploadarchive.raw/RTDC4040/ "%USERPROFILE%\AppData\Local\Temp\OnboardLogs"\RTDC4040\2017-03-19 --exclude "*" --recursive --include "*20170319*" &amp; "%USERPROFILE%\Documents\GitHub\mrs-test-scripts\Headless Mode &amp; Sideloading\WalkAndUnGZ.bat" "%USERPROFILE%\AppData\Local\Temp\OnboardLogs"\RTDC4040\2017-03-19 &amp; 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</v>
      </c>
      <c r="AF126" s="82" t="str">
        <f t="shared" si="41"/>
        <v>"C:\Program Files (x86)\AstroGrep\AstroGrep.exe" /e /r /s /spath="%USERPROFILE%\AppData\Local\Temp\OnboardLogs" /stypes="app*4040*20170320*" /stext=" 00:.+((SYSTEM_STATE.+slice.+state.+changed )|(ment ac)|(multiple cpu faults)|(system.+state.+changed )|(\[timeout)|(PRM\|1\|D)|(kpr)|(kdp)|(\|lc)|(penalty))"</v>
      </c>
      <c r="AG126" s="1" t="str">
        <f t="shared" si="42"/>
        <v>EC</v>
      </c>
      <c r="AH126" s="86" t="str">
        <f t="shared" si="43"/>
        <v>"%USERPROFILE%\Documents\GitHub\eaglep3\Utilities\RefineRTDCRunTimes.py" --tripid 211-19 --locoid 4040 --swversion DE.1.0.9.0 --startMP 204:431 --initTime 2017-03-19T17:27:27 --startdatetime 2017-03-19T17:30:19 --delay 1 --endMP 204:233347 --enddatetime 2017-03-19T18:07:29 --enforcementcount 0 &gt;&gt;%USERPROFILE%\Documents\GitHub\eaglep3-reporting\EC\2017-03-19-refined-times.txt</v>
      </c>
      <c r="AI126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{"issue":{"subject":"","project_id":79,"tracker_id":40,"status_id":1,"priority_id":2,"assigned_to_id":23,"start_date":"2017-03-19","description":"","custom_fields":[{"id":1,"name":"Subdivision","value":"EC"},{"id":4,"name":"Milepost","value":"23.3347"},{"id":17,"name":"Train ID","value":"211-19"},{"id":16,"name":"Locomotive ID","value":"4040"},{"id":130,"name":"Impact","value":""},{"id":150,"name":"Time of Event (Mountain Time)","value":"18:07:29"},{"id":151,"name":"Denver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45"/>
        <v>start /low /b %USERPROFILE%\Documents\GitHub\eaglep3\Utilities\DownloadLogsFromS3.py --loco 4040 --day 2017-03-19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"%USERPROFILE%\AppData\Local\Temp\OnboardLogs"\RTDC4040\*4040*20170319* | grep -SE "(Enforcement Action)|(\[TIMEOUT)|(CHR.+\|PRM\|1\|D.+(SWITCH|SIGNAL).+UNKNOWN)" - &gt;&gt; 2017-03-19-UncaughtWiMAX.txt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749</v>
      </c>
      <c r="B127" s="7">
        <v>4039</v>
      </c>
      <c r="C127" s="21" t="s">
        <v>221</v>
      </c>
      <c r="D127" s="21" t="s">
        <v>903</v>
      </c>
      <c r="E127" s="13">
        <v>42813.764155092591</v>
      </c>
      <c r="F127" s="13">
        <v>42813.768194444441</v>
      </c>
      <c r="G127" s="7">
        <v>1</v>
      </c>
      <c r="H127" s="21" t="s">
        <v>190</v>
      </c>
      <c r="I127" s="13">
        <v>42813.796018518522</v>
      </c>
      <c r="J127" s="7">
        <v>0</v>
      </c>
      <c r="K127" s="98" t="str">
        <f t="shared" si="31"/>
        <v>4039/4040</v>
      </c>
      <c r="L127" s="21" t="str">
        <f>VLOOKUP(A127,'Trips&amp;Operators'!$C$1:$G$99999,5,FALSE)</f>
        <v>LOCKLEAR TRAVIS</v>
      </c>
      <c r="M127" s="6">
        <f t="shared" si="49"/>
        <v>2.7824074080854189E-2</v>
      </c>
      <c r="N127" s="7">
        <f t="shared" si="46"/>
        <v>40.066666676430032</v>
      </c>
      <c r="O127" s="7"/>
      <c r="P127" s="7"/>
      <c r="Q127" s="22"/>
      <c r="R127" s="22"/>
      <c r="S127" s="31">
        <f t="shared" si="47"/>
        <v>1</v>
      </c>
      <c r="T127" s="46" t="str">
        <f t="shared" si="33"/>
        <v>Southbound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34"/>
        <v>https://d0f6bd738d7f1b3e5a7ca70fe4ff75f0.us-east-1.aws.found.io/app/kibana#/discover/Steve-Slow-Train-Analysis-(2080s-and-2083s)?_g=(refreshInterval:(display:Off,pause:!f,section:0,value:0),time:(from:'2017-03-19T17:20:23-0600',mode:absolute,to:'2017-03-19T20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7" s="187" t="str">
        <f t="shared" si="35"/>
        <v>N</v>
      </c>
      <c r="X127" s="187">
        <f t="shared" si="50"/>
        <v>1</v>
      </c>
      <c r="Y127" s="62">
        <f t="shared" si="37"/>
        <v>23.304200000000002</v>
      </c>
      <c r="Z127" s="62">
        <f t="shared" si="48"/>
        <v>1.4999999999999999E-2</v>
      </c>
      <c r="AA127" s="62">
        <f t="shared" si="38"/>
        <v>23.289200000000001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9"/>
        <v>0212-19</v>
      </c>
      <c r="AE127" s="85" t="str">
        <f t="shared" si="40"/>
        <v>aws s3 cp s3://rtdc.mdm.uploadarchive.raw/RTDC4039/ "%USERPROFILE%\AppData\Local\Temp\OnboardLogs"\RTDC4039\2017-03-19 --exclude "*" --recursive --include "*20170319*" &amp; "%USERPROFILE%\Documents\GitHub\mrs-test-scripts\Headless Mode &amp; Sideloading\WalkAndUnGZ.bat" "%USERPROFILE%\AppData\Local\Temp\OnboardLogs"\RTDC4039\2017-03-19 &amp; 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</v>
      </c>
      <c r="AF127" s="82" t="str">
        <f t="shared" si="41"/>
        <v>"C:\Program Files (x86)\AstroGrep\AstroGrep.exe" /e /r /s /spath="%USERPROFILE%\AppData\Local\Temp\OnboardLogs" /stypes="app*4039*20170320*" /stext=" 01:.+((SYSTEM_STATE.+slice.+state.+changed )|(ment ac)|(multiple cpu faults)|(system.+state.+changed )|(\[timeout)|(PRM\|1\|D)|(kpr)|(kdp)|(\|lc)|(penalty))"</v>
      </c>
      <c r="AG127" s="1" t="str">
        <f t="shared" si="42"/>
        <v>EC</v>
      </c>
      <c r="AH127" s="86" t="str">
        <f t="shared" si="43"/>
        <v>"%USERPROFILE%\Documents\GitHub\eaglep3\Utilities\RefineRTDCRunTimes.py" --tripid 212-19 --locoid 4039 --swversion DE.1.0.9.0 --startMP 204:233042 --initTime 2017-03-19T18:20:23 --startdatetime 2017-03-19T18:26:12 --delay 1 --endMP 204:150 --enddatetime 2017-03-19T19:06:16 --enforcementcount 0 &gt;&gt;%USERPROFILE%\Documents\GitHub\eaglep3-reporting\EC\2017-03-19-refined-times.txt</v>
      </c>
      <c r="AI127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{"issue":{"subject":"","project_id":79,"tracker_id":40,"status_id":1,"priority_id":2,"assigned_to_id":23,"start_date":"2017-03-19","description":"","custom_fields":[{"id":1,"name":"Subdivision","value":"EC"},{"id":4,"name":"Milepost","value":"0.015"},{"id":17,"name":"Train ID","value":"212-19"},{"id":16,"name":"Locomotive ID","value":"4039"},{"id":130,"name":"Impact","value":""},{"id":150,"name":"Time of Event (Mountain Time)","value":"19:06:16"},{"id":151,"name":"Denver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45"/>
        <v>start /low /b %USERPROFILE%\Documents\GitHub\eaglep3\Utilities\DownloadLogsFromS3.py --loco 4039 --day 2017-03-19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"%USERPROFILE%\AppData\Local\Temp\OnboardLogs"\RTDC4039\*4039*20170320* | grep -SE "(Enforcement Action)|(\[TIMEOUT)|(CHR.+\|PRM\|1\|D.+(SWITCH|SIGNAL).+UNKNOWN)" - &gt;&gt; 2017-03-19-UncaughtWiMAX.txt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741</v>
      </c>
      <c r="B128" s="7">
        <v>4053</v>
      </c>
      <c r="C128" s="21" t="s">
        <v>221</v>
      </c>
      <c r="D128" s="21" t="s">
        <v>828</v>
      </c>
      <c r="E128" s="13">
        <v>42813.742858796293</v>
      </c>
      <c r="F128" s="13">
        <v>42813.74486111111</v>
      </c>
      <c r="G128" s="7">
        <v>2</v>
      </c>
      <c r="H128" s="21" t="s">
        <v>819</v>
      </c>
      <c r="I128" s="13">
        <v>42813.772673611114</v>
      </c>
      <c r="J128" s="7">
        <v>0</v>
      </c>
      <c r="K128" s="98" t="str">
        <f t="shared" si="31"/>
        <v>4053/4054</v>
      </c>
      <c r="L128" s="21" t="str">
        <f>VLOOKUP(A128,'Trips&amp;Operators'!$C$1:$G$99999,5,FALSE)</f>
        <v>SAFIEF AEIMEN</v>
      </c>
      <c r="M128" s="6">
        <f t="shared" si="49"/>
        <v>2.7812500004074536E-2</v>
      </c>
      <c r="N128" s="7">
        <f t="shared" si="46"/>
        <v>40.050000005867332</v>
      </c>
      <c r="O128" s="7"/>
      <c r="P128" s="7"/>
      <c r="Q128" s="22"/>
      <c r="R128" s="22"/>
      <c r="S128" s="31">
        <f t="shared" si="47"/>
        <v>1</v>
      </c>
      <c r="T128" s="46" t="str">
        <f t="shared" si="33"/>
        <v>NorthBound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34"/>
        <v>https://d0f6bd738d7f1b3e5a7ca70fe4ff75f0.us-east-1.aws.found.io/app/kibana#/discover/Steve-Slow-Train-Analysis-(2080s-and-2083s)?_g=(refreshInterval:(display:Off,pause:!f,section:0,value:0),time:(from:'2017-03-19T16:49:43-0600',mode:absolute,to:'2017-03-19T19:32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8" s="187" t="str">
        <f t="shared" si="35"/>
        <v>N</v>
      </c>
      <c r="X128" s="187">
        <f t="shared" si="50"/>
        <v>1</v>
      </c>
      <c r="Y128" s="62">
        <f t="shared" si="37"/>
        <v>4.8000000000000001E-2</v>
      </c>
      <c r="Z128" s="62">
        <f t="shared" si="48"/>
        <v>23.328900000000001</v>
      </c>
      <c r="AA128" s="62">
        <f t="shared" si="38"/>
        <v>23.280900000000003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9"/>
        <v>0213-19</v>
      </c>
      <c r="AE128" s="85" t="str">
        <f t="shared" si="40"/>
        <v>aws s3 cp s3://rtdc.mdm.uploadarchive.raw/RTDC4053/ "%USERPROFILE%\AppData\Local\Temp\OnboardLogs"\RTDC4053\2017-03-19 --exclude "*" --recursive --include "*20170319*" &amp; "%USERPROFILE%\Documents\GitHub\mrs-test-scripts\Headless Mode &amp; Sideloading\WalkAndUnGZ.bat" "%USERPROFILE%\AppData\Local\Temp\OnboardLogs"\RTDC4053\2017-03-19 &amp; aws s3 cp s3://rtdc.mdm.uploadarchive.raw/RTDC4053/ "%USERPROFILE%\AppData\Local\Temp\OnboardLogs"\RTDC4053\2017-03-20 --exclude "*" --recursive --include "*20170320*" &amp; "%USERPROFILE%\Documents\GitHub\mrs-test-scripts\Headless Mode &amp; Sideloading\WalkAndUnGZ.bat" "%USERPROFILE%\AppData\Local\Temp\OnboardLogs"\RTDC4053\2017-03-20</v>
      </c>
      <c r="AF128" s="82" t="str">
        <f t="shared" si="41"/>
        <v>"C:\Program Files (x86)\AstroGrep\AstroGrep.exe" /e /r /s /spath="%USERPROFILE%\AppData\Local\Temp\OnboardLogs" /stypes="app*4053*20170320*" /stext=" 00:.+((SYSTEM_STATE.+slice.+state.+changed )|(ment ac)|(multiple cpu faults)|(system.+state.+changed )|(\[timeout)|(PRM\|1\|D)|(kpr)|(kdp)|(\|lc)|(penalty))"</v>
      </c>
      <c r="AG128" s="1" t="str">
        <f t="shared" si="42"/>
        <v>EC</v>
      </c>
      <c r="AH128" s="86" t="str">
        <f t="shared" si="43"/>
        <v>"%USERPROFILE%\Documents\GitHub\eaglep3\Utilities\RefineRTDCRunTimes.py" --tripid 213-19 --locoid 4053 --swversion DE.1.0.9.0 --startMP 204:480 --initTime 2017-03-19T17:49:43 --startdatetime 2017-03-19T17:52:36 --delay 2 --endMP 204:233289 --enddatetime 2017-03-19T18:32:39 --enforcementcount 0 &gt;&gt;%USERPROFILE%\Documents\GitHub\eaglep3-reporting\EC\2017-03-19-refined-times.txt</v>
      </c>
      <c r="AI128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{"issue":{"subject":"","project_id":79,"tracker_id":40,"status_id":1,"priority_id":2,"assigned_to_id":23,"start_date":"2017-03-19","description":"","custom_fields":[{"id":1,"name":"Subdivision","value":"EC"},{"id":4,"name":"Milepost","value":"23.3289"},{"id":17,"name":"Train ID","value":"213-19"},{"id":16,"name":"Locomotive ID","value":"4053"},{"id":130,"name":"Impact","value":""},{"id":150,"name":"Time of Event (Mountain Time)","value":"18:32:39"},{"id":151,"name":"Denver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45"/>
        <v>start /low /b %USERPROFILE%\Documents\GitHub\eaglep3\Utilities\DownloadLogsFromS3.py --loco 4053 --day 2017-03-19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"%USERPROFILE%\AppData\Local\Temp\OnboardLogs"\RTDC4053\*4053*20170320* | grep -SE "(Enforcement Action)|(\[TIMEOUT)|(CHR.+\|PRM\|1\|D.+(SWITCH|SIGNAL).+UNKNOWN)" - &gt;&gt; 2017-03-19-UncaughtWiMAX.txt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752</v>
      </c>
      <c r="B129" s="7">
        <v>4054</v>
      </c>
      <c r="C129" s="21" t="s">
        <v>221</v>
      </c>
      <c r="D129" s="21" t="s">
        <v>563</v>
      </c>
      <c r="E129" s="13">
        <v>42813.775520833333</v>
      </c>
      <c r="F129" s="13">
        <v>42813.779085648152</v>
      </c>
      <c r="G129" s="7">
        <v>1</v>
      </c>
      <c r="H129" s="21" t="s">
        <v>198</v>
      </c>
      <c r="I129" s="13">
        <v>42813.808437500003</v>
      </c>
      <c r="J129" s="7">
        <v>0</v>
      </c>
      <c r="K129" s="98" t="str">
        <f t="shared" si="31"/>
        <v>4053/4054</v>
      </c>
      <c r="L129" s="21" t="str">
        <f>VLOOKUP(A129,'Trips&amp;Operators'!$C$1:$G$99999,5,FALSE)</f>
        <v>SAFIEF AEIMEN</v>
      </c>
      <c r="M129" s="6">
        <f t="shared" si="49"/>
        <v>2.9351851851970423E-2</v>
      </c>
      <c r="N129" s="7">
        <f t="shared" ref="N129:N142" si="51">24*60*SUM($M129:$M129)</f>
        <v>42.266666666837409</v>
      </c>
      <c r="O129" s="7"/>
      <c r="P129" s="7"/>
      <c r="Q129" s="22"/>
      <c r="R129" s="22"/>
      <c r="S129" s="31">
        <f t="shared" ref="S129:S142" si="52">SUM(U129:U129)/IF(AG129="EC",12,1)</f>
        <v>1</v>
      </c>
      <c r="T129" s="46" t="str">
        <f t="shared" si="33"/>
        <v>Southbound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34"/>
        <v>https://d0f6bd738d7f1b3e5a7ca70fe4ff75f0.us-east-1.aws.found.io/app/kibana#/discover/Steve-Slow-Train-Analysis-(2080s-and-2083s)?_g=(refreshInterval:(display:Off,pause:!f,section:0,value:0),time:(from:'2017-03-19T17:36:45-0600',mode:absolute,to:'2017-03-19T20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9" s="187" t="str">
        <f t="shared" si="35"/>
        <v>N</v>
      </c>
      <c r="X129" s="187">
        <f t="shared" si="50"/>
        <v>1</v>
      </c>
      <c r="Y129" s="62">
        <f t="shared" si="37"/>
        <v>23.297999999999998</v>
      </c>
      <c r="Z129" s="62">
        <f t="shared" si="48"/>
        <v>1.52E-2</v>
      </c>
      <c r="AA129" s="62">
        <f t="shared" si="38"/>
        <v>23.282799999999998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9"/>
        <v>0214-19</v>
      </c>
      <c r="AE129" s="85" t="str">
        <f t="shared" si="40"/>
        <v>aws s3 cp s3://rtdc.mdm.uploadarchive.raw/RTDC4054/ "%USERPROFILE%\AppData\Local\Temp\OnboardLogs"\RTDC4054\2017-03-19 --exclude "*" --recursive --include "*20170319*" &amp; "%USERPROFILE%\Documents\GitHub\mrs-test-scripts\Headless Mode &amp; Sideloading\WalkAndUnGZ.bat" "%USERPROFILE%\AppData\Local\Temp\OnboardLogs"\RTDC4054\2017-03-19 &amp; aws s3 cp s3://rtdc.mdm.uploadarchive.raw/RTDC4054/ "%USERPROFILE%\AppData\Local\Temp\OnboardLogs"\RTDC4054\2017-03-20 --exclude "*" --recursive --include "*20170320*" &amp; "%USERPROFILE%\Documents\GitHub\mrs-test-scripts\Headless Mode &amp; Sideloading\WalkAndUnGZ.bat" "%USERPROFILE%\AppData\Local\Temp\OnboardLogs"\RTDC4054\2017-03-20</v>
      </c>
      <c r="AF129" s="82" t="str">
        <f t="shared" si="41"/>
        <v>"C:\Program Files (x86)\AstroGrep\AstroGrep.exe" /e /r /s /spath="%USERPROFILE%\AppData\Local\Temp\OnboardLogs" /stypes="app*4054*20170320*" /stext=" 01:.+((SYSTEM_STATE.+slice.+state.+changed )|(ment ac)|(multiple cpu faults)|(system.+state.+changed )|(\[timeout)|(PRM\|1\|D)|(kpr)|(kdp)|(\|lc)|(penalty))"</v>
      </c>
      <c r="AG129" s="1" t="str">
        <f t="shared" si="42"/>
        <v>EC</v>
      </c>
      <c r="AH129" s="86" t="str">
        <f t="shared" si="43"/>
        <v>"%USERPROFILE%\Documents\GitHub\eaglep3\Utilities\RefineRTDCRunTimes.py" --tripid 214-19 --locoid 4054 --swversion DE.1.0.9.0 --startMP 204:232980 --initTime 2017-03-19T18:36:45 --startdatetime 2017-03-19T18:41:53 --delay 1 --endMP 204:152 --enddatetime 2017-03-19T19:24:09 --enforcementcount 0 &gt;&gt;%USERPROFILE%\Documents\GitHub\eaglep3-reporting\EC\2017-03-19-refined-times.txt</v>
      </c>
      <c r="AI129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{"issue":{"subject":"","project_id":79,"tracker_id":40,"status_id":1,"priority_id":2,"assigned_to_id":23,"start_date":"2017-03-19","description":"","custom_fields":[{"id":1,"name":"Subdivision","value":"EC"},{"id":4,"name":"Milepost","value":"0.0152"},{"id":17,"name":"Train ID","value":"214-19"},{"id":16,"name":"Locomotive ID","value":"4054"},{"id":130,"name":"Impact","value":""},{"id":150,"name":"Time of Event (Mountain Time)","value":"19:24:09"},{"id":151,"name":"Denver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45"/>
        <v>start /low /b %USERPROFILE%\Documents\GitHub\eaglep3\Utilities\DownloadLogsFromS3.py --loco 4054 --day 2017-03-19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"%USERPROFILE%\AppData\Local\Temp\OnboardLogs"\RTDC4054\*4054*20170320* | grep -SE "(Enforcement Action)|(\[TIMEOUT)|(CHR.+\|PRM\|1\|D.+(SWITCH|SIGNAL).+UNKNOWN)" - &gt;&gt; 2017-03-19-UncaughtWiMAX.txt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600</v>
      </c>
      <c r="B130" s="7">
        <v>4003</v>
      </c>
      <c r="C130" s="21" t="s">
        <v>221</v>
      </c>
      <c r="D130" s="21" t="s">
        <v>399</v>
      </c>
      <c r="E130" s="13">
        <v>42813.748310185183</v>
      </c>
      <c r="F130" s="13">
        <v>42813.750173611108</v>
      </c>
      <c r="G130" s="7">
        <v>1</v>
      </c>
      <c r="H130" s="21" t="s">
        <v>819</v>
      </c>
      <c r="I130" s="13">
        <v>42813.775775462964</v>
      </c>
      <c r="J130" s="7">
        <v>0</v>
      </c>
      <c r="K130" s="98" t="str">
        <f t="shared" si="31"/>
        <v>4003/4004</v>
      </c>
      <c r="L130" s="21" t="str">
        <f>VLOOKUP(A130,'Trips&amp;Operators'!$C$1:$G$99999,5,FALSE)</f>
        <v>BRANDNER MELINDA</v>
      </c>
      <c r="M130" s="6">
        <f t="shared" si="49"/>
        <v>2.5601851855753921E-2</v>
      </c>
      <c r="N130" s="7">
        <f t="shared" si="51"/>
        <v>36.866666672285646</v>
      </c>
      <c r="O130" s="7"/>
      <c r="P130" s="7"/>
      <c r="Q130" s="22"/>
      <c r="R130" s="22"/>
      <c r="S130" s="31">
        <f t="shared" si="52"/>
        <v>1</v>
      </c>
      <c r="T130" s="46" t="str">
        <f t="shared" si="33"/>
        <v>NorthBound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34"/>
        <v>https://d0f6bd738d7f1b3e5a7ca70fe4ff75f0.us-east-1.aws.found.io/app/kibana#/discover/Steve-Slow-Train-Analysis-(2080s-and-2083s)?_g=(refreshInterval:(display:Off,pause:!f,section:0,value:0),time:(from:'2017-03-19T16:57:34-0600',mode:absolute,to:'2017-03-19T19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0" s="187" t="str">
        <f t="shared" si="35"/>
        <v>N</v>
      </c>
      <c r="X130" s="187">
        <f t="shared" si="50"/>
        <v>1</v>
      </c>
      <c r="Y130" s="62">
        <f t="shared" si="37"/>
        <v>4.6199999999999998E-2</v>
      </c>
      <c r="Z130" s="62">
        <f t="shared" si="48"/>
        <v>23.328900000000001</v>
      </c>
      <c r="AA130" s="62">
        <f t="shared" si="38"/>
        <v>23.282700000000002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9"/>
        <v>0215-19</v>
      </c>
      <c r="AE130" s="85" t="str">
        <f t="shared" si="40"/>
        <v>aws s3 cp s3://rtdc.mdm.uploadarchive.raw/RTDC4003/ "%USERPROFILE%\AppData\Local\Temp\OnboardLogs"\RTDC4003\2017-03-19 --exclude "*" --recursive --include "*20170319*" &amp; "%USERPROFILE%\Documents\GitHub\mrs-test-scripts\Headless Mode &amp; Sideloading\WalkAndUnGZ.bat" "%USERPROFILE%\AppData\Local\Temp\OnboardLogs"\RTDC4003\2017-03-19 &amp; 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</v>
      </c>
      <c r="AF130" s="82" t="str">
        <f t="shared" si="41"/>
        <v>"C:\Program Files (x86)\AstroGrep\AstroGrep.exe" /e /r /s /spath="%USERPROFILE%\AppData\Local\Temp\OnboardLogs" /stypes="app*4003*20170320*" /stext=" 00:.+((SYSTEM_STATE.+slice.+state.+changed )|(ment ac)|(multiple cpu faults)|(system.+state.+changed )|(\[timeout)|(PRM\|1\|D)|(kpr)|(kdp)|(\|lc)|(penalty))"</v>
      </c>
      <c r="AG130" s="1" t="str">
        <f t="shared" si="42"/>
        <v>EC</v>
      </c>
      <c r="AH130" s="86" t="str">
        <f t="shared" si="43"/>
        <v>"%USERPROFILE%\Documents\GitHub\eaglep3\Utilities\RefineRTDCRunTimes.py" --tripid 215-19 --locoid 4003 --swversion DE.1.0.9.0 --startMP 204:462 --initTime 2017-03-19T17:57:34 --startdatetime 2017-03-19T18:00:15 --delay 1 --endMP 204:233289 --enddatetime 2017-03-19T18:37:07 --enforcementcount 0 &gt;&gt;%USERPROFILE%\Documents\GitHub\eaglep3-reporting\EC\2017-03-19-refined-times.txt</v>
      </c>
      <c r="AI130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{"issue":{"subject":"","project_id":79,"tracker_id":40,"status_id":1,"priority_id":2,"assigned_to_id":23,"start_date":"2017-03-19","description":"","custom_fields":[{"id":1,"name":"Subdivision","value":"EC"},{"id":4,"name":"Milepost","value":"23.3289"},{"id":17,"name":"Train ID","value":"215-19"},{"id":16,"name":"Locomotive ID","value":"4003"},{"id":130,"name":"Impact","value":""},{"id":150,"name":"Time of Event (Mountain Time)","value":"18:37:07"},{"id":151,"name":"Denver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45"/>
        <v>start /low /b %USERPROFILE%\Documents\GitHub\eaglep3\Utilities\DownloadLogsFromS3.py --loco 4003 --day 2017-03-19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"%USERPROFILE%\AppData\Local\Temp\OnboardLogs"\RTDC4003\*4003*20170320* | grep -SE "(Enforcement Action)|(\[TIMEOUT)|(CHR.+\|PRM\|1\|D.+(SWITCH|SIGNAL).+UNKNOWN)" - &gt;&gt; 2017-03-19-UncaughtWiMAX.txt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754</v>
      </c>
      <c r="B131" s="7">
        <v>4004</v>
      </c>
      <c r="C131" s="21" t="s">
        <v>221</v>
      </c>
      <c r="D131" s="21" t="s">
        <v>830</v>
      </c>
      <c r="E131" s="13">
        <v>42813.782592592594</v>
      </c>
      <c r="F131" s="13">
        <v>42813.789479166669</v>
      </c>
      <c r="G131" s="7">
        <v>2</v>
      </c>
      <c r="H131" s="21" t="s">
        <v>190</v>
      </c>
      <c r="I131" s="13">
        <v>42813.817939814813</v>
      </c>
      <c r="J131" s="7">
        <v>0</v>
      </c>
      <c r="K131" s="98" t="str">
        <f t="shared" si="31"/>
        <v>4003/4004</v>
      </c>
      <c r="L131" s="21" t="str">
        <f>VLOOKUP(A131,'Trips&amp;Operators'!$C$1:$G$99999,5,FALSE)</f>
        <v>BRANDNER MELINDA</v>
      </c>
      <c r="M131" s="6">
        <f t="shared" si="49"/>
        <v>2.8460648143664002E-2</v>
      </c>
      <c r="N131" s="7">
        <f t="shared" si="51"/>
        <v>40.983333326876163</v>
      </c>
      <c r="O131" s="7"/>
      <c r="P131" s="7"/>
      <c r="Q131" s="22"/>
      <c r="R131" s="22"/>
      <c r="S131" s="31">
        <f t="shared" si="52"/>
        <v>1</v>
      </c>
      <c r="T131" s="46" t="str">
        <f t="shared" si="33"/>
        <v>Southbound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34"/>
        <v>https://d0f6bd738d7f1b3e5a7ca70fe4ff75f0.us-east-1.aws.found.io/app/kibana#/discover/Steve-Slow-Train-Analysis-(2080s-and-2083s)?_g=(refreshInterval:(display:Off,pause:!f,section:0,value:0),time:(from:'2017-03-19T17:46:56-0600',mode:absolute,to:'2017-03-19T20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1" s="187" t="str">
        <f t="shared" si="35"/>
        <v>N</v>
      </c>
      <c r="X131" s="187">
        <f t="shared" si="50"/>
        <v>1</v>
      </c>
      <c r="Y131" s="62">
        <f t="shared" si="37"/>
        <v>23.2972</v>
      </c>
      <c r="Z131" s="62">
        <f t="shared" si="48"/>
        <v>1.4999999999999999E-2</v>
      </c>
      <c r="AA131" s="62">
        <f t="shared" si="38"/>
        <v>23.2822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9"/>
        <v>0216-19</v>
      </c>
      <c r="AE131" s="85" t="str">
        <f t="shared" si="40"/>
        <v>aws s3 cp s3://rtdc.mdm.uploadarchive.raw/RTDC4004/ "%USERPROFILE%\AppData\Local\Temp\OnboardLogs"\RTDC4004\2017-03-19 --exclude "*" --recursive --include "*20170319*" &amp; "%USERPROFILE%\Documents\GitHub\mrs-test-scripts\Headless Mode &amp; Sideloading\WalkAndUnGZ.bat" "%USERPROFILE%\AppData\Local\Temp\OnboardLogs"\RTDC4004\2017-03-19 &amp; 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</v>
      </c>
      <c r="AF131" s="82" t="str">
        <f t="shared" si="41"/>
        <v>"C:\Program Files (x86)\AstroGrep\AstroGrep.exe" /e /r /s /spath="%USERPROFILE%\AppData\Local\Temp\OnboardLogs" /stypes="app*4004*20170320*" /stext=" 01:.+((SYSTEM_STATE.+slice.+state.+changed )|(ment ac)|(multiple cpu faults)|(system.+state.+changed )|(\[timeout)|(PRM\|1\|D)|(kpr)|(kdp)|(\|lc)|(penalty))"</v>
      </c>
      <c r="AG131" s="1" t="str">
        <f t="shared" si="42"/>
        <v>EC</v>
      </c>
      <c r="AH131" s="86" t="str">
        <f t="shared" si="43"/>
        <v>"%USERPROFILE%\Documents\GitHub\eaglep3\Utilities\RefineRTDCRunTimes.py" --tripid 216-19 --locoid 4004 --swversion DE.1.0.9.0 --startMP 204:232972 --initTime 2017-03-19T18:46:56 --startdatetime 2017-03-19T18:56:51 --delay 2 --endMP 204:150 --enddatetime 2017-03-19T19:37:50 --enforcementcount 0 &gt;&gt;%USERPROFILE%\Documents\GitHub\eaglep3-reporting\EC\2017-03-19-refined-times.txt</v>
      </c>
      <c r="AI131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{"issue":{"subject":"","project_id":79,"tracker_id":40,"status_id":1,"priority_id":2,"assigned_to_id":23,"start_date":"2017-03-19","description":"","custom_fields":[{"id":1,"name":"Subdivision","value":"EC"},{"id":4,"name":"Milepost","value":"0.015"},{"id":17,"name":"Train ID","value":"216-19"},{"id":16,"name":"Locomotive ID","value":"4004"},{"id":130,"name":"Impact","value":""},{"id":150,"name":"Time of Event (Mountain Time)","value":"19:37:50"},{"id":151,"name":"Denver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45"/>
        <v>start /low /b %USERPROFILE%\Documents\GitHub\eaglep3\Utilities\DownloadLogsFromS3.py --loco 4004 --day 2017-03-19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"%USERPROFILE%\AppData\Local\Temp\OnboardLogs"\RTDC4004\*4004*20170320* | grep -SE "(Enforcement Action)|(\[TIMEOUT)|(CHR.+\|PRM\|1\|D.+(SWITCH|SIGNAL).+UNKNOWN)" - &gt;&gt; 2017-03-19-UncaughtWiMAX.txt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747</v>
      </c>
      <c r="B132" s="7">
        <v>4002</v>
      </c>
      <c r="C132" s="21" t="s">
        <v>221</v>
      </c>
      <c r="D132" s="21" t="s">
        <v>536</v>
      </c>
      <c r="E132" s="13">
        <v>42813.760810185187</v>
      </c>
      <c r="F132" s="13">
        <v>42813.762106481481</v>
      </c>
      <c r="G132" s="7">
        <v>1</v>
      </c>
      <c r="H132" s="21" t="s">
        <v>819</v>
      </c>
      <c r="I132" s="13">
        <v>42813.788032407407</v>
      </c>
      <c r="J132" s="7">
        <v>0</v>
      </c>
      <c r="K132" s="98" t="str">
        <f t="shared" si="31"/>
        <v>4001/4002</v>
      </c>
      <c r="L132" s="21" t="str">
        <f>VLOOKUP(A132,'Trips&amp;Operators'!$C$1:$G$99999,5,FALSE)</f>
        <v>SMITH MICHAEL</v>
      </c>
      <c r="M132" s="6">
        <f t="shared" si="49"/>
        <v>2.5925925925548654E-2</v>
      </c>
      <c r="N132" s="7">
        <f t="shared" si="51"/>
        <v>37.333333332790062</v>
      </c>
      <c r="O132" s="7"/>
      <c r="P132" s="7"/>
      <c r="Q132" s="22"/>
      <c r="R132" s="22"/>
      <c r="S132" s="31">
        <f t="shared" si="52"/>
        <v>1</v>
      </c>
      <c r="T132" s="46" t="str">
        <f t="shared" si="33"/>
        <v>NorthBound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34"/>
        <v>https://d0f6bd738d7f1b3e5a7ca70fe4ff75f0.us-east-1.aws.found.io/app/kibana#/discover/Steve-Slow-Train-Analysis-(2080s-and-2083s)?_g=(refreshInterval:(display:Off,pause:!f,section:0,value:0),time:(from:'2017-03-19T17:15:34-0600',mode:absolute,to:'2017-03-19T19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2" s="187" t="str">
        <f t="shared" si="35"/>
        <v>N</v>
      </c>
      <c r="X132" s="187">
        <f t="shared" si="50"/>
        <v>1</v>
      </c>
      <c r="Y132" s="62">
        <f t="shared" si="37"/>
        <v>4.3799999999999999E-2</v>
      </c>
      <c r="Z132" s="62">
        <f t="shared" si="48"/>
        <v>23.328900000000001</v>
      </c>
      <c r="AA132" s="62">
        <f t="shared" si="38"/>
        <v>23.2851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9"/>
        <v>0217-19</v>
      </c>
      <c r="AE132" s="85" t="str">
        <f t="shared" si="40"/>
        <v>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 &amp; 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</v>
      </c>
      <c r="AF132" s="82" t="str">
        <f t="shared" si="41"/>
        <v>"C:\Program Files (x86)\AstroGrep\AstroGrep.exe" /e /r /s /spath="%USERPROFILE%\AppData\Local\Temp\OnboardLogs" /stypes="app*4002*20170320*" /stext=" 00:.+((SYSTEM_STATE.+slice.+state.+changed )|(ment ac)|(multiple cpu faults)|(system.+state.+changed )|(\[timeout)|(PRM\|1\|D)|(kpr)|(kdp)|(\|lc)|(penalty))"</v>
      </c>
      <c r="AG132" s="1" t="str">
        <f t="shared" si="42"/>
        <v>EC</v>
      </c>
      <c r="AH132" s="86" t="str">
        <f t="shared" si="43"/>
        <v>"%USERPROFILE%\Documents\GitHub\eaglep3\Utilities\RefineRTDCRunTimes.py" --tripid 217-19 --locoid 4002 --swversion DE.1.0.9.0 --startMP 204:438 --initTime 2017-03-19T18:15:34 --startdatetime 2017-03-19T18:17:26 --delay 1 --endMP 204:233289 --enddatetime 2017-03-19T18:54:46 --enforcementcount 0 &gt;&gt;%USERPROFILE%\Documents\GitHub\eaglep3-reporting\EC\2017-03-19-refined-times.txt</v>
      </c>
      <c r="AI132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{"issue":{"subject":"","project_id":79,"tracker_id":40,"status_id":1,"priority_id":2,"assigned_to_id":23,"start_date":"2017-03-19","description":"","custom_fields":[{"id":1,"name":"Subdivision","value":"EC"},{"id":4,"name":"Milepost","value":"23.3289"},{"id":17,"name":"Train ID","value":"217-19"},{"id":16,"name":"Locomotive ID","value":"4002"},{"id":130,"name":"Impact","value":""},{"id":150,"name":"Time of Event (Mountain Time)","value":"18:54:46"},{"id":151,"name":"Denver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45"/>
        <v>start /low /b %USERPROFILE%\Documents\GitHub\eaglep3\Utilities\DownloadLogsFromS3.py --loco 4002 --day 2017-03-19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"%USERPROFILE%\AppData\Local\Temp\OnboardLogs"\RTDC4002\*4002*20170320* | grep -SE "(Enforcement Action)|(\[TIMEOUT)|(CHR.+\|PRM\|1\|D.+(SWITCH|SIGNAL).+UNKNOWN)" - &gt;&gt; 2017-03-19-UncaughtWiMAX.txt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755</v>
      </c>
      <c r="B133" s="7">
        <v>4001</v>
      </c>
      <c r="C133" s="21" t="s">
        <v>221</v>
      </c>
      <c r="D133" s="21" t="s">
        <v>904</v>
      </c>
      <c r="E133" s="13">
        <v>42813.790300925924</v>
      </c>
      <c r="F133" s="13">
        <v>42813.799733796295</v>
      </c>
      <c r="G133" s="7">
        <v>1</v>
      </c>
      <c r="H133" s="21" t="s">
        <v>895</v>
      </c>
      <c r="I133" s="13">
        <v>42813.826608796298</v>
      </c>
      <c r="J133" s="7">
        <v>0</v>
      </c>
      <c r="K133" s="98" t="str">
        <f t="shared" si="31"/>
        <v>4001/4002</v>
      </c>
      <c r="L133" s="21" t="str">
        <f>VLOOKUP(A133,'Trips&amp;Operators'!$C$1:$G$99999,5,FALSE)</f>
        <v>SMITH MICHAEL</v>
      </c>
      <c r="M133" s="6">
        <f t="shared" si="49"/>
        <v>2.6875000003201421E-2</v>
      </c>
      <c r="N133" s="7">
        <f t="shared" si="51"/>
        <v>38.700000004610047</v>
      </c>
      <c r="O133" s="7"/>
      <c r="P133" s="7"/>
      <c r="Q133" s="22"/>
      <c r="R133" s="22"/>
      <c r="S133" s="31">
        <f t="shared" si="52"/>
        <v>1</v>
      </c>
      <c r="T133" s="46" t="str">
        <f t="shared" si="33"/>
        <v>Southbound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34"/>
        <v>https://d0f6bd738d7f1b3e5a7ca70fe4ff75f0.us-east-1.aws.found.io/app/kibana#/discover/Steve-Slow-Train-Analysis-(2080s-and-2083s)?_g=(refreshInterval:(display:Off,pause:!f,section:0,value:0),time:(from:'2017-03-19T17:58:02-0600',mode:absolute,to:'2017-03-19T20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3" s="187" t="str">
        <f t="shared" si="35"/>
        <v>N</v>
      </c>
      <c r="X133" s="187">
        <f t="shared" si="50"/>
        <v>1</v>
      </c>
      <c r="Y133" s="62">
        <f t="shared" si="37"/>
        <v>23.296700000000001</v>
      </c>
      <c r="Z133" s="62">
        <f t="shared" si="48"/>
        <v>1.34E-2</v>
      </c>
      <c r="AA133" s="62">
        <f t="shared" si="38"/>
        <v>23.283300000000001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9"/>
        <v>0218-19</v>
      </c>
      <c r="AE133" s="85" t="str">
        <f t="shared" si="40"/>
        <v>aws s3 cp s3://rtdc.mdm.uploadarchive.raw/RTDC4001/ "%USERPROFILE%\AppData\Local\Temp\OnboardLogs"\RTDC4001\2017-03-19 --exclude "*" --recursive --include "*20170319*" &amp; "%USERPROFILE%\Documents\GitHub\mrs-test-scripts\Headless Mode &amp; Sideloading\WalkAndUnGZ.bat" "%USERPROFILE%\AppData\Local\Temp\OnboardLogs"\RTDC4001\2017-03-19 &amp; aws s3 cp s3://rtdc.mdm.uploadarchive.raw/RTDC4001/ "%USERPROFILE%\AppData\Local\Temp\OnboardLogs"\RTDC4001\2017-03-20 --exclude "*" --recursive --include "*20170320*" &amp; "%USERPROFILE%\Documents\GitHub\mrs-test-scripts\Headless Mode &amp; Sideloading\WalkAndUnGZ.bat" "%USERPROFILE%\AppData\Local\Temp\OnboardLogs"\RTDC4001\2017-03-20</v>
      </c>
      <c r="AF133" s="82" t="str">
        <f t="shared" si="41"/>
        <v>"C:\Program Files (x86)\AstroGrep\AstroGrep.exe" /e /r /s /spath="%USERPROFILE%\AppData\Local\Temp\OnboardLogs" /stypes="app*4001*20170320*" /stext=" 01:.+((SYSTEM_STATE.+slice.+state.+changed )|(ment ac)|(multiple cpu faults)|(system.+state.+changed )|(\[timeout)|(PRM\|1\|D)|(kpr)|(kdp)|(\|lc)|(penalty))"</v>
      </c>
      <c r="AG133" s="1" t="str">
        <f t="shared" si="42"/>
        <v>EC</v>
      </c>
      <c r="AH133" s="86" t="str">
        <f t="shared" si="43"/>
        <v>"%USERPROFILE%\Documents\GitHub\eaglep3\Utilities\RefineRTDCRunTimes.py" --tripid 218-19 --locoid 4001 --swversion DE.1.0.9.0 --startMP 204:232967 --initTime 2017-03-19T18:58:02 --startdatetime 2017-03-19T19:11:37 --delay 1 --endMP 204:134 --enddatetime 2017-03-19T19:50:19 --enforcementcount 0 &gt;&gt;%USERPROFILE%\Documents\GitHub\eaglep3-reporting\EC\2017-03-19-refined-times.txt</v>
      </c>
      <c r="AI133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{"issue":{"subject":"","project_id":79,"tracker_id":40,"status_id":1,"priority_id":2,"assigned_to_id":23,"start_date":"2017-03-19","description":"","custom_fields":[{"id":1,"name":"Subdivision","value":"EC"},{"id":4,"name":"Milepost","value":"0.0134"},{"id":17,"name":"Train ID","value":"218-19"},{"id":16,"name":"Locomotive ID","value":"4001"},{"id":130,"name":"Impact","value":""},{"id":150,"name":"Time of Event (Mountain Time)","value":"19:50:19"},{"id":151,"name":"Denver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45"/>
        <v>start /low /b %USERPROFILE%\Documents\GitHub\eaglep3\Utilities\DownloadLogsFromS3.py --loco 4001 --day 2017-03-19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"%USERPROFILE%\AppData\Local\Temp\OnboardLogs"\RTDC4001\*4001*20170320* | grep -SE "(Enforcement Action)|(\[TIMEOUT)|(CHR.+\|PRM\|1\|D.+(SWITCH|SIGNAL).+UNKNOWN)" - &gt;&gt; 2017-03-19-UncaughtWiMAX.txt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750</v>
      </c>
      <c r="B134" s="7">
        <v>4016</v>
      </c>
      <c r="C134" s="21" t="s">
        <v>221</v>
      </c>
      <c r="D134" s="21" t="s">
        <v>207</v>
      </c>
      <c r="E134" s="13">
        <v>42813.768090277779</v>
      </c>
      <c r="F134" s="13">
        <v>42813.771203703705</v>
      </c>
      <c r="G134" s="7">
        <v>1</v>
      </c>
      <c r="H134" s="21" t="s">
        <v>561</v>
      </c>
      <c r="I134" s="13">
        <v>42813.796099537038</v>
      </c>
      <c r="J134" s="7">
        <v>0</v>
      </c>
      <c r="K134" s="98" t="str">
        <f t="shared" si="31"/>
        <v>4015/4016</v>
      </c>
      <c r="L134" s="21" t="str">
        <f>VLOOKUP(A134,'Trips&amp;Operators'!$C$1:$G$99999,5,FALSE)</f>
        <v>STAMBAUGH JAMES</v>
      </c>
      <c r="M134" s="6">
        <f t="shared" si="49"/>
        <v>2.4895833332266193E-2</v>
      </c>
      <c r="N134" s="7">
        <f t="shared" si="51"/>
        <v>35.849999998463318</v>
      </c>
      <c r="O134" s="7"/>
      <c r="P134" s="7"/>
      <c r="Q134" s="22"/>
      <c r="R134" s="22"/>
      <c r="S134" s="31">
        <f t="shared" si="52"/>
        <v>1</v>
      </c>
      <c r="T134" s="46" t="str">
        <f t="shared" si="33"/>
        <v>NorthBound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34"/>
        <v>https://d0f6bd738d7f1b3e5a7ca70fe4ff75f0.us-east-1.aws.found.io/app/kibana#/discover/Steve-Slow-Train-Analysis-(2080s-and-2083s)?_g=(refreshInterval:(display:Off,pause:!f,section:0,value:0),time:(from:'2017-03-19T17:26:03-0600',mode:absolute,to:'2017-03-19T20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4" s="187" t="str">
        <f t="shared" si="35"/>
        <v>N</v>
      </c>
      <c r="X134" s="187">
        <f t="shared" si="50"/>
        <v>1</v>
      </c>
      <c r="Y134" s="62">
        <f t="shared" si="37"/>
        <v>4.5699999999999998E-2</v>
      </c>
      <c r="Z134" s="62">
        <f t="shared" si="48"/>
        <v>23.338699999999999</v>
      </c>
      <c r="AA134" s="62">
        <f t="shared" si="38"/>
        <v>23.292999999999999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9"/>
        <v>0219-19</v>
      </c>
      <c r="AE134" s="85" t="str">
        <f t="shared" si="40"/>
        <v>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 &amp; 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</v>
      </c>
      <c r="AF134" s="82" t="str">
        <f t="shared" si="41"/>
        <v>"C:\Program Files (x86)\AstroGrep\AstroGrep.exe" /e /r /s /spath="%USERPROFILE%\AppData\Local\Temp\OnboardLogs" /stypes="app*4016*20170320*" /stext=" 01:.+((SYSTEM_STATE.+slice.+state.+changed )|(ment ac)|(multiple cpu faults)|(system.+state.+changed )|(\[timeout)|(PRM\|1\|D)|(kpr)|(kdp)|(\|lc)|(penalty))"</v>
      </c>
      <c r="AG134" s="1" t="str">
        <f t="shared" si="42"/>
        <v>EC</v>
      </c>
      <c r="AH134" s="86" t="str">
        <f t="shared" si="43"/>
        <v>"%USERPROFILE%\Documents\GitHub\eaglep3\Utilities\RefineRTDCRunTimes.py" --tripid 219-19 --locoid 4016 --swversion DE.1.0.9.0 --startMP 204:457 --initTime 2017-03-19T18:26:03 --startdatetime 2017-03-19T18:30:32 --delay 1 --endMP 204:233387 --enddatetime 2017-03-19T19:06:23 --enforcementcount 0 &gt;&gt;%USERPROFILE%\Documents\GitHub\eaglep3-reporting\EC\2017-03-19-refined-times.txt</v>
      </c>
      <c r="AI134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{"issue":{"subject":"","project_id":79,"tracker_id":40,"status_id":1,"priority_id":2,"assigned_to_id":23,"start_date":"2017-03-19","description":"","custom_fields":[{"id":1,"name":"Subdivision","value":"EC"},{"id":4,"name":"Milepost","value":"23.3387"},{"id":17,"name":"Train ID","value":"219-19"},{"id":16,"name":"Locomotive ID","value":"4016"},{"id":130,"name":"Impact","value":""},{"id":150,"name":"Time of Event (Mountain Time)","value":"19:06:23"},{"id":151,"name":"Denver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45"/>
        <v>start /low /b %USERPROFILE%\Documents\GitHub\eaglep3\Utilities\DownloadLogsFromS3.py --loco 4016 --day 2017-03-19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"%USERPROFILE%\AppData\Local\Temp\OnboardLogs"\RTDC4016\*4016*20170320* | grep -SE "(Enforcement Action)|(\[TIMEOUT)|(CHR.+\|PRM\|1\|D.+(SWITCH|SIGNAL).+UNKNOWN)" - &gt;&gt; 2017-03-19-UncaughtWiMAX.txt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759</v>
      </c>
      <c r="B135" s="7">
        <v>4015</v>
      </c>
      <c r="C135" s="21" t="s">
        <v>221</v>
      </c>
      <c r="D135" s="21" t="s">
        <v>905</v>
      </c>
      <c r="E135" s="13">
        <v>42813.807905092595</v>
      </c>
      <c r="F135" s="13">
        <v>42813.810266203705</v>
      </c>
      <c r="G135" s="7">
        <v>1</v>
      </c>
      <c r="H135" s="21" t="s">
        <v>204</v>
      </c>
      <c r="I135" s="13">
        <v>42813.836261574077</v>
      </c>
      <c r="J135" s="7">
        <v>0</v>
      </c>
      <c r="K135" s="98" t="str">
        <f t="shared" si="31"/>
        <v>4015/4016</v>
      </c>
      <c r="L135" s="21" t="str">
        <f>VLOOKUP(A135,'Trips&amp;Operators'!$C$1:$G$99999,5,FALSE)</f>
        <v>STAMBAUGH JAMES</v>
      </c>
      <c r="M135" s="6">
        <f t="shared" si="49"/>
        <v>2.5995370371674653E-2</v>
      </c>
      <c r="N135" s="7">
        <f t="shared" si="51"/>
        <v>37.433333335211501</v>
      </c>
      <c r="O135" s="7"/>
      <c r="P135" s="7"/>
      <c r="Q135" s="22"/>
      <c r="R135" s="22"/>
      <c r="S135" s="31">
        <f t="shared" si="52"/>
        <v>1</v>
      </c>
      <c r="T135" s="46" t="str">
        <f t="shared" si="33"/>
        <v>Southbound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34"/>
        <v>https://d0f6bd738d7f1b3e5a7ca70fe4ff75f0.us-east-1.aws.found.io/app/kibana#/discover/Steve-Slow-Train-Analysis-(2080s-and-2083s)?_g=(refreshInterval:(display:Off,pause:!f,section:0,value:0),time:(from:'2017-03-19T18:23:23-0600',mode:absolute,to:'2017-03-19T21:04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5" s="187" t="str">
        <f t="shared" si="35"/>
        <v>N</v>
      </c>
      <c r="X135" s="187">
        <f t="shared" si="50"/>
        <v>1</v>
      </c>
      <c r="Y135" s="62">
        <f t="shared" si="37"/>
        <v>23.3108</v>
      </c>
      <c r="Z135" s="62">
        <f t="shared" si="48"/>
        <v>1.54E-2</v>
      </c>
      <c r="AA135" s="62">
        <f t="shared" si="38"/>
        <v>23.295400000000001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9"/>
        <v>0220-19</v>
      </c>
      <c r="AE135" s="85" t="str">
        <f t="shared" si="40"/>
        <v>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 &amp; 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</v>
      </c>
      <c r="AF135" s="82" t="str">
        <f t="shared" si="41"/>
        <v>"C:\Program Files (x86)\AstroGrep\AstroGrep.exe" /e /r /s /spath="%USERPROFILE%\AppData\Local\Temp\OnboardLogs" /stypes="app*4015*20170320*" /stext=" 02:.+((SYSTEM_STATE.+slice.+state.+changed )|(ment ac)|(multiple cpu faults)|(system.+state.+changed )|(\[timeout)|(PRM\|1\|D)|(kpr)|(kdp)|(\|lc)|(penalty))"</v>
      </c>
      <c r="AG135" s="1" t="str">
        <f t="shared" si="42"/>
        <v>EC</v>
      </c>
      <c r="AH135" s="86" t="str">
        <f t="shared" si="43"/>
        <v>"%USERPROFILE%\Documents\GitHub\eaglep3\Utilities\RefineRTDCRunTimes.py" --tripid 220-19 --locoid 4015 --swversion DE.1.0.9.0 --startMP 204:233108 --initTime 2017-03-19T19:23:23 --startdatetime 2017-03-19T19:26:47 --delay 1 --endMP 204:154 --enddatetime 2017-03-19T20:04:13 --enforcementcount 0 &gt;&gt;%USERPROFILE%\Documents\GitHub\eaglep3-reporting\EC\2017-03-19-refined-times.txt</v>
      </c>
      <c r="AI135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{"issue":{"subject":"","project_id":79,"tracker_id":40,"status_id":1,"priority_id":2,"assigned_to_id":23,"start_date":"2017-03-19","description":"","custom_fields":[{"id":1,"name":"Subdivision","value":"EC"},{"id":4,"name":"Milepost","value":"0.0154"},{"id":17,"name":"Train ID","value":"220-19"},{"id":16,"name":"Locomotive ID","value":"4015"},{"id":130,"name":"Impact","value":""},{"id":150,"name":"Time of Event (Mountain Time)","value":"20:04:13"},{"id":151,"name":"Denver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45"/>
        <v>start /low /b %USERPROFILE%\Documents\GitHub\eaglep3\Utilities\DownloadLogsFromS3.py --loco 4015 --day 2017-03-19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"%USERPROFILE%\AppData\Local\Temp\OnboardLogs"\RTDC4015\*4015*20170320* | grep -SE "(Enforcement Action)|(\[TIMEOUT)|(CHR.+\|PRM\|1\|D.+(SWITCH|SIGNAL).+UNKNOWN)" - &gt;&gt; 2017-03-19-UncaughtWiMAX.txt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756</v>
      </c>
      <c r="B136" s="7">
        <v>4020</v>
      </c>
      <c r="C136" s="21" t="s">
        <v>221</v>
      </c>
      <c r="D136" s="21" t="s">
        <v>222</v>
      </c>
      <c r="E136" s="13">
        <v>42813.790798611109</v>
      </c>
      <c r="F136" s="13">
        <v>42813.792407407411</v>
      </c>
      <c r="G136" s="7">
        <v>1</v>
      </c>
      <c r="H136" s="21" t="s">
        <v>565</v>
      </c>
      <c r="I136" s="13">
        <v>42813.818252314813</v>
      </c>
      <c r="J136" s="7">
        <v>0</v>
      </c>
      <c r="K136" s="98" t="str">
        <f t="shared" si="31"/>
        <v>4019/4020</v>
      </c>
      <c r="L136" s="21" t="str">
        <f>VLOOKUP(A136,'Trips&amp;Operators'!$C$1:$G$99999,5,FALSE)</f>
        <v>CHANDLER KELVIN</v>
      </c>
      <c r="M136" s="6">
        <f t="shared" si="49"/>
        <v>2.5844907402643003E-2</v>
      </c>
      <c r="N136" s="7">
        <f t="shared" si="51"/>
        <v>37.216666659805924</v>
      </c>
      <c r="O136" s="7"/>
      <c r="P136" s="7"/>
      <c r="Q136" s="22"/>
      <c r="R136" s="22"/>
      <c r="S136" s="31">
        <f t="shared" si="52"/>
        <v>1</v>
      </c>
      <c r="T136" s="46" t="str">
        <f t="shared" si="33"/>
        <v>NorthBound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34"/>
        <v>https://d0f6bd738d7f1b3e5a7ca70fe4ff75f0.us-east-1.aws.found.io/app/kibana#/discover/Steve-Slow-Train-Analysis-(2080s-and-2083s)?_g=(refreshInterval:(display:Off,pause:!f,section:0,value:0),time:(from:'2017-03-19T17:58:45-0600',mode:absolute,to:'2017-03-19T20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6" s="187" t="str">
        <f t="shared" si="35"/>
        <v>N</v>
      </c>
      <c r="X136" s="187">
        <f t="shared" si="50"/>
        <v>1</v>
      </c>
      <c r="Y136" s="62">
        <f t="shared" si="37"/>
        <v>4.58E-2</v>
      </c>
      <c r="Z136" s="62">
        <f t="shared" si="48"/>
        <v>23.3291</v>
      </c>
      <c r="AA136" s="62">
        <f t="shared" si="38"/>
        <v>23.283300000000001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9"/>
        <v>0221-19</v>
      </c>
      <c r="AE136" s="85" t="str">
        <f t="shared" si="40"/>
        <v>aws s3 cp s3://rtdc.mdm.uploadarchive.raw/RTDC4020/ "%USERPROFILE%\AppData\Local\Temp\OnboardLogs"\RTDC4020\2017-03-19 --exclude "*" --recursive --include "*20170319*" &amp; "%USERPROFILE%\Documents\GitHub\mrs-test-scripts\Headless Mode &amp; Sideloading\WalkAndUnGZ.bat" "%USERPROFILE%\AppData\Local\Temp\OnboardLogs"\RTDC4020\2017-03-19 &amp; aws s3 cp s3://rtdc.mdm.uploadarchive.raw/RTDC4020/ "%USERPROFILE%\AppData\Local\Temp\OnboardLogs"\RTDC4020\2017-03-20 --exclude "*" --recursive --include "*20170320*" &amp; "%USERPROFILE%\Documents\GitHub\mrs-test-scripts\Headless Mode &amp; Sideloading\WalkAndUnGZ.bat" "%USERPROFILE%\AppData\Local\Temp\OnboardLogs"\RTDC4020\2017-03-20</v>
      </c>
      <c r="AF136" s="82" t="str">
        <f t="shared" si="41"/>
        <v>"C:\Program Files (x86)\AstroGrep\AstroGrep.exe" /e /r /s /spath="%USERPROFILE%\AppData\Local\Temp\OnboardLogs" /stypes="app*4020*20170320*" /stext=" 01:.+((SYSTEM_STATE.+slice.+state.+changed )|(ment ac)|(multiple cpu faults)|(system.+state.+changed )|(\[timeout)|(PRM\|1\|D)|(kpr)|(kdp)|(\|lc)|(penalty))"</v>
      </c>
      <c r="AG136" s="1" t="str">
        <f t="shared" si="42"/>
        <v>EC</v>
      </c>
      <c r="AH136" s="86" t="str">
        <f t="shared" si="43"/>
        <v>"%USERPROFILE%\Documents\GitHub\eaglep3\Utilities\RefineRTDCRunTimes.py" --tripid 221-19 --locoid 4020 --swversion DE.1.0.9.0 --startMP 204:458 --initTime 2017-03-19T18:58:45 --startdatetime 2017-03-19T19:01:04 --delay 1 --endMP 204:233291 --enddatetime 2017-03-19T19:38:17 --enforcementcount 0 &gt;&gt;%USERPROFILE%\Documents\GitHub\eaglep3-reporting\EC\2017-03-19-refined-times.txt</v>
      </c>
      <c r="AI136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{"issue":{"subject":"","project_id":79,"tracker_id":40,"status_id":1,"priority_id":2,"assigned_to_id":23,"start_date":"2017-03-19","description":"","custom_fields":[{"id":1,"name":"Subdivision","value":"EC"},{"id":4,"name":"Milepost","value":"23.3291"},{"id":17,"name":"Train ID","value":"221-19"},{"id":16,"name":"Locomotive ID","value":"4020"},{"id":130,"name":"Impact","value":""},{"id":150,"name":"Time of Event (Mountain Time)","value":"19:38:17"},{"id":151,"name":"Denver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45"/>
        <v>start /low /b %USERPROFILE%\Documents\GitHub\eaglep3\Utilities\DownloadLogsFromS3.py --loco 4020 --day 2017-03-19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"%USERPROFILE%\AppData\Local\Temp\OnboardLogs"\RTDC4020\*4020*20170320* | grep -SE "(Enforcement Action)|(\[TIMEOUT)|(CHR.+\|PRM\|1\|D.+(SWITCH|SIGNAL).+UNKNOWN)" - &gt;&gt; 2017-03-19-UncaughtWiMAX.txt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764</v>
      </c>
      <c r="B137" s="7">
        <v>4019</v>
      </c>
      <c r="C137" s="21" t="s">
        <v>221</v>
      </c>
      <c r="D137" s="21" t="s">
        <v>906</v>
      </c>
      <c r="E137" s="13">
        <v>42813.829224537039</v>
      </c>
      <c r="F137" s="13">
        <v>42813.830937500003</v>
      </c>
      <c r="G137" s="7">
        <v>1</v>
      </c>
      <c r="H137" s="21" t="s">
        <v>907</v>
      </c>
      <c r="I137" s="13">
        <v>42813.858958333331</v>
      </c>
      <c r="J137" s="7">
        <v>0</v>
      </c>
      <c r="K137" s="98" t="str">
        <f t="shared" si="31"/>
        <v>4019/4020</v>
      </c>
      <c r="L137" s="21" t="str">
        <f>VLOOKUP(A137,'Trips&amp;Operators'!$C$1:$G$99999,5,FALSE)</f>
        <v>CHANDLER KELVIN</v>
      </c>
      <c r="M137" s="6">
        <f t="shared" si="49"/>
        <v>2.8020833327900618E-2</v>
      </c>
      <c r="N137" s="7">
        <f t="shared" si="51"/>
        <v>40.34999999217689</v>
      </c>
      <c r="O137" s="7"/>
      <c r="P137" s="7"/>
      <c r="Q137" s="22"/>
      <c r="R137" s="22"/>
      <c r="S137" s="31">
        <f t="shared" si="52"/>
        <v>1</v>
      </c>
      <c r="T137" s="46" t="str">
        <f t="shared" si="33"/>
        <v>Southbound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34"/>
        <v>https://d0f6bd738d7f1b3e5a7ca70fe4ff75f0.us-east-1.aws.found.io/app/kibana#/discover/Steve-Slow-Train-Analysis-(2080s-and-2083s)?_g=(refreshInterval:(display:Off,pause:!f,section:0,value:0),time:(from:'2017-03-19T18:54:05-0600',mode:absolute,to:'2017-03-19T21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7" s="187" t="str">
        <f t="shared" si="35"/>
        <v>N</v>
      </c>
      <c r="X137" s="187">
        <f t="shared" si="50"/>
        <v>1</v>
      </c>
      <c r="Y137" s="62">
        <f t="shared" si="37"/>
        <v>23.295999999999999</v>
      </c>
      <c r="Z137" s="62">
        <f t="shared" si="48"/>
        <v>1.9099999999999999E-2</v>
      </c>
      <c r="AA137" s="62">
        <f t="shared" si="38"/>
        <v>23.276899999999998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9"/>
        <v>0222-19</v>
      </c>
      <c r="AE137" s="85" t="str">
        <f t="shared" si="40"/>
        <v>aws s3 cp s3://rtdc.mdm.uploadarchive.raw/RTDC4019/ "%USERPROFILE%\AppData\Local\Temp\OnboardLogs"\RTDC4019\2017-03-19 --exclude "*" --recursive --include "*20170319*" &amp; "%USERPROFILE%\Documents\GitHub\mrs-test-scripts\Headless Mode &amp; Sideloading\WalkAndUnGZ.bat" "%USERPROFILE%\AppData\Local\Temp\OnboardLogs"\RTDC4019\2017-03-19 &amp; aws s3 cp s3://rtdc.mdm.uploadarchive.raw/RTDC4019/ "%USERPROFILE%\AppData\Local\Temp\OnboardLogs"\RTDC4019\2017-03-20 --exclude "*" --recursive --include "*20170320*" &amp; "%USERPROFILE%\Documents\GitHub\mrs-test-scripts\Headless Mode &amp; Sideloading\WalkAndUnGZ.bat" "%USERPROFILE%\AppData\Local\Temp\OnboardLogs"\RTDC4019\2017-03-20</v>
      </c>
      <c r="AF137" s="82" t="str">
        <f t="shared" si="41"/>
        <v>"C:\Program Files (x86)\AstroGrep\AstroGrep.exe" /e /r /s /spath="%USERPROFILE%\AppData\Local\Temp\OnboardLogs" /stypes="app*4019*20170320*" /stext=" 02:.+((SYSTEM_STATE.+slice.+state.+changed )|(ment ac)|(multiple cpu faults)|(system.+state.+changed )|(\[timeout)|(PRM\|1\|D)|(kpr)|(kdp)|(\|lc)|(penalty))"</v>
      </c>
      <c r="AG137" s="1" t="str">
        <f t="shared" si="42"/>
        <v>EC</v>
      </c>
      <c r="AH137" s="86" t="str">
        <f t="shared" si="43"/>
        <v>"%USERPROFILE%\Documents\GitHub\eaglep3\Utilities\RefineRTDCRunTimes.py" --tripid 222-19 --locoid 4019 --swversion DE.1.0.9.0 --startMP 204:232960 --initTime 2017-03-19T19:54:05 --startdatetime 2017-03-19T19:56:33 --delay 1 --endMP 204:191 --enddatetime 2017-03-19T20:36:54 --enforcementcount 0 &gt;&gt;%USERPROFILE%\Documents\GitHub\eaglep3-reporting\EC\2017-03-19-refined-times.txt</v>
      </c>
      <c r="AI137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{"issue":{"subject":"","project_id":79,"tracker_id":40,"status_id":1,"priority_id":2,"assigned_to_id":23,"start_date":"2017-03-19","description":"","custom_fields":[{"id":1,"name":"Subdivision","value":"EC"},{"id":4,"name":"Milepost","value":"0.0191"},{"id":17,"name":"Train ID","value":"222-19"},{"id":16,"name":"Locomotive ID","value":"4019"},{"id":130,"name":"Impact","value":""},{"id":150,"name":"Time of Event (Mountain Time)","value":"20:36:54"},{"id":151,"name":"Denver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45"/>
        <v>start /low /b %USERPROFILE%\Documents\GitHub\eaglep3\Utilities\DownloadLogsFromS3.py --loco 4019 --day 2017-03-19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"%USERPROFILE%\AppData\Local\Temp\OnboardLogs"\RTDC4019\*4019*20170320* | grep -SE "(Enforcement Action)|(\[TIMEOUT)|(CHR.+\|PRM\|1\|D.+(SWITCH|SIGNAL).+UNKNOWN)" - &gt;&gt; 2017-03-19-UncaughtWiMAX.txt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760</v>
      </c>
      <c r="B138" s="7">
        <v>4053</v>
      </c>
      <c r="C138" s="21" t="s">
        <v>221</v>
      </c>
      <c r="D138" s="21" t="s">
        <v>222</v>
      </c>
      <c r="E138" s="13">
        <v>42813.809699074074</v>
      </c>
      <c r="F138" s="13">
        <v>42813.812881944446</v>
      </c>
      <c r="G138" s="7">
        <v>1</v>
      </c>
      <c r="H138" s="21" t="s">
        <v>825</v>
      </c>
      <c r="I138" s="13">
        <v>42813.837199074071</v>
      </c>
      <c r="J138" s="7">
        <v>0</v>
      </c>
      <c r="K138" s="98" t="str">
        <f t="shared" si="31"/>
        <v>4053/4054</v>
      </c>
      <c r="L138" s="21" t="str">
        <f>VLOOKUP(A138,'Trips&amp;Operators'!$C$1:$G$99999,5,FALSE)</f>
        <v>NEWELL JAMES</v>
      </c>
      <c r="M138" s="6">
        <f t="shared" si="49"/>
        <v>2.4317129624250811E-2</v>
      </c>
      <c r="N138" s="7">
        <f t="shared" si="51"/>
        <v>35.016666658921167</v>
      </c>
      <c r="O138" s="7"/>
      <c r="P138" s="7"/>
      <c r="Q138" s="22"/>
      <c r="R138" s="22"/>
      <c r="S138" s="31">
        <f t="shared" si="52"/>
        <v>1</v>
      </c>
      <c r="T138" s="46" t="str">
        <f t="shared" si="33"/>
        <v>NorthBound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34"/>
        <v>https://d0f6bd738d7f1b3e5a7ca70fe4ff75f0.us-east-1.aws.found.io/app/kibana#/discover/Steve-Slow-Train-Analysis-(2080s-and-2083s)?_g=(refreshInterval:(display:Off,pause:!f,section:0,value:0),time:(from:'2017-03-19T18:25:58-0600',mode:absolute,to:'2017-03-19T21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8" s="187" t="str">
        <f t="shared" si="35"/>
        <v>N</v>
      </c>
      <c r="X138" s="187">
        <f t="shared" si="50"/>
        <v>1</v>
      </c>
      <c r="Y138" s="62">
        <f t="shared" si="37"/>
        <v>4.58E-2</v>
      </c>
      <c r="Z138" s="62">
        <f t="shared" si="48"/>
        <v>23.332100000000001</v>
      </c>
      <c r="AA138" s="62">
        <f t="shared" si="38"/>
        <v>23.286300000000001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9"/>
        <v>0223-19</v>
      </c>
      <c r="AE138" s="85" t="str">
        <f t="shared" si="40"/>
        <v>aws s3 cp s3://rtdc.mdm.uploadarchive.raw/RTDC4053/ "%USERPROFILE%\AppData\Local\Temp\OnboardLogs"\RTDC4053\2017-03-19 --exclude "*" --recursive --include "*20170319*" &amp; "%USERPROFILE%\Documents\GitHub\mrs-test-scripts\Headless Mode &amp; Sideloading\WalkAndUnGZ.bat" "%USERPROFILE%\AppData\Local\Temp\OnboardLogs"\RTDC4053\2017-03-19 &amp; aws s3 cp s3://rtdc.mdm.uploadarchive.raw/RTDC4053/ "%USERPROFILE%\AppData\Local\Temp\OnboardLogs"\RTDC4053\2017-03-20 --exclude "*" --recursive --include "*20170320*" &amp; "%USERPROFILE%\Documents\GitHub\mrs-test-scripts\Headless Mode &amp; Sideloading\WalkAndUnGZ.bat" "%USERPROFILE%\AppData\Local\Temp\OnboardLogs"\RTDC4053\2017-03-20</v>
      </c>
      <c r="AF138" s="82" t="str">
        <f t="shared" si="41"/>
        <v>"C:\Program Files (x86)\AstroGrep\AstroGrep.exe" /e /r /s /spath="%USERPROFILE%\AppData\Local\Temp\OnboardLogs" /stypes="app*4053*20170320*" /stext=" 02:.+((SYSTEM_STATE.+slice.+state.+changed )|(ment ac)|(multiple cpu faults)|(system.+state.+changed )|(\[timeout)|(PRM\|1\|D)|(kpr)|(kdp)|(\|lc)|(penalty))"</v>
      </c>
      <c r="AG138" s="1" t="str">
        <f t="shared" si="42"/>
        <v>EC</v>
      </c>
      <c r="AH138" s="86" t="str">
        <f t="shared" si="43"/>
        <v>"%USERPROFILE%\Documents\GitHub\eaglep3\Utilities\RefineRTDCRunTimes.py" --tripid 223-19 --locoid 4053 --swversion DE.1.0.9.0 --startMP 204:458 --initTime 2017-03-19T19:25:58 --startdatetime 2017-03-19T19:30:33 --delay 1 --endMP 204:233321 --enddatetime 2017-03-19T20:05:34 --enforcementcount 0 &gt;&gt;%USERPROFILE%\Documents\GitHub\eaglep3-reporting\EC\2017-03-19-refined-times.txt</v>
      </c>
      <c r="AI138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{"issue":{"subject":"","project_id":79,"tracker_id":40,"status_id":1,"priority_id":2,"assigned_to_id":23,"start_date":"2017-03-19","description":"","custom_fields":[{"id":1,"name":"Subdivision","value":"EC"},{"id":4,"name":"Milepost","value":"23.3321"},{"id":17,"name":"Train ID","value":"223-19"},{"id":16,"name":"Locomotive ID","value":"4053"},{"id":130,"name":"Impact","value":""},{"id":150,"name":"Time of Event (Mountain Time)","value":"20:05:34"},{"id":151,"name":"Denver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45"/>
        <v>start /low /b %USERPROFILE%\Documents\GitHub\eaglep3\Utilities\DownloadLogsFromS3.py --loco 4053 --day 2017-03-19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"%USERPROFILE%\AppData\Local\Temp\OnboardLogs"\RTDC4053\*4053*20170320* | grep -SE "(Enforcement Action)|(\[TIMEOUT)|(CHR.+\|PRM\|1\|D.+(SWITCH|SIGNAL).+UNKNOWN)" - &gt;&gt; 2017-03-19-UncaughtWiMAX.txt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769</v>
      </c>
      <c r="B139" s="7">
        <v>4054</v>
      </c>
      <c r="C139" s="21" t="s">
        <v>221</v>
      </c>
      <c r="D139" s="21" t="s">
        <v>550</v>
      </c>
      <c r="E139" s="13">
        <v>42813.840474537035</v>
      </c>
      <c r="F139" s="13">
        <v>42813.851539351854</v>
      </c>
      <c r="G139" s="7">
        <v>1</v>
      </c>
      <c r="H139" s="21" t="s">
        <v>893</v>
      </c>
      <c r="I139" s="13">
        <v>42813.878668981481</v>
      </c>
      <c r="J139" s="7">
        <v>0</v>
      </c>
      <c r="K139" s="98" t="str">
        <f t="shared" si="31"/>
        <v>4053/4054</v>
      </c>
      <c r="L139" s="21" t="str">
        <f>VLOOKUP(A139,'Trips&amp;Operators'!$C$1:$G$99999,5,FALSE)</f>
        <v>NEWELL JAMES</v>
      </c>
      <c r="M139" s="6">
        <f t="shared" si="49"/>
        <v>2.7129629626870155E-2</v>
      </c>
      <c r="N139" s="7">
        <f t="shared" si="51"/>
        <v>39.066666662693024</v>
      </c>
      <c r="O139" s="7"/>
      <c r="P139" s="7"/>
      <c r="Q139" s="22"/>
      <c r="R139" s="22"/>
      <c r="S139" s="31">
        <f t="shared" si="52"/>
        <v>1</v>
      </c>
      <c r="T139" s="46" t="str">
        <f t="shared" si="33"/>
        <v>Southbound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34"/>
        <v>https://d0f6bd738d7f1b3e5a7ca70fe4ff75f0.us-east-1.aws.found.io/app/kibana#/discover/Steve-Slow-Train-Analysis-(2080s-and-2083s)?_g=(refreshInterval:(display:Off,pause:!f,section:0,value:0),time:(from:'2017-03-19T19:10:17-0600',mode:absolute,to:'2017-03-19T22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9" s="187" t="str">
        <f t="shared" si="35"/>
        <v>N</v>
      </c>
      <c r="X139" s="187">
        <f t="shared" si="50"/>
        <v>1</v>
      </c>
      <c r="Y139" s="62">
        <f t="shared" si="37"/>
        <v>23.2989</v>
      </c>
      <c r="Z139" s="62">
        <f t="shared" ref="Z139:Z168" si="53">RIGHT(H139,LEN(H139)-4)/10000</f>
        <v>1.67E-2</v>
      </c>
      <c r="AA139" s="62">
        <f t="shared" si="38"/>
        <v>23.2822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9"/>
        <v>0224-19</v>
      </c>
      <c r="AE139" s="85" t="str">
        <f t="shared" si="40"/>
        <v>aws s3 cp s3://rtdc.mdm.uploadarchive.raw/RTDC4054/ "%USERPROFILE%\AppData\Local\Temp\OnboardLogs"\RTDC4054\2017-03-19 --exclude "*" --recursive --include "*20170319*" &amp; "%USERPROFILE%\Documents\GitHub\mrs-test-scripts\Headless Mode &amp; Sideloading\WalkAndUnGZ.bat" "%USERPROFILE%\AppData\Local\Temp\OnboardLogs"\RTDC4054\2017-03-19 &amp; aws s3 cp s3://rtdc.mdm.uploadarchive.raw/RTDC4054/ "%USERPROFILE%\AppData\Local\Temp\OnboardLogs"\RTDC4054\2017-03-20 --exclude "*" --recursive --include "*20170320*" &amp; "%USERPROFILE%\Documents\GitHub\mrs-test-scripts\Headless Mode &amp; Sideloading\WalkAndUnGZ.bat" "%USERPROFILE%\AppData\Local\Temp\OnboardLogs"\RTDC4054\2017-03-20</v>
      </c>
      <c r="AF139" s="82" t="str">
        <f t="shared" si="41"/>
        <v>"C:\Program Files (x86)\AstroGrep\AstroGrep.exe" /e /r /s /spath="%USERPROFILE%\AppData\Local\Temp\OnboardLogs" /stypes="app*4054*20170320*" /stext=" 03:.+((SYSTEM_STATE.+slice.+state.+changed )|(ment ac)|(multiple cpu faults)|(system.+state.+changed )|(\[timeout)|(PRM\|1\|D)|(kpr)|(kdp)|(\|lc)|(penalty))"</v>
      </c>
      <c r="AG139" s="1" t="str">
        <f t="shared" si="42"/>
        <v>EC</v>
      </c>
      <c r="AH139" s="86" t="str">
        <f t="shared" si="43"/>
        <v>"%USERPROFILE%\Documents\GitHub\eaglep3\Utilities\RefineRTDCRunTimes.py" --tripid 224-19 --locoid 4054 --swversion DE.1.0.9.0 --startMP 204:232989 --initTime 2017-03-19T20:10:17 --startdatetime 2017-03-19T20:26:13 --delay 1 --endMP 204:167 --enddatetime 2017-03-19T21:05:17 --enforcementcount 0 &gt;&gt;%USERPROFILE%\Documents\GitHub\eaglep3-reporting\EC\2017-03-19-refined-times.txt</v>
      </c>
      <c r="AI139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{"issue":{"subject":"","project_id":79,"tracker_id":40,"status_id":1,"priority_id":2,"assigned_to_id":23,"start_date":"2017-03-19","description":"","custom_fields":[{"id":1,"name":"Subdivision","value":"EC"},{"id":4,"name":"Milepost","value":"0.0167"},{"id":17,"name":"Train ID","value":"224-19"},{"id":16,"name":"Locomotive ID","value":"4054"},{"id":130,"name":"Impact","value":""},{"id":150,"name":"Time of Event (Mountain Time)","value":"21:05:17"},{"id":151,"name":"Denver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45"/>
        <v>start /low /b %USERPROFILE%\Documents\GitHub\eaglep3\Utilities\DownloadLogsFromS3.py --loco 4054 --day 2017-03-19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"%USERPROFILE%\AppData\Local\Temp\OnboardLogs"\RTDC4054\*4054*20170320* | grep -SE "(Enforcement Action)|(\[TIMEOUT)|(CHR.+\|PRM\|1\|D.+(SWITCH|SIGNAL).+UNKNOWN)" - &gt;&gt; 2017-03-19-UncaughtWiMAX.txt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765</v>
      </c>
      <c r="B140" s="7">
        <v>4002</v>
      </c>
      <c r="C140" s="21" t="s">
        <v>221</v>
      </c>
      <c r="D140" s="21" t="s">
        <v>222</v>
      </c>
      <c r="E140" s="13">
        <v>42813.832141203704</v>
      </c>
      <c r="F140" s="13">
        <v>42813.833553240744</v>
      </c>
      <c r="G140" s="7">
        <v>1</v>
      </c>
      <c r="H140" s="21" t="s">
        <v>398</v>
      </c>
      <c r="I140" s="13">
        <v>42813.860509259262</v>
      </c>
      <c r="J140" s="7">
        <v>0</v>
      </c>
      <c r="K140" s="98" t="str">
        <f t="shared" si="31"/>
        <v>4001/4002</v>
      </c>
      <c r="L140" s="21" t="str">
        <f>VLOOKUP(A140,'Trips&amp;Operators'!$C$1:$G$99999,5,FALSE)</f>
        <v>DUNCAN SHEILA</v>
      </c>
      <c r="M140" s="6">
        <f t="shared" si="49"/>
        <v>2.6956018518831115E-2</v>
      </c>
      <c r="N140" s="7">
        <f t="shared" si="51"/>
        <v>38.816666667116806</v>
      </c>
      <c r="O140" s="7"/>
      <c r="P140" s="7"/>
      <c r="Q140" s="22"/>
      <c r="R140" s="22"/>
      <c r="S140" s="31">
        <f t="shared" si="52"/>
        <v>1</v>
      </c>
      <c r="T140" s="46" t="str">
        <f t="shared" si="33"/>
        <v>NorthBound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34"/>
        <v>https://d0f6bd738d7f1b3e5a7ca70fe4ff75f0.us-east-1.aws.found.io/app/kibana#/discover/Steve-Slow-Train-Analysis-(2080s-and-2083s)?_g=(refreshInterval:(display:Off,pause:!f,section:0,value:0),time:(from:'2017-03-19T18:58:17-0600',mode:absolute,to:'2017-03-19T21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0" s="187" t="str">
        <f t="shared" si="35"/>
        <v>N</v>
      </c>
      <c r="X140" s="187">
        <f t="shared" si="50"/>
        <v>1</v>
      </c>
      <c r="Y140" s="62">
        <f t="shared" si="37"/>
        <v>4.58E-2</v>
      </c>
      <c r="Z140" s="62">
        <f t="shared" si="53"/>
        <v>23.3293</v>
      </c>
      <c r="AA140" s="62">
        <f t="shared" si="38"/>
        <v>23.2835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9"/>
        <v>0225-19</v>
      </c>
      <c r="AE140" s="85" t="str">
        <f t="shared" si="40"/>
        <v>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 &amp; 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</v>
      </c>
      <c r="AF140" s="82" t="str">
        <f t="shared" si="41"/>
        <v>"C:\Program Files (x86)\AstroGrep\AstroGrep.exe" /e /r /s /spath="%USERPROFILE%\AppData\Local\Temp\OnboardLogs" /stypes="app*4002*20170320*" /stext=" 02:.+((SYSTEM_STATE.+slice.+state.+changed )|(ment ac)|(multiple cpu faults)|(system.+state.+changed )|(\[timeout)|(PRM\|1\|D)|(kpr)|(kdp)|(\|lc)|(penalty))"</v>
      </c>
      <c r="AG140" s="1" t="str">
        <f t="shared" si="42"/>
        <v>EC</v>
      </c>
      <c r="AH140" s="86" t="str">
        <f t="shared" si="43"/>
        <v>"%USERPROFILE%\Documents\GitHub\eaglep3\Utilities\RefineRTDCRunTimes.py" --tripid 225-19 --locoid 4002 --swversion DE.1.0.9.0 --startMP 204:458 --initTime 2017-03-19T19:58:17 --startdatetime 2017-03-19T20:00:19 --delay 1 --endMP 204:233293 --enddatetime 2017-03-19T20:39:08 --enforcementcount 0 &gt;&gt;%USERPROFILE%\Documents\GitHub\eaglep3-reporting\EC\2017-03-19-refined-times.txt</v>
      </c>
      <c r="AI140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{"issue":{"subject":"","project_id":79,"tracker_id":40,"status_id":1,"priority_id":2,"assigned_to_id":23,"start_date":"2017-03-19","description":"","custom_fields":[{"id":1,"name":"Subdivision","value":"EC"},{"id":4,"name":"Milepost","value":"23.3293"},{"id":17,"name":"Train ID","value":"225-19"},{"id":16,"name":"Locomotive ID","value":"4002"},{"id":130,"name":"Impact","value":""},{"id":150,"name":"Time of Event (Mountain Time)","value":"20:39:08"},{"id":151,"name":"Denver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45"/>
        <v>start /low /b %USERPROFILE%\Documents\GitHub\eaglep3\Utilities\DownloadLogsFromS3.py --loco 4002 --day 2017-03-19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"%USERPROFILE%\AppData\Local\Temp\OnboardLogs"\RTDC4002\*4002*20170320* | grep -SE "(Enforcement Action)|(\[TIMEOUT)|(CHR.+\|PRM\|1\|D.+(SWITCH|SIGNAL).+UNKNOWN)" - &gt;&gt; 2017-03-19-UncaughtWiMAX.txt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774</v>
      </c>
      <c r="B141" s="7">
        <v>4001</v>
      </c>
      <c r="C141" s="21" t="s">
        <v>221</v>
      </c>
      <c r="D141" s="21" t="s">
        <v>830</v>
      </c>
      <c r="E141" s="13">
        <v>42813.867523148147</v>
      </c>
      <c r="F141" s="13">
        <v>42813.872384259259</v>
      </c>
      <c r="G141" s="7">
        <v>1</v>
      </c>
      <c r="H141" s="21" t="s">
        <v>551</v>
      </c>
      <c r="I141" s="13">
        <v>42813.901863425926</v>
      </c>
      <c r="J141" s="7">
        <v>0</v>
      </c>
      <c r="K141" s="98" t="str">
        <f t="shared" ref="K141:K202" si="54">IF(ISEVEN(B141),(B141-1)&amp;"/"&amp;B141,B141&amp;"/"&amp;(B141+1))</f>
        <v>4001/4002</v>
      </c>
      <c r="L141" s="21" t="str">
        <f>VLOOKUP(A141,'Trips&amp;Operators'!$C$1:$G$99999,5,FALSE)</f>
        <v>DUNCAN SHEILA</v>
      </c>
      <c r="M141" s="6">
        <f t="shared" ref="M141:M160" si="55">I141-F141</f>
        <v>2.9479166667442769E-2</v>
      </c>
      <c r="N141" s="7">
        <f t="shared" si="51"/>
        <v>42.450000001117587</v>
      </c>
      <c r="O141" s="7"/>
      <c r="P141" s="7"/>
      <c r="Q141" s="22"/>
      <c r="R141" s="22"/>
      <c r="S141" s="31">
        <f t="shared" si="52"/>
        <v>1</v>
      </c>
      <c r="T141" s="46" t="str">
        <f t="shared" ref="T141:T202" si="56">IF(ISEVEN(LEFT(AD141,4)),"Southbound","NorthBound")</f>
        <v>Southbound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2" si="57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-19T19:49:14-0600',mode:absolute,to:'2017-03-19T22:38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1" s="187" t="str">
        <f t="shared" ref="W141:W202" si="58">IF(AA141&lt;IF(AG141="EC",23,5.65),"Y","N")</f>
        <v>N</v>
      </c>
      <c r="X141" s="187">
        <f t="shared" ref="X141:X165" si="59">VALUE(LEFT(AD141,4))-VALUE(LEFT(AD140,4))</f>
        <v>1</v>
      </c>
      <c r="Y141" s="62">
        <f t="shared" ref="Y141:Y202" si="60">RIGHT(D141,LEN(D141)-4)/10000</f>
        <v>23.2972</v>
      </c>
      <c r="Z141" s="62">
        <f t="shared" si="53"/>
        <v>1.3899999999999999E-2</v>
      </c>
      <c r="AA141" s="62">
        <f t="shared" ref="AA141:AA202" si="61">ABS(Z141-Y141)</f>
        <v>23.283300000000001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2" si="62">IF(LEN(A141)=6,"0"&amp;A141,A141)</f>
        <v>0226-19</v>
      </c>
      <c r="AE141" s="85" t="str">
        <f t="shared" ref="AE141:AE202" si="63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s3://rtdc.mdm.uploadarchive.raw/RTDC4001/ "%USERPROFILE%\AppData\Local\Temp\OnboardLogs"\RTDC4001\2017-03-19 --exclude "*" --recursive --include "*20170319*" &amp; "%USERPROFILE%\Documents\GitHub\mrs-test-scripts\Headless Mode &amp; Sideloading\WalkAndUnGZ.bat" "%USERPROFILE%\AppData\Local\Temp\OnboardLogs"\RTDC4001\2017-03-19 &amp; aws s3 cp s3://rtdc.mdm.uploadarchive.raw/RTDC4001/ "%USERPROFILE%\AppData\Local\Temp\OnboardLogs"\RTDC4001\2017-03-20 --exclude "*" --recursive --include "*20170320*" &amp; "%USERPROFILE%\Documents\GitHub\mrs-test-scripts\Headless Mode &amp; Sideloading\WalkAndUnGZ.bat" "%USERPROFILE%\AppData\Local\Temp\OnboardLogs"\RTDC4001\2017-03-20</v>
      </c>
      <c r="AF141" s="82" t="str">
        <f t="shared" ref="AF141:AF202" si="64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/stypes="app*4001*20170320*" /stext=" 03:.+((SYSTEM_STATE.+slice.+state.+changed )|(ment ac)|(multiple cpu faults)|(system.+state.+changed )|(\[timeout)|(PRM\|1\|D)|(kpr)|(kdp)|(\|lc)|(penalty))"</v>
      </c>
      <c r="AG141" s="1" t="str">
        <f t="shared" ref="AG141:AG202" si="65">IFERROR(IF(VALUE(LEFT(AD141,2))&lt;=2,"EC",IF(OR(VALUE(LEFT(AD141,2))=8,VALUE(LEFT(AD141,2))=18),"NW","Other")),"Other")</f>
        <v>EC</v>
      </c>
      <c r="AH141" s="86" t="str">
        <f t="shared" si="43"/>
        <v>"%USERPROFILE%\Documents\GitHub\eaglep3\Utilities\RefineRTDCRunTimes.py" --tripid 226-19 --locoid 4001 --swversion DE.1.0.9.0 --startMP 204:232972 --initTime 2017-03-19T20:49:14 --startdatetime 2017-03-19T20:56:14 --delay 1 --endMP 204:139 --enddatetime 2017-03-19T21:38:41 --enforcementcount 0 &gt;&gt;%USERPROFILE%\Documents\GitHub\eaglep3-reporting\EC\2017-03-19-refined-times.txt</v>
      </c>
      <c r="AI141" s="108" t="str">
        <f t="shared" si="44"/>
        <v>echo {"issue":{"subject":"","project_id":79,"tracker_id":40,"status_id":1,"priority_id":2,"assigned_to_id":23,"start_date":"2017-03-19","description":"","custom_fields":[{"id":1,"name":"Subdivision","value":"EC"},{"id":4,"name":"Milepost","value":"0.0139"},{"id":17,"name":"Train ID","value":"226-19"},{"id":16,"name":"Locomotive ID","value":"4001"},{"id":130,"name":"Impact","value":""},{"id":150,"name":"Time of Event (Mountain Time)","value":"21:38:41"},{"id":151,"name":"Denver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45"/>
        <v>start /low /b %USERPROFILE%\Documents\GitHub\eaglep3\Utilities\DownloadLogsFromS3.py --loco 4001 --day 2017-03-19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"%USERPROFILE%\AppData\Local\Temp\OnboardLogs"\RTDC4001\*4001*20170320* | grep -SE "(Enforcement Action)|(\[TIMEOUT)|(CHR.+\|PRM\|1\|D.+(SWITCH|SIGNAL).+UNKNOWN)" - &gt;&gt; 2017-03-19-UncaughtWiMAX.txt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768</v>
      </c>
      <c r="B142" s="7">
        <v>4016</v>
      </c>
      <c r="C142" s="21" t="s">
        <v>221</v>
      </c>
      <c r="D142" s="21" t="s">
        <v>539</v>
      </c>
      <c r="E142" s="13">
        <v>42813.837847222225</v>
      </c>
      <c r="F142" s="13">
        <v>42813.854733796295</v>
      </c>
      <c r="G142" s="7">
        <v>1</v>
      </c>
      <c r="H142" s="21" t="s">
        <v>534</v>
      </c>
      <c r="I142" s="13">
        <v>42813.880104166667</v>
      </c>
      <c r="J142" s="7">
        <v>0</v>
      </c>
      <c r="K142" s="98" t="str">
        <f t="shared" si="54"/>
        <v>4015/4016</v>
      </c>
      <c r="L142" s="21" t="str">
        <f>VLOOKUP(A142,'Trips&amp;Operators'!$C$1:$G$99999,5,FALSE)</f>
        <v>STAMBAUGH JAMES</v>
      </c>
      <c r="M142" s="6">
        <f t="shared" si="55"/>
        <v>2.5370370371092577E-2</v>
      </c>
      <c r="N142" s="7">
        <f t="shared" si="51"/>
        <v>36.53333333437331</v>
      </c>
      <c r="O142" s="7"/>
      <c r="P142" s="7"/>
      <c r="Q142" s="22"/>
      <c r="R142" s="22"/>
      <c r="S142" s="31">
        <f t="shared" si="52"/>
        <v>1</v>
      </c>
      <c r="T142" s="46" t="str">
        <f t="shared" si="56"/>
        <v>NorthBound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57"/>
        <v>https://d0f6bd738d7f1b3e5a7ca70fe4ff75f0.us-east-1.aws.found.io/app/kibana#/discover/Steve-Slow-Train-Analysis-(2080s-and-2083s)?_g=(refreshInterval:(display:Off,pause:!f,section:0,value:0),time:(from:'2017-03-19T19:06:30-0600',mode:absolute,to:'2017-03-19T22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2" s="187" t="str">
        <f t="shared" si="58"/>
        <v>N</v>
      </c>
      <c r="X142" s="187">
        <f t="shared" si="59"/>
        <v>1</v>
      </c>
      <c r="Y142" s="62">
        <f t="shared" si="60"/>
        <v>4.4900000000000002E-2</v>
      </c>
      <c r="Z142" s="62">
        <f t="shared" si="53"/>
        <v>23.339300000000001</v>
      </c>
      <c r="AA142" s="62">
        <f t="shared" si="61"/>
        <v>23.294400000000003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62"/>
        <v>0227-19</v>
      </c>
      <c r="AE142" s="85" t="str">
        <f t="shared" si="63"/>
        <v>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 &amp; 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</v>
      </c>
      <c r="AF142" s="82" t="str">
        <f t="shared" si="64"/>
        <v>"C:\Program Files (x86)\AstroGrep\AstroGrep.exe" /e /r /s /spath="%USERPROFILE%\AppData\Local\Temp\OnboardLogs" /stypes="app*4016*20170320*" /stext=" 03:.+((SYSTEM_STATE.+slice.+state.+changed )|(ment ac)|(multiple cpu faults)|(system.+state.+changed )|(\[timeout)|(PRM\|1\|D)|(kpr)|(kdp)|(\|lc)|(penalty))"</v>
      </c>
      <c r="AG142" s="1" t="str">
        <f t="shared" si="65"/>
        <v>EC</v>
      </c>
      <c r="AH142" s="86" t="str">
        <f t="shared" ref="AH142:AH203" si="66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227-19 --locoid 4016 --swversion DE.1.0.9.0 --startMP 204:449 --initTime 2017-03-19T20:06:30 --startdatetime 2017-03-19T20:30:49 --delay 1 --endMP 204:233393 --enddatetime 2017-03-19T21:07:21 --enforcementcount 0 &gt;&gt;%USERPROFILE%\Documents\GitHub\eaglep3-reporting\EC\2017-03-19-refined-times.txt</v>
      </c>
      <c r="AI142" s="108" t="str">
        <f t="shared" ref="AI142:AI203" si="67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{"issue":{"subject":"","project_id":79,"tracker_id":40,"status_id":1,"priority_id":2,"assigned_to_id":23,"start_date":"2017-03-19","description":"","custom_fields":[{"id":1,"name":"Subdivision","value":"EC"},{"id":4,"name":"Milepost","value":"23.3393"},{"id":17,"name":"Train ID","value":"227-19"},{"id":16,"name":"Locomotive ID","value":"4016"},{"id":130,"name":"Impact","value":""},{"id":150,"name":"Time of Event (Mountain Time)","value":"21:07:21"},{"id":151,"name":"Denver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ref="AM142:AM203" si="68">"start /low /b "&amp;dls3logs&amp;" --loco "&amp;B142&amp;" --day "&amp;TEXT(F142,"YYYY-MM-DD")</f>
        <v>start /low /b %USERPROFILE%\Documents\GitHub\eaglep3\Utilities\DownloadLogsFromS3.py --loco 4016 --day 2017-03-19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"%USERPROFILE%\AppData\Local\Temp\OnboardLogs"\RTDC4016\*4016*20170320* | grep -SE "(Enforcement Action)|(\[TIMEOUT)|(CHR.+\|PRM\|1\|D.+(SWITCH|SIGNAL).+UNKNOWN)" - &gt;&gt; 2017-03-19-UncaughtWiMAX.txt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777</v>
      </c>
      <c r="B143" s="7">
        <v>4015</v>
      </c>
      <c r="C143" s="21" t="s">
        <v>221</v>
      </c>
      <c r="D143" s="21" t="s">
        <v>908</v>
      </c>
      <c r="E143" s="13">
        <v>42813.916689814818</v>
      </c>
      <c r="F143" s="13">
        <v>42813.917488425926</v>
      </c>
      <c r="G143" s="7">
        <v>1</v>
      </c>
      <c r="H143" s="21" t="s">
        <v>216</v>
      </c>
      <c r="I143" s="13">
        <v>42813.921458333331</v>
      </c>
      <c r="J143" s="7">
        <v>0</v>
      </c>
      <c r="K143" s="98" t="str">
        <f t="shared" si="54"/>
        <v>4015/4016</v>
      </c>
      <c r="L143" s="21" t="str">
        <f>VLOOKUP(A143,'Trips&amp;Operators'!$C$1:$G$99999,5,FALSE)</f>
        <v>STAMBAUGH JAMES</v>
      </c>
      <c r="M143" s="6">
        <f t="shared" si="55"/>
        <v>3.9699074040981941E-3</v>
      </c>
      <c r="N143" s="7"/>
      <c r="O143" s="7"/>
      <c r="P143" s="7">
        <f>24*60*SUM($M143:$M144)</f>
        <v>33.350000000791624</v>
      </c>
      <c r="Q143" s="22"/>
      <c r="R143" s="22" t="s">
        <v>966</v>
      </c>
      <c r="S143" s="31">
        <f>SUM(U143:U144)/IF(AG143="EC",12,1)</f>
        <v>0.75</v>
      </c>
      <c r="T143" s="46" t="str">
        <f t="shared" si="56"/>
        <v>Southbound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0</v>
      </c>
      <c r="V143" s="186" t="str">
        <f t="shared" si="57"/>
        <v>https://d0f6bd738d7f1b3e5a7ca70fe4ff75f0.us-east-1.aws.found.io/app/kibana#/discover/Steve-Slow-Train-Analysis-(2080s-and-2083s)?_g=(refreshInterval:(display:Off,pause:!f,section:0,value:0),time:(from:'2017-03-19T21:00:02-0600',mode:absolute,to:'2017-03-19T23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3" s="187" t="str">
        <f t="shared" si="58"/>
        <v>Y</v>
      </c>
      <c r="X143" s="187">
        <f t="shared" si="59"/>
        <v>1</v>
      </c>
      <c r="Y143" s="62">
        <f t="shared" si="60"/>
        <v>1.8773</v>
      </c>
      <c r="Z143" s="62">
        <f t="shared" si="53"/>
        <v>1.47E-2</v>
      </c>
      <c r="AA143" s="62">
        <f t="shared" si="61"/>
        <v>1.8626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62"/>
        <v>0228-19</v>
      </c>
      <c r="AE143" s="85" t="str">
        <f t="shared" si="63"/>
        <v>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 &amp; 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</v>
      </c>
      <c r="AF143" s="82" t="str">
        <f t="shared" si="64"/>
        <v>"C:\Program Files (x86)\AstroGrep\AstroGrep.exe" /e /r /s /spath="%USERPROFILE%\AppData\Local\Temp\OnboardLogs" /stypes="app*4015*20170320*" /stext=" 04:.+((SYSTEM_STATE.+slice.+state.+changed )|(ment ac)|(multiple cpu faults)|(system.+state.+changed )|(\[timeout)|(PRM\|1\|D)|(kpr)|(kdp)|(\|lc)|(penalty))"</v>
      </c>
      <c r="AG143" s="1" t="str">
        <f t="shared" si="65"/>
        <v>EC</v>
      </c>
      <c r="AH143" s="86" t="str">
        <f t="shared" si="66"/>
        <v>"%USERPROFILE%\Documents\GitHub\eaglep3\Utilities\RefineRTDCRunTimes.py" --tripid 228-19 --locoid 4015 --swversion DE.1.0.9.0 --startMP 204:18773 --initTime 2017-03-19T22:00:02 --startdatetime 2017-03-19T22:01:11 --delay 1 --endMP 204:147 --enddatetime 2017-03-19T22:06:54 --enforcementcount 0 &gt;&gt;%USERPROFILE%\Documents\GitHub\eaglep3-reporting\EC\2017-03-19-refined-times.txt</v>
      </c>
      <c r="AI143" s="108" t="str">
        <f t="shared" si="67"/>
        <v>echo {"issue":{"subject":"Onboard in-route failure","project_id":79,"tracker_id":40,"status_id":1,"priority_id":2,"assigned_to_id":23,"start_date":"2017-03-19","description":"","custom_fields":[{"id":1,"name":"Subdivision","value":"EC"},{"id":4,"name":"Milepost","value":"0.0147"},{"id":17,"name":"Train ID","value":"228-19"},{"id":16,"name":"Locomotive ID","value":"4015"},{"id":130,"name":"Impact","value":""},{"id":150,"name":"Time of Event (Mountain Time)","value":"22:06:54"},{"id":151,"name":"Denver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68"/>
        <v>start /low /b %USERPROFILE%\Documents\GitHub\eaglep3\Utilities\DownloadLogsFromS3.py --loco 4015 --day 2017-03-19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"%USERPROFILE%\AppData\Local\Temp\OnboardLogs"\RTDC4015\*4015*20170320* | grep -SE "(Enforcement Action)|(\[TIMEOUT)|(CHR.+\|PRM\|1\|D.+(SWITCH|SIGNAL).+UNKNOWN)" - &gt;&gt; 2017-03-19-UncaughtWiMAX.txt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777</v>
      </c>
      <c r="B144" s="7">
        <v>4015</v>
      </c>
      <c r="C144" s="21" t="s">
        <v>221</v>
      </c>
      <c r="D144" s="21" t="s">
        <v>909</v>
      </c>
      <c r="E144" s="13">
        <v>42813.888761574075</v>
      </c>
      <c r="F144" s="13">
        <v>42813.893796296295</v>
      </c>
      <c r="G144" s="7">
        <v>1</v>
      </c>
      <c r="H144" s="21" t="s">
        <v>910</v>
      </c>
      <c r="I144" s="13">
        <v>42813.912986111114</v>
      </c>
      <c r="J144" s="7">
        <v>0</v>
      </c>
      <c r="K144" s="98" t="str">
        <f t="shared" si="54"/>
        <v>4015/4016</v>
      </c>
      <c r="L144" s="21" t="str">
        <f>VLOOKUP(A144,'Trips&amp;Operators'!$C$1:$G$99999,5,FALSE)</f>
        <v>STAMBAUGH JAMES</v>
      </c>
      <c r="M144" s="6">
        <f t="shared" si="55"/>
        <v>1.9189814818673767E-2</v>
      </c>
      <c r="N144" s="7"/>
      <c r="O144" s="7"/>
      <c r="P144" s="7"/>
      <c r="Q144" s="22"/>
      <c r="R144" s="22"/>
      <c r="S144" s="31"/>
      <c r="T144" s="46" t="str">
        <f t="shared" si="56"/>
        <v>Southbound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9</v>
      </c>
      <c r="V144" s="186" t="str">
        <f t="shared" si="57"/>
        <v>https://d0f6bd738d7f1b3e5a7ca70fe4ff75f0.us-east-1.aws.found.io/app/kibana#/discover/Steve-Slow-Train-Analysis-(2080s-and-2083s)?_g=(refreshInterval:(display:Off,pause:!f,section:0,value:0),time:(from:'2017-03-19T20:19:49-0600',mode:absolute,to:'2017-03-19T22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4" s="187" t="str">
        <f t="shared" si="58"/>
        <v>Y</v>
      </c>
      <c r="X144" s="187">
        <f t="shared" si="59"/>
        <v>0</v>
      </c>
      <c r="Y144" s="62">
        <f t="shared" si="60"/>
        <v>23.311299999999999</v>
      </c>
      <c r="Z144" s="62">
        <f t="shared" si="53"/>
        <v>3.6797</v>
      </c>
      <c r="AA144" s="62">
        <f t="shared" si="61"/>
        <v>19.631599999999999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62"/>
        <v>0228-19</v>
      </c>
      <c r="AE144" s="85" t="str">
        <f t="shared" si="63"/>
        <v>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 &amp; 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</v>
      </c>
      <c r="AF144" s="82" t="str">
        <f t="shared" si="64"/>
        <v>"C:\Program Files (x86)\AstroGrep\AstroGrep.exe" /e /r /s /spath="%USERPROFILE%\AppData\Local\Temp\OnboardLogs" /stypes="app*4015*20170320*" /stext=" 03:.+((SYSTEM_STATE.+slice.+state.+changed )|(ment ac)|(multiple cpu faults)|(system.+state.+changed )|(\[timeout)|(PRM\|1\|D)|(kpr)|(kdp)|(\|lc)|(penalty))"</v>
      </c>
      <c r="AG144" s="1" t="str">
        <f t="shared" si="65"/>
        <v>EC</v>
      </c>
      <c r="AH144" s="86" t="str">
        <f t="shared" si="66"/>
        <v>"%USERPROFILE%\Documents\GitHub\eaglep3\Utilities\RefineRTDCRunTimes.py" --tripid 228-19 --locoid 4015 --swversion DE.1.0.9.0 --startMP 204:233113 --initTime 2017-03-19T21:19:49 --startdatetime 2017-03-19T21:27:04 --delay 1 --endMP 204:36797 --enddatetime 2017-03-19T21:54:42 --enforcementcount 0 &gt;&gt;%USERPROFILE%\Documents\GitHub\eaglep3-reporting\EC\2017-03-19-refined-times.txt</v>
      </c>
      <c r="AI144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{"issue":{"subject":"","project_id":79,"tracker_id":40,"status_id":1,"priority_id":2,"assigned_to_id":23,"start_date":"2017-03-19","description":"","custom_fields":[{"id":1,"name":"Subdivision","value":"EC"},{"id":4,"name":"Milepost","value":"3.6797"},{"id":17,"name":"Train ID","value":"228-19"},{"id":16,"name":"Locomotive ID","value":"4015"},{"id":130,"name":"Impact","value":""},{"id":150,"name":"Time of Event (Mountain Time)","value":"21:54:42"},{"id":151,"name":"Denver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8"/>
        <v>start /low /b %USERPROFILE%\Documents\GitHub\eaglep3\Utilities\DownloadLogsFromS3.py --loco 4015 --day 2017-03-19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"%USERPROFILE%\AppData\Local\Temp\OnboardLogs"\RTDC4015\*4015*20170320* | grep -SE "(Enforcement Action)|(\[TIMEOUT)|(CHR.+\|PRM\|1\|D.+(SWITCH|SIGNAL).+UNKNOWN)" - &gt;&gt; 2017-03-19-UncaughtWiMAX.txt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775</v>
      </c>
      <c r="B145" s="7">
        <v>4020</v>
      </c>
      <c r="C145" s="21" t="s">
        <v>221</v>
      </c>
      <c r="D145" s="21" t="s">
        <v>828</v>
      </c>
      <c r="E145" s="13">
        <v>42813.87190972222</v>
      </c>
      <c r="F145" s="13">
        <v>42813.87537037037</v>
      </c>
      <c r="G145" s="7">
        <v>1</v>
      </c>
      <c r="H145" s="21" t="s">
        <v>474</v>
      </c>
      <c r="I145" s="13">
        <v>42813.901192129626</v>
      </c>
      <c r="J145" s="7">
        <v>0</v>
      </c>
      <c r="K145" s="98" t="str">
        <f t="shared" si="54"/>
        <v>4019/4020</v>
      </c>
      <c r="L145" s="21" t="str">
        <f>VLOOKUP(A145,'Trips&amp;Operators'!$C$1:$G$99999,5,FALSE)</f>
        <v>CHANDLER KELVIN</v>
      </c>
      <c r="M145" s="6">
        <f t="shared" si="55"/>
        <v>2.5821759256359655E-2</v>
      </c>
      <c r="N145" s="7">
        <f t="shared" ref="N145:N158" si="69">24*60*SUM($M145:$M145)</f>
        <v>37.183333329157904</v>
      </c>
      <c r="O145" s="7"/>
      <c r="P145" s="7"/>
      <c r="Q145" s="22"/>
      <c r="R145" s="22"/>
      <c r="S145" s="31">
        <f t="shared" ref="S145:S174" si="70">SUM(U145:U145)/IF(AG145="EC",12,1)</f>
        <v>1</v>
      </c>
      <c r="T145" s="46" t="str">
        <f t="shared" si="56"/>
        <v>NorthBound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57"/>
        <v>https://d0f6bd738d7f1b3e5a7ca70fe4ff75f0.us-east-1.aws.found.io/app/kibana#/discover/Steve-Slow-Train-Analysis-(2080s-and-2083s)?_g=(refreshInterval:(display:Off,pause:!f,section:0,value:0),time:(from:'2017-03-19T19:55:33-0600',mode:absolute,to:'2017-03-19T22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5" s="187" t="str">
        <f t="shared" si="58"/>
        <v>N</v>
      </c>
      <c r="X145" s="187">
        <f t="shared" si="59"/>
        <v>1</v>
      </c>
      <c r="Y145" s="62">
        <f t="shared" si="60"/>
        <v>4.8000000000000001E-2</v>
      </c>
      <c r="Z145" s="62">
        <f t="shared" si="53"/>
        <v>23.3278</v>
      </c>
      <c r="AA145" s="62">
        <f t="shared" si="61"/>
        <v>23.279800000000002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62"/>
        <v>0229-19</v>
      </c>
      <c r="AE145" s="85" t="str">
        <f t="shared" si="63"/>
        <v>aws s3 cp s3://rtdc.mdm.uploadarchive.raw/RTDC4020/ "%USERPROFILE%\AppData\Local\Temp\OnboardLogs"\RTDC4020\2017-03-19 --exclude "*" --recursive --include "*20170319*" &amp; "%USERPROFILE%\Documents\GitHub\mrs-test-scripts\Headless Mode &amp; Sideloading\WalkAndUnGZ.bat" "%USERPROFILE%\AppData\Local\Temp\OnboardLogs"\RTDC4020\2017-03-19 &amp; aws s3 cp s3://rtdc.mdm.uploadarchive.raw/RTDC4020/ "%USERPROFILE%\AppData\Local\Temp\OnboardLogs"\RTDC4020\2017-03-20 --exclude "*" --recursive --include "*20170320*" &amp; "%USERPROFILE%\Documents\GitHub\mrs-test-scripts\Headless Mode &amp; Sideloading\WalkAndUnGZ.bat" "%USERPROFILE%\AppData\Local\Temp\OnboardLogs"\RTDC4020\2017-03-20</v>
      </c>
      <c r="AF145" s="82" t="str">
        <f t="shared" si="64"/>
        <v>"C:\Program Files (x86)\AstroGrep\AstroGrep.exe" /e /r /s /spath="%USERPROFILE%\AppData\Local\Temp\OnboardLogs" /stypes="app*4020*20170320*" /stext=" 03:.+((SYSTEM_STATE.+slice.+state.+changed )|(ment ac)|(multiple cpu faults)|(system.+state.+changed )|(\[timeout)|(PRM\|1\|D)|(kpr)|(kdp)|(\|lc)|(penalty))"</v>
      </c>
      <c r="AG145" s="1" t="str">
        <f t="shared" si="65"/>
        <v>EC</v>
      </c>
      <c r="AH145" s="86" t="str">
        <f t="shared" si="66"/>
        <v>"%USERPROFILE%\Documents\GitHub\eaglep3\Utilities\RefineRTDCRunTimes.py" --tripid 229-19 --locoid 4020 --swversion DE.1.0.9.0 --startMP 204:480 --initTime 2017-03-19T20:55:33 --startdatetime 2017-03-19T21:00:32 --delay 1 --endMP 204:233278 --enddatetime 2017-03-19T21:37:43 --enforcementcount 0 &gt;&gt;%USERPROFILE%\Documents\GitHub\eaglep3-reporting\EC\2017-03-19-refined-times.txt</v>
      </c>
      <c r="AI145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{"issue":{"subject":"","project_id":79,"tracker_id":40,"status_id":1,"priority_id":2,"assigned_to_id":23,"start_date":"2017-03-19","description":"","custom_fields":[{"id":1,"name":"Subdivision","value":"EC"},{"id":4,"name":"Milepost","value":"23.3278"},{"id":17,"name":"Train ID","value":"229-19"},{"id":16,"name":"Locomotive ID","value":"4020"},{"id":130,"name":"Impact","value":""},{"id":150,"name":"Time of Event (Mountain Time)","value":"21:37:43"},{"id":151,"name":"Denver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68"/>
        <v>start /low /b %USERPROFILE%\Documents\GitHub\eaglep3\Utilities\DownloadLogsFromS3.py --loco 4020 --day 2017-03-19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"%USERPROFILE%\AppData\Local\Temp\OnboardLogs"\RTDC4020\*4020*20170320* | grep -SE "(Enforcement Action)|(\[TIMEOUT)|(CHR.+\|PRM\|1\|D.+(SWITCH|SIGNAL).+UNKNOWN)" - &gt;&gt; 2017-03-19-UncaughtWiMAX.txt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604</v>
      </c>
      <c r="B146" s="7">
        <v>4019</v>
      </c>
      <c r="C146" s="21" t="s">
        <v>221</v>
      </c>
      <c r="D146" s="21" t="s">
        <v>816</v>
      </c>
      <c r="E146" s="13">
        <v>42813.911273148151</v>
      </c>
      <c r="F146" s="13">
        <v>42813.914120370369</v>
      </c>
      <c r="G146" s="7">
        <v>1</v>
      </c>
      <c r="H146" s="21" t="s">
        <v>475</v>
      </c>
      <c r="I146" s="13">
        <v>42813.942974537036</v>
      </c>
      <c r="J146" s="7">
        <v>0</v>
      </c>
      <c r="K146" s="98" t="str">
        <f t="shared" si="54"/>
        <v>4019/4020</v>
      </c>
      <c r="L146" s="21" t="str">
        <f>VLOOKUP(A146,'Trips&amp;Operators'!$C$1:$G$99999,5,FALSE)</f>
        <v>CHANDLER KELVIN</v>
      </c>
      <c r="M146" s="6">
        <f t="shared" si="55"/>
        <v>2.8854166666860692E-2</v>
      </c>
      <c r="N146" s="7">
        <f t="shared" si="69"/>
        <v>41.550000000279397</v>
      </c>
      <c r="O146" s="7"/>
      <c r="P146" s="7"/>
      <c r="Q146" s="22"/>
      <c r="R146" s="22"/>
      <c r="S146" s="31">
        <f t="shared" si="70"/>
        <v>1</v>
      </c>
      <c r="T146" s="46" t="str">
        <f t="shared" si="56"/>
        <v>Southbound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57"/>
        <v>https://d0f6bd738d7f1b3e5a7ca70fe4ff75f0.us-east-1.aws.found.io/app/kibana#/discover/Steve-Slow-Train-Analysis-(2080s-and-2083s)?_g=(refreshInterval:(display:Off,pause:!f,section:0,value:0),time:(from:'2017-03-19T20:52:14-0600',mode:absolute,to:'2017-03-19T23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6" s="187" t="str">
        <f t="shared" si="58"/>
        <v>N</v>
      </c>
      <c r="X146" s="187">
        <f t="shared" si="59"/>
        <v>1</v>
      </c>
      <c r="Y146" s="62">
        <f t="shared" si="60"/>
        <v>23.2957</v>
      </c>
      <c r="Z146" s="62">
        <f t="shared" si="53"/>
        <v>1.7000000000000001E-2</v>
      </c>
      <c r="AA146" s="62">
        <f t="shared" si="61"/>
        <v>23.278700000000001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62"/>
        <v>0230-19</v>
      </c>
      <c r="AE146" s="85" t="str">
        <f t="shared" si="63"/>
        <v>aws s3 cp s3://rtdc.mdm.uploadarchive.raw/RTDC4019/ "%USERPROFILE%\AppData\Local\Temp\OnboardLogs"\RTDC4019\2017-03-19 --exclude "*" --recursive --include "*20170319*" &amp; "%USERPROFILE%\Documents\GitHub\mrs-test-scripts\Headless Mode &amp; Sideloading\WalkAndUnGZ.bat" "%USERPROFILE%\AppData\Local\Temp\OnboardLogs"\RTDC4019\2017-03-19 &amp; aws s3 cp s3://rtdc.mdm.uploadarchive.raw/RTDC4019/ "%USERPROFILE%\AppData\Local\Temp\OnboardLogs"\RTDC4019\2017-03-20 --exclude "*" --recursive --include "*20170320*" &amp; "%USERPROFILE%\Documents\GitHub\mrs-test-scripts\Headless Mode &amp; Sideloading\WalkAndUnGZ.bat" "%USERPROFILE%\AppData\Local\Temp\OnboardLogs"\RTDC4019\2017-03-20</v>
      </c>
      <c r="AF146" s="82" t="str">
        <f t="shared" si="64"/>
        <v>"C:\Program Files (x86)\AstroGrep\AstroGrep.exe" /e /r /s /spath="%USERPROFILE%\AppData\Local\Temp\OnboardLogs" /stypes="app*4019*20170320*" /stext=" 04:.+((SYSTEM_STATE.+slice.+state.+changed )|(ment ac)|(multiple cpu faults)|(system.+state.+changed )|(\[timeout)|(PRM\|1\|D)|(kpr)|(kdp)|(\|lc)|(penalty))"</v>
      </c>
      <c r="AG146" s="1" t="str">
        <f t="shared" si="65"/>
        <v>EC</v>
      </c>
      <c r="AH146" s="86" t="str">
        <f t="shared" si="66"/>
        <v>"%USERPROFILE%\Documents\GitHub\eaglep3\Utilities\RefineRTDCRunTimes.py" --tripid 230-19 --locoid 4019 --swversion DE.1.0.9.0 --startMP 204:232957 --initTime 2017-03-19T21:52:14 --startdatetime 2017-03-19T21:56:20 --delay 1 --endMP 204:170 --enddatetime 2017-03-19T22:37:53 --enforcementcount 0 &gt;&gt;%USERPROFILE%\Documents\GitHub\eaglep3-reporting\EC\2017-03-19-refined-times.txt</v>
      </c>
      <c r="AI146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{"issue":{"subject":"","project_id":79,"tracker_id":40,"status_id":1,"priority_id":2,"assigned_to_id":23,"start_date":"2017-03-19","description":"","custom_fields":[{"id":1,"name":"Subdivision","value":"EC"},{"id":4,"name":"Milepost","value":"0.017"},{"id":17,"name":"Train ID","value":"230-19"},{"id":16,"name":"Locomotive ID","value":"4019"},{"id":130,"name":"Impact","value":""},{"id":150,"name":"Time of Event (Mountain Time)","value":"22:37:53"},{"id":151,"name":"Denver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8"/>
        <v>start /low /b %USERPROFILE%\Documents\GitHub\eaglep3\Utilities\DownloadLogsFromS3.py --loco 4019 --day 2017-03-19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"%USERPROFILE%\AppData\Local\Temp\OnboardLogs"\RTDC4019\*4019*20170320* | grep -SE "(Enforcement Action)|(\[TIMEOUT)|(CHR.+\|PRM\|1\|D.+(SWITCH|SIGNAL).+UNKNOWN)" - &gt;&gt; 2017-03-19-UncaughtWiMAX.txt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778</v>
      </c>
      <c r="B147" s="7">
        <v>4053</v>
      </c>
      <c r="C147" s="21" t="s">
        <v>221</v>
      </c>
      <c r="D147" s="21" t="s">
        <v>218</v>
      </c>
      <c r="E147" s="13">
        <v>42813.892071759263</v>
      </c>
      <c r="F147" s="13">
        <v>42813.895983796298</v>
      </c>
      <c r="G147" s="7">
        <v>1</v>
      </c>
      <c r="H147" s="21" t="s">
        <v>396</v>
      </c>
      <c r="I147" s="13">
        <v>42813.920474537037</v>
      </c>
      <c r="J147" s="7">
        <v>0</v>
      </c>
      <c r="K147" s="98" t="str">
        <f t="shared" si="54"/>
        <v>4053/4054</v>
      </c>
      <c r="L147" s="21" t="str">
        <f>VLOOKUP(A147,'Trips&amp;Operators'!$C$1:$G$99999,5,FALSE)</f>
        <v>NEWELL JAMES</v>
      </c>
      <c r="M147" s="6">
        <f t="shared" si="55"/>
        <v>2.4490740739565808E-2</v>
      </c>
      <c r="N147" s="7">
        <f t="shared" si="69"/>
        <v>35.266666664974764</v>
      </c>
      <c r="O147" s="7"/>
      <c r="P147" s="7"/>
      <c r="Q147" s="22"/>
      <c r="R147" s="22"/>
      <c r="S147" s="31">
        <f t="shared" si="70"/>
        <v>1</v>
      </c>
      <c r="T147" s="46" t="str">
        <f t="shared" si="56"/>
        <v>NorthBound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57"/>
        <v>https://d0f6bd738d7f1b3e5a7ca70fe4ff75f0.us-east-1.aws.found.io/app/kibana#/discover/Steve-Slow-Train-Analysis-(2080s-and-2083s)?_g=(refreshInterval:(display:Off,pause:!f,section:0,value:0),time:(from:'2017-03-19T20:24:35-0600',mode:absolute,to:'2017-03-19T23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7" s="187" t="str">
        <f t="shared" si="58"/>
        <v>N</v>
      </c>
      <c r="X147" s="187">
        <f t="shared" si="59"/>
        <v>1</v>
      </c>
      <c r="Y147" s="62">
        <f t="shared" si="60"/>
        <v>4.6600000000000003E-2</v>
      </c>
      <c r="Z147" s="62">
        <f t="shared" si="53"/>
        <v>23.3306</v>
      </c>
      <c r="AA147" s="62">
        <f t="shared" si="61"/>
        <v>23.283999999999999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62"/>
        <v>0231-19</v>
      </c>
      <c r="AE147" s="85" t="str">
        <f t="shared" si="63"/>
        <v>aws s3 cp s3://rtdc.mdm.uploadarchive.raw/RTDC4053/ "%USERPROFILE%\AppData\Local\Temp\OnboardLogs"\RTDC4053\2017-03-19 --exclude "*" --recursive --include "*20170319*" &amp; "%USERPROFILE%\Documents\GitHub\mrs-test-scripts\Headless Mode &amp; Sideloading\WalkAndUnGZ.bat" "%USERPROFILE%\AppData\Local\Temp\OnboardLogs"\RTDC4053\2017-03-19 &amp; aws s3 cp s3://rtdc.mdm.uploadarchive.raw/RTDC4053/ "%USERPROFILE%\AppData\Local\Temp\OnboardLogs"\RTDC4053\2017-03-20 --exclude "*" --recursive --include "*20170320*" &amp; "%USERPROFILE%\Documents\GitHub\mrs-test-scripts\Headless Mode &amp; Sideloading\WalkAndUnGZ.bat" "%USERPROFILE%\AppData\Local\Temp\OnboardLogs"\RTDC4053\2017-03-20</v>
      </c>
      <c r="AF147" s="82" t="str">
        <f t="shared" si="64"/>
        <v>"C:\Program Files (x86)\AstroGrep\AstroGrep.exe" /e /r /s /spath="%USERPROFILE%\AppData\Local\Temp\OnboardLogs" /stypes="app*4053*20170320*" /stext=" 04:.+((SYSTEM_STATE.+slice.+state.+changed )|(ment ac)|(multiple cpu faults)|(system.+state.+changed )|(\[timeout)|(PRM\|1\|D)|(kpr)|(kdp)|(\|lc)|(penalty))"</v>
      </c>
      <c r="AG147" s="1" t="str">
        <f t="shared" si="65"/>
        <v>EC</v>
      </c>
      <c r="AH147" s="86" t="str">
        <f t="shared" si="66"/>
        <v>"%USERPROFILE%\Documents\GitHub\eaglep3\Utilities\RefineRTDCRunTimes.py" --tripid 231-19 --locoid 4053 --swversion DE.1.0.9.0 --startMP 204:466 --initTime 2017-03-19T21:24:35 --startdatetime 2017-03-19T21:30:13 --delay 1 --endMP 204:233306 --enddatetime 2017-03-19T22:05:29 --enforcementcount 0 &gt;&gt;%USERPROFILE%\Documents\GitHub\eaglep3-reporting\EC\2017-03-19-refined-times.txt</v>
      </c>
      <c r="AI147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{"issue":{"subject":"","project_id":79,"tracker_id":40,"status_id":1,"priority_id":2,"assigned_to_id":23,"start_date":"2017-03-19","description":"","custom_fields":[{"id":1,"name":"Subdivision","value":"EC"},{"id":4,"name":"Milepost","value":"23.3306"},{"id":17,"name":"Train ID","value":"231-19"},{"id":16,"name":"Locomotive ID","value":"4053"},{"id":130,"name":"Impact","value":""},{"id":150,"name":"Time of Event (Mountain Time)","value":"22:05:29"},{"id":151,"name":"Denver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8"/>
        <v>start /low /b %USERPROFILE%\Documents\GitHub\eaglep3\Utilities\DownloadLogsFromS3.py --loco 4053 --day 2017-03-19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"%USERPROFILE%\AppData\Local\Temp\OnboardLogs"\RTDC4053\*4053*20170320* | grep -SE "(Enforcement Action)|(\[TIMEOUT)|(CHR.+\|PRM\|1\|D.+(SWITCH|SIGNAL).+UNKNOWN)" - &gt;&gt; 2017-03-19-UncaughtWiMAX.txt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782</v>
      </c>
      <c r="B148" s="7">
        <v>4054</v>
      </c>
      <c r="C148" s="21" t="s">
        <v>221</v>
      </c>
      <c r="D148" s="21" t="s">
        <v>409</v>
      </c>
      <c r="E148" s="13">
        <v>42813.932187500002</v>
      </c>
      <c r="F148" s="13">
        <v>42813.934884259259</v>
      </c>
      <c r="G148" s="7">
        <v>1</v>
      </c>
      <c r="H148" s="21" t="s">
        <v>199</v>
      </c>
      <c r="I148" s="13">
        <v>42813.961388888885</v>
      </c>
      <c r="J148" s="7">
        <v>0</v>
      </c>
      <c r="K148" s="98" t="str">
        <f t="shared" si="54"/>
        <v>4053/4054</v>
      </c>
      <c r="L148" s="21" t="str">
        <f>VLOOKUP(A148,'Trips&amp;Operators'!$C$1:$G$99999,5,FALSE)</f>
        <v>NEWELL JAMES</v>
      </c>
      <c r="M148" s="6">
        <f t="shared" si="55"/>
        <v>2.6504629626288079E-2</v>
      </c>
      <c r="N148" s="7">
        <f t="shared" si="69"/>
        <v>38.166666661854833</v>
      </c>
      <c r="O148" s="7"/>
      <c r="P148" s="7"/>
      <c r="Q148" s="22"/>
      <c r="R148" s="22"/>
      <c r="S148" s="31">
        <f t="shared" si="70"/>
        <v>1</v>
      </c>
      <c r="T148" s="46" t="str">
        <f t="shared" si="56"/>
        <v>Southbound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57"/>
        <v>https://d0f6bd738d7f1b3e5a7ca70fe4ff75f0.us-east-1.aws.found.io/app/kibana#/discover/Steve-Slow-Train-Analysis-(2080s-and-2083s)?_g=(refreshInterval:(display:Off,pause:!f,section:0,value:0),time:(from:'2017-03-19T21:22:21-0600',mode:absolute,to:'2017-03-20T00:04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8" s="187" t="str">
        <f t="shared" si="58"/>
        <v>N</v>
      </c>
      <c r="X148" s="187">
        <f t="shared" si="59"/>
        <v>1</v>
      </c>
      <c r="Y148" s="62">
        <f t="shared" si="60"/>
        <v>23.2987</v>
      </c>
      <c r="Z148" s="62">
        <f t="shared" si="53"/>
        <v>1.5800000000000002E-2</v>
      </c>
      <c r="AA148" s="62">
        <f t="shared" si="61"/>
        <v>23.282900000000001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62"/>
        <v>0232-19</v>
      </c>
      <c r="AE148" s="85" t="str">
        <f t="shared" si="63"/>
        <v>aws s3 cp s3://rtdc.mdm.uploadarchive.raw/RTDC4054/ "%USERPROFILE%\AppData\Local\Temp\OnboardLogs"\RTDC4054\2017-03-19 --exclude "*" --recursive --include "*20170319*" &amp; "%USERPROFILE%\Documents\GitHub\mrs-test-scripts\Headless Mode &amp; Sideloading\WalkAndUnGZ.bat" "%USERPROFILE%\AppData\Local\Temp\OnboardLogs"\RTDC4054\2017-03-19 &amp; aws s3 cp s3://rtdc.mdm.uploadarchive.raw/RTDC4054/ "%USERPROFILE%\AppData\Local\Temp\OnboardLogs"\RTDC4054\2017-03-20 --exclude "*" --recursive --include "*20170320*" &amp; "%USERPROFILE%\Documents\GitHub\mrs-test-scripts\Headless Mode &amp; Sideloading\WalkAndUnGZ.bat" "%USERPROFILE%\AppData\Local\Temp\OnboardLogs"\RTDC4054\2017-03-20</v>
      </c>
      <c r="AF148" s="82" t="str">
        <f t="shared" si="64"/>
        <v>"C:\Program Files (x86)\AstroGrep\AstroGrep.exe" /e /r /s /spath="%USERPROFILE%\AppData\Local\Temp\OnboardLogs" /stypes="app*4054*20170320*" /stext=" 05:.+((SYSTEM_STATE.+slice.+state.+changed )|(ment ac)|(multiple cpu faults)|(system.+state.+changed )|(\[timeout)|(PRM\|1\|D)|(kpr)|(kdp)|(\|lc)|(penalty))"</v>
      </c>
      <c r="AG148" s="1" t="str">
        <f t="shared" si="65"/>
        <v>EC</v>
      </c>
      <c r="AH148" s="86" t="str">
        <f t="shared" si="66"/>
        <v>"%USERPROFILE%\Documents\GitHub\eaglep3\Utilities\RefineRTDCRunTimes.py" --tripid 232-19 --locoid 4054 --swversion DE.1.0.9.0 --startMP 204:232987 --initTime 2017-03-19T22:22:21 --startdatetime 2017-03-19T22:26:14 --delay 1 --endMP 204:158 --enddatetime 2017-03-19T23:04:24 --enforcementcount 0 &gt;&gt;%USERPROFILE%\Documents\GitHub\eaglep3-reporting\EC\2017-03-19-refined-times.txt</v>
      </c>
      <c r="AI148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{"issue":{"subject":"","project_id":79,"tracker_id":40,"status_id":1,"priority_id":2,"assigned_to_id":23,"start_date":"2017-03-19","description":"","custom_fields":[{"id":1,"name":"Subdivision","value":"EC"},{"id":4,"name":"Milepost","value":"0.0158"},{"id":17,"name":"Train ID","value":"232-19"},{"id":16,"name":"Locomotive ID","value":"4054"},{"id":130,"name":"Impact","value":""},{"id":150,"name":"Time of Event (Mountain Time)","value":"23:04:24"},{"id":151,"name":"Denver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8"/>
        <v>start /low /b %USERPROFILE%\Documents\GitHub\eaglep3\Utilities\DownloadLogsFromS3.py --loco 4054 --day 2017-03-19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"%USERPROFILE%\AppData\Local\Temp\OnboardLogs"\RTDC4054\*4054*20170320* | grep -SE "(Enforcement Action)|(\[TIMEOUT)|(CHR.+\|PRM\|1\|D.+(SWITCH|SIGNAL).+UNKNOWN)" - &gt;&gt; 2017-03-19-UncaughtWiMAX.txt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3" t="s">
        <v>780</v>
      </c>
      <c r="B149" s="7">
        <v>4002</v>
      </c>
      <c r="C149" s="21" t="s">
        <v>221</v>
      </c>
      <c r="D149" s="21" t="s">
        <v>207</v>
      </c>
      <c r="E149" s="13">
        <v>42813.906527777777</v>
      </c>
      <c r="F149" s="13">
        <v>42813.916886574072</v>
      </c>
      <c r="G149" s="7">
        <v>1</v>
      </c>
      <c r="H149" s="21" t="s">
        <v>911</v>
      </c>
      <c r="I149" s="13">
        <v>42813.942129629628</v>
      </c>
      <c r="J149" s="7">
        <v>0</v>
      </c>
      <c r="K149" s="98" t="str">
        <f t="shared" si="54"/>
        <v>4001/4002</v>
      </c>
      <c r="L149" s="21" t="str">
        <f>VLOOKUP(A149,'Trips&amp;Operators'!$C$1:$G$99999,5,FALSE)</f>
        <v>SMITH MICHAEL</v>
      </c>
      <c r="M149" s="6">
        <f t="shared" si="55"/>
        <v>2.5243055555620231E-2</v>
      </c>
      <c r="N149" s="7">
        <f t="shared" si="69"/>
        <v>36.350000000093132</v>
      </c>
      <c r="O149" s="7"/>
      <c r="P149" s="7"/>
      <c r="Q149" s="22"/>
      <c r="R149" s="22"/>
      <c r="S149" s="31">
        <f t="shared" si="70"/>
        <v>1</v>
      </c>
      <c r="T149" s="46" t="str">
        <f t="shared" si="56"/>
        <v>NorthBound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57"/>
        <v>https://d0f6bd738d7f1b3e5a7ca70fe4ff75f0.us-east-1.aws.found.io/app/kibana#/discover/Steve-Slow-Train-Analysis-(2080s-and-2083s)?_g=(refreshInterval:(display:Off,pause:!f,section:0,value:0),time:(from:'2017-03-19T20:45:24-0600',mode:absolute,to:'2017-03-19T23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9" s="187" t="str">
        <f t="shared" si="58"/>
        <v>N</v>
      </c>
      <c r="X149" s="187">
        <f t="shared" si="59"/>
        <v>1</v>
      </c>
      <c r="Y149" s="62">
        <f t="shared" si="60"/>
        <v>4.5699999999999998E-2</v>
      </c>
      <c r="Z149" s="62">
        <f t="shared" si="53"/>
        <v>23.343399999999999</v>
      </c>
      <c r="AA149" s="62">
        <f t="shared" si="61"/>
        <v>23.297699999999999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62"/>
        <v>0233-19</v>
      </c>
      <c r="AE149" s="85" t="str">
        <f t="shared" si="63"/>
        <v>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 &amp; 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</v>
      </c>
      <c r="AF149" s="82" t="str">
        <f t="shared" si="64"/>
        <v>"C:\Program Files (x86)\AstroGrep\AstroGrep.exe" /e /r /s /spath="%USERPROFILE%\AppData\Local\Temp\OnboardLogs" /stypes="app*4002*20170320*" /stext=" 04:.+((SYSTEM_STATE.+slice.+state.+changed )|(ment ac)|(multiple cpu faults)|(system.+state.+changed )|(\[timeout)|(PRM\|1\|D)|(kpr)|(kdp)|(\|lc)|(penalty))"</v>
      </c>
      <c r="AG149" s="1" t="str">
        <f t="shared" si="65"/>
        <v>EC</v>
      </c>
      <c r="AH149" s="86" t="str">
        <f t="shared" si="66"/>
        <v>"%USERPROFILE%\Documents\GitHub\eaglep3\Utilities\RefineRTDCRunTimes.py" --tripid 233-19 --locoid 4002 --swversion DE.1.0.9.0 --startMP 204:457 --initTime 2017-03-19T21:45:24 --startdatetime 2017-03-19T22:00:19 --delay 1 --endMP 204:233434 --enddatetime 2017-03-19T22:36:40 --enforcementcount 0 &gt;&gt;%USERPROFILE%\Documents\GitHub\eaglep3-reporting\EC\2017-03-19-refined-times.txt</v>
      </c>
      <c r="AI149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{"issue":{"subject":"","project_id":79,"tracker_id":40,"status_id":1,"priority_id":2,"assigned_to_id":23,"start_date":"2017-03-19","description":"","custom_fields":[{"id":1,"name":"Subdivision","value":"EC"},{"id":4,"name":"Milepost","value":"23.3434"},{"id":17,"name":"Train ID","value":"233-19"},{"id":16,"name":"Locomotive ID","value":"4002"},{"id":130,"name":"Impact","value":""},{"id":150,"name":"Time of Event (Mountain Time)","value":"22:36:40"},{"id":151,"name":"Denver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8"/>
        <v>start /low /b %USERPROFILE%\Documents\GitHub\eaglep3\Utilities\DownloadLogsFromS3.py --loco 4002 --day 2017-03-19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"%USERPROFILE%\AppData\Local\Temp\OnboardLogs"\RTDC4002\*4002*20170320* | grep -SE "(Enforcement Action)|(\[TIMEOUT)|(CHR.+\|PRM\|1\|D.+(SWITCH|SIGNAL).+UNKNOWN)" - &gt;&gt; 2017-03-19-UncaughtWiMAX.txt</v>
      </c>
    </row>
    <row r="150" spans="1:91" s="20" customFormat="1" x14ac:dyDescent="0.25">
      <c r="A150" s="33" t="s">
        <v>784</v>
      </c>
      <c r="B150" s="7">
        <v>4001</v>
      </c>
      <c r="C150" s="21" t="s">
        <v>221</v>
      </c>
      <c r="D150" s="21" t="s">
        <v>912</v>
      </c>
      <c r="E150" s="13">
        <v>42813.949166666665</v>
      </c>
      <c r="F150" s="13">
        <v>42813.955752314818</v>
      </c>
      <c r="G150" s="7">
        <v>1</v>
      </c>
      <c r="H150" s="21" t="s">
        <v>204</v>
      </c>
      <c r="I150" s="13">
        <v>42813.983657407407</v>
      </c>
      <c r="J150" s="7">
        <v>0</v>
      </c>
      <c r="K150" s="98" t="str">
        <f t="shared" si="54"/>
        <v>4001/4002</v>
      </c>
      <c r="L150" s="21" t="str">
        <f>VLOOKUP(A150,'Trips&amp;Operators'!$C$1:$G$99999,5,FALSE)</f>
        <v>SMITH MICHAEL</v>
      </c>
      <c r="M150" s="6">
        <f t="shared" si="55"/>
        <v>2.7905092589207925E-2</v>
      </c>
      <c r="N150" s="7">
        <f t="shared" si="69"/>
        <v>40.183333328459412</v>
      </c>
      <c r="O150" s="7"/>
      <c r="P150" s="7"/>
      <c r="Q150" s="22"/>
      <c r="R150" s="22"/>
      <c r="S150" s="31">
        <f t="shared" si="70"/>
        <v>1</v>
      </c>
      <c r="T150" s="46" t="str">
        <f t="shared" si="56"/>
        <v>Southbound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57"/>
        <v>https://d0f6bd738d7f1b3e5a7ca70fe4ff75f0.us-east-1.aws.found.io/app/kibana#/discover/Steve-Slow-Train-Analysis-(2080s-and-2083s)?_g=(refreshInterval:(display:Off,pause:!f,section:0,value:0),time:(from:'2017-03-19T21:46:48-0600',mode:absolute,to:'2017-03-20T00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0" s="187" t="str">
        <f t="shared" si="58"/>
        <v>N</v>
      </c>
      <c r="X150" s="187">
        <f t="shared" si="59"/>
        <v>1</v>
      </c>
      <c r="Y150" s="62">
        <f t="shared" si="60"/>
        <v>23.31</v>
      </c>
      <c r="Z150" s="62">
        <f t="shared" si="53"/>
        <v>1.54E-2</v>
      </c>
      <c r="AA150" s="62">
        <f t="shared" si="61"/>
        <v>23.294599999999999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62"/>
        <v>0234-19</v>
      </c>
      <c r="AE150" s="85" t="str">
        <f t="shared" si="63"/>
        <v>aws s3 cp s3://rtdc.mdm.uploadarchive.raw/RTDC4001/ "%USERPROFILE%\AppData\Local\Temp\OnboardLogs"\RTDC4001\2017-03-19 --exclude "*" --recursive --include "*20170319*" &amp; "%USERPROFILE%\Documents\GitHub\mrs-test-scripts\Headless Mode &amp; Sideloading\WalkAndUnGZ.bat" "%USERPROFILE%\AppData\Local\Temp\OnboardLogs"\RTDC4001\2017-03-19 &amp; aws s3 cp s3://rtdc.mdm.uploadarchive.raw/RTDC4001/ "%USERPROFILE%\AppData\Local\Temp\OnboardLogs"\RTDC4001\2017-03-20 --exclude "*" --recursive --include "*20170320*" &amp; "%USERPROFILE%\Documents\GitHub\mrs-test-scripts\Headless Mode &amp; Sideloading\WalkAndUnGZ.bat" "%USERPROFILE%\AppData\Local\Temp\OnboardLogs"\RTDC4001\2017-03-20</v>
      </c>
      <c r="AF150" s="82" t="str">
        <f t="shared" si="64"/>
        <v>"C:\Program Files (x86)\AstroGrep\AstroGrep.exe" /e /r /s /spath="%USERPROFILE%\AppData\Local\Temp\OnboardLogs" /stypes="app*4001*20170320*" /stext=" 05:.+((SYSTEM_STATE.+slice.+state.+changed )|(ment ac)|(multiple cpu faults)|(system.+state.+changed )|(\[timeout)|(PRM\|1\|D)|(kpr)|(kdp)|(\|lc)|(penalty))"</v>
      </c>
      <c r="AG150" s="1" t="str">
        <f t="shared" si="65"/>
        <v>EC</v>
      </c>
      <c r="AH150" s="86" t="str">
        <f t="shared" si="66"/>
        <v>"%USERPROFILE%\Documents\GitHub\eaglep3\Utilities\RefineRTDCRunTimes.py" --tripid 234-19 --locoid 4001 --swversion DE.1.0.9.0 --startMP 204:233100 --initTime 2017-03-19T22:46:48 --startdatetime 2017-03-19T22:56:17 --delay 1 --endMP 204:154 --enddatetime 2017-03-19T23:36:28 --enforcementcount 0 &gt;&gt;%USERPROFILE%\Documents\GitHub\eaglep3-reporting\EC\2017-03-19-refined-times.txt</v>
      </c>
      <c r="AI150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{"issue":{"subject":"","project_id":79,"tracker_id":40,"status_id":1,"priority_id":2,"assigned_to_id":23,"start_date":"2017-03-19","description":"","custom_fields":[{"id":1,"name":"Subdivision","value":"EC"},{"id":4,"name":"Milepost","value":"0.0154"},{"id":17,"name":"Train ID","value":"234-19"},{"id":16,"name":"Locomotive ID","value":"4001"},{"id":130,"name":"Impact","value":""},{"id":150,"name":"Time of Event (Mountain Time)","value":"23:36:28"},{"id":151,"name":"Denver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8"/>
        <v>start /low /b %USERPROFILE%\Documents\GitHub\eaglep3\Utilities\DownloadLogsFromS3.py --loco 4001 --day 2017-03-19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"%USERPROFILE%\AppData\Local\Temp\OnboardLogs"\RTDC4001\*4001*20170320* | grep -SE "(Enforcement Action)|(\[TIMEOUT)|(CHR.+\|PRM\|1\|D.+(SWITCH|SIGNAL).+UNKNOWN)" - &gt;&gt; 2017-03-19-UncaughtWiMAX.txt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781</v>
      </c>
      <c r="B151" s="7">
        <v>4016</v>
      </c>
      <c r="C151" s="21" t="s">
        <v>221</v>
      </c>
      <c r="D151" s="21" t="s">
        <v>913</v>
      </c>
      <c r="E151" s="13">
        <v>42813.924097222225</v>
      </c>
      <c r="F151" s="13">
        <v>42813.937893518516</v>
      </c>
      <c r="G151" s="7">
        <v>1</v>
      </c>
      <c r="H151" s="21" t="s">
        <v>880</v>
      </c>
      <c r="I151" s="13">
        <v>42813.962442129632</v>
      </c>
      <c r="J151" s="7">
        <v>0</v>
      </c>
      <c r="K151" s="98" t="str">
        <f t="shared" si="54"/>
        <v>4015/4016</v>
      </c>
      <c r="L151" s="21" t="str">
        <f>VLOOKUP(A151,'Trips&amp;Operators'!$C$1:$G$99999,5,FALSE)</f>
        <v>STAMBAUGH JAMES</v>
      </c>
      <c r="M151" s="6">
        <f t="shared" si="55"/>
        <v>2.4548611116188113E-2</v>
      </c>
      <c r="N151" s="7">
        <f t="shared" si="69"/>
        <v>35.350000007310882</v>
      </c>
      <c r="O151" s="7"/>
      <c r="P151" s="7"/>
      <c r="Q151" s="22"/>
      <c r="R151" s="22"/>
      <c r="S151" s="31">
        <f t="shared" si="70"/>
        <v>1</v>
      </c>
      <c r="T151" s="46" t="str">
        <f t="shared" si="56"/>
        <v>NorthBound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57"/>
        <v>https://d0f6bd738d7f1b3e5a7ca70fe4ff75f0.us-east-1.aws.found.io/app/kibana#/discover/Steve-Slow-Train-Analysis-(2080s-and-2083s)?_g=(refreshInterval:(display:Off,pause:!f,section:0,value:0),time:(from:'2017-03-19T21:10:42-0600',mode:absolute,to:'2017-03-20T00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1" s="187" t="str">
        <f t="shared" si="58"/>
        <v>N</v>
      </c>
      <c r="X151" s="187">
        <f t="shared" si="59"/>
        <v>1</v>
      </c>
      <c r="Y151" s="62">
        <f t="shared" si="60"/>
        <v>4.3499999999999997E-2</v>
      </c>
      <c r="Z151" s="62">
        <f t="shared" si="53"/>
        <v>23.337</v>
      </c>
      <c r="AA151" s="62">
        <f t="shared" si="61"/>
        <v>23.293499999999998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62"/>
        <v>0235-19</v>
      </c>
      <c r="AE151" s="85" t="str">
        <f t="shared" si="63"/>
        <v>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 &amp; 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</v>
      </c>
      <c r="AF151" s="82" t="str">
        <f t="shared" si="64"/>
        <v>"C:\Program Files (x86)\AstroGrep\AstroGrep.exe" /e /r /s /spath="%USERPROFILE%\AppData\Local\Temp\OnboardLogs" /stypes="app*4016*20170320*" /stext=" 05:.+((SYSTEM_STATE.+slice.+state.+changed )|(ment ac)|(multiple cpu faults)|(system.+state.+changed )|(\[timeout)|(PRM\|1\|D)|(kpr)|(kdp)|(\|lc)|(penalty))"</v>
      </c>
      <c r="AG151" s="1" t="str">
        <f t="shared" si="65"/>
        <v>EC</v>
      </c>
      <c r="AH151" s="86" t="str">
        <f t="shared" si="66"/>
        <v>"%USERPROFILE%\Documents\GitHub\eaglep3\Utilities\RefineRTDCRunTimes.py" --tripid 235-19 --locoid 4016 --swversion DE.1.0.9.0 --startMP 204:435 --initTime 2017-03-19T22:10:42 --startdatetime 2017-03-19T22:30:34 --delay 1 --endMP 204:233370 --enddatetime 2017-03-19T23:05:55 --enforcementcount 0 &gt;&gt;%USERPROFILE%\Documents\GitHub\eaglep3-reporting\EC\2017-03-19-refined-times.txt</v>
      </c>
      <c r="AI151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{"issue":{"subject":"","project_id":79,"tracker_id":40,"status_id":1,"priority_id":2,"assigned_to_id":23,"start_date":"2017-03-19","description":"","custom_fields":[{"id":1,"name":"Subdivision","value":"EC"},{"id":4,"name":"Milepost","value":"23.337"},{"id":17,"name":"Train ID","value":"235-19"},{"id":16,"name":"Locomotive ID","value":"4016"},{"id":130,"name":"Impact","value":""},{"id":150,"name":"Time of Event (Mountain Time)","value":"23:05:55"},{"id":151,"name":"Denver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8"/>
        <v>start /low /b %USERPROFILE%\Documents\GitHub\eaglep3\Utilities\DownloadLogsFromS3.py --loco 4016 --day 2017-03-19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"%USERPROFILE%\AppData\Local\Temp\OnboardLogs"\RTDC4016\*4016*20170320* | grep -SE "(Enforcement Action)|(\[TIMEOUT)|(CHR.+\|PRM\|1\|D.+(SWITCH|SIGNAL).+UNKNOWN)" - &gt;&gt; 2017-03-19-UncaughtWiMAX.txt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786</v>
      </c>
      <c r="B152" s="7">
        <v>4015</v>
      </c>
      <c r="C152" s="21" t="s">
        <v>221</v>
      </c>
      <c r="D152" s="21" t="s">
        <v>914</v>
      </c>
      <c r="E152" s="13">
        <v>42813.97446759259</v>
      </c>
      <c r="F152" s="13">
        <v>42813.976851851854</v>
      </c>
      <c r="G152" s="7">
        <v>1</v>
      </c>
      <c r="H152" s="21" t="s">
        <v>213</v>
      </c>
      <c r="I152" s="13">
        <v>42814.002754629626</v>
      </c>
      <c r="J152" s="7">
        <v>0</v>
      </c>
      <c r="K152" s="98" t="str">
        <f t="shared" si="54"/>
        <v>4015/4016</v>
      </c>
      <c r="L152" s="21" t="str">
        <f>VLOOKUP(A152,'Trips&amp;Operators'!$C$1:$G$99999,5,FALSE)</f>
        <v>STAMBAUGH JAMES</v>
      </c>
      <c r="M152" s="6">
        <f t="shared" si="55"/>
        <v>2.5902777771989349E-2</v>
      </c>
      <c r="N152" s="7">
        <f t="shared" si="69"/>
        <v>37.299999991664663</v>
      </c>
      <c r="O152" s="7"/>
      <c r="P152" s="7"/>
      <c r="Q152" s="22"/>
      <c r="R152" s="22"/>
      <c r="S152" s="31">
        <f t="shared" si="70"/>
        <v>1</v>
      </c>
      <c r="T152" s="46" t="str">
        <f t="shared" si="56"/>
        <v>Southbound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57"/>
        <v>https://d0f6bd738d7f1b3e5a7ca70fe4ff75f0.us-east-1.aws.found.io/app/kibana#/discover/Steve-Slow-Train-Analysis-(2080s-and-2083s)?_g=(refreshInterval:(display:Off,pause:!f,section:0,value:0),time:(from:'2017-03-19T22:23:14-0600',mode:absolute,to:'2017-03-20T01:03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2" s="187" t="str">
        <f t="shared" si="58"/>
        <v>N</v>
      </c>
      <c r="X152" s="187">
        <f t="shared" si="59"/>
        <v>1</v>
      </c>
      <c r="Y152" s="62">
        <f t="shared" si="60"/>
        <v>23.310600000000001</v>
      </c>
      <c r="Z152" s="62">
        <f t="shared" si="53"/>
        <v>1.41E-2</v>
      </c>
      <c r="AA152" s="62">
        <f t="shared" si="61"/>
        <v>23.296500000000002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62"/>
        <v>0236-19</v>
      </c>
      <c r="AE152" s="85" t="str">
        <f t="shared" si="63"/>
        <v>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 &amp; 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</v>
      </c>
      <c r="AF152" s="82" t="str">
        <f t="shared" si="64"/>
        <v>"C:\Program Files (x86)\AstroGrep\AstroGrep.exe" /e /r /s /spath="%USERPROFILE%\AppData\Local\Temp\OnboardLogs" /stypes="app*4015*20170320*" /stext=" 06:.+((SYSTEM_STATE.+slice.+state.+changed )|(ment ac)|(multiple cpu faults)|(system.+state.+changed )|(\[timeout)|(PRM\|1\|D)|(kpr)|(kdp)|(\|lc)|(penalty))"</v>
      </c>
      <c r="AG152" s="1" t="str">
        <f t="shared" si="65"/>
        <v>EC</v>
      </c>
      <c r="AH152" s="86" t="str">
        <f t="shared" si="66"/>
        <v>"%USERPROFILE%\Documents\GitHub\eaglep3\Utilities\RefineRTDCRunTimes.py" --tripid 236-19 --locoid 4015 --swversion DE.1.0.9.0 --startMP 204:233106 --initTime 2017-03-19T23:23:14 --startdatetime 2017-03-19T23:26:40 --delay 1 --endMP 204:141 --enddatetime 2017-03-20T00:03:58 --enforcementcount 0 &gt;&gt;%USERPROFILE%\Documents\GitHub\eaglep3-reporting\EC\2017-03-19-refined-times.txt</v>
      </c>
      <c r="AI152" s="108" t="str">
        <f t="shared" si="67"/>
        <v>echo {"issue":{"subject":"","project_id":79,"tracker_id":40,"status_id":1,"priority_id":2,"assigned_to_id":23,"start_date":"2017-03-20","description":"","custom_fields":[{"id":1,"name":"Subdivision","value":"EC"},{"id":4,"name":"Milepost","value":"0.0141"},{"id":17,"name":"Train ID","value":"236-19"},{"id":16,"name":"Locomotive ID","value":"4015"},{"id":130,"name":"Impact","value":""},{"id":150,"name":"Time of Event (Mountain Time)","value":"00:03:58"},{"id":151,"name":"Denver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8"/>
        <v>start /low /b %USERPROFILE%\Documents\GitHub\eaglep3\Utilities\DownloadLogsFromS3.py --loco 4015 --day 2017-03-19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"%USERPROFILE%\AppData\Local\Temp\OnboardLogs"\RTDC4015\*4015*20170320* | grep -SE "(Enforcement Action)|(\[TIMEOUT)|(CHR.+\|PRM\|1\|D.+(SWITCH|SIGNAL).+UNKNOWN)" - &gt;&gt; 2017-03-19-UncaughtWiMAX.txt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785</v>
      </c>
      <c r="B153" s="7">
        <v>4020</v>
      </c>
      <c r="C153" s="21" t="s">
        <v>221</v>
      </c>
      <c r="D153" s="21" t="s">
        <v>915</v>
      </c>
      <c r="E153" s="13">
        <v>42813.953090277777</v>
      </c>
      <c r="F153" s="13">
        <v>42813.958773148152</v>
      </c>
      <c r="G153" s="7">
        <v>1</v>
      </c>
      <c r="H153" s="21" t="s">
        <v>565</v>
      </c>
      <c r="I153" s="13">
        <v>42813.984375</v>
      </c>
      <c r="J153" s="7">
        <v>0</v>
      </c>
      <c r="K153" s="98" t="str">
        <f t="shared" si="54"/>
        <v>4019/4020</v>
      </c>
      <c r="L153" s="21" t="str">
        <f>VLOOKUP(A153,'Trips&amp;Operators'!$C$1:$G$99999,5,FALSE)</f>
        <v>CHANDLER KELVIN</v>
      </c>
      <c r="M153" s="6">
        <f t="shared" si="55"/>
        <v>2.5601851848477963E-2</v>
      </c>
      <c r="N153" s="7">
        <f t="shared" si="69"/>
        <v>36.866666661808267</v>
      </c>
      <c r="O153" s="7"/>
      <c r="P153" s="7"/>
      <c r="Q153" s="22"/>
      <c r="R153" s="22"/>
      <c r="S153" s="31">
        <f t="shared" si="70"/>
        <v>1</v>
      </c>
      <c r="T153" s="46" t="str">
        <f t="shared" si="56"/>
        <v>NorthBound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57"/>
        <v>https://d0f6bd738d7f1b3e5a7ca70fe4ff75f0.us-east-1.aws.found.io/app/kibana#/discover/Steve-Slow-Train-Analysis-(2080s-and-2083s)?_g=(refreshInterval:(display:Off,pause:!f,section:0,value:0),time:(from:'2017-03-19T21:52:27-0600',mode:absolute,to:'2017-03-20T00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3" s="187" t="str">
        <f t="shared" si="58"/>
        <v>N</v>
      </c>
      <c r="X153" s="187">
        <f t="shared" si="59"/>
        <v>1</v>
      </c>
      <c r="Y153" s="62">
        <f t="shared" si="60"/>
        <v>0.05</v>
      </c>
      <c r="Z153" s="62">
        <f t="shared" si="53"/>
        <v>23.3291</v>
      </c>
      <c r="AA153" s="62">
        <f t="shared" si="61"/>
        <v>23.2791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62"/>
        <v>0237-19</v>
      </c>
      <c r="AE153" s="85" t="str">
        <f t="shared" si="63"/>
        <v>aws s3 cp s3://rtdc.mdm.uploadarchive.raw/RTDC4020/ "%USERPROFILE%\AppData\Local\Temp\OnboardLogs"\RTDC4020\2017-03-19 --exclude "*" --recursive --include "*20170319*" &amp; "%USERPROFILE%\Documents\GitHub\mrs-test-scripts\Headless Mode &amp; Sideloading\WalkAndUnGZ.bat" "%USERPROFILE%\AppData\Local\Temp\OnboardLogs"\RTDC4020\2017-03-19 &amp; aws s3 cp s3://rtdc.mdm.uploadarchive.raw/RTDC4020/ "%USERPROFILE%\AppData\Local\Temp\OnboardLogs"\RTDC4020\2017-03-20 --exclude "*" --recursive --include "*20170320*" &amp; "%USERPROFILE%\Documents\GitHub\mrs-test-scripts\Headless Mode &amp; Sideloading\WalkAndUnGZ.bat" "%USERPROFILE%\AppData\Local\Temp\OnboardLogs"\RTDC4020\2017-03-20</v>
      </c>
      <c r="AF153" s="82" t="str">
        <f t="shared" si="64"/>
        <v>"C:\Program Files (x86)\AstroGrep\AstroGrep.exe" /e /r /s /spath="%USERPROFILE%\AppData\Local\Temp\OnboardLogs" /stypes="app*4020*20170320*" /stext=" 05:.+((SYSTEM_STATE.+slice.+state.+changed )|(ment ac)|(multiple cpu faults)|(system.+state.+changed )|(\[timeout)|(PRM\|1\|D)|(kpr)|(kdp)|(\|lc)|(penalty))"</v>
      </c>
      <c r="AG153" s="1" t="str">
        <f t="shared" si="65"/>
        <v>EC</v>
      </c>
      <c r="AH153" s="86" t="str">
        <f t="shared" si="66"/>
        <v>"%USERPROFILE%\Documents\GitHub\eaglep3\Utilities\RefineRTDCRunTimes.py" --tripid 237-19 --locoid 4020 --swversion DE.1.0.9.0 --startMP 204:500 --initTime 2017-03-19T22:52:27 --startdatetime 2017-03-19T23:00:38 --delay 1 --endMP 204:233291 --enddatetime 2017-03-19T23:37:30 --enforcementcount 0 &gt;&gt;%USERPROFILE%\Documents\GitHub\eaglep3-reporting\EC\2017-03-19-refined-times.txt</v>
      </c>
      <c r="AI153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{"issue":{"subject":"","project_id":79,"tracker_id":40,"status_id":1,"priority_id":2,"assigned_to_id":23,"start_date":"2017-03-19","description":"","custom_fields":[{"id":1,"name":"Subdivision","value":"EC"},{"id":4,"name":"Milepost","value":"23.3291"},{"id":17,"name":"Train ID","value":"237-19"},{"id":16,"name":"Locomotive ID","value":"4020"},{"id":130,"name":"Impact","value":""},{"id":150,"name":"Time of Event (Mountain Time)","value":"23:37:30"},{"id":151,"name":"Denver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8"/>
        <v>start /low /b %USERPROFILE%\Documents\GitHub\eaglep3\Utilities\DownloadLogsFromS3.py --loco 4020 --day 2017-03-19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"%USERPROFILE%\AppData\Local\Temp\OnboardLogs"\RTDC4020\*4020*20170320* | grep -SE "(Enforcement Action)|(\[TIMEOUT)|(CHR.+\|PRM\|1\|D.+(SWITCH|SIGNAL).+UNKNOWN)" - &gt;&gt; 2017-03-19-UncaughtWiMAX.txt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788</v>
      </c>
      <c r="B154" s="7">
        <v>4019</v>
      </c>
      <c r="C154" s="21" t="s">
        <v>221</v>
      </c>
      <c r="D154" s="21" t="s">
        <v>916</v>
      </c>
      <c r="E154" s="13">
        <v>42813.992673611108</v>
      </c>
      <c r="F154" s="13">
        <v>42813.997511574074</v>
      </c>
      <c r="G154" s="7">
        <v>1</v>
      </c>
      <c r="H154" s="21" t="s">
        <v>190</v>
      </c>
      <c r="I154" s="13">
        <v>42814.025682870371</v>
      </c>
      <c r="J154" s="7">
        <v>0</v>
      </c>
      <c r="K154" s="98" t="str">
        <f t="shared" si="54"/>
        <v>4019/4020</v>
      </c>
      <c r="L154" s="21" t="str">
        <f>VLOOKUP(A154,'Trips&amp;Operators'!$C$1:$G$99999,5,FALSE)</f>
        <v>CHANDLER KELVIN</v>
      </c>
      <c r="M154" s="6">
        <f t="shared" si="55"/>
        <v>2.8171296296932269E-2</v>
      </c>
      <c r="N154" s="7">
        <f t="shared" si="69"/>
        <v>40.566666667582467</v>
      </c>
      <c r="O154" s="7"/>
      <c r="P154" s="7"/>
      <c r="Q154" s="22"/>
      <c r="R154" s="22"/>
      <c r="S154" s="31">
        <f t="shared" si="70"/>
        <v>1</v>
      </c>
      <c r="T154" s="46" t="str">
        <f t="shared" si="56"/>
        <v>Southbound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57"/>
        <v>https://d0f6bd738d7f1b3e5a7ca70fe4ff75f0.us-east-1.aws.found.io/app/kibana#/discover/Steve-Slow-Train-Analysis-(2080s-and-2083s)?_g=(refreshInterval:(display:Off,pause:!f,section:0,value:0),time:(from:'2017-03-19T22:49:27-0600',mode:absolute,to:'2017-03-20T01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4" s="187" t="str">
        <f t="shared" si="58"/>
        <v>N</v>
      </c>
      <c r="X154" s="187">
        <f t="shared" si="59"/>
        <v>1</v>
      </c>
      <c r="Y154" s="62">
        <f t="shared" si="60"/>
        <v>23.2944</v>
      </c>
      <c r="Z154" s="62">
        <f t="shared" si="53"/>
        <v>1.4999999999999999E-2</v>
      </c>
      <c r="AA154" s="62">
        <f t="shared" si="61"/>
        <v>23.279399999999999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62"/>
        <v>0238-19</v>
      </c>
      <c r="AE154" s="85" t="str">
        <f t="shared" si="63"/>
        <v>aws s3 cp s3://rtdc.mdm.uploadarchive.raw/RTDC4019/ "%USERPROFILE%\AppData\Local\Temp\OnboardLogs"\RTDC4019\2017-03-19 --exclude "*" --recursive --include "*20170319*" &amp; "%USERPROFILE%\Documents\GitHub\mrs-test-scripts\Headless Mode &amp; Sideloading\WalkAndUnGZ.bat" "%USERPROFILE%\AppData\Local\Temp\OnboardLogs"\RTDC4019\2017-03-19 &amp; aws s3 cp s3://rtdc.mdm.uploadarchive.raw/RTDC4019/ "%USERPROFILE%\AppData\Local\Temp\OnboardLogs"\RTDC4019\2017-03-20 --exclude "*" --recursive --include "*20170320*" &amp; "%USERPROFILE%\Documents\GitHub\mrs-test-scripts\Headless Mode &amp; Sideloading\WalkAndUnGZ.bat" "%USERPROFILE%\AppData\Local\Temp\OnboardLogs"\RTDC4019\2017-03-20</v>
      </c>
      <c r="AF154" s="82" t="str">
        <f t="shared" si="64"/>
        <v>"C:\Program Files (x86)\AstroGrep\AstroGrep.exe" /e /r /s /spath="%USERPROFILE%\AppData\Local\Temp\OnboardLogs" /stypes="app*4019*20170320*" /stext=" 06:.+((SYSTEM_STATE.+slice.+state.+changed )|(ment ac)|(multiple cpu faults)|(system.+state.+changed )|(\[timeout)|(PRM\|1\|D)|(kpr)|(kdp)|(\|lc)|(penalty))"</v>
      </c>
      <c r="AG154" s="1" t="str">
        <f t="shared" si="65"/>
        <v>EC</v>
      </c>
      <c r="AH154" s="86" t="str">
        <f t="shared" si="66"/>
        <v>"%USERPROFILE%\Documents\GitHub\eaglep3\Utilities\RefineRTDCRunTimes.py" --tripid 238-19 --locoid 4019 --swversion DE.1.0.9.0 --startMP 204:232944 --initTime 2017-03-19T23:49:27 --startdatetime 2017-03-19T23:56:25 --delay 1 --endMP 204:150 --enddatetime 2017-03-20T00:36:59 --enforcementcount 0 &gt;&gt;%USERPROFILE%\Documents\GitHub\eaglep3-reporting\EC\2017-03-19-refined-times.txt</v>
      </c>
      <c r="AI154" s="108" t="str">
        <f t="shared" si="67"/>
        <v>echo {"issue":{"subject":"","project_id":79,"tracker_id":40,"status_id":1,"priority_id":2,"assigned_to_id":23,"start_date":"2017-03-20","description":"","custom_fields":[{"id":1,"name":"Subdivision","value":"EC"},{"id":4,"name":"Milepost","value":"0.015"},{"id":17,"name":"Train ID","value":"238-19"},{"id":16,"name":"Locomotive ID","value":"4019"},{"id":130,"name":"Impact","value":""},{"id":150,"name":"Time of Event (Mountain Time)","value":"00:36:59"},{"id":151,"name":"Denver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68"/>
        <v>start /low /b %USERPROFILE%\Documents\GitHub\eaglep3\Utilities\DownloadLogsFromS3.py --loco 4019 --day 2017-03-19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"%USERPROFILE%\AppData\Local\Temp\OnboardLogs"\RTDC4019\*4019*20170320* | grep -SE "(Enforcement Action)|(\[TIMEOUT)|(CHR.+\|PRM\|1\|D.+(SWITCH|SIGNAL).+UNKNOWN)" - &gt;&gt; 2017-03-19-UncaughtWiMAX.txt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3" t="s">
        <v>787</v>
      </c>
      <c r="B155" s="7">
        <v>4053</v>
      </c>
      <c r="C155" s="21" t="s">
        <v>221</v>
      </c>
      <c r="D155" s="21" t="s">
        <v>886</v>
      </c>
      <c r="E155" s="13">
        <v>42813.976180555554</v>
      </c>
      <c r="F155" s="13">
        <v>42813.979317129626</v>
      </c>
      <c r="G155" s="7">
        <v>1</v>
      </c>
      <c r="H155" s="21" t="s">
        <v>224</v>
      </c>
      <c r="I155" s="13">
        <v>42814.003865740742</v>
      </c>
      <c r="J155" s="7">
        <v>0</v>
      </c>
      <c r="K155" s="98" t="str">
        <f t="shared" si="54"/>
        <v>4053/4054</v>
      </c>
      <c r="L155" s="21" t="str">
        <f>VLOOKUP(A155,'Trips&amp;Operators'!$C$1:$G$99999,5,FALSE)</f>
        <v>NEWELL JAMES</v>
      </c>
      <c r="M155" s="6">
        <f t="shared" si="55"/>
        <v>2.4548611116188113E-2</v>
      </c>
      <c r="N155" s="7">
        <f t="shared" si="69"/>
        <v>35.350000007310882</v>
      </c>
      <c r="O155" s="7"/>
      <c r="P155" s="7"/>
      <c r="Q155" s="22"/>
      <c r="R155" s="22"/>
      <c r="S155" s="31">
        <f t="shared" si="70"/>
        <v>1</v>
      </c>
      <c r="T155" s="46" t="str">
        <f t="shared" si="56"/>
        <v>NorthBound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57"/>
        <v>https://d0f6bd738d7f1b3e5a7ca70fe4ff75f0.us-east-1.aws.found.io/app/kibana#/discover/Steve-Slow-Train-Analysis-(2080s-and-2083s)?_g=(refreshInterval:(display:Off,pause:!f,section:0,value:0),time:(from:'2017-03-19T22:25:42-0600',mode:absolute,to:'2017-03-20T01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5" s="187" t="str">
        <f t="shared" si="58"/>
        <v>N</v>
      </c>
      <c r="X155" s="187">
        <f t="shared" si="59"/>
        <v>1</v>
      </c>
      <c r="Y155" s="62">
        <f t="shared" si="60"/>
        <v>4.7500000000000001E-2</v>
      </c>
      <c r="Z155" s="62">
        <f t="shared" si="53"/>
        <v>23.331199999999999</v>
      </c>
      <c r="AA155" s="62">
        <f t="shared" si="61"/>
        <v>23.2837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62"/>
        <v>0239-19</v>
      </c>
      <c r="AE155" s="85" t="str">
        <f t="shared" si="63"/>
        <v>aws s3 cp s3://rtdc.mdm.uploadarchive.raw/RTDC4053/ "%USERPROFILE%\AppData\Local\Temp\OnboardLogs"\RTDC4053\2017-03-19 --exclude "*" --recursive --include "*20170319*" &amp; "%USERPROFILE%\Documents\GitHub\mrs-test-scripts\Headless Mode &amp; Sideloading\WalkAndUnGZ.bat" "%USERPROFILE%\AppData\Local\Temp\OnboardLogs"\RTDC4053\2017-03-19 &amp; aws s3 cp s3://rtdc.mdm.uploadarchive.raw/RTDC4053/ "%USERPROFILE%\AppData\Local\Temp\OnboardLogs"\RTDC4053\2017-03-20 --exclude "*" --recursive --include "*20170320*" &amp; "%USERPROFILE%\Documents\GitHub\mrs-test-scripts\Headless Mode &amp; Sideloading\WalkAndUnGZ.bat" "%USERPROFILE%\AppData\Local\Temp\OnboardLogs"\RTDC4053\2017-03-20</v>
      </c>
      <c r="AF155" s="82" t="str">
        <f t="shared" si="64"/>
        <v>"C:\Program Files (x86)\AstroGrep\AstroGrep.exe" /e /r /s /spath="%USERPROFILE%\AppData\Local\Temp\OnboardLogs" /stypes="app*4053*20170320*" /stext=" 06:.+((SYSTEM_STATE.+slice.+state.+changed )|(ment ac)|(multiple cpu faults)|(system.+state.+changed )|(\[timeout)|(PRM\|1\|D)|(kpr)|(kdp)|(\|lc)|(penalty))"</v>
      </c>
      <c r="AG155" s="1" t="str">
        <f t="shared" si="65"/>
        <v>EC</v>
      </c>
      <c r="AH155" s="86" t="str">
        <f t="shared" si="66"/>
        <v>"%USERPROFILE%\Documents\GitHub\eaglep3\Utilities\RefineRTDCRunTimes.py" --tripid 239-19 --locoid 4053 --swversion DE.1.0.9.0 --startMP 204:475 --initTime 2017-03-19T23:25:42 --startdatetime 2017-03-19T23:30:13 --delay 1 --endMP 204:233312 --enddatetime 2017-03-20T00:05:34 --enforcementcount 0 &gt;&gt;%USERPROFILE%\Documents\GitHub\eaglep3-reporting\EC\2017-03-19-refined-times.txt</v>
      </c>
      <c r="AI155" s="108" t="str">
        <f t="shared" si="67"/>
        <v>echo {"issue":{"subject":"","project_id":79,"tracker_id":40,"status_id":1,"priority_id":2,"assigned_to_id":23,"start_date":"2017-03-20","description":"","custom_fields":[{"id":1,"name":"Subdivision","value":"EC"},{"id":4,"name":"Milepost","value":"23.3312"},{"id":17,"name":"Train ID","value":"239-19"},{"id":16,"name":"Locomotive ID","value":"4053"},{"id":130,"name":"Impact","value":""},{"id":150,"name":"Time of Event (Mountain Time)","value":"00:05:34"},{"id":151,"name":"Denver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68"/>
        <v>start /low /b %USERPROFILE%\Documents\GitHub\eaglep3\Utilities\DownloadLogsFromS3.py --loco 4053 --day 2017-03-19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"%USERPROFILE%\AppData\Local\Temp\OnboardLogs"\RTDC4053\*4053*20170320* | grep -SE "(Enforcement Action)|(\[TIMEOUT)|(CHR.+\|PRM\|1\|D.+(SWITCH|SIGNAL).+UNKNOWN)" - &gt;&gt; 2017-03-19-UncaughtWiMAX.txt</v>
      </c>
    </row>
    <row r="156" spans="1:91" s="20" customFormat="1" x14ac:dyDescent="0.25">
      <c r="A156" s="33" t="s">
        <v>790</v>
      </c>
      <c r="B156" s="7">
        <v>4054</v>
      </c>
      <c r="C156" s="21" t="s">
        <v>221</v>
      </c>
      <c r="D156" s="21" t="s">
        <v>917</v>
      </c>
      <c r="E156" s="13">
        <v>42814.014467592591</v>
      </c>
      <c r="F156" s="13">
        <v>42814.018206018518</v>
      </c>
      <c r="G156" s="7">
        <v>1</v>
      </c>
      <c r="H156" s="21" t="s">
        <v>199</v>
      </c>
      <c r="I156" s="13">
        <v>42814.044259259259</v>
      </c>
      <c r="J156" s="7">
        <v>0</v>
      </c>
      <c r="K156" s="98" t="str">
        <f t="shared" si="54"/>
        <v>4053/4054</v>
      </c>
      <c r="L156" s="21" t="str">
        <f>VLOOKUP(A156,'Trips&amp;Operators'!$C$1:$G$99999,5,FALSE)</f>
        <v>NEWELL JAMES</v>
      </c>
      <c r="M156" s="6">
        <f t="shared" si="55"/>
        <v>2.6053240741021E-2</v>
      </c>
      <c r="N156" s="7">
        <f t="shared" si="69"/>
        <v>37.51666666707024</v>
      </c>
      <c r="O156" s="7"/>
      <c r="P156" s="7"/>
      <c r="Q156" s="22"/>
      <c r="R156" s="22"/>
      <c r="S156" s="31">
        <f t="shared" si="70"/>
        <v>1</v>
      </c>
      <c r="T156" s="46" t="str">
        <f t="shared" si="56"/>
        <v>Southbound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57"/>
        <v>https://d0f6bd738d7f1b3e5a7ca70fe4ff75f0.us-east-1.aws.found.io/app/kibana#/discover/Steve-Slow-Train-Analysis-(2080s-and-2083s)?_g=(refreshInterval:(display:Off,pause:!f,section:0,value:0),time:(from:'2017-03-19T23:20:50-0600',mode:absolute,to:'2017-03-20T02:03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6" s="187" t="str">
        <f t="shared" si="58"/>
        <v>N</v>
      </c>
      <c r="X156" s="187">
        <f t="shared" si="59"/>
        <v>1</v>
      </c>
      <c r="Y156" s="62">
        <f t="shared" si="60"/>
        <v>23.299099999999999</v>
      </c>
      <c r="Z156" s="62">
        <f t="shared" si="53"/>
        <v>1.5800000000000002E-2</v>
      </c>
      <c r="AA156" s="62">
        <f t="shared" si="61"/>
        <v>23.283300000000001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62"/>
        <v>0240-19</v>
      </c>
      <c r="AE156" s="85" t="str">
        <f t="shared" si="63"/>
        <v>aws s3 cp s3://rtdc.mdm.uploadarchive.raw/RTDC4054/ "%USERPROFILE%\AppData\Local\Temp\OnboardLogs"\RTDC4054\2017-03-20 --exclude "*" --recursive --include "*20170320*" &amp; "%USERPROFILE%\Documents\GitHub\mrs-test-scripts\Headless Mode &amp; Sideloading\WalkAndUnGZ.bat" "%USERPROFILE%\AppData\Local\Temp\OnboardLogs"\RTDC4054\2017-03-20 &amp; aws s3 cp s3://rtdc.mdm.uploadarchive.raw/RTDC4054/ "%USERPROFILE%\AppData\Local\Temp\OnboardLogs"\RTDC4054\2017-03-21 --exclude "*" --recursive --include "*20170321*" &amp; "%USERPROFILE%\Documents\GitHub\mrs-test-scripts\Headless Mode &amp; Sideloading\WalkAndUnGZ.bat" "%USERPROFILE%\AppData\Local\Temp\OnboardLogs"\RTDC4054\2017-03-21</v>
      </c>
      <c r="AF156" s="82" t="str">
        <f t="shared" si="64"/>
        <v>"C:\Program Files (x86)\AstroGrep\AstroGrep.exe" /e /r /s /spath="%USERPROFILE%\AppData\Local\Temp\OnboardLogs" /stypes="app*4054*20170320*" /stext=" 07:.+((SYSTEM_STATE.+slice.+state.+changed )|(ment ac)|(multiple cpu faults)|(system.+state.+changed )|(\[timeout)|(PRM\|1\|D)|(kpr)|(kdp)|(\|lc)|(penalty))"</v>
      </c>
      <c r="AG156" s="1" t="str">
        <f t="shared" si="65"/>
        <v>EC</v>
      </c>
      <c r="AH156" s="86" t="str">
        <f t="shared" si="66"/>
        <v>"%USERPROFILE%\Documents\GitHub\eaglep3\Utilities\RefineRTDCRunTimes.py" --tripid 240-19 --locoid 4054 --swversion DE.1.0.9.0 --startMP 204:232991 --initTime 2017-03-20T00:20:50 --startdatetime 2017-03-20T00:26:13 --delay 1 --endMP 204:158 --enddatetime 2017-03-20T01:03:44 --enforcementcount 0 &gt;&gt;%USERPROFILE%\Documents\GitHub\eaglep3-reporting\EC\2017-03-19-refined-times.txt</v>
      </c>
      <c r="AI156" s="108" t="str">
        <f t="shared" si="67"/>
        <v>echo {"issue":{"subject":"","project_id":79,"tracker_id":40,"status_id":1,"priority_id":2,"assigned_to_id":23,"start_date":"2017-03-20","description":"","custom_fields":[{"id":1,"name":"Subdivision","value":"EC"},{"id":4,"name":"Milepost","value":"0.0158"},{"id":17,"name":"Train ID","value":"240-19"},{"id":16,"name":"Locomotive ID","value":"4054"},{"id":130,"name":"Impact","value":""},{"id":150,"name":"Time of Event (Mountain Time)","value":"01:03:44"},{"id":151,"name":"Denver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68"/>
        <v>start /low /b %USERPROFILE%\Documents\GitHub\eaglep3\Utilities\DownloadLogsFromS3.py --loco 4054 --day 2017-03-20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"%USERPROFILE%\AppData\Local\Temp\OnboardLogs"\RTDC4054\*4054*20170320* | grep -SE "(Enforcement Action)|(\[TIMEOUT)|(CHR.+\|PRM\|1\|D.+(SWITCH|SIGNAL).+UNKNOWN)" - &gt;&gt; 2017-03-19-UncaughtWiMAX.txt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605</v>
      </c>
      <c r="B157" s="7">
        <v>4002</v>
      </c>
      <c r="C157" s="21" t="s">
        <v>221</v>
      </c>
      <c r="D157" s="21" t="s">
        <v>222</v>
      </c>
      <c r="E157" s="13">
        <v>42813.994270833333</v>
      </c>
      <c r="F157" s="13">
        <v>42814.000162037039</v>
      </c>
      <c r="G157" s="7">
        <v>1</v>
      </c>
      <c r="H157" s="21" t="s">
        <v>552</v>
      </c>
      <c r="I157" s="13">
        <v>42814.025636574072</v>
      </c>
      <c r="J157" s="7">
        <v>0</v>
      </c>
      <c r="K157" s="98" t="str">
        <f t="shared" si="54"/>
        <v>4001/4002</v>
      </c>
      <c r="L157" s="21" t="str">
        <f>VLOOKUP(A157,'Trips&amp;Operators'!$C$1:$G$99999,5,FALSE)</f>
        <v>SMITH MICHAEL</v>
      </c>
      <c r="M157" s="6">
        <f t="shared" si="55"/>
        <v>2.5474537033005618E-2</v>
      </c>
      <c r="N157" s="7">
        <f t="shared" si="69"/>
        <v>36.683333327528089</v>
      </c>
      <c r="O157" s="7"/>
      <c r="P157" s="7"/>
      <c r="Q157" s="22"/>
      <c r="R157" s="22"/>
      <c r="S157" s="31">
        <f t="shared" si="70"/>
        <v>1</v>
      </c>
      <c r="T157" s="46" t="str">
        <f t="shared" si="56"/>
        <v>NorthBound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6" t="str">
        <f t="shared" si="57"/>
        <v>https://d0f6bd738d7f1b3e5a7ca70fe4ff75f0.us-east-1.aws.found.io/app/kibana#/discover/Steve-Slow-Train-Analysis-(2080s-and-2083s)?_g=(refreshInterval:(display:Off,pause:!f,section:0,value:0),time:(from:'2017-03-19T22:51:45-0600',mode:absolute,to:'2017-03-20T01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7" s="187" t="str">
        <f t="shared" si="58"/>
        <v>N</v>
      </c>
      <c r="X157" s="187">
        <f t="shared" si="59"/>
        <v>1</v>
      </c>
      <c r="Y157" s="62">
        <f t="shared" si="60"/>
        <v>4.58E-2</v>
      </c>
      <c r="Z157" s="62">
        <f t="shared" si="53"/>
        <v>23.339099999999998</v>
      </c>
      <c r="AA157" s="62">
        <f t="shared" si="61"/>
        <v>23.293299999999999</v>
      </c>
      <c r="AB157" s="59" t="str">
        <f>VLOOKUP(A157,Enforcements!$C$7:$K$13,8,0)</f>
        <v>Bulletin (2)</v>
      </c>
      <c r="AC157" s="55" t="str">
        <f>VLOOKUP(A157,Enforcements!$C$7:$E$13,3,0)</f>
        <v>GRADE CROSSING</v>
      </c>
      <c r="AD157" s="56" t="str">
        <f t="shared" si="62"/>
        <v>0241-19</v>
      </c>
      <c r="AE157" s="85" t="str">
        <f t="shared" si="63"/>
        <v>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 &amp; aws s3 cp s3://rtdc.mdm.uploadarchive.raw/RTDC4002/ "%USERPROFILE%\AppData\Local\Temp\OnboardLogs"\RTDC4002\2017-03-21 --exclude "*" --recursive --include "*20170321*" &amp; "%USERPROFILE%\Documents\GitHub\mrs-test-scripts\Headless Mode &amp; Sideloading\WalkAndUnGZ.bat" "%USERPROFILE%\AppData\Local\Temp\OnboardLogs"\RTDC4002\2017-03-21</v>
      </c>
      <c r="AF157" s="82" t="str">
        <f t="shared" si="64"/>
        <v>"C:\Program Files (x86)\AstroGrep\AstroGrep.exe" /e /r /s /spath="%USERPROFILE%\AppData\Local\Temp\OnboardLogs" /stypes="app*4002*20170320*" /stext=" 06:.+((SYSTEM_STATE.+slice.+state.+changed )|(ment ac)|(multiple cpu faults)|(system.+state.+changed )|(\[timeout)|(PRM\|1\|D)|(kpr)|(kdp)|(\|lc)|(penalty))"</v>
      </c>
      <c r="AG157" s="1" t="str">
        <f t="shared" si="65"/>
        <v>EC</v>
      </c>
      <c r="AH157" s="86" t="str">
        <f t="shared" si="66"/>
        <v>"%USERPROFILE%\Documents\GitHub\eaglep3\Utilities\RefineRTDCRunTimes.py" --tripid 241-19 --locoid 4002 --swversion DE.1.0.9.0 --startMP 204:458 --initTime 2017-03-19T23:51:45 --startdatetime 2017-03-20T00:00:14 --delay 1 --endMP 204:233391 --enddatetime 2017-03-20T00:36:55 --enforcementcount 0 &gt;&gt;%USERPROFILE%\Documents\GitHub\eaglep3-reporting\EC\2017-03-19-refined-times.txt</v>
      </c>
      <c r="AI157" s="108" t="str">
        <f t="shared" si="67"/>
        <v>echo {"issue":{"subject":"","project_id":79,"tracker_id":40,"status_id":1,"priority_id":2,"assigned_to_id":23,"start_date":"2017-03-20","description":"","custom_fields":[{"id":1,"name":"Subdivision","value":"EC"},{"id":4,"name":"Milepost","value":"23.3391"},{"id":17,"name":"Train ID","value":"241-19"},{"id":16,"name":"Locomotive ID","value":"4002"},{"id":130,"name":"Impact","value":""},{"id":150,"name":"Time of Event (Mountain Time)","value":"00:36:55"},{"id":151,"name":"Denver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68"/>
        <v>start /low /b %USERPROFILE%\Documents\GitHub\eaglep3\Utilities\DownloadLogsFromS3.py --loco 4002 --day 2017-03-20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"%USERPROFILE%\AppData\Local\Temp\OnboardLogs"\RTDC4002\*4002*20170320* | grep -SE "(Enforcement Action)|(\[TIMEOUT)|(CHR.+\|PRM\|1\|D.+(SWITCH|SIGNAL).+UNKNOWN)" - &gt;&gt; 2017-03-19-UncaughtWiMAX.txt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792</v>
      </c>
      <c r="B158" s="7">
        <v>4001</v>
      </c>
      <c r="C158" s="21" t="s">
        <v>221</v>
      </c>
      <c r="D158" s="21" t="s">
        <v>918</v>
      </c>
      <c r="E158" s="13">
        <v>42814.029930555553</v>
      </c>
      <c r="F158" s="13">
        <v>42814.039212962962</v>
      </c>
      <c r="G158" s="7">
        <v>1</v>
      </c>
      <c r="H158" s="21" t="s">
        <v>893</v>
      </c>
      <c r="I158" s="13">
        <v>42814.067280092589</v>
      </c>
      <c r="J158" s="7">
        <v>0</v>
      </c>
      <c r="K158" s="98" t="str">
        <f t="shared" si="54"/>
        <v>4001/4002</v>
      </c>
      <c r="L158" s="21" t="str">
        <f>VLOOKUP(A158,'Trips&amp;Operators'!$C$1:$G$99999,5,FALSE)</f>
        <v>SMITH MICHAEL</v>
      </c>
      <c r="M158" s="6">
        <f t="shared" si="55"/>
        <v>2.806712962774327E-2</v>
      </c>
      <c r="N158" s="7">
        <f t="shared" si="69"/>
        <v>40.416666663950309</v>
      </c>
      <c r="O158" s="7"/>
      <c r="P158" s="7"/>
      <c r="Q158" s="22"/>
      <c r="R158" s="22"/>
      <c r="S158" s="31">
        <f t="shared" si="70"/>
        <v>1</v>
      </c>
      <c r="T158" s="46" t="str">
        <f t="shared" si="56"/>
        <v>Southbound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6" t="str">
        <f t="shared" si="57"/>
        <v>https://d0f6bd738d7f1b3e5a7ca70fe4ff75f0.us-east-1.aws.found.io/app/kibana#/discover/Steve-Slow-Train-Analysis-(2080s-and-2083s)?_g=(refreshInterval:(display:Off,pause:!f,section:0,value:0),time:(from:'2017-03-19T23:43:06-0600',mode:absolute,to:'2017-03-20T02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8" s="187" t="str">
        <f t="shared" si="58"/>
        <v>N</v>
      </c>
      <c r="X158" s="187">
        <f t="shared" si="59"/>
        <v>1</v>
      </c>
      <c r="Y158" s="62">
        <f t="shared" si="60"/>
        <v>23.307099999999998</v>
      </c>
      <c r="Z158" s="62">
        <f t="shared" si="53"/>
        <v>1.67E-2</v>
      </c>
      <c r="AA158" s="62">
        <f t="shared" si="61"/>
        <v>23.290399999999998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62"/>
        <v>0242-19</v>
      </c>
      <c r="AE158" s="85" t="str">
        <f t="shared" si="63"/>
        <v>aws s3 cp s3://rtdc.mdm.uploadarchive.raw/RTDC4001/ "%USERPROFILE%\AppData\Local\Temp\OnboardLogs"\RTDC4001\2017-03-20 --exclude "*" --recursive --include "*20170320*" &amp; "%USERPROFILE%\Documents\GitHub\mrs-test-scripts\Headless Mode &amp; Sideloading\WalkAndUnGZ.bat" "%USERPROFILE%\AppData\Local\Temp\OnboardLogs"\RTDC4001\2017-03-20 &amp; aws s3 cp s3://rtdc.mdm.uploadarchive.raw/RTDC4001/ "%USERPROFILE%\AppData\Local\Temp\OnboardLogs"\RTDC4001\2017-03-21 --exclude "*" --recursive --include "*20170321*" &amp; "%USERPROFILE%\Documents\GitHub\mrs-test-scripts\Headless Mode &amp; Sideloading\WalkAndUnGZ.bat" "%USERPROFILE%\AppData\Local\Temp\OnboardLogs"\RTDC4001\2017-03-21</v>
      </c>
      <c r="AF158" s="82" t="str">
        <f t="shared" si="64"/>
        <v>"C:\Program Files (x86)\AstroGrep\AstroGrep.exe" /e /r /s /spath="%USERPROFILE%\AppData\Local\Temp\OnboardLogs" /stypes="app*4001*20170320*" /stext=" 07:.+((SYSTEM_STATE.+slice.+state.+changed )|(ment ac)|(multiple cpu faults)|(system.+state.+changed )|(\[timeout)|(PRM\|1\|D)|(kpr)|(kdp)|(\|lc)|(penalty))"</v>
      </c>
      <c r="AG158" s="1" t="str">
        <f t="shared" si="65"/>
        <v>EC</v>
      </c>
      <c r="AH158" s="86" t="str">
        <f t="shared" si="66"/>
        <v>"%USERPROFILE%\Documents\GitHub\eaglep3\Utilities\RefineRTDCRunTimes.py" --tripid 242-19 --locoid 4001 --swversion DE.1.0.9.0 --startMP 204:233071 --initTime 2017-03-20T00:43:06 --startdatetime 2017-03-20T00:56:28 --delay 1 --endMP 204:167 --enddatetime 2017-03-20T01:36:53 --enforcementcount 0 &gt;&gt;%USERPROFILE%\Documents\GitHub\eaglep3-reporting\EC\2017-03-19-refined-times.txt</v>
      </c>
      <c r="AI158" s="108" t="str">
        <f t="shared" si="67"/>
        <v>echo {"issue":{"subject":"","project_id":79,"tracker_id":40,"status_id":1,"priority_id":2,"assigned_to_id":23,"start_date":"2017-03-20","description":"","custom_fields":[{"id":1,"name":"Subdivision","value":"EC"},{"id":4,"name":"Milepost","value":"0.0167"},{"id":17,"name":"Train ID","value":"242-19"},{"id":16,"name":"Locomotive ID","value":"4001"},{"id":130,"name":"Impact","value":""},{"id":150,"name":"Time of Event (Mountain Time)","value":"01:36:53"},{"id":151,"name":"Denver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68"/>
        <v>start /low /b %USERPROFILE%\Documents\GitHub\eaglep3\Utilities\DownloadLogsFromS3.py --loco 4001 --day 2017-03-20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"%USERPROFILE%\AppData\Local\Temp\OnboardLogs"\RTDC4001\*4001*20170320* | grep -SE "(Enforcement Action)|(\[TIMEOUT)|(CHR.+\|PRM\|1\|D.+(SWITCH|SIGNAL).+UNKNOWN)" - &gt;&gt; 2017-03-19-UncaughtWiMAX.txt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3" t="s">
        <v>789</v>
      </c>
      <c r="B159" s="7">
        <v>4016</v>
      </c>
      <c r="C159" s="21" t="s">
        <v>221</v>
      </c>
      <c r="D159" s="21" t="s">
        <v>470</v>
      </c>
      <c r="E159" s="13">
        <v>42814.00408564815</v>
      </c>
      <c r="F159" s="13">
        <v>42814.021261574075</v>
      </c>
      <c r="G159" s="7">
        <v>1</v>
      </c>
      <c r="H159" s="21" t="s">
        <v>919</v>
      </c>
      <c r="I159" s="13">
        <v>42814.035381944443</v>
      </c>
      <c r="J159" s="7">
        <v>0</v>
      </c>
      <c r="K159" s="98" t="str">
        <f t="shared" si="54"/>
        <v>4015/4016</v>
      </c>
      <c r="L159" s="21" t="str">
        <f>VLOOKUP(A159,'Trips&amp;Operators'!$C$1:$G$99999,5,FALSE)</f>
        <v>STAMBAUGH JAMES</v>
      </c>
      <c r="M159" s="6">
        <f t="shared" si="55"/>
        <v>1.4120370367891155E-2</v>
      </c>
      <c r="N159" s="7"/>
      <c r="O159" s="7"/>
      <c r="P159" s="7">
        <f>24*60*SUM($M159:$M159)</f>
        <v>20.333333329763263</v>
      </c>
      <c r="Q159" s="22"/>
      <c r="R159" s="22" t="s">
        <v>965</v>
      </c>
      <c r="S159" s="31">
        <f t="shared" si="70"/>
        <v>0</v>
      </c>
      <c r="T159" s="46" t="str">
        <f t="shared" si="56"/>
        <v>NorthBound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0</v>
      </c>
      <c r="V159" s="186" t="str">
        <f t="shared" si="57"/>
        <v>https://d0f6bd738d7f1b3e5a7ca70fe4ff75f0.us-east-1.aws.found.io/app/kibana#/discover/Steve-Slow-Train-Analysis-(2080s-and-2083s)?_g=(refreshInterval:(display:Off,pause:!f,section:0,value:0),time:(from:'2017-03-19T23:05:53-0600',mode:absolute,to:'2017-03-20T01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9" s="187" t="str">
        <f t="shared" si="58"/>
        <v>Y</v>
      </c>
      <c r="X159" s="187">
        <f t="shared" si="59"/>
        <v>1</v>
      </c>
      <c r="Y159" s="62">
        <f t="shared" si="60"/>
        <v>4.2599999999999999E-2</v>
      </c>
      <c r="Z159" s="62">
        <f t="shared" si="53"/>
        <v>2.3296999999999999</v>
      </c>
      <c r="AA159" s="62">
        <f t="shared" si="61"/>
        <v>2.2870999999999997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62"/>
        <v>0243-19</v>
      </c>
      <c r="AE159" s="85" t="str">
        <f t="shared" si="63"/>
        <v>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 &amp; aws s3 cp s3://rtdc.mdm.uploadarchive.raw/RTDC4016/ "%USERPROFILE%\AppData\Local\Temp\OnboardLogs"\RTDC4016\2017-03-21 --exclude "*" --recursive --include "*20170321*" &amp; "%USERPROFILE%\Documents\GitHub\mrs-test-scripts\Headless Mode &amp; Sideloading\WalkAndUnGZ.bat" "%USERPROFILE%\AppData\Local\Temp\OnboardLogs"\RTDC4016\2017-03-21</v>
      </c>
      <c r="AF159" s="82" t="str">
        <f t="shared" si="64"/>
        <v>"C:\Program Files (x86)\AstroGrep\AstroGrep.exe" /e /r /s /spath="%USERPROFILE%\AppData\Local\Temp\OnboardLogs" /stypes="app*4016*20170320*" /stext=" 06:.+((SYSTEM_STATE.+slice.+state.+changed )|(ment ac)|(multiple cpu faults)|(system.+state.+changed )|(\[timeout)|(PRM\|1\|D)|(kpr)|(kdp)|(\|lc)|(penalty))"</v>
      </c>
      <c r="AG159" s="1" t="str">
        <f t="shared" si="65"/>
        <v>EC</v>
      </c>
      <c r="AH159" s="86" t="str">
        <f t="shared" si="66"/>
        <v>"%USERPROFILE%\Documents\GitHub\eaglep3\Utilities\RefineRTDCRunTimes.py" --tripid 243-19 --locoid 4016 --swversion DE.1.0.9.0 --startMP 204:426 --initTime 2017-03-20T00:05:53 --startdatetime 2017-03-20T00:30:37 --delay 1 --endMP 300:23297 --enddatetime 2017-03-20T00:50:57 --enforcementcount 0 &gt;&gt;%USERPROFILE%\Documents\GitHub\eaglep3-reporting\EC\2017-03-19-refined-times.txt</v>
      </c>
      <c r="AI159" s="108" t="str">
        <f t="shared" si="67"/>
        <v>echo {"issue":{"subject":"Extended Onboard Wi-MAX outage","project_id":79,"tracker_id":40,"status_id":1,"priority_id":2,"assigned_to_id":23,"start_date":"2017-03-20","description":"http://stevetu21.github.io/eaglep3/load_kml.html?kml=http://rtdc.gmaps-snips.s3.amazonaws.com/c3459d5e-5411-489c-ba7b-8081ddbed64b.kml","custom_fields":[{"id":1,"name":"Subdivision","value":"EC"},{"id":4,"name":"Milepost","value":"2.3297"},{"id":17,"name":"Train ID","value":"243-19"},{"id":16,"name":"Locomotive ID","value":"4016"},{"id":130,"name":"Impact","value":"Unexpected Cut-Out or Disengaged"},{"id":150,"name":"Time of Event (Mountain Time)","value":"00:50:57"},{"id":151,"name":"Denver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59" t="s">
        <v>964</v>
      </c>
      <c r="AK159" s="48" t="s">
        <v>129</v>
      </c>
      <c r="AL159" s="48" t="s">
        <v>136</v>
      </c>
      <c r="AM159" s="154" t="str">
        <f t="shared" si="68"/>
        <v>start /low /b %USERPROFILE%\Documents\GitHub\eaglep3\Utilities\DownloadLogsFromS3.py --loco 4016 --day 2017-03-20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"%USERPROFILE%\AppData\Local\Temp\OnboardLogs"\RTDC4016\*4016*20170320* | grep -SE "(Enforcement Action)|(\[TIMEOUT)|(CHR.+\|PRM\|1\|D.+(SWITCH|SIGNAL).+UNKNOWN)" - &gt;&gt; 2017-03-19-UncaughtWiMAX.txt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3" t="s">
        <v>794</v>
      </c>
      <c r="B160" s="7">
        <v>4015</v>
      </c>
      <c r="C160" s="21" t="s">
        <v>221</v>
      </c>
      <c r="D160" s="21" t="s">
        <v>894</v>
      </c>
      <c r="E160" s="13">
        <v>42814.058217592596</v>
      </c>
      <c r="F160" s="13">
        <v>42814.060208333336</v>
      </c>
      <c r="G160" s="7">
        <v>1</v>
      </c>
      <c r="H160" s="21" t="s">
        <v>417</v>
      </c>
      <c r="I160" s="13">
        <v>42814.0859375</v>
      </c>
      <c r="J160" s="7">
        <v>0</v>
      </c>
      <c r="K160" s="98" t="str">
        <f t="shared" si="54"/>
        <v>4015/4016</v>
      </c>
      <c r="L160" s="21" t="str">
        <f>VLOOKUP(A160,'Trips&amp;Operators'!$C$1:$G$99999,5,FALSE)</f>
        <v>STAMBAUGH JAMES</v>
      </c>
      <c r="M160" s="6">
        <f t="shared" si="55"/>
        <v>2.5729166663950309E-2</v>
      </c>
      <c r="N160" s="7">
        <f t="shared" ref="N160:N189" si="71">24*60*SUM($M160:$M160)</f>
        <v>37.049999996088445</v>
      </c>
      <c r="O160" s="7"/>
      <c r="P160" s="7"/>
      <c r="Q160" s="22"/>
      <c r="R160" s="22"/>
      <c r="S160" s="31">
        <f t="shared" si="70"/>
        <v>1</v>
      </c>
      <c r="T160" s="46" t="str">
        <f t="shared" si="56"/>
        <v>Southbound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86" t="str">
        <f t="shared" si="57"/>
        <v>https://d0f6bd738d7f1b3e5a7ca70fe4ff75f0.us-east-1.aws.found.io/app/kibana#/discover/Steve-Slow-Train-Analysis-(2080s-and-2083s)?_g=(refreshInterval:(display:Off,pause:!f,section:0,value:0),time:(from:'2017-03-20T00:23:50-0600',mode:absolute,to:'2017-03-20T03:03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0" s="187" t="str">
        <f t="shared" si="58"/>
        <v>N</v>
      </c>
      <c r="X160" s="187">
        <f t="shared" si="59"/>
        <v>1</v>
      </c>
      <c r="Y160" s="62">
        <f t="shared" si="60"/>
        <v>23.3078</v>
      </c>
      <c r="Z160" s="62">
        <f t="shared" si="53"/>
        <v>1.4500000000000001E-2</v>
      </c>
      <c r="AA160" s="62">
        <f t="shared" si="61"/>
        <v>23.293299999999999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62"/>
        <v>0244-19</v>
      </c>
      <c r="AE160" s="85" t="str">
        <f t="shared" si="63"/>
        <v>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 &amp; aws s3 cp s3://rtdc.mdm.uploadarchive.raw/RTDC4015/ "%USERPROFILE%\AppData\Local\Temp\OnboardLogs"\RTDC4015\2017-03-21 --exclude "*" --recursive --include "*20170321*" &amp; "%USERPROFILE%\Documents\GitHub\mrs-test-scripts\Headless Mode &amp; Sideloading\WalkAndUnGZ.bat" "%USERPROFILE%\AppData\Local\Temp\OnboardLogs"\RTDC4015\2017-03-21</v>
      </c>
      <c r="AF160" s="82" t="str">
        <f t="shared" si="64"/>
        <v>"C:\Program Files (x86)\AstroGrep\AstroGrep.exe" /e /r /s /spath="%USERPROFILE%\AppData\Local\Temp\OnboardLogs" /stypes="app*4015*20170320*" /stext=" 08:.+((SYSTEM_STATE.+slice.+state.+changed )|(ment ac)|(multiple cpu faults)|(system.+state.+changed )|(\[timeout)|(PRM\|1\|D)|(kpr)|(kdp)|(\|lc)|(penalty))"</v>
      </c>
      <c r="AG160" s="1" t="str">
        <f t="shared" si="65"/>
        <v>EC</v>
      </c>
      <c r="AH160" s="86" t="str">
        <f t="shared" si="66"/>
        <v>"%USERPROFILE%\Documents\GitHub\eaglep3\Utilities\RefineRTDCRunTimes.py" --tripid 244-19 --locoid 4015 --swversion DE.1.0.9.0 --startMP 204:233078 --initTime 2017-03-20T01:23:50 --startdatetime 2017-03-20T01:26:42 --delay 1 --endMP 204:145 --enddatetime 2017-03-20T02:03:45 --enforcementcount 0 &gt;&gt;%USERPROFILE%\Documents\GitHub\eaglep3-reporting\EC\2017-03-19-refined-times.txt</v>
      </c>
      <c r="AI160" s="108" t="str">
        <f t="shared" si="67"/>
        <v>echo {"issue":{"subject":"","project_id":79,"tracker_id":40,"status_id":1,"priority_id":2,"assigned_to_id":23,"start_date":"2017-03-20","description":"","custom_fields":[{"id":1,"name":"Subdivision","value":"EC"},{"id":4,"name":"Milepost","value":"0.0145"},{"id":17,"name":"Train ID","value":"244-19"},{"id":16,"name":"Locomotive ID","value":"4015"},{"id":130,"name":"Impact","value":""},{"id":150,"name":"Time of Event (Mountain Time)","value":"02:03:45"},{"id":151,"name":"Denver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68"/>
        <v>start /low /b %USERPROFILE%\Documents\GitHub\eaglep3\Utilities\DownloadLogsFromS3.py --loco 4015 --day 2017-03-20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"%USERPROFILE%\AppData\Local\Temp\OnboardLogs"\RTDC4015\*4015*20170320* | grep -SE "(Enforcement Action)|(\[TIMEOUT)|(CHR.+\|PRM\|1\|D.+(SWITCH|SIGNAL).+UNKNOWN)" - &gt;&gt; 2017-03-19-UncaughtWiMAX.txt</v>
      </c>
    </row>
    <row r="161" spans="1:91" x14ac:dyDescent="0.25">
      <c r="A161" s="33" t="s">
        <v>625</v>
      </c>
      <c r="B161" s="7">
        <v>4052</v>
      </c>
      <c r="C161" s="21" t="s">
        <v>221</v>
      </c>
      <c r="D161" s="21" t="s">
        <v>853</v>
      </c>
      <c r="E161" s="13">
        <v>42813.22729166667</v>
      </c>
      <c r="F161" s="13">
        <v>42813.237488425926</v>
      </c>
      <c r="G161" s="7">
        <v>1</v>
      </c>
      <c r="H161" s="21" t="s">
        <v>537</v>
      </c>
      <c r="I161" s="13">
        <v>42813.245752314811</v>
      </c>
      <c r="J161" s="7">
        <v>0</v>
      </c>
      <c r="K161" s="98" t="str">
        <f t="shared" si="54"/>
        <v>4051/4052</v>
      </c>
      <c r="L161" s="21" t="str">
        <f>VLOOKUP(A161,'Trips&amp;Operators'!$C$1:$G$99999,5,FALSE)</f>
        <v>YORK EDGAR</v>
      </c>
      <c r="M161" s="6">
        <f t="shared" ref="M161:M192" si="72">I161-F161</f>
        <v>8.2638888852670789E-3</v>
      </c>
      <c r="N161" s="7">
        <f t="shared" si="71"/>
        <v>11.899999994784594</v>
      </c>
      <c r="O161" s="7"/>
      <c r="P161" s="7"/>
      <c r="Q161" s="22"/>
      <c r="R161" s="22"/>
      <c r="S161" s="31">
        <f t="shared" si="70"/>
        <v>1</v>
      </c>
      <c r="T161" s="46" t="str">
        <f t="shared" si="56"/>
        <v>Southbound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57"/>
        <v>https://d0f6bd738d7f1b3e5a7ca70fe4ff75f0.us-east-1.aws.found.io/app/kibana#/discover/Steve-Slow-Train-Analysis-(2080s-and-2083s)?_g=(refreshInterval:(display:Off,pause:!f,section:0,value:0),time:(from:'2017-03-19T04:27:18-0600',mode:absolute,to:'2017-03-19T06:53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1" s="187" t="str">
        <f t="shared" si="58"/>
        <v>N</v>
      </c>
      <c r="X161" s="187">
        <f t="shared" si="59"/>
        <v>1556</v>
      </c>
      <c r="Y161" s="62">
        <f t="shared" si="60"/>
        <v>5.8619000000000003</v>
      </c>
      <c r="Z161" s="62">
        <f t="shared" si="53"/>
        <v>7.5399999999999995E-2</v>
      </c>
      <c r="AA161" s="62">
        <f t="shared" si="61"/>
        <v>5.7865000000000002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62"/>
        <v>1800-19</v>
      </c>
      <c r="AE161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61" s="82" t="str">
        <f t="shared" si="64"/>
        <v>"C:\Program Files (x86)\AstroGrep\AstroGrep.exe" /e /r /s /spath="%USERPROFILE%\AppData\Local\Temp\OnboardLogs" /stypes="app*4052*20170319*" /stext=" 11:.+((SYSTEM_STATE.+slice.+state.+changed )|(ment ac)|(multiple cpu faults)|(system.+state.+changed )|(\[timeout)|(PRM\|1\|D)|(kpr)|(kdp)|(\|lc)|(penalty))"</v>
      </c>
      <c r="AG161" s="1" t="str">
        <f t="shared" si="65"/>
        <v>NW</v>
      </c>
      <c r="AH161" s="86" t="str">
        <f t="shared" si="66"/>
        <v>"%USERPROFILE%\Documents\GitHub\eaglep3\Utilities\RefineRTDCRunTimes.py" --tripid 1800-19 --locoid 4052 --swversion DE.1.0.9.0 --startMP 300:58619 --initTime 2017-03-19T05:27:18 --startdatetime 2017-03-19T05:41:59 --delay 1 --endMP 204:754 --enddatetime 2017-03-19T05:53:53 --enforcementcount 0 &gt;&gt;%USERPROFILE%\Documents\GitHub\eaglep3-reporting\EC\2017-03-19-refined-times.txt</v>
      </c>
      <c r="AI161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{"issue":{"subject":"","project_id":79,"tracker_id":40,"status_id":1,"priority_id":2,"assigned_to_id":23,"start_date":"2017-03-19","description":"","custom_fields":[{"id":1,"name":"Subdivision","value":"NW"},{"id":4,"name":"Milepost","value":"0.0754"},{"id":17,"name":"Train ID","value":"1800-19"},{"id":16,"name":"Locomotive ID","value":"4052"},{"id":130,"name":"Impact","value":""},{"id":150,"name":"Time of Event (Mountain Time)","value":"05:53:53"},{"id":151,"name":"Denver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68"/>
        <v>start /low /b %USERPROFILE%\Documents\GitHub\eaglep3\Utilities\DownloadLogsFromS3.py --loco 4052 --day 2017-03-19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"%USERPROFILE%\AppData\Local\Temp\OnboardLogs"\RTDC4052\*4052*20170319* | grep -SE "(Enforcement Action)|(\[TIMEOUT)|(CHR.+\|PRM\|1\|D.+(SWITCH|SIGNAL).+UNKNOWN)" - &gt;&gt; 2017-03-19-UncaughtWiMAX.txt</v>
      </c>
    </row>
    <row r="162" spans="1:91" x14ac:dyDescent="0.25">
      <c r="A162" s="33" t="s">
        <v>630</v>
      </c>
      <c r="B162" s="7">
        <v>4051</v>
      </c>
      <c r="C162" s="21" t="s">
        <v>221</v>
      </c>
      <c r="D162" s="21" t="s">
        <v>854</v>
      </c>
      <c r="E162" s="13">
        <v>42813.247303240743</v>
      </c>
      <c r="F162" s="13">
        <v>42813.264780092592</v>
      </c>
      <c r="G162" s="7">
        <v>1</v>
      </c>
      <c r="H162" s="21" t="s">
        <v>458</v>
      </c>
      <c r="I162" s="13">
        <v>42813.273159722223</v>
      </c>
      <c r="J162" s="7">
        <v>0</v>
      </c>
      <c r="K162" s="98" t="str">
        <f t="shared" si="54"/>
        <v>4051/4052</v>
      </c>
      <c r="L162" s="21" t="str">
        <f>VLOOKUP(A162,'Trips&amp;Operators'!$C$1:$G$99999,5,FALSE)</f>
        <v>YORK EDGAR</v>
      </c>
      <c r="M162" s="6">
        <f t="shared" si="72"/>
        <v>8.3796296312357299E-3</v>
      </c>
      <c r="N162" s="7">
        <f t="shared" si="71"/>
        <v>12.066666668979451</v>
      </c>
      <c r="O162" s="7"/>
      <c r="P162" s="7"/>
      <c r="Q162" s="22"/>
      <c r="R162" s="22"/>
      <c r="S162" s="31">
        <f t="shared" si="70"/>
        <v>1</v>
      </c>
      <c r="T162" s="46" t="str">
        <f t="shared" si="56"/>
        <v>NorthBound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57"/>
        <v>https://d0f6bd738d7f1b3e5a7ca70fe4ff75f0.us-east-1.aws.found.io/app/kibana#/discover/Steve-Slow-Train-Analysis-(2080s-and-2083s)?_g=(refreshInterval:(display:Off,pause:!f,section:0,value:0),time:(from:'2017-03-19T04:56:07-0600',mode:absolute,to:'2017-03-19T07:33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2" s="187" t="str">
        <f t="shared" si="58"/>
        <v>N</v>
      </c>
      <c r="X162" s="187">
        <f t="shared" si="59"/>
        <v>1</v>
      </c>
      <c r="Y162" s="62">
        <f t="shared" si="60"/>
        <v>0.10390000000000001</v>
      </c>
      <c r="Z162" s="62">
        <f t="shared" si="53"/>
        <v>5.8930999999999996</v>
      </c>
      <c r="AA162" s="62">
        <f t="shared" si="61"/>
        <v>5.7891999999999992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62"/>
        <v>1801-19</v>
      </c>
      <c r="AE162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62" s="82" t="str">
        <f t="shared" si="64"/>
        <v>"C:\Program Files (x86)\AstroGrep\AstroGrep.exe" /e /r /s /spath="%USERPROFILE%\AppData\Local\Temp\OnboardLogs" /stypes="app*4051*20170319*" /stext=" 12:.+((SYSTEM_STATE.+slice.+state.+changed )|(ment ac)|(multiple cpu faults)|(system.+state.+changed )|(\[timeout)|(PRM\|1\|D)|(kpr)|(kdp)|(\|lc)|(penalty))"</v>
      </c>
      <c r="AG162" s="1" t="str">
        <f t="shared" si="65"/>
        <v>NW</v>
      </c>
      <c r="AH162" s="86" t="str">
        <f t="shared" si="66"/>
        <v>"%USERPROFILE%\Documents\GitHub\eaglep3\Utilities\RefineRTDCRunTimes.py" --tripid 1801-19 --locoid 4051 --swversion DE.1.0.9.0 --startMP 204:1039 --initTime 2017-03-19T05:56:07 --startdatetime 2017-03-19T06:21:17 --delay 1 --endMP 300:58931 --enddatetime 2017-03-19T06:33:21 --enforcementcount 0 &gt;&gt;%USERPROFILE%\Documents\GitHub\eaglep3-reporting\EC\2017-03-19-refined-times.txt</v>
      </c>
      <c r="AI162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{"issue":{"subject":"","project_id":79,"tracker_id":40,"status_id":1,"priority_id":2,"assigned_to_id":23,"start_date":"2017-03-19","description":"","custom_fields":[{"id":1,"name":"Subdivision","value":"NW"},{"id":4,"name":"Milepost","value":"5.8931"},{"id":17,"name":"Train ID","value":"1801-19"},{"id":16,"name":"Locomotive ID","value":"4051"},{"id":130,"name":"Impact","value":""},{"id":150,"name":"Time of Event (Mountain Time)","value":"06:33:21"},{"id":151,"name":"Denver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68"/>
        <v>start /low /b %USERPROFILE%\Documents\GitHub\eaglep3\Utilities\DownloadLogsFromS3.py --loco 4051 --day 2017-03-19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"%USERPROFILE%\AppData\Local\Temp\OnboardLogs"\RTDC4051\*4051*20170319* | grep -SE "(Enforcement Action)|(\[TIMEOUT)|(CHR.+\|PRM\|1\|D.+(SWITCH|SIGNAL).+UNKNOWN)" - &gt;&gt; 2017-03-19-UncaughtWiMAX.txt</v>
      </c>
    </row>
    <row r="163" spans="1:91" x14ac:dyDescent="0.25">
      <c r="A163" s="33" t="s">
        <v>636</v>
      </c>
      <c r="B163" s="7">
        <v>4052</v>
      </c>
      <c r="C163" s="21" t="s">
        <v>221</v>
      </c>
      <c r="D163" s="21" t="s">
        <v>479</v>
      </c>
      <c r="E163" s="13">
        <v>42813.274525462963</v>
      </c>
      <c r="F163" s="13">
        <v>42813.277314814812</v>
      </c>
      <c r="G163" s="7">
        <v>1</v>
      </c>
      <c r="H163" s="21" t="s">
        <v>855</v>
      </c>
      <c r="I163" s="13">
        <v>42813.287453703706</v>
      </c>
      <c r="J163" s="7">
        <v>0</v>
      </c>
      <c r="K163" s="98" t="str">
        <f t="shared" si="54"/>
        <v>4051/4052</v>
      </c>
      <c r="L163" s="21" t="str">
        <f>VLOOKUP(A163,'Trips&amp;Operators'!$C$1:$G$99999,5,FALSE)</f>
        <v>YORK EDGAR</v>
      </c>
      <c r="M163" s="6">
        <f t="shared" si="72"/>
        <v>1.0138888894289266E-2</v>
      </c>
      <c r="N163" s="7">
        <f t="shared" si="71"/>
        <v>14.600000007776543</v>
      </c>
      <c r="O163" s="7"/>
      <c r="P163" s="7"/>
      <c r="Q163" s="22"/>
      <c r="R163" s="22"/>
      <c r="S163" s="31">
        <f t="shared" si="70"/>
        <v>1</v>
      </c>
      <c r="T163" s="46" t="str">
        <f t="shared" si="56"/>
        <v>Southbound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57"/>
        <v>https://d0f6bd738d7f1b3e5a7ca70fe4ff75f0.us-east-1.aws.found.io/app/kibana#/discover/Steve-Slow-Train-Analysis-(2080s-and-2083s)?_g=(refreshInterval:(display:Off,pause:!f,section:0,value:0),time:(from:'2017-03-19T05:35:19-0600',mode:absolute,to:'2017-03-19T07:53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3" s="187" t="str">
        <f t="shared" si="58"/>
        <v>N</v>
      </c>
      <c r="X163" s="187">
        <f t="shared" si="59"/>
        <v>1</v>
      </c>
      <c r="Y163" s="62">
        <f t="shared" si="60"/>
        <v>5.8615000000000004</v>
      </c>
      <c r="Z163" s="62">
        <f t="shared" si="53"/>
        <v>7.5200000000000003E-2</v>
      </c>
      <c r="AA163" s="62">
        <f t="shared" si="61"/>
        <v>5.7863000000000007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62"/>
        <v>1802-19</v>
      </c>
      <c r="AE163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63" s="82" t="str">
        <f t="shared" si="64"/>
        <v>"C:\Program Files (x86)\AstroGrep\AstroGrep.exe" /e /r /s /spath="%USERPROFILE%\AppData\Local\Temp\OnboardLogs" /stypes="app*4052*20170319*" /stext=" 12:.+((SYSTEM_STATE.+slice.+state.+changed )|(ment ac)|(multiple cpu faults)|(system.+state.+changed )|(\[timeout)|(PRM\|1\|D)|(kpr)|(kdp)|(\|lc)|(penalty))"</v>
      </c>
      <c r="AG163" s="1" t="str">
        <f t="shared" si="65"/>
        <v>NW</v>
      </c>
      <c r="AH163" s="86" t="str">
        <f t="shared" si="66"/>
        <v>"%USERPROFILE%\Documents\GitHub\eaglep3\Utilities\RefineRTDCRunTimes.py" --tripid 1802-19 --locoid 4052 --swversion DE.1.0.9.0 --startMP 300:58615 --initTime 2017-03-19T06:35:19 --startdatetime 2017-03-19T06:39:20 --delay 1 --endMP 204:752 --enddatetime 2017-03-19T06:53:56 --enforcementcount 0 &gt;&gt;%USERPROFILE%\Documents\GitHub\eaglep3-reporting\EC\2017-03-19-refined-times.txt</v>
      </c>
      <c r="AI163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{"issue":{"subject":"","project_id":79,"tracker_id":40,"status_id":1,"priority_id":2,"assigned_to_id":23,"start_date":"2017-03-19","description":"","custom_fields":[{"id":1,"name":"Subdivision","value":"NW"},{"id":4,"name":"Milepost","value":"0.0752"},{"id":17,"name":"Train ID","value":"1802-19"},{"id":16,"name":"Locomotive ID","value":"4052"},{"id":130,"name":"Impact","value":""},{"id":150,"name":"Time of Event (Mountain Time)","value":"06:53:56"},{"id":151,"name":"Denver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68"/>
        <v>start /low /b %USERPROFILE%\Documents\GitHub\eaglep3\Utilities\DownloadLogsFromS3.py --loco 4052 --day 2017-03-19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"%USERPROFILE%\AppData\Local\Temp\OnboardLogs"\RTDC4052\*4052*20170319* | grep -SE "(Enforcement Action)|(\[TIMEOUT)|(CHR.+\|PRM\|1\|D.+(SWITCH|SIGNAL).+UNKNOWN)" - &gt;&gt; 2017-03-19-UncaughtWiMAX.txt</v>
      </c>
    </row>
    <row r="164" spans="1:91" x14ac:dyDescent="0.25">
      <c r="A164" s="33" t="s">
        <v>640</v>
      </c>
      <c r="B164" s="7">
        <v>4051</v>
      </c>
      <c r="C164" s="21" t="s">
        <v>221</v>
      </c>
      <c r="D164" s="21" t="s">
        <v>856</v>
      </c>
      <c r="E164" s="13">
        <v>42813.289282407408</v>
      </c>
      <c r="F164" s="13">
        <v>42813.306620370371</v>
      </c>
      <c r="G164" s="7">
        <v>1</v>
      </c>
      <c r="H164" s="21" t="s">
        <v>857</v>
      </c>
      <c r="I164" s="13">
        <v>42813.315057870372</v>
      </c>
      <c r="J164" s="7">
        <v>0</v>
      </c>
      <c r="K164" s="98" t="str">
        <f t="shared" si="54"/>
        <v>4051/4052</v>
      </c>
      <c r="L164" s="21" t="str">
        <f>VLOOKUP(A164,'Trips&amp;Operators'!$C$1:$G$99999,5,FALSE)</f>
        <v>YORK EDGAR</v>
      </c>
      <c r="M164" s="6">
        <f t="shared" si="72"/>
        <v>8.4375000005820766E-3</v>
      </c>
      <c r="N164" s="7">
        <f t="shared" si="71"/>
        <v>12.15000000083819</v>
      </c>
      <c r="O164" s="7"/>
      <c r="P164" s="7"/>
      <c r="Q164" s="22"/>
      <c r="R164" s="22"/>
      <c r="S164" s="31">
        <f t="shared" si="70"/>
        <v>1</v>
      </c>
      <c r="T164" s="46" t="str">
        <f t="shared" si="56"/>
        <v>NorthBound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57"/>
        <v>https://d0f6bd738d7f1b3e5a7ca70fe4ff75f0.us-east-1.aws.found.io/app/kibana#/discover/Steve-Slow-Train-Analysis-(2080s-and-2083s)?_g=(refreshInterval:(display:Off,pause:!f,section:0,value:0),time:(from:'2017-03-19T05:56:34-0600',mode:absolute,to:'2017-03-19T08:33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4" s="187" t="str">
        <f t="shared" si="58"/>
        <v>N</v>
      </c>
      <c r="X164" s="187">
        <f t="shared" si="59"/>
        <v>1</v>
      </c>
      <c r="Y164" s="62">
        <f t="shared" si="60"/>
        <v>0.1046</v>
      </c>
      <c r="Z164" s="62">
        <f t="shared" si="53"/>
        <v>5.8928000000000003</v>
      </c>
      <c r="AA164" s="62">
        <f t="shared" si="61"/>
        <v>5.7882000000000007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62"/>
        <v>1803-19</v>
      </c>
      <c r="AE164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64" s="82" t="str">
        <f t="shared" si="64"/>
        <v>"C:\Program Files (x86)\AstroGrep\AstroGrep.exe" /e /r /s /spath="%USERPROFILE%\AppData\Local\Temp\OnboardLogs" /stypes="app*4051*20170319*" /stext=" 13:.+((SYSTEM_STATE.+slice.+state.+changed )|(ment ac)|(multiple cpu faults)|(system.+state.+changed )|(\[timeout)|(PRM\|1\|D)|(kpr)|(kdp)|(\|lc)|(penalty))"</v>
      </c>
      <c r="AG164" s="1" t="str">
        <f t="shared" si="65"/>
        <v>NW</v>
      </c>
      <c r="AH164" s="86" t="str">
        <f t="shared" si="66"/>
        <v>"%USERPROFILE%\Documents\GitHub\eaglep3\Utilities\RefineRTDCRunTimes.py" --tripid 1803-19 --locoid 4051 --swversion DE.1.0.9.0 --startMP 204:1046 --initTime 2017-03-19T06:56:34 --startdatetime 2017-03-19T07:21:32 --delay 1 --endMP 300:58928 --enddatetime 2017-03-19T07:33:41 --enforcementcount 0 &gt;&gt;%USERPROFILE%\Documents\GitHub\eaglep3-reporting\EC\2017-03-19-refined-times.txt</v>
      </c>
      <c r="AI164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{"issue":{"subject":"","project_id":79,"tracker_id":40,"status_id":1,"priority_id":2,"assigned_to_id":23,"start_date":"2017-03-19","description":"","custom_fields":[{"id":1,"name":"Subdivision","value":"NW"},{"id":4,"name":"Milepost","value":"5.8928"},{"id":17,"name":"Train ID","value":"1803-19"},{"id":16,"name":"Locomotive ID","value":"4051"},{"id":130,"name":"Impact","value":""},{"id":150,"name":"Time of Event (Mountain Time)","value":"07:33:41"},{"id":151,"name":"Denver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68"/>
        <v>start /low /b %USERPROFILE%\Documents\GitHub\eaglep3\Utilities\DownloadLogsFromS3.py --loco 4051 --day 2017-03-19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"%USERPROFILE%\AppData\Local\Temp\OnboardLogs"\RTDC4051\*4051*20170319* | grep -SE "(Enforcement Action)|(\[TIMEOUT)|(CHR.+\|PRM\|1\|D.+(SWITCH|SIGNAL).+UNKNOWN)" - &gt;&gt; 2017-03-19-UncaughtWiMAX.txt</v>
      </c>
    </row>
    <row r="165" spans="1:91" x14ac:dyDescent="0.25">
      <c r="A165" s="33" t="s">
        <v>577</v>
      </c>
      <c r="B165" s="7">
        <v>4052</v>
      </c>
      <c r="C165" s="21" t="s">
        <v>221</v>
      </c>
      <c r="D165" s="21" t="s">
        <v>853</v>
      </c>
      <c r="E165" s="13">
        <v>42813.317094907405</v>
      </c>
      <c r="F165" s="13">
        <v>42813.319120370368</v>
      </c>
      <c r="G165" s="7">
        <v>1</v>
      </c>
      <c r="H165" s="21" t="s">
        <v>858</v>
      </c>
      <c r="I165" s="13">
        <v>42813.329629629632</v>
      </c>
      <c r="J165" s="7">
        <v>0</v>
      </c>
      <c r="K165" s="98" t="str">
        <f t="shared" si="54"/>
        <v>4051/4052</v>
      </c>
      <c r="L165" s="21" t="str">
        <f>VLOOKUP(A165,'Trips&amp;Operators'!$C$1:$G$99999,5,FALSE)</f>
        <v>YORK EDGAR</v>
      </c>
      <c r="M165" s="6">
        <f t="shared" si="72"/>
        <v>1.0509259263926651E-2</v>
      </c>
      <c r="N165" s="7">
        <f t="shared" si="71"/>
        <v>15.133333340054378</v>
      </c>
      <c r="O165" s="7"/>
      <c r="P165" s="7"/>
      <c r="Q165" s="22"/>
      <c r="R165" s="22"/>
      <c r="S165" s="31">
        <f t="shared" si="70"/>
        <v>1</v>
      </c>
      <c r="T165" s="46" t="str">
        <f t="shared" si="56"/>
        <v>Southbound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57"/>
        <v>https://d0f6bd738d7f1b3e5a7ca70fe4ff75f0.us-east-1.aws.found.io/app/kibana#/discover/Steve-Slow-Train-Analysis-(2080s-and-2083s)?_g=(refreshInterval:(display:Off,pause:!f,section:0,value:0),time:(from:'2017-03-19T06:36:37-0600',mode:absolute,to:'2017-03-19T08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5" s="187" t="str">
        <f t="shared" si="58"/>
        <v>N</v>
      </c>
      <c r="X165" s="187">
        <f t="shared" si="59"/>
        <v>1</v>
      </c>
      <c r="Y165" s="62">
        <f t="shared" si="60"/>
        <v>5.8619000000000003</v>
      </c>
      <c r="Z165" s="62">
        <f t="shared" si="53"/>
        <v>7.6899999999999996E-2</v>
      </c>
      <c r="AA165" s="62">
        <f t="shared" si="61"/>
        <v>5.7850000000000001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62"/>
        <v>1804-19</v>
      </c>
      <c r="AE165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65" s="82" t="str">
        <f t="shared" si="64"/>
        <v>"C:\Program Files (x86)\AstroGrep\AstroGrep.exe" /e /r /s /spath="%USERPROFILE%\AppData\Local\Temp\OnboardLogs" /stypes="app*4052*20170319*" /stext=" 13:.+((SYSTEM_STATE.+slice.+state.+changed )|(ment ac)|(multiple cpu faults)|(system.+state.+changed )|(\[timeout)|(PRM\|1\|D)|(kpr)|(kdp)|(\|lc)|(penalty))"</v>
      </c>
      <c r="AG165" s="1" t="str">
        <f t="shared" si="65"/>
        <v>NW</v>
      </c>
      <c r="AH165" s="86" t="str">
        <f t="shared" si="66"/>
        <v>"%USERPROFILE%\Documents\GitHub\eaglep3\Utilities\RefineRTDCRunTimes.py" --tripid 1804-19 --locoid 4052 --swversion DE.1.0.9.0 --startMP 300:58619 --initTime 2017-03-19T07:36:37 --startdatetime 2017-03-19T07:39:32 --delay 1 --endMP 204:769 --enddatetime 2017-03-19T07:54:40 --enforcementcount 0 &gt;&gt;%USERPROFILE%\Documents\GitHub\eaglep3-reporting\EC\2017-03-19-refined-times.txt</v>
      </c>
      <c r="AI165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{"issue":{"subject":"","project_id":79,"tracker_id":40,"status_id":1,"priority_id":2,"assigned_to_id":23,"start_date":"2017-03-19","description":"","custom_fields":[{"id":1,"name":"Subdivision","value":"NW"},{"id":4,"name":"Milepost","value":"0.0769"},{"id":17,"name":"Train ID","value":"1804-19"},{"id":16,"name":"Locomotive ID","value":"4052"},{"id":130,"name":"Impact","value":""},{"id":150,"name":"Time of Event (Mountain Time)","value":"07:54:40"},{"id":151,"name":"Denver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68"/>
        <v>start /low /b %USERPROFILE%\Documents\GitHub\eaglep3\Utilities\DownloadLogsFromS3.py --loco 4052 --day 2017-03-19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"%USERPROFILE%\AppData\Local\Temp\OnboardLogs"\RTDC4052\*4052*20170319* | grep -SE "(Enforcement Action)|(\[TIMEOUT)|(CHR.+\|PRM\|1\|D.+(SWITCH|SIGNAL).+UNKNOWN)" - &gt;&gt; 2017-03-19-UncaughtWiMAX.txt</v>
      </c>
    </row>
    <row r="166" spans="1:91" x14ac:dyDescent="0.25">
      <c r="A166" s="33" t="s">
        <v>649</v>
      </c>
      <c r="B166" s="7">
        <v>4051</v>
      </c>
      <c r="C166" s="21" t="s">
        <v>221</v>
      </c>
      <c r="D166" s="21" t="s">
        <v>859</v>
      </c>
      <c r="E166" s="13">
        <v>42813.330995370372</v>
      </c>
      <c r="F166" s="13">
        <v>42813.348217592589</v>
      </c>
      <c r="G166" s="7">
        <v>0</v>
      </c>
      <c r="H166" s="21" t="s">
        <v>480</v>
      </c>
      <c r="I166" s="13">
        <v>42813.357129629629</v>
      </c>
      <c r="J166" s="7">
        <v>0</v>
      </c>
      <c r="K166" s="98" t="str">
        <f t="shared" si="54"/>
        <v>4051/4052</v>
      </c>
      <c r="L166" s="21" t="str">
        <f>VLOOKUP(A166,'Trips&amp;Operators'!$C$1:$G$99999,5,FALSE)</f>
        <v>YORK EDGAR</v>
      </c>
      <c r="M166" s="6">
        <f t="shared" si="72"/>
        <v>8.9120370394084603E-3</v>
      </c>
      <c r="N166" s="7">
        <f t="shared" si="71"/>
        <v>12.833333336748183</v>
      </c>
      <c r="O166" s="7"/>
      <c r="P166" s="7"/>
      <c r="Q166" s="22"/>
      <c r="R166" s="22"/>
      <c r="S166" s="31">
        <f t="shared" si="70"/>
        <v>1</v>
      </c>
      <c r="T166" s="46" t="str">
        <f t="shared" si="56"/>
        <v>NorthBound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57"/>
        <v>https://d0f6bd738d7f1b3e5a7ca70fe4ff75f0.us-east-1.aws.found.io/app/kibana#/discover/Steve-Slow-Train-Analysis-(2080s-and-2083s)?_g=(refreshInterval:(display:Off,pause:!f,section:0,value:0),time:(from:'2017-03-19T06:56:38-0600',mode:absolute,to:'2017-03-19T09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6" s="187" t="str">
        <f t="shared" si="58"/>
        <v>N</v>
      </c>
      <c r="X166" s="187">
        <f t="shared" ref="X166:X188" si="73">VALUE(LEFT(AD166,4))-VALUE(LEFT(AD165,4))</f>
        <v>1</v>
      </c>
      <c r="Y166" s="62">
        <f t="shared" si="60"/>
        <v>0.1056</v>
      </c>
      <c r="Z166" s="62">
        <f t="shared" si="53"/>
        <v>5.8933</v>
      </c>
      <c r="AA166" s="62">
        <f t="shared" si="61"/>
        <v>5.7877000000000001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62"/>
        <v>1805-19</v>
      </c>
      <c r="AE166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66" s="82" t="str">
        <f t="shared" si="64"/>
        <v>"C:\Program Files (x86)\AstroGrep\AstroGrep.exe" /e /r /s /spath="%USERPROFILE%\AppData\Local\Temp\OnboardLogs" /stypes="app*4051*20170319*" /stext=" 14:.+((SYSTEM_STATE.+slice.+state.+changed )|(ment ac)|(multiple cpu faults)|(system.+state.+changed )|(\[timeout)|(PRM\|1\|D)|(kpr)|(kdp)|(\|lc)|(penalty))"</v>
      </c>
      <c r="AG166" s="1" t="str">
        <f t="shared" si="65"/>
        <v>NW</v>
      </c>
      <c r="AH166" s="86" t="str">
        <f t="shared" si="66"/>
        <v>"%USERPROFILE%\Documents\GitHub\eaglep3\Utilities\RefineRTDCRunTimes.py" --tripid 1805-19 --locoid 4051 --swversion DE.1.0.9.0 --startMP 204:1056 --initTime 2017-03-19T07:56:38 --startdatetime 2017-03-19T08:21:26 --delay 0 --endMP 300:58933 --enddatetime 2017-03-19T08:34:16 --enforcementcount 0 &gt;&gt;%USERPROFILE%\Documents\GitHub\eaglep3-reporting\EC\2017-03-19-refined-times.txt</v>
      </c>
      <c r="AI166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{"issue":{"subject":"","project_id":79,"tracker_id":40,"status_id":1,"priority_id":2,"assigned_to_id":23,"start_date":"2017-03-19","description":"","custom_fields":[{"id":1,"name":"Subdivision","value":"NW"},{"id":4,"name":"Milepost","value":"5.8933"},{"id":17,"name":"Train ID","value":"1805-19"},{"id":16,"name":"Locomotive ID","value":"4051"},{"id":130,"name":"Impact","value":""},{"id":150,"name":"Time of Event (Mountain Time)","value":"08:34:16"},{"id":151,"name":"Denver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68"/>
        <v>start /low /b %USERPROFILE%\Documents\GitHub\eaglep3\Utilities\DownloadLogsFromS3.py --loco 4051 --day 2017-03-19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"%USERPROFILE%\AppData\Local\Temp\OnboardLogs"\RTDC4051\*4051*20170319* | grep -SE "(Enforcement Action)|(\[TIMEOUT)|(CHR.+\|PRM\|1\|D.+(SWITCH|SIGNAL).+UNKNOWN)" - &gt;&gt; 2017-03-19-UncaughtWiMAX.txt</v>
      </c>
    </row>
    <row r="167" spans="1:91" s="20" customFormat="1" x14ac:dyDescent="0.25">
      <c r="A167" s="33" t="s">
        <v>656</v>
      </c>
      <c r="B167" s="7">
        <v>4052</v>
      </c>
      <c r="C167" s="21" t="s">
        <v>221</v>
      </c>
      <c r="D167" s="21" t="s">
        <v>479</v>
      </c>
      <c r="E167" s="13">
        <v>42813.358368055553</v>
      </c>
      <c r="F167" s="13">
        <v>42813.359861111108</v>
      </c>
      <c r="G167" s="7">
        <v>1</v>
      </c>
      <c r="H167" s="21" t="s">
        <v>556</v>
      </c>
      <c r="I167" s="13">
        <v>42813.37090277778</v>
      </c>
      <c r="J167" s="7">
        <v>0</v>
      </c>
      <c r="K167" s="98" t="str">
        <f t="shared" si="54"/>
        <v>4051/4052</v>
      </c>
      <c r="L167" s="21" t="str">
        <f>VLOOKUP(A167,'Trips&amp;Operators'!$C$1:$G$99999,5,FALSE)</f>
        <v>YORK EDGAR</v>
      </c>
      <c r="M167" s="6">
        <f t="shared" si="72"/>
        <v>1.1041666672099382E-2</v>
      </c>
      <c r="N167" s="7">
        <f t="shared" si="71"/>
        <v>15.90000000782311</v>
      </c>
      <c r="O167" s="7"/>
      <c r="P167" s="7"/>
      <c r="Q167" s="22"/>
      <c r="R167" s="22"/>
      <c r="S167" s="31">
        <f t="shared" si="70"/>
        <v>1</v>
      </c>
      <c r="T167" s="46" t="str">
        <f t="shared" si="56"/>
        <v>Southbound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57"/>
        <v>https://d0f6bd738d7f1b3e5a7ca70fe4ff75f0.us-east-1.aws.found.io/app/kibana#/discover/Steve-Slow-Train-Analysis-(2080s-and-2083s)?_g=(refreshInterval:(display:Off,pause:!f,section:0,value:0),time:(from:'2017-03-19T07:36:03-0600',mode:absolute,to:'2017-03-19T09:54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7" s="187" t="str">
        <f t="shared" si="58"/>
        <v>N</v>
      </c>
      <c r="X167" s="187">
        <f t="shared" si="73"/>
        <v>1</v>
      </c>
      <c r="Y167" s="62">
        <f t="shared" si="60"/>
        <v>5.8615000000000004</v>
      </c>
      <c r="Z167" s="62">
        <f t="shared" si="53"/>
        <v>7.4700000000000003E-2</v>
      </c>
      <c r="AA167" s="62">
        <f t="shared" si="61"/>
        <v>5.7868000000000004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62"/>
        <v>1806-19</v>
      </c>
      <c r="AE167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67" s="82" t="str">
        <f t="shared" si="64"/>
        <v>"C:\Program Files (x86)\AstroGrep\AstroGrep.exe" /e /r /s /spath="%USERPROFILE%\AppData\Local\Temp\OnboardLogs" /stypes="app*4052*20170319*" /stext=" 14:.+((SYSTEM_STATE.+slice.+state.+changed )|(ment ac)|(multiple cpu faults)|(system.+state.+changed )|(\[timeout)|(PRM\|1\|D)|(kpr)|(kdp)|(\|lc)|(penalty))"</v>
      </c>
      <c r="AG167" s="1" t="str">
        <f t="shared" si="65"/>
        <v>NW</v>
      </c>
      <c r="AH167" s="86" t="str">
        <f t="shared" si="66"/>
        <v>"%USERPROFILE%\Documents\GitHub\eaglep3\Utilities\RefineRTDCRunTimes.py" --tripid 1806-19 --locoid 4052 --swversion DE.1.0.9.0 --startMP 300:58615 --initTime 2017-03-19T08:36:03 --startdatetime 2017-03-19T08:38:12 --delay 1 --endMP 204:747 --enddatetime 2017-03-19T08:54:06 --enforcementcount 0 &gt;&gt;%USERPROFILE%\Documents\GitHub\eaglep3-reporting\EC\2017-03-19-refined-times.txt</v>
      </c>
      <c r="AI167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{"issue":{"subject":"","project_id":79,"tracker_id":40,"status_id":1,"priority_id":2,"assigned_to_id":23,"start_date":"2017-03-19","description":"","custom_fields":[{"id":1,"name":"Subdivision","value":"NW"},{"id":4,"name":"Milepost","value":"0.0747"},{"id":17,"name":"Train ID","value":"1806-19"},{"id":16,"name":"Locomotive ID","value":"4052"},{"id":130,"name":"Impact","value":""},{"id":150,"name":"Time of Event (Mountain Time)","value":"08:54:06"},{"id":151,"name":"Denver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68"/>
        <v>start /low /b %USERPROFILE%\Documents\GitHub\eaglep3\Utilities\DownloadLogsFromS3.py --loco 4052 --day 2017-03-19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"%USERPROFILE%\AppData\Local\Temp\OnboardLogs"\RTDC4052\*4052*20170319* | grep -SE "(Enforcement Action)|(\[TIMEOUT)|(CHR.+\|PRM\|1\|D.+(SWITCH|SIGNAL).+UNKNOWN)" - &gt;&gt; 2017-03-19-UncaughtWiMAX.txt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3" t="s">
        <v>659</v>
      </c>
      <c r="B168" s="7">
        <v>4051</v>
      </c>
      <c r="C168" s="21" t="s">
        <v>221</v>
      </c>
      <c r="D168" s="21" t="s">
        <v>860</v>
      </c>
      <c r="E168" s="13">
        <v>42813.372210648151</v>
      </c>
      <c r="F168" s="13">
        <v>42813.389930555553</v>
      </c>
      <c r="G168" s="7">
        <v>1</v>
      </c>
      <c r="H168" s="21" t="s">
        <v>456</v>
      </c>
      <c r="I168" s="13">
        <v>42813.398425925923</v>
      </c>
      <c r="J168" s="7">
        <v>0</v>
      </c>
      <c r="K168" s="98" t="str">
        <f t="shared" si="54"/>
        <v>4051/4052</v>
      </c>
      <c r="L168" s="21" t="str">
        <f>VLOOKUP(A168,'Trips&amp;Operators'!$C$1:$G$99999,5,FALSE)</f>
        <v>YORK EDGAR</v>
      </c>
      <c r="M168" s="6">
        <f t="shared" si="72"/>
        <v>8.4953703699284233E-3</v>
      </c>
      <c r="N168" s="7">
        <f t="shared" si="71"/>
        <v>12.23333333269693</v>
      </c>
      <c r="O168" s="7"/>
      <c r="P168" s="7"/>
      <c r="Q168" s="22"/>
      <c r="R168" s="22"/>
      <c r="S168" s="31">
        <f t="shared" si="70"/>
        <v>1</v>
      </c>
      <c r="T168" s="46" t="str">
        <f t="shared" si="56"/>
        <v>NorthBound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57"/>
        <v>https://d0f6bd738d7f1b3e5a7ca70fe4ff75f0.us-east-1.aws.found.io/app/kibana#/discover/Steve-Slow-Train-Analysis-(2080s-and-2083s)?_g=(refreshInterval:(display:Off,pause:!f,section:0,value:0),time:(from:'2017-03-19T07:55:59-0600',mode:absolute,to:'2017-03-19T10:33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8" s="187" t="str">
        <f t="shared" si="58"/>
        <v>N</v>
      </c>
      <c r="X168" s="187">
        <f t="shared" si="73"/>
        <v>1</v>
      </c>
      <c r="Y168" s="62">
        <f t="shared" si="60"/>
        <v>0.1041</v>
      </c>
      <c r="Z168" s="62">
        <f t="shared" si="53"/>
        <v>5.8925999999999998</v>
      </c>
      <c r="AA168" s="62">
        <f t="shared" si="61"/>
        <v>5.7885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62"/>
        <v>1807-19</v>
      </c>
      <c r="AE168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68" s="82" t="str">
        <f t="shared" si="64"/>
        <v>"C:\Program Files (x86)\AstroGrep\AstroGrep.exe" /e /r /s /spath="%USERPROFILE%\AppData\Local\Temp\OnboardLogs" /stypes="app*4051*20170319*" /stext=" 15:.+((SYSTEM_STATE.+slice.+state.+changed )|(ment ac)|(multiple cpu faults)|(system.+state.+changed )|(\[timeout)|(PRM\|1\|D)|(kpr)|(kdp)|(\|lc)|(penalty))"</v>
      </c>
      <c r="AG168" s="1" t="str">
        <f t="shared" si="65"/>
        <v>NW</v>
      </c>
      <c r="AH168" s="86" t="str">
        <f t="shared" si="66"/>
        <v>"%USERPROFILE%\Documents\GitHub\eaglep3\Utilities\RefineRTDCRunTimes.py" --tripid 1807-19 --locoid 4051 --swversion DE.1.0.9.0 --startMP 204:1041 --initTime 2017-03-19T08:55:59 --startdatetime 2017-03-19T09:21:30 --delay 1 --endMP 300:58926 --enddatetime 2017-03-19T09:33:44 --enforcementcount 0 &gt;&gt;%USERPROFILE%\Documents\GitHub\eaglep3-reporting\EC\2017-03-19-refined-times.txt</v>
      </c>
      <c r="AI168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{"issue":{"subject":"","project_id":79,"tracker_id":40,"status_id":1,"priority_id":2,"assigned_to_id":23,"start_date":"2017-03-19","description":"","custom_fields":[{"id":1,"name":"Subdivision","value":"NW"},{"id":4,"name":"Milepost","value":"5.8926"},{"id":17,"name":"Train ID","value":"1807-19"},{"id":16,"name":"Locomotive ID","value":"4051"},{"id":130,"name":"Impact","value":""},{"id":150,"name":"Time of Event (Mountain Time)","value":"09:33:44"},{"id":151,"name":"Denver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68"/>
        <v>start /low /b %USERPROFILE%\Documents\GitHub\eaglep3\Utilities\DownloadLogsFromS3.py --loco 4051 --day 2017-03-19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"%USERPROFILE%\AppData\Local\Temp\OnboardLogs"\RTDC4051\*4051*20170319* | grep -SE "(Enforcement Action)|(\[TIMEOUT)|(CHR.+\|PRM\|1\|D.+(SWITCH|SIGNAL).+UNKNOWN)" - &gt;&gt; 2017-03-19-UncaughtWiMAX.txt</v>
      </c>
    </row>
    <row r="169" spans="1:91" x14ac:dyDescent="0.25">
      <c r="A169" s="33" t="s">
        <v>664</v>
      </c>
      <c r="B169" s="7">
        <v>4052</v>
      </c>
      <c r="C169" s="21" t="s">
        <v>221</v>
      </c>
      <c r="D169" s="21" t="s">
        <v>861</v>
      </c>
      <c r="E169" s="13">
        <v>42813.400335648148</v>
      </c>
      <c r="F169" s="13">
        <v>42813.402291666665</v>
      </c>
      <c r="G169" s="7">
        <v>1</v>
      </c>
      <c r="H169" s="21" t="s">
        <v>862</v>
      </c>
      <c r="I169" s="13">
        <v>42813.412453703706</v>
      </c>
      <c r="J169" s="7">
        <v>0</v>
      </c>
      <c r="K169" s="98" t="str">
        <f t="shared" si="54"/>
        <v>4051/4052</v>
      </c>
      <c r="L169" s="21" t="str">
        <f>VLOOKUP(A169,'Trips&amp;Operators'!$C$1:$G$99999,5,FALSE)</f>
        <v>YORK EDGAR</v>
      </c>
      <c r="M169" s="6">
        <f t="shared" si="72"/>
        <v>1.0162037040572613E-2</v>
      </c>
      <c r="N169" s="7">
        <f t="shared" si="71"/>
        <v>14.633333338424563</v>
      </c>
      <c r="O169" s="7"/>
      <c r="P169" s="7"/>
      <c r="Q169" s="22"/>
      <c r="R169" s="22"/>
      <c r="S169" s="31">
        <f t="shared" si="70"/>
        <v>1</v>
      </c>
      <c r="T169" s="46" t="str">
        <f t="shared" si="56"/>
        <v>Southbound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57"/>
        <v>https://d0f6bd738d7f1b3e5a7ca70fe4ff75f0.us-east-1.aws.found.io/app/kibana#/discover/Steve-Slow-Train-Analysis-(2080s-and-2083s)?_g=(refreshInterval:(display:Off,pause:!f,section:0,value:0),time:(from:'2017-03-19T08:36:29-0600',mode:absolute,to:'2017-03-19T10:53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9" s="187" t="str">
        <f t="shared" si="58"/>
        <v>N</v>
      </c>
      <c r="X169" s="187">
        <f t="shared" si="73"/>
        <v>1</v>
      </c>
      <c r="Y169" s="62">
        <f t="shared" si="60"/>
        <v>5.8604000000000003</v>
      </c>
      <c r="Z169" s="62">
        <f t="shared" ref="Z169:Z200" si="74">RIGHT(H169,LEN(H169)-4)/10000</f>
        <v>7.4999999999999997E-2</v>
      </c>
      <c r="AA169" s="62">
        <f t="shared" si="61"/>
        <v>5.7854000000000001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62"/>
        <v>1808-19</v>
      </c>
      <c r="AE169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69" s="82" t="str">
        <f t="shared" si="64"/>
        <v>"C:\Program Files (x86)\AstroGrep\AstroGrep.exe" /e /r /s /spath="%USERPROFILE%\AppData\Local\Temp\OnboardLogs" /stypes="app*4052*20170319*" /stext=" 15:.+((SYSTEM_STATE.+slice.+state.+changed )|(ment ac)|(multiple cpu faults)|(system.+state.+changed )|(\[timeout)|(PRM\|1\|D)|(kpr)|(kdp)|(\|lc)|(penalty))"</v>
      </c>
      <c r="AG169" s="1" t="str">
        <f t="shared" si="65"/>
        <v>NW</v>
      </c>
      <c r="AH169" s="86" t="str">
        <f t="shared" si="66"/>
        <v>"%USERPROFILE%\Documents\GitHub\eaglep3\Utilities\RefineRTDCRunTimes.py" --tripid 1808-19 --locoid 4052 --swversion DE.1.0.9.0 --startMP 300:58604 --initTime 2017-03-19T09:36:29 --startdatetime 2017-03-19T09:39:18 --delay 1 --endMP 204:750 --enddatetime 2017-03-19T09:53:56 --enforcementcount 0 &gt;&gt;%USERPROFILE%\Documents\GitHub\eaglep3-reporting\EC\2017-03-19-refined-times.txt</v>
      </c>
      <c r="AI169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{"issue":{"subject":"","project_id":79,"tracker_id":40,"status_id":1,"priority_id":2,"assigned_to_id":23,"start_date":"2017-03-19","description":"","custom_fields":[{"id":1,"name":"Subdivision","value":"NW"},{"id":4,"name":"Milepost","value":"0.075"},{"id":17,"name":"Train ID","value":"1808-19"},{"id":16,"name":"Locomotive ID","value":"4052"},{"id":130,"name":"Impact","value":""},{"id":150,"name":"Time of Event (Mountain Time)","value":"09:53:56"},{"id":151,"name":"Denver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68"/>
        <v>start /low /b %USERPROFILE%\Documents\GitHub\eaglep3\Utilities\DownloadLogsFromS3.py --loco 4052 --day 2017-03-19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"%USERPROFILE%\AppData\Local\Temp\OnboardLogs"\RTDC4052\*4052*20170319* | grep -SE "(Enforcement Action)|(\[TIMEOUT)|(CHR.+\|PRM\|1\|D.+(SWITCH|SIGNAL).+UNKNOWN)" - &gt;&gt; 2017-03-19-UncaughtWiMAX.txt</v>
      </c>
    </row>
    <row r="170" spans="1:91" x14ac:dyDescent="0.25">
      <c r="A170" s="33" t="s">
        <v>666</v>
      </c>
      <c r="B170" s="7">
        <v>4051</v>
      </c>
      <c r="C170" s="21" t="s">
        <v>221</v>
      </c>
      <c r="D170" s="21" t="s">
        <v>863</v>
      </c>
      <c r="E170" s="13">
        <v>42813.413275462961</v>
      </c>
      <c r="F170" s="13">
        <v>42813.431620370371</v>
      </c>
      <c r="G170" s="7">
        <v>1</v>
      </c>
      <c r="H170" s="21" t="s">
        <v>458</v>
      </c>
      <c r="I170" s="13">
        <v>42813.440162037034</v>
      </c>
      <c r="J170" s="7">
        <v>0</v>
      </c>
      <c r="K170" s="98" t="str">
        <f t="shared" si="54"/>
        <v>4051/4052</v>
      </c>
      <c r="L170" s="21" t="str">
        <f>VLOOKUP(A170,'Trips&amp;Operators'!$C$1:$G$99999,5,FALSE)</f>
        <v>YORK EDGAR</v>
      </c>
      <c r="M170" s="6">
        <f t="shared" si="72"/>
        <v>8.5416666624951176E-3</v>
      </c>
      <c r="N170" s="7">
        <f t="shared" si="71"/>
        <v>12.299999993992969</v>
      </c>
      <c r="O170" s="7"/>
      <c r="P170" s="7"/>
      <c r="Q170" s="22"/>
      <c r="R170" s="22"/>
      <c r="S170" s="31">
        <f t="shared" si="70"/>
        <v>1</v>
      </c>
      <c r="T170" s="46" t="str">
        <f t="shared" si="56"/>
        <v>NorthBound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57"/>
        <v>https://d0f6bd738d7f1b3e5a7ca70fe4ff75f0.us-east-1.aws.found.io/app/kibana#/discover/Steve-Slow-Train-Analysis-(2080s-and-2083s)?_g=(refreshInterval:(display:Off,pause:!f,section:0,value:0),time:(from:'2017-03-19T08:55:07-0600',mode:absolute,to:'2017-03-19T11:33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0" s="187" t="str">
        <f t="shared" si="58"/>
        <v>N</v>
      </c>
      <c r="X170" s="187">
        <f t="shared" si="73"/>
        <v>1</v>
      </c>
      <c r="Y170" s="62">
        <f t="shared" si="60"/>
        <v>0.1037</v>
      </c>
      <c r="Z170" s="62">
        <f t="shared" si="74"/>
        <v>5.8930999999999996</v>
      </c>
      <c r="AA170" s="62">
        <f t="shared" si="61"/>
        <v>5.7893999999999997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62"/>
        <v>1809-19</v>
      </c>
      <c r="AE170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70" s="82" t="str">
        <f t="shared" si="64"/>
        <v>"C:\Program Files (x86)\AstroGrep\AstroGrep.exe" /e /r /s /spath="%USERPROFILE%\AppData\Local\Temp\OnboardLogs" /stypes="app*4051*20170319*" /stext=" 16:.+((SYSTEM_STATE.+slice.+state.+changed )|(ment ac)|(multiple cpu faults)|(system.+state.+changed )|(\[timeout)|(PRM\|1\|D)|(kpr)|(kdp)|(\|lc)|(penalty))"</v>
      </c>
      <c r="AG170" s="1" t="str">
        <f t="shared" si="65"/>
        <v>NW</v>
      </c>
      <c r="AH170" s="86" t="str">
        <f t="shared" si="66"/>
        <v>"%USERPROFILE%\Documents\GitHub\eaglep3\Utilities\RefineRTDCRunTimes.py" --tripid 1809-19 --locoid 4051 --swversion DE.1.0.9.0 --startMP 204:1037 --initTime 2017-03-19T09:55:07 --startdatetime 2017-03-19T10:21:32 --delay 1 --endMP 300:58931 --enddatetime 2017-03-19T10:33:50 --enforcementcount 0 &gt;&gt;%USERPROFILE%\Documents\GitHub\eaglep3-reporting\EC\2017-03-19-refined-times.txt</v>
      </c>
      <c r="AI170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{"issue":{"subject":"","project_id":79,"tracker_id":40,"status_id":1,"priority_id":2,"assigned_to_id":23,"start_date":"2017-03-19","description":"","custom_fields":[{"id":1,"name":"Subdivision","value":"NW"},{"id":4,"name":"Milepost","value":"5.8931"},{"id":17,"name":"Train ID","value":"1809-19"},{"id":16,"name":"Locomotive ID","value":"4051"},{"id":130,"name":"Impact","value":""},{"id":150,"name":"Time of Event (Mountain Time)","value":"10:33:50"},{"id":151,"name":"Denver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68"/>
        <v>start /low /b %USERPROFILE%\Documents\GitHub\eaglep3\Utilities\DownloadLogsFromS3.py --loco 4051 --day 2017-03-19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"%USERPROFILE%\AppData\Local\Temp\OnboardLogs"\RTDC4051\*4051*20170319* | grep -SE "(Enforcement Action)|(\[TIMEOUT)|(CHR.+\|PRM\|1\|D.+(SWITCH|SIGNAL).+UNKNOWN)" - &gt;&gt; 2017-03-19-UncaughtWiMAX.txt</v>
      </c>
    </row>
    <row r="171" spans="1:91" s="20" customFormat="1" x14ac:dyDescent="0.25">
      <c r="A171" s="33" t="s">
        <v>673</v>
      </c>
      <c r="B171" s="7">
        <v>4052</v>
      </c>
      <c r="C171" s="21" t="s">
        <v>221</v>
      </c>
      <c r="D171" s="21" t="s">
        <v>479</v>
      </c>
      <c r="E171" s="13">
        <v>42813.441180555557</v>
      </c>
      <c r="F171" s="13">
        <v>42813.442916666667</v>
      </c>
      <c r="G171" s="7">
        <v>1</v>
      </c>
      <c r="H171" s="21" t="s">
        <v>481</v>
      </c>
      <c r="I171" s="13">
        <v>42813.453923611109</v>
      </c>
      <c r="J171" s="7">
        <v>0</v>
      </c>
      <c r="K171" s="98" t="str">
        <f t="shared" si="54"/>
        <v>4051/4052</v>
      </c>
      <c r="L171" s="21" t="str">
        <f>VLOOKUP(A171,'Trips&amp;Operators'!$C$1:$G$99999,5,FALSE)</f>
        <v>YORK EDGAR</v>
      </c>
      <c r="M171" s="6">
        <f t="shared" si="72"/>
        <v>1.1006944441760425E-2</v>
      </c>
      <c r="N171" s="7">
        <f t="shared" si="71"/>
        <v>15.849999996135011</v>
      </c>
      <c r="O171" s="7"/>
      <c r="P171" s="7"/>
      <c r="Q171" s="22"/>
      <c r="R171" s="22"/>
      <c r="S171" s="31">
        <f t="shared" si="70"/>
        <v>1</v>
      </c>
      <c r="T171" s="46" t="str">
        <f t="shared" si="56"/>
        <v>Southbound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57"/>
        <v>https://d0f6bd738d7f1b3e5a7ca70fe4ff75f0.us-east-1.aws.found.io/app/kibana#/discover/Steve-Slow-Train-Analysis-(2080s-and-2083s)?_g=(refreshInterval:(display:Off,pause:!f,section:0,value:0),time:(from:'2017-03-19T09:35:18-0600',mode:absolute,to:'2017-03-19T11:53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1" s="187" t="str">
        <f t="shared" si="58"/>
        <v>N</v>
      </c>
      <c r="X171" s="187">
        <f t="shared" si="73"/>
        <v>1</v>
      </c>
      <c r="Y171" s="62">
        <f t="shared" si="60"/>
        <v>5.8615000000000004</v>
      </c>
      <c r="Z171" s="62">
        <f t="shared" si="74"/>
        <v>7.3999999999999996E-2</v>
      </c>
      <c r="AA171" s="62">
        <f t="shared" si="61"/>
        <v>5.7875000000000005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62"/>
        <v>1810-19</v>
      </c>
      <c r="AE171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71" s="82" t="str">
        <f t="shared" si="64"/>
        <v>"C:\Program Files (x86)\AstroGrep\AstroGrep.exe" /e /r /s /spath="%USERPROFILE%\AppData\Local\Temp\OnboardLogs" /stypes="app*4052*20170319*" /stext=" 16:.+((SYSTEM_STATE.+slice.+state.+changed )|(ment ac)|(multiple cpu faults)|(system.+state.+changed )|(\[timeout)|(PRM\|1\|D)|(kpr)|(kdp)|(\|lc)|(penalty))"</v>
      </c>
      <c r="AG171" s="1" t="str">
        <f t="shared" si="65"/>
        <v>NW</v>
      </c>
      <c r="AH171" s="86" t="str">
        <f t="shared" si="66"/>
        <v>"%USERPROFILE%\Documents\GitHub\eaglep3\Utilities\RefineRTDCRunTimes.py" --tripid 1810-19 --locoid 4052 --swversion DE.1.0.9.0 --startMP 300:58615 --initTime 2017-03-19T10:35:18 --startdatetime 2017-03-19T10:37:48 --delay 1 --endMP 204:740 --enddatetime 2017-03-19T10:53:39 --enforcementcount 0 &gt;&gt;%USERPROFILE%\Documents\GitHub\eaglep3-reporting\EC\2017-03-19-refined-times.txt</v>
      </c>
      <c r="AI171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{"issue":{"subject":"","project_id":79,"tracker_id":40,"status_id":1,"priority_id":2,"assigned_to_id":23,"start_date":"2017-03-19","description":"","custom_fields":[{"id":1,"name":"Subdivision","value":"NW"},{"id":4,"name":"Milepost","value":"0.074"},{"id":17,"name":"Train ID","value":"1810-19"},{"id":16,"name":"Locomotive ID","value":"4052"},{"id":130,"name":"Impact","value":""},{"id":150,"name":"Time of Event (Mountain Time)","value":"10:53:39"},{"id":151,"name":"Denver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68"/>
        <v>start /low /b %USERPROFILE%\Documents\GitHub\eaglep3\Utilities\DownloadLogsFromS3.py --loco 4052 --day 2017-03-19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"%USERPROFILE%\AppData\Local\Temp\OnboardLogs"\RTDC4052\*4052*20170319* | grep -SE "(Enforcement Action)|(\[TIMEOUT)|(CHR.+\|PRM\|1\|D.+(SWITCH|SIGNAL).+UNKNOWN)" - &gt;&gt; 2017-03-19-UncaughtWiMAX.txt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3" t="s">
        <v>676</v>
      </c>
      <c r="B172" s="7">
        <v>4051</v>
      </c>
      <c r="C172" s="21" t="s">
        <v>221</v>
      </c>
      <c r="D172" s="21" t="s">
        <v>864</v>
      </c>
      <c r="E172" s="13">
        <v>42813.454745370371</v>
      </c>
      <c r="F172" s="13">
        <v>42813.473090277781</v>
      </c>
      <c r="G172" s="7">
        <v>1</v>
      </c>
      <c r="H172" s="21" t="s">
        <v>865</v>
      </c>
      <c r="I172" s="13">
        <v>42813.481585648151</v>
      </c>
      <c r="J172" s="7">
        <v>0</v>
      </c>
      <c r="K172" s="98" t="str">
        <f t="shared" si="54"/>
        <v>4051/4052</v>
      </c>
      <c r="L172" s="21" t="str">
        <f>VLOOKUP(A172,'Trips&amp;Operators'!$C$1:$G$99999,5,FALSE)</f>
        <v>YORK EDGAR</v>
      </c>
      <c r="M172" s="6">
        <f t="shared" si="72"/>
        <v>8.4953703699284233E-3</v>
      </c>
      <c r="N172" s="7">
        <f t="shared" si="71"/>
        <v>12.23333333269693</v>
      </c>
      <c r="O172" s="7"/>
      <c r="P172" s="7"/>
      <c r="Q172" s="22"/>
      <c r="R172" s="22"/>
      <c r="S172" s="31">
        <f t="shared" si="70"/>
        <v>1</v>
      </c>
      <c r="T172" s="46" t="str">
        <f t="shared" si="56"/>
        <v>NorthBound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57"/>
        <v>https://d0f6bd738d7f1b3e5a7ca70fe4ff75f0.us-east-1.aws.found.io/app/kibana#/discover/Steve-Slow-Train-Analysis-(2080s-and-2083s)?_g=(refreshInterval:(display:Off,pause:!f,section:0,value:0),time:(from:'2017-03-19T09:54:50-0600',mode:absolute,to:'2017-03-19T12:33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2" s="187" t="str">
        <f t="shared" si="58"/>
        <v>N</v>
      </c>
      <c r="X172" s="187">
        <f t="shared" si="73"/>
        <v>1</v>
      </c>
      <c r="Y172" s="62">
        <f t="shared" si="60"/>
        <v>0.10349999999999999</v>
      </c>
      <c r="Z172" s="62">
        <f t="shared" si="74"/>
        <v>5.8936999999999999</v>
      </c>
      <c r="AA172" s="62">
        <f t="shared" si="61"/>
        <v>5.7901999999999996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62"/>
        <v>1811-19</v>
      </c>
      <c r="AE172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72" s="82" t="str">
        <f t="shared" si="64"/>
        <v>"C:\Program Files (x86)\AstroGrep\AstroGrep.exe" /e /r /s /spath="%USERPROFILE%\AppData\Local\Temp\OnboardLogs" /stypes="app*4051*20170319*" /stext=" 17:.+((SYSTEM_STATE.+slice.+state.+changed )|(ment ac)|(multiple cpu faults)|(system.+state.+changed )|(\[timeout)|(PRM\|1\|D)|(kpr)|(kdp)|(\|lc)|(penalty))"</v>
      </c>
      <c r="AG172" s="1" t="str">
        <f t="shared" si="65"/>
        <v>NW</v>
      </c>
      <c r="AH172" s="86" t="str">
        <f t="shared" si="66"/>
        <v>"%USERPROFILE%\Documents\GitHub\eaglep3\Utilities\RefineRTDCRunTimes.py" --tripid 1811-19 --locoid 4051 --swversion DE.1.0.9.0 --startMP 204:1035 --initTime 2017-03-19T10:54:50 --startdatetime 2017-03-19T11:21:15 --delay 1 --endMP 300:58937 --enddatetime 2017-03-19T11:33:29 --enforcementcount 0 &gt;&gt;%USERPROFILE%\Documents\GitHub\eaglep3-reporting\EC\2017-03-19-refined-times.txt</v>
      </c>
      <c r="AI172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{"issue":{"subject":"","project_id":79,"tracker_id":40,"status_id":1,"priority_id":2,"assigned_to_id":23,"start_date":"2017-03-19","description":"","custom_fields":[{"id":1,"name":"Subdivision","value":"NW"},{"id":4,"name":"Milepost","value":"5.8937"},{"id":17,"name":"Train ID","value":"1811-19"},{"id":16,"name":"Locomotive ID","value":"4051"},{"id":130,"name":"Impact","value":""},{"id":150,"name":"Time of Event (Mountain Time)","value":"11:33:29"},{"id":151,"name":"Denver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68"/>
        <v>start /low /b %USERPROFILE%\Documents\GitHub\eaglep3\Utilities\DownloadLogsFromS3.py --loco 4051 --day 2017-03-19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"%USERPROFILE%\AppData\Local\Temp\OnboardLogs"\RTDC4051\*4051*20170319* | grep -SE "(Enforcement Action)|(\[TIMEOUT)|(CHR.+\|PRM\|1\|D.+(SWITCH|SIGNAL).+UNKNOWN)" - &gt;&gt; 2017-03-19-UncaughtWiMAX.txt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3" t="s">
        <v>590</v>
      </c>
      <c r="B173" s="7">
        <v>4052</v>
      </c>
      <c r="C173" s="21" t="s">
        <v>221</v>
      </c>
      <c r="D173" s="21" t="s">
        <v>853</v>
      </c>
      <c r="E173" s="13">
        <v>42813.482627314814</v>
      </c>
      <c r="F173" s="13">
        <v>42813.485486111109</v>
      </c>
      <c r="G173" s="7">
        <v>1</v>
      </c>
      <c r="H173" s="21" t="s">
        <v>866</v>
      </c>
      <c r="I173" s="13">
        <v>42813.495995370373</v>
      </c>
      <c r="J173" s="7">
        <v>0</v>
      </c>
      <c r="K173" s="98" t="str">
        <f t="shared" si="54"/>
        <v>4051/4052</v>
      </c>
      <c r="L173" s="21" t="str">
        <f>VLOOKUP(A173,'Trips&amp;Operators'!$C$1:$G$99999,5,FALSE)</f>
        <v>YORK EDGAR</v>
      </c>
      <c r="M173" s="6">
        <f t="shared" si="72"/>
        <v>1.0509259263926651E-2</v>
      </c>
      <c r="N173" s="7">
        <f t="shared" si="71"/>
        <v>15.133333340054378</v>
      </c>
      <c r="O173" s="7"/>
      <c r="P173" s="7"/>
      <c r="Q173" s="22"/>
      <c r="R173" s="22"/>
      <c r="S173" s="31">
        <f t="shared" si="70"/>
        <v>1</v>
      </c>
      <c r="T173" s="46" t="str">
        <f t="shared" si="56"/>
        <v>Southbound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57"/>
        <v>https://d0f6bd738d7f1b3e5a7ca70fe4ff75f0.us-east-1.aws.found.io/app/kibana#/discover/Steve-Slow-Train-Analysis-(2080s-and-2083s)?_g=(refreshInterval:(display:Off,pause:!f,section:0,value:0),time:(from:'2017-03-19T10:34:59-0600',mode:absolute,to:'2017-03-19T12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3" s="187" t="str">
        <f t="shared" si="58"/>
        <v>N</v>
      </c>
      <c r="X173" s="187">
        <f t="shared" si="73"/>
        <v>1</v>
      </c>
      <c r="Y173" s="62">
        <f t="shared" si="60"/>
        <v>5.8619000000000003</v>
      </c>
      <c r="Z173" s="62">
        <f t="shared" si="74"/>
        <v>7.5899999999999995E-2</v>
      </c>
      <c r="AA173" s="62">
        <f t="shared" si="61"/>
        <v>5.7860000000000005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62"/>
        <v>1812-19</v>
      </c>
      <c r="AE173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73" s="82" t="str">
        <f t="shared" si="64"/>
        <v>"C:\Program Files (x86)\AstroGrep\AstroGrep.exe" /e /r /s /spath="%USERPROFILE%\AppData\Local\Temp\OnboardLogs" /stypes="app*4052*20170319*" /stext=" 17:.+((SYSTEM_STATE.+slice.+state.+changed )|(ment ac)|(multiple cpu faults)|(system.+state.+changed )|(\[timeout)|(PRM\|1\|D)|(kpr)|(kdp)|(\|lc)|(penalty))"</v>
      </c>
      <c r="AG173" s="1" t="str">
        <f t="shared" si="65"/>
        <v>NW</v>
      </c>
      <c r="AH173" s="86" t="str">
        <f t="shared" si="66"/>
        <v>"%USERPROFILE%\Documents\GitHub\eaglep3\Utilities\RefineRTDCRunTimes.py" --tripid 1812-19 --locoid 4052 --swversion DE.1.0.9.0 --startMP 300:58619 --initTime 2017-03-19T11:34:59 --startdatetime 2017-03-19T11:39:06 --delay 1 --endMP 204:759 --enddatetime 2017-03-19T11:54:14 --enforcementcount 0 &gt;&gt;%USERPROFILE%\Documents\GitHub\eaglep3-reporting\EC\2017-03-19-refined-times.txt</v>
      </c>
      <c r="AI173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{"issue":{"subject":"","project_id":79,"tracker_id":40,"status_id":1,"priority_id":2,"assigned_to_id":23,"start_date":"2017-03-19","description":"","custom_fields":[{"id":1,"name":"Subdivision","value":"NW"},{"id":4,"name":"Milepost","value":"0.0759"},{"id":17,"name":"Train ID","value":"1812-19"},{"id":16,"name":"Locomotive ID","value":"4052"},{"id":130,"name":"Impact","value":""},{"id":150,"name":"Time of Event (Mountain Time)","value":"11:54:14"},{"id":151,"name":"Denver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68"/>
        <v>start /low /b %USERPROFILE%\Documents\GitHub\eaglep3\Utilities\DownloadLogsFromS3.py --loco 4052 --day 2017-03-19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"%USERPROFILE%\AppData\Local\Temp\OnboardLogs"\RTDC4052\*4052*20170319* | grep -SE "(Enforcement Action)|(\[TIMEOUT)|(CHR.+\|PRM\|1\|D.+(SWITCH|SIGNAL).+UNKNOWN)" - &gt;&gt; 2017-03-19-UncaughtWiMAX.txt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687</v>
      </c>
      <c r="B174" s="7">
        <v>4051</v>
      </c>
      <c r="C174" s="21" t="s">
        <v>221</v>
      </c>
      <c r="D174" s="21" t="s">
        <v>856</v>
      </c>
      <c r="E174" s="13">
        <v>42813.497534722221</v>
      </c>
      <c r="F174" s="13">
        <v>42813.514849537038</v>
      </c>
      <c r="G174" s="7">
        <v>0</v>
      </c>
      <c r="H174" s="21" t="s">
        <v>559</v>
      </c>
      <c r="I174" s="13">
        <v>42813.523495370369</v>
      </c>
      <c r="J174" s="7">
        <v>0</v>
      </c>
      <c r="K174" s="98" t="str">
        <f t="shared" si="54"/>
        <v>4051/4052</v>
      </c>
      <c r="L174" s="21" t="str">
        <f>VLOOKUP(A174,'Trips&amp;Operators'!$C$1:$G$99999,5,FALSE)</f>
        <v>YORK EDGAR</v>
      </c>
      <c r="M174" s="6">
        <f t="shared" si="72"/>
        <v>8.6458333316841163E-3</v>
      </c>
      <c r="N174" s="7">
        <f t="shared" si="71"/>
        <v>12.449999997625127</v>
      </c>
      <c r="O174" s="7"/>
      <c r="P174" s="7"/>
      <c r="Q174" s="22"/>
      <c r="R174" s="22"/>
      <c r="S174" s="31">
        <f t="shared" si="70"/>
        <v>1</v>
      </c>
      <c r="T174" s="46" t="str">
        <f t="shared" si="56"/>
        <v>NorthBound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57"/>
        <v>https://d0f6bd738d7f1b3e5a7ca70fe4ff75f0.us-east-1.aws.found.io/app/kibana#/discover/Steve-Slow-Train-Analysis-(2080s-and-2083s)?_g=(refreshInterval:(display:Off,pause:!f,section:0,value:0),time:(from:'2017-03-19T10:56:27-0600',mode:absolute,to:'2017-03-19T13:33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4" s="187" t="str">
        <f t="shared" si="58"/>
        <v>N</v>
      </c>
      <c r="X174" s="187">
        <f t="shared" si="73"/>
        <v>1</v>
      </c>
      <c r="Y174" s="62">
        <f t="shared" si="60"/>
        <v>0.1046</v>
      </c>
      <c r="Z174" s="62">
        <f t="shared" si="74"/>
        <v>5.8929</v>
      </c>
      <c r="AA174" s="62">
        <f t="shared" si="61"/>
        <v>5.7883000000000004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62"/>
        <v>1813-19</v>
      </c>
      <c r="AE174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74" s="82" t="str">
        <f t="shared" si="64"/>
        <v>"C:\Program Files (x86)\AstroGrep\AstroGrep.exe" /e /r /s /spath="%USERPROFILE%\AppData\Local\Temp\OnboardLogs" /stypes="app*4051*20170319*" /stext=" 18:.+((SYSTEM_STATE.+slice.+state.+changed )|(ment ac)|(multiple cpu faults)|(system.+state.+changed )|(\[timeout)|(PRM\|1\|D)|(kpr)|(kdp)|(\|lc)|(penalty))"</v>
      </c>
      <c r="AG174" s="1" t="str">
        <f t="shared" si="65"/>
        <v>NW</v>
      </c>
      <c r="AH174" s="86" t="str">
        <f t="shared" si="66"/>
        <v>"%USERPROFILE%\Documents\GitHub\eaglep3\Utilities\RefineRTDCRunTimes.py" --tripid 1813-19 --locoid 4051 --swversion DE.1.0.9.0 --startMP 204:1046 --initTime 2017-03-19T11:56:27 --startdatetime 2017-03-19T12:21:23 --delay 0 --endMP 300:58929 --enddatetime 2017-03-19T12:33:50 --enforcementcount 0 &gt;&gt;%USERPROFILE%\Documents\GitHub\eaglep3-reporting\EC\2017-03-19-refined-times.txt</v>
      </c>
      <c r="AI174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{"issue":{"subject":"","project_id":79,"tracker_id":40,"status_id":1,"priority_id":2,"assigned_to_id":23,"start_date":"2017-03-19","description":"","custom_fields":[{"id":1,"name":"Subdivision","value":"NW"},{"id":4,"name":"Milepost","value":"5.8929"},{"id":17,"name":"Train ID","value":"1813-19"},{"id":16,"name":"Locomotive ID","value":"4051"},{"id":130,"name":"Impact","value":""},{"id":150,"name":"Time of Event (Mountain Time)","value":"12:33:50"},{"id":151,"name":"Denver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68"/>
        <v>start /low /b %USERPROFILE%\Documents\GitHub\eaglep3\Utilities\DownloadLogsFromS3.py --loco 4051 --day 2017-03-19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"%USERPROFILE%\AppData\Local\Temp\OnboardLogs"\RTDC4051\*4051*20170319* | grep -SE "(Enforcement Action)|(\[TIMEOUT)|(CHR.+\|PRM\|1\|D.+(SWITCH|SIGNAL).+UNKNOWN)" - &gt;&gt; 2017-03-19-UncaughtWiMAX.txt</v>
      </c>
    </row>
    <row r="175" spans="1:91" s="20" customFormat="1" x14ac:dyDescent="0.25">
      <c r="A175" s="33" t="s">
        <v>593</v>
      </c>
      <c r="B175" s="7">
        <v>4052</v>
      </c>
      <c r="C175" s="21" t="s">
        <v>221</v>
      </c>
      <c r="D175" s="21" t="s">
        <v>482</v>
      </c>
      <c r="E175" s="13">
        <v>42813.524293981478</v>
      </c>
      <c r="F175" s="13">
        <v>42813.527384259258</v>
      </c>
      <c r="G175" s="7">
        <v>1</v>
      </c>
      <c r="H175" s="21" t="s">
        <v>867</v>
      </c>
      <c r="I175" s="13">
        <v>42813.537407407406</v>
      </c>
      <c r="J175" s="7">
        <v>0</v>
      </c>
      <c r="K175" s="98" t="str">
        <f t="shared" si="54"/>
        <v>4051/4052</v>
      </c>
      <c r="L175" s="21" t="str">
        <f>VLOOKUP(A175,'Trips&amp;Operators'!$C$1:$G$99999,5,FALSE)</f>
        <v>YORK EDGAR</v>
      </c>
      <c r="M175" s="6">
        <f t="shared" si="72"/>
        <v>1.0023148148320615E-2</v>
      </c>
      <c r="N175" s="7">
        <f t="shared" si="71"/>
        <v>14.433333333581686</v>
      </c>
      <c r="O175" s="7"/>
      <c r="P175" s="7"/>
      <c r="Q175" s="22"/>
      <c r="R175" s="22"/>
      <c r="S175" s="31">
        <f t="shared" ref="S175:S206" si="75">SUM(U175:U175)/IF(AG175="EC",12,1)</f>
        <v>1</v>
      </c>
      <c r="T175" s="46" t="str">
        <f t="shared" si="56"/>
        <v>Southbound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57"/>
        <v>https://d0f6bd738d7f1b3e5a7ca70fe4ff75f0.us-east-1.aws.found.io/app/kibana#/discover/Steve-Slow-Train-Analysis-(2080s-and-2083s)?_g=(refreshInterval:(display:Off,pause:!f,section:0,value:0),time:(from:'2017-03-19T11:34:59-0600',mode:absolute,to:'2017-03-19T13:53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5" s="187" t="str">
        <f t="shared" si="58"/>
        <v>N</v>
      </c>
      <c r="X175" s="187">
        <f t="shared" si="73"/>
        <v>1</v>
      </c>
      <c r="Y175" s="62">
        <f t="shared" si="60"/>
        <v>5.8613</v>
      </c>
      <c r="Z175" s="62">
        <f t="shared" si="74"/>
        <v>7.9200000000000007E-2</v>
      </c>
      <c r="AA175" s="62">
        <f t="shared" si="61"/>
        <v>5.7820999999999998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62"/>
        <v>1814-19</v>
      </c>
      <c r="AE175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75" s="82" t="str">
        <f t="shared" si="64"/>
        <v>"C:\Program Files (x86)\AstroGrep\AstroGrep.exe" /e /r /s /spath="%USERPROFILE%\AppData\Local\Temp\OnboardLogs" /stypes="app*4052*20170319*" /stext=" 18:.+((SYSTEM_STATE.+slice.+state.+changed )|(ment ac)|(multiple cpu faults)|(system.+state.+changed )|(\[timeout)|(PRM\|1\|D)|(kpr)|(kdp)|(\|lc)|(penalty))"</v>
      </c>
      <c r="AG175" s="1" t="str">
        <f t="shared" si="65"/>
        <v>NW</v>
      </c>
      <c r="AH175" s="86" t="str">
        <f t="shared" si="66"/>
        <v>"%USERPROFILE%\Documents\GitHub\eaglep3\Utilities\RefineRTDCRunTimes.py" --tripid 1814-19 --locoid 4052 --swversion DE.1.0.9.0 --startMP 300:58613 --initTime 2017-03-19T12:34:59 --startdatetime 2017-03-19T12:39:26 --delay 1 --endMP 204:792 --enddatetime 2017-03-19T12:53:52 --enforcementcount 0 &gt;&gt;%USERPROFILE%\Documents\GitHub\eaglep3-reporting\EC\2017-03-19-refined-times.txt</v>
      </c>
      <c r="AI175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{"issue":{"subject":"","project_id":79,"tracker_id":40,"status_id":1,"priority_id":2,"assigned_to_id":23,"start_date":"2017-03-19","description":"","custom_fields":[{"id":1,"name":"Subdivision","value":"NW"},{"id":4,"name":"Milepost","value":"0.0792"},{"id":17,"name":"Train ID","value":"1814-19"},{"id":16,"name":"Locomotive ID","value":"4052"},{"id":130,"name":"Impact","value":""},{"id":150,"name":"Time of Event (Mountain Time)","value":"12:53:52"},{"id":151,"name":"Denver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68"/>
        <v>start /low /b %USERPROFILE%\Documents\GitHub\eaglep3\Utilities\DownloadLogsFromS3.py --loco 4052 --day 2017-03-19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"%USERPROFILE%\AppData\Local\Temp\OnboardLogs"\RTDC4052\*4052*20170319* | grep -SE "(Enforcement Action)|(\[TIMEOUT)|(CHR.+\|PRM\|1\|D.+(SWITCH|SIGNAL).+UNKNOWN)" - &gt;&gt; 2017-03-19-UncaughtWiMAX.txt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697</v>
      </c>
      <c r="B176" s="7">
        <v>4051</v>
      </c>
      <c r="C176" s="21" t="s">
        <v>221</v>
      </c>
      <c r="D176" s="21" t="s">
        <v>868</v>
      </c>
      <c r="E176" s="13">
        <v>42813.54246527778</v>
      </c>
      <c r="F176" s="13">
        <v>42813.556527777779</v>
      </c>
      <c r="G176" s="7">
        <v>0</v>
      </c>
      <c r="H176" s="21" t="s">
        <v>455</v>
      </c>
      <c r="I176" s="13">
        <v>42813.565011574072</v>
      </c>
      <c r="J176" s="7">
        <v>0</v>
      </c>
      <c r="K176" s="98" t="str">
        <f t="shared" si="54"/>
        <v>4051/4052</v>
      </c>
      <c r="L176" s="21" t="str">
        <f>VLOOKUP(A176,'Trips&amp;Operators'!$C$1:$G$99999,5,FALSE)</f>
        <v>YORK EDGAR</v>
      </c>
      <c r="M176" s="6">
        <f t="shared" si="72"/>
        <v>8.4837962931487709E-3</v>
      </c>
      <c r="N176" s="7">
        <f t="shared" si="71"/>
        <v>12.21666666213423</v>
      </c>
      <c r="O176" s="7"/>
      <c r="P176" s="7"/>
      <c r="Q176" s="22"/>
      <c r="R176" s="22"/>
      <c r="S176" s="31">
        <f t="shared" si="75"/>
        <v>1</v>
      </c>
      <c r="T176" s="46" t="str">
        <f t="shared" si="56"/>
        <v>NorthBound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57"/>
        <v>https://d0f6bd738d7f1b3e5a7ca70fe4ff75f0.us-east-1.aws.found.io/app/kibana#/discover/Steve-Slow-Train-Analysis-(2080s-and-2083s)?_g=(refreshInterval:(display:Off,pause:!f,section:0,value:0),time:(from:'2017-03-19T12:01:09-0600',mode:absolute,to:'2017-03-19T14:33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6" s="187" t="str">
        <f t="shared" si="58"/>
        <v>N</v>
      </c>
      <c r="X176" s="187">
        <f t="shared" si="73"/>
        <v>1</v>
      </c>
      <c r="Y176" s="62">
        <f t="shared" si="60"/>
        <v>0.1079</v>
      </c>
      <c r="Z176" s="62">
        <f t="shared" si="74"/>
        <v>5.8935000000000004</v>
      </c>
      <c r="AA176" s="62">
        <f t="shared" si="61"/>
        <v>5.7856000000000005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62"/>
        <v>1815-19</v>
      </c>
      <c r="AE176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76" s="82" t="str">
        <f t="shared" si="64"/>
        <v>"C:\Program Files (x86)\AstroGrep\AstroGrep.exe" /e /r /s /spath="%USERPROFILE%\AppData\Local\Temp\OnboardLogs" /stypes="app*4051*20170319*" /stext=" 19:.+((SYSTEM_STATE.+slice.+state.+changed )|(ment ac)|(multiple cpu faults)|(system.+state.+changed )|(\[timeout)|(PRM\|1\|D)|(kpr)|(kdp)|(\|lc)|(penalty))"</v>
      </c>
      <c r="AG176" s="1" t="str">
        <f t="shared" si="65"/>
        <v>NW</v>
      </c>
      <c r="AH176" s="86" t="str">
        <f t="shared" si="66"/>
        <v>"%USERPROFILE%\Documents\GitHub\eaglep3\Utilities\RefineRTDCRunTimes.py" --tripid 1815-19 --locoid 4051 --swversion DE.1.0.9.0 --startMP 204:1079 --initTime 2017-03-19T13:01:09 --startdatetime 2017-03-19T13:21:24 --delay 0 --endMP 300:58935 --enddatetime 2017-03-19T13:33:37 --enforcementcount 0 &gt;&gt;%USERPROFILE%\Documents\GitHub\eaglep3-reporting\EC\2017-03-19-refined-times.txt</v>
      </c>
      <c r="AI176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{"issue":{"subject":"","project_id":79,"tracker_id":40,"status_id":1,"priority_id":2,"assigned_to_id":23,"start_date":"2017-03-19","description":"","custom_fields":[{"id":1,"name":"Subdivision","value":"NW"},{"id":4,"name":"Milepost","value":"5.8935"},{"id":17,"name":"Train ID","value":"1815-19"},{"id":16,"name":"Locomotive ID","value":"4051"},{"id":130,"name":"Impact","value":""},{"id":150,"name":"Time of Event (Mountain Time)","value":"13:33:37"},{"id":151,"name":"Denver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68"/>
        <v>start /low /b %USERPROFILE%\Documents\GitHub\eaglep3\Utilities\DownloadLogsFromS3.py --loco 4051 --day 2017-03-19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"%USERPROFILE%\AppData\Local\Temp\OnboardLogs"\RTDC4051\*4051*20170319* | grep -SE "(Enforcement Action)|(\[TIMEOUT)|(CHR.+\|PRM\|1\|D.+(SWITCH|SIGNAL).+UNKNOWN)" - &gt;&gt; 2017-03-19-UncaughtWiMAX.txt</v>
      </c>
    </row>
    <row r="177" spans="1:91" s="20" customFormat="1" x14ac:dyDescent="0.25">
      <c r="A177" s="33" t="s">
        <v>701</v>
      </c>
      <c r="B177" s="7">
        <v>4052</v>
      </c>
      <c r="C177" s="21" t="s">
        <v>221</v>
      </c>
      <c r="D177" s="21" t="s">
        <v>869</v>
      </c>
      <c r="E177" s="13">
        <v>42813.565717592595</v>
      </c>
      <c r="F177" s="13">
        <v>42813.568124999998</v>
      </c>
      <c r="G177" s="7">
        <v>1</v>
      </c>
      <c r="H177" s="21" t="s">
        <v>870</v>
      </c>
      <c r="I177" s="13">
        <v>42813.578969907408</v>
      </c>
      <c r="J177" s="7">
        <v>0</v>
      </c>
      <c r="K177" s="98" t="str">
        <f t="shared" si="54"/>
        <v>4051/4052</v>
      </c>
      <c r="L177" s="21" t="str">
        <f>VLOOKUP(A177,'Trips&amp;Operators'!$C$1:$G$99999,5,FALSE)</f>
        <v>YORK EDGAR</v>
      </c>
      <c r="M177" s="6">
        <f t="shared" si="72"/>
        <v>1.0844907410501037E-2</v>
      </c>
      <c r="N177" s="7">
        <f t="shared" si="71"/>
        <v>15.616666671121493</v>
      </c>
      <c r="O177" s="7"/>
      <c r="P177" s="7"/>
      <c r="Q177" s="22"/>
      <c r="R177" s="22"/>
      <c r="S177" s="31">
        <f t="shared" si="75"/>
        <v>1</v>
      </c>
      <c r="T177" s="46" t="str">
        <f t="shared" si="56"/>
        <v>Southbound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57"/>
        <v>https://d0f6bd738d7f1b3e5a7ca70fe4ff75f0.us-east-1.aws.found.io/app/kibana#/discover/Steve-Slow-Train-Analysis-(2080s-and-2083s)?_g=(refreshInterval:(display:Off,pause:!f,section:0,value:0),time:(from:'2017-03-19T12:34:38-0600',mode:absolute,to:'2017-03-19T14:53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7" s="187" t="str">
        <f t="shared" si="58"/>
        <v>N</v>
      </c>
      <c r="X177" s="187">
        <f t="shared" si="73"/>
        <v>1</v>
      </c>
      <c r="Y177" s="62">
        <f t="shared" si="60"/>
        <v>5.8611000000000004</v>
      </c>
      <c r="Z177" s="62">
        <f t="shared" si="74"/>
        <v>7.6799999999999993E-2</v>
      </c>
      <c r="AA177" s="62">
        <f t="shared" si="61"/>
        <v>5.7843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62"/>
        <v>1816-19</v>
      </c>
      <c r="AE177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77" s="82" t="str">
        <f t="shared" si="64"/>
        <v>"C:\Program Files (x86)\AstroGrep\AstroGrep.exe" /e /r /s /spath="%USERPROFILE%\AppData\Local\Temp\OnboardLogs" /stypes="app*4052*20170319*" /stext=" 19:.+((SYSTEM_STATE.+slice.+state.+changed )|(ment ac)|(multiple cpu faults)|(system.+state.+changed )|(\[timeout)|(PRM\|1\|D)|(kpr)|(kdp)|(\|lc)|(penalty))"</v>
      </c>
      <c r="AG177" s="1" t="str">
        <f t="shared" si="65"/>
        <v>NW</v>
      </c>
      <c r="AH177" s="86" t="str">
        <f t="shared" si="66"/>
        <v>"%USERPROFILE%\Documents\GitHub\eaglep3\Utilities\RefineRTDCRunTimes.py" --tripid 1816-19 --locoid 4052 --swversion DE.1.0.9.0 --startMP 300:58611 --initTime 2017-03-19T13:34:38 --startdatetime 2017-03-19T13:38:06 --delay 1 --endMP 204:768 --enddatetime 2017-03-19T13:53:43 --enforcementcount 0 &gt;&gt;%USERPROFILE%\Documents\GitHub\eaglep3-reporting\EC\2017-03-19-refined-times.txt</v>
      </c>
      <c r="AI177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{"issue":{"subject":"","project_id":79,"tracker_id":40,"status_id":1,"priority_id":2,"assigned_to_id":23,"start_date":"2017-03-19","description":"","custom_fields":[{"id":1,"name":"Subdivision","value":"NW"},{"id":4,"name":"Milepost","value":"0.0768"},{"id":17,"name":"Train ID","value":"1816-19"},{"id":16,"name":"Locomotive ID","value":"4052"},{"id":130,"name":"Impact","value":""},{"id":150,"name":"Time of Event (Mountain Time)","value":"13:53:43"},{"id":151,"name":"Denver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68"/>
        <v>start /low /b %USERPROFILE%\Documents\GitHub\eaglep3\Utilities\DownloadLogsFromS3.py --loco 4052 --day 2017-03-19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"%USERPROFILE%\AppData\Local\Temp\OnboardLogs"\RTDC4052\*4052*20170319* | grep -SE "(Enforcement Action)|(\[TIMEOUT)|(CHR.+\|PRM\|1\|D.+(SWITCH|SIGNAL).+UNKNOWN)" - &gt;&gt; 2017-03-19-UncaughtWiMAX.txt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3" t="s">
        <v>706</v>
      </c>
      <c r="B178" s="7">
        <v>4051</v>
      </c>
      <c r="C178" s="21" t="s">
        <v>221</v>
      </c>
      <c r="D178" s="21" t="s">
        <v>871</v>
      </c>
      <c r="E178" s="13">
        <v>42813.591006944444</v>
      </c>
      <c r="F178" s="13">
        <v>42813.599351851852</v>
      </c>
      <c r="G178" s="7">
        <v>2</v>
      </c>
      <c r="H178" s="21" t="s">
        <v>865</v>
      </c>
      <c r="I178" s="13">
        <v>42813.608460648145</v>
      </c>
      <c r="J178" s="7">
        <v>0</v>
      </c>
      <c r="K178" s="98" t="str">
        <f t="shared" si="54"/>
        <v>4051/4052</v>
      </c>
      <c r="L178" s="21" t="str">
        <f>VLOOKUP(A178,'Trips&amp;Operators'!$C$1:$G$99999,5,FALSE)</f>
        <v>HELVIE ADAM</v>
      </c>
      <c r="M178" s="6">
        <f t="shared" si="72"/>
        <v>9.1087962937308475E-3</v>
      </c>
      <c r="N178" s="7">
        <f t="shared" si="71"/>
        <v>13.11666666297242</v>
      </c>
      <c r="O178" s="7"/>
      <c r="P178" s="7"/>
      <c r="Q178" s="22"/>
      <c r="R178" s="22"/>
      <c r="S178" s="31">
        <f t="shared" si="75"/>
        <v>1</v>
      </c>
      <c r="T178" s="46" t="str">
        <f t="shared" si="56"/>
        <v>NorthBound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57"/>
        <v>https://d0f6bd738d7f1b3e5a7ca70fe4ff75f0.us-east-1.aws.found.io/app/kibana#/discover/Steve-Slow-Train-Analysis-(2080s-and-2083s)?_g=(refreshInterval:(display:Off,pause:!f,section:0,value:0),time:(from:'2017-03-19T13:11:03-0600',mode:absolute,to:'2017-03-19T15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8" s="187" t="str">
        <f t="shared" si="58"/>
        <v>N</v>
      </c>
      <c r="X178" s="187">
        <f t="shared" si="73"/>
        <v>1</v>
      </c>
      <c r="Y178" s="62">
        <f t="shared" si="60"/>
        <v>0.1074</v>
      </c>
      <c r="Z178" s="62">
        <f t="shared" si="74"/>
        <v>5.8936999999999999</v>
      </c>
      <c r="AA178" s="62">
        <f t="shared" si="61"/>
        <v>5.7862999999999998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62"/>
        <v>1817-19</v>
      </c>
      <c r="AE178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78" s="82" t="str">
        <f t="shared" si="64"/>
        <v>"C:\Program Files (x86)\AstroGrep\AstroGrep.exe" /e /r /s /spath="%USERPROFILE%\AppData\Local\Temp\OnboardLogs" /stypes="app*4051*20170319*" /stext=" 20:.+((SYSTEM_STATE.+slice.+state.+changed )|(ment ac)|(multiple cpu faults)|(system.+state.+changed )|(\[timeout)|(PRM\|1\|D)|(kpr)|(kdp)|(\|lc)|(penalty))"</v>
      </c>
      <c r="AG178" s="1" t="str">
        <f t="shared" si="65"/>
        <v>NW</v>
      </c>
      <c r="AH178" s="86" t="str">
        <f t="shared" si="66"/>
        <v>"%USERPROFILE%\Documents\GitHub\eaglep3\Utilities\RefineRTDCRunTimes.py" --tripid 1817-19 --locoid 4051 --swversion DE.1.0.9.0 --startMP 204:1074 --initTime 2017-03-19T14:11:03 --startdatetime 2017-03-19T14:23:04 --delay 2 --endMP 300:58937 --enddatetime 2017-03-19T14:36:11 --enforcementcount 0 &gt;&gt;%USERPROFILE%\Documents\GitHub\eaglep3-reporting\EC\2017-03-19-refined-times.txt</v>
      </c>
      <c r="AI178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{"issue":{"subject":"","project_id":79,"tracker_id":40,"status_id":1,"priority_id":2,"assigned_to_id":23,"start_date":"2017-03-19","description":"","custom_fields":[{"id":1,"name":"Subdivision","value":"NW"},{"id":4,"name":"Milepost","value":"5.8937"},{"id":17,"name":"Train ID","value":"1817-19"},{"id":16,"name":"Locomotive ID","value":"4051"},{"id":130,"name":"Impact","value":""},{"id":150,"name":"Time of Event (Mountain Time)","value":"14:36:11"},{"id":151,"name":"Denver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68"/>
        <v>start /low /b %USERPROFILE%\Documents\GitHub\eaglep3\Utilities\DownloadLogsFromS3.py --loco 4051 --day 2017-03-19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"%USERPROFILE%\AppData\Local\Temp\OnboardLogs"\RTDC4051\*4051*20170319* | grep -SE "(Enforcement Action)|(\[TIMEOUT)|(CHR.+\|PRM\|1\|D.+(SWITCH|SIGNAL).+UNKNOWN)" - &gt;&gt; 2017-03-19-UncaughtWiMAX.txt</v>
      </c>
    </row>
    <row r="179" spans="1:91" s="20" customFormat="1" x14ac:dyDescent="0.25">
      <c r="A179" s="33" t="s">
        <v>709</v>
      </c>
      <c r="B179" s="7">
        <v>4052</v>
      </c>
      <c r="C179" s="21" t="s">
        <v>221</v>
      </c>
      <c r="D179" s="21" t="s">
        <v>872</v>
      </c>
      <c r="E179" s="13">
        <v>42813.609618055554</v>
      </c>
      <c r="F179" s="13">
        <v>42813.611909722225</v>
      </c>
      <c r="G179" s="7">
        <v>1</v>
      </c>
      <c r="H179" s="21" t="s">
        <v>556</v>
      </c>
      <c r="I179" s="13">
        <v>42813.621157407404</v>
      </c>
      <c r="J179" s="7">
        <v>0</v>
      </c>
      <c r="K179" s="98" t="str">
        <f t="shared" si="54"/>
        <v>4051/4052</v>
      </c>
      <c r="L179" s="21" t="str">
        <f>VLOOKUP(A179,'Trips&amp;Operators'!$C$1:$G$99999,5,FALSE)</f>
        <v>HELVIE ADAM</v>
      </c>
      <c r="M179" s="6">
        <f t="shared" si="72"/>
        <v>9.2476851787068881E-3</v>
      </c>
      <c r="N179" s="7">
        <f t="shared" si="71"/>
        <v>13.316666657337919</v>
      </c>
      <c r="O179" s="7"/>
      <c r="P179" s="7"/>
      <c r="Q179" s="22"/>
      <c r="R179" s="22"/>
      <c r="S179" s="31">
        <f t="shared" si="75"/>
        <v>1</v>
      </c>
      <c r="T179" s="46" t="str">
        <f t="shared" si="56"/>
        <v>Southbound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57"/>
        <v>https://d0f6bd738d7f1b3e5a7ca70fe4ff75f0.us-east-1.aws.found.io/app/kibana#/discover/Steve-Slow-Train-Analysis-(2080s-and-2083s)?_g=(refreshInterval:(display:Off,pause:!f,section:0,value:0),time:(from:'2017-03-19T13:37:51-0600',mode:absolute,to:'2017-03-19T15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9" s="187" t="str">
        <f t="shared" si="58"/>
        <v>N</v>
      </c>
      <c r="X179" s="187">
        <f t="shared" si="73"/>
        <v>1</v>
      </c>
      <c r="Y179" s="62">
        <f t="shared" si="60"/>
        <v>5.8609</v>
      </c>
      <c r="Z179" s="62">
        <f t="shared" si="74"/>
        <v>7.4700000000000003E-2</v>
      </c>
      <c r="AA179" s="62">
        <f t="shared" si="61"/>
        <v>5.7862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62"/>
        <v>1818-19</v>
      </c>
      <c r="AE179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79" s="82" t="str">
        <f t="shared" si="64"/>
        <v>"C:\Program Files (x86)\AstroGrep\AstroGrep.exe" /e /r /s /spath="%USERPROFILE%\AppData\Local\Temp\OnboardLogs" /stypes="app*4052*20170319*" /stext=" 20:.+((SYSTEM_STATE.+slice.+state.+changed )|(ment ac)|(multiple cpu faults)|(system.+state.+changed )|(\[timeout)|(PRM\|1\|D)|(kpr)|(kdp)|(\|lc)|(penalty))"</v>
      </c>
      <c r="AG179" s="1" t="str">
        <f t="shared" si="65"/>
        <v>NW</v>
      </c>
      <c r="AH179" s="86" t="str">
        <f t="shared" si="66"/>
        <v>"%USERPROFILE%\Documents\GitHub\eaglep3\Utilities\RefineRTDCRunTimes.py" --tripid 1818-19 --locoid 4052 --swversion DE.1.0.9.0 --startMP 300:58609 --initTime 2017-03-19T14:37:51 --startdatetime 2017-03-19T14:41:09 --delay 1 --endMP 204:747 --enddatetime 2017-03-19T14:54:28 --enforcementcount 0 &gt;&gt;%USERPROFILE%\Documents\GitHub\eaglep3-reporting\EC\2017-03-19-refined-times.txt</v>
      </c>
      <c r="AI179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{"issue":{"subject":"","project_id":79,"tracker_id":40,"status_id":1,"priority_id":2,"assigned_to_id":23,"start_date":"2017-03-19","description":"","custom_fields":[{"id":1,"name":"Subdivision","value":"NW"},{"id":4,"name":"Milepost","value":"0.0747"},{"id":17,"name":"Train ID","value":"1818-19"},{"id":16,"name":"Locomotive ID","value":"4052"},{"id":130,"name":"Impact","value":""},{"id":150,"name":"Time of Event (Mountain Time)","value":"14:54:28"},{"id":151,"name":"Denver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68"/>
        <v>start /low /b %USERPROFILE%\Documents\GitHub\eaglep3\Utilities\DownloadLogsFromS3.py --loco 4052 --day 2017-03-19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"%USERPROFILE%\AppData\Local\Temp\OnboardLogs"\RTDC4052\*4052*20170319* | grep -SE "(Enforcement Action)|(\[TIMEOUT)|(CHR.+\|PRM\|1\|D.+(SWITCH|SIGNAL).+UNKNOWN)" - &gt;&gt; 2017-03-19-UncaughtWiMAX.txt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3" t="s">
        <v>715</v>
      </c>
      <c r="B180" s="7">
        <v>4051</v>
      </c>
      <c r="C180" s="21" t="s">
        <v>221</v>
      </c>
      <c r="D180" s="21" t="s">
        <v>873</v>
      </c>
      <c r="E180" s="13">
        <v>42813.636689814812</v>
      </c>
      <c r="F180" s="13">
        <v>42813.639861111114</v>
      </c>
      <c r="G180" s="7">
        <v>1</v>
      </c>
      <c r="H180" s="21" t="s">
        <v>558</v>
      </c>
      <c r="I180" s="13">
        <v>42813.649189814816</v>
      </c>
      <c r="J180" s="7">
        <v>0</v>
      </c>
      <c r="K180" s="98" t="str">
        <f t="shared" si="54"/>
        <v>4051/4052</v>
      </c>
      <c r="L180" s="21" t="str">
        <f>VLOOKUP(A180,'Trips&amp;Operators'!$C$1:$G$99999,5,FALSE)</f>
        <v>HELVIE ADAM</v>
      </c>
      <c r="M180" s="6">
        <f t="shared" si="72"/>
        <v>9.3287037016125396E-3</v>
      </c>
      <c r="N180" s="7">
        <f t="shared" si="71"/>
        <v>13.433333330322057</v>
      </c>
      <c r="O180" s="7"/>
      <c r="P180" s="7"/>
      <c r="Q180" s="22"/>
      <c r="R180" s="22"/>
      <c r="S180" s="31">
        <f t="shared" si="75"/>
        <v>1</v>
      </c>
      <c r="T180" s="46" t="str">
        <f t="shared" si="56"/>
        <v>NorthBound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57"/>
        <v>https://d0f6bd738d7f1b3e5a7ca70fe4ff75f0.us-east-1.aws.found.io/app/kibana#/discover/Steve-Slow-Train-Analysis-(2080s-and-2083s)?_g=(refreshInterval:(display:Off,pause:!f,section:0,value:0),time:(from:'2017-03-19T14:16:50-0600',mode:absolute,to:'2017-03-19T16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0" s="187" t="str">
        <f t="shared" si="58"/>
        <v>N</v>
      </c>
      <c r="X180" s="187">
        <f t="shared" si="73"/>
        <v>1</v>
      </c>
      <c r="Y180" s="62">
        <f t="shared" si="60"/>
        <v>0.10489999999999999</v>
      </c>
      <c r="Z180" s="62">
        <f t="shared" si="74"/>
        <v>5.8943000000000003</v>
      </c>
      <c r="AA180" s="62">
        <f t="shared" si="61"/>
        <v>5.7894000000000005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62"/>
        <v>1819-19</v>
      </c>
      <c r="AE180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80" s="82" t="str">
        <f t="shared" si="64"/>
        <v>"C:\Program Files (x86)\AstroGrep\AstroGrep.exe" /e /r /s /spath="%USERPROFILE%\AppData\Local\Temp\OnboardLogs" /stypes="app*4051*20170319*" /stext=" 21:.+((SYSTEM_STATE.+slice.+state.+changed )|(ment ac)|(multiple cpu faults)|(system.+state.+changed )|(\[timeout)|(PRM\|1\|D)|(kpr)|(kdp)|(\|lc)|(penalty))"</v>
      </c>
      <c r="AG180" s="1" t="str">
        <f t="shared" si="65"/>
        <v>NW</v>
      </c>
      <c r="AH180" s="86" t="str">
        <f t="shared" si="66"/>
        <v>"%USERPROFILE%\Documents\GitHub\eaglep3\Utilities\RefineRTDCRunTimes.py" --tripid 1819-19 --locoid 4051 --swversion DE.1.0.9.0 --startMP 204:1049 --initTime 2017-03-19T15:16:50 --startdatetime 2017-03-19T15:21:24 --delay 1 --endMP 300:58943 --enddatetime 2017-03-19T15:34:50 --enforcementcount 0 &gt;&gt;%USERPROFILE%\Documents\GitHub\eaglep3-reporting\EC\2017-03-19-refined-times.txt</v>
      </c>
      <c r="AI180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{"issue":{"subject":"","project_id":79,"tracker_id":40,"status_id":1,"priority_id":2,"assigned_to_id":23,"start_date":"2017-03-19","description":"","custom_fields":[{"id":1,"name":"Subdivision","value":"NW"},{"id":4,"name":"Milepost","value":"5.8943"},{"id":17,"name":"Train ID","value":"1819-19"},{"id":16,"name":"Locomotive ID","value":"4051"},{"id":130,"name":"Impact","value":""},{"id":150,"name":"Time of Event (Mountain Time)","value":"15:34:50"},{"id":151,"name":"Denver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68"/>
        <v>start /low /b %USERPROFILE%\Documents\GitHub\eaglep3\Utilities\DownloadLogsFromS3.py --loco 4051 --day 2017-03-19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"%USERPROFILE%\AppData\Local\Temp\OnboardLogs"\RTDC4051\*4051*20170319* | grep -SE "(Enforcement Action)|(\[TIMEOUT)|(CHR.+\|PRM\|1\|D.+(SWITCH|SIGNAL).+UNKNOWN)" - &gt;&gt; 2017-03-19-UncaughtWiMAX.txt</v>
      </c>
    </row>
    <row r="181" spans="1:91" x14ac:dyDescent="0.25">
      <c r="A181" s="33" t="s">
        <v>597</v>
      </c>
      <c r="B181" s="7">
        <v>4052</v>
      </c>
      <c r="C181" s="21" t="s">
        <v>221</v>
      </c>
      <c r="D181" s="21" t="s">
        <v>457</v>
      </c>
      <c r="E181" s="13">
        <v>42813.652951388889</v>
      </c>
      <c r="F181" s="13">
        <v>42813.655381944445</v>
      </c>
      <c r="G181" s="7">
        <v>2</v>
      </c>
      <c r="H181" s="21" t="s">
        <v>870</v>
      </c>
      <c r="I181" s="13">
        <v>42813.665046296293</v>
      </c>
      <c r="J181" s="7">
        <v>0</v>
      </c>
      <c r="K181" s="98" t="str">
        <f t="shared" si="54"/>
        <v>4051/4052</v>
      </c>
      <c r="L181" s="21" t="str">
        <f>VLOOKUP(A181,'Trips&amp;Operators'!$C$1:$G$99999,5,FALSE)</f>
        <v>HELVIE ADAM</v>
      </c>
      <c r="M181" s="6">
        <f t="shared" si="72"/>
        <v>9.6643518481869251E-3</v>
      </c>
      <c r="N181" s="7">
        <f t="shared" si="71"/>
        <v>13.916666661389172</v>
      </c>
      <c r="O181" s="7"/>
      <c r="P181" s="7"/>
      <c r="Q181" s="22"/>
      <c r="R181" s="22"/>
      <c r="S181" s="31">
        <f t="shared" si="75"/>
        <v>1</v>
      </c>
      <c r="T181" s="46" t="str">
        <f t="shared" si="56"/>
        <v>Southbound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57"/>
        <v>https://d0f6bd738d7f1b3e5a7ca70fe4ff75f0.us-east-1.aws.found.io/app/kibana#/discover/Steve-Slow-Train-Analysis-(2080s-and-2083s)?_g=(refreshInterval:(display:Off,pause:!f,section:0,value:0),time:(from:'2017-03-19T14:40:15-0600',mode:absolute,to:'2017-03-19T16:57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1" s="187" t="str">
        <f t="shared" si="58"/>
        <v>N</v>
      </c>
      <c r="X181" s="187">
        <f t="shared" si="73"/>
        <v>1</v>
      </c>
      <c r="Y181" s="62">
        <f t="shared" si="60"/>
        <v>5.8625999999999996</v>
      </c>
      <c r="Z181" s="62">
        <f t="shared" si="74"/>
        <v>7.6799999999999993E-2</v>
      </c>
      <c r="AA181" s="62">
        <f t="shared" si="61"/>
        <v>5.7857999999999992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62"/>
        <v>1820-19</v>
      </c>
      <c r="AE181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81" s="82" t="str">
        <f t="shared" si="64"/>
        <v>"C:\Program Files (x86)\AstroGrep\AstroGrep.exe" /e /r /s /spath="%USERPROFILE%\AppData\Local\Temp\OnboardLogs" /stypes="app*4052*20170319*" /stext=" 21:.+((SYSTEM_STATE.+slice.+state.+changed )|(ment ac)|(multiple cpu faults)|(system.+state.+changed )|(\[timeout)|(PRM\|1\|D)|(kpr)|(kdp)|(\|lc)|(penalty))"</v>
      </c>
      <c r="AG181" s="1" t="str">
        <f t="shared" si="65"/>
        <v>NW</v>
      </c>
      <c r="AH181" s="86" t="str">
        <f t="shared" si="66"/>
        <v>"%USERPROFILE%\Documents\GitHub\eaglep3\Utilities\RefineRTDCRunTimes.py" --tripid 1820-19 --locoid 4052 --swversion DE.1.0.9.0 --startMP 300:58626 --initTime 2017-03-19T15:40:15 --startdatetime 2017-03-19T15:43:45 --delay 2 --endMP 204:768 --enddatetime 2017-03-19T15:57:40 --enforcementcount 0 &gt;&gt;%USERPROFILE%\Documents\GitHub\eaglep3-reporting\EC\2017-03-19-refined-times.txt</v>
      </c>
      <c r="AI181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{"issue":{"subject":"","project_id":79,"tracker_id":40,"status_id":1,"priority_id":2,"assigned_to_id":23,"start_date":"2017-03-19","description":"","custom_fields":[{"id":1,"name":"Subdivision","value":"NW"},{"id":4,"name":"Milepost","value":"0.0768"},{"id":17,"name":"Train ID","value":"1820-19"},{"id":16,"name":"Locomotive ID","value":"4052"},{"id":130,"name":"Impact","value":""},{"id":150,"name":"Time of Event (Mountain Time)","value":"15:57:40"},{"id":151,"name":"Denver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68"/>
        <v>start /low /b %USERPROFILE%\Documents\GitHub\eaglep3\Utilities\DownloadLogsFromS3.py --loco 4052 --day 2017-03-19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"%USERPROFILE%\AppData\Local\Temp\OnboardLogs"\RTDC4052\*4052*20170319* | grep -SE "(Enforcement Action)|(\[TIMEOUT)|(CHR.+\|PRM\|1\|D.+(SWITCH|SIGNAL).+UNKNOWN)" - &gt;&gt; 2017-03-19-UncaughtWiMAX.txt</v>
      </c>
    </row>
    <row r="182" spans="1:91" s="20" customFormat="1" x14ac:dyDescent="0.25">
      <c r="A182" s="33" t="s">
        <v>723</v>
      </c>
      <c r="B182" s="7">
        <v>4051</v>
      </c>
      <c r="C182" s="21" t="s">
        <v>221</v>
      </c>
      <c r="D182" s="21" t="s">
        <v>875</v>
      </c>
      <c r="E182" s="13">
        <v>42813.678263888891</v>
      </c>
      <c r="F182" s="13">
        <v>42813.681458333333</v>
      </c>
      <c r="G182" s="7">
        <v>1</v>
      </c>
      <c r="H182" s="21" t="s">
        <v>455</v>
      </c>
      <c r="I182" s="13">
        <v>42813.690578703703</v>
      </c>
      <c r="J182" s="7">
        <v>0</v>
      </c>
      <c r="K182" s="98" t="str">
        <f t="shared" si="54"/>
        <v>4051/4052</v>
      </c>
      <c r="L182" s="21" t="str">
        <f>VLOOKUP(A182,'Trips&amp;Operators'!$C$1:$G$99999,5,FALSE)</f>
        <v>HELVIE ADAM</v>
      </c>
      <c r="M182" s="6">
        <f t="shared" si="72"/>
        <v>9.1203703705104999E-3</v>
      </c>
      <c r="N182" s="7">
        <f t="shared" si="71"/>
        <v>13.13333333353512</v>
      </c>
      <c r="O182" s="7"/>
      <c r="P182" s="7"/>
      <c r="Q182" s="22"/>
      <c r="R182" s="22"/>
      <c r="S182" s="31">
        <f t="shared" si="75"/>
        <v>1</v>
      </c>
      <c r="T182" s="46" t="str">
        <f t="shared" si="56"/>
        <v>NorthBound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57"/>
        <v>https://d0f6bd738d7f1b3e5a7ca70fe4ff75f0.us-east-1.aws.found.io/app/kibana#/discover/Steve-Slow-Train-Analysis-(2080s-and-2083s)?_g=(refreshInterval:(display:Off,pause:!f,section:0,value:0),time:(from:'2017-03-19T15:16:42-0600',mode:absolute,to:'2017-03-19T17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2" s="187" t="str">
        <f t="shared" si="58"/>
        <v>N</v>
      </c>
      <c r="X182" s="187">
        <f t="shared" si="73"/>
        <v>1</v>
      </c>
      <c r="Y182" s="62">
        <f t="shared" si="60"/>
        <v>0.1048</v>
      </c>
      <c r="Z182" s="62">
        <f t="shared" si="74"/>
        <v>5.8935000000000004</v>
      </c>
      <c r="AA182" s="62">
        <f t="shared" si="61"/>
        <v>5.7887000000000004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62"/>
        <v>1821-19</v>
      </c>
      <c r="AE182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82" s="82" t="str">
        <f t="shared" si="64"/>
        <v>"C:\Program Files (x86)\AstroGrep\AstroGrep.exe" /e /r /s /spath="%USERPROFILE%\AppData\Local\Temp\OnboardLogs" /stypes="app*4051*20170319*" /stext=" 22:.+((SYSTEM_STATE.+slice.+state.+changed )|(ment ac)|(multiple cpu faults)|(system.+state.+changed )|(\[timeout)|(PRM\|1\|D)|(kpr)|(kdp)|(\|lc)|(penalty))"</v>
      </c>
      <c r="AG182" s="1" t="str">
        <f t="shared" si="65"/>
        <v>NW</v>
      </c>
      <c r="AH182" s="86" t="str">
        <f t="shared" si="66"/>
        <v>"%USERPROFILE%\Documents\GitHub\eaglep3\Utilities\RefineRTDCRunTimes.py" --tripid 1821-19 --locoid 4051 --swversion DE.1.0.9.0 --startMP 204:1048 --initTime 2017-03-19T16:16:42 --startdatetime 2017-03-19T16:21:18 --delay 1 --endMP 300:58935 --enddatetime 2017-03-19T16:34:26 --enforcementcount 0 &gt;&gt;%USERPROFILE%\Documents\GitHub\eaglep3-reporting\EC\2017-03-19-refined-times.txt</v>
      </c>
      <c r="AI182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{"issue":{"subject":"","project_id":79,"tracker_id":40,"status_id":1,"priority_id":2,"assigned_to_id":23,"start_date":"2017-03-19","description":"","custom_fields":[{"id":1,"name":"Subdivision","value":"NW"},{"id":4,"name":"Milepost","value":"5.8935"},{"id":17,"name":"Train ID","value":"1821-19"},{"id":16,"name":"Locomotive ID","value":"4051"},{"id":130,"name":"Impact","value":""},{"id":150,"name":"Time of Event (Mountain Time)","value":"16:34:26"},{"id":151,"name":"Denver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68"/>
        <v>start /low /b %USERPROFILE%\Documents\GitHub\eaglep3\Utilities\DownloadLogsFromS3.py --loco 4051 --day 2017-03-19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"%USERPROFILE%\AppData\Local\Temp\OnboardLogs"\RTDC4051\*4051*20170319* | grep -SE "(Enforcement Action)|(\[TIMEOUT)|(CHR.+\|PRM\|1\|D.+(SWITCH|SIGNAL).+UNKNOWN)" - &gt;&gt; 2017-03-19-UncaughtWiMAX.txt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3" t="s">
        <v>726</v>
      </c>
      <c r="B183" s="7">
        <v>4052</v>
      </c>
      <c r="C183" s="21" t="s">
        <v>221</v>
      </c>
      <c r="D183" s="21" t="s">
        <v>457</v>
      </c>
      <c r="E183" s="13">
        <v>42813.691793981481</v>
      </c>
      <c r="F183" s="13">
        <v>42813.693680555552</v>
      </c>
      <c r="G183" s="7">
        <v>1</v>
      </c>
      <c r="H183" s="21" t="s">
        <v>876</v>
      </c>
      <c r="I183" s="13">
        <v>42813.704282407409</v>
      </c>
      <c r="J183" s="7">
        <v>0</v>
      </c>
      <c r="K183" s="98" t="str">
        <f t="shared" si="54"/>
        <v>4051/4052</v>
      </c>
      <c r="L183" s="21" t="str">
        <f>VLOOKUP(A183,'Trips&amp;Operators'!$C$1:$G$99999,5,FALSE)</f>
        <v>HELVIE ADAM</v>
      </c>
      <c r="M183" s="6">
        <f t="shared" si="72"/>
        <v>1.0601851856335998E-2</v>
      </c>
      <c r="N183" s="7">
        <f t="shared" si="71"/>
        <v>15.266666673123837</v>
      </c>
      <c r="O183" s="7"/>
      <c r="P183" s="7"/>
      <c r="Q183" s="22"/>
      <c r="R183" s="22"/>
      <c r="S183" s="31">
        <f t="shared" si="75"/>
        <v>1</v>
      </c>
      <c r="T183" s="46" t="str">
        <f t="shared" si="56"/>
        <v>Southbound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57"/>
        <v>https://d0f6bd738d7f1b3e5a7ca70fe4ff75f0.us-east-1.aws.found.io/app/kibana#/discover/Steve-Slow-Train-Analysis-(2080s-and-2083s)?_g=(refreshInterval:(display:Off,pause:!f,section:0,value:0),time:(from:'2017-03-19T15:36:11-0600',mode:absolute,to:'2017-03-19T17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3" s="187" t="str">
        <f t="shared" si="58"/>
        <v>N</v>
      </c>
      <c r="X183" s="187">
        <f t="shared" si="73"/>
        <v>1</v>
      </c>
      <c r="Y183" s="62">
        <f t="shared" si="60"/>
        <v>5.8625999999999996</v>
      </c>
      <c r="Z183" s="62">
        <f t="shared" si="74"/>
        <v>7.2400000000000006E-2</v>
      </c>
      <c r="AA183" s="62">
        <f t="shared" si="61"/>
        <v>5.7901999999999996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62"/>
        <v>1822-19</v>
      </c>
      <c r="AE183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83" s="82" t="str">
        <f t="shared" si="64"/>
        <v>"C:\Program Files (x86)\AstroGrep\AstroGrep.exe" /e /r /s /spath="%USERPROFILE%\AppData\Local\Temp\OnboardLogs" /stypes="app*4052*20170319*" /stext=" 22:.+((SYSTEM_STATE.+slice.+state.+changed )|(ment ac)|(multiple cpu faults)|(system.+state.+changed )|(\[timeout)|(PRM\|1\|D)|(kpr)|(kdp)|(\|lc)|(penalty))"</v>
      </c>
      <c r="AG183" s="1" t="str">
        <f t="shared" si="65"/>
        <v>NW</v>
      </c>
      <c r="AH183" s="86" t="str">
        <f t="shared" si="66"/>
        <v>"%USERPROFILE%\Documents\GitHub\eaglep3\Utilities\RefineRTDCRunTimes.py" --tripid 1822-19 --locoid 4052 --swversion DE.1.0.9.0 --startMP 300:58626 --initTime 2017-03-19T16:36:11 --startdatetime 2017-03-19T16:38:54 --delay 1 --endMP 204:724 --enddatetime 2017-03-19T16:54:10 --enforcementcount 0 &gt;&gt;%USERPROFILE%\Documents\GitHub\eaglep3-reporting\EC\2017-03-19-refined-times.txt</v>
      </c>
      <c r="AI183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{"issue":{"subject":"","project_id":79,"tracker_id":40,"status_id":1,"priority_id":2,"assigned_to_id":23,"start_date":"2017-03-19","description":"","custom_fields":[{"id":1,"name":"Subdivision","value":"NW"},{"id":4,"name":"Milepost","value":"0.0724"},{"id":17,"name":"Train ID","value":"1822-19"},{"id":16,"name":"Locomotive ID","value":"4052"},{"id":130,"name":"Impact","value":""},{"id":150,"name":"Time of Event (Mountain Time)","value":"16:54:10"},{"id":151,"name":"Denver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68"/>
        <v>start /low /b %USERPROFILE%\Documents\GitHub\eaglep3\Utilities\DownloadLogsFromS3.py --loco 4052 --day 2017-03-19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"%USERPROFILE%\AppData\Local\Temp\OnboardLogs"\RTDC4052\*4052*20170319* | grep -SE "(Enforcement Action)|(\[TIMEOUT)|(CHR.+\|PRM\|1\|D.+(SWITCH|SIGNAL).+UNKNOWN)" - &gt;&gt; 2017-03-19-UncaughtWiMAX.txt</v>
      </c>
    </row>
    <row r="184" spans="1:91" s="20" customFormat="1" x14ac:dyDescent="0.25">
      <c r="A184" s="33" t="s">
        <v>734</v>
      </c>
      <c r="B184" s="7">
        <v>4051</v>
      </c>
      <c r="C184" s="21" t="s">
        <v>221</v>
      </c>
      <c r="D184" s="21" t="s">
        <v>543</v>
      </c>
      <c r="E184" s="13">
        <v>42813.720914351848</v>
      </c>
      <c r="F184" s="13">
        <v>42813.723124999997</v>
      </c>
      <c r="G184" s="7">
        <v>2</v>
      </c>
      <c r="H184" s="21" t="s">
        <v>865</v>
      </c>
      <c r="I184" s="13">
        <v>42813.732118055559</v>
      </c>
      <c r="J184" s="7">
        <v>0</v>
      </c>
      <c r="K184" s="98" t="str">
        <f t="shared" si="54"/>
        <v>4051/4052</v>
      </c>
      <c r="L184" s="21" t="str">
        <f>VLOOKUP(A184,'Trips&amp;Operators'!$C$1:$G$99999,5,FALSE)</f>
        <v>HELVIE ADAM</v>
      </c>
      <c r="M184" s="6">
        <f t="shared" si="72"/>
        <v>8.9930555623141117E-3</v>
      </c>
      <c r="N184" s="7">
        <f t="shared" si="71"/>
        <v>12.950000009732321</v>
      </c>
      <c r="O184" s="7"/>
      <c r="P184" s="7"/>
      <c r="Q184" s="22"/>
      <c r="R184" s="22"/>
      <c r="S184" s="31">
        <f t="shared" si="75"/>
        <v>1</v>
      </c>
      <c r="T184" s="46" t="str">
        <f t="shared" si="56"/>
        <v>NorthBound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57"/>
        <v>https://d0f6bd738d7f1b3e5a7ca70fe4ff75f0.us-east-1.aws.found.io/app/kibana#/discover/Steve-Slow-Train-Analysis-(2080s-and-2083s)?_g=(refreshInterval:(display:Off,pause:!f,section:0,value:0),time:(from:'2017-03-19T16:18:07-0600',mode:absolute,to:'2017-03-19T18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4" s="187" t="str">
        <f t="shared" si="58"/>
        <v>N</v>
      </c>
      <c r="X184" s="187">
        <f t="shared" si="73"/>
        <v>1</v>
      </c>
      <c r="Y184" s="62">
        <f t="shared" si="60"/>
        <v>0.1032</v>
      </c>
      <c r="Z184" s="62">
        <f t="shared" si="74"/>
        <v>5.8936999999999999</v>
      </c>
      <c r="AA184" s="62">
        <f t="shared" si="61"/>
        <v>5.7904999999999998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62"/>
        <v>1823-19</v>
      </c>
      <c r="AE184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84" s="82" t="str">
        <f t="shared" si="64"/>
        <v>"C:\Program Files (x86)\AstroGrep\AstroGrep.exe" /e /r /s /spath="%USERPROFILE%\AppData\Local\Temp\OnboardLogs" /stypes="app*4051*20170319*" /stext=" 23:.+((SYSTEM_STATE.+slice.+state.+changed )|(ment ac)|(multiple cpu faults)|(system.+state.+changed )|(\[timeout)|(PRM\|1\|D)|(kpr)|(kdp)|(\|lc)|(penalty))"</v>
      </c>
      <c r="AG184" s="1" t="str">
        <f t="shared" si="65"/>
        <v>NW</v>
      </c>
      <c r="AH184" s="86" t="str">
        <f t="shared" si="66"/>
        <v>"%USERPROFILE%\Documents\GitHub\eaglep3\Utilities\RefineRTDCRunTimes.py" --tripid 1823-19 --locoid 4051 --swversion DE.1.0.9.0 --startMP 204:1032 --initTime 2017-03-19T17:18:07 --startdatetime 2017-03-19T17:21:18 --delay 2 --endMP 300:58937 --enddatetime 2017-03-19T17:34:15 --enforcementcount 0 &gt;&gt;%USERPROFILE%\Documents\GitHub\eaglep3-reporting\EC\2017-03-19-refined-times.txt</v>
      </c>
      <c r="AI184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{"issue":{"subject":"","project_id":79,"tracker_id":40,"status_id":1,"priority_id":2,"assigned_to_id":23,"start_date":"2017-03-19","description":"","custom_fields":[{"id":1,"name":"Subdivision","value":"NW"},{"id":4,"name":"Milepost","value":"5.8937"},{"id":17,"name":"Train ID","value":"1823-19"},{"id":16,"name":"Locomotive ID","value":"4051"},{"id":130,"name":"Impact","value":""},{"id":150,"name":"Time of Event (Mountain Time)","value":"17:34:15"},{"id":151,"name":"Denver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68"/>
        <v>start /low /b %USERPROFILE%\Documents\GitHub\eaglep3\Utilities\DownloadLogsFromS3.py --loco 4051 --day 2017-03-19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"%USERPROFILE%\AppData\Local\Temp\OnboardLogs"\RTDC4051\*4051*20170319* | grep -SE "(Enforcement Action)|(\[TIMEOUT)|(CHR.+\|PRM\|1\|D.+(SWITCH|SIGNAL).+UNKNOWN)" - &gt;&gt; 2017-03-19-UncaughtWiMAX.txt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3" t="s">
        <v>740</v>
      </c>
      <c r="B185" s="7">
        <v>4052</v>
      </c>
      <c r="C185" s="21" t="s">
        <v>221</v>
      </c>
      <c r="D185" s="21" t="s">
        <v>482</v>
      </c>
      <c r="E185" s="13">
        <v>42813.73337962963</v>
      </c>
      <c r="F185" s="13">
        <v>42813.737546296295</v>
      </c>
      <c r="G185" s="7">
        <v>1</v>
      </c>
      <c r="H185" s="21" t="s">
        <v>876</v>
      </c>
      <c r="I185" s="13">
        <v>42813.745891203704</v>
      </c>
      <c r="J185" s="7">
        <v>0</v>
      </c>
      <c r="K185" s="98" t="str">
        <f t="shared" si="54"/>
        <v>4051/4052</v>
      </c>
      <c r="L185" s="21" t="str">
        <f>VLOOKUP(A185,'Trips&amp;Operators'!$C$1:$G$99999,5,FALSE)</f>
        <v>HELVIE ADAM</v>
      </c>
      <c r="M185" s="6">
        <f t="shared" si="72"/>
        <v>8.3449074081727304E-3</v>
      </c>
      <c r="N185" s="7">
        <f t="shared" si="71"/>
        <v>12.016666667768732</v>
      </c>
      <c r="O185" s="7"/>
      <c r="P185" s="7"/>
      <c r="Q185" s="22"/>
      <c r="R185" s="22"/>
      <c r="S185" s="31">
        <f t="shared" si="75"/>
        <v>1</v>
      </c>
      <c r="T185" s="46" t="str">
        <f t="shared" si="56"/>
        <v>Southbound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57"/>
        <v>https://d0f6bd738d7f1b3e5a7ca70fe4ff75f0.us-east-1.aws.found.io/app/kibana#/discover/Steve-Slow-Train-Analysis-(2080s-and-2083s)?_g=(refreshInterval:(display:Off,pause:!f,section:0,value:0),time:(from:'2017-03-19T16:36:04-0600',mode:absolute,to:'2017-03-19T18:54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5" s="187" t="str">
        <f t="shared" si="58"/>
        <v>N</v>
      </c>
      <c r="X185" s="187">
        <f t="shared" si="73"/>
        <v>1</v>
      </c>
      <c r="Y185" s="62">
        <f t="shared" si="60"/>
        <v>5.8613</v>
      </c>
      <c r="Z185" s="62">
        <f t="shared" si="74"/>
        <v>7.2400000000000006E-2</v>
      </c>
      <c r="AA185" s="62">
        <f t="shared" si="61"/>
        <v>5.7888999999999999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62"/>
        <v>1824-19</v>
      </c>
      <c r="AE185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85" s="82" t="str">
        <f t="shared" si="64"/>
        <v>"C:\Program Files (x86)\AstroGrep\AstroGrep.exe" /e /r /s /spath="%USERPROFILE%\AppData\Local\Temp\OnboardLogs" /stypes="app*4052*20170319*" /stext=" 23:.+((SYSTEM_STATE.+slice.+state.+changed )|(ment ac)|(multiple cpu faults)|(system.+state.+changed )|(\[timeout)|(PRM\|1\|D)|(kpr)|(kdp)|(\|lc)|(penalty))"</v>
      </c>
      <c r="AG185" s="1" t="str">
        <f t="shared" si="65"/>
        <v>NW</v>
      </c>
      <c r="AH185" s="86" t="str">
        <f t="shared" si="66"/>
        <v>"%USERPROFILE%\Documents\GitHub\eaglep3\Utilities\RefineRTDCRunTimes.py" --tripid 1824-19 --locoid 4052 --swversion DE.1.0.9.0 --startMP 300:58613 --initTime 2017-03-19T17:36:04 --startdatetime 2017-03-19T17:42:04 --delay 1 --endMP 204:724 --enddatetime 2017-03-19T17:54:05 --enforcementcount 0 &gt;&gt;%USERPROFILE%\Documents\GitHub\eaglep3-reporting\EC\2017-03-19-refined-times.txt</v>
      </c>
      <c r="AI185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{"issue":{"subject":"","project_id":79,"tracker_id":40,"status_id":1,"priority_id":2,"assigned_to_id":23,"start_date":"2017-03-19","description":"","custom_fields":[{"id":1,"name":"Subdivision","value":"NW"},{"id":4,"name":"Milepost","value":"0.0724"},{"id":17,"name":"Train ID","value":"1824-19"},{"id":16,"name":"Locomotive ID","value":"4052"},{"id":130,"name":"Impact","value":""},{"id":150,"name":"Time of Event (Mountain Time)","value":"17:54:05"},{"id":151,"name":"Denver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68"/>
        <v>start /low /b %USERPROFILE%\Documents\GitHub\eaglep3\Utilities\DownloadLogsFromS3.py --loco 4052 --day 2017-03-19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"%USERPROFILE%\AppData\Local\Temp\OnboardLogs"\RTDC4052\*4052*20170319* | grep -SE "(Enforcement Action)|(\[TIMEOUT)|(CHR.+\|PRM\|1\|D.+(SWITCH|SIGNAL).+UNKNOWN)" - &gt;&gt; 2017-03-19-UncaughtWiMAX.txt</v>
      </c>
    </row>
    <row r="186" spans="1:91" x14ac:dyDescent="0.25">
      <c r="A186" s="33" t="s">
        <v>748</v>
      </c>
      <c r="B186" s="7">
        <v>4051</v>
      </c>
      <c r="C186" s="21" t="s">
        <v>221</v>
      </c>
      <c r="D186" s="21" t="s">
        <v>557</v>
      </c>
      <c r="E186" s="13">
        <v>42813.762233796297</v>
      </c>
      <c r="F186" s="13">
        <v>42813.764814814815</v>
      </c>
      <c r="G186" s="7">
        <v>1</v>
      </c>
      <c r="H186" s="21" t="s">
        <v>408</v>
      </c>
      <c r="I186" s="13">
        <v>42813.774131944447</v>
      </c>
      <c r="J186" s="7">
        <v>0</v>
      </c>
      <c r="K186" s="98" t="str">
        <f t="shared" si="54"/>
        <v>4051/4052</v>
      </c>
      <c r="L186" s="21" t="str">
        <f>VLOOKUP(A186,'Trips&amp;Operators'!$C$1:$G$99999,5,FALSE)</f>
        <v>HELVIE ADAM</v>
      </c>
      <c r="M186" s="6">
        <f t="shared" si="72"/>
        <v>9.3171296321088448E-3</v>
      </c>
      <c r="N186" s="7">
        <f t="shared" si="71"/>
        <v>13.416666670236737</v>
      </c>
      <c r="O186" s="7"/>
      <c r="P186" s="7"/>
      <c r="Q186" s="22"/>
      <c r="R186" s="22"/>
      <c r="S186" s="31">
        <f t="shared" si="75"/>
        <v>1</v>
      </c>
      <c r="T186" s="46" t="str">
        <f t="shared" si="56"/>
        <v>NorthBound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57"/>
        <v>https://d0f6bd738d7f1b3e5a7ca70fe4ff75f0.us-east-1.aws.found.io/app/kibana#/discover/Steve-Slow-Train-Analysis-(2080s-and-2083s)?_g=(refreshInterval:(display:Off,pause:!f,section:0,value:0),time:(from:'2017-03-19T17:17:37-0600',mode:absolute,to:'2017-03-19T19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6" s="187" t="str">
        <f t="shared" si="58"/>
        <v>N</v>
      </c>
      <c r="X186" s="187">
        <f t="shared" si="73"/>
        <v>1</v>
      </c>
      <c r="Y186" s="62">
        <f t="shared" si="60"/>
        <v>0.10059999999999999</v>
      </c>
      <c r="Z186" s="62">
        <f t="shared" si="74"/>
        <v>5.8939000000000004</v>
      </c>
      <c r="AA186" s="62">
        <f t="shared" si="61"/>
        <v>5.7933000000000003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62"/>
        <v>1825-19</v>
      </c>
      <c r="AE186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86" s="82" t="str">
        <f t="shared" si="64"/>
        <v>"C:\Program Files (x86)\AstroGrep\AstroGrep.exe" /e /r /s /spath="%USERPROFILE%\AppData\Local\Temp\OnboardLogs" /stypes="app*4051*20170320*" /stext=" 00:.+((SYSTEM_STATE.+slice.+state.+changed )|(ment ac)|(multiple cpu faults)|(system.+state.+changed )|(\[timeout)|(PRM\|1\|D)|(kpr)|(kdp)|(\|lc)|(penalty))"</v>
      </c>
      <c r="AG186" s="1" t="str">
        <f t="shared" si="65"/>
        <v>NW</v>
      </c>
      <c r="AH186" s="86" t="str">
        <f t="shared" si="66"/>
        <v>"%USERPROFILE%\Documents\GitHub\eaglep3\Utilities\RefineRTDCRunTimes.py" --tripid 1825-19 --locoid 4051 --swversion DE.1.0.9.0 --startMP 204:1006 --initTime 2017-03-19T18:17:37 --startdatetime 2017-03-19T18:21:20 --delay 1 --endMP 300:58939 --enddatetime 2017-03-19T18:34:45 --enforcementcount 0 &gt;&gt;%USERPROFILE%\Documents\GitHub\eaglep3-reporting\EC\2017-03-19-refined-times.txt</v>
      </c>
      <c r="AI186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{"issue":{"subject":"","project_id":79,"tracker_id":40,"status_id":1,"priority_id":2,"assigned_to_id":23,"start_date":"2017-03-19","description":"","custom_fields":[{"id":1,"name":"Subdivision","value":"NW"},{"id":4,"name":"Milepost","value":"5.8939"},{"id":17,"name":"Train ID","value":"1825-19"},{"id":16,"name":"Locomotive ID","value":"4051"},{"id":130,"name":"Impact","value":""},{"id":150,"name":"Time of Event (Mountain Time)","value":"18:34:45"},{"id":151,"name":"Denver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68"/>
        <v>start /low /b %USERPROFILE%\Documents\GitHub\eaglep3\Utilities\DownloadLogsFromS3.py --loco 4051 --day 2017-03-19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"%USERPROFILE%\AppData\Local\Temp\OnboardLogs"\RTDC4051\*4051*20170320* | grep -SE "(Enforcement Action)|(\[TIMEOUT)|(CHR.+\|PRM\|1\|D.+(SWITCH|SIGNAL).+UNKNOWN)" - &gt;&gt; 2017-03-19-UncaughtWiMAX.txt</v>
      </c>
    </row>
    <row r="187" spans="1:91" x14ac:dyDescent="0.25">
      <c r="A187" s="33" t="s">
        <v>751</v>
      </c>
      <c r="B187" s="7">
        <v>4052</v>
      </c>
      <c r="C187" s="21" t="s">
        <v>221</v>
      </c>
      <c r="D187" s="21" t="s">
        <v>877</v>
      </c>
      <c r="E187" s="13">
        <v>42813.775358796294</v>
      </c>
      <c r="F187" s="13">
        <v>42813.778437499997</v>
      </c>
      <c r="G187" s="7">
        <v>1</v>
      </c>
      <c r="H187" s="21" t="s">
        <v>481</v>
      </c>
      <c r="I187" s="13">
        <v>42813.788252314815</v>
      </c>
      <c r="J187" s="7">
        <v>0</v>
      </c>
      <c r="K187" s="98" t="str">
        <f t="shared" si="54"/>
        <v>4051/4052</v>
      </c>
      <c r="L187" s="21" t="str">
        <f>VLOOKUP(A187,'Trips&amp;Operators'!$C$1:$G$99999,5,FALSE)</f>
        <v>HELVIE ADAM</v>
      </c>
      <c r="M187" s="6">
        <f t="shared" si="72"/>
        <v>9.8148148172185756E-3</v>
      </c>
      <c r="N187" s="7">
        <f t="shared" si="71"/>
        <v>14.133333336794749</v>
      </c>
      <c r="O187" s="7"/>
      <c r="P187" s="7"/>
      <c r="Q187" s="22"/>
      <c r="R187" s="22"/>
      <c r="S187" s="31">
        <f t="shared" si="75"/>
        <v>1</v>
      </c>
      <c r="T187" s="46" t="str">
        <f t="shared" si="56"/>
        <v>Southbound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57"/>
        <v>https://d0f6bd738d7f1b3e5a7ca70fe4ff75f0.us-east-1.aws.found.io/app/kibana#/discover/Steve-Slow-Train-Analysis-(2080s-and-2083s)?_g=(refreshInterval:(display:Off,pause:!f,section:0,value:0),time:(from:'2017-03-19T17:36:31-0600',mode:absolute,to:'2017-03-19T19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7" s="187" t="str">
        <f t="shared" si="58"/>
        <v>N</v>
      </c>
      <c r="X187" s="187">
        <f t="shared" si="73"/>
        <v>1</v>
      </c>
      <c r="Y187" s="62">
        <f t="shared" si="60"/>
        <v>5.8624000000000001</v>
      </c>
      <c r="Z187" s="62">
        <f t="shared" si="74"/>
        <v>7.3999999999999996E-2</v>
      </c>
      <c r="AA187" s="62">
        <f t="shared" si="61"/>
        <v>5.7884000000000002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62"/>
        <v>1826-19</v>
      </c>
      <c r="AE187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87" s="82" t="str">
        <f t="shared" si="64"/>
        <v>"C:\Program Files (x86)\AstroGrep\AstroGrep.exe" /e /r /s /spath="%USERPROFILE%\AppData\Local\Temp\OnboardLogs" /stypes="app*4052*20170320*" /stext=" 00:.+((SYSTEM_STATE.+slice.+state.+changed )|(ment ac)|(multiple cpu faults)|(system.+state.+changed )|(\[timeout)|(PRM\|1\|D)|(kpr)|(kdp)|(\|lc)|(penalty))"</v>
      </c>
      <c r="AG187" s="1" t="str">
        <f t="shared" si="65"/>
        <v>NW</v>
      </c>
      <c r="AH187" s="86" t="str">
        <f t="shared" si="66"/>
        <v>"%USERPROFILE%\Documents\GitHub\eaglep3\Utilities\RefineRTDCRunTimes.py" --tripid 1826-19 --locoid 4052 --swversion DE.1.0.9.0 --startMP 300:58624 --initTime 2017-03-19T18:36:31 --startdatetime 2017-03-19T18:40:57 --delay 1 --endMP 204:740 --enddatetime 2017-03-19T18:55:05 --enforcementcount 0 &gt;&gt;%USERPROFILE%\Documents\GitHub\eaglep3-reporting\EC\2017-03-19-refined-times.txt</v>
      </c>
      <c r="AI187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{"issue":{"subject":"","project_id":79,"tracker_id":40,"status_id":1,"priority_id":2,"assigned_to_id":23,"start_date":"2017-03-19","description":"","custom_fields":[{"id":1,"name":"Subdivision","value":"NW"},{"id":4,"name":"Milepost","value":"0.074"},{"id":17,"name":"Train ID","value":"1826-19"},{"id":16,"name":"Locomotive ID","value":"4052"},{"id":130,"name":"Impact","value":""},{"id":150,"name":"Time of Event (Mountain Time)","value":"18:55:05"},{"id":151,"name":"Denver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68"/>
        <v>start /low /b %USERPROFILE%\Documents\GitHub\eaglep3\Utilities\DownloadLogsFromS3.py --loco 4052 --day 2017-03-19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"%USERPROFILE%\AppData\Local\Temp\OnboardLogs"\RTDC4052\*4052*20170320* | grep -SE "(Enforcement Action)|(\[TIMEOUT)|(CHR.+\|PRM\|1\|D.+(SWITCH|SIGNAL).+UNKNOWN)" - &gt;&gt; 2017-03-19-UncaughtWiMAX.txt</v>
      </c>
    </row>
    <row r="188" spans="1:91" x14ac:dyDescent="0.25">
      <c r="A188" s="33" t="s">
        <v>758</v>
      </c>
      <c r="B188" s="7">
        <v>4051</v>
      </c>
      <c r="C188" s="21" t="s">
        <v>221</v>
      </c>
      <c r="D188" s="21" t="s">
        <v>854</v>
      </c>
      <c r="E188" s="13">
        <v>42813.804340277777</v>
      </c>
      <c r="F188" s="13">
        <v>42813.806435185186</v>
      </c>
      <c r="G188" s="7">
        <v>0</v>
      </c>
      <c r="H188" s="21" t="s">
        <v>865</v>
      </c>
      <c r="I188" s="13">
        <v>42813.81521990741</v>
      </c>
      <c r="J188" s="7">
        <v>0</v>
      </c>
      <c r="K188" s="98" t="str">
        <f t="shared" si="54"/>
        <v>4051/4052</v>
      </c>
      <c r="L188" s="21" t="str">
        <f>VLOOKUP(A188,'Trips&amp;Operators'!$C$1:$G$99999,5,FALSE)</f>
        <v>HELVIE ADAM</v>
      </c>
      <c r="M188" s="6">
        <f t="shared" si="72"/>
        <v>8.7847222239361145E-3</v>
      </c>
      <c r="N188" s="7">
        <f t="shared" si="71"/>
        <v>12.650000002468005</v>
      </c>
      <c r="O188" s="7"/>
      <c r="P188" s="7"/>
      <c r="Q188" s="22"/>
      <c r="R188" s="22"/>
      <c r="S188" s="31">
        <f t="shared" si="75"/>
        <v>1</v>
      </c>
      <c r="T188" s="46" t="str">
        <f t="shared" si="56"/>
        <v>NorthBound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57"/>
        <v>https://d0f6bd738d7f1b3e5a7ca70fe4ff75f0.us-east-1.aws.found.io/app/kibana#/discover/Steve-Slow-Train-Analysis-(2080s-and-2083s)?_g=(refreshInterval:(display:Off,pause:!f,section:0,value:0),time:(from:'2017-03-19T18:18:15-0600',mode:absolute,to:'2017-03-19T20:33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8" s="187" t="str">
        <f t="shared" si="58"/>
        <v>N</v>
      </c>
      <c r="X188" s="187">
        <f t="shared" si="73"/>
        <v>1</v>
      </c>
      <c r="Y188" s="62">
        <f t="shared" si="60"/>
        <v>0.10390000000000001</v>
      </c>
      <c r="Z188" s="62">
        <f t="shared" si="74"/>
        <v>5.8936999999999999</v>
      </c>
      <c r="AA188" s="62">
        <f t="shared" si="61"/>
        <v>5.7897999999999996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62"/>
        <v>1827-19</v>
      </c>
      <c r="AE188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88" s="82" t="str">
        <f t="shared" si="64"/>
        <v>"C:\Program Files (x86)\AstroGrep\AstroGrep.exe" /e /r /s /spath="%USERPROFILE%\AppData\Local\Temp\OnboardLogs" /stypes="app*4051*20170320*" /stext=" 01:.+((SYSTEM_STATE.+slice.+state.+changed )|(ment ac)|(multiple cpu faults)|(system.+state.+changed )|(\[timeout)|(PRM\|1\|D)|(kpr)|(kdp)|(\|lc)|(penalty))"</v>
      </c>
      <c r="AG188" s="1" t="str">
        <f t="shared" si="65"/>
        <v>NW</v>
      </c>
      <c r="AH188" s="86" t="str">
        <f t="shared" si="66"/>
        <v>"%USERPROFILE%\Documents\GitHub\eaglep3\Utilities\RefineRTDCRunTimes.py" --tripid 1827-19 --locoid 4051 --swversion DE.1.0.9.0 --startMP 204:1039 --initTime 2017-03-19T19:18:15 --startdatetime 2017-03-19T19:21:16 --delay 0 --endMP 300:58937 --enddatetime 2017-03-19T19:33:55 --enforcementcount 0 &gt;&gt;%USERPROFILE%\Documents\GitHub\eaglep3-reporting\EC\2017-03-19-refined-times.txt</v>
      </c>
      <c r="AI188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{"issue":{"subject":"","project_id":79,"tracker_id":40,"status_id":1,"priority_id":2,"assigned_to_id":23,"start_date":"2017-03-19","description":"","custom_fields":[{"id":1,"name":"Subdivision","value":"NW"},{"id":4,"name":"Milepost","value":"5.8937"},{"id":17,"name":"Train ID","value":"1827-19"},{"id":16,"name":"Locomotive ID","value":"4051"},{"id":130,"name":"Impact","value":""},{"id":150,"name":"Time of Event (Mountain Time)","value":"19:33:55"},{"id":151,"name":"Denver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68"/>
        <v>start /low /b %USERPROFILE%\Documents\GitHub\eaglep3\Utilities\DownloadLogsFromS3.py --loco 4051 --day 2017-03-19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"%USERPROFILE%\AppData\Local\Temp\OnboardLogs"\RTDC4051\*4051*20170320* | grep -SE "(Enforcement Action)|(\[TIMEOUT)|(CHR.+\|PRM\|1\|D.+(SWITCH|SIGNAL).+UNKNOWN)" - &gt;&gt; 2017-03-19-UncaughtWiMAX.txt</v>
      </c>
    </row>
    <row r="189" spans="1:91" x14ac:dyDescent="0.25">
      <c r="A189" s="33" t="s">
        <v>762</v>
      </c>
      <c r="B189" s="7">
        <v>4052</v>
      </c>
      <c r="C189" s="21" t="s">
        <v>221</v>
      </c>
      <c r="D189" s="21" t="s">
        <v>439</v>
      </c>
      <c r="E189" s="13">
        <v>42813.816886574074</v>
      </c>
      <c r="F189" s="13">
        <v>42813.820254629631</v>
      </c>
      <c r="G189" s="7">
        <v>1</v>
      </c>
      <c r="H189" s="21" t="s">
        <v>878</v>
      </c>
      <c r="I189" s="13">
        <v>42813.83121527778</v>
      </c>
      <c r="J189" s="7">
        <v>0</v>
      </c>
      <c r="K189" s="98" t="str">
        <f t="shared" si="54"/>
        <v>4051/4052</v>
      </c>
      <c r="L189" s="21" t="str">
        <f>VLOOKUP(A189,'Trips&amp;Operators'!$C$1:$G$99999,5,FALSE)</f>
        <v>HELVIE ADAM</v>
      </c>
      <c r="M189" s="6">
        <f t="shared" si="72"/>
        <v>1.096064814919373E-2</v>
      </c>
      <c r="N189" s="7">
        <f t="shared" si="71"/>
        <v>15.783333334838971</v>
      </c>
      <c r="O189" s="7"/>
      <c r="P189" s="7"/>
      <c r="Q189" s="22"/>
      <c r="R189" s="22"/>
      <c r="S189" s="31">
        <f t="shared" si="75"/>
        <v>1</v>
      </c>
      <c r="T189" s="46" t="str">
        <f t="shared" si="56"/>
        <v>Southbound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57"/>
        <v>https://d0f6bd738d7f1b3e5a7ca70fe4ff75f0.us-east-1.aws.found.io/app/kibana#/discover/Steve-Slow-Train-Analysis-(2080s-and-2083s)?_g=(refreshInterval:(display:Off,pause:!f,section:0,value:0),time:(from:'2017-03-19T18:36:19-0600',mode:absolute,to:'2017-03-19T20:56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9" s="187" t="str">
        <f t="shared" si="58"/>
        <v>N</v>
      </c>
      <c r="X189" s="187">
        <f t="shared" ref="X189:X192" si="76">VALUE(LEFT(AD189,4))-VALUE(LEFT(AD188,4))</f>
        <v>1</v>
      </c>
      <c r="Y189" s="62">
        <f t="shared" si="60"/>
        <v>5.8630000000000004</v>
      </c>
      <c r="Z189" s="62">
        <f t="shared" si="74"/>
        <v>7.6399999999999996E-2</v>
      </c>
      <c r="AA189" s="62">
        <f t="shared" si="61"/>
        <v>5.7866000000000009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62"/>
        <v>1828-19</v>
      </c>
      <c r="AE189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89" s="82" t="str">
        <f t="shared" si="64"/>
        <v>"C:\Program Files (x86)\AstroGrep\AstroGrep.exe" /e /r /s /spath="%USERPROFILE%\AppData\Local\Temp\OnboardLogs" /stypes="app*4052*20170320*" /stext=" 01:.+((SYSTEM_STATE.+slice.+state.+changed )|(ment ac)|(multiple cpu faults)|(system.+state.+changed )|(\[timeout)|(PRM\|1\|D)|(kpr)|(kdp)|(\|lc)|(penalty))"</v>
      </c>
      <c r="AG189" s="1" t="str">
        <f t="shared" si="65"/>
        <v>NW</v>
      </c>
      <c r="AH189" s="86" t="str">
        <f t="shared" si="66"/>
        <v>"%USERPROFILE%\Documents\GitHub\eaglep3\Utilities\RefineRTDCRunTimes.py" --tripid 1828-19 --locoid 4052 --swversion DE.1.0.9.0 --startMP 300:58630 --initTime 2017-03-19T19:36:19 --startdatetime 2017-03-19T19:41:10 --delay 1 --endMP 204:764 --enddatetime 2017-03-19T19:56:57 --enforcementcount 0 &gt;&gt;%USERPROFILE%\Documents\GitHub\eaglep3-reporting\EC\2017-03-19-refined-times.txt</v>
      </c>
      <c r="AI189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{"issue":{"subject":"","project_id":79,"tracker_id":40,"status_id":1,"priority_id":2,"assigned_to_id":23,"start_date":"2017-03-19","description":"","custom_fields":[{"id":1,"name":"Subdivision","value":"NW"},{"id":4,"name":"Milepost","value":"0.0764"},{"id":17,"name":"Train ID","value":"1828-19"},{"id":16,"name":"Locomotive ID","value":"4052"},{"id":130,"name":"Impact","value":""},{"id":150,"name":"Time of Event (Mountain Time)","value":"19:56:57"},{"id":151,"name":"Denver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68"/>
        <v>start /low /b %USERPROFILE%\Documents\GitHub\eaglep3\Utilities\DownloadLogsFromS3.py --loco 4052 --day 2017-03-19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"%USERPROFILE%\AppData\Local\Temp\OnboardLogs"\RTDC4052\*4052*20170320* | grep -SE "(Enforcement Action)|(\[TIMEOUT)|(CHR.+\|PRM\|1\|D.+(SWITCH|SIGNAL).+UNKNOWN)" - &gt;&gt; 2017-03-19-UncaughtWiMAX.txt</v>
      </c>
    </row>
    <row r="190" spans="1:91" x14ac:dyDescent="0.25">
      <c r="A190" s="33" t="s">
        <v>770</v>
      </c>
      <c r="B190" s="7">
        <v>4051</v>
      </c>
      <c r="C190" s="21" t="s">
        <v>221</v>
      </c>
      <c r="D190" s="21" t="s">
        <v>875</v>
      </c>
      <c r="E190" s="13">
        <v>42813.847071759257</v>
      </c>
      <c r="F190" s="13">
        <v>42813.848310185182</v>
      </c>
      <c r="G190" s="7">
        <v>1</v>
      </c>
      <c r="H190" s="21" t="s">
        <v>879</v>
      </c>
      <c r="I190" s="13">
        <v>42813.857164351852</v>
      </c>
      <c r="J190" s="7">
        <v>0</v>
      </c>
      <c r="K190" s="98" t="str">
        <f t="shared" si="54"/>
        <v>4051/4052</v>
      </c>
      <c r="L190" s="21" t="str">
        <f>VLOOKUP(A190,'Trips&amp;Operators'!$C$1:$G$99999,5,FALSE)</f>
        <v>HELVIE ADAM</v>
      </c>
      <c r="M190" s="6">
        <f t="shared" si="72"/>
        <v>8.8541666700621136E-3</v>
      </c>
      <c r="N190" s="7">
        <f t="shared" ref="N190:N222" si="77">24*60*SUM($M190:$M190)</f>
        <v>12.750000004889444</v>
      </c>
      <c r="O190" s="7"/>
      <c r="P190" s="7"/>
      <c r="Q190" s="22"/>
      <c r="R190" s="22"/>
      <c r="S190" s="31">
        <f t="shared" si="75"/>
        <v>1</v>
      </c>
      <c r="T190" s="46" t="str">
        <f t="shared" si="56"/>
        <v>NorthBound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57"/>
        <v>https://d0f6bd738d7f1b3e5a7ca70fe4ff75f0.us-east-1.aws.found.io/app/kibana#/discover/Steve-Slow-Train-Analysis-(2080s-and-2083s)?_g=(refreshInterval:(display:Off,pause:!f,section:0,value:0),time:(from:'2017-03-19T19:19:47-0600',mode:absolute,to:'2017-03-19T21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0" s="187" t="str">
        <f t="shared" si="58"/>
        <v>N</v>
      </c>
      <c r="X190" s="187">
        <f t="shared" si="76"/>
        <v>1</v>
      </c>
      <c r="Y190" s="62">
        <f t="shared" si="60"/>
        <v>0.1048</v>
      </c>
      <c r="Z190" s="62">
        <f t="shared" si="74"/>
        <v>5.8948</v>
      </c>
      <c r="AA190" s="62">
        <f t="shared" si="61"/>
        <v>5.79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62"/>
        <v>1829-19</v>
      </c>
      <c r="AE190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90" s="82" t="str">
        <f t="shared" si="64"/>
        <v>"C:\Program Files (x86)\AstroGrep\AstroGrep.exe" /e /r /s /spath="%USERPROFILE%\AppData\Local\Temp\OnboardLogs" /stypes="app*4051*20170320*" /stext=" 02:.+((SYSTEM_STATE.+slice.+state.+changed )|(ment ac)|(multiple cpu faults)|(system.+state.+changed )|(\[timeout)|(PRM\|1\|D)|(kpr)|(kdp)|(\|lc)|(penalty))"</v>
      </c>
      <c r="AG190" s="1" t="str">
        <f t="shared" si="65"/>
        <v>NW</v>
      </c>
      <c r="AH190" s="86" t="str">
        <f t="shared" si="66"/>
        <v>"%USERPROFILE%\Documents\GitHub\eaglep3\Utilities\RefineRTDCRunTimes.py" --tripid 1829-19 --locoid 4051 --swversion DE.1.0.9.0 --startMP 204:1048 --initTime 2017-03-19T20:19:47 --startdatetime 2017-03-19T20:21:34 --delay 1 --endMP 300:58948 --enddatetime 2017-03-19T20:34:19 --enforcementcount 0 &gt;&gt;%USERPROFILE%\Documents\GitHub\eaglep3-reporting\EC\2017-03-19-refined-times.txt</v>
      </c>
      <c r="AI190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{"issue":{"subject":"","project_id":79,"tracker_id":40,"status_id":1,"priority_id":2,"assigned_to_id":23,"start_date":"2017-03-19","description":"","custom_fields":[{"id":1,"name":"Subdivision","value":"NW"},{"id":4,"name":"Milepost","value":"5.8948"},{"id":17,"name":"Train ID","value":"1829-19"},{"id":16,"name":"Locomotive ID","value":"4051"},{"id":130,"name":"Impact","value":""},{"id":150,"name":"Time of Event (Mountain Time)","value":"20:34:19"},{"id":151,"name":"Denver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68"/>
        <v>start /low /b %USERPROFILE%\Documents\GitHub\eaglep3\Utilities\DownloadLogsFromS3.py --loco 4051 --day 2017-03-19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"%USERPROFILE%\AppData\Local\Temp\OnboardLogs"\RTDC4051\*4051*20170320* | grep -SE "(Enforcement Action)|(\[TIMEOUT)|(CHR.+\|PRM\|1\|D.+(SWITCH|SIGNAL).+UNKNOWN)" - &gt;&gt; 2017-03-19-UncaughtWiMAX.txt</v>
      </c>
    </row>
    <row r="191" spans="1:91" x14ac:dyDescent="0.25">
      <c r="A191" s="33" t="s">
        <v>773</v>
      </c>
      <c r="B191" s="7">
        <v>4052</v>
      </c>
      <c r="C191" s="21" t="s">
        <v>221</v>
      </c>
      <c r="D191" s="21" t="s">
        <v>439</v>
      </c>
      <c r="E191" s="13">
        <v>42813.858749999999</v>
      </c>
      <c r="F191" s="13">
        <v>42813.862037037034</v>
      </c>
      <c r="G191" s="7">
        <v>1</v>
      </c>
      <c r="H191" s="21" t="s">
        <v>881</v>
      </c>
      <c r="I191" s="13">
        <v>42813.87090277778</v>
      </c>
      <c r="J191" s="7">
        <v>0</v>
      </c>
      <c r="K191" s="98" t="str">
        <f t="shared" si="54"/>
        <v>4051/4052</v>
      </c>
      <c r="L191" s="21" t="str">
        <f>VLOOKUP(A191,'Trips&amp;Operators'!$C$1:$G$99999,5,FALSE)</f>
        <v>HELVIE ADAM</v>
      </c>
      <c r="M191" s="6">
        <f t="shared" si="72"/>
        <v>8.8657407468417659E-3</v>
      </c>
      <c r="N191" s="7">
        <f t="shared" si="77"/>
        <v>12.766666675452143</v>
      </c>
      <c r="O191" s="7"/>
      <c r="P191" s="7"/>
      <c r="Q191" s="22"/>
      <c r="R191" s="22"/>
      <c r="S191" s="31">
        <f t="shared" si="75"/>
        <v>1</v>
      </c>
      <c r="T191" s="46" t="str">
        <f t="shared" si="56"/>
        <v>Southbound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57"/>
        <v>https://d0f6bd738d7f1b3e5a7ca70fe4ff75f0.us-east-1.aws.found.io/app/kibana#/discover/Steve-Slow-Train-Analysis-(2080s-and-2083s)?_g=(refreshInterval:(display:Off,pause:!f,section:0,value:0),time:(from:'2017-03-19T19:36:36-0600',mode:absolute,to:'2017-03-19T21:54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1" s="187" t="str">
        <f t="shared" si="58"/>
        <v>N</v>
      </c>
      <c r="X191" s="187">
        <f t="shared" si="76"/>
        <v>1</v>
      </c>
      <c r="Y191" s="62">
        <f t="shared" si="60"/>
        <v>5.8630000000000004</v>
      </c>
      <c r="Z191" s="62">
        <f t="shared" si="74"/>
        <v>8.1299999999999997E-2</v>
      </c>
      <c r="AA191" s="62">
        <f t="shared" si="61"/>
        <v>5.7817000000000007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62"/>
        <v>1830-19</v>
      </c>
      <c r="AE191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91" s="82" t="str">
        <f t="shared" si="64"/>
        <v>"C:\Program Files (x86)\AstroGrep\AstroGrep.exe" /e /r /s /spath="%USERPROFILE%\AppData\Local\Temp\OnboardLogs" /stypes="app*4052*20170320*" /stext=" 02:.+((SYSTEM_STATE.+slice.+state.+changed )|(ment ac)|(multiple cpu faults)|(system.+state.+changed )|(\[timeout)|(PRM\|1\|D)|(kpr)|(kdp)|(\|lc)|(penalty))"</v>
      </c>
      <c r="AG191" s="1" t="str">
        <f t="shared" si="65"/>
        <v>NW</v>
      </c>
      <c r="AH191" s="86" t="str">
        <f t="shared" si="66"/>
        <v>"%USERPROFILE%\Documents\GitHub\eaglep3\Utilities\RefineRTDCRunTimes.py" --tripid 1830-19 --locoid 4052 --swversion DE.1.0.9.0 --startMP 300:58630 --initTime 2017-03-19T20:36:36 --startdatetime 2017-03-19T20:41:20 --delay 1 --endMP 204:813 --enddatetime 2017-03-19T20:54:06 --enforcementcount 0 &gt;&gt;%USERPROFILE%\Documents\GitHub\eaglep3-reporting\EC\2017-03-19-refined-times.txt</v>
      </c>
      <c r="AI191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{"issue":{"subject":"","project_id":79,"tracker_id":40,"status_id":1,"priority_id":2,"assigned_to_id":23,"start_date":"2017-03-19","description":"","custom_fields":[{"id":1,"name":"Subdivision","value":"NW"},{"id":4,"name":"Milepost","value":"0.0813"},{"id":17,"name":"Train ID","value":"1830-19"},{"id":16,"name":"Locomotive ID","value":"4052"},{"id":130,"name":"Impact","value":""},{"id":150,"name":"Time of Event (Mountain Time)","value":"20:54:06"},{"id":151,"name":"Denver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68"/>
        <v>start /low /b %USERPROFILE%\Documents\GitHub\eaglep3\Utilities\DownloadLogsFromS3.py --loco 4052 --day 2017-03-19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"%USERPROFILE%\AppData\Local\Temp\OnboardLogs"\RTDC4052\*4052*20170320* | grep -SE "(Enforcement Action)|(\[TIMEOUT)|(CHR.+\|PRM\|1\|D.+(SWITCH|SIGNAL).+UNKNOWN)" - &gt;&gt; 2017-03-19-UncaughtWiMAX.txt</v>
      </c>
    </row>
    <row r="192" spans="1:91" x14ac:dyDescent="0.25">
      <c r="A192" s="33" t="s">
        <v>776</v>
      </c>
      <c r="B192" s="7">
        <v>4051</v>
      </c>
      <c r="C192" s="21" t="s">
        <v>221</v>
      </c>
      <c r="D192" s="21" t="s">
        <v>882</v>
      </c>
      <c r="E192" s="13">
        <v>42813.887824074074</v>
      </c>
      <c r="F192" s="13">
        <v>42813.889884259261</v>
      </c>
      <c r="G192" s="7">
        <v>1</v>
      </c>
      <c r="H192" s="21" t="s">
        <v>865</v>
      </c>
      <c r="I192" s="13">
        <v>42813.898541666669</v>
      </c>
      <c r="J192" s="7">
        <v>0</v>
      </c>
      <c r="K192" s="98" t="str">
        <f t="shared" si="54"/>
        <v>4051/4052</v>
      </c>
      <c r="L192" s="21" t="str">
        <f>VLOOKUP(A192,'Trips&amp;Operators'!$C$1:$G$99999,5,FALSE)</f>
        <v>HELVIE ADAM</v>
      </c>
      <c r="M192" s="6">
        <f t="shared" si="72"/>
        <v>8.6574074084637687E-3</v>
      </c>
      <c r="N192" s="7">
        <f t="shared" si="77"/>
        <v>12.466666668187827</v>
      </c>
      <c r="O192" s="7"/>
      <c r="P192" s="7"/>
      <c r="Q192" s="22"/>
      <c r="R192" s="22"/>
      <c r="S192" s="31">
        <f t="shared" si="75"/>
        <v>1</v>
      </c>
      <c r="T192" s="46" t="str">
        <f t="shared" si="56"/>
        <v>NorthBound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57"/>
        <v>https://d0f6bd738d7f1b3e5a7ca70fe4ff75f0.us-east-1.aws.found.io/app/kibana#/discover/Steve-Slow-Train-Analysis-(2080s-and-2083s)?_g=(refreshInterval:(display:Off,pause:!f,section:0,value:0),time:(from:'2017-03-19T20:18:28-0600',mode:absolute,to:'2017-03-19T22:33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2" s="187" t="str">
        <f t="shared" si="58"/>
        <v>N</v>
      </c>
      <c r="X192" s="187">
        <f t="shared" si="76"/>
        <v>1</v>
      </c>
      <c r="Y192" s="62">
        <f t="shared" si="60"/>
        <v>0.1104</v>
      </c>
      <c r="Z192" s="62">
        <f t="shared" si="74"/>
        <v>5.8936999999999999</v>
      </c>
      <c r="AA192" s="62">
        <f t="shared" si="61"/>
        <v>5.7832999999999997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62"/>
        <v>1831-19</v>
      </c>
      <c r="AE192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92" s="82" t="str">
        <f t="shared" si="64"/>
        <v>"C:\Program Files (x86)\AstroGrep\AstroGrep.exe" /e /r /s /spath="%USERPROFILE%\AppData\Local\Temp\OnboardLogs" /stypes="app*4051*20170320*" /stext=" 03:.+((SYSTEM_STATE.+slice.+state.+changed )|(ment ac)|(multiple cpu faults)|(system.+state.+changed )|(\[timeout)|(PRM\|1\|D)|(kpr)|(kdp)|(\|lc)|(penalty))"</v>
      </c>
      <c r="AG192" s="1" t="str">
        <f t="shared" si="65"/>
        <v>NW</v>
      </c>
      <c r="AH192" s="86" t="str">
        <f t="shared" si="66"/>
        <v>"%USERPROFILE%\Documents\GitHub\eaglep3\Utilities\RefineRTDCRunTimes.py" --tripid 1831-19 --locoid 4051 --swversion DE.1.0.9.0 --startMP 204:1104 --initTime 2017-03-19T21:18:28 --startdatetime 2017-03-19T21:21:26 --delay 1 --endMP 300:58937 --enddatetime 2017-03-19T21:33:54 --enforcementcount 0 &gt;&gt;%USERPROFILE%\Documents\GitHub\eaglep3-reporting\EC\2017-03-19-refined-times.txt</v>
      </c>
      <c r="AI192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{"issue":{"subject":"","project_id":79,"tracker_id":40,"status_id":1,"priority_id":2,"assigned_to_id":23,"start_date":"2017-03-19","description":"","custom_fields":[{"id":1,"name":"Subdivision","value":"NW"},{"id":4,"name":"Milepost","value":"5.8937"},{"id":17,"name":"Train ID","value":"1831-19"},{"id":16,"name":"Locomotive ID","value":"4051"},{"id":130,"name":"Impact","value":""},{"id":150,"name":"Time of Event (Mountain Time)","value":"21:33:54"},{"id":151,"name":"Denver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68"/>
        <v>start /low /b %USERPROFILE%\Documents\GitHub\eaglep3\Utilities\DownloadLogsFromS3.py --loco 4051 --day 2017-03-19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"%USERPROFILE%\AppData\Local\Temp\OnboardLogs"\RTDC4051\*4051*20170320* | grep -SE "(Enforcement Action)|(\[TIMEOUT)|(CHR.+\|PRM\|1\|D.+(SWITCH|SIGNAL).+UNKNOWN)" - &gt;&gt; 2017-03-19-UncaughtWiMAX.txt</v>
      </c>
    </row>
    <row r="193" spans="1:40" x14ac:dyDescent="0.25">
      <c r="A193" s="33" t="s">
        <v>779</v>
      </c>
      <c r="B193" s="7">
        <v>4052</v>
      </c>
      <c r="C193" s="21" t="s">
        <v>221</v>
      </c>
      <c r="D193" s="21" t="s">
        <v>457</v>
      </c>
      <c r="E193" s="13">
        <v>42813.900324074071</v>
      </c>
      <c r="F193" s="13">
        <v>42813.903622685182</v>
      </c>
      <c r="G193" s="7">
        <v>1</v>
      </c>
      <c r="H193" s="21" t="s">
        <v>878</v>
      </c>
      <c r="I193" s="13">
        <v>42813.912870370368</v>
      </c>
      <c r="J193" s="7">
        <v>0</v>
      </c>
      <c r="K193" s="98" t="str">
        <f t="shared" si="54"/>
        <v>4051/4052</v>
      </c>
      <c r="L193" s="21" t="str">
        <f>VLOOKUP(A193,'Trips&amp;Operators'!$C$1:$G$99999,5,FALSE)</f>
        <v>HELVIE ADAM</v>
      </c>
      <c r="M193" s="6">
        <f t="shared" ref="M193:M222" si="78">I193-F193</f>
        <v>9.2476851859828457E-3</v>
      </c>
      <c r="N193" s="7">
        <f t="shared" si="77"/>
        <v>13.316666667815298</v>
      </c>
      <c r="O193" s="7"/>
      <c r="P193" s="7"/>
      <c r="Q193" s="22"/>
      <c r="R193" s="22"/>
      <c r="S193" s="31">
        <f t="shared" si="75"/>
        <v>1</v>
      </c>
      <c r="T193" s="46" t="str">
        <f t="shared" si="56"/>
        <v>Southbound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57"/>
        <v>https://d0f6bd738d7f1b3e5a7ca70fe4ff75f0.us-east-1.aws.found.io/app/kibana#/discover/Steve-Slow-Train-Analysis-(2080s-and-2083s)?_g=(refreshInterval:(display:Off,pause:!f,section:0,value:0),time:(from:'2017-03-19T20:36:28-0600',mode:absolute,to:'2017-03-19T22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3" s="187" t="str">
        <f t="shared" si="58"/>
        <v>N</v>
      </c>
      <c r="X193" s="187">
        <f t="shared" ref="X193:X222" si="79">VALUE(LEFT(AD193,4))-VALUE(LEFT(AD192,4))</f>
        <v>1</v>
      </c>
      <c r="Y193" s="62">
        <f t="shared" si="60"/>
        <v>5.8625999999999996</v>
      </c>
      <c r="Z193" s="62">
        <f t="shared" si="74"/>
        <v>7.6399999999999996E-2</v>
      </c>
      <c r="AA193" s="62">
        <f t="shared" si="61"/>
        <v>5.7862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62"/>
        <v>1832-19</v>
      </c>
      <c r="AE193" s="85" t="str">
        <f t="shared" si="63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193" s="82" t="str">
        <f t="shared" si="64"/>
        <v>"C:\Program Files (x86)\AstroGrep\AstroGrep.exe" /e /r /s /spath="%USERPROFILE%\AppData\Local\Temp\OnboardLogs" /stypes="app*4052*20170320*" /stext=" 03:.+((SYSTEM_STATE.+slice.+state.+changed )|(ment ac)|(multiple cpu faults)|(system.+state.+changed )|(\[timeout)|(PRM\|1\|D)|(kpr)|(kdp)|(\|lc)|(penalty))"</v>
      </c>
      <c r="AG193" s="1" t="str">
        <f t="shared" si="65"/>
        <v>NW</v>
      </c>
      <c r="AH193" s="86" t="str">
        <f t="shared" si="66"/>
        <v>"%USERPROFILE%\Documents\GitHub\eaglep3\Utilities\RefineRTDCRunTimes.py" --tripid 1832-19 --locoid 4052 --swversion DE.1.0.9.0 --startMP 300:58626 --initTime 2017-03-19T21:36:28 --startdatetime 2017-03-19T21:41:13 --delay 1 --endMP 204:764 --enddatetime 2017-03-19T21:54:32 --enforcementcount 0 &gt;&gt;%USERPROFILE%\Documents\GitHub\eaglep3-reporting\EC\2017-03-19-refined-times.txt</v>
      </c>
      <c r="AI193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{"issue":{"subject":"","project_id":79,"tracker_id":40,"status_id":1,"priority_id":2,"assigned_to_id":23,"start_date":"2017-03-19","description":"","custom_fields":[{"id":1,"name":"Subdivision","value":"NW"},{"id":4,"name":"Milepost","value":"0.0764"},{"id":17,"name":"Train ID","value":"1832-19"},{"id":16,"name":"Locomotive ID","value":"4052"},{"id":130,"name":"Impact","value":""},{"id":150,"name":"Time of Event (Mountain Time)","value":"21:54:32"},{"id":151,"name":"Denver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68"/>
        <v>start /low /b %USERPROFILE%\Documents\GitHub\eaglep3\Utilities\DownloadLogsFromS3.py --loco 4052 --day 2017-03-19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"%USERPROFILE%\AppData\Local\Temp\OnboardLogs"\RTDC4052\*4052*20170320* | grep -SE "(Enforcement Action)|(\[TIMEOUT)|(CHR.+\|PRM\|1\|D.+(SWITCH|SIGNAL).+UNKNOWN)" - &gt;&gt; 2017-03-19-UncaughtWiMAX.txt</v>
      </c>
    </row>
    <row r="194" spans="1:40" x14ac:dyDescent="0.25">
      <c r="A194" s="33" t="s">
        <v>603</v>
      </c>
      <c r="B194" s="7">
        <v>4051</v>
      </c>
      <c r="C194" s="21" t="s">
        <v>221</v>
      </c>
      <c r="D194" s="21" t="s">
        <v>856</v>
      </c>
      <c r="E194" s="13">
        <v>42813.926377314812</v>
      </c>
      <c r="F194" s="13">
        <v>42813.931435185186</v>
      </c>
      <c r="G194" s="7">
        <v>0</v>
      </c>
      <c r="H194" s="21" t="s">
        <v>865</v>
      </c>
      <c r="I194" s="13">
        <v>42813.94023148148</v>
      </c>
      <c r="J194" s="7">
        <v>0</v>
      </c>
      <c r="K194" s="98" t="str">
        <f t="shared" si="54"/>
        <v>4051/4052</v>
      </c>
      <c r="L194" s="21" t="str">
        <f>VLOOKUP(A194,'Trips&amp;Operators'!$C$1:$G$99999,5,FALSE)</f>
        <v>HELVIE ADAM</v>
      </c>
      <c r="M194" s="6">
        <f t="shared" si="78"/>
        <v>8.7962962934398092E-3</v>
      </c>
      <c r="N194" s="7">
        <f t="shared" si="77"/>
        <v>12.666666662553325</v>
      </c>
      <c r="O194" s="7"/>
      <c r="P194" s="7"/>
      <c r="Q194" s="22"/>
      <c r="R194" s="22"/>
      <c r="S194" s="31">
        <f t="shared" si="75"/>
        <v>1</v>
      </c>
      <c r="T194" s="46" t="str">
        <f t="shared" si="56"/>
        <v>NorthBound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57"/>
        <v>https://d0f6bd738d7f1b3e5a7ca70fe4ff75f0.us-east-1.aws.found.io/app/kibana#/discover/Steve-Slow-Train-Analysis-(2080s-and-2083s)?_g=(refreshInterval:(display:Off,pause:!f,section:0,value:0),time:(from:'2017-03-19T21:13:59-0600',mode:absolute,to:'2017-03-19T23:33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4" s="187" t="str">
        <f t="shared" si="58"/>
        <v>N</v>
      </c>
      <c r="X194" s="187">
        <f t="shared" si="79"/>
        <v>1</v>
      </c>
      <c r="Y194" s="62">
        <f t="shared" si="60"/>
        <v>0.1046</v>
      </c>
      <c r="Z194" s="62">
        <f t="shared" si="74"/>
        <v>5.8936999999999999</v>
      </c>
      <c r="AA194" s="62">
        <f t="shared" si="61"/>
        <v>5.7891000000000004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62"/>
        <v>1833-19</v>
      </c>
      <c r="AE194" s="85" t="str">
        <f t="shared" si="63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194" s="82" t="str">
        <f t="shared" si="64"/>
        <v>"C:\Program Files (x86)\AstroGrep\AstroGrep.exe" /e /r /s /spath="%USERPROFILE%\AppData\Local\Temp\OnboardLogs" /stypes="app*4051*20170320*" /stext=" 04:.+((SYSTEM_STATE.+slice.+state.+changed )|(ment ac)|(multiple cpu faults)|(system.+state.+changed )|(\[timeout)|(PRM\|1\|D)|(kpr)|(kdp)|(\|lc)|(penalty))"</v>
      </c>
      <c r="AG194" s="1" t="str">
        <f t="shared" si="65"/>
        <v>NW</v>
      </c>
      <c r="AH194" s="86" t="str">
        <f t="shared" si="66"/>
        <v>"%USERPROFILE%\Documents\GitHub\eaglep3\Utilities\RefineRTDCRunTimes.py" --tripid 1833-19 --locoid 4051 --swversion DE.1.0.9.0 --startMP 204:1046 --initTime 2017-03-19T22:13:59 --startdatetime 2017-03-19T22:21:16 --delay 0 --endMP 300:58937 --enddatetime 2017-03-19T22:33:56 --enforcementcount 0 &gt;&gt;%USERPROFILE%\Documents\GitHub\eaglep3-reporting\EC\2017-03-19-refined-times.txt</v>
      </c>
      <c r="AI194" s="108" t="str">
        <f t="shared" si="67"/>
        <v>echo {"issue":{"subject":"","project_id":79,"tracker_id":40,"status_id":1,"priority_id":2,"assigned_to_id":23,"start_date":"2017-03-19","description":"","custom_fields":[{"id":1,"name":"Subdivision","value":"NW"},{"id":4,"name":"Milepost","value":"5.8937"},{"id":17,"name":"Train ID","value":"1833-19"},{"id":16,"name":"Locomotive ID","value":"4051"},{"id":130,"name":"Impact","value":""},{"id":150,"name":"Time of Event (Mountain Time)","value":"22:33:56"},{"id":151,"name":"Denver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68"/>
        <v>start /low /b %USERPROFILE%\Documents\GitHub\eaglep3\Utilities\DownloadLogsFromS3.py --loco 4051 --day 2017-03-19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"%USERPROFILE%\AppData\Local\Temp\OnboardLogs"\RTDC4051\*4051*20170320* | grep -SE "(Enforcement Action)|(\[TIMEOUT)|(CHR.+\|PRM\|1\|D.+(SWITCH|SIGNAL).+UNKNOWN)" - &gt;&gt; 2017-03-19-UncaughtWiMAX.txt</v>
      </c>
    </row>
    <row r="195" spans="1:40" x14ac:dyDescent="0.25">
      <c r="A195" s="33" t="s">
        <v>606</v>
      </c>
      <c r="B195" s="7">
        <v>4039</v>
      </c>
      <c r="C195" s="21" t="s">
        <v>221</v>
      </c>
      <c r="D195" s="21" t="s">
        <v>920</v>
      </c>
      <c r="E195" s="13">
        <v>42813.116666666669</v>
      </c>
      <c r="F195" s="13">
        <v>42813.121412037035</v>
      </c>
      <c r="G195" s="7">
        <v>6</v>
      </c>
      <c r="H195" s="21" t="s">
        <v>183</v>
      </c>
      <c r="I195" s="13">
        <v>42813.126712962963</v>
      </c>
      <c r="J195" s="7">
        <v>0</v>
      </c>
      <c r="K195" s="98" t="str">
        <f t="shared" si="54"/>
        <v>4039/4040</v>
      </c>
      <c r="L195" s="21" t="str">
        <f>VLOOKUP(A195,'Trips&amp;Operators'!$C$1:$G$99999,5,FALSE)</f>
        <v>SANTIZO D. EDY</v>
      </c>
      <c r="M195" s="6">
        <f t="shared" si="78"/>
        <v>5.3009259281679988E-3</v>
      </c>
      <c r="N195" s="7">
        <f t="shared" si="77"/>
        <v>7.6333333365619183</v>
      </c>
      <c r="O195" s="7"/>
      <c r="P195" s="7"/>
      <c r="Q195" s="22"/>
      <c r="R195" s="22"/>
      <c r="S195" s="31">
        <f t="shared" si="75"/>
        <v>1</v>
      </c>
      <c r="T195" s="46" t="str">
        <f t="shared" si="56"/>
        <v>Southbound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57"/>
        <v>https://d0f6bd738d7f1b3e5a7ca70fe4ff75f0.us-east-1.aws.found.io/app/kibana#/discover/Steve-Slow-Train-Analysis-(2080s-and-2083s)?_g=(refreshInterval:(display:Off,pause:!f,section:0,value:0),time:(from:'2017-03-19T01:48:00-0600',mode:absolute,to:'2017-03-19T04:02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5" s="187" t="str">
        <f t="shared" si="58"/>
        <v>Y</v>
      </c>
      <c r="X195" s="187">
        <f t="shared" si="79"/>
        <v>-1531</v>
      </c>
      <c r="Y195" s="62">
        <f t="shared" si="60"/>
        <v>1.9575</v>
      </c>
      <c r="Z195" s="62">
        <f t="shared" si="74"/>
        <v>1.49E-2</v>
      </c>
      <c r="AA195" s="62">
        <f t="shared" si="61"/>
        <v>1.9426000000000001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62"/>
        <v>0302-19</v>
      </c>
      <c r="AE195" s="85" t="str">
        <f t="shared" si="63"/>
        <v>aws s3 cp s3://rtdc.mdm.uploadarchive.raw/RTDC4039/ "%USERPROFILE%\AppData\Local\Temp\OnboardLogs"\RTDC4039\2017-03-19 --exclude "*" --recursive --include "*20170319*" &amp; "%USERPROFILE%\Documents\GitHub\mrs-test-scripts\Headless Mode &amp; Sideloading\WalkAndUnGZ.bat" "%USERPROFILE%\AppData\Local\Temp\OnboardLogs"\RTDC4039\2017-03-19 &amp; 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</v>
      </c>
      <c r="AF195" s="82" t="str">
        <f t="shared" si="64"/>
        <v>"C:\Program Files (x86)\AstroGrep\AstroGrep.exe" /e /r /s /spath="%USERPROFILE%\AppData\Local\Temp\OnboardLogs" /stypes="app*4039*20170319*" /stext=" 09:.+((SYSTEM_STATE.+slice.+state.+changed )|(ment ac)|(multiple cpu faults)|(system.+state.+changed )|(\[timeout)|(PRM\|1\|D)|(kpr)|(kdp)|(\|lc)|(penalty))"</v>
      </c>
      <c r="AG195" s="1" t="str">
        <f t="shared" si="65"/>
        <v>Other</v>
      </c>
      <c r="AH195" s="86" t="str">
        <f t="shared" si="66"/>
        <v>"%USERPROFILE%\Documents\GitHub\eaglep3\Utilities\RefineRTDCRunTimes.py" --tripid 302-19 --locoid 4039 --swversion DE.1.0.9.0 --startMP 300:19575 --initTime 2017-03-19T02:48:00 --startdatetime 2017-03-19T02:54:50 --delay 6 --endMP 204:149 --enddatetime 2017-03-19T03:02:28 --enforcementcount 0 &gt;&gt;%USERPROFILE%\Documents\GitHub\eaglep3-reporting\EC\2017-03-19-refined-times.txt</v>
      </c>
      <c r="AI195" s="108" t="str">
        <f t="shared" si="67"/>
        <v>echo {"issue":{"subject":"","project_id":79,"tracker_id":40,"status_id":1,"priority_id":2,"assigned_to_id":23,"start_date":"2017-03-19","description":"","custom_fields":[{"id":1,"name":"Subdivision","value":"Other"},{"id":4,"name":"Milepost","value":"0.0149"},{"id":17,"name":"Train ID","value":"302-19"},{"id":16,"name":"Locomotive ID","value":"4039"},{"id":130,"name":"Impact","value":""},{"id":150,"name":"Time of Event (Mountain Time)","value":"03:02:28"},{"id":151,"name":"Denver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68"/>
        <v>start /low /b %USERPROFILE%\Documents\GitHub\eaglep3\Utilities\DownloadLogsFromS3.py --loco 4039 --day 2017-03-19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"%USERPROFILE%\AppData\Local\Temp\OnboardLogs"\RTDC4039\*4039*20170319* | grep -SE "(Enforcement Action)|(\[TIMEOUT)|(CHR.+\|PRM\|1\|D.+(SWITCH|SIGNAL).+UNKNOWN)" - &gt;&gt; 2017-03-19-UncaughtWiMAX.txt</v>
      </c>
    </row>
    <row r="196" spans="1:40" x14ac:dyDescent="0.25">
      <c r="A196" s="33" t="s">
        <v>608</v>
      </c>
      <c r="B196" s="7">
        <v>4004</v>
      </c>
      <c r="C196" s="21" t="s">
        <v>221</v>
      </c>
      <c r="D196" s="21" t="s">
        <v>921</v>
      </c>
      <c r="E196" s="13">
        <v>42813.136423611111</v>
      </c>
      <c r="F196" s="13">
        <v>42813.139745370368</v>
      </c>
      <c r="G196" s="7">
        <v>4</v>
      </c>
      <c r="H196" s="21" t="s">
        <v>551</v>
      </c>
      <c r="I196" s="13">
        <v>42813.145416666666</v>
      </c>
      <c r="J196" s="7">
        <v>0</v>
      </c>
      <c r="K196" s="98" t="str">
        <f t="shared" si="54"/>
        <v>4003/4004</v>
      </c>
      <c r="L196" s="21" t="str">
        <f>VLOOKUP(A196,'Trips&amp;Operators'!$C$1:$G$99999,5,FALSE)</f>
        <v>MAELZER KURT</v>
      </c>
      <c r="M196" s="6">
        <f t="shared" si="78"/>
        <v>5.6712962978053838E-3</v>
      </c>
      <c r="N196" s="7">
        <f t="shared" si="77"/>
        <v>8.1666666688397527</v>
      </c>
      <c r="O196" s="7"/>
      <c r="P196" s="7"/>
      <c r="Q196" s="22"/>
      <c r="R196" s="22"/>
      <c r="S196" s="31">
        <f t="shared" si="75"/>
        <v>1</v>
      </c>
      <c r="T196" s="46" t="str">
        <f t="shared" si="56"/>
        <v>Southbound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57"/>
        <v>https://d0f6bd738d7f1b3e5a7ca70fe4ff75f0.us-east-1.aws.found.io/app/kibana#/discover/Steve-Slow-Train-Analysis-(2080s-and-2083s)?_g=(refreshInterval:(display:Off,pause:!f,section:0,value:0),time:(from:'2017-03-19T02:16:27-0600',mode:absolute,to:'2017-03-19T04:29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6" s="187" t="str">
        <f t="shared" si="58"/>
        <v>Y</v>
      </c>
      <c r="X196" s="187">
        <f t="shared" si="79"/>
        <v>2</v>
      </c>
      <c r="Y196" s="62">
        <f t="shared" si="60"/>
        <v>2.3321000000000001</v>
      </c>
      <c r="Z196" s="62">
        <f t="shared" si="74"/>
        <v>1.3899999999999999E-2</v>
      </c>
      <c r="AA196" s="62">
        <f t="shared" si="61"/>
        <v>2.3182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62"/>
        <v>0304-19</v>
      </c>
      <c r="AE196" s="85" t="str">
        <f t="shared" si="63"/>
        <v>aws s3 cp s3://rtdc.mdm.uploadarchive.raw/RTDC4004/ "%USERPROFILE%\AppData\Local\Temp\OnboardLogs"\RTDC4004\2017-03-19 --exclude "*" --recursive --include "*20170319*" &amp; "%USERPROFILE%\Documents\GitHub\mrs-test-scripts\Headless Mode &amp; Sideloading\WalkAndUnGZ.bat" "%USERPROFILE%\AppData\Local\Temp\OnboardLogs"\RTDC4004\2017-03-19 &amp; 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</v>
      </c>
      <c r="AF196" s="82" t="str">
        <f t="shared" si="64"/>
        <v>"C:\Program Files (x86)\AstroGrep\AstroGrep.exe" /e /r /s /spath="%USERPROFILE%\AppData\Local\Temp\OnboardLogs" /stypes="app*4004*20170319*" /stext=" 09:.+((SYSTEM_STATE.+slice.+state.+changed )|(ment ac)|(multiple cpu faults)|(system.+state.+changed )|(\[timeout)|(PRM\|1\|D)|(kpr)|(kdp)|(\|lc)|(penalty))"</v>
      </c>
      <c r="AG196" s="1" t="str">
        <f t="shared" si="65"/>
        <v>Other</v>
      </c>
      <c r="AH196" s="86" t="str">
        <f t="shared" si="66"/>
        <v>"%USERPROFILE%\Documents\GitHub\eaglep3\Utilities\RefineRTDCRunTimes.py" --tripid 304-19 --locoid 4004 --swversion DE.1.0.9.0 --startMP 300:23321 --initTime 2017-03-19T03:16:27 --startdatetime 2017-03-19T03:21:14 --delay 4 --endMP 204:139 --enddatetime 2017-03-19T03:29:24 --enforcementcount 0 &gt;&gt;%USERPROFILE%\Documents\GitHub\eaglep3-reporting\EC\2017-03-19-refined-times.txt</v>
      </c>
      <c r="AI196" s="108" t="str">
        <f t="shared" si="67"/>
        <v>echo {"issue":{"subject":"","project_id":79,"tracker_id":40,"status_id":1,"priority_id":2,"assigned_to_id":23,"start_date":"2017-03-19","description":"","custom_fields":[{"id":1,"name":"Subdivision","value":"Other"},{"id":4,"name":"Milepost","value":"0.0139"},{"id":17,"name":"Train ID","value":"304-19"},{"id":16,"name":"Locomotive ID","value":"4004"},{"id":130,"name":"Impact","value":""},{"id":150,"name":"Time of Event (Mountain Time)","value":"03:29:24"},{"id":151,"name":"Denver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68"/>
        <v>start /low /b %USERPROFILE%\Documents\GitHub\eaglep3\Utilities\DownloadLogsFromS3.py --loco 4004 --day 2017-03-19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"%USERPROFILE%\AppData\Local\Temp\OnboardLogs"\RTDC4004\*4004*20170319* | grep -SE "(Enforcement Action)|(\[TIMEOUT)|(CHR.+\|PRM\|1\|D.+(SWITCH|SIGNAL).+UNKNOWN)" - &gt;&gt; 2017-03-19-UncaughtWiMAX.txt</v>
      </c>
    </row>
    <row r="197" spans="1:40" x14ac:dyDescent="0.25">
      <c r="A197" s="33" t="s">
        <v>757</v>
      </c>
      <c r="B197" s="7">
        <v>4040</v>
      </c>
      <c r="C197" s="21" t="s">
        <v>221</v>
      </c>
      <c r="D197" s="21" t="s">
        <v>410</v>
      </c>
      <c r="E197" s="13">
        <v>42813.797361111108</v>
      </c>
      <c r="F197" s="13">
        <v>42813.803229166668</v>
      </c>
      <c r="G197" s="7">
        <v>1</v>
      </c>
      <c r="H197" s="21" t="s">
        <v>922</v>
      </c>
      <c r="I197" s="13">
        <v>42813.808321759258</v>
      </c>
      <c r="J197" s="7">
        <v>0</v>
      </c>
      <c r="K197" s="98" t="str">
        <f t="shared" si="54"/>
        <v>4039/4040</v>
      </c>
      <c r="L197" s="21" t="str">
        <f>VLOOKUP(A197,'Trips&amp;Operators'!$C$1:$G$99999,5,FALSE)</f>
        <v>LOCKLEAR TRAVIS</v>
      </c>
      <c r="M197" s="6">
        <f t="shared" si="78"/>
        <v>5.0925925897900015E-3</v>
      </c>
      <c r="N197" s="7">
        <f t="shared" si="77"/>
        <v>7.3333333292976022</v>
      </c>
      <c r="O197" s="7"/>
      <c r="P197" s="7"/>
      <c r="Q197" s="22"/>
      <c r="R197" s="22"/>
      <c r="S197" s="31">
        <f t="shared" si="75"/>
        <v>1</v>
      </c>
      <c r="T197" s="46" t="str">
        <f t="shared" si="56"/>
        <v>NorthBound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57"/>
        <v>https://d0f6bd738d7f1b3e5a7ca70fe4ff75f0.us-east-1.aws.found.io/app/kibana#/discover/Steve-Slow-Train-Analysis-(2080s-and-2083s)?_g=(refreshInterval:(display:Off,pause:!f,section:0,value:0),time:(from:'2017-03-19T18:08:12-0600',mode:absolute,to:'2017-03-19T20:23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7" s="187" t="str">
        <f t="shared" si="58"/>
        <v>Y</v>
      </c>
      <c r="X197" s="187">
        <f t="shared" si="79"/>
        <v>1</v>
      </c>
      <c r="Y197" s="62">
        <f t="shared" si="60"/>
        <v>4.7100000000000003E-2</v>
      </c>
      <c r="Z197" s="62">
        <f t="shared" si="74"/>
        <v>2.3144999999999998</v>
      </c>
      <c r="AA197" s="62">
        <f t="shared" si="61"/>
        <v>2.2673999999999999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62"/>
        <v>0305-19</v>
      </c>
      <c r="AE197" s="85" t="str">
        <f t="shared" si="63"/>
        <v>aws s3 cp s3://rtdc.mdm.uploadarchive.raw/RTDC4040/ "%USERPROFILE%\AppData\Local\Temp\OnboardLogs"\RTDC4040\2017-03-19 --exclude "*" --recursive --include "*20170319*" &amp; "%USERPROFILE%\Documents\GitHub\mrs-test-scripts\Headless Mode &amp; Sideloading\WalkAndUnGZ.bat" "%USERPROFILE%\AppData\Local\Temp\OnboardLogs"\RTDC4040\2017-03-19 &amp; 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</v>
      </c>
      <c r="AF197" s="82" t="str">
        <f t="shared" si="64"/>
        <v>"C:\Program Files (x86)\AstroGrep\AstroGrep.exe" /e /r /s /spath="%USERPROFILE%\AppData\Local\Temp\OnboardLogs" /stypes="app*4040*20170320*" /stext=" 01:.+((SYSTEM_STATE.+slice.+state.+changed )|(ment ac)|(multiple cpu faults)|(system.+state.+changed )|(\[timeout)|(PRM\|1\|D)|(kpr)|(kdp)|(\|lc)|(penalty))"</v>
      </c>
      <c r="AG197" s="1" t="str">
        <f t="shared" si="65"/>
        <v>Other</v>
      </c>
      <c r="AH197" s="86" t="str">
        <f t="shared" si="66"/>
        <v>"%USERPROFILE%\Documents\GitHub\eaglep3\Utilities\RefineRTDCRunTimes.py" --tripid 305-19 --locoid 4040 --swversion DE.1.0.9.0 --startMP 204:471 --initTime 2017-03-19T19:08:12 --startdatetime 2017-03-19T19:16:39 --delay 1 --endMP 300:23145 --enddatetime 2017-03-19T19:23:59 --enforcementcount 0 &gt;&gt;%USERPROFILE%\Documents\GitHub\eaglep3-reporting\EC\2017-03-19-refined-times.txt</v>
      </c>
      <c r="AI197" s="108" t="str">
        <f t="shared" si="67"/>
        <v>echo {"issue":{"subject":"","project_id":79,"tracker_id":40,"status_id":1,"priority_id":2,"assigned_to_id":23,"start_date":"2017-03-19","description":"","custom_fields":[{"id":1,"name":"Subdivision","value":"Other"},{"id":4,"name":"Milepost","value":"2.3145"},{"id":17,"name":"Train ID","value":"305-19"},{"id":16,"name":"Locomotive ID","value":"4040"},{"id":130,"name":"Impact","value":""},{"id":150,"name":"Time of Event (Mountain Time)","value":"19:23:59"},{"id":151,"name":"Denver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68"/>
        <v>start /low /b %USERPROFILE%\Documents\GitHub\eaglep3\Utilities\DownloadLogsFromS3.py --loco 4040 --day 2017-03-19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"%USERPROFILE%\AppData\Local\Temp\OnboardLogs"\RTDC4040\*4040*20170320* | grep -SE "(Enforcement Action)|(\[TIMEOUT)|(CHR.+\|PRM\|1\|D.+(SWITCH|SIGNAL).+UNKNOWN)" - &gt;&gt; 2017-03-19-UncaughtWiMAX.txt</v>
      </c>
    </row>
    <row r="198" spans="1:40" x14ac:dyDescent="0.25">
      <c r="A198" s="33" t="s">
        <v>611</v>
      </c>
      <c r="B198" s="7">
        <v>4017</v>
      </c>
      <c r="C198" s="21" t="s">
        <v>221</v>
      </c>
      <c r="D198" s="21" t="s">
        <v>923</v>
      </c>
      <c r="E198" s="13">
        <v>42813.160613425927</v>
      </c>
      <c r="F198" s="13">
        <v>42813.164085648146</v>
      </c>
      <c r="G198" s="7">
        <v>4</v>
      </c>
      <c r="H198" s="21" t="s">
        <v>924</v>
      </c>
      <c r="I198" s="13">
        <v>42813.169953703706</v>
      </c>
      <c r="J198" s="7">
        <v>0</v>
      </c>
      <c r="K198" s="98" t="str">
        <f t="shared" si="54"/>
        <v>4017/4018</v>
      </c>
      <c r="L198" s="21" t="str">
        <f>VLOOKUP(A198,'Trips&amp;Operators'!$C$1:$G$99999,5,FALSE)</f>
        <v>BADERTSCHER DIANE</v>
      </c>
      <c r="M198" s="6">
        <f t="shared" si="78"/>
        <v>5.8680555594037287E-3</v>
      </c>
      <c r="N198" s="7">
        <f t="shared" si="77"/>
        <v>8.4500000055413693</v>
      </c>
      <c r="O198" s="7"/>
      <c r="P198" s="7"/>
      <c r="Q198" s="22"/>
      <c r="R198" s="22"/>
      <c r="S198" s="31">
        <f t="shared" si="75"/>
        <v>1</v>
      </c>
      <c r="T198" s="46" t="str">
        <f t="shared" si="56"/>
        <v>Southbound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57"/>
        <v>https://d0f6bd738d7f1b3e5a7ca70fe4ff75f0.us-east-1.aws.found.io/app/kibana#/discover/Steve-Slow-Train-Analysis-(2080s-and-2083s)?_g=(refreshInterval:(display:Off,pause:!f,section:0,value:0),time:(from:'2017-03-19T02:51:17-0600',mode:absolute,to:'2017-03-19T05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8" s="187" t="str">
        <f t="shared" si="58"/>
        <v>Y</v>
      </c>
      <c r="X198" s="187">
        <f t="shared" si="79"/>
        <v>1</v>
      </c>
      <c r="Y198" s="62">
        <f t="shared" si="60"/>
        <v>2.2951000000000001</v>
      </c>
      <c r="Z198" s="62">
        <f t="shared" si="74"/>
        <v>1.2999999999999999E-2</v>
      </c>
      <c r="AA198" s="62">
        <f t="shared" si="61"/>
        <v>2.2821000000000002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62"/>
        <v>0306-19</v>
      </c>
      <c r="AE198" s="85" t="str">
        <f t="shared" si="63"/>
        <v>aws s3 cp s3://rtdc.mdm.uploadarchive.raw/RTDC4017/ "%USERPROFILE%\AppData\Local\Temp\OnboardLogs"\RTDC4017\2017-03-19 --exclude "*" --recursive --include "*20170319*" &amp; "%USERPROFILE%\Documents\GitHub\mrs-test-scripts\Headless Mode &amp; Sideloading\WalkAndUnGZ.bat" "%USERPROFILE%\AppData\Local\Temp\OnboardLogs"\RTDC4017\2017-03-19 &amp; aws s3 cp s3://rtdc.mdm.uploadarchive.raw/RTDC4017/ "%USERPROFILE%\AppData\Local\Temp\OnboardLogs"\RTDC4017\2017-03-20 --exclude "*" --recursive --include "*20170320*" &amp; "%USERPROFILE%\Documents\GitHub\mrs-test-scripts\Headless Mode &amp; Sideloading\WalkAndUnGZ.bat" "%USERPROFILE%\AppData\Local\Temp\OnboardLogs"\RTDC4017\2017-03-20</v>
      </c>
      <c r="AF198" s="82" t="str">
        <f t="shared" si="64"/>
        <v>"C:\Program Files (x86)\AstroGrep\AstroGrep.exe" /e /r /s /spath="%USERPROFILE%\AppData\Local\Temp\OnboardLogs" /stypes="app*4017*20170319*" /stext=" 10:.+((SYSTEM_STATE.+slice.+state.+changed )|(ment ac)|(multiple cpu faults)|(system.+state.+changed )|(\[timeout)|(PRM\|1\|D)|(kpr)|(kdp)|(\|lc)|(penalty))"</v>
      </c>
      <c r="AG198" s="1" t="str">
        <f t="shared" si="65"/>
        <v>Other</v>
      </c>
      <c r="AH198" s="86" t="str">
        <f t="shared" si="66"/>
        <v>"%USERPROFILE%\Documents\GitHub\eaglep3\Utilities\RefineRTDCRunTimes.py" --tripid 306-19 --locoid 4017 --swversion DE.1.0.9.0 --startMP 300:22951 --initTime 2017-03-19T03:51:17 --startdatetime 2017-03-19T03:56:17 --delay 4 --endMP 204:130 --enddatetime 2017-03-19T04:04:44 --enforcementcount 0 &gt;&gt;%USERPROFILE%\Documents\GitHub\eaglep3-reporting\EC\2017-03-19-refined-times.txt</v>
      </c>
      <c r="AI198" s="108" t="str">
        <f t="shared" si="67"/>
        <v>echo {"issue":{"subject":"","project_id":79,"tracker_id":40,"status_id":1,"priority_id":2,"assigned_to_id":23,"start_date":"2017-03-19","description":"","custom_fields":[{"id":1,"name":"Subdivision","value":"Other"},{"id":4,"name":"Milepost","value":"0.013"},{"id":17,"name":"Train ID","value":"306-19"},{"id":16,"name":"Locomotive ID","value":"4017"},{"id":130,"name":"Impact","value":""},{"id":150,"name":"Time of Event (Mountain Time)","value":"04:04:44"},{"id":151,"name":"Denver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68"/>
        <v>start /low /b %USERPROFILE%\Documents\GitHub\eaglep3\Utilities\DownloadLogsFromS3.py --loco 4017 --day 2017-03-19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"%USERPROFILE%\AppData\Local\Temp\OnboardLogs"\RTDC4017\*4017*20170319* | grep -SE "(Enforcement Action)|(\[TIMEOUT)|(CHR.+\|PRM\|1\|D.+(SWITCH|SIGNAL).+UNKNOWN)" - &gt;&gt; 2017-03-19-UncaughtWiMAX.txt</v>
      </c>
    </row>
    <row r="199" spans="1:40" x14ac:dyDescent="0.25">
      <c r="A199" s="33" t="s">
        <v>763</v>
      </c>
      <c r="B199" s="7">
        <v>4003</v>
      </c>
      <c r="C199" s="21" t="s">
        <v>221</v>
      </c>
      <c r="D199" s="21" t="s">
        <v>207</v>
      </c>
      <c r="E199" s="13">
        <v>42813.819768518515</v>
      </c>
      <c r="F199" s="13">
        <v>42813.822060185186</v>
      </c>
      <c r="G199" s="7">
        <v>2</v>
      </c>
      <c r="H199" s="21" t="s">
        <v>925</v>
      </c>
      <c r="I199" s="13">
        <v>42813.827106481483</v>
      </c>
      <c r="J199" s="7">
        <v>0</v>
      </c>
      <c r="K199" s="98" t="str">
        <f t="shared" si="54"/>
        <v>4003/4004</v>
      </c>
      <c r="L199" s="21" t="str">
        <f>VLOOKUP(A199,'Trips&amp;Operators'!$C$1:$G$99999,5,FALSE)</f>
        <v>BRANDNER MELINDA</v>
      </c>
      <c r="M199" s="6">
        <f t="shared" si="78"/>
        <v>5.0462962972233072E-3</v>
      </c>
      <c r="N199" s="7">
        <f t="shared" si="77"/>
        <v>7.2666666680015624</v>
      </c>
      <c r="O199" s="7"/>
      <c r="P199" s="7"/>
      <c r="Q199" s="22"/>
      <c r="R199" s="22"/>
      <c r="S199" s="31">
        <f t="shared" si="75"/>
        <v>1</v>
      </c>
      <c r="T199" s="46" t="str">
        <f t="shared" si="56"/>
        <v>NorthBound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57"/>
        <v>https://d0f6bd738d7f1b3e5a7ca70fe4ff75f0.us-east-1.aws.found.io/app/kibana#/discover/Steve-Slow-Train-Analysis-(2080s-and-2083s)?_g=(refreshInterval:(display:Off,pause:!f,section:0,value:0),time:(from:'2017-03-19T18:40:28-0600',mode:absolute,to:'2017-03-19T20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9" s="187" t="str">
        <f t="shared" si="58"/>
        <v>Y</v>
      </c>
      <c r="X199" s="187">
        <f t="shared" si="79"/>
        <v>1</v>
      </c>
      <c r="Y199" s="62">
        <f t="shared" si="60"/>
        <v>4.5699999999999998E-2</v>
      </c>
      <c r="Z199" s="62">
        <f t="shared" si="74"/>
        <v>2.2986</v>
      </c>
      <c r="AA199" s="62">
        <f t="shared" si="61"/>
        <v>2.2528999999999999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62"/>
        <v>0307-19</v>
      </c>
      <c r="AE199" s="85" t="str">
        <f t="shared" si="63"/>
        <v>aws s3 cp s3://rtdc.mdm.uploadarchive.raw/RTDC4003/ "%USERPROFILE%\AppData\Local\Temp\OnboardLogs"\RTDC4003\2017-03-19 --exclude "*" --recursive --include "*20170319*" &amp; "%USERPROFILE%\Documents\GitHub\mrs-test-scripts\Headless Mode &amp; Sideloading\WalkAndUnGZ.bat" "%USERPROFILE%\AppData\Local\Temp\OnboardLogs"\RTDC4003\2017-03-19 &amp; 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</v>
      </c>
      <c r="AF199" s="82" t="str">
        <f t="shared" si="64"/>
        <v>"C:\Program Files (x86)\AstroGrep\AstroGrep.exe" /e /r /s /spath="%USERPROFILE%\AppData\Local\Temp\OnboardLogs" /stypes="app*4003*20170320*" /stext=" 01:.+((SYSTEM_STATE.+slice.+state.+changed )|(ment ac)|(multiple cpu faults)|(system.+state.+changed )|(\[timeout)|(PRM\|1\|D)|(kpr)|(kdp)|(\|lc)|(penalty))"</v>
      </c>
      <c r="AG199" s="1" t="str">
        <f t="shared" si="65"/>
        <v>Other</v>
      </c>
      <c r="AH199" s="86" t="str">
        <f t="shared" si="66"/>
        <v>"%USERPROFILE%\Documents\GitHub\eaglep3\Utilities\RefineRTDCRunTimes.py" --tripid 307-19 --locoid 4003 --swversion DE.1.0.9.0 --startMP 204:457 --initTime 2017-03-19T19:40:28 --startdatetime 2017-03-19T19:43:46 --delay 2 --endMP 300:22986 --enddatetime 2017-03-19T19:51:02 --enforcementcount 0 &gt;&gt;%USERPROFILE%\Documents\GitHub\eaglep3-reporting\EC\2017-03-19-refined-times.txt</v>
      </c>
      <c r="AI199" s="108" t="str">
        <f t="shared" si="67"/>
        <v>echo {"issue":{"subject":"","project_id":79,"tracker_id":40,"status_id":1,"priority_id":2,"assigned_to_id":23,"start_date":"2017-03-19","description":"","custom_fields":[{"id":1,"name":"Subdivision","value":"Other"},{"id":4,"name":"Milepost","value":"2.2986"},{"id":17,"name":"Train ID","value":"307-19"},{"id":16,"name":"Locomotive ID","value":"4003"},{"id":130,"name":"Impact","value":""},{"id":150,"name":"Time of Event (Mountain Time)","value":"19:51:02"},{"id":151,"name":"Denver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68"/>
        <v>start /low /b %USERPROFILE%\Documents\GitHub\eaglep3\Utilities\DownloadLogsFromS3.py --loco 4003 --day 2017-03-19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"%USERPROFILE%\AppData\Local\Temp\OnboardLogs"\RTDC4003\*4003*20170320* | grep -SE "(Enforcement Action)|(\[TIMEOUT)|(CHR.+\|PRM\|1\|D.+(SWITCH|SIGNAL).+UNKNOWN)" - &gt;&gt; 2017-03-19-UncaughtWiMAX.txt</v>
      </c>
    </row>
    <row r="200" spans="1:40" x14ac:dyDescent="0.25">
      <c r="A200" s="33" t="s">
        <v>614</v>
      </c>
      <c r="B200" s="7">
        <v>4015</v>
      </c>
      <c r="C200" s="21" t="s">
        <v>221</v>
      </c>
      <c r="D200" s="21" t="s">
        <v>926</v>
      </c>
      <c r="E200" s="13">
        <v>42813.173101851855</v>
      </c>
      <c r="F200" s="13">
        <v>42813.175717592596</v>
      </c>
      <c r="G200" s="7">
        <v>3</v>
      </c>
      <c r="H200" s="21" t="s">
        <v>204</v>
      </c>
      <c r="I200" s="13">
        <v>42813.181168981479</v>
      </c>
      <c r="J200" s="7">
        <v>0</v>
      </c>
      <c r="K200" s="98" t="str">
        <f t="shared" si="54"/>
        <v>4015/4016</v>
      </c>
      <c r="L200" s="21" t="str">
        <f>VLOOKUP(A200,'Trips&amp;Operators'!$C$1:$G$99999,5,FALSE)</f>
        <v>DAVIS WENDY</v>
      </c>
      <c r="M200" s="6">
        <f t="shared" si="78"/>
        <v>5.4513888826477341E-3</v>
      </c>
      <c r="N200" s="7">
        <f t="shared" si="77"/>
        <v>7.8499999910127372</v>
      </c>
      <c r="O200" s="7"/>
      <c r="P200" s="7"/>
      <c r="Q200" s="22"/>
      <c r="R200" s="22"/>
      <c r="S200" s="31">
        <f t="shared" si="75"/>
        <v>1</v>
      </c>
      <c r="T200" s="46" t="str">
        <f t="shared" si="56"/>
        <v>Southbound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57"/>
        <v>https://d0f6bd738d7f1b3e5a7ca70fe4ff75f0.us-east-1.aws.found.io/app/kibana#/discover/Steve-Slow-Train-Analysis-(2080s-and-2083s)?_g=(refreshInterval:(display:Off,pause:!f,section:0,value:0),time:(from:'2017-03-19T03:09:16-0600',mode:absolute,to:'2017-03-19T05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0" s="187" t="str">
        <f t="shared" si="58"/>
        <v>Y</v>
      </c>
      <c r="X200" s="187">
        <f t="shared" si="79"/>
        <v>1</v>
      </c>
      <c r="Y200" s="62">
        <f t="shared" si="60"/>
        <v>2.3616000000000001</v>
      </c>
      <c r="Z200" s="62">
        <f t="shared" si="74"/>
        <v>1.54E-2</v>
      </c>
      <c r="AA200" s="62">
        <f t="shared" si="61"/>
        <v>2.3462000000000001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62"/>
        <v>0308-19</v>
      </c>
      <c r="AE200" s="85" t="str">
        <f t="shared" si="63"/>
        <v>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 &amp; 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</v>
      </c>
      <c r="AF200" s="82" t="str">
        <f t="shared" si="64"/>
        <v>"C:\Program Files (x86)\AstroGrep\AstroGrep.exe" /e /r /s /spath="%USERPROFILE%\AppData\Local\Temp\OnboardLogs" /stypes="app*4015*20170319*" /stext=" 10:.+((SYSTEM_STATE.+slice.+state.+changed )|(ment ac)|(multiple cpu faults)|(system.+state.+changed )|(\[timeout)|(PRM\|1\|D)|(kpr)|(kdp)|(\|lc)|(penalty))"</v>
      </c>
      <c r="AG200" s="1" t="str">
        <f t="shared" si="65"/>
        <v>Other</v>
      </c>
      <c r="AH200" s="86" t="str">
        <f t="shared" si="66"/>
        <v>"%USERPROFILE%\Documents\GitHub\eaglep3\Utilities\RefineRTDCRunTimes.py" --tripid 308-19 --locoid 4015 --swversion DE.1.0.9.0 --startMP 300:23616 --initTime 2017-03-19T04:09:16 --startdatetime 2017-03-19T04:13:02 --delay 3 --endMP 204:154 --enddatetime 2017-03-19T04:20:53 --enforcementcount 0 &gt;&gt;%USERPROFILE%\Documents\GitHub\eaglep3-reporting\EC\2017-03-19-refined-times.txt</v>
      </c>
      <c r="AI200" s="108" t="str">
        <f t="shared" si="67"/>
        <v>echo {"issue":{"subject":"","project_id":79,"tracker_id":40,"status_id":1,"priority_id":2,"assigned_to_id":23,"start_date":"2017-03-19","description":"","custom_fields":[{"id":1,"name":"Subdivision","value":"Other"},{"id":4,"name":"Milepost","value":"0.0154"},{"id":17,"name":"Train ID","value":"308-19"},{"id":16,"name":"Locomotive ID","value":"4015"},{"id":130,"name":"Impact","value":""},{"id":150,"name":"Time of Event (Mountain Time)","value":"04:20:53"},{"id":151,"name":"Denver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68"/>
        <v>start /low /b %USERPROFILE%\Documents\GitHub\eaglep3\Utilities\DownloadLogsFromS3.py --loco 4015 --day 2017-03-19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"%USERPROFILE%\AppData\Local\Temp\OnboardLogs"\RTDC4015\*4015*20170319* | grep -SE "(Enforcement Action)|(\[TIMEOUT)|(CHR.+\|PRM\|1\|D.+(SWITCH|SIGNAL).+UNKNOWN)" - &gt;&gt; 2017-03-19-UncaughtWiMAX.txt</v>
      </c>
    </row>
    <row r="201" spans="1:40" x14ac:dyDescent="0.25">
      <c r="A201" s="33" t="s">
        <v>793</v>
      </c>
      <c r="B201" s="7">
        <v>4053</v>
      </c>
      <c r="C201" s="21" t="s">
        <v>221</v>
      </c>
      <c r="D201" s="21" t="s">
        <v>218</v>
      </c>
      <c r="E201" s="13">
        <v>42814.047025462962</v>
      </c>
      <c r="F201" s="13">
        <v>42814.048298611109</v>
      </c>
      <c r="G201" s="7">
        <v>1</v>
      </c>
      <c r="H201" s="21" t="s">
        <v>927</v>
      </c>
      <c r="I201" s="13">
        <v>42814.052754629629</v>
      </c>
      <c r="J201" s="7">
        <v>0</v>
      </c>
      <c r="K201" s="98" t="str">
        <f t="shared" si="54"/>
        <v>4053/4054</v>
      </c>
      <c r="L201" s="21" t="str">
        <f>VLOOKUP(A201,'Trips&amp;Operators'!$C$1:$G$99999,5,FALSE)</f>
        <v>NEWELL JAMES</v>
      </c>
      <c r="M201" s="6">
        <f t="shared" si="78"/>
        <v>4.4560185197042301E-3</v>
      </c>
      <c r="N201" s="7">
        <f t="shared" si="77"/>
        <v>6.4166666683740914</v>
      </c>
      <c r="O201" s="7"/>
      <c r="P201" s="7"/>
      <c r="Q201" s="22"/>
      <c r="R201" s="22"/>
      <c r="S201" s="31">
        <f t="shared" si="75"/>
        <v>1</v>
      </c>
      <c r="T201" s="46" t="str">
        <f t="shared" si="56"/>
        <v>NorthBound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57"/>
        <v>https://d0f6bd738d7f1b3e5a7ca70fe4ff75f0.us-east-1.aws.found.io/app/kibana#/discover/Steve-Slow-Train-Analysis-(2080s-and-2083s)?_g=(refreshInterval:(display:Off,pause:!f,section:0,value:0),time:(from:'2017-03-20T00:07:43-0600',mode:absolute,to:'2017-03-20T02:15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1" s="187" t="str">
        <f t="shared" si="58"/>
        <v>Y</v>
      </c>
      <c r="X201" s="187">
        <f t="shared" si="79"/>
        <v>1</v>
      </c>
      <c r="Y201" s="62">
        <f t="shared" si="60"/>
        <v>4.6600000000000003E-2</v>
      </c>
      <c r="Z201" s="62">
        <f t="shared" ref="Z201:Z222" si="80">RIGHT(H201,LEN(H201)-4)/10000</f>
        <v>2.2997999999999998</v>
      </c>
      <c r="AA201" s="62">
        <f t="shared" si="61"/>
        <v>2.2531999999999996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62"/>
        <v>0309-19</v>
      </c>
      <c r="AE201" s="85" t="str">
        <f t="shared" si="63"/>
        <v>aws s3 cp s3://rtdc.mdm.uploadarchive.raw/RTDC4053/ "%USERPROFILE%\AppData\Local\Temp\OnboardLogs"\RTDC4053\2017-03-20 --exclude "*" --recursive --include "*20170320*" &amp; "%USERPROFILE%\Documents\GitHub\mrs-test-scripts\Headless Mode &amp; Sideloading\WalkAndUnGZ.bat" "%USERPROFILE%\AppData\Local\Temp\OnboardLogs"\RTDC4053\2017-03-20 &amp; aws s3 cp s3://rtdc.mdm.uploadarchive.raw/RTDC4053/ "%USERPROFILE%\AppData\Local\Temp\OnboardLogs"\RTDC4053\2017-03-21 --exclude "*" --recursive --include "*20170321*" &amp; "%USERPROFILE%\Documents\GitHub\mrs-test-scripts\Headless Mode &amp; Sideloading\WalkAndUnGZ.bat" "%USERPROFILE%\AppData\Local\Temp\OnboardLogs"\RTDC4053\2017-03-21</v>
      </c>
      <c r="AF201" s="82" t="str">
        <f t="shared" si="64"/>
        <v>"C:\Program Files (x86)\AstroGrep\AstroGrep.exe" /e /r /s /spath="%USERPROFILE%\AppData\Local\Temp\OnboardLogs" /stypes="app*4053*20170320*" /stext=" 07:.+((SYSTEM_STATE.+slice.+state.+changed )|(ment ac)|(multiple cpu faults)|(system.+state.+changed )|(\[timeout)|(PRM\|1\|D)|(kpr)|(kdp)|(\|lc)|(penalty))"</v>
      </c>
      <c r="AG201" s="1" t="str">
        <f t="shared" si="65"/>
        <v>Other</v>
      </c>
      <c r="AH201" s="86" t="str">
        <f t="shared" si="66"/>
        <v>"%USERPROFILE%\Documents\GitHub\eaglep3\Utilities\RefineRTDCRunTimes.py" --tripid 309-19 --locoid 4053 --swversion DE.1.0.9.0 --startMP 204:466 --initTime 2017-03-20T01:07:43 --startdatetime 2017-03-20T01:09:33 --delay 1 --endMP 300:22998 --enddatetime 2017-03-20T01:15:58 --enforcementcount 0 &gt;&gt;%USERPROFILE%\Documents\GitHub\eaglep3-reporting\EC\2017-03-19-refined-times.txt</v>
      </c>
      <c r="AI201" s="108" t="str">
        <f t="shared" si="67"/>
        <v>echo {"issue":{"subject":"","project_id":79,"tracker_id":40,"status_id":1,"priority_id":2,"assigned_to_id":23,"start_date":"2017-03-20","description":"","custom_fields":[{"id":1,"name":"Subdivision","value":"Other"},{"id":4,"name":"Milepost","value":"2.2998"},{"id":17,"name":"Train ID","value":"309-19"},{"id":16,"name":"Locomotive ID","value":"4053"},{"id":130,"name":"Impact","value":""},{"id":150,"name":"Time of Event (Mountain Time)","value":"01:15:58"},{"id":151,"name":"Denver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68"/>
        <v>start /low /b %USERPROFILE%\Documents\GitHub\eaglep3\Utilities\DownloadLogsFromS3.py --loco 4053 --day 2017-03-20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"%USERPROFILE%\AppData\Local\Temp\OnboardLogs"\RTDC4053\*4053*20170320* | grep -SE "(Enforcement Action)|(\[TIMEOUT)|(CHR.+\|PRM\|1\|D.+(SWITCH|SIGNAL).+UNKNOWN)" - &gt;&gt; 2017-03-19-UncaughtWiMAX.txt</v>
      </c>
    </row>
    <row r="202" spans="1:40" x14ac:dyDescent="0.25">
      <c r="A202" s="33" t="s">
        <v>615</v>
      </c>
      <c r="B202" s="7">
        <v>4026</v>
      </c>
      <c r="C202" s="21" t="s">
        <v>221</v>
      </c>
      <c r="D202" s="21" t="s">
        <v>928</v>
      </c>
      <c r="E202" s="13">
        <v>42813.177152777775</v>
      </c>
      <c r="F202" s="13">
        <v>42813.179444444446</v>
      </c>
      <c r="G202" s="7">
        <v>3</v>
      </c>
      <c r="H202" s="21" t="s">
        <v>198</v>
      </c>
      <c r="I202" s="13">
        <v>42813.185671296298</v>
      </c>
      <c r="J202" s="7">
        <v>0</v>
      </c>
      <c r="K202" s="98" t="str">
        <f t="shared" si="54"/>
        <v>4025/4026</v>
      </c>
      <c r="L202" s="21" t="str">
        <f>VLOOKUP(A202,'Trips&amp;Operators'!$C$1:$G$99999,5,FALSE)</f>
        <v>ROBINSON KADDIBA</v>
      </c>
      <c r="M202" s="6">
        <f t="shared" si="78"/>
        <v>6.2268518522614613E-3</v>
      </c>
      <c r="N202" s="7">
        <f t="shared" si="77"/>
        <v>8.9666666672565043</v>
      </c>
      <c r="O202" s="7"/>
      <c r="P202" s="7"/>
      <c r="Q202" s="22"/>
      <c r="R202" s="22"/>
      <c r="S202" s="31">
        <f t="shared" si="75"/>
        <v>1</v>
      </c>
      <c r="T202" s="46" t="str">
        <f t="shared" si="56"/>
        <v>Southbound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57"/>
        <v>https://d0f6bd738d7f1b3e5a7ca70fe4ff75f0.us-east-1.aws.found.io/app/kibana#/discover/Steve-Slow-Train-Analysis-(2080s-and-2083s)?_g=(refreshInterval:(display:Off,pause:!f,section:0,value:0),time:(from:'2017-03-19T03:15:06-0600',mode:absolute,to:'2017-03-19T05:27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2" s="187" t="str">
        <f t="shared" si="58"/>
        <v>Y</v>
      </c>
      <c r="X202" s="187">
        <f t="shared" si="79"/>
        <v>1</v>
      </c>
      <c r="Y202" s="62">
        <f t="shared" si="60"/>
        <v>2.35</v>
      </c>
      <c r="Z202" s="62">
        <f t="shared" si="80"/>
        <v>1.52E-2</v>
      </c>
      <c r="AA202" s="62">
        <f t="shared" si="61"/>
        <v>2.3348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62"/>
        <v>0310-19</v>
      </c>
      <c r="AE202" s="85" t="str">
        <f t="shared" si="63"/>
        <v>aws s3 cp s3://rtdc.mdm.uploadarchive.raw/RTDC4026/ "%USERPROFILE%\AppData\Local\Temp\OnboardLogs"\RTDC4026\2017-03-19 --exclude "*" --recursive --include "*20170319*" &amp; "%USERPROFILE%\Documents\GitHub\mrs-test-scripts\Headless Mode &amp; Sideloading\WalkAndUnGZ.bat" "%USERPROFILE%\AppData\Local\Temp\OnboardLogs"\RTDC4026\2017-03-19 &amp; 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</v>
      </c>
      <c r="AF202" s="82" t="str">
        <f t="shared" si="64"/>
        <v>"C:\Program Files (x86)\AstroGrep\AstroGrep.exe" /e /r /s /spath="%USERPROFILE%\AppData\Local\Temp\OnboardLogs" /stypes="app*4026*20170319*" /stext=" 10:.+((SYSTEM_STATE.+slice.+state.+changed )|(ment ac)|(multiple cpu faults)|(system.+state.+changed )|(\[timeout)|(PRM\|1\|D)|(kpr)|(kdp)|(\|lc)|(penalty))"</v>
      </c>
      <c r="AG202" s="1" t="str">
        <f t="shared" si="65"/>
        <v>Other</v>
      </c>
      <c r="AH202" s="86" t="str">
        <f t="shared" si="66"/>
        <v>"%USERPROFILE%\Documents\GitHub\eaglep3\Utilities\RefineRTDCRunTimes.py" --tripid 310-19 --locoid 4026 --swversion DE.1.0.9.0 --startMP 300:23500 --initTime 2017-03-19T04:15:06 --startdatetime 2017-03-19T04:18:24 --delay 3 --endMP 204:152 --enddatetime 2017-03-19T04:27:22 --enforcementcount 0 &gt;&gt;%USERPROFILE%\Documents\GitHub\eaglep3-reporting\EC\2017-03-19-refined-times.txt</v>
      </c>
      <c r="AI202" s="108" t="str">
        <f t="shared" si="67"/>
        <v>echo {"issue":{"subject":"","project_id":79,"tracker_id":40,"status_id":1,"priority_id":2,"assigned_to_id":23,"start_date":"2017-03-19","description":"","custom_fields":[{"id":1,"name":"Subdivision","value":"Other"},{"id":4,"name":"Milepost","value":"0.0152"},{"id":17,"name":"Train ID","value":"310-19"},{"id":16,"name":"Locomotive ID","value":"4026"},{"id":130,"name":"Impact","value":""},{"id":150,"name":"Time of Event (Mountain Time)","value":"04:27:22"},{"id":151,"name":"Denver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68"/>
        <v>start /low /b %USERPROFILE%\Documents\GitHub\eaglep3\Utilities\DownloadLogsFromS3.py --loco 4026 --day 2017-03-19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"%USERPROFILE%\AppData\Local\Temp\OnboardLogs"\RTDC4026\*4026*20170319* | grep -SE "(Enforcement Action)|(\[TIMEOUT)|(CHR.+\|PRM\|1\|D.+(SWITCH|SIGNAL).+UNKNOWN)" - &gt;&gt; 2017-03-19-UncaughtWiMAX.txt</v>
      </c>
    </row>
    <row r="203" spans="1:40" x14ac:dyDescent="0.25">
      <c r="A203" s="33" t="s">
        <v>530</v>
      </c>
      <c r="B203" s="7">
        <v>4029</v>
      </c>
      <c r="C203" s="21" t="s">
        <v>221</v>
      </c>
      <c r="D203" s="21" t="s">
        <v>410</v>
      </c>
      <c r="E203" s="13">
        <v>42813.077534722222</v>
      </c>
      <c r="F203" s="13">
        <v>42813.079444444447</v>
      </c>
      <c r="G203" s="7">
        <v>2</v>
      </c>
      <c r="H203" s="21" t="s">
        <v>411</v>
      </c>
      <c r="I203" s="13">
        <v>42813.084201388891</v>
      </c>
      <c r="J203" s="7">
        <v>0</v>
      </c>
      <c r="K203" s="98" t="str">
        <f t="shared" ref="K203:K222" si="81">IF(ISEVEN(B203),(B203-1)&amp;"/"&amp;B203,B203&amp;"/"&amp;(B203+1))</f>
        <v>4029/4030</v>
      </c>
      <c r="L203" s="21" t="str">
        <f>VLOOKUP(A203,'Trips&amp;Operators'!$C$1:$G$99999,5,FALSE)</f>
        <v>SMITH MICHAEL</v>
      </c>
      <c r="M203" s="6">
        <f t="shared" si="78"/>
        <v>4.756944443215616E-3</v>
      </c>
      <c r="N203" s="7">
        <f t="shared" si="77"/>
        <v>6.8499999982304871</v>
      </c>
      <c r="O203" s="7"/>
      <c r="P203" s="7"/>
      <c r="Q203" s="22"/>
      <c r="R203" s="22"/>
      <c r="S203" s="31">
        <f t="shared" si="75"/>
        <v>1</v>
      </c>
      <c r="T203" s="46" t="str">
        <f t="shared" ref="T203:T222" si="82">IF(ISEVEN(LEFT(AD203,4)),"Southbound","NorthBound")</f>
        <v>NorthBound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ref="V203:V222" si="83"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-03-19T00:51:39-0600',mode:absolute,to:'2017-03-19T03:01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3" s="187" t="str">
        <f t="shared" ref="W203:W222" si="84">IF(AA203&lt;IF(AG203="EC",23,5.65),"Y","N")</f>
        <v>Y</v>
      </c>
      <c r="X203" s="187">
        <f t="shared" si="79"/>
        <v>1</v>
      </c>
      <c r="Y203" s="62">
        <f t="shared" ref="Y203:Y222" si="85">RIGHT(D203,LEN(D203)-4)/10000</f>
        <v>4.7100000000000003E-2</v>
      </c>
      <c r="Z203" s="62">
        <f t="shared" si="80"/>
        <v>2.3304</v>
      </c>
      <c r="AA203" s="62">
        <f t="shared" ref="AA203:AA222" si="86">ABS(Z203-Y203)</f>
        <v>2.2833000000000001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ref="AD203:AD222" si="87">IF(LEN(A203)=6,"0"&amp;A203,A203)</f>
        <v>0311-18</v>
      </c>
      <c r="AE203" s="85" t="str">
        <f t="shared" ref="AE203:AE222" si="88"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s3://rtdc.mdm.uploadarchive.raw/RTDC4029/ "%USERPROFILE%\AppData\Local\Temp\OnboardLogs"\RTDC4029\2017-03-19 --exclude "*" --recursive --include "*20170319*" &amp; "%USERPROFILE%\Documents\GitHub\mrs-test-scripts\Headless Mode &amp; Sideloading\WalkAndUnGZ.bat" "%USERPROFILE%\AppData\Local\Temp\OnboardLogs"\RTDC4029\2017-03-19 &amp; aws s3 cp s3://rtdc.mdm.uploadarchive.raw/RTDC4029/ "%USERPROFILE%\AppData\Local\Temp\OnboardLogs"\RTDC4029\2017-03-20 --exclude "*" --recursive --include "*20170320*" &amp; "%USERPROFILE%\Documents\GitHub\mrs-test-scripts\Headless Mode &amp; Sideloading\WalkAndUnGZ.bat" "%USERPROFILE%\AppData\Local\Temp\OnboardLogs"\RTDC4029\2017-03-20</v>
      </c>
      <c r="AF203" s="82" t="str">
        <f t="shared" ref="AF203:AF222" si="89"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/stypes="app*4029*20170319*" /stext=" 08:.+((SYSTEM_STATE.+slice.+state.+changed )|(ment ac)|(multiple cpu faults)|(system.+state.+changed )|(\[timeout)|(PRM\|1\|D)|(kpr)|(kdp)|(\|lc)|(penalty))"</v>
      </c>
      <c r="AG203" s="1" t="str">
        <f t="shared" ref="AG203:AG222" si="90">IFERROR(IF(VALUE(LEFT(AD203,2))&lt;=2,"EC",IF(OR(VALUE(LEFT(AD203,2))=8,VALUE(LEFT(AD203,2))=18),"NW","Other")),"Other")</f>
        <v>Other</v>
      </c>
      <c r="AH203" s="86" t="str">
        <f t="shared" si="66"/>
        <v>"%USERPROFILE%\Documents\GitHub\eaglep3\Utilities\RefineRTDCRunTimes.py" --tripid 311-18 --locoid 4029 --swversion DE.1.0.9.0 --startMP 204:471 --initTime 2017-03-19T01:51:39 --startdatetime 2017-03-19T01:54:24 --delay 2 --endMP 300:23304 --enddatetime 2017-03-19T02:01:15 --enforcementcount 0 &gt;&gt;%USERPROFILE%\Documents\GitHub\eaglep3-reporting\EC\2017-03-19-refined-times.txt</v>
      </c>
      <c r="AI203" s="108" t="str">
        <f t="shared" si="67"/>
        <v>echo {"issue":{"subject":"","project_id":79,"tracker_id":40,"status_id":1,"priority_id":2,"assigned_to_id":23,"start_date":"2017-03-19","description":"","custom_fields":[{"id":1,"name":"Subdivision","value":"Other"},{"id":4,"name":"Milepost","value":"2.3304"},{"id":17,"name":"Train ID","value":"311-18"},{"id":16,"name":"Locomotive ID","value":"4029"},{"id":130,"name":"Impact","value":""},{"id":150,"name":"Time of Event (Mountain Time)","value":"02:01:15"},{"id":151,"name":"Denver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68"/>
        <v>start /low /b %USERPROFILE%\Documents\GitHub\eaglep3\Utilities\DownloadLogsFromS3.py --loco 4029 --day 2017-03-19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"%USERPROFILE%\AppData\Local\Temp\OnboardLogs"\RTDC4029\*4029*20170319* | grep -SE "(Enforcement Action)|(\[TIMEOUT)|(CHR.+\|PRM\|1\|D.+(SWITCH|SIGNAL).+UNKNOWN)" - &gt;&gt; 2017-03-19-UncaughtWiMAX.txt</v>
      </c>
    </row>
    <row r="204" spans="1:40" x14ac:dyDescent="0.25">
      <c r="A204" s="33" t="s">
        <v>795</v>
      </c>
      <c r="B204" s="7">
        <v>4002</v>
      </c>
      <c r="C204" s="21" t="s">
        <v>221</v>
      </c>
      <c r="D204" s="21" t="s">
        <v>230</v>
      </c>
      <c r="E204" s="13">
        <v>42814.069386574076</v>
      </c>
      <c r="F204" s="13">
        <v>42814.072812500002</v>
      </c>
      <c r="G204" s="7">
        <v>1</v>
      </c>
      <c r="H204" s="21" t="s">
        <v>929</v>
      </c>
      <c r="I204" s="13">
        <v>42814.077592592592</v>
      </c>
      <c r="J204" s="7">
        <v>0</v>
      </c>
      <c r="K204" s="98" t="str">
        <f t="shared" si="81"/>
        <v>4001/4002</v>
      </c>
      <c r="L204" s="21" t="str">
        <f>VLOOKUP(A204,'Trips&amp;Operators'!$C$1:$G$99999,5,FALSE)</f>
        <v>SMITH MICHAEL</v>
      </c>
      <c r="M204" s="6">
        <f t="shared" si="78"/>
        <v>4.7800925894989632E-3</v>
      </c>
      <c r="N204" s="7">
        <f t="shared" si="77"/>
        <v>6.883333328878507</v>
      </c>
      <c r="O204" s="7"/>
      <c r="P204" s="7"/>
      <c r="Q204" s="22"/>
      <c r="R204" s="22"/>
      <c r="S204" s="31">
        <f t="shared" si="75"/>
        <v>1</v>
      </c>
      <c r="T204" s="46" t="str">
        <f t="shared" si="82"/>
        <v>NorthBound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83"/>
        <v>https://d0f6bd738d7f1b3e5a7ca70fe4ff75f0.us-east-1.aws.found.io/app/kibana#/discover/Steve-Slow-Train-Analysis-(2080s-and-2083s)?_g=(refreshInterval:(display:Off,pause:!f,section:0,value:0),time:(from:'2017-03-20T00:39:55-0600',mode:absolute,to:'2017-03-20T02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4" s="187" t="str">
        <f t="shared" si="84"/>
        <v>Y</v>
      </c>
      <c r="X204" s="187">
        <f t="shared" si="79"/>
        <v>0</v>
      </c>
      <c r="Y204" s="62">
        <f t="shared" si="85"/>
        <v>4.6899999999999997E-2</v>
      </c>
      <c r="Z204" s="62">
        <f t="shared" si="80"/>
        <v>2.3300999999999998</v>
      </c>
      <c r="AA204" s="62">
        <f t="shared" si="86"/>
        <v>2.2831999999999999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87"/>
        <v>0311-19</v>
      </c>
      <c r="AE204" s="85" t="str">
        <f t="shared" si="88"/>
        <v>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 &amp; aws s3 cp s3://rtdc.mdm.uploadarchive.raw/RTDC4002/ "%USERPROFILE%\AppData\Local\Temp\OnboardLogs"\RTDC4002\2017-03-21 --exclude "*" --recursive --include "*20170321*" &amp; "%USERPROFILE%\Documents\GitHub\mrs-test-scripts\Headless Mode &amp; Sideloading\WalkAndUnGZ.bat" "%USERPROFILE%\AppData\Local\Temp\OnboardLogs"\RTDC4002\2017-03-21</v>
      </c>
      <c r="AF204" s="82" t="str">
        <f t="shared" si="89"/>
        <v>"C:\Program Files (x86)\AstroGrep\AstroGrep.exe" /e /r /s /spath="%USERPROFILE%\AppData\Local\Temp\OnboardLogs" /stypes="app*4002*20170320*" /stext=" 07:.+((SYSTEM_STATE.+slice.+state.+changed )|(ment ac)|(multiple cpu faults)|(system.+state.+changed )|(\[timeout)|(PRM\|1\|D)|(kpr)|(kdp)|(\|lc)|(penalty))"</v>
      </c>
      <c r="AG204" s="1" t="str">
        <f t="shared" si="90"/>
        <v>Other</v>
      </c>
      <c r="AH204" s="86" t="str">
        <f t="shared" ref="AH204:AH222" si="91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311-19 --locoid 4002 --swversion DE.1.0.9.0 --startMP 204:469 --initTime 2017-03-20T01:39:55 --startdatetime 2017-03-20T01:44:51 --delay 1 --endMP 300:23301 --enddatetime 2017-03-20T01:51:44 --enforcementcount 0 &gt;&gt;%USERPROFILE%\Documents\GitHub\eaglep3-reporting\EC\2017-03-19-refined-times.txt</v>
      </c>
      <c r="AI204" s="108" t="str">
        <f t="shared" ref="AI204:AI222" si="92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{"issue":{"subject":"","project_id":79,"tracker_id":40,"status_id":1,"priority_id":2,"assigned_to_id":23,"start_date":"2017-03-20","description":"","custom_fields":[{"id":1,"name":"Subdivision","value":"Other"},{"id":4,"name":"Milepost","value":"2.3301"},{"id":17,"name":"Train ID","value":"311-19"},{"id":16,"name":"Locomotive ID","value":"4002"},{"id":130,"name":"Impact","value":""},{"id":150,"name":"Time of Event (Mountain Time)","value":"01:51:44"},{"id":151,"name":"Denver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ref="AM204:AM222" si="93">"start /low /b "&amp;dls3logs&amp;" --loco "&amp;B204&amp;" --day "&amp;TEXT(F204,"YYYY-MM-DD")</f>
        <v>start /low /b %USERPROFILE%\Documents\GitHub\eaglep3\Utilities\DownloadLogsFromS3.py --loco 4002 --day 2017-03-20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"%USERPROFILE%\AppData\Local\Temp\OnboardLogs"\RTDC4002\*4002*20170320* | grep -SE "(Enforcement Action)|(\[TIMEOUT)|(CHR.+\|PRM\|1\|D.+(SWITCH|SIGNAL).+UNKNOWN)" - &gt;&gt; 2017-03-19-UncaughtWiMAX.txt</v>
      </c>
    </row>
    <row r="205" spans="1:40" x14ac:dyDescent="0.25">
      <c r="A205" s="33" t="s">
        <v>532</v>
      </c>
      <c r="B205" s="7">
        <v>4022</v>
      </c>
      <c r="C205" s="21" t="s">
        <v>221</v>
      </c>
      <c r="D205" s="21" t="s">
        <v>569</v>
      </c>
      <c r="E205" s="13">
        <v>42813.093055555553</v>
      </c>
      <c r="F205" s="13">
        <v>42813.094641203701</v>
      </c>
      <c r="G205" s="7">
        <v>1</v>
      </c>
      <c r="H205" s="21" t="s">
        <v>400</v>
      </c>
      <c r="I205" s="13">
        <v>42813.103807870371</v>
      </c>
      <c r="J205" s="7">
        <v>0</v>
      </c>
      <c r="K205" s="98" t="str">
        <f t="shared" si="81"/>
        <v>4021/4022</v>
      </c>
      <c r="L205" s="21" t="str">
        <f>VLOOKUP(A205,'Trips&amp;Operators'!$C$1:$G$99999,5,FALSE)</f>
        <v>SWANSON BRYCE</v>
      </c>
      <c r="M205" s="6">
        <f t="shared" si="78"/>
        <v>9.1666666703531519E-3</v>
      </c>
      <c r="N205" s="7">
        <f t="shared" si="77"/>
        <v>13.200000005308539</v>
      </c>
      <c r="O205" s="7"/>
      <c r="P205" s="7"/>
      <c r="Q205" s="22"/>
      <c r="R205" s="22"/>
      <c r="S205" s="31">
        <f t="shared" si="75"/>
        <v>1</v>
      </c>
      <c r="T205" s="46" t="str">
        <f t="shared" si="82"/>
        <v>NorthBound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 t="shared" si="83"/>
        <v>https://d0f6bd738d7f1b3e5a7ca70fe4ff75f0.us-east-1.aws.found.io/app/kibana#/discover/Steve-Slow-Train-Analysis-(2080s-and-2083s)?_g=(refreshInterval:(display:Off,pause:!f,section:0,value:0),time:(from:'2017-03-19T01:14:00-0600',mode:absolute,to:'2017-03-19T03:29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5" s="187" t="str">
        <f t="shared" si="84"/>
        <v>Y</v>
      </c>
      <c r="X205" s="187">
        <f t="shared" si="79"/>
        <v>2</v>
      </c>
      <c r="Y205" s="62">
        <f t="shared" si="85"/>
        <v>0.11559999999999999</v>
      </c>
      <c r="Z205" s="62">
        <f t="shared" si="80"/>
        <v>2.3346</v>
      </c>
      <c r="AA205" s="62">
        <f t="shared" si="86"/>
        <v>2.2189999999999999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si="87"/>
        <v>0313-18</v>
      </c>
      <c r="AE205" s="85" t="str">
        <f t="shared" si="88"/>
        <v>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 &amp; 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</v>
      </c>
      <c r="AF205" s="82" t="str">
        <f t="shared" si="89"/>
        <v>"C:\Program Files (x86)\AstroGrep\AstroGrep.exe" /e /r /s /spath="%USERPROFILE%\AppData\Local\Temp\OnboardLogs" /stypes="app*4022*20170319*" /stext=" 08:.+((SYSTEM_STATE.+slice.+state.+changed )|(ment ac)|(multiple cpu faults)|(system.+state.+changed )|(\[timeout)|(PRM\|1\|D)|(kpr)|(kdp)|(\|lc)|(penalty))"</v>
      </c>
      <c r="AG205" s="1" t="str">
        <f t="shared" si="90"/>
        <v>Other</v>
      </c>
      <c r="AH205" s="86" t="str">
        <f t="shared" si="91"/>
        <v>"%USERPROFILE%\Documents\GitHub\eaglep3\Utilities\RefineRTDCRunTimes.py" --tripid 313-18 --locoid 4022 --swversion DE.1.0.9.0 --startMP 204:1156 --initTime 2017-03-19T02:14:00 --startdatetime 2017-03-19T02:16:17 --delay 1 --endMP 300:23346 --enddatetime 2017-03-19T02:29:29 --enforcementcount 0 &gt;&gt;%USERPROFILE%\Documents\GitHub\eaglep3-reporting\EC\2017-03-19-refined-times.txt</v>
      </c>
      <c r="AI205" s="108" t="str">
        <f t="shared" si="92"/>
        <v>echo {"issue":{"subject":"","project_id":79,"tracker_id":40,"status_id":1,"priority_id":2,"assigned_to_id":23,"start_date":"2017-03-19","description":"","custom_fields":[{"id":1,"name":"Subdivision","value":"Other"},{"id":4,"name":"Milepost","value":"2.3346"},{"id":17,"name":"Train ID","value":"313-18"},{"id":16,"name":"Locomotive ID","value":"4022"},{"id":130,"name":"Impact","value":""},{"id":150,"name":"Time of Event (Mountain Time)","value":"02:29:29"},{"id":151,"name":"Denver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93"/>
        <v>start /low /b %USERPROFILE%\Documents\GitHub\eaglep3\Utilities\DownloadLogsFromS3.py --loco 4022 --day 2017-03-19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"%USERPROFILE%\AppData\Local\Temp\OnboardLogs"\RTDC4022\*4022*20170319* | grep -SE "(Enforcement Action)|(\[TIMEOUT)|(CHR.+\|PRM\|1\|D.+(SWITCH|SIGNAL).+UNKNOWN)" - &gt;&gt; 2017-03-19-UncaughtWiMAX.txt</v>
      </c>
    </row>
    <row r="206" spans="1:40" x14ac:dyDescent="0.25">
      <c r="A206" s="33" t="s">
        <v>796</v>
      </c>
      <c r="B206" s="7">
        <v>4016</v>
      </c>
      <c r="C206" s="21" t="s">
        <v>221</v>
      </c>
      <c r="D206" s="21" t="s">
        <v>208</v>
      </c>
      <c r="E206" s="13">
        <v>42814.087268518517</v>
      </c>
      <c r="F206" s="13">
        <v>42814.088877314818</v>
      </c>
      <c r="G206" s="7">
        <v>1</v>
      </c>
      <c r="H206" s="21" t="s">
        <v>919</v>
      </c>
      <c r="I206" s="13">
        <v>42814.095127314817</v>
      </c>
      <c r="J206" s="7">
        <v>0</v>
      </c>
      <c r="K206" s="98" t="str">
        <f t="shared" si="81"/>
        <v>4015/4016</v>
      </c>
      <c r="L206" s="21" t="str">
        <f>VLOOKUP(A206,'Trips&amp;Operators'!$C$1:$G$99999,5,FALSE)</f>
        <v>STAMBAUGH JAMES</v>
      </c>
      <c r="M206" s="6">
        <f t="shared" si="78"/>
        <v>6.2499999985448085E-3</v>
      </c>
      <c r="N206" s="7">
        <f t="shared" si="77"/>
        <v>8.9999999979045242</v>
      </c>
      <c r="O206" s="7"/>
      <c r="P206" s="7"/>
      <c r="Q206" s="22"/>
      <c r="R206" s="22"/>
      <c r="S206" s="31">
        <f t="shared" si="75"/>
        <v>1</v>
      </c>
      <c r="T206" s="46" t="str">
        <f t="shared" si="82"/>
        <v>NorthBound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 t="shared" si="83"/>
        <v>https://d0f6bd738d7f1b3e5a7ca70fe4ff75f0.us-east-1.aws.found.io/app/kibana#/discover/Steve-Slow-Train-Analysis-(2080s-and-2083s)?_g=(refreshInterval:(display:Off,pause:!f,section:0,value:0),time:(from:'2017-03-20T01:05:40-0600',mode:absolute,to:'2017-03-20T03:16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6" s="187" t="str">
        <f t="shared" si="84"/>
        <v>Y</v>
      </c>
      <c r="X206" s="187">
        <f t="shared" si="79"/>
        <v>0</v>
      </c>
      <c r="Y206" s="62">
        <f t="shared" si="85"/>
        <v>4.5999999999999999E-2</v>
      </c>
      <c r="Z206" s="62">
        <f t="shared" si="80"/>
        <v>2.3296999999999999</v>
      </c>
      <c r="AA206" s="62">
        <f t="shared" si="86"/>
        <v>2.2837000000000001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87"/>
        <v>0313-19</v>
      </c>
      <c r="AE206" s="85" t="str">
        <f t="shared" si="88"/>
        <v>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 &amp; aws s3 cp s3://rtdc.mdm.uploadarchive.raw/RTDC4016/ "%USERPROFILE%\AppData\Local\Temp\OnboardLogs"\RTDC4016\2017-03-21 --exclude "*" --recursive --include "*20170321*" &amp; "%USERPROFILE%\Documents\GitHub\mrs-test-scripts\Headless Mode &amp; Sideloading\WalkAndUnGZ.bat" "%USERPROFILE%\AppData\Local\Temp\OnboardLogs"\RTDC4016\2017-03-21</v>
      </c>
      <c r="AF206" s="82" t="str">
        <f t="shared" si="89"/>
        <v>"C:\Program Files (x86)\AstroGrep\AstroGrep.exe" /e /r /s /spath="%USERPROFILE%\AppData\Local\Temp\OnboardLogs" /stypes="app*4016*20170320*" /stext=" 08:.+((SYSTEM_STATE.+slice.+state.+changed )|(ment ac)|(multiple cpu faults)|(system.+state.+changed )|(\[timeout)|(PRM\|1\|D)|(kpr)|(kdp)|(\|lc)|(penalty))"</v>
      </c>
      <c r="AG206" s="1" t="str">
        <f t="shared" si="90"/>
        <v>Other</v>
      </c>
      <c r="AH206" s="86" t="str">
        <f t="shared" si="91"/>
        <v>"%USERPROFILE%\Documents\GitHub\eaglep3\Utilities\RefineRTDCRunTimes.py" --tripid 313-19 --locoid 4016 --swversion DE.1.0.9.0 --startMP 204:460 --initTime 2017-03-20T02:05:40 --startdatetime 2017-03-20T02:07:59 --delay 1 --endMP 300:23297 --enddatetime 2017-03-20T02:16:59 --enforcementcount 0 &gt;&gt;%USERPROFILE%\Documents\GitHub\eaglep3-reporting\EC\2017-03-19-refined-times.txt</v>
      </c>
      <c r="AI206" s="108" t="str">
        <f t="shared" si="92"/>
        <v>echo {"issue":{"subject":"","project_id":79,"tracker_id":40,"status_id":1,"priority_id":2,"assigned_to_id":23,"start_date":"2017-03-20","description":"","custom_fields":[{"id":1,"name":"Subdivision","value":"Other"},{"id":4,"name":"Milepost","value":"2.3297"},{"id":17,"name":"Train ID","value":"313-19"},{"id":16,"name":"Locomotive ID","value":"4016"},{"id":130,"name":"Impact","value":""},{"id":150,"name":"Time of Event (Mountain Time)","value":"02:16:59"},{"id":151,"name":"Denver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93"/>
        <v>start /low /b %USERPROFILE%\Documents\GitHub\eaglep3\Utilities\DownloadLogsFromS3.py --loco 4016 --day 2017-03-20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"%USERPROFILE%\AppData\Local\Temp\OnboardLogs"\RTDC4016\*4016*20170320* | grep -SE "(Enforcement Action)|(\[TIMEOUT)|(CHR.+\|PRM\|1\|D.+(SWITCH|SIGNAL).+UNKNOWN)" - &gt;&gt; 2017-03-19-UncaughtWiMAX.txt</v>
      </c>
    </row>
    <row r="207" spans="1:40" x14ac:dyDescent="0.25">
      <c r="A207" s="33" t="s">
        <v>533</v>
      </c>
      <c r="B207" s="7">
        <v>4027</v>
      </c>
      <c r="C207" s="21" t="s">
        <v>221</v>
      </c>
      <c r="D207" s="21" t="s">
        <v>539</v>
      </c>
      <c r="E207" s="13">
        <v>42813.112349537034</v>
      </c>
      <c r="F207" s="13">
        <v>42813.113819444443</v>
      </c>
      <c r="G207" s="7">
        <v>1</v>
      </c>
      <c r="H207" s="21" t="s">
        <v>400</v>
      </c>
      <c r="I207" s="13">
        <v>42813.122002314813</v>
      </c>
      <c r="J207" s="7">
        <v>0</v>
      </c>
      <c r="K207" s="98" t="str">
        <f t="shared" si="81"/>
        <v>4027/4028</v>
      </c>
      <c r="L207" s="21" t="str">
        <f>VLOOKUP(A207,'Trips&amp;Operators'!$C$1:$G$99999,5,FALSE)</f>
        <v>BROWN JACOB</v>
      </c>
      <c r="M207" s="6">
        <f t="shared" si="78"/>
        <v>8.182870369637385E-3</v>
      </c>
      <c r="N207" s="7">
        <f t="shared" si="77"/>
        <v>11.783333332277834</v>
      </c>
      <c r="O207" s="7"/>
      <c r="P207" s="7"/>
      <c r="Q207" s="22"/>
      <c r="R207" s="22"/>
      <c r="S207" s="31">
        <f t="shared" ref="S207:S222" si="94">SUM(U207:U207)/IF(AG207="EC",12,1)</f>
        <v>1</v>
      </c>
      <c r="T207" s="46" t="str">
        <f t="shared" si="82"/>
        <v>NorthBound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6" t="str">
        <f t="shared" si="83"/>
        <v>https://d0f6bd738d7f1b3e5a7ca70fe4ff75f0.us-east-1.aws.found.io/app/kibana#/discover/Steve-Slow-Train-Analysis-(2080s-and-2083s)?_g=(refreshInterval:(display:Off,pause:!f,section:0,value:0),time:(from:'2017-03-19T01:41:47-0600',mode:absolute,to:'2017-03-19T03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7" s="187" t="str">
        <f t="shared" si="84"/>
        <v>Y</v>
      </c>
      <c r="X207" s="187">
        <f t="shared" si="79"/>
        <v>2</v>
      </c>
      <c r="Y207" s="62">
        <f t="shared" si="85"/>
        <v>4.4900000000000002E-2</v>
      </c>
      <c r="Z207" s="62">
        <f t="shared" si="80"/>
        <v>2.3346</v>
      </c>
      <c r="AA207" s="62">
        <f t="shared" si="86"/>
        <v>2.2896999999999998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87"/>
        <v>0315-18</v>
      </c>
      <c r="AE207" s="85" t="str">
        <f t="shared" si="88"/>
        <v>aws s3 cp s3://rtdc.mdm.uploadarchive.raw/RTDC4027/ "%USERPROFILE%\AppData\Local\Temp\OnboardLogs"\RTDC4027\2017-03-19 --exclude "*" --recursive --include "*20170319*" &amp; "%USERPROFILE%\Documents\GitHub\mrs-test-scripts\Headless Mode &amp; Sideloading\WalkAndUnGZ.bat" "%USERPROFILE%\AppData\Local\Temp\OnboardLogs"\RTDC4027\2017-03-19 &amp; 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</v>
      </c>
      <c r="AF207" s="82" t="str">
        <f t="shared" si="89"/>
        <v>"C:\Program Files (x86)\AstroGrep\AstroGrep.exe" /e /r /s /spath="%USERPROFILE%\AppData\Local\Temp\OnboardLogs" /stypes="app*4027*20170319*" /stext=" 08:.+((SYSTEM_STATE.+slice.+state.+changed )|(ment ac)|(multiple cpu faults)|(system.+state.+changed )|(\[timeout)|(PRM\|1\|D)|(kpr)|(kdp)|(\|lc)|(penalty))"</v>
      </c>
      <c r="AG207" s="1" t="str">
        <f t="shared" si="90"/>
        <v>Other</v>
      </c>
      <c r="AH207" s="86" t="str">
        <f t="shared" si="91"/>
        <v>"%USERPROFILE%\Documents\GitHub\eaglep3\Utilities\RefineRTDCRunTimes.py" --tripid 315-18 --locoid 4027 --swversion DE.1.0.9.0 --startMP 204:449 --initTime 2017-03-19T02:41:47 --startdatetime 2017-03-19T02:43:54 --delay 1 --endMP 300:23346 --enddatetime 2017-03-19T02:55:41 --enforcementcount 0 &gt;&gt;%USERPROFILE%\Documents\GitHub\eaglep3-reporting\EC\2017-03-19-refined-times.txt</v>
      </c>
      <c r="AI207" s="108" t="str">
        <f t="shared" si="92"/>
        <v>echo {"issue":{"subject":"","project_id":79,"tracker_id":40,"status_id":1,"priority_id":2,"assigned_to_id":23,"start_date":"2017-03-19","description":"","custom_fields":[{"id":1,"name":"Subdivision","value":"Other"},{"id":4,"name":"Milepost","value":"2.3346"},{"id":17,"name":"Train ID","value":"315-18"},{"id":16,"name":"Locomotive ID","value":"4027"},{"id":130,"name":"Impact","value":""},{"id":150,"name":"Time of Event (Mountain Time)","value":"02:55:41"},{"id":151,"name":"Denver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93"/>
        <v>start /low /b %USERPROFILE%\Documents\GitHub\eaglep3\Utilities\DownloadLogsFromS3.py --loco 4027 --day 2017-03-19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"%USERPROFILE%\AppData\Local\Temp\OnboardLogs"\RTDC4027\*4027*20170319* | grep -SE "(Enforcement Action)|(\[TIMEOUT)|(CHR.+\|PRM\|1\|D.+(SWITCH|SIGNAL).+UNKNOWN)" - &gt;&gt; 2017-03-19-UncaughtWiMAX.txt</v>
      </c>
    </row>
    <row r="208" spans="1:40" x14ac:dyDescent="0.25">
      <c r="A208" s="33" t="s">
        <v>791</v>
      </c>
      <c r="B208" s="7">
        <v>4020</v>
      </c>
      <c r="C208" s="21" t="s">
        <v>221</v>
      </c>
      <c r="D208" s="21" t="s">
        <v>225</v>
      </c>
      <c r="E208" s="13">
        <v>42814.028495370374</v>
      </c>
      <c r="F208" s="13">
        <v>42814.030219907407</v>
      </c>
      <c r="G208" s="7">
        <v>1</v>
      </c>
      <c r="H208" s="21" t="s">
        <v>930</v>
      </c>
      <c r="I208" s="13">
        <v>42814.035937499997</v>
      </c>
      <c r="J208" s="7">
        <v>0</v>
      </c>
      <c r="K208" s="98" t="str">
        <f t="shared" si="81"/>
        <v>4019/4020</v>
      </c>
      <c r="L208" s="21" t="str">
        <f>VLOOKUP(A208,'Trips&amp;Operators'!$C$1:$G$99999,5,FALSE)</f>
        <v>CHANDLER KELVIN</v>
      </c>
      <c r="M208" s="6">
        <f t="shared" si="78"/>
        <v>5.7175925903720781E-3</v>
      </c>
      <c r="N208" s="7">
        <f t="shared" si="77"/>
        <v>8.2333333301357925</v>
      </c>
      <c r="O208" s="7"/>
      <c r="P208" s="7"/>
      <c r="Q208" s="22"/>
      <c r="R208" s="22"/>
      <c r="S208" s="31">
        <f t="shared" si="94"/>
        <v>1</v>
      </c>
      <c r="T208" s="46" t="str">
        <f t="shared" si="82"/>
        <v>NorthBound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6" t="str">
        <f t="shared" si="83"/>
        <v>https://d0f6bd738d7f1b3e5a7ca70fe4ff75f0.us-east-1.aws.found.io/app/kibana#/discover/Steve-Slow-Train-Analysis-(2080s-and-2083s)?_g=(refreshInterval:(display:Off,pause:!f,section:0,value:0),time:(from:'2017-03-19T23:41:02-0600',mode:absolute,to:'2017-03-20T01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8" s="187" t="str">
        <f t="shared" si="84"/>
        <v>Y</v>
      </c>
      <c r="X208" s="187">
        <f t="shared" si="79"/>
        <v>0</v>
      </c>
      <c r="Y208" s="62">
        <f t="shared" si="85"/>
        <v>4.6699999999999998E-2</v>
      </c>
      <c r="Z208" s="62">
        <f t="shared" si="80"/>
        <v>2.3298999999999999</v>
      </c>
      <c r="AA208" s="62">
        <f t="shared" si="86"/>
        <v>2.2831999999999999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87"/>
        <v>0315-19</v>
      </c>
      <c r="AE208" s="85" t="str">
        <f t="shared" si="88"/>
        <v>aws s3 cp s3://rtdc.mdm.uploadarchive.raw/RTDC4020/ "%USERPROFILE%\AppData\Local\Temp\OnboardLogs"\RTDC4020\2017-03-20 --exclude "*" --recursive --include "*20170320*" &amp; "%USERPROFILE%\Documents\GitHub\mrs-test-scripts\Headless Mode &amp; Sideloading\WalkAndUnGZ.bat" "%USERPROFILE%\AppData\Local\Temp\OnboardLogs"\RTDC4020\2017-03-20 &amp; aws s3 cp s3://rtdc.mdm.uploadarchive.raw/RTDC4020/ "%USERPROFILE%\AppData\Local\Temp\OnboardLogs"\RTDC4020\2017-03-21 --exclude "*" --recursive --include "*20170321*" &amp; "%USERPROFILE%\Documents\GitHub\mrs-test-scripts\Headless Mode &amp; Sideloading\WalkAndUnGZ.bat" "%USERPROFILE%\AppData\Local\Temp\OnboardLogs"\RTDC4020\2017-03-21</v>
      </c>
      <c r="AF208" s="82" t="str">
        <f t="shared" si="89"/>
        <v>"C:\Program Files (x86)\AstroGrep\AstroGrep.exe" /e /r /s /spath="%USERPROFILE%\AppData\Local\Temp\OnboardLogs" /stypes="app*4020*20170320*" /stext=" 06:.+((SYSTEM_STATE.+slice.+state.+changed )|(ment ac)|(multiple cpu faults)|(system.+state.+changed )|(\[timeout)|(PRM\|1\|D)|(kpr)|(kdp)|(\|lc)|(penalty))"</v>
      </c>
      <c r="AG208" s="1" t="str">
        <f t="shared" si="90"/>
        <v>Other</v>
      </c>
      <c r="AH208" s="86" t="str">
        <f t="shared" si="91"/>
        <v>"%USERPROFILE%\Documents\GitHub\eaglep3\Utilities\RefineRTDCRunTimes.py" --tripid 315-19 --locoid 4020 --swversion DE.1.0.9.0 --startMP 204:467 --initTime 2017-03-20T00:41:02 --startdatetime 2017-03-20T00:43:31 --delay 1 --endMP 300:23299 --enddatetime 2017-03-20T00:51:45 --enforcementcount 0 &gt;&gt;%USERPROFILE%\Documents\GitHub\eaglep3-reporting\EC\2017-03-19-refined-times.txt</v>
      </c>
      <c r="AI208" s="108" t="str">
        <f t="shared" si="92"/>
        <v>echo {"issue":{"subject":"","project_id":79,"tracker_id":40,"status_id":1,"priority_id":2,"assigned_to_id":23,"start_date":"2017-03-20","description":"","custom_fields":[{"id":1,"name":"Subdivision","value":"Other"},{"id":4,"name":"Milepost","value":"2.3299"},{"id":17,"name":"Train ID","value":"315-19"},{"id":16,"name":"Locomotive ID","value":"4020"},{"id":130,"name":"Impact","value":""},{"id":150,"name":"Time of Event (Mountain Time)","value":"00:51:45"},{"id":151,"name":"Denver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93"/>
        <v>start /low /b %USERPROFILE%\Documents\GitHub\eaglep3\Utilities\DownloadLogsFromS3.py --loco 4020 --day 2017-03-20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"%USERPROFILE%\AppData\Local\Temp\OnboardLogs"\RTDC4020\*4020*20170320* | grep -SE "(Enforcement Action)|(\[TIMEOUT)|(CHR.+\|PRM\|1\|D.+(SWITCH|SIGNAL).+UNKNOWN)" - &gt;&gt; 2017-03-19-UncaughtWiMAX.txt</v>
      </c>
    </row>
    <row r="209" spans="1:40" x14ac:dyDescent="0.25">
      <c r="A209" s="33" t="s">
        <v>620</v>
      </c>
      <c r="B209" s="7">
        <v>4051</v>
      </c>
      <c r="C209" s="21" t="s">
        <v>221</v>
      </c>
      <c r="D209" s="21" t="s">
        <v>887</v>
      </c>
      <c r="E209" s="13">
        <v>42813.217245370368</v>
      </c>
      <c r="F209" s="13">
        <v>42813.220937500002</v>
      </c>
      <c r="G209" s="7">
        <v>5</v>
      </c>
      <c r="H209" s="21" t="s">
        <v>408</v>
      </c>
      <c r="I209" s="13">
        <v>42813.226157407407</v>
      </c>
      <c r="J209" s="7">
        <v>0</v>
      </c>
      <c r="K209" s="98" t="str">
        <f t="shared" si="81"/>
        <v>4051/4052</v>
      </c>
      <c r="L209" s="21" t="str">
        <f>VLOOKUP(A209,'Trips&amp;Operators'!$C$1:$G$99999,5,FALSE)</f>
        <v>YORK EDGAR</v>
      </c>
      <c r="M209" s="6">
        <f t="shared" si="78"/>
        <v>5.2199074052623473E-3</v>
      </c>
      <c r="N209" s="7">
        <f t="shared" si="77"/>
        <v>7.5166666635777801</v>
      </c>
      <c r="O209" s="7"/>
      <c r="P209" s="7"/>
      <c r="Q209" s="22"/>
      <c r="R209" s="22"/>
      <c r="S209" s="31">
        <f t="shared" si="94"/>
        <v>0</v>
      </c>
      <c r="T209" s="46" t="str">
        <f t="shared" si="82"/>
        <v>NorthBound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86" t="str">
        <f t="shared" si="83"/>
        <v>https://d0f6bd738d7f1b3e5a7ca70fe4ff75f0.us-east-1.aws.found.io/app/kibana#/discover/Steve-Slow-Train-Analysis-(2080s-and-2083s)?_g=(refreshInterval:(display:Off,pause:!f,section:0,value:0),time:(from:'2017-03-19T04:12:50-0600',mode:absolute,to:'2017-03-19T06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9" s="187" t="str">
        <f t="shared" si="84"/>
        <v>Y</v>
      </c>
      <c r="X209" s="187">
        <f t="shared" si="79"/>
        <v>1586</v>
      </c>
      <c r="Y209" s="62">
        <f t="shared" si="85"/>
        <v>2.9964</v>
      </c>
      <c r="Z209" s="62">
        <f t="shared" si="80"/>
        <v>5.8939000000000004</v>
      </c>
      <c r="AA209" s="62">
        <f t="shared" si="86"/>
        <v>2.8975000000000004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87"/>
        <v>1901-19</v>
      </c>
      <c r="AE209" s="85" t="str">
        <f t="shared" si="88"/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AF209" s="82" t="str">
        <f t="shared" si="89"/>
        <v>"C:\Program Files (x86)\AstroGrep\AstroGrep.exe" /e /r /s /spath="%USERPROFILE%\AppData\Local\Temp\OnboardLogs" /stypes="app*4051*20170319*" /stext=" 11:.+((SYSTEM_STATE.+slice.+state.+changed )|(ment ac)|(multiple cpu faults)|(system.+state.+changed )|(\[timeout)|(PRM\|1\|D)|(kpr)|(kdp)|(\|lc)|(penalty))"</v>
      </c>
      <c r="AG209" s="1" t="str">
        <f t="shared" si="90"/>
        <v>Other</v>
      </c>
      <c r="AH209" s="86" t="str">
        <f t="shared" si="91"/>
        <v>"%USERPROFILE%\Documents\GitHub\eaglep3\Utilities\RefineRTDCRunTimes.py" --tripid 1901-19 --locoid 4051 --swversion DE.1.0.9.0 --startMP 300:29964 --initTime 2017-03-19T05:12:50 --startdatetime 2017-03-19T05:18:09 --delay 5 --endMP 300:58939 --enddatetime 2017-03-19T05:25:40 --enforcementcount 0 &gt;&gt;%USERPROFILE%\Documents\GitHub\eaglep3-reporting\EC\2017-03-19-refined-times.txt</v>
      </c>
      <c r="AI209" s="108" t="str">
        <f t="shared" si="92"/>
        <v>echo {"issue":{"subject":"","project_id":79,"tracker_id":40,"status_id":1,"priority_id":2,"assigned_to_id":23,"start_date":"2017-03-19","description":"","custom_fields":[{"id":1,"name":"Subdivision","value":"Other"},{"id":4,"name":"Milepost","value":"5.8939"},{"id":17,"name":"Train ID","value":"1901-19"},{"id":16,"name":"Locomotive ID","value":"4051"},{"id":130,"name":"Impact","value":""},{"id":150,"name":"Time of Event (Mountain Time)","value":"05:25:40"},{"id":151,"name":"Denver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93"/>
        <v>start /low /b %USERPROFILE%\Documents\GitHub\eaglep3\Utilities\DownloadLogsFromS3.py --loco 4051 --day 2017-03-19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"%USERPROFILE%\AppData\Local\Temp\OnboardLogs"\RTDC4051\*4051*20170319* | grep -SE "(Enforcement Action)|(\[TIMEOUT)|(CHR.+\|PRM\|1\|D.+(SWITCH|SIGNAL).+UNKNOWN)" - &gt;&gt; 2017-03-19-UncaughtWiMAX.txt</v>
      </c>
    </row>
    <row r="210" spans="1:40" x14ac:dyDescent="0.25">
      <c r="A210" s="33" t="s">
        <v>783</v>
      </c>
      <c r="B210" s="7">
        <v>4052</v>
      </c>
      <c r="C210" s="21" t="s">
        <v>221</v>
      </c>
      <c r="D210" s="21" t="s">
        <v>560</v>
      </c>
      <c r="E210" s="13">
        <v>42813.941400462965</v>
      </c>
      <c r="F210" s="13">
        <v>42813.942430555559</v>
      </c>
      <c r="G210" s="7">
        <v>1</v>
      </c>
      <c r="H210" s="21" t="s">
        <v>888</v>
      </c>
      <c r="I210" s="13">
        <v>42813.946747685186</v>
      </c>
      <c r="J210" s="7">
        <v>0</v>
      </c>
      <c r="K210" s="98" t="str">
        <f t="shared" si="81"/>
        <v>4051/4052</v>
      </c>
      <c r="L210" s="21" t="str">
        <f>VLOOKUP(A210,'Trips&amp;Operators'!$C$1:$G$99999,5,FALSE)</f>
        <v>HELVIE ADAM</v>
      </c>
      <c r="M210" s="6">
        <f t="shared" si="78"/>
        <v>4.3171296274522319E-3</v>
      </c>
      <c r="N210" s="7">
        <f t="shared" si="77"/>
        <v>6.216666663531214</v>
      </c>
      <c r="O210" s="7"/>
      <c r="P210" s="7"/>
      <c r="Q210" s="22"/>
      <c r="R210" s="22"/>
      <c r="S210" s="31">
        <f t="shared" si="94"/>
        <v>0</v>
      </c>
      <c r="T210" s="46" t="str">
        <f t="shared" si="82"/>
        <v>Southbound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6" t="str">
        <f t="shared" si="83"/>
        <v>https://d0f6bd738d7f1b3e5a7ca70fe4ff75f0.us-east-1.aws.found.io/app/kibana#/discover/Steve-Slow-Train-Analysis-(2080s-and-2083s)?_g=(refreshInterval:(display:Off,pause:!f,section:0,value:0),time:(from:'2017-03-19T21:35:37-0600',mode:absolute,to:'2017-03-19T23:43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0" s="187" t="str">
        <f t="shared" si="84"/>
        <v>Y</v>
      </c>
      <c r="X210" s="187">
        <f t="shared" si="79"/>
        <v>1</v>
      </c>
      <c r="Y210" s="62">
        <f t="shared" si="85"/>
        <v>5.8623000000000003</v>
      </c>
      <c r="Z210" s="62">
        <f t="shared" si="80"/>
        <v>2.1722999999999999</v>
      </c>
      <c r="AA210" s="62">
        <f t="shared" si="86"/>
        <v>3.6900000000000004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87"/>
        <v>1902-19</v>
      </c>
      <c r="AE210" s="85" t="str">
        <f t="shared" si="88"/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AF210" s="82" t="str">
        <f t="shared" si="89"/>
        <v>"C:\Program Files (x86)\AstroGrep\AstroGrep.exe" /e /r /s /spath="%USERPROFILE%\AppData\Local\Temp\OnboardLogs" /stypes="app*4052*20170320*" /stext=" 04:.+((SYSTEM_STATE.+slice.+state.+changed )|(ment ac)|(multiple cpu faults)|(system.+state.+changed )|(\[timeout)|(PRM\|1\|D)|(kpr)|(kdp)|(\|lc)|(penalty))"</v>
      </c>
      <c r="AG210" s="1" t="str">
        <f t="shared" si="90"/>
        <v>Other</v>
      </c>
      <c r="AH210" s="86" t="str">
        <f t="shared" si="91"/>
        <v>"%USERPROFILE%\Documents\GitHub\eaglep3\Utilities\RefineRTDCRunTimes.py" --tripid 1902-19 --locoid 4052 --swversion DE.1.0.9.0 --startMP 300:58623 --initTime 2017-03-19T22:35:37 --startdatetime 2017-03-19T22:37:06 --delay 1 --endMP 300:21723 --enddatetime 2017-03-19T22:43:19 --enforcementcount 0 &gt;&gt;%USERPROFILE%\Documents\GitHub\eaglep3-reporting\EC\2017-03-19-refined-times.txt</v>
      </c>
      <c r="AI210" s="108" t="str">
        <f t="shared" si="92"/>
        <v>echo {"issue":{"subject":"","project_id":79,"tracker_id":40,"status_id":1,"priority_id":2,"assigned_to_id":23,"start_date":"2017-03-19","description":"","custom_fields":[{"id":1,"name":"Subdivision","value":"Other"},{"id":4,"name":"Milepost","value":"2.1723"},{"id":17,"name":"Train ID","value":"1902-19"},{"id":16,"name":"Locomotive ID","value":"4052"},{"id":130,"name":"Impact","value":""},{"id":150,"name":"Time of Event (Mountain Time)","value":"22:43:19"},{"id":151,"name":"Denver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93"/>
        <v>start /low /b %USERPROFILE%\Documents\GitHub\eaglep3\Utilities\DownloadLogsFromS3.py --loco 4052 --day 2017-03-19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"%USERPROFILE%\AppData\Local\Temp\OnboardLogs"\RTDC4052\*4052*20170320* | grep -SE "(Enforcement Action)|(\[TIMEOUT)|(CHR.+\|PRM\|1\|D.+(SWITCH|SIGNAL).+UNKNOWN)" - &gt;&gt; 2017-03-19-UncaughtWiMAX.txt</v>
      </c>
    </row>
    <row r="211" spans="1:40" x14ac:dyDescent="0.25">
      <c r="A211" s="33" t="s">
        <v>670</v>
      </c>
      <c r="B211" s="7">
        <v>4041</v>
      </c>
      <c r="C211" s="21" t="s">
        <v>221</v>
      </c>
      <c r="D211" s="21" t="s">
        <v>931</v>
      </c>
      <c r="E211" s="13">
        <v>42813.435034722221</v>
      </c>
      <c r="F211" s="13">
        <v>42813.439155092594</v>
      </c>
      <c r="G211" s="7">
        <v>5</v>
      </c>
      <c r="H211" s="21" t="s">
        <v>401</v>
      </c>
      <c r="I211" s="13">
        <v>42813.444120370368</v>
      </c>
      <c r="J211" s="7">
        <v>0</v>
      </c>
      <c r="K211" s="98" t="str">
        <f t="shared" si="81"/>
        <v>4041/4042</v>
      </c>
      <c r="L211" s="21" t="str">
        <f>VLOOKUP(A211,'Trips&amp;Operators'!$C$1:$G$99999,5,FALSE)</f>
        <v>LALONDE GREGORY</v>
      </c>
      <c r="M211" s="6">
        <f t="shared" si="78"/>
        <v>4.9652777743176557E-3</v>
      </c>
      <c r="N211" s="7">
        <f t="shared" si="77"/>
        <v>7.1499999950174242</v>
      </c>
      <c r="O211" s="7"/>
      <c r="P211" s="7"/>
      <c r="Q211" s="22"/>
      <c r="R211" s="22"/>
      <c r="S211" s="31">
        <f t="shared" si="94"/>
        <v>0</v>
      </c>
      <c r="T211" s="46" t="e">
        <f t="shared" si="82"/>
        <v>#VALUE!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86" t="str">
        <f t="shared" si="83"/>
        <v>https://d0f6bd738d7f1b3e5a7ca70fe4ff75f0.us-east-1.aws.found.io/app/kibana#/discover/Steve-Slow-Train-Analysis-(2080s-and-2083s)?_g=(refreshInterval:(display:Off,pause:!f,section:0,value:0),time:(from:'2017-03-19T09:26:27-0600',mode:absolute,to:'2017-03-19T11:39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1" s="187" t="str">
        <f t="shared" si="84"/>
        <v>Y</v>
      </c>
      <c r="X211" s="187" t="e">
        <f t="shared" si="79"/>
        <v>#VALUE!</v>
      </c>
      <c r="Y211" s="62">
        <f t="shared" si="85"/>
        <v>2.2286000000000001</v>
      </c>
      <c r="Z211" s="62">
        <f t="shared" si="80"/>
        <v>1.38E-2</v>
      </c>
      <c r="AA211" s="62">
        <f t="shared" si="86"/>
        <v>2.2148000000000003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87"/>
        <v>50-19</v>
      </c>
      <c r="AE211" s="85" t="str">
        <f t="shared" si="88"/>
        <v>aws s3 cp s3://rtdc.mdm.uploadarchive.raw/RTDC4041/ "%USERPROFILE%\AppData\Local\Temp\OnboardLogs"\RTDC4041\2017-03-19 --exclude "*" --recursive --include "*20170319*" &amp; "%USERPROFILE%\Documents\GitHub\mrs-test-scripts\Headless Mode &amp; Sideloading\WalkAndUnGZ.bat" "%USERPROFILE%\AppData\Local\Temp\OnboardLogs"\RTDC4041\2017-03-19 &amp; aws s3 cp s3://rtdc.mdm.uploadarchive.raw/RTDC4041/ "%USERPROFILE%\AppData\Local\Temp\OnboardLogs"\RTDC4041\2017-03-20 --exclude "*" --recursive --include "*20170320*" &amp; "%USERPROFILE%\Documents\GitHub\mrs-test-scripts\Headless Mode &amp; Sideloading\WalkAndUnGZ.bat" "%USERPROFILE%\AppData\Local\Temp\OnboardLogs"\RTDC4041\2017-03-20</v>
      </c>
      <c r="AF211" s="82" t="str">
        <f t="shared" si="89"/>
        <v>"C:\Program Files (x86)\AstroGrep\AstroGrep.exe" /e /r /s /spath="%USERPROFILE%\AppData\Local\Temp\OnboardLogs" /stypes="app*4041*20170319*" /stext=" 16:.+((SYSTEM_STATE.+slice.+state.+changed )|(ment ac)|(multiple cpu faults)|(system.+state.+changed )|(\[timeout)|(PRM\|1\|D)|(kpr)|(kdp)|(\|lc)|(penalty))"</v>
      </c>
      <c r="AG211" s="1" t="str">
        <f t="shared" si="90"/>
        <v>Other</v>
      </c>
      <c r="AH211" s="86" t="str">
        <f t="shared" si="91"/>
        <v>"%USERPROFILE%\Documents\GitHub\eaglep3\Utilities\RefineRTDCRunTimes.py" --tripid 50-19 --locoid 4041 --swversion DE.1.0.9.0 --startMP 300:22286 --initTime 2017-03-19T10:26:27 --startdatetime 2017-03-19T10:32:23 --delay 5 --endMP 204:138 --enddatetime 2017-03-19T10:39:32 --enforcementcount 0 &gt;&gt;%USERPROFILE%\Documents\GitHub\eaglep3-reporting\EC\2017-03-19-refined-times.txt</v>
      </c>
      <c r="AI211" s="108" t="str">
        <f t="shared" si="92"/>
        <v>echo {"issue":{"subject":"","project_id":79,"tracker_id":40,"status_id":1,"priority_id":2,"assigned_to_id":23,"start_date":"2017-03-19","description":"","custom_fields":[{"id":1,"name":"Subdivision","value":"Other"},{"id":4,"name":"Milepost","value":"0.0138"},{"id":17,"name":"Train ID","value":"50-19"},{"id":16,"name":"Locomotive ID","value":"4041"},{"id":130,"name":"Impact","value":""},{"id":150,"name":"Time of Event (Mountain Time)","value":"10:39:32"},{"id":151,"name":"Denver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93"/>
        <v>start /low /b %USERPROFILE%\Documents\GitHub\eaglep3\Utilities\DownloadLogsFromS3.py --loco 4041 --day 2017-03-19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"%USERPROFILE%\AppData\Local\Temp\OnboardLogs"\RTDC4041\*4041*20170319* | grep -SE "(Enforcement Action)|(\[TIMEOUT)|(CHR.+\|PRM\|1\|D.+(SWITCH|SIGNAL).+UNKNOWN)" - &gt;&gt; 2017-03-19-UncaughtWiMAX.txt</v>
      </c>
    </row>
    <row r="212" spans="1:40" x14ac:dyDescent="0.25">
      <c r="A212" s="33" t="s">
        <v>678</v>
      </c>
      <c r="B212" s="7">
        <v>4042</v>
      </c>
      <c r="C212" s="21" t="s">
        <v>221</v>
      </c>
      <c r="D212" s="21" t="s">
        <v>932</v>
      </c>
      <c r="E212" s="13">
        <v>42813.460833333331</v>
      </c>
      <c r="F212" s="13">
        <v>42813.466215277775</v>
      </c>
      <c r="G212" s="7">
        <v>2</v>
      </c>
      <c r="H212" s="21" t="s">
        <v>933</v>
      </c>
      <c r="I212" s="13">
        <v>42813.476354166669</v>
      </c>
      <c r="J212" s="7">
        <v>0</v>
      </c>
      <c r="K212" s="98" t="str">
        <f t="shared" si="81"/>
        <v>4041/4042</v>
      </c>
      <c r="L212" s="21" t="str">
        <f>VLOOKUP(A212,'Trips&amp;Operators'!$C$1:$G$99999,5,FALSE)</f>
        <v>MAELZER KURT</v>
      </c>
      <c r="M212" s="6">
        <f t="shared" si="78"/>
        <v>1.0138888894289266E-2</v>
      </c>
      <c r="N212" s="7">
        <f t="shared" si="77"/>
        <v>14.600000007776543</v>
      </c>
      <c r="O212" s="7"/>
      <c r="P212" s="7"/>
      <c r="Q212" s="22"/>
      <c r="R212" s="22"/>
      <c r="S212" s="31">
        <f t="shared" si="94"/>
        <v>0</v>
      </c>
      <c r="T212" s="46" t="e">
        <f t="shared" si="82"/>
        <v>#VALUE!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86" t="str">
        <f t="shared" si="83"/>
        <v>https://d0f6bd738d7f1b3e5a7ca70fe4ff75f0.us-east-1.aws.found.io/app/kibana#/discover/Steve-Slow-Train-Analysis-(2080s-and-2083s)?_g=(refreshInterval:(display:Off,pause:!f,section:0,value:0),time:(from:'2017-03-19T10:03:36-0600',mode:absolute,to:'2017-03-19T12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2" s="187" t="str">
        <f t="shared" si="84"/>
        <v>Y</v>
      </c>
      <c r="X212" s="187" t="e">
        <f t="shared" si="79"/>
        <v>#VALUE!</v>
      </c>
      <c r="Y212" s="62">
        <f t="shared" si="85"/>
        <v>4.4200000000000003E-2</v>
      </c>
      <c r="Z212" s="62">
        <f t="shared" si="80"/>
        <v>2.3294999999999999</v>
      </c>
      <c r="AA212" s="62">
        <f t="shared" si="86"/>
        <v>2.2852999999999999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87"/>
        <v>51-19</v>
      </c>
      <c r="AE212" s="85" t="str">
        <f t="shared" si="88"/>
        <v>aws s3 cp s3://rtdc.mdm.uploadarchive.raw/RTDC4042/ "%USERPROFILE%\AppData\Local\Temp\OnboardLogs"\RTDC4042\2017-03-19 --exclude "*" --recursive --include "*20170319*" &amp; "%USERPROFILE%\Documents\GitHub\mrs-test-scripts\Headless Mode &amp; Sideloading\WalkAndUnGZ.bat" "%USERPROFILE%\AppData\Local\Temp\OnboardLogs"\RTDC4042\2017-03-19 &amp; aws s3 cp s3://rtdc.mdm.uploadarchive.raw/RTDC4042/ "%USERPROFILE%\AppData\Local\Temp\OnboardLogs"\RTDC4042\2017-03-20 --exclude "*" --recursive --include "*20170320*" &amp; "%USERPROFILE%\Documents\GitHub\mrs-test-scripts\Headless Mode &amp; Sideloading\WalkAndUnGZ.bat" "%USERPROFILE%\AppData\Local\Temp\OnboardLogs"\RTDC4042\2017-03-20</v>
      </c>
      <c r="AF212" s="82" t="str">
        <f t="shared" si="89"/>
        <v>"C:\Program Files (x86)\AstroGrep\AstroGrep.exe" /e /r /s /spath="%USERPROFILE%\AppData\Local\Temp\OnboardLogs" /stypes="app*4042*20170319*" /stext=" 17:.+((SYSTEM_STATE.+slice.+state.+changed )|(ment ac)|(multiple cpu faults)|(system.+state.+changed )|(\[timeout)|(PRM\|1\|D)|(kpr)|(kdp)|(\|lc)|(penalty))"</v>
      </c>
      <c r="AG212" s="1" t="str">
        <f t="shared" si="90"/>
        <v>Other</v>
      </c>
      <c r="AH212" s="86" t="str">
        <f t="shared" si="91"/>
        <v>"%USERPROFILE%\Documents\GitHub\eaglep3\Utilities\RefineRTDCRunTimes.py" --tripid 51-19 --locoid 4042 --swversion DE.1.0.9.0 --startMP 204:442 --initTime 2017-03-19T11:03:36 --startdatetime 2017-03-19T11:11:21 --delay 2 --endMP 300:23295 --enddatetime 2017-03-19T11:25:57 --enforcementcount 0 &gt;&gt;%USERPROFILE%\Documents\GitHub\eaglep3-reporting\EC\2017-03-19-refined-times.txt</v>
      </c>
      <c r="AI212" s="108" t="str">
        <f t="shared" si="92"/>
        <v>echo {"issue":{"subject":"","project_id":79,"tracker_id":40,"status_id":1,"priority_id":2,"assigned_to_id":23,"start_date":"2017-03-19","description":"","custom_fields":[{"id":1,"name":"Subdivision","value":"Other"},{"id":4,"name":"Milepost","value":"2.3295"},{"id":17,"name":"Train ID","value":"51-19"},{"id":16,"name":"Locomotive ID","value":"4042"},{"id":130,"name":"Impact","value":""},{"id":150,"name":"Time of Event (Mountain Time)","value":"11:25:57"},{"id":151,"name":"Denver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93"/>
        <v>start /low /b %USERPROFILE%\Documents\GitHub\eaglep3\Utilities\DownloadLogsFromS3.py --loco 4042 --day 2017-03-19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"%USERPROFILE%\AppData\Local\Temp\OnboardLogs"\RTDC4042\*4042*20170319* | grep -SE "(Enforcement Action)|(\[TIMEOUT)|(CHR.+\|PRM\|1\|D.+(SWITCH|SIGNAL).+UNKNOWN)" - &gt;&gt; 2017-03-19-UncaughtWiMAX.txt</v>
      </c>
    </row>
    <row r="213" spans="1:40" x14ac:dyDescent="0.25">
      <c r="A213" s="33" t="s">
        <v>743</v>
      </c>
      <c r="B213" s="7">
        <v>4030</v>
      </c>
      <c r="C213" s="21" t="s">
        <v>221</v>
      </c>
      <c r="D213" s="21" t="s">
        <v>934</v>
      </c>
      <c r="E213" s="13">
        <v>42813.747916666667</v>
      </c>
      <c r="F213" s="13">
        <v>42813.758900462963</v>
      </c>
      <c r="G213" s="7">
        <v>15</v>
      </c>
      <c r="H213" s="21" t="s">
        <v>935</v>
      </c>
      <c r="I213" s="13">
        <v>42813.768900462965</v>
      </c>
      <c r="J213" s="7">
        <v>0</v>
      </c>
      <c r="K213" s="98" t="str">
        <f t="shared" si="81"/>
        <v>4029/4030</v>
      </c>
      <c r="L213" s="21" t="str">
        <f>VLOOKUP(A213,'Trips&amp;Operators'!$C$1:$G$99999,5,FALSE)</f>
        <v>DUNCAN SHEILA</v>
      </c>
      <c r="M213" s="6">
        <f t="shared" si="78"/>
        <v>1.0000000002037268E-2</v>
      </c>
      <c r="N213" s="7">
        <f t="shared" si="77"/>
        <v>14.400000002933666</v>
      </c>
      <c r="O213" s="7"/>
      <c r="P213" s="7"/>
      <c r="Q213" s="22"/>
      <c r="R213" s="22"/>
      <c r="S213" s="31">
        <f t="shared" si="94"/>
        <v>0</v>
      </c>
      <c r="T213" s="46" t="e">
        <f t="shared" si="82"/>
        <v>#VALUE!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86" t="str">
        <f t="shared" si="83"/>
        <v>https://d0f6bd738d7f1b3e5a7ca70fe4ff75f0.us-east-1.aws.found.io/app/kibana#/discover/Steve-Slow-Train-Analysis-(2080s-and-2083s)?_g=(refreshInterval:(display:Off,pause:!f,section:0,value:0),time:(from:'2017-03-19T16:57:00-0600',mode:absolute,to:'2017-03-19T19:27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3" s="187" t="str">
        <f t="shared" si="84"/>
        <v>Y</v>
      </c>
      <c r="X213" s="187" t="e">
        <f t="shared" si="79"/>
        <v>#VALUE!</v>
      </c>
      <c r="Y213" s="62">
        <f t="shared" si="85"/>
        <v>2.1747999999999998</v>
      </c>
      <c r="Z213" s="62">
        <f t="shared" si="80"/>
        <v>0.19389999999999999</v>
      </c>
      <c r="AA213" s="62">
        <f t="shared" si="86"/>
        <v>1.9808999999999999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87"/>
        <v>52-19</v>
      </c>
      <c r="AE213" s="85" t="str">
        <f t="shared" si="88"/>
        <v>aws s3 cp s3://rtdc.mdm.uploadarchive.raw/RTDC4030/ "%USERPROFILE%\AppData\Local\Temp\OnboardLogs"\RTDC4030\2017-03-19 --exclude "*" --recursive --include "*20170319*" &amp; "%USERPROFILE%\Documents\GitHub\mrs-test-scripts\Headless Mode &amp; Sideloading\WalkAndUnGZ.bat" "%USERPROFILE%\AppData\Local\Temp\OnboardLogs"\RTDC4030\2017-03-19 &amp; aws s3 cp s3://rtdc.mdm.uploadarchive.raw/RTDC4030/ "%USERPROFILE%\AppData\Local\Temp\OnboardLogs"\RTDC4030\2017-03-20 --exclude "*" --recursive --include "*20170320*" &amp; "%USERPROFILE%\Documents\GitHub\mrs-test-scripts\Headless Mode &amp; Sideloading\WalkAndUnGZ.bat" "%USERPROFILE%\AppData\Local\Temp\OnboardLogs"\RTDC4030\2017-03-20</v>
      </c>
      <c r="AF213" s="82" t="str">
        <f t="shared" si="89"/>
        <v>"C:\Program Files (x86)\AstroGrep\AstroGrep.exe" /e /r /s /spath="%USERPROFILE%\AppData\Local\Temp\OnboardLogs" /stypes="app*4030*20170320*" /stext=" 00:.+((SYSTEM_STATE.+slice.+state.+changed )|(ment ac)|(multiple cpu faults)|(system.+state.+changed )|(\[timeout)|(PRM\|1\|D)|(kpr)|(kdp)|(\|lc)|(penalty))"</v>
      </c>
      <c r="AG213" s="1" t="str">
        <f t="shared" si="90"/>
        <v>Other</v>
      </c>
      <c r="AH213" s="86" t="str">
        <f t="shared" si="91"/>
        <v>"%USERPROFILE%\Documents\GitHub\eaglep3\Utilities\RefineRTDCRunTimes.py" --tripid 52-19 --locoid 4030 --swversion DE.1.0.9.0 --startMP 300:21748 --initTime 2017-03-19T17:57:00 --startdatetime 2017-03-19T18:12:49 --delay 15 --endMP 204:1939 --enddatetime 2017-03-19T18:27:13 --enforcementcount 0 &gt;&gt;%USERPROFILE%\Documents\GitHub\eaglep3-reporting\EC\2017-03-19-refined-times.txt</v>
      </c>
      <c r="AI213" s="108" t="str">
        <f t="shared" si="92"/>
        <v>echo {"issue":{"subject":"","project_id":79,"tracker_id":40,"status_id":1,"priority_id":2,"assigned_to_id":23,"start_date":"2017-03-19","description":"","custom_fields":[{"id":1,"name":"Subdivision","value":"Other"},{"id":4,"name":"Milepost","value":"0.1939"},{"id":17,"name":"Train ID","value":"52-19"},{"id":16,"name":"Locomotive ID","value":"4030"},{"id":130,"name":"Impact","value":""},{"id":150,"name":"Time of Event (Mountain Time)","value":"18:27:13"},{"id":151,"name":"Denver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93"/>
        <v>start /low /b %USERPROFILE%\Documents\GitHub\eaglep3\Utilities\DownloadLogsFromS3.py --loco 4030 --day 2017-03-19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"%USERPROFILE%\AppData\Local\Temp\OnboardLogs"\RTDC4030\*4030*20170320* | grep -SE "(Enforcement Action)|(\[TIMEOUT)|(CHR.+\|PRM\|1\|D.+(SWITCH|SIGNAL).+UNKNOWN)" - &gt;&gt; 2017-03-19-UncaughtWiMAX.txt</v>
      </c>
    </row>
    <row r="214" spans="1:40" x14ac:dyDescent="0.25">
      <c r="A214" s="33" t="s">
        <v>737</v>
      </c>
      <c r="B214" s="7">
        <v>4018</v>
      </c>
      <c r="C214" s="21" t="s">
        <v>221</v>
      </c>
      <c r="D214" s="21" t="s">
        <v>936</v>
      </c>
      <c r="E214" s="13">
        <v>42813.725057870368</v>
      </c>
      <c r="F214" s="13">
        <v>42813.746041666665</v>
      </c>
      <c r="G214" s="7">
        <v>1</v>
      </c>
      <c r="H214" s="21" t="s">
        <v>937</v>
      </c>
      <c r="I214" s="13">
        <v>42813.755798611113</v>
      </c>
      <c r="J214" s="7">
        <v>0</v>
      </c>
      <c r="K214" s="98" t="str">
        <f t="shared" si="81"/>
        <v>4017/4018</v>
      </c>
      <c r="L214" s="21" t="str">
        <f>VLOOKUP(A214,'Trips&amp;Operators'!$C$1:$G$99999,5,FALSE)</f>
        <v>LALONDE GREGORY</v>
      </c>
      <c r="M214" s="6">
        <f t="shared" si="78"/>
        <v>9.7569444478722289E-3</v>
      </c>
      <c r="N214" s="7">
        <f t="shared" si="77"/>
        <v>14.05000000493601</v>
      </c>
      <c r="O214" s="7"/>
      <c r="P214" s="7"/>
      <c r="Q214" s="22"/>
      <c r="R214" s="22"/>
      <c r="S214" s="31">
        <f t="shared" si="94"/>
        <v>0</v>
      </c>
      <c r="T214" s="46" t="e">
        <f t="shared" si="82"/>
        <v>#VALUE!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86" t="str">
        <f t="shared" si="83"/>
        <v>https://d0f6bd738d7f1b3e5a7ca70fe4ff75f0.us-east-1.aws.found.io/app/kibana#/discover/Steve-Slow-Train-Analysis-(2080s-and-2083s)?_g=(refreshInterval:(display:Off,pause:!f,section:0,value:0),time:(from:'2017-03-19T16:24:05-0600',mode:absolute,to:'2017-03-19T19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4" s="187" t="str">
        <f t="shared" si="84"/>
        <v>Y</v>
      </c>
      <c r="X214" s="187" t="e">
        <f t="shared" si="79"/>
        <v>#VALUE!</v>
      </c>
      <c r="Y214" s="62">
        <f t="shared" si="85"/>
        <v>0.1479</v>
      </c>
      <c r="Z214" s="62">
        <f t="shared" si="80"/>
        <v>2.3142</v>
      </c>
      <c r="AA214" s="62">
        <f t="shared" si="86"/>
        <v>2.1663000000000001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87"/>
        <v>65-19</v>
      </c>
      <c r="AE214" s="85" t="str">
        <f t="shared" si="88"/>
        <v>aws s3 cp s3://rtdc.mdm.uploadarchive.raw/RTDC4018/ "%USERPROFILE%\AppData\Local\Temp\OnboardLogs"\RTDC4018\2017-03-19 --exclude "*" --recursive --include "*20170319*" &amp; "%USERPROFILE%\Documents\GitHub\mrs-test-scripts\Headless Mode &amp; Sideloading\WalkAndUnGZ.bat" "%USERPROFILE%\AppData\Local\Temp\OnboardLogs"\RTDC4018\2017-03-19 &amp; aws s3 cp s3://rtdc.mdm.uploadarchive.raw/RTDC4018/ "%USERPROFILE%\AppData\Local\Temp\OnboardLogs"\RTDC4018\2017-03-20 --exclude "*" --recursive --include "*20170320*" &amp; "%USERPROFILE%\Documents\GitHub\mrs-test-scripts\Headless Mode &amp; Sideloading\WalkAndUnGZ.bat" "%USERPROFILE%\AppData\Local\Temp\OnboardLogs"\RTDC4018\2017-03-20</v>
      </c>
      <c r="AF214" s="82" t="str">
        <f t="shared" si="89"/>
        <v>"C:\Program Files (x86)\AstroGrep\AstroGrep.exe" /e /r /s /spath="%USERPROFILE%\AppData\Local\Temp\OnboardLogs" /stypes="app*4018*20170320*" /stext=" 00:.+((SYSTEM_STATE.+slice.+state.+changed )|(ment ac)|(multiple cpu faults)|(system.+state.+changed )|(\[timeout)|(PRM\|1\|D)|(kpr)|(kdp)|(\|lc)|(penalty))"</v>
      </c>
      <c r="AG214" s="1" t="str">
        <f t="shared" si="90"/>
        <v>Other</v>
      </c>
      <c r="AH214" s="86" t="str">
        <f t="shared" si="91"/>
        <v>"%USERPROFILE%\Documents\GitHub\eaglep3\Utilities\RefineRTDCRunTimes.py" --tripid 65-19 --locoid 4018 --swversion DE.1.0.9.0 --startMP 204:1479 --initTime 2017-03-19T17:24:05 --startdatetime 2017-03-19T17:54:18 --delay 1 --endMP 300:23142 --enddatetime 2017-03-19T18:08:21 --enforcementcount 0 &gt;&gt;%USERPROFILE%\Documents\GitHub\eaglep3-reporting\EC\2017-03-19-refined-times.txt</v>
      </c>
      <c r="AI214" s="108" t="str">
        <f t="shared" si="92"/>
        <v>echo {"issue":{"subject":"","project_id":79,"tracker_id":40,"status_id":1,"priority_id":2,"assigned_to_id":23,"start_date":"2017-03-19","description":"","custom_fields":[{"id":1,"name":"Subdivision","value":"Other"},{"id":4,"name":"Milepost","value":"2.3142"},{"id":17,"name":"Train ID","value":"65-19"},{"id":16,"name":"Locomotive ID","value":"4018"},{"id":130,"name":"Impact","value":""},{"id":150,"name":"Time of Event (Mountain Time)","value":"18:08:21"},{"id":151,"name":"Denver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93"/>
        <v>start /low /b %USERPROFILE%\Documents\GitHub\eaglep3\Utilities\DownloadLogsFromS3.py --loco 4018 --day 2017-03-19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"%USERPROFILE%\AppData\Local\Temp\OnboardLogs"\RTDC4018\*4018*20170320* | grep -SE "(Enforcement Action)|(\[TIMEOUT)|(CHR.+\|PRM\|1\|D.+(SWITCH|SIGNAL).+UNKNOWN)" - &gt;&gt; 2017-03-19-UncaughtWiMAX.txt</v>
      </c>
    </row>
    <row r="215" spans="1:40" x14ac:dyDescent="0.25">
      <c r="A215" s="33" t="s">
        <v>602</v>
      </c>
      <c r="B215" s="7">
        <v>4064</v>
      </c>
      <c r="C215" s="21" t="s">
        <v>221</v>
      </c>
      <c r="D215" s="21" t="s">
        <v>407</v>
      </c>
      <c r="E215" s="13">
        <v>42813.949803240743</v>
      </c>
      <c r="F215" s="13">
        <v>42813.959363425929</v>
      </c>
      <c r="G215" s="7">
        <v>1</v>
      </c>
      <c r="H215" s="21" t="s">
        <v>938</v>
      </c>
      <c r="I215" s="13">
        <v>42813.987430555557</v>
      </c>
      <c r="J215" s="7">
        <v>0</v>
      </c>
      <c r="K215" s="98" t="str">
        <f t="shared" si="81"/>
        <v>4063/4064</v>
      </c>
      <c r="L215" s="21" t="str">
        <f>VLOOKUP(A215,'Trips&amp;Operators'!$C$1:$G$99999,5,FALSE)</f>
        <v>YANG JAN</v>
      </c>
      <c r="M215" s="6">
        <f t="shared" si="78"/>
        <v>2.806712962774327E-2</v>
      </c>
      <c r="N215" s="7">
        <f t="shared" si="77"/>
        <v>40.416666663950309</v>
      </c>
      <c r="O215" s="7"/>
      <c r="P215" s="7"/>
      <c r="Q215" s="22"/>
      <c r="R215" s="22"/>
      <c r="S215" s="31">
        <f t="shared" si="94"/>
        <v>0</v>
      </c>
      <c r="T215" s="46" t="e">
        <f t="shared" si="82"/>
        <v>#VALUE!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6" t="str">
        <f t="shared" si="83"/>
        <v>https://d0f6bd738d7f1b3e5a7ca70fe4ff75f0.us-east-1.aws.found.io/app/kibana#/discover/Steve-Slow-Train-Analysis-(2080s-and-2083s)?_g=(refreshInterval:(display:Off,pause:!f,section:0,value:0),time:(from:'2017-03-19T21:47:43-0600',mode:absolute,to:'2017-03-20T00:41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5" s="187" t="str">
        <f t="shared" si="84"/>
        <v>N</v>
      </c>
      <c r="X215" s="187" t="e">
        <f t="shared" si="79"/>
        <v>#VALUE!</v>
      </c>
      <c r="Y215" s="62">
        <f t="shared" si="85"/>
        <v>23.297499999999999</v>
      </c>
      <c r="Z215" s="62">
        <f t="shared" si="80"/>
        <v>0.1158</v>
      </c>
      <c r="AA215" s="62">
        <f t="shared" si="86"/>
        <v>23.181699999999999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87"/>
        <v>80-19</v>
      </c>
      <c r="AE215" s="85" t="str">
        <f t="shared" si="88"/>
        <v>aws s3 cp s3://rtdc.mdm.uploadarchive.raw/RTDC4064/ "%USERPROFILE%\AppData\Local\Temp\OnboardLogs"\RTDC4064\2017-03-19 --exclude "*" --recursive --include "*20170319*" &amp; "%USERPROFILE%\Documents\GitHub\mrs-test-scripts\Headless Mode &amp; Sideloading\WalkAndUnGZ.bat" "%USERPROFILE%\AppData\Local\Temp\OnboardLogs"\RTDC4064\2017-03-19 &amp; aws s3 cp s3://rtdc.mdm.uploadarchive.raw/RTDC4064/ "%USERPROFILE%\AppData\Local\Temp\OnboardLogs"\RTDC4064\2017-03-20 --exclude "*" --recursive --include "*20170320*" &amp; "%USERPROFILE%\Documents\GitHub\mrs-test-scripts\Headless Mode &amp; Sideloading\WalkAndUnGZ.bat" "%USERPROFILE%\AppData\Local\Temp\OnboardLogs"\RTDC4064\2017-03-20</v>
      </c>
      <c r="AF215" s="82" t="str">
        <f t="shared" si="89"/>
        <v>"C:\Program Files (x86)\AstroGrep\AstroGrep.exe" /e /r /s /spath="%USERPROFILE%\AppData\Local\Temp\OnboardLogs" /stypes="app*4064*20170320*" /stext=" 05:.+((SYSTEM_STATE.+slice.+state.+changed )|(ment ac)|(multiple cpu faults)|(system.+state.+changed )|(\[timeout)|(PRM\|1\|D)|(kpr)|(kdp)|(\|lc)|(penalty))"</v>
      </c>
      <c r="AG215" s="1" t="str">
        <f t="shared" si="90"/>
        <v>Other</v>
      </c>
      <c r="AH215" s="86" t="str">
        <f t="shared" si="91"/>
        <v>"%USERPROFILE%\Documents\GitHub\eaglep3\Utilities\RefineRTDCRunTimes.py" --tripid 80-19 --locoid 4064 --swversion DE.1.0.9.0 --startMP 204:232975 --initTime 2017-03-19T22:47:43 --startdatetime 2017-03-19T23:01:29 --delay 1 --endMP 204:1158 --enddatetime 2017-03-19T23:41:54 --enforcementcount 0 &gt;&gt;%USERPROFILE%\Documents\GitHub\eaglep3-reporting\EC\2017-03-19-refined-times.txt</v>
      </c>
      <c r="AI215" s="108" t="str">
        <f t="shared" si="92"/>
        <v>echo {"issue":{"subject":"","project_id":79,"tracker_id":40,"status_id":1,"priority_id":2,"assigned_to_id":23,"start_date":"2017-03-19","description":"","custom_fields":[{"id":1,"name":"Subdivision","value":"Other"},{"id":4,"name":"Milepost","value":"0.1158"},{"id":17,"name":"Train ID","value":"80-19"},{"id":16,"name":"Locomotive ID","value":"4064"},{"id":130,"name":"Impact","value":""},{"id":150,"name":"Time of Event (Mountain Time)","value":"23:41:54"},{"id":151,"name":"Denver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93"/>
        <v>start /low /b %USERPROFILE%\Documents\GitHub\eaglep3\Utilities\DownloadLogsFromS3.py --loco 4064 --day 2017-03-19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"%USERPROFILE%\AppData\Local\Temp\OnboardLogs"\RTDC4064\*4064*20170320* | grep -SE "(Enforcement Action)|(\[TIMEOUT)|(CHR.+\|PRM\|1\|D.+(SWITCH|SIGNAL).+UNKNOWN)" - &gt;&gt; 2017-03-19-UncaughtWiMAX.txt</v>
      </c>
    </row>
    <row r="216" spans="1:40" x14ac:dyDescent="0.25">
      <c r="A216" s="33" t="s">
        <v>602</v>
      </c>
      <c r="B216" s="7">
        <v>4064</v>
      </c>
      <c r="C216" s="21" t="s">
        <v>221</v>
      </c>
      <c r="D216" s="21" t="s">
        <v>563</v>
      </c>
      <c r="E216" s="13">
        <v>42813.880243055559</v>
      </c>
      <c r="F216" s="13">
        <v>42813.881678240738</v>
      </c>
      <c r="G216" s="7">
        <v>1</v>
      </c>
      <c r="H216" s="21" t="s">
        <v>434</v>
      </c>
      <c r="I216" s="13">
        <v>42813.911064814813</v>
      </c>
      <c r="J216" s="7">
        <v>0</v>
      </c>
      <c r="K216" s="98" t="str">
        <f t="shared" si="81"/>
        <v>4063/4064</v>
      </c>
      <c r="L216" s="21" t="str">
        <f>VLOOKUP(A216,'Trips&amp;Operators'!$C$1:$G$99999,5,FALSE)</f>
        <v>YANG JAN</v>
      </c>
      <c r="M216" s="6">
        <f t="shared" si="78"/>
        <v>2.9386574075033423E-2</v>
      </c>
      <c r="N216" s="7">
        <f t="shared" si="77"/>
        <v>42.316666668048128</v>
      </c>
      <c r="O216" s="7"/>
      <c r="P216" s="7"/>
      <c r="Q216" s="22"/>
      <c r="R216" s="22"/>
      <c r="S216" s="31">
        <f t="shared" si="94"/>
        <v>0</v>
      </c>
      <c r="T216" s="46" t="e">
        <f t="shared" si="82"/>
        <v>#VALUE!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6" t="str">
        <f t="shared" si="83"/>
        <v>https://d0f6bd738d7f1b3e5a7ca70fe4ff75f0.us-east-1.aws.found.io/app/kibana#/discover/Steve-Slow-Train-Analysis-(2080s-and-2083s)?_g=(refreshInterval:(display:Off,pause:!f,section:0,value:0),time:(from:'2017-03-19T20:07:33-0600',mode:absolute,to:'2017-03-19T22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6" s="187" t="str">
        <f t="shared" si="84"/>
        <v>N</v>
      </c>
      <c r="X216" s="187" t="e">
        <f t="shared" si="79"/>
        <v>#VALUE!</v>
      </c>
      <c r="Y216" s="62">
        <f t="shared" si="85"/>
        <v>23.297999999999998</v>
      </c>
      <c r="Z216" s="62">
        <f t="shared" si="80"/>
        <v>1.43E-2</v>
      </c>
      <c r="AA216" s="62">
        <f t="shared" si="86"/>
        <v>23.2837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87"/>
        <v>80-19</v>
      </c>
      <c r="AE216" s="85" t="str">
        <f t="shared" si="88"/>
        <v>aws s3 cp s3://rtdc.mdm.uploadarchive.raw/RTDC4064/ "%USERPROFILE%\AppData\Local\Temp\OnboardLogs"\RTDC4064\2017-03-19 --exclude "*" --recursive --include "*20170319*" &amp; "%USERPROFILE%\Documents\GitHub\mrs-test-scripts\Headless Mode &amp; Sideloading\WalkAndUnGZ.bat" "%USERPROFILE%\AppData\Local\Temp\OnboardLogs"\RTDC4064\2017-03-19 &amp; aws s3 cp s3://rtdc.mdm.uploadarchive.raw/RTDC4064/ "%USERPROFILE%\AppData\Local\Temp\OnboardLogs"\RTDC4064\2017-03-20 --exclude "*" --recursive --include "*20170320*" &amp; "%USERPROFILE%\Documents\GitHub\mrs-test-scripts\Headless Mode &amp; Sideloading\WalkAndUnGZ.bat" "%USERPROFILE%\AppData\Local\Temp\OnboardLogs"\RTDC4064\2017-03-20</v>
      </c>
      <c r="AF216" s="82" t="str">
        <f t="shared" si="89"/>
        <v>"C:\Program Files (x86)\AstroGrep\AstroGrep.exe" /e /r /s /spath="%USERPROFILE%\AppData\Local\Temp\OnboardLogs" /stypes="app*4064*20170320*" /stext=" 03:.+((SYSTEM_STATE.+slice.+state.+changed )|(ment ac)|(multiple cpu faults)|(system.+state.+changed )|(\[timeout)|(PRM\|1\|D)|(kpr)|(kdp)|(\|lc)|(penalty))"</v>
      </c>
      <c r="AG216" s="1" t="str">
        <f t="shared" si="90"/>
        <v>Other</v>
      </c>
      <c r="AH216" s="86" t="str">
        <f t="shared" si="91"/>
        <v>"%USERPROFILE%\Documents\GitHub\eaglep3\Utilities\RefineRTDCRunTimes.py" --tripid 80-19 --locoid 4064 --swversion DE.1.0.9.0 --startMP 204:232980 --initTime 2017-03-19T21:07:33 --startdatetime 2017-03-19T21:09:37 --delay 1 --endMP 204:143 --enddatetime 2017-03-19T21:51:56 --enforcementcount 0 &gt;&gt;%USERPROFILE%\Documents\GitHub\eaglep3-reporting\EC\2017-03-19-refined-times.txt</v>
      </c>
      <c r="AI216" s="108" t="str">
        <f t="shared" si="92"/>
        <v>echo {"issue":{"subject":"","project_id":79,"tracker_id":40,"status_id":1,"priority_id":2,"assigned_to_id":23,"start_date":"2017-03-19","description":"","custom_fields":[{"id":1,"name":"Subdivision","value":"Other"},{"id":4,"name":"Milepost","value":"0.0143"},{"id":17,"name":"Train ID","value":"80-19"},{"id":16,"name":"Locomotive ID","value":"4064"},{"id":130,"name":"Impact","value":""},{"id":150,"name":"Time of Event (Mountain Time)","value":"21:51:56"},{"id":151,"name":"Denver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93"/>
        <v>start /low /b %USERPROFILE%\Documents\GitHub\eaglep3\Utilities\DownloadLogsFromS3.py --loco 4064 --day 2017-03-19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"%USERPROFILE%\AppData\Local\Temp\OnboardLogs"\RTDC4064\*4064*20170320* | grep -SE "(Enforcement Action)|(\[TIMEOUT)|(CHR.+\|PRM\|1\|D.+(SWITCH|SIGNAL).+UNKNOWN)" - &gt;&gt; 2017-03-19-UncaughtWiMAX.txt</v>
      </c>
    </row>
    <row r="217" spans="1:40" x14ac:dyDescent="0.25">
      <c r="A217" s="33" t="s">
        <v>602</v>
      </c>
      <c r="B217" s="7">
        <v>4064</v>
      </c>
      <c r="C217" s="21" t="s">
        <v>221</v>
      </c>
      <c r="D217" s="21" t="s">
        <v>917</v>
      </c>
      <c r="E217" s="13">
        <v>42814.038668981484</v>
      </c>
      <c r="F217" s="13">
        <v>42814.044189814813</v>
      </c>
      <c r="G217" s="7">
        <v>1</v>
      </c>
      <c r="H217" s="21" t="s">
        <v>939</v>
      </c>
      <c r="I217" s="13">
        <v>42814.071250000001</v>
      </c>
      <c r="J217" s="7">
        <v>0</v>
      </c>
      <c r="K217" s="98" t="str">
        <f t="shared" si="81"/>
        <v>4063/4064</v>
      </c>
      <c r="L217" s="21" t="str">
        <f>VLOOKUP(A217,'Trips&amp;Operators'!$C$1:$G$99999,5,FALSE)</f>
        <v>YANG JAN</v>
      </c>
      <c r="M217" s="6">
        <f t="shared" si="78"/>
        <v>2.7060185188020114E-2</v>
      </c>
      <c r="N217" s="7">
        <f t="shared" si="77"/>
        <v>38.966666670748964</v>
      </c>
      <c r="O217" s="7"/>
      <c r="P217" s="7"/>
      <c r="Q217" s="22"/>
      <c r="R217" s="22"/>
      <c r="S217" s="31">
        <f t="shared" si="94"/>
        <v>0</v>
      </c>
      <c r="T217" s="46" t="e">
        <f t="shared" si="82"/>
        <v>#VALUE!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6" t="str">
        <f t="shared" si="83"/>
        <v>https://d0f6bd738d7f1b3e5a7ca70fe4ff75f0.us-east-1.aws.found.io/app/kibana#/discover/Steve-Slow-Train-Analysis-(2080s-and-2083s)?_g=(refreshInterval:(display:Off,pause:!f,section:0,value:0),time:(from:'2017-03-19T23:55:41-0600',mode:absolute,to:'2017-03-20T02:42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7" s="187" t="str">
        <f t="shared" si="84"/>
        <v>N</v>
      </c>
      <c r="X217" s="187" t="e">
        <f t="shared" si="79"/>
        <v>#VALUE!</v>
      </c>
      <c r="Y217" s="62">
        <f t="shared" si="85"/>
        <v>23.299099999999999</v>
      </c>
      <c r="Z217" s="62">
        <f t="shared" si="80"/>
        <v>1.4800000000000001E-2</v>
      </c>
      <c r="AA217" s="62">
        <f t="shared" si="86"/>
        <v>23.284299999999998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87"/>
        <v>80-19</v>
      </c>
      <c r="AE217" s="85" t="str">
        <f t="shared" si="88"/>
        <v>aws s3 cp s3://rtdc.mdm.uploadarchive.raw/RTDC4064/ "%USERPROFILE%\AppData\Local\Temp\OnboardLogs"\RTDC4064\2017-03-20 --exclude "*" --recursive --include "*20170320*" &amp; "%USERPROFILE%\Documents\GitHub\mrs-test-scripts\Headless Mode &amp; Sideloading\WalkAndUnGZ.bat" "%USERPROFILE%\AppData\Local\Temp\OnboardLogs"\RTDC4064\2017-03-20 &amp; aws s3 cp s3://rtdc.mdm.uploadarchive.raw/RTDC4064/ "%USERPROFILE%\AppData\Local\Temp\OnboardLogs"\RTDC4064\2017-03-21 --exclude "*" --recursive --include "*20170321*" &amp; "%USERPROFILE%\Documents\GitHub\mrs-test-scripts\Headless Mode &amp; Sideloading\WalkAndUnGZ.bat" "%USERPROFILE%\AppData\Local\Temp\OnboardLogs"\RTDC4064\2017-03-21</v>
      </c>
      <c r="AF217" s="82" t="str">
        <f t="shared" si="89"/>
        <v>"C:\Program Files (x86)\AstroGrep\AstroGrep.exe" /e /r /s /spath="%USERPROFILE%\AppData\Local\Temp\OnboardLogs" /stypes="app*4064*20170320*" /stext=" 07:.+((SYSTEM_STATE.+slice.+state.+changed )|(ment ac)|(multiple cpu faults)|(system.+state.+changed )|(\[timeout)|(PRM\|1\|D)|(kpr)|(kdp)|(\|lc)|(penalty))"</v>
      </c>
      <c r="AG217" s="1" t="str">
        <f t="shared" si="90"/>
        <v>Other</v>
      </c>
      <c r="AH217" s="86" t="str">
        <f t="shared" si="91"/>
        <v>"%USERPROFILE%\Documents\GitHub\eaglep3\Utilities\RefineRTDCRunTimes.py" --tripid 80-19 --locoid 4064 --swversion DE.1.0.9.0 --startMP 204:232991 --initTime 2017-03-20T00:55:41 --startdatetime 2017-03-20T01:03:38 --delay 1 --endMP 204:148 --enddatetime 2017-03-20T01:42:36 --enforcementcount 0 &gt;&gt;%USERPROFILE%\Documents\GitHub\eaglep3-reporting\EC\2017-03-19-refined-times.txt</v>
      </c>
      <c r="AI217" s="108" t="str">
        <f t="shared" si="92"/>
        <v>echo {"issue":{"subject":"","project_id":79,"tracker_id":40,"status_id":1,"priority_id":2,"assigned_to_id":23,"start_date":"2017-03-20","description":"","custom_fields":[{"id":1,"name":"Subdivision","value":"Other"},{"id":4,"name":"Milepost","value":"0.0148"},{"id":17,"name":"Train ID","value":"80-19"},{"id":16,"name":"Locomotive ID","value":"4064"},{"id":130,"name":"Impact","value":""},{"id":150,"name":"Time of Event (Mountain Time)","value":"01:42:36"},{"id":151,"name":"Denver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93"/>
        <v>start /low /b %USERPROFILE%\Documents\GitHub\eaglep3\Utilities\DownloadLogsFromS3.py --loco 4064 --day 2017-03-20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"%USERPROFILE%\AppData\Local\Temp\OnboardLogs"\RTDC4064\*4064*20170320* | grep -SE "(Enforcement Action)|(\[TIMEOUT)|(CHR.+\|PRM\|1\|D.+(SWITCH|SIGNAL).+UNKNOWN)" - &gt;&gt; 2017-03-19-UncaughtWiMAX.txt</v>
      </c>
    </row>
    <row r="218" spans="1:40" x14ac:dyDescent="0.25">
      <c r="A218" s="33" t="s">
        <v>602</v>
      </c>
      <c r="B218" s="7">
        <v>4064</v>
      </c>
      <c r="C218" s="21" t="s">
        <v>221</v>
      </c>
      <c r="D218" s="21" t="s">
        <v>940</v>
      </c>
      <c r="E218" s="13">
        <v>42813.835914351854</v>
      </c>
      <c r="F218" s="13">
        <v>42813.838055555556</v>
      </c>
      <c r="G218" s="7">
        <v>3</v>
      </c>
      <c r="H218" s="21" t="s">
        <v>570</v>
      </c>
      <c r="I218" s="13">
        <v>42813.84479166667</v>
      </c>
      <c r="J218" s="7">
        <v>0</v>
      </c>
      <c r="K218" s="98" t="str">
        <f t="shared" si="81"/>
        <v>4063/4064</v>
      </c>
      <c r="L218" s="21" t="str">
        <f>VLOOKUP(A218,'Trips&amp;Operators'!$C$1:$G$99999,5,FALSE)</f>
        <v>YANG JAN</v>
      </c>
      <c r="M218" s="6">
        <f t="shared" si="78"/>
        <v>6.7361111141508445E-3</v>
      </c>
      <c r="N218" s="7">
        <f t="shared" si="77"/>
        <v>9.7000000043772161</v>
      </c>
      <c r="O218" s="7"/>
      <c r="P218" s="7"/>
      <c r="Q218" s="22"/>
      <c r="R218" s="22"/>
      <c r="S218" s="31">
        <f t="shared" si="94"/>
        <v>0</v>
      </c>
      <c r="T218" s="46" t="e">
        <f t="shared" si="82"/>
        <v>#VALUE!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6" t="str">
        <f t="shared" si="83"/>
        <v>https://d0f6bd738d7f1b3e5a7ca70fe4ff75f0.us-east-1.aws.found.io/app/kibana#/discover/Steve-Slow-Train-Analysis-(2080s-and-2083s)?_g=(refreshInterval:(display:Off,pause:!f,section:0,value:0),time:(from:'2017-03-19T19:03:43-0600',mode:absolute,to:'2017-03-19T21:16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8" s="187" t="str">
        <f t="shared" si="84"/>
        <v>Y</v>
      </c>
      <c r="X218" s="187" t="e">
        <f t="shared" si="79"/>
        <v>#VALUE!</v>
      </c>
      <c r="Y218" s="62">
        <f t="shared" si="85"/>
        <v>2.3978000000000002</v>
      </c>
      <c r="Z218" s="62">
        <f t="shared" si="80"/>
        <v>9.3899999999999997E-2</v>
      </c>
      <c r="AA218" s="62">
        <f t="shared" si="86"/>
        <v>2.3039000000000001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87"/>
        <v>80-19</v>
      </c>
      <c r="AE218" s="85" t="str">
        <f t="shared" si="88"/>
        <v>aws s3 cp s3://rtdc.mdm.uploadarchive.raw/RTDC4064/ "%USERPROFILE%\AppData\Local\Temp\OnboardLogs"\RTDC4064\2017-03-19 --exclude "*" --recursive --include "*20170319*" &amp; "%USERPROFILE%\Documents\GitHub\mrs-test-scripts\Headless Mode &amp; Sideloading\WalkAndUnGZ.bat" "%USERPROFILE%\AppData\Local\Temp\OnboardLogs"\RTDC4064\2017-03-19 &amp; aws s3 cp s3://rtdc.mdm.uploadarchive.raw/RTDC4064/ "%USERPROFILE%\AppData\Local\Temp\OnboardLogs"\RTDC4064\2017-03-20 --exclude "*" --recursive --include "*20170320*" &amp; "%USERPROFILE%\Documents\GitHub\mrs-test-scripts\Headless Mode &amp; Sideloading\WalkAndUnGZ.bat" "%USERPROFILE%\AppData\Local\Temp\OnboardLogs"\RTDC4064\2017-03-20</v>
      </c>
      <c r="AF218" s="82" t="str">
        <f t="shared" si="89"/>
        <v>"C:\Program Files (x86)\AstroGrep\AstroGrep.exe" /e /r /s /spath="%USERPROFILE%\AppData\Local\Temp\OnboardLogs" /stypes="app*4064*20170320*" /stext=" 02:.+((SYSTEM_STATE.+slice.+state.+changed )|(ment ac)|(multiple cpu faults)|(system.+state.+changed )|(\[timeout)|(PRM\|1\|D)|(kpr)|(kdp)|(\|lc)|(penalty))"</v>
      </c>
      <c r="AG218" s="1" t="str">
        <f t="shared" si="90"/>
        <v>Other</v>
      </c>
      <c r="AH218" s="86" t="str">
        <f t="shared" si="91"/>
        <v>"%USERPROFILE%\Documents\GitHub\eaglep3\Utilities\RefineRTDCRunTimes.py" --tripid 80-19 --locoid 4064 --swversion DE.1.0.9.0 --startMP 300:23978 --initTime 2017-03-19T20:03:43 --startdatetime 2017-03-19T20:06:48 --delay 3 --endMP 204:939 --enddatetime 2017-03-19T20:16:30 --enforcementcount 0 &gt;&gt;%USERPROFILE%\Documents\GitHub\eaglep3-reporting\EC\2017-03-19-refined-times.txt</v>
      </c>
      <c r="AI218" s="108" t="str">
        <f t="shared" si="92"/>
        <v>echo {"issue":{"subject":"","project_id":79,"tracker_id":40,"status_id":1,"priority_id":2,"assigned_to_id":23,"start_date":"2017-03-19","description":"","custom_fields":[{"id":1,"name":"Subdivision","value":"Other"},{"id":4,"name":"Milepost","value":"0.0939"},{"id":17,"name":"Train ID","value":"80-19"},{"id":16,"name":"Locomotive ID","value":"4064"},{"id":130,"name":"Impact","value":""},{"id":150,"name":"Time of Event (Mountain Time)","value":"20:16:30"},{"id":151,"name":"Denver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93"/>
        <v>start /low /b %USERPROFILE%\Documents\GitHub\eaglep3\Utilities\DownloadLogsFromS3.py --loco 4064 --day 2017-03-19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"%USERPROFILE%\AppData\Local\Temp\OnboardLogs"\RTDC4064\*4064*20170320* | grep -SE "(Enforcement Action)|(\[TIMEOUT)|(CHR.+\|PRM\|1\|D.+(SWITCH|SIGNAL).+UNKNOWN)" - &gt;&gt; 2017-03-19-UncaughtWiMAX.txt</v>
      </c>
    </row>
    <row r="219" spans="1:40" x14ac:dyDescent="0.25">
      <c r="A219" s="33" t="s">
        <v>772</v>
      </c>
      <c r="B219" s="7">
        <v>4063</v>
      </c>
      <c r="C219" s="21" t="s">
        <v>221</v>
      </c>
      <c r="D219" s="21" t="s">
        <v>568</v>
      </c>
      <c r="E219" s="13">
        <v>42813.848449074074</v>
      </c>
      <c r="F219" s="13">
        <v>42813.850532407407</v>
      </c>
      <c r="G219" s="7">
        <v>2</v>
      </c>
      <c r="H219" s="21" t="s">
        <v>398</v>
      </c>
      <c r="I219" s="13">
        <v>42813.877743055556</v>
      </c>
      <c r="J219" s="7">
        <v>0</v>
      </c>
      <c r="K219" s="98" t="str">
        <f t="shared" si="81"/>
        <v>4063/4064</v>
      </c>
      <c r="L219" s="21" t="str">
        <f>VLOOKUP(A219,'Trips&amp;Operators'!$C$1:$G$99999,5,FALSE)</f>
        <v>YANG JAN</v>
      </c>
      <c r="M219" s="6">
        <f t="shared" si="78"/>
        <v>2.7210648149775807E-2</v>
      </c>
      <c r="N219" s="7">
        <f t="shared" si="77"/>
        <v>39.183333335677162</v>
      </c>
      <c r="O219" s="7"/>
      <c r="P219" s="7"/>
      <c r="Q219" s="22"/>
      <c r="R219" s="22"/>
      <c r="S219" s="31">
        <f t="shared" si="94"/>
        <v>0</v>
      </c>
      <c r="T219" s="46" t="e">
        <f t="shared" si="82"/>
        <v>#VALUE!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6" t="str">
        <f t="shared" si="83"/>
        <v>https://d0f6bd738d7f1b3e5a7ca70fe4ff75f0.us-east-1.aws.found.io/app/kibana#/discover/Steve-Slow-Train-Analysis-(2080s-and-2083s)?_g=(refreshInterval:(display:Off,pause:!f,section:0,value:0),time:(from:'2017-03-19T19:21:46-0600',mode:absolute,to:'2017-03-19T22:03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9" s="187" t="str">
        <f t="shared" si="84"/>
        <v>N</v>
      </c>
      <c r="X219" s="187" t="e">
        <f t="shared" si="79"/>
        <v>#VALUE!</v>
      </c>
      <c r="Y219" s="62">
        <f t="shared" si="85"/>
        <v>0.12379999999999999</v>
      </c>
      <c r="Z219" s="62">
        <f t="shared" si="80"/>
        <v>23.3293</v>
      </c>
      <c r="AA219" s="62">
        <f t="shared" si="86"/>
        <v>23.205500000000001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87"/>
        <v>81-19</v>
      </c>
      <c r="AE219" s="85" t="str">
        <f t="shared" si="88"/>
        <v>aws s3 cp s3://rtdc.mdm.uploadarchive.raw/RTDC4063/ "%USERPROFILE%\AppData\Local\Temp\OnboardLogs"\RTDC4063\2017-03-19 --exclude "*" --recursive --include "*20170319*" &amp; "%USERPROFILE%\Documents\GitHub\mrs-test-scripts\Headless Mode &amp; Sideloading\WalkAndUnGZ.bat" "%USERPROFILE%\AppData\Local\Temp\OnboardLogs"\RTDC4063\2017-03-19 &amp; aws s3 cp s3://rtdc.mdm.uploadarchive.raw/RTDC4063/ "%USERPROFILE%\AppData\Local\Temp\OnboardLogs"\RTDC4063\2017-03-20 --exclude "*" --recursive --include "*20170320*" &amp; "%USERPROFILE%\Documents\GitHub\mrs-test-scripts\Headless Mode &amp; Sideloading\WalkAndUnGZ.bat" "%USERPROFILE%\AppData\Local\Temp\OnboardLogs"\RTDC4063\2017-03-20</v>
      </c>
      <c r="AF219" s="82" t="str">
        <f t="shared" si="89"/>
        <v>"C:\Program Files (x86)\AstroGrep\AstroGrep.exe" /e /r /s /spath="%USERPROFILE%\AppData\Local\Temp\OnboardLogs" /stypes="app*4063*20170320*" /stext=" 03:.+((SYSTEM_STATE.+slice.+state.+changed )|(ment ac)|(multiple cpu faults)|(system.+state.+changed )|(\[timeout)|(PRM\|1\|D)|(kpr)|(kdp)|(\|lc)|(penalty))"</v>
      </c>
      <c r="AG219" s="1" t="str">
        <f t="shared" si="90"/>
        <v>Other</v>
      </c>
      <c r="AH219" s="86" t="str">
        <f t="shared" si="91"/>
        <v>"%USERPROFILE%\Documents\GitHub\eaglep3\Utilities\RefineRTDCRunTimes.py" --tripid 81-19 --locoid 4063 --swversion DE.1.0.9.0 --startMP 204:1238 --initTime 2017-03-19T20:21:46 --startdatetime 2017-03-19T20:24:46 --delay 2 --endMP 204:233293 --enddatetime 2017-03-19T21:03:57 --enforcementcount 0 &gt;&gt;%USERPROFILE%\Documents\GitHub\eaglep3-reporting\EC\2017-03-19-refined-times.txt</v>
      </c>
      <c r="AI219" s="108" t="str">
        <f t="shared" si="92"/>
        <v>echo {"issue":{"subject":"","project_id":79,"tracker_id":40,"status_id":1,"priority_id":2,"assigned_to_id":23,"start_date":"2017-03-19","description":"","custom_fields":[{"id":1,"name":"Subdivision","value":"Other"},{"id":4,"name":"Milepost","value":"23.3293"},{"id":17,"name":"Train ID","value":"81-19"},{"id":16,"name":"Locomotive ID","value":"4063"},{"id":130,"name":"Impact","value":""},{"id":150,"name":"Time of Event (Mountain Time)","value":"21:03:57"},{"id":151,"name":"Denver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93"/>
        <v>start /low /b %USERPROFILE%\Documents\GitHub\eaglep3\Utilities\DownloadLogsFromS3.py --loco 4063 --day 2017-03-19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"%USERPROFILE%\AppData\Local\Temp\OnboardLogs"\RTDC4063\*4063*20170320* | grep -SE "(Enforcement Action)|(\[TIMEOUT)|(CHR.+\|PRM\|1\|D.+(SWITCH|SIGNAL).+UNKNOWN)" - &gt;&gt; 2017-03-19-UncaughtWiMAX.txt</v>
      </c>
    </row>
    <row r="220" spans="1:40" x14ac:dyDescent="0.25">
      <c r="A220" s="33" t="s">
        <v>772</v>
      </c>
      <c r="B220" s="7">
        <v>4063</v>
      </c>
      <c r="C220" s="21" t="s">
        <v>221</v>
      </c>
      <c r="D220" s="21" t="s">
        <v>936</v>
      </c>
      <c r="E220" s="13">
        <v>42814.007349537038</v>
      </c>
      <c r="F220" s="13">
        <v>42814.009212962963</v>
      </c>
      <c r="G220" s="7">
        <v>1</v>
      </c>
      <c r="H220" s="21" t="s">
        <v>438</v>
      </c>
      <c r="I220" s="13">
        <v>42814.034814814811</v>
      </c>
      <c r="J220" s="7">
        <v>0</v>
      </c>
      <c r="K220" s="98" t="str">
        <f t="shared" si="81"/>
        <v>4063/4064</v>
      </c>
      <c r="L220" s="21" t="str">
        <f>VLOOKUP(A220,'Trips&amp;Operators'!$C$1:$G$99999,5,FALSE)</f>
        <v>YANG JAN</v>
      </c>
      <c r="M220" s="6">
        <f t="shared" si="78"/>
        <v>2.5601851848477963E-2</v>
      </c>
      <c r="N220" s="7">
        <f t="shared" si="77"/>
        <v>36.866666661808267</v>
      </c>
      <c r="O220" s="7"/>
      <c r="P220" s="7"/>
      <c r="Q220" s="22"/>
      <c r="R220" s="22"/>
      <c r="S220" s="31">
        <f t="shared" si="94"/>
        <v>0</v>
      </c>
      <c r="T220" s="46" t="e">
        <f t="shared" si="82"/>
        <v>#VALUE!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6" t="str">
        <f t="shared" si="83"/>
        <v>https://d0f6bd738d7f1b3e5a7ca70fe4ff75f0.us-east-1.aws.found.io/app/kibana#/discover/Steve-Slow-Train-Analysis-(2080s-and-2083s)?_g=(refreshInterval:(display:Off,pause:!f,section:0,value:0),time:(from:'2017-03-19T23:10:35-0600',mode:absolute,to:'2017-03-20T01:50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0" s="187" t="str">
        <f t="shared" si="84"/>
        <v>N</v>
      </c>
      <c r="X220" s="187" t="e">
        <f t="shared" si="79"/>
        <v>#VALUE!</v>
      </c>
      <c r="Y220" s="62">
        <f t="shared" si="85"/>
        <v>0.1479</v>
      </c>
      <c r="Z220" s="62">
        <f t="shared" si="80"/>
        <v>23.3308</v>
      </c>
      <c r="AA220" s="62">
        <f t="shared" si="86"/>
        <v>23.1829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87"/>
        <v>81-19</v>
      </c>
      <c r="AE220" s="85" t="str">
        <f t="shared" si="88"/>
        <v>aws s3 cp s3://rtdc.mdm.uploadarchive.raw/RTDC4063/ "%USERPROFILE%\AppData\Local\Temp\OnboardLogs"\RTDC4063\2017-03-20 --exclude "*" --recursive --include "*20170320*" &amp; "%USERPROFILE%\Documents\GitHub\mrs-test-scripts\Headless Mode &amp; Sideloading\WalkAndUnGZ.bat" "%USERPROFILE%\AppData\Local\Temp\OnboardLogs"\RTDC4063\2017-03-20 &amp; aws s3 cp s3://rtdc.mdm.uploadarchive.raw/RTDC4063/ "%USERPROFILE%\AppData\Local\Temp\OnboardLogs"\RTDC4063\2017-03-21 --exclude "*" --recursive --include "*20170321*" &amp; "%USERPROFILE%\Documents\GitHub\mrs-test-scripts\Headless Mode &amp; Sideloading\WalkAndUnGZ.bat" "%USERPROFILE%\AppData\Local\Temp\OnboardLogs"\RTDC4063\2017-03-21</v>
      </c>
      <c r="AF220" s="82" t="str">
        <f t="shared" si="89"/>
        <v>"C:\Program Files (x86)\AstroGrep\AstroGrep.exe" /e /r /s /spath="%USERPROFILE%\AppData\Local\Temp\OnboardLogs" /stypes="app*4063*20170320*" /stext=" 06:.+((SYSTEM_STATE.+slice.+state.+changed )|(ment ac)|(multiple cpu faults)|(system.+state.+changed )|(\[timeout)|(PRM\|1\|D)|(kpr)|(kdp)|(\|lc)|(penalty))"</v>
      </c>
      <c r="AG220" s="1" t="str">
        <f t="shared" si="90"/>
        <v>Other</v>
      </c>
      <c r="AH220" s="86" t="str">
        <f t="shared" si="91"/>
        <v>"%USERPROFILE%\Documents\GitHub\eaglep3\Utilities\RefineRTDCRunTimes.py" --tripid 81-19 --locoid 4063 --swversion DE.1.0.9.0 --startMP 204:1479 --initTime 2017-03-20T00:10:35 --startdatetime 2017-03-20T00:13:16 --delay 1 --endMP 204:233308 --enddatetime 2017-03-20T00:50:08 --enforcementcount 0 &gt;&gt;%USERPROFILE%\Documents\GitHub\eaglep3-reporting\EC\2017-03-19-refined-times.txt</v>
      </c>
      <c r="AI220" s="108" t="str">
        <f t="shared" si="92"/>
        <v>echo {"issue":{"subject":"","project_id":79,"tracker_id":40,"status_id":1,"priority_id":2,"assigned_to_id":23,"start_date":"2017-03-20","description":"","custom_fields":[{"id":1,"name":"Subdivision","value":"Other"},{"id":4,"name":"Milepost","value":"23.3308"},{"id":17,"name":"Train ID","value":"81-19"},{"id":16,"name":"Locomotive ID","value":"4063"},{"id":130,"name":"Impact","value":""},{"id":150,"name":"Time of Event (Mountain Time)","value":"00:50:08"},{"id":151,"name":"Denver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93"/>
        <v>start /low /b %USERPROFILE%\Documents\GitHub\eaglep3\Utilities\DownloadLogsFromS3.py --loco 4063 --day 2017-03-20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"%USERPROFILE%\AppData\Local\Temp\OnboardLogs"\RTDC4063\*4063*20170320* | grep -SE "(Enforcement Action)|(\[TIMEOUT)|(CHR.+\|PRM\|1\|D.+(SWITCH|SIGNAL).+UNKNOWN)" - &gt;&gt; 2017-03-19-UncaughtWiMAX.txt</v>
      </c>
    </row>
    <row r="221" spans="1:40" x14ac:dyDescent="0.25">
      <c r="A221" s="33" t="s">
        <v>772</v>
      </c>
      <c r="B221" s="7">
        <v>4063</v>
      </c>
      <c r="C221" s="21" t="s">
        <v>221</v>
      </c>
      <c r="D221" s="21" t="s">
        <v>941</v>
      </c>
      <c r="E221" s="13">
        <v>42813.915567129632</v>
      </c>
      <c r="F221" s="13">
        <v>42813.922048611108</v>
      </c>
      <c r="G221" s="7">
        <v>1</v>
      </c>
      <c r="H221" s="21" t="s">
        <v>227</v>
      </c>
      <c r="I221" s="13">
        <v>42813.949004629627</v>
      </c>
      <c r="J221" s="7">
        <v>0</v>
      </c>
      <c r="K221" s="98" t="str">
        <f t="shared" si="81"/>
        <v>4063/4064</v>
      </c>
      <c r="L221" s="21" t="str">
        <f>VLOOKUP(A221,'Trips&amp;Operators'!$C$1:$G$99999,5,FALSE)</f>
        <v>YANG JAN</v>
      </c>
      <c r="M221" s="6">
        <f t="shared" si="78"/>
        <v>2.6956018518831115E-2</v>
      </c>
      <c r="N221" s="7">
        <f t="shared" si="77"/>
        <v>38.816666667116806</v>
      </c>
      <c r="O221" s="7"/>
      <c r="P221" s="7"/>
      <c r="Q221" s="22"/>
      <c r="R221" s="22"/>
      <c r="S221" s="31">
        <f t="shared" si="94"/>
        <v>0</v>
      </c>
      <c r="T221" s="46" t="e">
        <f t="shared" si="82"/>
        <v>#VALUE!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6" t="str">
        <f t="shared" si="83"/>
        <v>https://d0f6bd738d7f1b3e5a7ca70fe4ff75f0.us-east-1.aws.found.io/app/kibana#/discover/Steve-Slow-Train-Analysis-(2080s-and-2083s)?_g=(refreshInterval:(display:Off,pause:!f,section:0,value:0),time:(from:'2017-03-19T20:58:25-0600',mode:absolute,to:'2017-03-19T23:46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1" s="187" t="str">
        <f t="shared" si="84"/>
        <v>N</v>
      </c>
      <c r="X221" s="187" t="e">
        <f t="shared" si="79"/>
        <v>#VALUE!</v>
      </c>
      <c r="Y221" s="62">
        <f t="shared" si="85"/>
        <v>4.3700000000000003E-2</v>
      </c>
      <c r="Z221" s="62">
        <f t="shared" si="80"/>
        <v>23.329499999999999</v>
      </c>
      <c r="AA221" s="62">
        <f t="shared" si="86"/>
        <v>23.285799999999998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87"/>
        <v>81-19</v>
      </c>
      <c r="AE221" s="85" t="str">
        <f t="shared" si="88"/>
        <v>aws s3 cp s3://rtdc.mdm.uploadarchive.raw/RTDC4063/ "%USERPROFILE%\AppData\Local\Temp\OnboardLogs"\RTDC4063\2017-03-19 --exclude "*" --recursive --include "*20170319*" &amp; "%USERPROFILE%\Documents\GitHub\mrs-test-scripts\Headless Mode &amp; Sideloading\WalkAndUnGZ.bat" "%USERPROFILE%\AppData\Local\Temp\OnboardLogs"\RTDC4063\2017-03-19 &amp; aws s3 cp s3://rtdc.mdm.uploadarchive.raw/RTDC4063/ "%USERPROFILE%\AppData\Local\Temp\OnboardLogs"\RTDC4063\2017-03-20 --exclude "*" --recursive --include "*20170320*" &amp; "%USERPROFILE%\Documents\GitHub\mrs-test-scripts\Headless Mode &amp; Sideloading\WalkAndUnGZ.bat" "%USERPROFILE%\AppData\Local\Temp\OnboardLogs"\RTDC4063\2017-03-20</v>
      </c>
      <c r="AF221" s="82" t="str">
        <f t="shared" si="89"/>
        <v>"C:\Program Files (x86)\AstroGrep\AstroGrep.exe" /e /r /s /spath="%USERPROFILE%\AppData\Local\Temp\OnboardLogs" /stypes="app*4063*20170320*" /stext=" 04:.+((SYSTEM_STATE.+slice.+state.+changed )|(ment ac)|(multiple cpu faults)|(system.+state.+changed )|(\[timeout)|(PRM\|1\|D)|(kpr)|(kdp)|(\|lc)|(penalty))"</v>
      </c>
      <c r="AG221" s="1" t="str">
        <f t="shared" si="90"/>
        <v>Other</v>
      </c>
      <c r="AH221" s="86" t="str">
        <f t="shared" si="91"/>
        <v>"%USERPROFILE%\Documents\GitHub\eaglep3\Utilities\RefineRTDCRunTimes.py" --tripid 81-19 --locoid 4063 --swversion DE.1.0.9.0 --startMP 204:437 --initTime 2017-03-19T21:58:25 --startdatetime 2017-03-19T22:07:45 --delay 1 --endMP 204:233295 --enddatetime 2017-03-19T22:46:34 --enforcementcount 0 &gt;&gt;%USERPROFILE%\Documents\GitHub\eaglep3-reporting\EC\2017-03-19-refined-times.txt</v>
      </c>
      <c r="AI221" s="108" t="str">
        <f t="shared" si="92"/>
        <v>echo {"issue":{"subject":"","project_id":79,"tracker_id":40,"status_id":1,"priority_id":2,"assigned_to_id":23,"start_date":"2017-03-19","description":"","custom_fields":[{"id":1,"name":"Subdivision","value":"Other"},{"id":4,"name":"Milepost","value":"23.3295"},{"id":17,"name":"Train ID","value":"81-19"},{"id":16,"name":"Locomotive ID","value":"4063"},{"id":130,"name":"Impact","value":""},{"id":150,"name":"Time of Event (Mountain Time)","value":"22:46:34"},{"id":151,"name":"Denver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93"/>
        <v>start /low /b %USERPROFILE%\Documents\GitHub\eaglep3\Utilities\DownloadLogsFromS3.py --loco 4063 --day 2017-03-19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"%USERPROFILE%\AppData\Local\Temp\OnboardLogs"\RTDC4063\*4063*20170320* | grep -SE "(Enforcement Action)|(\[TIMEOUT)|(CHR.+\|PRM\|1\|D.+(SWITCH|SIGNAL).+UNKNOWN)" - &gt;&gt; 2017-03-19-UncaughtWiMAX.txt</v>
      </c>
    </row>
    <row r="222" spans="1:40" x14ac:dyDescent="0.25">
      <c r="A222" s="33" t="s">
        <v>772</v>
      </c>
      <c r="B222" s="7">
        <v>4063</v>
      </c>
      <c r="C222" s="21" t="s">
        <v>221</v>
      </c>
      <c r="D222" s="21" t="s">
        <v>449</v>
      </c>
      <c r="E222" s="13">
        <v>42814.074004629627</v>
      </c>
      <c r="F222" s="13">
        <v>42814.075532407405</v>
      </c>
      <c r="G222" s="7">
        <v>1</v>
      </c>
      <c r="H222" s="21" t="s">
        <v>930</v>
      </c>
      <c r="I222" s="13">
        <v>42814.083506944444</v>
      </c>
      <c r="J222" s="7">
        <v>0</v>
      </c>
      <c r="K222" s="98" t="str">
        <f t="shared" si="81"/>
        <v>4063/4064</v>
      </c>
      <c r="L222" s="21" t="str">
        <f>VLOOKUP(A222,'Trips&amp;Operators'!$C$1:$G$99999,5,FALSE)</f>
        <v>YANG JAN</v>
      </c>
      <c r="M222" s="6">
        <f t="shared" si="78"/>
        <v>7.9745370385353453E-3</v>
      </c>
      <c r="N222" s="7">
        <f t="shared" si="77"/>
        <v>11.483333335490897</v>
      </c>
      <c r="O222" s="7"/>
      <c r="P222" s="7"/>
      <c r="Q222" s="22"/>
      <c r="R222" s="22"/>
      <c r="S222" s="31">
        <f t="shared" si="94"/>
        <v>0</v>
      </c>
      <c r="T222" s="46" t="e">
        <f t="shared" si="82"/>
        <v>#VALUE!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6" t="str">
        <f t="shared" si="83"/>
        <v>https://d0f6bd738d7f1b3e5a7ca70fe4ff75f0.us-east-1.aws.found.io/app/kibana#/discover/Steve-Slow-Train-Analysis-(2080s-and-2083s)?_g=(refreshInterval:(display:Off,pause:!f,section:0,value:0),time:(from:'2017-03-20T00:46:34-0600',mode:absolute,to:'2017-03-20T03:00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2" s="187" t="str">
        <f t="shared" si="84"/>
        <v>Y</v>
      </c>
      <c r="X222" s="187" t="e">
        <f t="shared" si="79"/>
        <v>#VALUE!</v>
      </c>
      <c r="Y222" s="62">
        <f t="shared" si="85"/>
        <v>4.4400000000000002E-2</v>
      </c>
      <c r="Z222" s="62">
        <f t="shared" si="80"/>
        <v>2.3298999999999999</v>
      </c>
      <c r="AA222" s="62">
        <f t="shared" si="86"/>
        <v>2.2854999999999999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87"/>
        <v>81-19</v>
      </c>
      <c r="AE222" s="85" t="str">
        <f t="shared" si="88"/>
        <v>aws s3 cp s3://rtdc.mdm.uploadarchive.raw/RTDC4063/ "%USERPROFILE%\AppData\Local\Temp\OnboardLogs"\RTDC4063\2017-03-20 --exclude "*" --recursive --include "*20170320*" &amp; "%USERPROFILE%\Documents\GitHub\mrs-test-scripts\Headless Mode &amp; Sideloading\WalkAndUnGZ.bat" "%USERPROFILE%\AppData\Local\Temp\OnboardLogs"\RTDC4063\2017-03-20 &amp; aws s3 cp s3://rtdc.mdm.uploadarchive.raw/RTDC4063/ "%USERPROFILE%\AppData\Local\Temp\OnboardLogs"\RTDC4063\2017-03-21 --exclude "*" --recursive --include "*20170321*" &amp; "%USERPROFILE%\Documents\GitHub\mrs-test-scripts\Headless Mode &amp; Sideloading\WalkAndUnGZ.bat" "%USERPROFILE%\AppData\Local\Temp\OnboardLogs"\RTDC4063\2017-03-21</v>
      </c>
      <c r="AF222" s="82" t="str">
        <f t="shared" si="89"/>
        <v>"C:\Program Files (x86)\AstroGrep\AstroGrep.exe" /e /r /s /spath="%USERPROFILE%\AppData\Local\Temp\OnboardLogs" /stypes="app*4063*20170320*" /stext=" 08:.+((SYSTEM_STATE.+slice.+state.+changed )|(ment ac)|(multiple cpu faults)|(system.+state.+changed )|(\[timeout)|(PRM\|1\|D)|(kpr)|(kdp)|(\|lc)|(penalty))"</v>
      </c>
      <c r="AG222" s="1" t="str">
        <f t="shared" si="90"/>
        <v>Other</v>
      </c>
      <c r="AH222" s="86" t="str">
        <f t="shared" si="91"/>
        <v>"%USERPROFILE%\Documents\GitHub\eaglep3\Utilities\RefineRTDCRunTimes.py" --tripid 81-19 --locoid 4063 --swversion DE.1.0.9.0 --startMP 204:444 --initTime 2017-03-20T01:46:34 --startdatetime 2017-03-20T01:48:46 --delay 1 --endMP 300:23299 --enddatetime 2017-03-20T02:00:15 --enforcementcount 0 &gt;&gt;%USERPROFILE%\Documents\GitHub\eaglep3-reporting\EC\2017-03-19-refined-times.txt</v>
      </c>
      <c r="AI222" s="108" t="str">
        <f t="shared" si="92"/>
        <v>echo {"issue":{"subject":"","project_id":79,"tracker_id":40,"status_id":1,"priority_id":2,"assigned_to_id":23,"start_date":"2017-03-20","description":"","custom_fields":[{"id":1,"name":"Subdivision","value":"Other"},{"id":4,"name":"Milepost","value":"2.3299"},{"id":17,"name":"Train ID","value":"81-19"},{"id":16,"name":"Locomotive ID","value":"4063"},{"id":130,"name":"Impact","value":""},{"id":150,"name":"Time of Event (Mountain Time)","value":"02:00:15"},{"id":151,"name":"Denver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93"/>
        <v>start /low /b %USERPROFILE%\Documents\GitHub\eaglep3\Utilities\DownloadLogsFromS3.py --loco 4063 --day 2017-03-20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"%USERPROFILE%\AppData\Local\Temp\OnboardLogs"\RTDC4063\*4063*20170320* | grep -SE "(Enforcement Action)|(\[TIMEOUT)|(CHR.+\|PRM\|1\|D.+(SWITCH|SIGNAL).+UNKNOWN)" - &gt;&gt; 2017-03-19-UncaughtWiMAX.txt</v>
      </c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</sheetData>
  <autoFilter ref="A12:AG266"/>
  <sortState ref="A13:AH200">
    <sortCondition ref="AG13:AG200"/>
    <sortCondition ref="AD13:AD200"/>
  </sortState>
  <mergeCells count="1">
    <mergeCell ref="A11:P11"/>
  </mergeCells>
  <conditionalFormatting sqref="W11:W12 W273:X1048576 W13:X222">
    <cfRule type="cellIs" dxfId="10" priority="370" operator="equal">
      <formula>"Y"</formula>
    </cfRule>
  </conditionalFormatting>
  <conditionalFormatting sqref="X273:X1048576 X13:X222">
    <cfRule type="cellIs" dxfId="9" priority="353" operator="greaterThan">
      <formula>1</formula>
    </cfRule>
  </conditionalFormatting>
  <conditionalFormatting sqref="X273:X1048576 X12:X222">
    <cfRule type="cellIs" dxfId="8" priority="350" operator="equal">
      <formula>0</formula>
    </cfRule>
  </conditionalFormatting>
  <conditionalFormatting sqref="A13:S222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A13:S222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AK13:AK222</xm:sqref>
        </x14:dataValidation>
        <x14:dataValidation type="list" allowBlank="1" showInputMessage="1" showErrorMessage="1">
          <x14:formula1>
            <xm:f>'Redmine List Values'!$C$2:$C$15</xm:f>
          </x14:formula1>
          <xm:sqref>AL13:AL222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2"/>
  <sheetViews>
    <sheetView topLeftCell="A2" workbookViewId="0">
      <selection activeCell="P8" sqref="P8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>
        <v>2</v>
      </c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COUNTIF($O$7:$O$308,"=Y")</f>
        <v>4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COUNTA($O$7:$O$308)-O2</f>
        <v>27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221" t="str">
        <f>"Eagle P3 Braking Events - "&amp;TEXT(Variables!$A$2,"YYYY-mm-dd")</f>
        <v>Eagle P3 Braking Events - 2017-03-19</v>
      </c>
      <c r="B5" s="221"/>
      <c r="C5" s="221"/>
      <c r="D5" s="221"/>
      <c r="E5" s="221"/>
      <c r="F5" s="221"/>
      <c r="G5" s="221"/>
      <c r="H5" s="221"/>
      <c r="I5" s="221"/>
      <c r="J5" s="221"/>
      <c r="K5" s="221"/>
      <c r="L5" s="221"/>
      <c r="M5" s="221"/>
      <c r="N5" s="221"/>
      <c r="O5" s="221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152</v>
      </c>
      <c r="J6" s="126" t="s">
        <v>30</v>
      </c>
      <c r="K6" s="126" t="s">
        <v>29</v>
      </c>
      <c r="L6" s="126" t="s">
        <v>28</v>
      </c>
      <c r="M6" s="111" t="s">
        <v>153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95</v>
      </c>
      <c r="X6" s="112" t="s">
        <v>96</v>
      </c>
      <c r="Y6" s="117" t="s">
        <v>146</v>
      </c>
      <c r="Z6" s="118" t="s">
        <v>147</v>
      </c>
      <c r="AA6" s="118" t="s">
        <v>120</v>
      </c>
      <c r="AB6" s="118" t="s">
        <v>148</v>
      </c>
      <c r="AC6" s="130" t="s">
        <v>172</v>
      </c>
      <c r="AD6" s="119" t="s">
        <v>191</v>
      </c>
      <c r="AE6" s="155" t="s">
        <v>201</v>
      </c>
    </row>
    <row r="7" spans="1:32" s="1" customFormat="1" x14ac:dyDescent="0.25">
      <c r="A7" s="32">
        <v>42813.193657407406</v>
      </c>
      <c r="B7" s="30" t="s">
        <v>464</v>
      </c>
      <c r="C7" s="30" t="s">
        <v>571</v>
      </c>
      <c r="D7" s="30" t="s">
        <v>49</v>
      </c>
      <c r="E7" s="30" t="s">
        <v>192</v>
      </c>
      <c r="F7" s="43">
        <v>0</v>
      </c>
      <c r="G7" s="43">
        <v>299</v>
      </c>
      <c r="H7" s="43">
        <v>32968</v>
      </c>
      <c r="I7" s="43">
        <v>33335</v>
      </c>
      <c r="J7" s="30" t="s">
        <v>193</v>
      </c>
      <c r="K7" s="43">
        <v>33137</v>
      </c>
      <c r="L7" s="143" t="s">
        <v>50</v>
      </c>
      <c r="M7" s="144">
        <f t="shared" ref="M7:M37" si="0">CONVERT((I7-K7)/10000,"mi","ft")*IF(L7="Increasing Mileposts (1)",-1,1)</f>
        <v>-104.544</v>
      </c>
      <c r="N7" s="145" t="str">
        <f>VLOOKUP(C7,'Trips&amp;Operators'!$C$1:$G$99999,5,FALSE)</f>
        <v>DAVIS WENDY</v>
      </c>
      <c r="O7" s="194" t="s">
        <v>184</v>
      </c>
      <c r="P7" s="146" t="s">
        <v>967</v>
      </c>
      <c r="Q7" s="30"/>
      <c r="R7" s="89" t="str">
        <f>IF(VLOOKUP(C7,'Train Runs'!$A$13:$AE$9942,1,1)=C7,VLOOKUP(C7,'Train Runs'!$A$13:$AE$9942,31,1),NA())</f>
        <v>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 &amp; 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</v>
      </c>
      <c r="S7" s="92" t="str">
        <f>VLOOKUP(C7,'Train Runs'!$A$13:$AE$9942,22,0)</f>
        <v>https://d0f6bd738d7f1b3e5a7ca70fe4ff75f0.us-east-1.aws.found.io/app/kibana#/discover/Steve-Slow-Train-Analysis-(2080s-and-2083s)?_g=(refreshInterval:(display:Off,pause:!f,section:0,value:0),time:(from:'2017-03-19T03:23:53-0600',mode:absolute,to:'2017-03-19T06:08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7" s="94" t="str">
        <f t="shared" ref="T7:T37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/stypes="*4016*201703191*" /stext=" 10:.+((SYSTEM_STATE.+slice.+state.+changed )|(ment ac)|(multiple cpu faults)|(system.+state.+changed )|(\[timeout)|(PRM\|1\|D)|(kpr)|(kdp)|(\|lc)|(penalty))"</v>
      </c>
      <c r="U7" s="9" t="str">
        <f t="shared" ref="U7:U37" si="2">MID(B7,13,4)</f>
        <v>4016</v>
      </c>
      <c r="V7" s="32">
        <f t="shared" ref="V7:V37" si="3">A7-utc_offset/24</f>
        <v>42813.443657407406</v>
      </c>
      <c r="W7" s="46" t="str">
        <f t="shared" ref="W7:W37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7" si="5">IF(AND(E7="TRACK WARRANT AUTHORITY",G7&lt;10),"OMIT","KEEP")</f>
        <v>KEEP</v>
      </c>
      <c r="Y7" s="108" t="str">
        <f t="shared" ref="Y7:Y3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arrival","project_id":79,"tracker_id":40,"status_id":1,"priority_id":2,"assigned_to_id":23,"start_date":"2017-03-19","description":"","custom_fields":[{"id":1,"name":"Subdivision","value":"EC"},{"id":4,"name":"Milepost","value":"3.3137"},{"id":17,"name":"Train ID","value":"107-19"},{"id":16,"name":"Locomotive ID","value":"4016"},{"id":130,"name":"Impact","value":""},{"id":150,"name":"Time of Event (Mountain Time)","value":"04:38:52"},{"id":151,"name":"Denver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37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"%USERPROFILE%\AppData\Local\Temp\OnboardLogs"\RTDC4016\*4016*201703191*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"%USERPROFILE%\AppData\Local\Temp\OnboardLogs"\RTDC4016\*4016*201703191* &gt;&gt; 2017-03-19-SliceDisagreementCheck.txt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4016 --day 2017-03-19</v>
      </c>
    </row>
    <row r="8" spans="1:32" s="1" customFormat="1" x14ac:dyDescent="0.25">
      <c r="A8" s="32">
        <v>42813.341180555559</v>
      </c>
      <c r="B8" s="30" t="s">
        <v>464</v>
      </c>
      <c r="C8" s="30" t="s">
        <v>578</v>
      </c>
      <c r="D8" s="30" t="s">
        <v>49</v>
      </c>
      <c r="E8" s="30" t="s">
        <v>192</v>
      </c>
      <c r="F8" s="43">
        <v>240</v>
      </c>
      <c r="G8" s="43">
        <v>311</v>
      </c>
      <c r="H8" s="43">
        <v>42071</v>
      </c>
      <c r="I8" s="43">
        <v>42845</v>
      </c>
      <c r="J8" s="30" t="s">
        <v>193</v>
      </c>
      <c r="K8" s="43">
        <v>42779</v>
      </c>
      <c r="L8" s="143" t="s">
        <v>50</v>
      </c>
      <c r="M8" s="144">
        <f t="shared" si="0"/>
        <v>-34.847999999999999</v>
      </c>
      <c r="N8" s="145" t="str">
        <f>VLOOKUP(C8,'Trips&amp;Operators'!$C$1:$G$99999,5,FALSE)</f>
        <v>DAVIS WENDY</v>
      </c>
      <c r="O8" s="194" t="s">
        <v>184</v>
      </c>
      <c r="P8" s="146" t="s">
        <v>967</v>
      </c>
      <c r="Q8" s="30"/>
      <c r="R8" s="89" t="str">
        <f>IF(VLOOKUP(C8,'Train Runs'!$A$13:$AE$9942,1,1)=C8,VLOOKUP(C8,'Train Runs'!$A$13:$AE$9942,31,1),NA())</f>
        <v>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 &amp; 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</v>
      </c>
      <c r="S8" s="92" t="str">
        <f>VLOOKUP(C8,'Train Runs'!$A$13:$AE$9942,22,0)</f>
        <v>https://d0f6bd738d7f1b3e5a7ca70fe4ff75f0.us-east-1.aws.found.io/app/kibana#/discover/Steve-Slow-Train-Analysis-(2080s-and-2083s)?_g=(refreshInterval:(display:Off,pause:!f,section:0,value:0),time:(from:'2017-03-19T06:57:32-0600',mode:absolute,to:'2017-03-19T09:38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8" s="94" t="str">
        <f t="shared" si="1"/>
        <v>"C:\Program Files (x86)\AstroGrep\AstroGrep.exe" /e /r /s /spath="%USERPROFILE%\AppData\Local\Temp\OnboardLogs" /stypes="*4016*201703191*" /stext=" 14:.+((SYSTEM_STATE.+slice.+state.+changed )|(ment ac)|(multiple cpu faults)|(system.+state.+changed )|(\[timeout)|(PRM\|1\|D)|(kpr)|(kdp)|(\|lc)|(penalty))"</v>
      </c>
      <c r="U8" s="9" t="str">
        <f t="shared" si="2"/>
        <v>4016</v>
      </c>
      <c r="V8" s="32">
        <f t="shared" si="3"/>
        <v>42813.591180555559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arrival","project_id":79,"tracker_id":40,"status_id":1,"priority_id":2,"assigned_to_id":23,"start_date":"2017-03-19","description":"","custom_fields":[{"id":1,"name":"Subdivision","value":"EC"},{"id":4,"name":"Milepost","value":"4.2779"},{"id":17,"name":"Train ID","value":"135-19"},{"id":16,"name":"Locomotive ID","value":"4016"},{"id":130,"name":"Impact","value":""},{"id":150,"name":"Time of Event (Mountain Time)","value":"08:11:18"},{"id":151,"name":"Denver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"%USERPROFILE%\AppData\Local\Temp\OnboardLogs"\RTDC4016\*4016*201703191*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"%USERPROFILE%\AppData\Local\Temp\OnboardLogs"\RTDC4016\*4016*201703191* &gt;&gt; 2017-03-19-SliceDisagreementCheck.txt</v>
      </c>
      <c r="AE8" s="157" t="str">
        <f t="shared" ref="AE8:AE37" si="9">"start /low /b "&amp;dls3logs&amp;" --loco "&amp;U8&amp;" --day "&amp;TEXT(V8,"YYYY-MM-DD")</f>
        <v>start /low /b %USERPROFILE%\Documents\GitHub\eaglep3\Utilities\DownloadLogsFromS3.py --loco 4016 --day 2017-03-19</v>
      </c>
    </row>
    <row r="9" spans="1:32" s="1" customFormat="1" x14ac:dyDescent="0.25">
      <c r="A9" s="32">
        <v>42813.598692129628</v>
      </c>
      <c r="B9" s="30" t="s">
        <v>421</v>
      </c>
      <c r="C9" s="30" t="s">
        <v>594</v>
      </c>
      <c r="D9" s="30" t="s">
        <v>49</v>
      </c>
      <c r="E9" s="30" t="s">
        <v>192</v>
      </c>
      <c r="F9" s="43">
        <v>0</v>
      </c>
      <c r="G9" s="43">
        <v>319</v>
      </c>
      <c r="H9" s="43">
        <v>58712</v>
      </c>
      <c r="I9" s="43">
        <v>57698</v>
      </c>
      <c r="J9" s="30" t="s">
        <v>193</v>
      </c>
      <c r="K9" s="43">
        <v>58301</v>
      </c>
      <c r="L9" s="143" t="s">
        <v>51</v>
      </c>
      <c r="M9" s="144">
        <f t="shared" si="0"/>
        <v>-318.38400000000001</v>
      </c>
      <c r="N9" s="145" t="str">
        <f>VLOOKUP(C9,'Trips&amp;Operators'!$C$1:$G$99999,5,FALSE)</f>
        <v>DAVIS MICHAEL</v>
      </c>
      <c r="O9" s="194" t="s">
        <v>184</v>
      </c>
      <c r="P9" s="146" t="s">
        <v>967</v>
      </c>
      <c r="Q9" s="30"/>
      <c r="R9" s="89" t="str">
        <f>IF(VLOOKUP(C9,'Train Runs'!$A$13:$AE$9942,1,1)=C9,VLOOKUP(C9,'Train Runs'!$A$13:$AE$9942,31,1),NA())</f>
        <v>aws s3 cp s3://rtdc.mdm.uploadarchive.raw/RTDC4001/ "%USERPROFILE%\AppData\Local\Temp\OnboardLogs"\RTDC4001\2017-03-19 --exclude "*" --recursive --include "*20170319*" &amp; "%USERPROFILE%\Documents\GitHub\mrs-test-scripts\Headless Mode &amp; Sideloading\WalkAndUnGZ.bat" "%USERPROFILE%\AppData\Local\Temp\OnboardLogs"\RTDC4001\2017-03-19 &amp; aws s3 cp s3://rtdc.mdm.uploadarchive.raw/RTDC4001/ "%USERPROFILE%\AppData\Local\Temp\OnboardLogs"\RTDC4001\2017-03-20 --exclude "*" --recursive --include "*20170320*" &amp; "%USERPROFILE%\Documents\GitHub\mrs-test-scripts\Headless Mode &amp; Sideloading\WalkAndUnGZ.bat" "%USERPROFILE%\AppData\Local\Temp\OnboardLogs"\RTDC4001\2017-03-20</v>
      </c>
      <c r="S9" s="92" t="str">
        <f>VLOOKUP(C9,'Train Runs'!$A$13:$AE$9942,22,0)</f>
        <v>https://d0f6bd738d7f1b3e5a7ca70fe4ff75f0.us-east-1.aws.found.io/app/kibana#/discover/Steve-Slow-Train-Analysis-(2080s-and-2083s)?_g=(refreshInterval:(display:Off,pause:!f,section:0,value:0),time:(from:'2017-03-19T12:52:22-0600',mode:absolute,to:'2017-03-19T15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9" s="94" t="str">
        <f t="shared" si="1"/>
        <v>"C:\Program Files (x86)\AstroGrep\AstroGrep.exe" /e /r /s /spath="%USERPROFILE%\AppData\Local\Temp\OnboardLogs" /stypes="*4001*201703192*" /stext=" 20:.+((SYSTEM_STATE.+slice.+state.+changed )|(ment ac)|(multiple cpu faults)|(system.+state.+changed )|(\[timeout)|(PRM\|1\|D)|(kpr)|(kdp)|(\|lc)|(penalty))"</v>
      </c>
      <c r="U9" s="9" t="str">
        <f t="shared" si="2"/>
        <v>4001</v>
      </c>
      <c r="V9" s="32">
        <f t="shared" si="3"/>
        <v>42813.848692129628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arrival","project_id":79,"tracker_id":40,"status_id":1,"priority_id":2,"assigned_to_id":23,"start_date":"2017-03-19","description":"","custom_fields":[{"id":1,"name":"Subdivision","value":"EC"},{"id":4,"name":"Milepost","value":"5.8301"},{"id":17,"name":"Train ID","value":"176-19"},{"id":16,"name":"Locomotive ID","value":"4001"},{"id":130,"name":"Impact","value":""},{"id":150,"name":"Time of Event (Mountain Time)","value":"14:22:07"},{"id":151,"name":"Denver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"%USERPROFILE%\AppData\Local\Temp\OnboardLogs"\RTDC4001\*4001*201703192*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"%USERPROFILE%\AppData\Local\Temp\OnboardLogs"\RTDC4001\*4001*201703192* &gt;&gt; 2017-03-19-SliceDisagreementCheck.txt</v>
      </c>
      <c r="AE9" s="157" t="str">
        <f t="shared" si="9"/>
        <v>start /low /b %USERPROFILE%\Documents\GitHub\eaglep3\Utilities\DownloadLogsFromS3.py --loco 4001 --day 2017-03-19</v>
      </c>
    </row>
    <row r="10" spans="1:32" s="1" customFormat="1" x14ac:dyDescent="0.25">
      <c r="A10" s="32">
        <v>42814.009548611109</v>
      </c>
      <c r="B10" s="30" t="s">
        <v>425</v>
      </c>
      <c r="C10" s="30" t="s">
        <v>605</v>
      </c>
      <c r="D10" s="30" t="s">
        <v>49</v>
      </c>
      <c r="E10" s="30" t="s">
        <v>192</v>
      </c>
      <c r="F10" s="43">
        <v>400</v>
      </c>
      <c r="G10" s="43">
        <v>479</v>
      </c>
      <c r="H10" s="43">
        <v>62210</v>
      </c>
      <c r="I10" s="43">
        <v>63841</v>
      </c>
      <c r="J10" s="30" t="s">
        <v>193</v>
      </c>
      <c r="K10" s="43">
        <v>63069</v>
      </c>
      <c r="L10" s="143" t="s">
        <v>50</v>
      </c>
      <c r="M10" s="144">
        <f t="shared" si="0"/>
        <v>-407.61599999999999</v>
      </c>
      <c r="N10" s="145" t="str">
        <f>VLOOKUP(C10,'Trips&amp;Operators'!$C$1:$G$99999,5,FALSE)</f>
        <v>SMITH MICHAEL</v>
      </c>
      <c r="O10" s="194" t="s">
        <v>184</v>
      </c>
      <c r="P10" s="146" t="s">
        <v>967</v>
      </c>
      <c r="Q10" s="30"/>
      <c r="R10" s="89" t="e">
        <f>IF(VLOOKUP(C10,'Train Runs'!$A$13:$AE$9942,1,1)=C10,VLOOKUP(C10,'Train Runs'!$A$13:$AE$9942,31,1),NA())</f>
        <v>#N/A</v>
      </c>
      <c r="S10" s="92" t="str">
        <f>VLOOKUP(C10,'Train Runs'!$A$13:$AE$9942,22,0)</f>
        <v>https://d0f6bd738d7f1b3e5a7ca70fe4ff75f0.us-east-1.aws.found.io/app/kibana#/discover/Steve-Slow-Train-Analysis-(2080s-and-2083s)?_g=(refreshInterval:(display:Off,pause:!f,section:0,value:0),time:(from:'2017-03-19T22:51:45-0600',mode:absolute,to:'2017-03-20T01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0" s="94" t="str">
        <f t="shared" si="1"/>
        <v>"C:\Program Files (x86)\AstroGrep\AstroGrep.exe" /e /r /s /spath="%USERPROFILE%\AppData\Local\Temp\OnboardLogs" /stypes="*4002*201703200*" /stext=" 06:.+((SYSTEM_STATE.+slice.+state.+changed )|(ment ac)|(multiple cpu faults)|(system.+state.+changed )|(\[timeout)|(PRM\|1\|D)|(kpr)|(kdp)|(\|lc)|(penalty))"</v>
      </c>
      <c r="U10" s="9" t="str">
        <f t="shared" si="2"/>
        <v>4002</v>
      </c>
      <c r="V10" s="32">
        <f t="shared" si="3"/>
        <v>42814.259548611109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arrival","project_id":79,"tracker_id":40,"status_id":1,"priority_id":2,"assigned_to_id":23,"start_date":"2017-03-20","description":"","custom_fields":[{"id":1,"name":"Subdivision","value":"EC"},{"id":4,"name":"Milepost","value":"6.3069"},{"id":17,"name":"Train ID","value":"241-19"},{"id":16,"name":"Locomotive ID","value":"4002"},{"id":130,"name":"Impact","value":""},{"id":150,"name":"Time of Event (Mountain Time)","value":"00:13:45"},{"id":151,"name":"Denver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"%USERPROFILE%\AppData\Local\Temp\OnboardLogs"\RTDC4002\*4002*201703200*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"%USERPROFILE%\AppData\Local\Temp\OnboardLogs"\RTDC4002\*4002*201703200* &gt;&gt; 2017-03-19-SliceDisagreementCheck.txt</v>
      </c>
      <c r="AE10" s="157" t="str">
        <f t="shared" si="9"/>
        <v>start /low /b %USERPROFILE%\Documents\GitHub\eaglep3\Utilities\DownloadLogsFromS3.py --loco 4002 --day 2017-03-20</v>
      </c>
    </row>
    <row r="11" spans="1:32" s="1" customFormat="1" x14ac:dyDescent="0.25">
      <c r="A11" s="32">
        <v>42813.399826388886</v>
      </c>
      <c r="B11" s="30" t="s">
        <v>425</v>
      </c>
      <c r="C11" s="30" t="s">
        <v>579</v>
      </c>
      <c r="D11" s="30" t="s">
        <v>49</v>
      </c>
      <c r="E11" s="30" t="s">
        <v>219</v>
      </c>
      <c r="F11" s="43">
        <v>400</v>
      </c>
      <c r="G11" s="43">
        <v>455</v>
      </c>
      <c r="H11" s="43">
        <v>16958</v>
      </c>
      <c r="I11" s="43">
        <v>17839</v>
      </c>
      <c r="J11" s="30" t="s">
        <v>220</v>
      </c>
      <c r="K11" s="43">
        <v>17867</v>
      </c>
      <c r="L11" s="143" t="s">
        <v>50</v>
      </c>
      <c r="M11" s="144">
        <f t="shared" si="0"/>
        <v>14.784000000000001</v>
      </c>
      <c r="N11" s="145" t="str">
        <f>VLOOKUP(C11,'Trips&amp;Operators'!$C$1:$G$99999,5,FALSE)</f>
        <v>BADERTSCHER DIANE</v>
      </c>
      <c r="O11" s="194" t="s">
        <v>184</v>
      </c>
      <c r="P11" s="146"/>
      <c r="Q11" s="30"/>
      <c r="R11" s="89" t="str">
        <f>IF(VLOOKUP(C11,'Train Runs'!$A$13:$AE$9942,1,1)=C11,VLOOKUP(C11,'Train Runs'!$A$13:$AE$9942,31,1),NA())</f>
        <v>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 &amp; 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</v>
      </c>
      <c r="S11" s="92" t="str">
        <f>VLOOKUP(C11,'Train Runs'!$A$13:$AE$9942,22,0)</f>
        <v>https://d0f6bd738d7f1b3e5a7ca70fe4ff75f0.us-east-1.aws.found.io/app/kibana#/discover/Steve-Slow-Train-Analysis-(2080s-and-2083s)?_g=(refreshInterval:(display:Off,pause:!f,section:0,value:0),time:(from:'2017-03-19T08:27:14-0600',mode:absolute,to:'2017-03-19T11:09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1" s="94" t="str">
        <f t="shared" si="1"/>
        <v>"C:\Program Files (x86)\AstroGrep\AstroGrep.exe" /e /r /s /spath="%USERPROFILE%\AppData\Local\Temp\OnboardLogs" /stypes="*4002*201703191*" /stext=" 15:.+((SYSTEM_STATE.+slice.+state.+changed )|(ment ac)|(multiple cpu faults)|(system.+state.+changed )|(\[timeout)|(PRM\|1\|D)|(kpr)|(kdp)|(\|lc)|(penalty))"</v>
      </c>
      <c r="U11" s="9" t="str">
        <f t="shared" si="2"/>
        <v>4002</v>
      </c>
      <c r="V11" s="32">
        <f t="shared" si="3"/>
        <v>42813.649826388886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{"issue":{"subject":"","project_id":79,"tracker_id":40,"status_id":1,"priority_id":2,"assigned_to_id":23,"start_date":"2017-03-19","description":"","custom_fields":[{"id":1,"name":"Subdivision","value":"EC"},{"id":4,"name":"Milepost","value":"1.7867"},{"id":17,"name":"Train ID","value":"147-19"},{"id":16,"name":"Locomotive ID","value":"4002"},{"id":130,"name":"Impact","value":""},{"id":150,"name":"Time of Event (Mountain Time)","value":"09:35:45"},{"id":151,"name":"Denver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"%USERPROFILE%\AppData\Local\Temp\OnboardLogs"\RTDC4002\*4002*201703191*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"%USERPROFILE%\AppData\Local\Temp\OnboardLogs"\RTDC4002\*4002*201703191* &gt;&gt; 2017-03-19-SliceDisagreementCheck.txt</v>
      </c>
      <c r="AE11" s="157" t="str">
        <f t="shared" si="9"/>
        <v>start /low /b %USERPROFILE%\Documents\GitHub\eaglep3\Utilities\DownloadLogsFromS3.py --loco 4002 --day 2017-03-19</v>
      </c>
    </row>
    <row r="12" spans="1:32" s="1" customFormat="1" x14ac:dyDescent="0.25">
      <c r="A12" s="32">
        <v>42813.721446759257</v>
      </c>
      <c r="B12" s="30" t="s">
        <v>588</v>
      </c>
      <c r="C12" s="30" t="s">
        <v>599</v>
      </c>
      <c r="D12" s="30" t="s">
        <v>49</v>
      </c>
      <c r="E12" s="30" t="s">
        <v>219</v>
      </c>
      <c r="F12" s="43">
        <v>300</v>
      </c>
      <c r="G12" s="43">
        <v>502</v>
      </c>
      <c r="H12" s="43">
        <v>24612</v>
      </c>
      <c r="I12" s="43">
        <v>23058</v>
      </c>
      <c r="J12" s="30" t="s">
        <v>220</v>
      </c>
      <c r="K12" s="43">
        <v>21848</v>
      </c>
      <c r="L12" s="143" t="s">
        <v>51</v>
      </c>
      <c r="M12" s="144">
        <f t="shared" si="0"/>
        <v>638.88</v>
      </c>
      <c r="N12" s="145" t="str">
        <f>VLOOKUP(C12,'Trips&amp;Operators'!$C$1:$G$99999,5,FALSE)</f>
        <v>WHITED DUSTIN</v>
      </c>
      <c r="O12" s="194" t="s">
        <v>184</v>
      </c>
      <c r="P12" s="146"/>
      <c r="Q12" s="30"/>
      <c r="R12" s="89" t="e">
        <f>IF(VLOOKUP(C12,'Train Runs'!$A$13:$AE$9942,1,1)=C12,VLOOKUP(C12,'Train Runs'!$A$13:$AE$9942,31,1),NA())</f>
        <v>#N/A</v>
      </c>
      <c r="S12" s="92" t="str">
        <f>VLOOKUP(C12,'Train Runs'!$A$13:$AE$9942,22,0)</f>
        <v>https://d0f6bd738d7f1b3e5a7ca70fe4ff75f0.us-east-1.aws.found.io/app/kibana#/discover/Steve-Slow-Train-Analysis-(2080s-and-2083s)?_g=(refreshInterval:(display:Off,pause:!f,section:0,value:0),time:(from:'2017-03-19T15:29:41-0600',mode:absolute,to:'2017-03-19T18:26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2" s="94" t="str">
        <f t="shared" si="1"/>
        <v>"C:\Program Files (x86)\AstroGrep\AstroGrep.exe" /e /r /s /spath="%USERPROFILE%\AppData\Local\Temp\OnboardLogs" /stypes="*4039*201703192*" /stext=" 23:.+((SYSTEM_STATE.+slice.+state.+changed )|(ment ac)|(multiple cpu faults)|(system.+state.+changed )|(\[timeout)|(PRM\|1\|D)|(kpr)|(kdp)|(\|lc)|(penalty))"</v>
      </c>
      <c r="U12" s="9" t="str">
        <f t="shared" si="2"/>
        <v>4039</v>
      </c>
      <c r="V12" s="32">
        <f t="shared" si="3"/>
        <v>42813.971446759257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{"issue":{"subject":"","project_id":79,"tracker_id":40,"status_id":1,"priority_id":2,"assigned_to_id":23,"start_date":"2017-03-19","description":"","custom_fields":[{"id":1,"name":"Subdivision","value":"EC"},{"id":4,"name":"Milepost","value":"2.1848"},{"id":17,"name":"Train ID","value":"198-19"},{"id":16,"name":"Locomotive ID","value":"4039"},{"id":130,"name":"Impact","value":""},{"id":150,"name":"Time of Event (Mountain Time)","value":"17:18:53"},{"id":151,"name":"Denver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"%USERPROFILE%\AppData\Local\Temp\OnboardLogs"\RTDC4039\*4039*201703192*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"%USERPROFILE%\AppData\Local\Temp\OnboardLogs"\RTDC4039\*4039*201703192* &gt;&gt; 2017-03-19-SliceDisagreementCheck.txt</v>
      </c>
      <c r="AE12" s="157" t="str">
        <f t="shared" si="9"/>
        <v>start /low /b %USERPROFILE%\Documents\GitHub\eaglep3\Utilities\DownloadLogsFromS3.py --loco 4039 --day 2017-03-19</v>
      </c>
    </row>
    <row r="13" spans="1:32" s="1" customFormat="1" x14ac:dyDescent="0.25">
      <c r="A13" s="32">
        <v>42813.466516203705</v>
      </c>
      <c r="B13" s="30" t="s">
        <v>582</v>
      </c>
      <c r="C13" s="30" t="s">
        <v>583</v>
      </c>
      <c r="D13" s="30" t="s">
        <v>49</v>
      </c>
      <c r="E13" s="30" t="s">
        <v>219</v>
      </c>
      <c r="F13" s="43">
        <v>400</v>
      </c>
      <c r="G13" s="43">
        <v>483</v>
      </c>
      <c r="H13" s="43">
        <v>121408</v>
      </c>
      <c r="I13" s="43">
        <v>119907</v>
      </c>
      <c r="J13" s="30" t="s">
        <v>220</v>
      </c>
      <c r="K13" s="43">
        <v>119716</v>
      </c>
      <c r="L13" s="143" t="s">
        <v>51</v>
      </c>
      <c r="M13" s="144">
        <f t="shared" si="0"/>
        <v>100.848</v>
      </c>
      <c r="N13" s="145" t="str">
        <f>VLOOKUP(C13,'Trips&amp;Operators'!$C$1:$G$99999,5,FALSE)</f>
        <v>ROBINSON KADDIBA</v>
      </c>
      <c r="O13" s="194" t="s">
        <v>184</v>
      </c>
      <c r="P13" s="146"/>
      <c r="Q13" s="30"/>
      <c r="R13" s="89" t="str">
        <f>IF(VLOOKUP(C13,'Train Runs'!$A$13:$AE$9942,1,1)=C13,VLOOKUP(C13,'Train Runs'!$A$13:$AE$9942,31,1),NA())</f>
        <v>aws s3 cp s3://rtdc.mdm.uploadarchive.raw/RTDC4026/ "%USERPROFILE%\AppData\Local\Temp\OnboardLogs"\RTDC4026\2017-03-19 --exclude "*" --recursive --include "*20170319*" &amp; "%USERPROFILE%\Documents\GitHub\mrs-test-scripts\Headless Mode &amp; Sideloading\WalkAndUnGZ.bat" "%USERPROFILE%\AppData\Local\Temp\OnboardLogs"\RTDC4026\2017-03-19 &amp; 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</v>
      </c>
      <c r="S13" s="92" t="str">
        <f>VLOOKUP(C13,'Train Runs'!$A$13:$AE$9942,22,0)</f>
        <v>https://d0f6bd738d7f1b3e5a7ca70fe4ff75f0.us-east-1.aws.found.io/app/kibana#/discover/Steve-Slow-Train-Analysis-(2080s-and-2083s)?_g=(refreshInterval:(display:Off,pause:!f,section:0,value:0),time:(from:'2017-03-19T09:50:56-0600',mode:absolute,to:'2017-03-19T12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3" s="94" t="str">
        <f t="shared" si="1"/>
        <v>"C:\Program Files (x86)\AstroGrep\AstroGrep.exe" /e /r /s /spath="%USERPROFILE%\AppData\Local\Temp\OnboardLogs" /stypes="*4026*201703191*" /stext=" 17:.+((SYSTEM_STATE.+slice.+state.+changed )|(ment ac)|(multiple cpu faults)|(system.+state.+changed )|(\[timeout)|(PRM\|1\|D)|(kpr)|(kdp)|(\|lc)|(penalty))"</v>
      </c>
      <c r="U13" s="9" t="str">
        <f t="shared" si="2"/>
        <v>4026</v>
      </c>
      <c r="V13" s="32">
        <f t="shared" si="3"/>
        <v>42813.716516203705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{"issue":{"subject":"","project_id":79,"tracker_id":40,"status_id":1,"priority_id":2,"assigned_to_id":23,"start_date":"2017-03-19","description":"","custom_fields":[{"id":1,"name":"Subdivision","value":"EC"},{"id":4,"name":"Milepost","value":"11.9716"},{"id":17,"name":"Train ID","value":"152-19"},{"id":16,"name":"Locomotive ID","value":"4026"},{"id":130,"name":"Impact","value":""},{"id":150,"name":"Time of Event (Mountain Time)","value":"11:11:47"},{"id":151,"name":"Denver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"%USERPROFILE%\AppData\Local\Temp\OnboardLogs"\RTDC4026\*4026*201703191*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"%USERPROFILE%\AppData\Local\Temp\OnboardLogs"\RTDC4026\*4026*201703191* &gt;&gt; 2017-03-19-SliceDisagreementCheck.txt</v>
      </c>
      <c r="AE13" s="157" t="str">
        <f t="shared" si="9"/>
        <v>start /low /b %USERPROFILE%\Documents\GitHub\eaglep3\Utilities\DownloadLogsFromS3.py --loco 4026 --day 2017-03-19</v>
      </c>
    </row>
    <row r="14" spans="1:32" x14ac:dyDescent="0.25">
      <c r="A14" s="32">
        <v>42813.460451388892</v>
      </c>
      <c r="B14" s="30" t="s">
        <v>582</v>
      </c>
      <c r="C14" s="30" t="s">
        <v>583</v>
      </c>
      <c r="D14" s="30" t="s">
        <v>97</v>
      </c>
      <c r="E14" s="30" t="s">
        <v>219</v>
      </c>
      <c r="F14" s="43">
        <v>600</v>
      </c>
      <c r="G14" s="43">
        <v>650</v>
      </c>
      <c r="H14" s="43">
        <v>183783</v>
      </c>
      <c r="I14" s="43">
        <v>180547</v>
      </c>
      <c r="J14" s="30" t="s">
        <v>220</v>
      </c>
      <c r="K14" s="43">
        <v>190834</v>
      </c>
      <c r="L14" s="143" t="s">
        <v>51</v>
      </c>
      <c r="M14" s="144">
        <f t="shared" si="0"/>
        <v>-5431.5360000000001</v>
      </c>
      <c r="N14" s="145" t="str">
        <f>VLOOKUP(C14,'Trips&amp;Operators'!$C$1:$G$99999,5,FALSE)</f>
        <v>ROBINSON KADDIBA</v>
      </c>
      <c r="O14" s="194" t="s">
        <v>184</v>
      </c>
      <c r="P14" s="146"/>
      <c r="Q14" s="30"/>
      <c r="R14" s="89" t="str">
        <f>IF(VLOOKUP(C14,'Train Runs'!$A$13:$AE$9942,1,1)=C14,VLOOKUP(C14,'Train Runs'!$A$13:$AE$9942,31,1),NA())</f>
        <v>aws s3 cp s3://rtdc.mdm.uploadarchive.raw/RTDC4026/ "%USERPROFILE%\AppData\Local\Temp\OnboardLogs"\RTDC4026\2017-03-19 --exclude "*" --recursive --include "*20170319*" &amp; "%USERPROFILE%\Documents\GitHub\mrs-test-scripts\Headless Mode &amp; Sideloading\WalkAndUnGZ.bat" "%USERPROFILE%\AppData\Local\Temp\OnboardLogs"\RTDC4026\2017-03-19 &amp; 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</v>
      </c>
      <c r="S14" s="92" t="str">
        <f>VLOOKUP(C14,'Train Runs'!$A$13:$AE$9942,22,0)</f>
        <v>https://d0f6bd738d7f1b3e5a7ca70fe4ff75f0.us-east-1.aws.found.io/app/kibana#/discover/Steve-Slow-Train-Analysis-(2080s-and-2083s)?_g=(refreshInterval:(display:Off,pause:!f,section:0,value:0),time:(from:'2017-03-19T09:50:56-0600',mode:absolute,to:'2017-03-19T12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4" s="94" t="str">
        <f t="shared" si="1"/>
        <v>"C:\Program Files (x86)\AstroGrep\AstroGrep.exe" /e /r /s /spath="%USERPROFILE%\AppData\Local\Temp\OnboardLogs" /stypes="*4026*201703191*" /stext=" 17:.+((SYSTEM_STATE.+slice.+state.+changed )|(ment ac)|(multiple cpu faults)|(system.+state.+changed )|(\[timeout)|(PRM\|1\|D)|(kpr)|(kdp)|(\|lc)|(penalty))"</v>
      </c>
      <c r="U14" s="9" t="str">
        <f t="shared" si="2"/>
        <v>4026</v>
      </c>
      <c r="V14" s="32">
        <f t="shared" si="3"/>
        <v>42813.710451388892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{"issue":{"subject":"","project_id":79,"tracker_id":40,"status_id":1,"priority_id":2,"assigned_to_id":23,"start_date":"2017-03-19","description":"","custom_fields":[{"id":1,"name":"Subdivision","value":"EC"},{"id":4,"name":"Milepost","value":"19.0834"},{"id":17,"name":"Train ID","value":"152-19"},{"id":16,"name":"Locomotive ID","value":"4026"},{"id":130,"name":"Impact","value":""},{"id":150,"name":"Time of Event (Mountain Time)","value":"11:03:03"},{"id":151,"name":"Denver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"%USERPROFILE%\AppData\Local\Temp\OnboardLogs"\RTDC4026\*4026*201703191*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"%USERPROFILE%\AppData\Local\Temp\OnboardLogs"\RTDC4026\*4026*201703191* &gt;&gt; 2017-03-19-SliceDisagreementCheck.txt</v>
      </c>
      <c r="AE14" s="157" t="str">
        <f t="shared" si="9"/>
        <v>start /low /b %USERPROFILE%\Documents\GitHub\eaglep3\Utilities\DownloadLogsFromS3.py --loco 4026 --day 2017-03-19</v>
      </c>
      <c r="AF14" s="1"/>
    </row>
    <row r="15" spans="1:32" x14ac:dyDescent="0.25">
      <c r="A15" s="32">
        <v>42813.412719907406</v>
      </c>
      <c r="B15" s="30" t="s">
        <v>464</v>
      </c>
      <c r="C15" s="30" t="s">
        <v>580</v>
      </c>
      <c r="D15" s="30" t="s">
        <v>49</v>
      </c>
      <c r="E15" s="30" t="s">
        <v>365</v>
      </c>
      <c r="F15" s="43">
        <v>0</v>
      </c>
      <c r="G15" s="43">
        <v>303</v>
      </c>
      <c r="H15" s="43">
        <v>35936</v>
      </c>
      <c r="I15" s="43">
        <v>36676</v>
      </c>
      <c r="J15" s="30" t="s">
        <v>366</v>
      </c>
      <c r="K15" s="43">
        <v>36645</v>
      </c>
      <c r="L15" s="143" t="s">
        <v>50</v>
      </c>
      <c r="M15" s="144">
        <f t="shared" si="0"/>
        <v>-16.367999999999999</v>
      </c>
      <c r="N15" s="145" t="str">
        <f>VLOOKUP(C15,'Trips&amp;Operators'!$C$1:$G$99999,5,FALSE)</f>
        <v>DAVIS WENDY</v>
      </c>
      <c r="O15" s="194" t="s">
        <v>368</v>
      </c>
      <c r="P15" s="146" t="s">
        <v>961</v>
      </c>
      <c r="Q15" s="30"/>
      <c r="R15" s="89" t="str">
        <f>IF(VLOOKUP(C15,'Train Runs'!$A$13:$AE$9942,1,1)=C15,VLOOKUP(C15,'Train Runs'!$A$13:$AE$9942,31,1),NA())</f>
        <v>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 &amp; 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</v>
      </c>
      <c r="S15" s="92" t="str">
        <f>VLOOKUP(C15,'Train Runs'!$A$13:$AE$9942,22,0)</f>
        <v>https://d0f6bd738d7f1b3e5a7ca70fe4ff75f0.us-east-1.aws.found.io/app/kibana#/discover/Steve-Slow-Train-Analysis-(2080s-and-2083s)?_g=(refreshInterval:(display:Off,pause:!f,section:0,value:0),time:(from:'2017-03-19T08:58:39-0600',mode:absolute,to:'2017-03-19T11:26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5" s="94" t="str">
        <f t="shared" si="1"/>
        <v>"C:\Program Files (x86)\AstroGrep\AstroGrep.exe" /e /r /s /spath="%USERPROFILE%\AppData\Local\Temp\OnboardLogs" /stypes="*4016*201703191*" /stext=" 15:.+((SYSTEM_STATE.+slice.+state.+changed )|(ment ac)|(multiple cpu faults)|(system.+state.+changed )|(\[timeout)|(PRM\|1\|D)|(kpr)|(kdp)|(\|lc)|(penalty))"</v>
      </c>
      <c r="U15" s="9" t="str">
        <f t="shared" si="2"/>
        <v>4016</v>
      </c>
      <c r="V15" s="32">
        <f t="shared" si="3"/>
        <v>42813.662719907406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{"issue":{"subject":"Wi-MAX data drop","project_id":79,"tracker_id":40,"status_id":1,"priority_id":2,"assigned_to_id":23,"start_date":"2017-03-19","description":"http://stevetu21.github.io/eaglep3/load_kml.html?kml=http://rtdc.gmaps-snips.s3.amazonaws.com/b89991bc-a524-441a-bb4e-59b984b2cb66.kml, no issues found within nomad status","custom_fields":[{"id":1,"name":"Subdivision","value":"EC"},{"id":4,"name":"Milepost","value":"3.6645"},{"id":17,"name":"Train ID","value":"149-19"},{"id":16,"name":"Locomotive ID","value":"4016"},{"id":130,"name":"Impact","value":"Enforcement"},{"id":150,"name":"Time of Event (Mountain Time)","value":"09:54:19"},{"id":151,"name":"Denver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5" s="220" t="s">
        <v>973</v>
      </c>
      <c r="AA15" s="48" t="s">
        <v>123</v>
      </c>
      <c r="AB15" s="48" t="s">
        <v>136</v>
      </c>
      <c r="AC15" s="127" t="str">
        <f t="shared" si="7"/>
        <v>grep -hSE -A400 "Enforcement Action" "%USERPROFILE%\AppData\Local\Temp\OnboardLogs"\RTDC4016\*4016*201703191*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"%USERPROFILE%\AppData\Local\Temp\OnboardLogs"\RTDC4016\*4016*201703191* &gt;&gt; 2017-03-19-SliceDisagreementCheck.txt</v>
      </c>
      <c r="AE15" s="157" t="str">
        <f t="shared" si="9"/>
        <v>start /low /b %USERPROFILE%\Documents\GitHub\eaglep3\Utilities\DownloadLogsFromS3.py --loco 4016 --day 2017-03-19</v>
      </c>
      <c r="AF15" s="1"/>
    </row>
    <row r="16" spans="1:32" x14ac:dyDescent="0.25">
      <c r="A16" s="32">
        <v>42813.487245370372</v>
      </c>
      <c r="B16" s="30" t="s">
        <v>588</v>
      </c>
      <c r="C16" s="30" t="s">
        <v>589</v>
      </c>
      <c r="D16" s="30" t="s">
        <v>49</v>
      </c>
      <c r="E16" s="30" t="s">
        <v>365</v>
      </c>
      <c r="F16" s="43">
        <v>0</v>
      </c>
      <c r="G16" s="43">
        <v>328</v>
      </c>
      <c r="H16" s="43">
        <v>129949</v>
      </c>
      <c r="I16" s="43">
        <v>129178</v>
      </c>
      <c r="J16" s="30" t="s">
        <v>366</v>
      </c>
      <c r="K16" s="43">
        <v>127587</v>
      </c>
      <c r="L16" s="143" t="s">
        <v>51</v>
      </c>
      <c r="M16" s="144">
        <f t="shared" si="0"/>
        <v>840.048</v>
      </c>
      <c r="N16" s="145" t="str">
        <f>VLOOKUP(C16,'Trips&amp;Operators'!$C$1:$G$99999,5,FALSE)</f>
        <v>ROMERO CHAD</v>
      </c>
      <c r="O16" s="194" t="s">
        <v>184</v>
      </c>
      <c r="P16" s="146" t="s">
        <v>968</v>
      </c>
      <c r="Q16" s="30"/>
      <c r="R16" s="89" t="str">
        <f>IF(VLOOKUP(C16,'Train Runs'!$A$13:$AE$9942,1,1)=C16,VLOOKUP(C16,'Train Runs'!$A$13:$AE$9942,31,1),NA())</f>
        <v>aws s3 cp s3://rtdc.mdm.uploadarchive.raw/RTDC4039/ "%USERPROFILE%\AppData\Local\Temp\OnboardLogs"\RTDC4039\2017-03-19 --exclude "*" --recursive --include "*20170319*" &amp; "%USERPROFILE%\Documents\GitHub\mrs-test-scripts\Headless Mode &amp; Sideloading\WalkAndUnGZ.bat" "%USERPROFILE%\AppData\Local\Temp\OnboardLogs"\RTDC4039\2017-03-19 &amp; 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</v>
      </c>
      <c r="S16" s="92" t="str">
        <f>VLOOKUP(C16,'Train Runs'!$A$13:$AE$9942,22,0)</f>
        <v>https://d0f6bd738d7f1b3e5a7ca70fe4ff75f0.us-east-1.aws.found.io/app/kibana#/discover/Steve-Slow-Train-Analysis-(2080s-and-2083s)?_g=(refreshInterval:(display:Off,pause:!f,section:0,value:0),time:(from:'2017-03-19T10:08:28-0600',mode:absolute,to:'2017-03-19T13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6" s="94" t="str">
        <f t="shared" si="1"/>
        <v>"C:\Program Files (x86)\AstroGrep\AstroGrep.exe" /e /r /s /spath="%USERPROFILE%\AppData\Local\Temp\OnboardLogs" /stypes="*4039*201703191*" /stext=" 17:.+((SYSTEM_STATE.+slice.+state.+changed )|(ment ac)|(multiple cpu faults)|(system.+state.+changed )|(\[timeout)|(PRM\|1\|D)|(kpr)|(kdp)|(\|lc)|(penalty))"</v>
      </c>
      <c r="U16" s="9" t="str">
        <f t="shared" si="2"/>
        <v>4039</v>
      </c>
      <c r="V16" s="32">
        <f t="shared" si="3"/>
        <v>42813.737245370372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{"issue":{"subject":"40th 4S STOP","project_id":79,"tracker_id":40,"status_id":1,"priority_id":2,"assigned_to_id":23,"start_date":"2017-03-19","description":"","custom_fields":[{"id":1,"name":"Subdivision","value":"EC"},{"id":4,"name":"Milepost","value":"12.7587"},{"id":17,"name":"Train ID","value":"156-19"},{"id":16,"name":"Locomotive ID","value":"4039"},{"id":130,"name":"Impact","value":""},{"id":150,"name":"Time of Event (Mountain Time)","value":"11:41:38"},{"id":151,"name":"Denver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"%USERPROFILE%\AppData\Local\Temp\OnboardLogs"\RTDC4039\*4039*201703191*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"%USERPROFILE%\AppData\Local\Temp\OnboardLogs"\RTDC4039\*4039*201703191* &gt;&gt; 2017-03-19-SliceDisagreementCheck.txt</v>
      </c>
      <c r="AE16" s="157" t="str">
        <f t="shared" si="9"/>
        <v>start /low /b %USERPROFILE%\Documents\GitHub\eaglep3\Utilities\DownloadLogsFromS3.py --loco 4039 --day 2017-03-19</v>
      </c>
      <c r="AF16" s="1"/>
    </row>
    <row r="17" spans="1:32" x14ac:dyDescent="0.25">
      <c r="A17" s="32">
        <v>42813.63212962963</v>
      </c>
      <c r="B17" s="30" t="s">
        <v>588</v>
      </c>
      <c r="C17" s="30" t="s">
        <v>596</v>
      </c>
      <c r="D17" s="30" t="s">
        <v>49</v>
      </c>
      <c r="E17" s="30" t="s">
        <v>365</v>
      </c>
      <c r="F17" s="43">
        <v>0</v>
      </c>
      <c r="G17" s="43">
        <v>146</v>
      </c>
      <c r="H17" s="43">
        <v>128654</v>
      </c>
      <c r="I17" s="43">
        <v>128441</v>
      </c>
      <c r="J17" s="30" t="s">
        <v>366</v>
      </c>
      <c r="K17" s="43">
        <v>127587</v>
      </c>
      <c r="L17" s="143" t="s">
        <v>51</v>
      </c>
      <c r="M17" s="144">
        <f t="shared" si="0"/>
        <v>450.91199999999998</v>
      </c>
      <c r="N17" s="145" t="str">
        <f>VLOOKUP(C17,'Trips&amp;Operators'!$C$1:$G$99999,5,FALSE)</f>
        <v>ROMERO CHAD</v>
      </c>
      <c r="O17" s="194" t="s">
        <v>184</v>
      </c>
      <c r="P17" s="146" t="s">
        <v>968</v>
      </c>
      <c r="Q17" s="30"/>
      <c r="R17" s="89" t="e">
        <f>IF(VLOOKUP(C17,'Train Runs'!$A$13:$AE$9942,1,1)=C17,VLOOKUP(C17,'Train Runs'!$A$13:$AE$9942,31,1),NA())</f>
        <v>#N/A</v>
      </c>
      <c r="S17" s="92" t="str">
        <f>VLOOKUP(C17,'Train Runs'!$A$13:$AE$9942,22,0)</f>
        <v>https://d0f6bd738d7f1b3e5a7ca70fe4ff75f0.us-east-1.aws.found.io/app/kibana#/discover/Steve-Slow-Train-Analysis-(2080s-and-2083s)?_g=(refreshInterval:(display:Off,pause:!f,section:0,value:0),time:(from:'2017-03-19T13:49:37-0600',mode:absolute,to:'2017-03-19T16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7" s="94" t="str">
        <f t="shared" si="1"/>
        <v>"C:\Program Files (x86)\AstroGrep\AstroGrep.exe" /e /r /s /spath="%USERPROFILE%\AppData\Local\Temp\OnboardLogs" /stypes="*4039*201703192*" /stext=" 21:.+((SYSTEM_STATE.+slice.+state.+changed )|(ment ac)|(multiple cpu faults)|(system.+state.+changed )|(\[timeout)|(PRM\|1\|D)|(kpr)|(kdp)|(\|lc)|(penalty))"</v>
      </c>
      <c r="U17" s="9" t="str">
        <f t="shared" si="2"/>
        <v>4039</v>
      </c>
      <c r="V17" s="32">
        <f t="shared" si="3"/>
        <v>42813.88212962963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{"issue":{"subject":"40th 4S STOP","project_id":79,"tracker_id":40,"status_id":1,"priority_id":2,"assigned_to_id":23,"start_date":"2017-03-19","description":"","custom_fields":[{"id":1,"name":"Subdivision","value":"EC"},{"id":4,"name":"Milepost","value":"12.7587"},{"id":17,"name":"Train ID","value":"184-19"},{"id":16,"name":"Locomotive ID","value":"4039"},{"id":130,"name":"Impact","value":""},{"id":150,"name":"Time of Event (Mountain Time)","value":"15:10:16"},{"id":151,"name":"Denver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"%USERPROFILE%\AppData\Local\Temp\OnboardLogs"\RTDC4039\*4039*201703192*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"%USERPROFILE%\AppData\Local\Temp\OnboardLogs"\RTDC4039\*4039*201703192* &gt;&gt; 2017-03-19-SliceDisagreementCheck.txt</v>
      </c>
      <c r="AE17" s="157" t="str">
        <f t="shared" si="9"/>
        <v>start /low /b %USERPROFILE%\Documents\GitHub\eaglep3\Utilities\DownloadLogsFromS3.py --loco 4039 --day 2017-03-19</v>
      </c>
      <c r="AF17" s="1"/>
    </row>
    <row r="18" spans="1:32" ht="15" customHeight="1" x14ac:dyDescent="0.25">
      <c r="A18" s="32">
        <v>42813.477280092593</v>
      </c>
      <c r="B18" s="30" t="s">
        <v>586</v>
      </c>
      <c r="C18" s="30" t="s">
        <v>587</v>
      </c>
      <c r="D18" s="30" t="s">
        <v>49</v>
      </c>
      <c r="E18" s="30" t="s">
        <v>365</v>
      </c>
      <c r="F18" s="43">
        <v>0</v>
      </c>
      <c r="G18" s="43">
        <v>779</v>
      </c>
      <c r="H18" s="43">
        <v>146171</v>
      </c>
      <c r="I18" s="43">
        <v>149908</v>
      </c>
      <c r="J18" s="30" t="s">
        <v>366</v>
      </c>
      <c r="K18" s="43">
        <v>149694</v>
      </c>
      <c r="L18" s="143" t="s">
        <v>50</v>
      </c>
      <c r="M18" s="144">
        <f t="shared" si="0"/>
        <v>-112.992</v>
      </c>
      <c r="N18" s="145" t="str">
        <f>VLOOKUP(C18,'Trips&amp;Operators'!$C$1:$G$99999,5,FALSE)</f>
        <v>STEWART MICHAEL</v>
      </c>
      <c r="O18" s="194" t="s">
        <v>368</v>
      </c>
      <c r="P18" s="146" t="s">
        <v>974</v>
      </c>
      <c r="Q18" s="30"/>
      <c r="R18" s="89" t="str">
        <f>IF(VLOOKUP(C18,'Train Runs'!$A$13:$AE$9942,1,1)=C18,VLOOKUP(C18,'Train Runs'!$A$13:$AE$9942,31,1),NA())</f>
        <v>aws s3 cp s3://rtdc.mdm.uploadarchive.raw/RTDC4003/ "%USERPROFILE%\AppData\Local\Temp\OnboardLogs"\RTDC4003\2017-03-19 --exclude "*" --recursive --include "*20170319*" &amp; "%USERPROFILE%\Documents\GitHub\mrs-test-scripts\Headless Mode &amp; Sideloading\WalkAndUnGZ.bat" "%USERPROFILE%\AppData\Local\Temp\OnboardLogs"\RTDC4003\2017-03-19 &amp; 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</v>
      </c>
      <c r="S18" s="92" t="str">
        <f>VLOOKUP(C18,'Train Runs'!$A$13:$AE$9942,22,0)</f>
        <v>https://d0f6bd738d7f1b3e5a7ca70fe4ff75f0.us-east-1.aws.found.io/app/kibana#/discover/Steve-Slow-Train-Analysis-(2080s-and-2083s)?_g=(refreshInterval:(display:Off,pause:!f,section:0,value:0),time:(from:'2017-03-19T09:56:11-0600',mode:absolute,to:'2017-03-19T12:38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8" s="94" t="str">
        <f t="shared" si="1"/>
        <v>"C:\Program Files (x86)\AstroGrep\AstroGrep.exe" /e /r /s /spath="%USERPROFILE%\AppData\Local\Temp\OnboardLogs" /stypes="*4003*201703191*" /stext=" 17:.+((SYSTEM_STATE.+slice.+state.+changed )|(ment ac)|(multiple cpu faults)|(system.+state.+changed )|(\[timeout)|(PRM\|1\|D)|(kpr)|(kdp)|(\|lc)|(penalty))"</v>
      </c>
      <c r="U18" s="9" t="str">
        <f t="shared" si="2"/>
        <v>4003</v>
      </c>
      <c r="V18" s="32">
        <f t="shared" si="3"/>
        <v>42813.727280092593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{"issue":{"subject":"Wi-MAX data drop, radio 2 was down","project_id":79,"tracker_id":40,"status_id":1,"priority_id":2,"assigned_to_id":23,"start_date":"2017-03-19","description":"http://stevetu21.github.io/eaglep3/load_kml.html?kml=http://rtdc.gmaps-snips.s3.amazonaws.com/265dca55-7cd5-4cc0-b011-114282b2b5a4.kml","custom_fields":[{"id":1,"name":"Subdivision","value":"EC"},{"id":4,"name":"Milepost","value":"14.9694"},{"id":17,"name":"Train ID","value":"159-19"},{"id":16,"name":"Locomotive ID","value":"4003"},{"id":130,"name":"Impact","value":"Enforcement"},{"id":150,"name":"Time of Event (Mountain Time)","value":"11:27:17"},{"id":151,"name":"Denver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8" t="s">
        <v>969</v>
      </c>
      <c r="AA18" s="48" t="s">
        <v>123</v>
      </c>
      <c r="AB18" s="48" t="s">
        <v>136</v>
      </c>
      <c r="AC18" s="127" t="str">
        <f t="shared" si="7"/>
        <v>grep -hSE -A400 "Enforcement Action" "%USERPROFILE%\AppData\Local\Temp\OnboardLogs"\RTDC4003\*4003*201703191*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"%USERPROFILE%\AppData\Local\Temp\OnboardLogs"\RTDC4003\*4003*201703191* &gt;&gt; 2017-03-19-SliceDisagreementCheck.txt</v>
      </c>
      <c r="AE18" s="157" t="str">
        <f t="shared" si="9"/>
        <v>start /low /b %USERPROFILE%\Documents\GitHub\eaglep3\Utilities\DownloadLogsFromS3.py --loco 4003 --day 2017-03-19</v>
      </c>
      <c r="AF18" s="1"/>
    </row>
    <row r="19" spans="1:32" x14ac:dyDescent="0.25">
      <c r="A19" s="32">
        <v>42813.616724537038</v>
      </c>
      <c r="B19" s="30" t="s">
        <v>402</v>
      </c>
      <c r="C19" s="30" t="s">
        <v>595</v>
      </c>
      <c r="D19" s="30" t="s">
        <v>49</v>
      </c>
      <c r="E19" s="30" t="s">
        <v>365</v>
      </c>
      <c r="F19" s="43">
        <v>0</v>
      </c>
      <c r="G19" s="43">
        <v>743</v>
      </c>
      <c r="H19" s="43">
        <v>202209</v>
      </c>
      <c r="I19" s="43">
        <v>205620</v>
      </c>
      <c r="J19" s="30" t="s">
        <v>366</v>
      </c>
      <c r="K19" s="43">
        <v>204300</v>
      </c>
      <c r="L19" s="143" t="s">
        <v>50</v>
      </c>
      <c r="M19" s="144">
        <f t="shared" si="0"/>
        <v>-696.96</v>
      </c>
      <c r="N19" s="145" t="str">
        <f>VLOOKUP(C19,'Trips&amp;Operators'!$C$1:$G$99999,5,FALSE)</f>
        <v>BRANDNER MELINDA</v>
      </c>
      <c r="O19" s="194" t="s">
        <v>368</v>
      </c>
      <c r="P19" s="146" t="s">
        <v>961</v>
      </c>
      <c r="Q19" s="30"/>
      <c r="R19" s="89" t="e">
        <f>IF(VLOOKUP(C19,'Train Runs'!$A$13:$AE$9942,1,1)=C19,VLOOKUP(C19,'Train Runs'!$A$13:$AE$9942,31,1),NA())</f>
        <v>#N/A</v>
      </c>
      <c r="S19" s="92" t="str">
        <f>VLOOKUP(C19,'Train Runs'!$A$13:$AE$9942,22,0)</f>
        <v>https://d0f6bd738d7f1b3e5a7ca70fe4ff75f0.us-east-1.aws.found.io/app/kibana#/discover/Steve-Slow-Train-Analysis-(2080s-and-2083s)?_g=(refreshInterval:(display:Off,pause:!f,section:0,value:0),time:(from:'2017-03-19T13:11:17-0600',mode:absolute,to:'2017-03-19T15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9" s="94" t="str">
        <f t="shared" si="1"/>
        <v>"C:\Program Files (x86)\AstroGrep\AstroGrep.exe" /e /r /s /spath="%USERPROFILE%\AppData\Local\Temp\OnboardLogs" /stypes="*4053*201703192*" /stext=" 20:.+((SYSTEM_STATE.+slice.+state.+changed )|(ment ac)|(multiple cpu faults)|(system.+state.+changed )|(\[timeout)|(PRM\|1\|D)|(kpr)|(kdp)|(\|lc)|(penalty))"</v>
      </c>
      <c r="U19" s="9" t="str">
        <f t="shared" si="2"/>
        <v>4053</v>
      </c>
      <c r="V19" s="32">
        <f t="shared" si="3"/>
        <v>42813.866724537038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{"issue":{"subject":"Wi-MAX data drop","project_id":79,"tracker_id":40,"status_id":1,"priority_id":2,"assigned_to_id":23,"start_date":"2017-03-19","description":"http://stevetu21.github.io/eaglep3/load_kml.html?kml=http://rtdc.gmaps-snips.s3.amazonaws.com/854ccf54-334a-47c2-afcb-919165d878e3.kml, no issues found in nomad status","custom_fields":[{"id":1,"name":"Subdivision","value":"EC"},{"id":4,"name":"Milepost","value":"20.43"},{"id":17,"name":"Train ID","value":"185-19"},{"id":16,"name":"Locomotive ID","value":"4053"},{"id":130,"name":"Impact","value":"Enforcement"},{"id":150,"name":"Time of Event (Mountain Time)","value":"14:48:05"},{"id":151,"name":"Denver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9" s="220" t="s">
        <v>975</v>
      </c>
      <c r="AA19" s="48" t="s">
        <v>123</v>
      </c>
      <c r="AB19" s="48" t="s">
        <v>136</v>
      </c>
      <c r="AC19" s="127" t="str">
        <f t="shared" si="7"/>
        <v>grep -hSE -A400 "Enforcement Action" "%USERPROFILE%\AppData\Local\Temp\OnboardLogs"\RTDC4053\*4053*201703192*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"%USERPROFILE%\AppData\Local\Temp\OnboardLogs"\RTDC4053\*4053*201703192* &gt;&gt; 2017-03-19-SliceDisagreementCheck.txt</v>
      </c>
      <c r="AE19" s="157" t="str">
        <f t="shared" si="9"/>
        <v>start /low /b %USERPROFILE%\Documents\GitHub\eaglep3\Utilities\DownloadLogsFromS3.py --loco 4053 --day 2017-03-19</v>
      </c>
      <c r="AF19" s="1"/>
    </row>
    <row r="20" spans="1:32" x14ac:dyDescent="0.25">
      <c r="A20" s="32">
        <v>42813.1955787037</v>
      </c>
      <c r="B20" s="30" t="s">
        <v>572</v>
      </c>
      <c r="C20" s="30" t="s">
        <v>573</v>
      </c>
      <c r="D20" s="30" t="s">
        <v>49</v>
      </c>
      <c r="E20" s="30" t="s">
        <v>365</v>
      </c>
      <c r="F20" s="43">
        <v>0</v>
      </c>
      <c r="G20" s="43">
        <v>127</v>
      </c>
      <c r="H20" s="43">
        <v>232228</v>
      </c>
      <c r="I20" s="43">
        <v>232126</v>
      </c>
      <c r="J20" s="30" t="s">
        <v>366</v>
      </c>
      <c r="K20" s="43">
        <v>231650</v>
      </c>
      <c r="L20" s="143" t="s">
        <v>51</v>
      </c>
      <c r="M20" s="144">
        <f t="shared" si="0"/>
        <v>251.328</v>
      </c>
      <c r="N20" s="145" t="str">
        <f>VLOOKUP(C20,'Trips&amp;Operators'!$C$1:$G$99999,5,FALSE)</f>
        <v>MAELZER KURT</v>
      </c>
      <c r="O20" s="194" t="s">
        <v>184</v>
      </c>
      <c r="P20" s="146" t="s">
        <v>970</v>
      </c>
      <c r="Q20" s="30"/>
      <c r="R20" s="89" t="str">
        <f>IF(VLOOKUP(C20,'Train Runs'!$A$13:$AE$9942,1,1)=C20,VLOOKUP(C20,'Train Runs'!$A$13:$AE$9942,31,1),NA())</f>
        <v>aws s3 cp s3://rtdc.mdm.uploadarchive.raw/RTDC4004/ "%USERPROFILE%\AppData\Local\Temp\OnboardLogs"\RTDC4004\2017-03-19 --exclude "*" --recursive --include "*20170319*" &amp; "%USERPROFILE%\Documents\GitHub\mrs-test-scripts\Headless Mode &amp; Sideloading\WalkAndUnGZ.bat" "%USERPROFILE%\AppData\Local\Temp\OnboardLogs"\RTDC4004\2017-03-19 &amp; 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</v>
      </c>
      <c r="S20" s="92" t="str">
        <f>VLOOKUP(C20,'Train Runs'!$A$13:$AE$9942,22,0)</f>
        <v>https://d0f6bd738d7f1b3e5a7ca70fe4ff75f0.us-east-1.aws.found.io/app/kibana#/discover/Steve-Slow-Train-Analysis-(2080s-and-2083s)?_g=(refreshInterval:(display:Off,pause:!f,section:0,value:0),time:(from:'2017-03-19T03:30:23-0600',mode:absolute,to:'2017-03-19T06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0" s="94" t="str">
        <f t="shared" si="1"/>
        <v>"C:\Program Files (x86)\AstroGrep\AstroGrep.exe" /e /r /s /spath="%USERPROFILE%\AppData\Local\Temp\OnboardLogs" /stypes="*4004*201703191*" /stext=" 10:.+((SYSTEM_STATE.+slice.+state.+changed )|(ment ac)|(multiple cpu faults)|(system.+state.+changed )|(\[timeout)|(PRM\|1\|D)|(kpr)|(kdp)|(\|lc)|(penalty))"</v>
      </c>
      <c r="U20" s="9" t="str">
        <f t="shared" si="2"/>
        <v>4004</v>
      </c>
      <c r="V20" s="32">
        <f t="shared" si="3"/>
        <v>42813.4455787037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{"issue":{"subject":"DIA 4S STOP","project_id":79,"tracker_id":40,"status_id":1,"priority_id":2,"assigned_to_id":23,"start_date":"2017-03-19","description":"","custom_fields":[{"id":1,"name":"Subdivision","value":"EC"},{"id":4,"name":"Milepost","value":"23.165"},{"id":17,"name":"Train ID","value":"104-19"},{"id":16,"name":"Locomotive ID","value":"4004"},{"id":130,"name":"Impact","value":""},{"id":150,"name":"Time of Event (Mountain Time)","value":"04:41:38"},{"id":151,"name":"Denver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"%USERPROFILE%\AppData\Local\Temp\OnboardLogs"\RTDC4004\*4004*201703191*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"%USERPROFILE%\AppData\Local\Temp\OnboardLogs"\RTDC4004\*4004*201703191* &gt;&gt; 2017-03-19-SliceDisagreementCheck.txt</v>
      </c>
      <c r="AE20" s="157" t="str">
        <f t="shared" si="9"/>
        <v>start /low /b %USERPROFILE%\Documents\GitHub\eaglep3\Utilities\DownloadLogsFromS3.py --loco 4004 --day 2017-03-19</v>
      </c>
      <c r="AF20" s="1"/>
    </row>
    <row r="21" spans="1:32" x14ac:dyDescent="0.25">
      <c r="A21" s="32">
        <v>42813.315613425926</v>
      </c>
      <c r="B21" s="30" t="s">
        <v>460</v>
      </c>
      <c r="C21" s="30" t="s">
        <v>576</v>
      </c>
      <c r="D21" s="30" t="s">
        <v>49</v>
      </c>
      <c r="E21" s="30" t="s">
        <v>484</v>
      </c>
      <c r="F21" s="43">
        <v>0</v>
      </c>
      <c r="G21" s="43">
        <v>573</v>
      </c>
      <c r="H21" s="43">
        <v>69779</v>
      </c>
      <c r="I21" s="43">
        <v>67739</v>
      </c>
      <c r="J21" s="30" t="s">
        <v>485</v>
      </c>
      <c r="K21" s="43">
        <v>69363</v>
      </c>
      <c r="L21" s="143" t="s">
        <v>51</v>
      </c>
      <c r="M21" s="144">
        <f t="shared" si="0"/>
        <v>-857.47199999999998</v>
      </c>
      <c r="N21" s="145" t="str">
        <f>VLOOKUP(C21,'Trips&amp;Operators'!$C$1:$G$99999,5,FALSE)</f>
        <v>DAVIS WENDY</v>
      </c>
      <c r="O21" s="194" t="s">
        <v>368</v>
      </c>
      <c r="P21" s="146" t="s">
        <v>961</v>
      </c>
      <c r="Q21" s="30"/>
      <c r="R21" s="89" t="str">
        <f>IF(VLOOKUP(C21,'Train Runs'!$A$13:$AE$9942,1,1)=C21,VLOOKUP(C21,'Train Runs'!$A$13:$AE$9942,31,1),NA())</f>
        <v>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 &amp; aws s3 cp s3://rtdc.mdm.uploadarchive.raw/RTDC4015/ "%USERPROFILE%\AppData\Local\Temp\OnboardLogs"\RTDC4015\2017-03-20 --exclude "*" --recursive --include "*20170320*" &amp; "%USERPROFILE%\Documents\GitHub\mrs-test-scripts\Headless Mode &amp; Sideloading\WalkAndUnGZ.bat" "%USERPROFILE%\AppData\Local\Temp\OnboardLogs"\RTDC4015\2017-03-20</v>
      </c>
      <c r="S21" s="92" t="str">
        <f>VLOOKUP(C21,'Train Runs'!$A$13:$AE$9942,22,0)</f>
        <v>https://d0f6bd738d7f1b3e5a7ca70fe4ff75f0.us-east-1.aws.found.io/app/kibana#/discover/Steve-Slow-Train-Analysis-(2080s-and-2083s)?_g=(refreshInterval:(display:Off,pause:!f,section:0,value:0),time:(from:'2017-03-19T06:07:44-0600',mode:absolute,to:'2017-03-19T08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1" s="94" t="str">
        <f t="shared" si="1"/>
        <v>"C:\Program Files (x86)\AstroGrep\AstroGrep.exe" /e /r /s /spath="%USERPROFILE%\AppData\Local\Temp\OnboardLogs" /stypes="*4015*201703191*" /stext=" 13:.+((SYSTEM_STATE.+slice.+state.+changed )|(ment ac)|(multiple cpu faults)|(system.+state.+changed )|(\[timeout)|(PRM\|1\|D)|(kpr)|(kdp)|(\|lc)|(penalty))"</v>
      </c>
      <c r="U21" s="9" t="str">
        <f t="shared" si="2"/>
        <v>4015</v>
      </c>
      <c r="V21" s="32">
        <f t="shared" si="3"/>
        <v>42813.565613425926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{"issue":{"subject":"Wi-MAX data drop","project_id":79,"tracker_id":40,"status_id":1,"priority_id":2,"assigned_to_id":23,"start_date":"2017-03-19","description":"http://stevetu21.github.io/eaglep3/load_kml.html?kml=http://rtdc.gmaps-snips.s3.amazonaws.com/a5c7b6f1-b7b3-4c62-923c-fcf98c60b033.kml, no issues found in nomad status","custom_fields":[{"id":1,"name":"Subdivision","value":"EC"},{"id":4,"name":"Milepost","value":"6.9363"},{"id":17,"name":"Train ID","value":"122-19"},{"id":16,"name":"Locomotive ID","value":"4015"},{"id":130,"name":"Impact","value":"Enforcement"},{"id":150,"name":"Time of Event (Mountain Time)","value":"07:34:29"},{"id":151,"name":"Denver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1" s="220" t="s">
        <v>976</v>
      </c>
      <c r="AA21" s="48" t="s">
        <v>123</v>
      </c>
      <c r="AB21" s="48" t="s">
        <v>136</v>
      </c>
      <c r="AC21" s="127" t="str">
        <f t="shared" si="7"/>
        <v>grep -hSE -A400 "Enforcement Action" "%USERPROFILE%\AppData\Local\Temp\OnboardLogs"\RTDC4015\*4015*201703191*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"%USERPROFILE%\AppData\Local\Temp\OnboardLogs"\RTDC4015\*4015*201703191* &gt;&gt; 2017-03-19-SliceDisagreementCheck.txt</v>
      </c>
      <c r="AE21" s="157" t="str">
        <f t="shared" si="9"/>
        <v>start /low /b %USERPROFILE%\Documents\GitHub\eaglep3\Utilities\DownloadLogsFromS3.py --loco 4015 --day 2017-03-19</v>
      </c>
      <c r="AF21" s="1"/>
    </row>
    <row r="22" spans="1:32" x14ac:dyDescent="0.25">
      <c r="A22" s="32">
        <v>42813.453611111108</v>
      </c>
      <c r="B22" s="30" t="s">
        <v>572</v>
      </c>
      <c r="C22" s="30" t="s">
        <v>581</v>
      </c>
      <c r="D22" s="30" t="s">
        <v>49</v>
      </c>
      <c r="E22" s="30" t="s">
        <v>185</v>
      </c>
      <c r="F22" s="43">
        <v>0</v>
      </c>
      <c r="G22" s="43">
        <v>38</v>
      </c>
      <c r="H22" s="43">
        <v>129</v>
      </c>
      <c r="I22" s="43">
        <v>103</v>
      </c>
      <c r="J22" s="30" t="s">
        <v>186</v>
      </c>
      <c r="K22" s="43">
        <v>1</v>
      </c>
      <c r="L22" s="143" t="s">
        <v>51</v>
      </c>
      <c r="M22" s="144">
        <f t="shared" si="0"/>
        <v>53.856000000000002</v>
      </c>
      <c r="N22" s="145" t="str">
        <f>VLOOKUP(C22,'Trips&amp;Operators'!$C$1:$G$99999,5,FALSE)</f>
        <v>MAELZER KURT</v>
      </c>
      <c r="O22" s="194" t="s">
        <v>184</v>
      </c>
      <c r="P22" s="146"/>
      <c r="Q22" s="30"/>
      <c r="R22" s="89" t="str">
        <f>IF(VLOOKUP(C22,'Train Runs'!$A$13:$AE$9942,1,1)=C22,VLOOKUP(C22,'Train Runs'!$A$13:$AE$9942,31,1),NA())</f>
        <v>aws s3 cp s3://rtdc.mdm.uploadarchive.raw/RTDC4004/ "%USERPROFILE%\AppData\Local\Temp\OnboardLogs"\RTDC4004\2017-03-19 --exclude "*" --recursive --include "*20170319*" &amp; "%USERPROFILE%\Documents\GitHub\mrs-test-scripts\Headless Mode &amp; Sideloading\WalkAndUnGZ.bat" "%USERPROFILE%\AppData\Local\Temp\OnboardLogs"\RTDC4004\2017-03-19 &amp; 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</v>
      </c>
      <c r="S22" s="92" t="str">
        <f>VLOOKUP(C22,'Train Runs'!$A$13:$AE$9942,22,0)</f>
        <v>https://d0f6bd738d7f1b3e5a7ca70fe4ff75f0.us-east-1.aws.found.io/app/kibana#/discover/Steve-Slow-Train-Analysis-(2080s-and-2083s)?_g=(refreshInterval:(display:Off,pause:!f,section:0,value:0),time:(from:'2017-03-19T09:08:00-0600',mode:absolute,to:'2017-03-19T11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2" s="94" t="str">
        <f t="shared" si="1"/>
        <v>"C:\Program Files (x86)\AstroGrep\AstroGrep.exe" /e /r /s /spath="%USERPROFILE%\AppData\Local\Temp\OnboardLogs" /stypes="*4004*201703191*" /stext=" 16:.+((SYSTEM_STATE.+slice.+state.+changed )|(ment ac)|(multiple cpu faults)|(system.+state.+changed )|(\[timeout)|(PRM\|1\|D)|(kpr)|(kdp)|(\|lc)|(penalty))"</v>
      </c>
      <c r="U22" s="9" t="str">
        <f t="shared" si="2"/>
        <v>4004</v>
      </c>
      <c r="V22" s="32">
        <f t="shared" si="3"/>
        <v>42813.703611111108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{"issue":{"subject":"","project_id":79,"tracker_id":40,"status_id":1,"priority_id":2,"assigned_to_id":23,"start_date":"2017-03-19","description":"","custom_fields":[{"id":1,"name":"Subdivision","value":"EC"},{"id":4,"name":"Milepost","value":"0.0001"},{"id":17,"name":"Train ID","value":"146-19"},{"id":16,"name":"Locomotive ID","value":"4004"},{"id":130,"name":"Impact","value":""},{"id":150,"name":"Time of Event (Mountain Time)","value":"10:53:12"},{"id":151,"name":"Denver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"%USERPROFILE%\AppData\Local\Temp\OnboardLogs"\RTDC4004\*4004*201703191*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"%USERPROFILE%\AppData\Local\Temp\OnboardLogs"\RTDC4004\*4004*201703191* &gt;&gt; 2017-03-19-SliceDisagreementCheck.txt</v>
      </c>
      <c r="AE22" s="157" t="str">
        <f t="shared" si="9"/>
        <v>start /low /b %USERPROFILE%\Documents\GitHub\eaglep3\Utilities\DownloadLogsFromS3.py --loco 4004 --day 2017-03-19</v>
      </c>
      <c r="AF22" s="1"/>
    </row>
    <row r="23" spans="1:32" x14ac:dyDescent="0.25">
      <c r="A23" s="32">
        <v>42813.463055555556</v>
      </c>
      <c r="B23" s="30" t="s">
        <v>421</v>
      </c>
      <c r="C23" s="30" t="s">
        <v>585</v>
      </c>
      <c r="D23" s="30" t="s">
        <v>49</v>
      </c>
      <c r="E23" s="30" t="s">
        <v>185</v>
      </c>
      <c r="F23" s="43">
        <v>0</v>
      </c>
      <c r="G23" s="43">
        <v>48</v>
      </c>
      <c r="H23" s="43">
        <v>154</v>
      </c>
      <c r="I23" s="43">
        <v>129</v>
      </c>
      <c r="J23" s="30" t="s">
        <v>186</v>
      </c>
      <c r="K23" s="43">
        <v>1</v>
      </c>
      <c r="L23" s="143" t="s">
        <v>51</v>
      </c>
      <c r="M23" s="144">
        <f t="shared" si="0"/>
        <v>67.584000000000003</v>
      </c>
      <c r="N23" s="145" t="str">
        <f>VLOOKUP(C23,'Trips&amp;Operators'!$C$1:$G$99999,5,FALSE)</f>
        <v>BADERTSCHER DIANE</v>
      </c>
      <c r="O23" s="194" t="s">
        <v>184</v>
      </c>
      <c r="P23" s="146"/>
      <c r="Q23" s="30"/>
      <c r="R23" s="89" t="str">
        <f>IF(VLOOKUP(C23,'Train Runs'!$A$13:$AE$9942,1,1)=C23,VLOOKUP(C23,'Train Runs'!$A$13:$AE$9942,31,1),NA())</f>
        <v>aws s3 cp s3://rtdc.mdm.uploadarchive.raw/RTDC4001/ "%USERPROFILE%\AppData\Local\Temp\OnboardLogs"\RTDC4001\2017-03-19 --exclude "*" --recursive --include "*20170319*" &amp; "%USERPROFILE%\Documents\GitHub\mrs-test-scripts\Headless Mode &amp; Sideloading\WalkAndUnGZ.bat" "%USERPROFILE%\AppData\Local\Temp\OnboardLogs"\RTDC4001\2017-03-19 &amp; aws s3 cp s3://rtdc.mdm.uploadarchive.raw/RTDC4001/ "%USERPROFILE%\AppData\Local\Temp\OnboardLogs"\RTDC4001\2017-03-20 --exclude "*" --recursive --include "*20170320*" &amp; "%USERPROFILE%\Documents\GitHub\mrs-test-scripts\Headless Mode &amp; Sideloading\WalkAndUnGZ.bat" "%USERPROFILE%\AppData\Local\Temp\OnboardLogs"\RTDC4001\2017-03-20</v>
      </c>
      <c r="S23" s="92" t="str">
        <f>VLOOKUP(C23,'Train Runs'!$A$13:$AE$9942,22,0)</f>
        <v>https://d0f6bd738d7f1b3e5a7ca70fe4ff75f0.us-east-1.aws.found.io/app/kibana#/discover/Steve-Slow-Train-Analysis-(2080s-and-2083s)?_g=(refreshInterval:(display:Off,pause:!f,section:0,value:0),time:(from:'2017-03-19T09:14:05-0600',mode:absolute,to:'2017-03-19T12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3" s="94" t="str">
        <f t="shared" si="1"/>
        <v>"C:\Program Files (x86)\AstroGrep\AstroGrep.exe" /e /r /s /spath="%USERPROFILE%\AppData\Local\Temp\OnboardLogs" /stypes="*4001*201703191*" /stext=" 17:.+((SYSTEM_STATE.+slice.+state.+changed )|(ment ac)|(multiple cpu faults)|(system.+state.+changed )|(\[timeout)|(PRM\|1\|D)|(kpr)|(kdp)|(\|lc)|(penalty))"</v>
      </c>
      <c r="U23" s="9" t="str">
        <f t="shared" si="2"/>
        <v>4001</v>
      </c>
      <c r="V23" s="32">
        <f t="shared" si="3"/>
        <v>42813.713055555556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{"issue":{"subject":"","project_id":79,"tracker_id":40,"status_id":1,"priority_id":2,"assigned_to_id":23,"start_date":"2017-03-19","description":"","custom_fields":[{"id":1,"name":"Subdivision","value":"EC"},{"id":4,"name":"Milepost","value":"0.0001"},{"id":17,"name":"Train ID","value":"148-19"},{"id":16,"name":"Locomotive ID","value":"4001"},{"id":130,"name":"Impact","value":""},{"id":150,"name":"Time of Event (Mountain Time)","value":"11:06:48"},{"id":151,"name":"Denver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"%USERPROFILE%\AppData\Local\Temp\OnboardLogs"\RTDC4001\*4001*201703191*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"%USERPROFILE%\AppData\Local\Temp\OnboardLogs"\RTDC4001\*4001*201703191* &gt;&gt; 2017-03-19-SliceDisagreementCheck.txt</v>
      </c>
      <c r="AE23" s="157" t="str">
        <f t="shared" si="9"/>
        <v>start /low /b %USERPROFILE%\Documents\GitHub\eaglep3\Utilities\DownloadLogsFromS3.py --loco 4001 --day 2017-03-19</v>
      </c>
      <c r="AF23" s="1"/>
    </row>
    <row r="24" spans="1:32" x14ac:dyDescent="0.25">
      <c r="A24" s="32">
        <v>42813.492858796293</v>
      </c>
      <c r="B24" s="30" t="s">
        <v>591</v>
      </c>
      <c r="C24" s="30" t="s">
        <v>592</v>
      </c>
      <c r="D24" s="30" t="s">
        <v>49</v>
      </c>
      <c r="E24" s="30" t="s">
        <v>185</v>
      </c>
      <c r="F24" s="43">
        <v>0</v>
      </c>
      <c r="G24" s="43">
        <v>102</v>
      </c>
      <c r="H24" s="43">
        <v>282</v>
      </c>
      <c r="I24" s="43">
        <v>185</v>
      </c>
      <c r="J24" s="30" t="s">
        <v>186</v>
      </c>
      <c r="K24" s="43">
        <v>1</v>
      </c>
      <c r="L24" s="143" t="s">
        <v>51</v>
      </c>
      <c r="M24" s="144">
        <f t="shared" si="0"/>
        <v>97.152000000000001</v>
      </c>
      <c r="N24" s="145" t="str">
        <f>VLOOKUP(C24,'Trips&amp;Operators'!$C$1:$G$99999,5,FALSE)</f>
        <v>GEBRETEKLE DAGNEW</v>
      </c>
      <c r="O24" s="194" t="s">
        <v>184</v>
      </c>
      <c r="P24" s="146"/>
      <c r="Q24" s="30"/>
      <c r="R24" s="89" t="str">
        <f>IF(VLOOKUP(C24,'Train Runs'!$A$13:$AE$9942,1,1)=C24,VLOOKUP(C24,'Train Runs'!$A$13:$AE$9942,31,1),NA())</f>
        <v>aws s3 cp s3://rtdc.mdm.uploadarchive.raw/RTDC4019/ "%USERPROFILE%\AppData\Local\Temp\OnboardLogs"\RTDC4019\2017-03-19 --exclude "*" --recursive --include "*20170319*" &amp; "%USERPROFILE%\Documents\GitHub\mrs-test-scripts\Headless Mode &amp; Sideloading\WalkAndUnGZ.bat" "%USERPROFILE%\AppData\Local\Temp\OnboardLogs"\RTDC4019\2017-03-19 &amp; aws s3 cp s3://rtdc.mdm.uploadarchive.raw/RTDC4019/ "%USERPROFILE%\AppData\Local\Temp\OnboardLogs"\RTDC4019\2017-03-20 --exclude "*" --recursive --include "*20170320*" &amp; "%USERPROFILE%\Documents\GitHub\mrs-test-scripts\Headless Mode &amp; Sideloading\WalkAndUnGZ.bat" "%USERPROFILE%\AppData\Local\Temp\OnboardLogs"\RTDC4019\2017-03-20</v>
      </c>
      <c r="S24" s="92" t="str">
        <f>VLOOKUP(C24,'Train Runs'!$A$13:$AE$9942,22,0)</f>
        <v>https://d0f6bd738d7f1b3e5a7ca70fe4ff75f0.us-east-1.aws.found.io/app/kibana#/discover/Steve-Slow-Train-Analysis-(2080s-and-2083s)?_g=(refreshInterval:(display:Off,pause:!f,section:0,value:0),time:(from:'2017-03-19T10:02:15-0600',mode:absolute,to:'2017-03-19T12:49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4" s="94" t="str">
        <f t="shared" si="1"/>
        <v>"C:\Program Files (x86)\AstroGrep\AstroGrep.exe" /e /r /s /spath="%USERPROFILE%\AppData\Local\Temp\OnboardLogs" /stypes="*4019*201703191*" /stext=" 17:.+((SYSTEM_STATE.+slice.+state.+changed )|(ment ac)|(multiple cpu faults)|(system.+state.+changed )|(\[timeout)|(PRM\|1\|D)|(kpr)|(kdp)|(\|lc)|(penalty))"</v>
      </c>
      <c r="U24" s="9" t="str">
        <f t="shared" si="2"/>
        <v>4019</v>
      </c>
      <c r="V24" s="32">
        <f t="shared" si="3"/>
        <v>42813.742858796293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{"issue":{"subject":"","project_id":79,"tracker_id":40,"status_id":1,"priority_id":2,"assigned_to_id":23,"start_date":"2017-03-19","description":"","custom_fields":[{"id":1,"name":"Subdivision","value":"EC"},{"id":4,"name":"Milepost","value":"0.0001"},{"id":17,"name":"Train ID","value":"154-19"},{"id":16,"name":"Locomotive ID","value":"4019"},{"id":130,"name":"Impact","value":""},{"id":150,"name":"Time of Event (Mountain Time)","value":"11:49:43"},{"id":151,"name":"Denver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"%USERPROFILE%\AppData\Local\Temp\OnboardLogs"\RTDC4019\*4019*201703191*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"%USERPROFILE%\AppData\Local\Temp\OnboardLogs"\RTDC4019\*4019*201703191* &gt;&gt; 2017-03-19-SliceDisagreementCheck.txt</v>
      </c>
      <c r="AE24" s="157" t="str">
        <f t="shared" si="9"/>
        <v>start /low /b %USERPROFILE%\Documents\GitHub\eaglep3\Utilities\DownloadLogsFromS3.py --loco 4019 --day 2017-03-19</v>
      </c>
      <c r="AF24" s="1"/>
    </row>
    <row r="25" spans="1:32" x14ac:dyDescent="0.25">
      <c r="A25" s="32">
        <v>42813.942986111113</v>
      </c>
      <c r="B25" s="30" t="s">
        <v>591</v>
      </c>
      <c r="C25" s="30" t="s">
        <v>604</v>
      </c>
      <c r="D25" s="30" t="s">
        <v>49</v>
      </c>
      <c r="E25" s="30" t="s">
        <v>185</v>
      </c>
      <c r="F25" s="43">
        <v>0</v>
      </c>
      <c r="G25" s="43">
        <v>53</v>
      </c>
      <c r="H25" s="43">
        <v>174</v>
      </c>
      <c r="I25" s="43">
        <v>139</v>
      </c>
      <c r="J25" s="30" t="s">
        <v>186</v>
      </c>
      <c r="K25" s="43">
        <v>1</v>
      </c>
      <c r="L25" s="143" t="s">
        <v>51</v>
      </c>
      <c r="M25" s="144">
        <f t="shared" si="0"/>
        <v>72.864000000000004</v>
      </c>
      <c r="N25" s="145" t="str">
        <f>VLOOKUP(C25,'Trips&amp;Operators'!$C$1:$G$99999,5,FALSE)</f>
        <v>CHANDLER KELVIN</v>
      </c>
      <c r="O25" s="194" t="s">
        <v>184</v>
      </c>
      <c r="P25" s="146"/>
      <c r="Q25" s="30"/>
      <c r="R25" s="89" t="e">
        <f>IF(VLOOKUP(C25,'Train Runs'!$A$13:$AE$9942,1,1)=C25,VLOOKUP(C25,'Train Runs'!$A$13:$AE$9942,31,1),NA())</f>
        <v>#N/A</v>
      </c>
      <c r="S25" s="92" t="str">
        <f>VLOOKUP(C25,'Train Runs'!$A$13:$AE$9942,22,0)</f>
        <v>https://d0f6bd738d7f1b3e5a7ca70fe4ff75f0.us-east-1.aws.found.io/app/kibana#/discover/Steve-Slow-Train-Analysis-(2080s-and-2083s)?_g=(refreshInterval:(display:Off,pause:!f,section:0,value:0),time:(from:'2017-03-19T20:52:14-0600',mode:absolute,to:'2017-03-19T23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5" s="94" t="str">
        <f t="shared" si="1"/>
        <v>"C:\Program Files (x86)\AstroGrep\AstroGrep.exe" /e /r /s /spath="%USERPROFILE%\AppData\Local\Temp\OnboardLogs" /stypes="*4019*201703200*" /stext=" 04:.+((SYSTEM_STATE.+slice.+state.+changed )|(ment ac)|(multiple cpu faults)|(system.+state.+changed )|(\[timeout)|(PRM\|1\|D)|(kpr)|(kdp)|(\|lc)|(penalty))"</v>
      </c>
      <c r="U25" s="9" t="str">
        <f t="shared" si="2"/>
        <v>4019</v>
      </c>
      <c r="V25" s="32">
        <f t="shared" si="3"/>
        <v>42814.192986111113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{"issue":{"subject":"","project_id":79,"tracker_id":40,"status_id":1,"priority_id":2,"assigned_to_id":23,"start_date":"2017-03-19","description":"","custom_fields":[{"id":1,"name":"Subdivision","value":"EC"},{"id":4,"name":"Milepost","value":"0.0001"},{"id":17,"name":"Train ID","value":"230-19"},{"id":16,"name":"Locomotive ID","value":"4019"},{"id":130,"name":"Impact","value":""},{"id":150,"name":"Time of Event (Mountain Time)","value":"22:37:54"},{"id":151,"name":"Denver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"%USERPROFILE%\AppData\Local\Temp\OnboardLogs"\RTDC4019\*4019*201703200*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"%USERPROFILE%\AppData\Local\Temp\OnboardLogs"\RTDC4019\*4019*201703200* &gt;&gt; 2017-03-19-SliceDisagreementCheck.txt</v>
      </c>
      <c r="AE25" s="157" t="str">
        <f t="shared" si="9"/>
        <v>start /low /b %USERPROFILE%\Documents\GitHub\eaglep3\Utilities\DownloadLogsFromS3.py --loco 4019 --day 2017-03-20</v>
      </c>
      <c r="AF25" s="1"/>
    </row>
    <row r="26" spans="1:32" x14ac:dyDescent="0.25">
      <c r="A26" s="32">
        <v>42813.243518518517</v>
      </c>
      <c r="B26" s="30" t="s">
        <v>574</v>
      </c>
      <c r="C26" s="30" t="s">
        <v>575</v>
      </c>
      <c r="D26" s="30" t="s">
        <v>49</v>
      </c>
      <c r="E26" s="30" t="s">
        <v>185</v>
      </c>
      <c r="F26" s="43">
        <v>0</v>
      </c>
      <c r="G26" s="43">
        <v>52</v>
      </c>
      <c r="H26" s="43">
        <v>233314</v>
      </c>
      <c r="I26" s="43">
        <v>233359</v>
      </c>
      <c r="J26" s="30" t="s">
        <v>186</v>
      </c>
      <c r="K26" s="43">
        <v>233491</v>
      </c>
      <c r="L26" s="143" t="s">
        <v>50</v>
      </c>
      <c r="M26" s="144">
        <f t="shared" si="0"/>
        <v>69.695999999999998</v>
      </c>
      <c r="N26" s="145" t="str">
        <f>VLOOKUP(C26,'Trips&amp;Operators'!$C$1:$G$99999,5,FALSE)</f>
        <v>SANTIZO D. EDY</v>
      </c>
      <c r="O26" s="194" t="s">
        <v>184</v>
      </c>
      <c r="P26" s="146"/>
      <c r="Q26" s="30"/>
      <c r="R26" s="89" t="str">
        <f>IF(VLOOKUP(C26,'Train Runs'!$A$13:$AE$9942,1,1)=C26,VLOOKUP(C26,'Train Runs'!$A$13:$AE$9942,31,1),NA())</f>
        <v>aws s3 cp s3://rtdc.mdm.uploadarchive.raw/RTDC4040/ "%USERPROFILE%\AppData\Local\Temp\OnboardLogs"\RTDC4040\2017-03-19 --exclude "*" --recursive --include "*20170319*" &amp; "%USERPROFILE%\Documents\GitHub\mrs-test-scripts\Headless Mode &amp; Sideloading\WalkAndUnGZ.bat" "%USERPROFILE%\AppData\Local\Temp\OnboardLogs"\RTDC4040\2017-03-19 &amp; 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</v>
      </c>
      <c r="S26" s="92" t="str">
        <f>VLOOKUP(C26,'Train Runs'!$A$13:$AE$9942,22,0)</f>
        <v>https://d0f6bd738d7f1b3e5a7ca70fe4ff75f0.us-east-1.aws.found.io/app/kibana#/discover/Steve-Slow-Train-Analysis-(2080s-and-2083s)?_g=(refreshInterval:(display:Off,pause:!f,section:0,value:0),time:(from:'2017-03-19T03:54:18-0600',mode:absolute,to:'2017-03-19T06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6" s="94" t="str">
        <f t="shared" si="1"/>
        <v>"C:\Program Files (x86)\AstroGrep\AstroGrep.exe" /e /r /s /spath="%USERPROFILE%\AppData\Local\Temp\OnboardLogs" /stypes="*4040*201703191*" /stext=" 11:.+((SYSTEM_STATE.+slice.+state.+changed )|(ment ac)|(multiple cpu faults)|(system.+state.+changed )|(\[timeout)|(PRM\|1\|D)|(kpr)|(kdp)|(\|lc)|(penalty))"</v>
      </c>
      <c r="U26" s="9" t="str">
        <f t="shared" si="2"/>
        <v>4040</v>
      </c>
      <c r="V26" s="32">
        <f t="shared" si="3"/>
        <v>42813.493518518517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{"issue":{"subject":"","project_id":79,"tracker_id":40,"status_id":1,"priority_id":2,"assigned_to_id":23,"start_date":"2017-03-19","description":"","custom_fields":[{"id":1,"name":"Subdivision","value":"EC"},{"id":4,"name":"Milepost","value":"23.3491"},{"id":17,"name":"Train ID","value":"113-19"},{"id":16,"name":"Locomotive ID","value":"4040"},{"id":130,"name":"Impact","value":""},{"id":150,"name":"Time of Event (Mountain Time)","value":"05:50:40"},{"id":151,"name":"Denver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"%USERPROFILE%\AppData\Local\Temp\OnboardLogs"\RTDC4040\*4040*201703191*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"%USERPROFILE%\AppData\Local\Temp\OnboardLogs"\RTDC4040\*4040*201703191* &gt;&gt; 2017-03-19-SliceDisagreementCheck.txt</v>
      </c>
      <c r="AE26" s="157" t="str">
        <f t="shared" si="9"/>
        <v>start /low /b %USERPROFILE%\Documents\GitHub\eaglep3\Utilities\DownloadLogsFromS3.py --loco 4040 --day 2017-03-19</v>
      </c>
      <c r="AF26" s="1"/>
    </row>
    <row r="27" spans="1:32" x14ac:dyDescent="0.25">
      <c r="A27" s="32">
        <v>42813.423541666663</v>
      </c>
      <c r="B27" s="30" t="s">
        <v>425</v>
      </c>
      <c r="C27" s="30" t="s">
        <v>579</v>
      </c>
      <c r="D27" s="30" t="s">
        <v>49</v>
      </c>
      <c r="E27" s="30" t="s">
        <v>185</v>
      </c>
      <c r="F27" s="43">
        <v>0</v>
      </c>
      <c r="G27" s="43">
        <v>48</v>
      </c>
      <c r="H27" s="43">
        <v>233289</v>
      </c>
      <c r="I27" s="43">
        <v>233321</v>
      </c>
      <c r="J27" s="30" t="s">
        <v>186</v>
      </c>
      <c r="K27" s="43">
        <v>233491</v>
      </c>
      <c r="L27" s="143" t="s">
        <v>50</v>
      </c>
      <c r="M27" s="144">
        <f t="shared" si="0"/>
        <v>89.76</v>
      </c>
      <c r="N27" s="145" t="str">
        <f>VLOOKUP(C27,'Trips&amp;Operators'!$C$1:$G$99999,5,FALSE)</f>
        <v>BADERTSCHER DIANE</v>
      </c>
      <c r="O27" s="194" t="s">
        <v>184</v>
      </c>
      <c r="P27" s="146"/>
      <c r="Q27" s="30"/>
      <c r="R27" s="89" t="str">
        <f>IF(VLOOKUP(C27,'Train Runs'!$A$13:$AE$9942,1,1)=C27,VLOOKUP(C27,'Train Runs'!$A$13:$AE$9942,31,1),NA())</f>
        <v>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 &amp; 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</v>
      </c>
      <c r="S27" s="92" t="str">
        <f>VLOOKUP(C27,'Train Runs'!$A$13:$AE$9942,22,0)</f>
        <v>https://d0f6bd738d7f1b3e5a7ca70fe4ff75f0.us-east-1.aws.found.io/app/kibana#/discover/Steve-Slow-Train-Analysis-(2080s-and-2083s)?_g=(refreshInterval:(display:Off,pause:!f,section:0,value:0),time:(from:'2017-03-19T08:27:14-0600',mode:absolute,to:'2017-03-19T11:09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7" s="94" t="str">
        <f t="shared" si="1"/>
        <v>"C:\Program Files (x86)\AstroGrep\AstroGrep.exe" /e /r /s /spath="%USERPROFILE%\AppData\Local\Temp\OnboardLogs" /stypes="*4002*201703191*" /stext=" 16:.+((SYSTEM_STATE.+slice.+state.+changed )|(ment ac)|(multiple cpu faults)|(system.+state.+changed )|(\[timeout)|(PRM\|1\|D)|(kpr)|(kdp)|(\|lc)|(penalty))"</v>
      </c>
      <c r="U27" s="9" t="str">
        <f t="shared" si="2"/>
        <v>4002</v>
      </c>
      <c r="V27" s="32">
        <f t="shared" si="3"/>
        <v>42813.673541666663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{"issue":{"subject":"","project_id":79,"tracker_id":40,"status_id":1,"priority_id":2,"assigned_to_id":23,"start_date":"2017-03-19","description":"","custom_fields":[{"id":1,"name":"Subdivision","value":"EC"},{"id":4,"name":"Milepost","value":"23.3491"},{"id":17,"name":"Train ID","value":"147-19"},{"id":16,"name":"Locomotive ID","value":"4002"},{"id":130,"name":"Impact","value":""},{"id":150,"name":"Time of Event (Mountain Time)","value":"10:09:54"},{"id":151,"name":"Denver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"%USERPROFILE%\AppData\Local\Temp\OnboardLogs"\RTDC4002\*4002*201703191*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"%USERPROFILE%\AppData\Local\Temp\OnboardLogs"\RTDC4002\*4002*201703191* &gt;&gt; 2017-03-19-SliceDisagreementCheck.txt</v>
      </c>
      <c r="AE27" s="157" t="str">
        <f t="shared" si="9"/>
        <v>start /low /b %USERPROFILE%\Documents\GitHub\eaglep3\Utilities\DownloadLogsFromS3.py --loco 4002 --day 2017-03-19</v>
      </c>
      <c r="AF27" s="1"/>
    </row>
    <row r="28" spans="1:32" x14ac:dyDescent="0.25">
      <c r="A28" s="32">
        <v>42813.462280092594</v>
      </c>
      <c r="B28" s="30" t="s">
        <v>574</v>
      </c>
      <c r="C28" s="30" t="s">
        <v>584</v>
      </c>
      <c r="D28" s="30" t="s">
        <v>49</v>
      </c>
      <c r="E28" s="30" t="s">
        <v>185</v>
      </c>
      <c r="F28" s="43">
        <v>0</v>
      </c>
      <c r="G28" s="43">
        <v>30</v>
      </c>
      <c r="H28" s="43">
        <v>233389</v>
      </c>
      <c r="I28" s="43">
        <v>233391</v>
      </c>
      <c r="J28" s="30" t="s">
        <v>186</v>
      </c>
      <c r="K28" s="43">
        <v>233491</v>
      </c>
      <c r="L28" s="143" t="s">
        <v>50</v>
      </c>
      <c r="M28" s="144">
        <f t="shared" si="0"/>
        <v>52.8</v>
      </c>
      <c r="N28" s="145" t="str">
        <f>VLOOKUP(C28,'Trips&amp;Operators'!$C$1:$G$99999,5,FALSE)</f>
        <v>ROMERO CHAD</v>
      </c>
      <c r="O28" s="194" t="s">
        <v>184</v>
      </c>
      <c r="P28" s="146"/>
      <c r="Q28" s="30"/>
      <c r="R28" s="89" t="str">
        <f>IF(VLOOKUP(C28,'Train Runs'!$A$13:$AE$9942,1,1)=C28,VLOOKUP(C28,'Train Runs'!$A$13:$AE$9942,31,1),NA())</f>
        <v>aws s3 cp s3://rtdc.mdm.uploadarchive.raw/RTDC4040/ "%USERPROFILE%\AppData\Local\Temp\OnboardLogs"\RTDC4040\2017-03-19 --exclude "*" --recursive --include "*20170319*" &amp; "%USERPROFILE%\Documents\GitHub\mrs-test-scripts\Headless Mode &amp; Sideloading\WalkAndUnGZ.bat" "%USERPROFILE%\AppData\Local\Temp\OnboardLogs"\RTDC4040\2017-03-19 &amp; 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</v>
      </c>
      <c r="S28" s="92" t="str">
        <f>VLOOKUP(C28,'Train Runs'!$A$13:$AE$9942,22,0)</f>
        <v>https://d0f6bd738d7f1b3e5a7ca70fe4ff75f0.us-east-1.aws.found.io/app/kibana#/discover/Steve-Slow-Train-Analysis-(2080s-and-2083s)?_g=(refreshInterval:(display:Off,pause:!f,section:0,value:0),time:(from:'2017-03-19T09:25:07-0600',mode:absolute,to:'2017-03-19T12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8" s="94" t="str">
        <f t="shared" si="1"/>
        <v>"C:\Program Files (x86)\AstroGrep\AstroGrep.exe" /e /r /s /spath="%USERPROFILE%\AppData\Local\Temp\OnboardLogs" /stypes="*4040*201703191*" /stext=" 17:.+((SYSTEM_STATE.+slice.+state.+changed )|(ment ac)|(multiple cpu faults)|(system.+state.+changed )|(\[timeout)|(PRM\|1\|D)|(kpr)|(kdp)|(\|lc)|(penalty))"</v>
      </c>
      <c r="U28" s="9" t="str">
        <f t="shared" si="2"/>
        <v>4040</v>
      </c>
      <c r="V28" s="32">
        <f t="shared" si="3"/>
        <v>42813.712280092594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{"issue":{"subject":"","project_id":79,"tracker_id":40,"status_id":1,"priority_id":2,"assigned_to_id":23,"start_date":"2017-03-19","description":"","custom_fields":[{"id":1,"name":"Subdivision","value":"EC"},{"id":4,"name":"Milepost","value":"23.3491"},{"id":17,"name":"Train ID","value":"155-19"},{"id":16,"name":"Locomotive ID","value":"4040"},{"id":130,"name":"Impact","value":""},{"id":150,"name":"Time of Event (Mountain Time)","value":"11:05:41"},{"id":151,"name":"Denver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"%USERPROFILE%\AppData\Local\Temp\OnboardLogs"\RTDC4040\*4040*201703191*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"%USERPROFILE%\AppData\Local\Temp\OnboardLogs"\RTDC4040\*4040*201703191* &gt;&gt; 2017-03-19-SliceDisagreementCheck.txt</v>
      </c>
      <c r="AE28" s="157" t="str">
        <f t="shared" si="9"/>
        <v>start /low /b %USERPROFILE%\Documents\GitHub\eaglep3\Utilities\DownloadLogsFromS3.py --loco 4040 --day 2017-03-19</v>
      </c>
      <c r="AF28" s="1"/>
    </row>
    <row r="29" spans="1:32" x14ac:dyDescent="0.25">
      <c r="A29" s="32">
        <v>42813.622129629628</v>
      </c>
      <c r="B29" s="30" t="s">
        <v>402</v>
      </c>
      <c r="C29" s="30" t="s">
        <v>595</v>
      </c>
      <c r="D29" s="30" t="s">
        <v>49</v>
      </c>
      <c r="E29" s="30" t="s">
        <v>185</v>
      </c>
      <c r="F29" s="43">
        <v>0</v>
      </c>
      <c r="G29" s="43">
        <v>114</v>
      </c>
      <c r="H29" s="43">
        <v>233097</v>
      </c>
      <c r="I29" s="43">
        <v>233251</v>
      </c>
      <c r="J29" s="30" t="s">
        <v>186</v>
      </c>
      <c r="K29" s="43">
        <v>233491</v>
      </c>
      <c r="L29" s="143" t="s">
        <v>50</v>
      </c>
      <c r="M29" s="144">
        <f t="shared" si="0"/>
        <v>126.72</v>
      </c>
      <c r="N29" s="145" t="str">
        <f>VLOOKUP(C29,'Trips&amp;Operators'!$C$1:$G$99999,5,FALSE)</f>
        <v>BRANDNER MELINDA</v>
      </c>
      <c r="O29" s="194" t="s">
        <v>184</v>
      </c>
      <c r="P29" s="146"/>
      <c r="Q29" s="30"/>
      <c r="R29" s="89" t="e">
        <f>IF(VLOOKUP(C29,'Train Runs'!$A$13:$AE$9942,1,1)=C29,VLOOKUP(C29,'Train Runs'!$A$13:$AE$9942,31,1),NA())</f>
        <v>#N/A</v>
      </c>
      <c r="S29" s="92" t="str">
        <f>VLOOKUP(C29,'Train Runs'!$A$13:$AE$9942,22,0)</f>
        <v>https://d0f6bd738d7f1b3e5a7ca70fe4ff75f0.us-east-1.aws.found.io/app/kibana#/discover/Steve-Slow-Train-Analysis-(2080s-and-2083s)?_g=(refreshInterval:(display:Off,pause:!f,section:0,value:0),time:(from:'2017-03-19T13:11:17-0600',mode:absolute,to:'2017-03-19T15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9" s="94" t="str">
        <f t="shared" si="1"/>
        <v>"C:\Program Files (x86)\AstroGrep\AstroGrep.exe" /e /r /s /spath="%USERPROFILE%\AppData\Local\Temp\OnboardLogs" /stypes="*4053*201703192*" /stext=" 20:.+((SYSTEM_STATE.+slice.+state.+changed )|(ment ac)|(multiple cpu faults)|(system.+state.+changed )|(\[timeout)|(PRM\|1\|D)|(kpr)|(kdp)|(\|lc)|(penalty))"</v>
      </c>
      <c r="U29" s="9" t="str">
        <f t="shared" si="2"/>
        <v>4053</v>
      </c>
      <c r="V29" s="32">
        <f t="shared" si="3"/>
        <v>42813.872129629628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{"issue":{"subject":"","project_id":79,"tracker_id":40,"status_id":1,"priority_id":2,"assigned_to_id":23,"start_date":"2017-03-19","description":"","custom_fields":[{"id":1,"name":"Subdivision","value":"EC"},{"id":4,"name":"Milepost","value":"23.3491"},{"id":17,"name":"Train ID","value":"185-19"},{"id":16,"name":"Locomotive ID","value":"4053"},{"id":130,"name":"Impact","value":""},{"id":150,"name":"Time of Event (Mountain Time)","value":"14:55:52"},{"id":151,"name":"Denver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"%USERPROFILE%\AppData\Local\Temp\OnboardLogs"\RTDC4053\*4053*201703192*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"%USERPROFILE%\AppData\Local\Temp\OnboardLogs"\RTDC4053\*4053*201703192* &gt;&gt; 2017-03-19-SliceDisagreementCheck.txt</v>
      </c>
      <c r="AE29" s="157" t="str">
        <f t="shared" si="9"/>
        <v>start /low /b %USERPROFILE%\Documents\GitHub\eaglep3\Utilities\DownloadLogsFromS3.py --loco 4053 --day 2017-03-19</v>
      </c>
      <c r="AF29" s="1"/>
    </row>
    <row r="30" spans="1:32" x14ac:dyDescent="0.25">
      <c r="A30" s="32">
        <v>42813.681886574072</v>
      </c>
      <c r="B30" s="30" t="s">
        <v>574</v>
      </c>
      <c r="C30" s="30" t="s">
        <v>598</v>
      </c>
      <c r="D30" s="30" t="s">
        <v>49</v>
      </c>
      <c r="E30" s="30" t="s">
        <v>185</v>
      </c>
      <c r="F30" s="43">
        <v>0</v>
      </c>
      <c r="G30" s="43">
        <v>28</v>
      </c>
      <c r="H30" s="43">
        <v>233401</v>
      </c>
      <c r="I30" s="43">
        <v>233418</v>
      </c>
      <c r="J30" s="30" t="s">
        <v>186</v>
      </c>
      <c r="K30" s="43">
        <v>233491</v>
      </c>
      <c r="L30" s="143" t="s">
        <v>50</v>
      </c>
      <c r="M30" s="144">
        <f t="shared" si="0"/>
        <v>38.543999999999997</v>
      </c>
      <c r="N30" s="145" t="str">
        <f>VLOOKUP(C30,'Trips&amp;Operators'!$C$1:$G$99999,5,FALSE)</f>
        <v>WHITED DUSTIN</v>
      </c>
      <c r="O30" s="194" t="s">
        <v>184</v>
      </c>
      <c r="P30" s="146"/>
      <c r="Q30" s="30"/>
      <c r="R30" s="89" t="e">
        <f>IF(VLOOKUP(C30,'Train Runs'!$A$13:$AE$9942,1,1)=C30,VLOOKUP(C30,'Train Runs'!$A$13:$AE$9942,31,1),NA())</f>
        <v>#N/A</v>
      </c>
      <c r="S30" s="92" t="str">
        <f>VLOOKUP(C30,'Train Runs'!$A$13:$AE$9942,22,0)</f>
        <v>https://d0f6bd738d7f1b3e5a7ca70fe4ff75f0.us-east-1.aws.found.io/app/kibana#/discover/Steve-Slow-Train-Analysis-(2080s-and-2083s)?_g=(refreshInterval:(display:Off,pause:!f,section:0,value:0),time:(from:'2017-03-19T14:37:30-0600',mode:absolute,to:'2017-03-19T17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0" s="94" t="str">
        <f t="shared" si="1"/>
        <v>"C:\Program Files (x86)\AstroGrep\AstroGrep.exe" /e /r /s /spath="%USERPROFILE%\AppData\Local\Temp\OnboardLogs" /stypes="*4040*201703192*" /stext=" 22:.+((SYSTEM_STATE.+slice.+state.+changed )|(ment ac)|(multiple cpu faults)|(system.+state.+changed )|(\[timeout)|(PRM\|1\|D)|(kpr)|(kdp)|(\|lc)|(penalty))"</v>
      </c>
      <c r="U30" s="9" t="str">
        <f t="shared" si="2"/>
        <v>4040</v>
      </c>
      <c r="V30" s="32">
        <f t="shared" si="3"/>
        <v>42813.931886574072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{"issue":{"subject":"","project_id":79,"tracker_id":40,"status_id":1,"priority_id":2,"assigned_to_id":23,"start_date":"2017-03-19","description":"","custom_fields":[{"id":1,"name":"Subdivision","value":"EC"},{"id":4,"name":"Milepost","value":"23.3491"},{"id":17,"name":"Train ID","value":"197-19"},{"id":16,"name":"Locomotive ID","value":"4040"},{"id":130,"name":"Impact","value":""},{"id":150,"name":"Time of Event (Mountain Time)","value":"16:21:55"},{"id":151,"name":"Denver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"%USERPROFILE%\AppData\Local\Temp\OnboardLogs"\RTDC4040\*4040*201703192*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"%USERPROFILE%\AppData\Local\Temp\OnboardLogs"\RTDC4040\*4040*201703192* &gt;&gt; 2017-03-19-SliceDisagreementCheck.txt</v>
      </c>
      <c r="AE30" s="157" t="str">
        <f t="shared" si="9"/>
        <v>start /low /b %USERPROFILE%\Documents\GitHub\eaglep3\Utilities\DownloadLogsFromS3.py --loco 4040 --day 2017-03-19</v>
      </c>
      <c r="AF30" s="1"/>
    </row>
    <row r="31" spans="1:32" x14ac:dyDescent="0.25">
      <c r="A31" s="32">
        <v>42813.775775462964</v>
      </c>
      <c r="B31" s="30" t="s">
        <v>586</v>
      </c>
      <c r="C31" s="30" t="s">
        <v>600</v>
      </c>
      <c r="D31" s="30" t="s">
        <v>49</v>
      </c>
      <c r="E31" s="30" t="s">
        <v>185</v>
      </c>
      <c r="F31" s="43">
        <v>0</v>
      </c>
      <c r="G31" s="43">
        <v>53</v>
      </c>
      <c r="H31" s="43">
        <v>233276</v>
      </c>
      <c r="I31" s="43">
        <v>233325</v>
      </c>
      <c r="J31" s="30" t="s">
        <v>186</v>
      </c>
      <c r="K31" s="43">
        <v>233491</v>
      </c>
      <c r="L31" s="143" t="s">
        <v>50</v>
      </c>
      <c r="M31" s="144">
        <f t="shared" si="0"/>
        <v>87.647999999999996</v>
      </c>
      <c r="N31" s="145" t="str">
        <f>VLOOKUP(C31,'Trips&amp;Operators'!$C$1:$G$99999,5,FALSE)</f>
        <v>BRANDNER MELINDA</v>
      </c>
      <c r="O31" s="194" t="s">
        <v>184</v>
      </c>
      <c r="P31" s="146"/>
      <c r="Q31" s="30"/>
      <c r="R31" s="89" t="e">
        <f>IF(VLOOKUP(C31,'Train Runs'!$A$13:$AE$9942,1,1)=C31,VLOOKUP(C31,'Train Runs'!$A$13:$AE$9942,31,1),NA())</f>
        <v>#N/A</v>
      </c>
      <c r="S31" s="92" t="str">
        <f>VLOOKUP(C31,'Train Runs'!$A$13:$AE$9942,22,0)</f>
        <v>https://d0f6bd738d7f1b3e5a7ca70fe4ff75f0.us-east-1.aws.found.io/app/kibana#/discover/Steve-Slow-Train-Analysis-(2080s-and-2083s)?_g=(refreshInterval:(display:Off,pause:!f,section:0,value:0),time:(from:'2017-03-19T16:57:34-0600',mode:absolute,to:'2017-03-19T19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1" s="94" t="str">
        <f t="shared" si="1"/>
        <v>"C:\Program Files (x86)\AstroGrep\AstroGrep.exe" /e /r /s /spath="%USERPROFILE%\AppData\Local\Temp\OnboardLogs" /stypes="*4003*201703200*" /stext=" 00:.+((SYSTEM_STATE.+slice.+state.+changed )|(ment ac)|(multiple cpu faults)|(system.+state.+changed )|(\[timeout)|(PRM\|1\|D)|(kpr)|(kdp)|(\|lc)|(penalty))"</v>
      </c>
      <c r="U31" s="9" t="str">
        <f t="shared" si="2"/>
        <v>4003</v>
      </c>
      <c r="V31" s="32">
        <f t="shared" si="3"/>
        <v>42814.025775462964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{"issue":{"subject":"","project_id":79,"tracker_id":40,"status_id":1,"priority_id":2,"assigned_to_id":23,"start_date":"2017-03-19","description":"","custom_fields":[{"id":1,"name":"Subdivision","value":"EC"},{"id":4,"name":"Milepost","value":"23.3491"},{"id":17,"name":"Train ID","value":"215-19"},{"id":16,"name":"Locomotive ID","value":"4003"},{"id":130,"name":"Impact","value":""},{"id":150,"name":"Time of Event (Mountain Time)","value":"18:37:07"},{"id":151,"name":"Denver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"%USERPROFILE%\AppData\Local\Temp\OnboardLogs"\RTDC4003\*4003*201703200*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"%USERPROFILE%\AppData\Local\Temp\OnboardLogs"\RTDC4003\*4003*201703200* &gt;&gt; 2017-03-19-SliceDisagreementCheck.txt</v>
      </c>
      <c r="AE31" s="157" t="str">
        <f t="shared" si="9"/>
        <v>start /low /b %USERPROFILE%\Documents\GitHub\eaglep3\Utilities\DownloadLogsFromS3.py --loco 4003 --day 2017-03-20</v>
      </c>
      <c r="AF31" s="1"/>
    </row>
    <row r="32" spans="1:32" x14ac:dyDescent="0.25">
      <c r="A32" s="32">
        <v>42813.326597222222</v>
      </c>
      <c r="B32" s="30" t="s">
        <v>414</v>
      </c>
      <c r="C32" s="30" t="s">
        <v>577</v>
      </c>
      <c r="D32" s="30" t="s">
        <v>49</v>
      </c>
      <c r="E32" s="30" t="s">
        <v>192</v>
      </c>
      <c r="F32" s="43">
        <v>0</v>
      </c>
      <c r="G32" s="43">
        <v>302</v>
      </c>
      <c r="H32" s="43">
        <v>11158</v>
      </c>
      <c r="I32" s="43">
        <v>10439</v>
      </c>
      <c r="J32" s="30" t="s">
        <v>193</v>
      </c>
      <c r="K32" s="43">
        <v>10988</v>
      </c>
      <c r="L32" s="143" t="s">
        <v>51</v>
      </c>
      <c r="M32" s="144">
        <f t="shared" si="0"/>
        <v>-289.87200000000001</v>
      </c>
      <c r="N32" s="145" t="str">
        <f>VLOOKUP(C32,'Trips&amp;Operators'!$C$1:$G$99999,5,FALSE)</f>
        <v>YORK EDGAR</v>
      </c>
      <c r="O32" s="194" t="s">
        <v>184</v>
      </c>
      <c r="P32" s="146" t="s">
        <v>967</v>
      </c>
      <c r="Q32" s="30"/>
      <c r="R32" s="89" t="e">
        <f>IF(VLOOKUP(C32,'Train Runs'!$A$13:$AE$9942,1,1)=C32,VLOOKUP(C32,'Train Runs'!$A$13:$AE$9942,31,1),NA())</f>
        <v>#N/A</v>
      </c>
      <c r="S32" s="92" t="str">
        <f>VLOOKUP(C32,'Train Runs'!$A$13:$AE$9942,22,0)</f>
        <v>https://d0f6bd738d7f1b3e5a7ca70fe4ff75f0.us-east-1.aws.found.io/app/kibana#/discover/Steve-Slow-Train-Analysis-(2080s-and-2083s)?_g=(refreshInterval:(display:Off,pause:!f,section:0,value:0),time:(from:'2017-03-19T06:36:37-0600',mode:absolute,to:'2017-03-19T08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2" s="94" t="str">
        <f t="shared" si="1"/>
        <v>"C:\Program Files (x86)\AstroGrep\AstroGrep.exe" /e /r /s /spath="%USERPROFILE%\AppData\Local\Temp\OnboardLogs" /stypes="*4052*201703191*" /stext=" 13:.+((SYSTEM_STATE.+slice.+state.+changed )|(ment ac)|(multiple cpu faults)|(system.+state.+changed )|(\[timeout)|(PRM\|1\|D)|(kpr)|(kdp)|(\|lc)|(penalty))"</v>
      </c>
      <c r="U32" s="9" t="str">
        <f t="shared" si="2"/>
        <v>4052</v>
      </c>
      <c r="V32" s="32">
        <f t="shared" si="3"/>
        <v>42813.576597222222</v>
      </c>
      <c r="W32" s="46" t="str">
        <f t="shared" si="4"/>
        <v>NW</v>
      </c>
      <c r="X32" s="46" t="str">
        <f t="shared" si="5"/>
        <v>KEEP</v>
      </c>
      <c r="Y32" s="108" t="str">
        <f t="shared" si="6"/>
        <v>echo {"issue":{"subject":"Early arrival","project_id":79,"tracker_id":40,"status_id":1,"priority_id":2,"assigned_to_id":23,"start_date":"2017-03-19","description":"","custom_fields":[{"id":1,"name":"Subdivision","value":"NW"},{"id":4,"name":"Milepost","value":"1.0988"},{"id":17,"name":"Train ID","value":"1804-19"},{"id":16,"name":"Locomotive ID","value":"4052"},{"id":130,"name":"Impact","value":""},{"id":150,"name":"Time of Event (Mountain Time)","value":"07:50:18"},{"id":151,"name":"Denver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"%USERPROFILE%\AppData\Local\Temp\OnboardLogs"\RTDC4052\*4052*201703191*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"%USERPROFILE%\AppData\Local\Temp\OnboardLogs"\RTDC4052\*4052*201703191* &gt;&gt; 2017-03-19-SliceDisagreementCheck.txt</v>
      </c>
      <c r="AE32" s="157" t="str">
        <f t="shared" si="9"/>
        <v>start /low /b %USERPROFILE%\Documents\GitHub\eaglep3\Utilities\DownloadLogsFromS3.py --loco 4052 --day 2017-03-19</v>
      </c>
      <c r="AF32" s="1"/>
    </row>
    <row r="33" spans="1:32" x14ac:dyDescent="0.25">
      <c r="A33" s="32">
        <v>42813.661493055559</v>
      </c>
      <c r="B33" s="30" t="s">
        <v>414</v>
      </c>
      <c r="C33" s="30" t="s">
        <v>597</v>
      </c>
      <c r="D33" s="30" t="s">
        <v>49</v>
      </c>
      <c r="E33" s="30" t="s">
        <v>192</v>
      </c>
      <c r="F33" s="43">
        <v>0</v>
      </c>
      <c r="G33" s="43">
        <v>267</v>
      </c>
      <c r="H33" s="43">
        <v>11150</v>
      </c>
      <c r="I33" s="43">
        <v>10740</v>
      </c>
      <c r="J33" s="30" t="s">
        <v>193</v>
      </c>
      <c r="K33" s="43">
        <v>10988</v>
      </c>
      <c r="L33" s="143" t="s">
        <v>51</v>
      </c>
      <c r="M33" s="144">
        <f t="shared" si="0"/>
        <v>-130.94399999999999</v>
      </c>
      <c r="N33" s="145" t="str">
        <f>VLOOKUP(C33,'Trips&amp;Operators'!$C$1:$G$99999,5,FALSE)</f>
        <v>HELVIE ADAM</v>
      </c>
      <c r="O33" s="194" t="s">
        <v>184</v>
      </c>
      <c r="P33" s="146" t="s">
        <v>967</v>
      </c>
      <c r="Q33" s="30"/>
      <c r="R33" s="89" t="str">
        <f>IF(VLOOKUP(C33,'Train Runs'!$A$13:$AE$9942,1,1)=C33,VLOOKUP(C33,'Train Runs'!$A$13:$AE$9942,31,1),NA())</f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S33" s="92" t="str">
        <f>VLOOKUP(C33,'Train Runs'!$A$13:$AE$9942,22,0)</f>
        <v>https://d0f6bd738d7f1b3e5a7ca70fe4ff75f0.us-east-1.aws.found.io/app/kibana#/discover/Steve-Slow-Train-Analysis-(2080s-and-2083s)?_g=(refreshInterval:(display:Off,pause:!f,section:0,value:0),time:(from:'2017-03-19T14:40:15-0600',mode:absolute,to:'2017-03-19T16:57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3" s="94" t="str">
        <f t="shared" si="1"/>
        <v>"C:\Program Files (x86)\AstroGrep\AstroGrep.exe" /e /r /s /spath="%USERPROFILE%\AppData\Local\Temp\OnboardLogs" /stypes="*4052*201703192*" /stext=" 21:.+((SYSTEM_STATE.+slice.+state.+changed )|(ment ac)|(multiple cpu faults)|(system.+state.+changed )|(\[timeout)|(PRM\|1\|D)|(kpr)|(kdp)|(\|lc)|(penalty))"</v>
      </c>
      <c r="U33" s="9" t="str">
        <f t="shared" si="2"/>
        <v>4052</v>
      </c>
      <c r="V33" s="32">
        <f t="shared" si="3"/>
        <v>42813.911493055559</v>
      </c>
      <c r="W33" s="46" t="str">
        <f t="shared" si="4"/>
        <v>NW</v>
      </c>
      <c r="X33" s="46" t="str">
        <f t="shared" si="5"/>
        <v>KEEP</v>
      </c>
      <c r="Y33" s="108" t="str">
        <f t="shared" si="6"/>
        <v>echo {"issue":{"subject":"Early arrival","project_id":79,"tracker_id":40,"status_id":1,"priority_id":2,"assigned_to_id":23,"start_date":"2017-03-19","description":"","custom_fields":[{"id":1,"name":"Subdivision","value":"NW"},{"id":4,"name":"Milepost","value":"1.0988"},{"id":17,"name":"Train ID","value":"1820-19"},{"id":16,"name":"Locomotive ID","value":"4052"},{"id":130,"name":"Impact","value":""},{"id":150,"name":"Time of Event (Mountain Time)","value":"15:52:33"},{"id":151,"name":"Denver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"%USERPROFILE%\AppData\Local\Temp\OnboardLogs"\RTDC4052\*4052*201703192*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"%USERPROFILE%\AppData\Local\Temp\OnboardLogs"\RTDC4052\*4052*201703192* &gt;&gt; 2017-03-19-SliceDisagreementCheck.txt</v>
      </c>
      <c r="AE33" s="157" t="str">
        <f t="shared" si="9"/>
        <v>start /low /b %USERPROFILE%\Documents\GitHub\eaglep3\Utilities\DownloadLogsFromS3.py --loco 4052 --day 2017-03-19</v>
      </c>
      <c r="AF33" s="1"/>
    </row>
    <row r="34" spans="1:32" x14ac:dyDescent="0.25">
      <c r="A34" s="32">
        <v>42813.488715277781</v>
      </c>
      <c r="B34" s="30" t="s">
        <v>414</v>
      </c>
      <c r="C34" s="30" t="s">
        <v>590</v>
      </c>
      <c r="D34" s="30" t="s">
        <v>97</v>
      </c>
      <c r="E34" s="30" t="s">
        <v>219</v>
      </c>
      <c r="F34" s="43">
        <v>150</v>
      </c>
      <c r="G34" s="43">
        <v>203</v>
      </c>
      <c r="H34" s="43">
        <v>56919</v>
      </c>
      <c r="I34" s="43">
        <v>56619</v>
      </c>
      <c r="J34" s="30" t="s">
        <v>220</v>
      </c>
      <c r="K34" s="43">
        <v>59050</v>
      </c>
      <c r="L34" s="143" t="s">
        <v>51</v>
      </c>
      <c r="M34" s="144">
        <f t="shared" si="0"/>
        <v>-1283.568</v>
      </c>
      <c r="N34" s="145" t="str">
        <f>VLOOKUP(C34,'Trips&amp;Operators'!$C$1:$G$99999,5,FALSE)</f>
        <v>YORK EDGAR</v>
      </c>
      <c r="O34" s="194" t="s">
        <v>184</v>
      </c>
      <c r="P34" s="146"/>
      <c r="Q34" s="30"/>
      <c r="R34" s="89" t="str">
        <f>IF(VLOOKUP(C34,'Train Runs'!$A$13:$AE$9942,1,1)=C34,VLOOKUP(C34,'Train Runs'!$A$13:$AE$9942,31,1),NA())</f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S34" s="92" t="str">
        <f>VLOOKUP(C34,'Train Runs'!$A$13:$AE$9942,22,0)</f>
        <v>https://d0f6bd738d7f1b3e5a7ca70fe4ff75f0.us-east-1.aws.found.io/app/kibana#/discover/Steve-Slow-Train-Analysis-(2080s-and-2083s)?_g=(refreshInterval:(display:Off,pause:!f,section:0,value:0),time:(from:'2017-03-19T10:34:59-0600',mode:absolute,to:'2017-03-19T12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4" s="94" t="str">
        <f t="shared" si="1"/>
        <v>"C:\Program Files (x86)\AstroGrep\AstroGrep.exe" /e /r /s /spath="%USERPROFILE%\AppData\Local\Temp\OnboardLogs" /stypes="*4052*201703191*" /stext=" 17:.+((SYSTEM_STATE.+slice.+state.+changed )|(ment ac)|(multiple cpu faults)|(system.+state.+changed )|(\[timeout)|(PRM\|1\|D)|(kpr)|(kdp)|(\|lc)|(penalty))"</v>
      </c>
      <c r="U34" s="9" t="str">
        <f t="shared" si="2"/>
        <v>4052</v>
      </c>
      <c r="V34" s="32">
        <f t="shared" si="3"/>
        <v>42813.738715277781</v>
      </c>
      <c r="W34" s="46" t="str">
        <f t="shared" si="4"/>
        <v>NW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{"issue":{"subject":"","project_id":79,"tracker_id":40,"status_id":1,"priority_id":2,"assigned_to_id":23,"start_date":"2017-03-19","description":"","custom_fields":[{"id":1,"name":"Subdivision","value":"NW"},{"id":4,"name":"Milepost","value":"5.905"},{"id":17,"name":"Train ID","value":"1812-19"},{"id":16,"name":"Locomotive ID","value":"4052"},{"id":130,"name":"Impact","value":""},{"id":150,"name":"Time of Event (Mountain Time)","value":"11:43:45"},{"id":151,"name":"Denver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"%USERPROFILE%\AppData\Local\Temp\OnboardLogs"\RTDC4052\*4052*201703191*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"%USERPROFILE%\AppData\Local\Temp\OnboardLogs"\RTDC4052\*4052*201703191* &gt;&gt; 2017-03-19-SliceDisagreementCheck.txt</v>
      </c>
      <c r="AE34" s="157" t="str">
        <f t="shared" si="9"/>
        <v>start /low /b %USERPROFILE%\Documents\GitHub\eaglep3\Utilities\DownloadLogsFromS3.py --loco 4052 --day 2017-03-19</v>
      </c>
      <c r="AF34" s="1"/>
    </row>
    <row r="35" spans="1:32" x14ac:dyDescent="0.25">
      <c r="A35" s="32">
        <v>42813.537407407406</v>
      </c>
      <c r="B35" s="30" t="s">
        <v>414</v>
      </c>
      <c r="C35" s="30" t="s">
        <v>593</v>
      </c>
      <c r="D35" s="30" t="s">
        <v>49</v>
      </c>
      <c r="E35" s="30" t="s">
        <v>185</v>
      </c>
      <c r="F35" s="43">
        <v>0</v>
      </c>
      <c r="G35" s="43">
        <v>132</v>
      </c>
      <c r="H35" s="43">
        <v>1279</v>
      </c>
      <c r="I35" s="43">
        <v>1139</v>
      </c>
      <c r="J35" s="30" t="s">
        <v>186</v>
      </c>
      <c r="K35" s="43">
        <v>575</v>
      </c>
      <c r="L35" s="143" t="s">
        <v>51</v>
      </c>
      <c r="M35" s="144">
        <f t="shared" si="0"/>
        <v>297.79199999999997</v>
      </c>
      <c r="N35" s="145" t="str">
        <f>VLOOKUP(C35,'Trips&amp;Operators'!$C$1:$G$99999,5,FALSE)</f>
        <v>YORK EDGAR</v>
      </c>
      <c r="O35" s="194" t="s">
        <v>184</v>
      </c>
      <c r="P35" s="146"/>
      <c r="Q35" s="30"/>
      <c r="R35" s="89" t="str">
        <f>IF(VLOOKUP(C35,'Train Runs'!$A$13:$AE$9942,1,1)=C35,VLOOKUP(C35,'Train Runs'!$A$13:$AE$9942,31,1),NA())</f>
        <v>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 &amp; aws s3 cp s3://rtdc.mdm.uploadarchive.raw/RTDC4052/ "%USERPROFILE%\AppData\Local\Temp\OnboardLogs"\RTDC4052\2017-03-20 --exclude "*" --recursive --include "*20170320*" &amp; "%USERPROFILE%\Documents\GitHub\mrs-test-scripts\Headless Mode &amp; Sideloading\WalkAndUnGZ.bat" "%USERPROFILE%\AppData\Local\Temp\OnboardLogs"\RTDC4052\2017-03-20</v>
      </c>
      <c r="S35" s="92" t="str">
        <f>VLOOKUP(C35,'Train Runs'!$A$13:$AE$9942,22,0)</f>
        <v>https://d0f6bd738d7f1b3e5a7ca70fe4ff75f0.us-east-1.aws.found.io/app/kibana#/discover/Steve-Slow-Train-Analysis-(2080s-and-2083s)?_g=(refreshInterval:(display:Off,pause:!f,section:0,value:0),time:(from:'2017-03-19T11:34:59-0600',mode:absolute,to:'2017-03-19T13:53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5" s="94" t="str">
        <f t="shared" si="1"/>
        <v>"C:\Program Files (x86)\AstroGrep\AstroGrep.exe" /e /r /s /spath="%USERPROFILE%\AppData\Local\Temp\OnboardLogs" /stypes="*4052*201703191*" /stext=" 18:.+((SYSTEM_STATE.+slice.+state.+changed )|(ment ac)|(multiple cpu faults)|(system.+state.+changed )|(\[timeout)|(PRM\|1\|D)|(kpr)|(kdp)|(\|lc)|(penalty))"</v>
      </c>
      <c r="U35" s="9" t="str">
        <f t="shared" si="2"/>
        <v>4052</v>
      </c>
      <c r="V35" s="32">
        <f t="shared" si="3"/>
        <v>42813.787407407406</v>
      </c>
      <c r="W35" s="46" t="str">
        <f t="shared" si="4"/>
        <v>NW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{"issue":{"subject":"","project_id":79,"tracker_id":40,"status_id":1,"priority_id":2,"assigned_to_id":23,"start_date":"2017-03-19","description":"","custom_fields":[{"id":1,"name":"Subdivision","value":"NW"},{"id":4,"name":"Milepost","value":"0.0575"},{"id":17,"name":"Train ID","value":"1814-19"},{"id":16,"name":"Locomotive ID","value":"4052"},{"id":130,"name":"Impact","value":""},{"id":150,"name":"Time of Event (Mountain Time)","value":"12:53:52"},{"id":151,"name":"Denver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"%USERPROFILE%\AppData\Local\Temp\OnboardLogs"\RTDC4052\*4052*201703191*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"%USERPROFILE%\AppData\Local\Temp\OnboardLogs"\RTDC4052\*4052*201703191* &gt;&gt; 2017-03-19-SliceDisagreementCheck.txt</v>
      </c>
      <c r="AE35" s="157" t="str">
        <f t="shared" si="9"/>
        <v>start /low /b %USERPROFILE%\Documents\GitHub\eaglep3\Utilities\DownloadLogsFromS3.py --loco 4052 --day 2017-03-19</v>
      </c>
      <c r="AF35" s="1"/>
    </row>
    <row r="36" spans="1:32" x14ac:dyDescent="0.25">
      <c r="A36" s="32">
        <v>42813.94021990741</v>
      </c>
      <c r="B36" s="30" t="s">
        <v>367</v>
      </c>
      <c r="C36" s="30" t="s">
        <v>603</v>
      </c>
      <c r="D36" s="30" t="s">
        <v>49</v>
      </c>
      <c r="E36" s="30" t="s">
        <v>185</v>
      </c>
      <c r="F36" s="43">
        <v>0</v>
      </c>
      <c r="G36" s="43">
        <v>43</v>
      </c>
      <c r="H36" s="43">
        <v>58912</v>
      </c>
      <c r="I36" s="43">
        <v>58948</v>
      </c>
      <c r="J36" s="30" t="s">
        <v>186</v>
      </c>
      <c r="K36" s="43">
        <v>59048</v>
      </c>
      <c r="L36" s="143" t="s">
        <v>50</v>
      </c>
      <c r="M36" s="144">
        <f t="shared" si="0"/>
        <v>52.8</v>
      </c>
      <c r="N36" s="145" t="str">
        <f>VLOOKUP(C36,'Trips&amp;Operators'!$C$1:$G$99999,5,FALSE)</f>
        <v>HELVIE ADAM</v>
      </c>
      <c r="O36" s="194" t="s">
        <v>184</v>
      </c>
      <c r="P36" s="146"/>
      <c r="Q36" s="30"/>
      <c r="R36" s="89" t="str">
        <f>IF(VLOOKUP(C36,'Train Runs'!$A$13:$AE$9942,1,1)=C36,VLOOKUP(C36,'Train Runs'!$A$13:$AE$9942,31,1),NA())</f>
        <v>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 &amp; aws s3 cp s3://rtdc.mdm.uploadarchive.raw/RTDC4051/ "%USERPROFILE%\AppData\Local\Temp\OnboardLogs"\RTDC4051\2017-03-20 --exclude "*" --recursive --include "*20170320*" &amp; "%USERPROFILE%\Documents\GitHub\mrs-test-scripts\Headless Mode &amp; Sideloading\WalkAndUnGZ.bat" "%USERPROFILE%\AppData\Local\Temp\OnboardLogs"\RTDC4051\2017-03-20</v>
      </c>
      <c r="S36" s="92" t="str">
        <f>VLOOKUP(C36,'Train Runs'!$A$13:$AE$9942,22,0)</f>
        <v>https://d0f6bd738d7f1b3e5a7ca70fe4ff75f0.us-east-1.aws.found.io/app/kibana#/discover/Steve-Slow-Train-Analysis-(2080s-and-2083s)?_g=(refreshInterval:(display:Off,pause:!f,section:0,value:0),time:(from:'2017-03-19T21:13:59-0600',mode:absolute,to:'2017-03-19T23:33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6" s="94" t="str">
        <f t="shared" si="1"/>
        <v>"C:\Program Files (x86)\AstroGrep\AstroGrep.exe" /e /r /s /spath="%USERPROFILE%\AppData\Local\Temp\OnboardLogs" /stypes="*4051*201703200*" /stext=" 04:.+((SYSTEM_STATE.+slice.+state.+changed )|(ment ac)|(multiple cpu faults)|(system.+state.+changed )|(\[timeout)|(PRM\|1\|D)|(kpr)|(kdp)|(\|lc)|(penalty))"</v>
      </c>
      <c r="U36" s="9" t="str">
        <f t="shared" si="2"/>
        <v>4051</v>
      </c>
      <c r="V36" s="32">
        <f t="shared" si="3"/>
        <v>42814.19021990741</v>
      </c>
      <c r="W36" s="46" t="str">
        <f t="shared" si="4"/>
        <v>NW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{"issue":{"subject":"","project_id":79,"tracker_id":40,"status_id":1,"priority_id":2,"assigned_to_id":23,"start_date":"2017-03-19","description":"","custom_fields":[{"id":1,"name":"Subdivision","value":"NW"},{"id":4,"name":"Milepost","value":"5.9048"},{"id":17,"name":"Train ID","value":"1833-19"},{"id":16,"name":"Locomotive ID","value":"4051"},{"id":130,"name":"Impact","value":""},{"id":150,"name":"Time of Event (Mountain Time)","value":"22:33:55"},{"id":151,"name":"Denver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"%USERPROFILE%\AppData\Local\Temp\OnboardLogs"\RTDC4051\*4051*201703200*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"%USERPROFILE%\AppData\Local\Temp\OnboardLogs"\RTDC4051\*4051*201703200* &gt;&gt; 2017-03-19-SliceDisagreementCheck.txt</v>
      </c>
      <c r="AE36" s="157" t="str">
        <f t="shared" si="9"/>
        <v>start /low /b %USERPROFILE%\Documents\GitHub\eaglep3\Utilities\DownloadLogsFromS3.py --loco 4051 --day 2017-03-20</v>
      </c>
      <c r="AF36" s="1"/>
    </row>
    <row r="37" spans="1:32" x14ac:dyDescent="0.25">
      <c r="A37" s="32">
        <v>42813.838206018518</v>
      </c>
      <c r="B37" s="30" t="s">
        <v>601</v>
      </c>
      <c r="C37" s="30" t="s">
        <v>602</v>
      </c>
      <c r="D37" s="30" t="s">
        <v>97</v>
      </c>
      <c r="E37" s="30" t="s">
        <v>484</v>
      </c>
      <c r="F37" s="43">
        <v>0</v>
      </c>
      <c r="G37" s="43">
        <v>91</v>
      </c>
      <c r="H37" s="43">
        <v>23572</v>
      </c>
      <c r="I37" s="43">
        <v>23474</v>
      </c>
      <c r="J37" s="30" t="s">
        <v>485</v>
      </c>
      <c r="K37" s="43">
        <v>24235</v>
      </c>
      <c r="L37" s="143" t="s">
        <v>51</v>
      </c>
      <c r="M37" s="144">
        <f t="shared" si="0"/>
        <v>-401.80799999999999</v>
      </c>
      <c r="N37" s="145" t="str">
        <f>VLOOKUP(C37,'Trips&amp;Operators'!$C$1:$G$99999,5,FALSE)</f>
        <v>YANG JAN</v>
      </c>
      <c r="O37" s="194" t="s">
        <v>184</v>
      </c>
      <c r="P37" s="146"/>
      <c r="Q37" s="30"/>
      <c r="R37" s="89" t="str">
        <f>IF(VLOOKUP(C37,'Train Runs'!$A$13:$AE$9942,1,1)=C37,VLOOKUP(C37,'Train Runs'!$A$13:$AE$9942,31,1),NA())</f>
        <v>aws s3 cp s3://rtdc.mdm.uploadarchive.raw/RTDC4064/ "%USERPROFILE%\AppData\Local\Temp\OnboardLogs"\RTDC4064\2017-03-19 --exclude "*" --recursive --include "*20170319*" &amp; "%USERPROFILE%\Documents\GitHub\mrs-test-scripts\Headless Mode &amp; Sideloading\WalkAndUnGZ.bat" "%USERPROFILE%\AppData\Local\Temp\OnboardLogs"\RTDC4064\2017-03-19 &amp; aws s3 cp s3://rtdc.mdm.uploadarchive.raw/RTDC4064/ "%USERPROFILE%\AppData\Local\Temp\OnboardLogs"\RTDC4064\2017-03-20 --exclude "*" --recursive --include "*20170320*" &amp; "%USERPROFILE%\Documents\GitHub\mrs-test-scripts\Headless Mode &amp; Sideloading\WalkAndUnGZ.bat" "%USERPROFILE%\AppData\Local\Temp\OnboardLogs"\RTDC4064\2017-03-20</v>
      </c>
      <c r="S37" s="92" t="str">
        <f>VLOOKUP(C37,'Train Runs'!$A$13:$AE$9942,22,0)</f>
        <v>https://d0f6bd738d7f1b3e5a7ca70fe4ff75f0.us-east-1.aws.found.io/app/kibana#/discover/Steve-Slow-Train-Analysis-(2080s-and-2083s)?_g=(refreshInterval:(display:Off,pause:!f,section:0,value:0),time:(from:'2017-03-19T21:47:43-0600',mode:absolute,to:'2017-03-20T00:41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7" s="94" t="str">
        <f t="shared" si="1"/>
        <v>"C:\Program Files (x86)\AstroGrep\AstroGrep.exe" /e /r /s /spath="%USERPROFILE%\AppData\Local\Temp\OnboardLogs" /stypes="*4064*201703200*" /stext=" 02:.+((SYSTEM_STATE.+slice.+state.+changed )|(ment ac)|(multiple cpu faults)|(system.+state.+changed )|(\[timeout)|(PRM\|1\|D)|(kpr)|(kdp)|(\|lc)|(penalty))"</v>
      </c>
      <c r="U37" s="9" t="str">
        <f t="shared" si="2"/>
        <v>4064</v>
      </c>
      <c r="V37" s="32">
        <f t="shared" si="3"/>
        <v>42814.088206018518</v>
      </c>
      <c r="W37" s="46" t="str">
        <f t="shared" si="4"/>
        <v>Other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{"issue":{"subject":"","project_id":79,"tracker_id":40,"status_id":1,"priority_id":2,"assigned_to_id":23,"start_date":"2017-03-19","description":"","custom_fields":[{"id":1,"name":"Subdivision","value":"Other"},{"id":4,"name":"Milepost","value":"2.4235"},{"id":17,"name":"Train ID","value":"80-19"},{"id":16,"name":"Locomotive ID","value":"4064"},{"id":130,"name":"Impact","value":""},{"id":150,"name":"Time of Event (Mountain Time)","value":"20:07:01"},{"id":151,"name":"Denver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"%USERPROFILE%\AppData\Local\Temp\OnboardLogs"\RTDC4064\*4064*201703200*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"%USERPROFILE%\AppData\Local\Temp\OnboardLogs"\RTDC4064\*4064*201703200* &gt;&gt; 2017-03-19-SliceDisagreementCheck.txt</v>
      </c>
      <c r="AE37" s="157" t="str">
        <f t="shared" si="9"/>
        <v>start /low /b %USERPROFILE%\Documents\GitHub\eaglep3\Utilities\DownloadLogsFromS3.py --loco 4064 --day 2017-03-20</v>
      </c>
      <c r="AF37" s="1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</sheetData>
  <autoFilter ref="A6:AC62">
    <sortState ref="A7:AC62">
      <sortCondition ref="W7:W37"/>
      <sortCondition ref="E7:E37"/>
      <sortCondition ref="K7:K37"/>
      <sortCondition ref="F7:F37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3:O1048576 O7:O37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7">
    <cfRule type="expression" dxfId="1" priority="20">
      <formula>$O7="Y"</formula>
    </cfRule>
  </conditionalFormatting>
  <hyperlinks>
    <hyperlink ref="Z15" r:id="rId1"/>
    <hyperlink ref="Z19" r:id="rId2"/>
    <hyperlink ref="Z21" r:id="rId3"/>
  </hyperlinks>
  <pageMargins left="0.7" right="0.7" top="0.75" bottom="0.75" header="0.3" footer="0.3"/>
  <pageSetup scale="25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7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AA7:AA37</xm:sqref>
        </x14:dataValidation>
        <x14:dataValidation type="list" allowBlank="1" showInputMessage="1" showErrorMessage="1">
          <x14:formula1>
            <xm:f>'Redmine List Values'!$C$2:$C$15</xm:f>
          </x14:formula1>
          <xm:sqref>AB7:AB37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2"/>
  <sheetViews>
    <sheetView workbookViewId="0">
      <selection activeCell="A3" sqref="A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22" t="str">
        <f>"Trips that did not appear in PTC Data "&amp;TEXT(Variables!$A$2,"YYYY-mm-dd")</f>
        <v>Trips that did not appear in PTC Data 2017-03-19</v>
      </c>
      <c r="C1" s="222"/>
      <c r="D1" s="222"/>
      <c r="E1" s="222"/>
      <c r="F1" s="222"/>
    </row>
    <row r="2" spans="1:10" s="23" customFormat="1" ht="45" x14ac:dyDescent="0.25">
      <c r="A2" s="189" t="s">
        <v>151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103</v>
      </c>
    </row>
    <row r="3" spans="1:10" x14ac:dyDescent="0.25">
      <c r="A3" s="185">
        <v>245</v>
      </c>
      <c r="B3" s="43" t="str">
        <f>A3&amp;"-"&amp;IF(DAY(Variables!$A$2)&lt;10,0,"")&amp;DAY(Variables!$A$2)</f>
        <v>245-19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7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22245-19%22)),sort:!(Time.ISO8601,asc))</v>
      </c>
      <c r="J3" s="30" t="e">
        <f>VLOOKUP(B3,'Train Runs'!$A$13:$A$99939,1,FALSE)</f>
        <v>#N/A</v>
      </c>
    </row>
    <row r="4" spans="1:10" x14ac:dyDescent="0.25">
      <c r="A4" s="185">
        <v>246</v>
      </c>
      <c r="B4" s="43" t="str">
        <f>A4&amp;"-"&amp;IF(DAY(Variables!$A$2)&lt;10,0,"")&amp;DAY(Variables!$A$2)</f>
        <v>246-19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22246-19%22)),sort:!(Time.ISO8601,asc))</v>
      </c>
      <c r="J4" s="30" t="e">
        <f>VLOOKUP(B4,'Train Runs'!$A$13:$A$99939,1,FALSE)</f>
        <v>#N/A</v>
      </c>
    </row>
    <row r="5" spans="1:10" x14ac:dyDescent="0.25">
      <c r="A5" s="185"/>
      <c r="B5" s="43" t="str">
        <f>A5&amp;"-"&amp;IF(DAY(Variables!$A$2)&lt;10,0,"")&amp;DAY(Variables!$A$2)</f>
        <v>-19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" s="30" t="e">
        <f>VLOOKUP(B5,'Train Runs'!$A$13:$A$99939,1,FALSE)</f>
        <v>#N/A</v>
      </c>
    </row>
    <row r="6" spans="1:10" x14ac:dyDescent="0.25">
      <c r="A6" s="185"/>
      <c r="B6" s="43" t="str">
        <f>A6&amp;"-"&amp;IF(DAY(Variables!$A$2)&lt;10,0,"")&amp;DAY(Variables!$A$2)</f>
        <v>-19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" s="30" t="e">
        <f>VLOOKUP(B6,'Train Runs'!$A$13:$A$99939,1,FALSE)</f>
        <v>#N/A</v>
      </c>
    </row>
    <row r="7" spans="1:10" x14ac:dyDescent="0.25">
      <c r="A7" s="185"/>
      <c r="B7" s="43" t="str">
        <f>A7&amp;"-"&amp;IF(DAY(Variables!$A$2)&lt;10,0,"")&amp;DAY(Variables!$A$2)</f>
        <v>-19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" s="30" t="e">
        <f>VLOOKUP(B7,'Train Runs'!$A$13:$A$99939,1,FALSE)</f>
        <v>#N/A</v>
      </c>
    </row>
    <row r="8" spans="1:10" x14ac:dyDescent="0.25">
      <c r="A8" s="185"/>
      <c r="B8" s="43" t="str">
        <f>A8&amp;"-"&amp;IF(DAY(Variables!$A$2)&lt;10,0,"")&amp;DAY(Variables!$A$2)</f>
        <v>-19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ref="I8:I38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" s="30" t="e">
        <f>VLOOKUP(B8,'Train Runs'!$A$13:$A$99939,1,FALSE)</f>
        <v>#N/A</v>
      </c>
    </row>
    <row r="9" spans="1:10" x14ac:dyDescent="0.25">
      <c r="A9" s="185"/>
      <c r="B9" s="43" t="str">
        <f>A9&amp;"-"&amp;IF(DAY(Variables!$A$2)&lt;10,0,"")&amp;DAY(Variables!$A$2)</f>
        <v>-19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9" s="30" t="e">
        <f>VLOOKUP(B9,'Train Runs'!$A$13:$A$99939,1,FALSE)</f>
        <v>#N/A</v>
      </c>
    </row>
    <row r="10" spans="1:10" x14ac:dyDescent="0.25">
      <c r="A10" s="185"/>
      <c r="B10" s="43" t="str">
        <f>A10&amp;"-"&amp;IF(DAY(Variables!$A$2)&lt;10,0,"")&amp;DAY(Variables!$A$2)</f>
        <v>-19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0" s="30" t="e">
        <f>VLOOKUP(B10,'Train Runs'!$A$13:$A$99939,1,FALSE)</f>
        <v>#N/A</v>
      </c>
    </row>
    <row r="11" spans="1:10" x14ac:dyDescent="0.25">
      <c r="A11" s="185"/>
      <c r="B11" s="43" t="str">
        <f>A11&amp;"-"&amp;IF(DAY(Variables!$A$2)&lt;10,0,"")&amp;DAY(Variables!$A$2)</f>
        <v>-19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1" s="30" t="e">
        <f>VLOOKUP(B11,'Train Runs'!$A$13:$A$99939,1,FALSE)</f>
        <v>#N/A</v>
      </c>
    </row>
    <row r="12" spans="1:10" x14ac:dyDescent="0.25">
      <c r="A12" s="185"/>
      <c r="B12" s="43" t="str">
        <f>A12&amp;"-"&amp;IF(DAY(Variables!$A$2)&lt;10,0,"")&amp;DAY(Variables!$A$2)</f>
        <v>-19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2" s="30" t="e">
        <f>VLOOKUP(B12,'Train Runs'!$A$13:$A$99939,1,FALSE)</f>
        <v>#N/A</v>
      </c>
    </row>
    <row r="13" spans="1:10" x14ac:dyDescent="0.25">
      <c r="A13" s="185"/>
      <c r="B13" s="43" t="str">
        <f>A13&amp;"-"&amp;IF(DAY(Variables!$A$2)&lt;10,0,"")&amp;DAY(Variables!$A$2)</f>
        <v>-19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3" s="30" t="e">
        <f>VLOOKUP(B13,'Train Runs'!$A$13:$A$99939,1,FALSE)</f>
        <v>#N/A</v>
      </c>
    </row>
    <row r="14" spans="1:10" x14ac:dyDescent="0.25">
      <c r="A14" s="185"/>
      <c r="B14" s="43" t="str">
        <f>A14&amp;"-"&amp;IF(DAY(Variables!$A$2)&lt;10,0,"")&amp;DAY(Variables!$A$2)</f>
        <v>-19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4" s="30" t="e">
        <f>VLOOKUP(B14,'Train Runs'!$A$13:$A$99939,1,FALSE)</f>
        <v>#N/A</v>
      </c>
    </row>
    <row r="15" spans="1:10" x14ac:dyDescent="0.25">
      <c r="A15" s="185"/>
      <c r="B15" s="43" t="str">
        <f>A15&amp;"-"&amp;IF(DAY(Variables!$A$2)&lt;10,0,"")&amp;DAY(Variables!$A$2)</f>
        <v>-19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5" s="30" t="e">
        <f>VLOOKUP(B15,'Train Runs'!$A$13:$A$99939,1,FALSE)</f>
        <v>#N/A</v>
      </c>
    </row>
    <row r="16" spans="1:10" x14ac:dyDescent="0.25">
      <c r="A16" s="185"/>
      <c r="B16" s="43" t="str">
        <f>A16&amp;"-"&amp;IF(DAY(Variables!$A$2)&lt;10,0,"")&amp;DAY(Variables!$A$2)</f>
        <v>-19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6" s="30" t="e">
        <f>VLOOKUP(B16,'Train Runs'!$A$13:$A$99939,1,FALSE)</f>
        <v>#N/A</v>
      </c>
    </row>
    <row r="17" spans="1:10" x14ac:dyDescent="0.25">
      <c r="A17" s="185"/>
      <c r="B17" s="43" t="str">
        <f>A17&amp;"-"&amp;IF(DAY(Variables!$A$2)&lt;10,0,"")&amp;DAY(Variables!$A$2)</f>
        <v>-19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7" s="30" t="e">
        <f>VLOOKUP(B17,'Train Runs'!$A$13:$A$99939,1,FALSE)</f>
        <v>#N/A</v>
      </c>
    </row>
    <row r="18" spans="1:10" x14ac:dyDescent="0.25">
      <c r="A18" s="185"/>
      <c r="B18" s="43" t="str">
        <f>A18&amp;"-"&amp;IF(DAY(Variables!$A$2)&lt;10,0,"")&amp;DAY(Variables!$A$2)</f>
        <v>-19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8" s="30" t="e">
        <f>VLOOKUP(B18,'Train Runs'!$A$13:$A$99939,1,FALSE)</f>
        <v>#N/A</v>
      </c>
    </row>
    <row r="19" spans="1:10" x14ac:dyDescent="0.25">
      <c r="A19" s="185"/>
      <c r="B19" s="43" t="str">
        <f>A19&amp;"-"&amp;IF(DAY(Variables!$A$2)&lt;10,0,"")&amp;DAY(Variables!$A$2)</f>
        <v>-19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9" s="30" t="e">
        <f>VLOOKUP(B19,'Train Runs'!$A$13:$A$99939,1,FALSE)</f>
        <v>#N/A</v>
      </c>
    </row>
    <row r="20" spans="1:10" x14ac:dyDescent="0.25">
      <c r="A20" s="185"/>
      <c r="B20" s="43" t="str">
        <f>A20&amp;"-"&amp;IF(DAY(Variables!$A$2)&lt;10,0,"")&amp;DAY(Variables!$A$2)</f>
        <v>-19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0" s="30" t="e">
        <f>VLOOKUP(B20,'Train Runs'!$A$13:$A$99939,1,FALSE)</f>
        <v>#N/A</v>
      </c>
    </row>
    <row r="21" spans="1:10" x14ac:dyDescent="0.25">
      <c r="A21" s="185"/>
      <c r="B21" s="43" t="str">
        <f>A21&amp;"-"&amp;IF(DAY(Variables!$A$2)&lt;10,0,"")&amp;DAY(Variables!$A$2)</f>
        <v>-19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1" s="30" t="e">
        <f>VLOOKUP(B21,'Train Runs'!$A$13:$A$99939,1,FALSE)</f>
        <v>#N/A</v>
      </c>
    </row>
    <row r="22" spans="1:10" x14ac:dyDescent="0.25">
      <c r="A22" s="185"/>
      <c r="B22" s="43" t="str">
        <f>A22&amp;"-"&amp;IF(DAY(Variables!$A$2)&lt;10,0,"")&amp;DAY(Variables!$A$2)</f>
        <v>-19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2" s="30" t="e">
        <f>VLOOKUP(B22,'Train Runs'!$A$13:$A$99939,1,FALSE)</f>
        <v>#N/A</v>
      </c>
    </row>
    <row r="23" spans="1:10" x14ac:dyDescent="0.25">
      <c r="A23" s="185"/>
      <c r="B23" s="43" t="str">
        <f>A23&amp;"-"&amp;IF(DAY(Variables!$A$2)&lt;10,0,"")&amp;DAY(Variables!$A$2)</f>
        <v>-19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3" s="30" t="e">
        <f>VLOOKUP(B23,'Train Runs'!$A$13:$A$99939,1,FALSE)</f>
        <v>#N/A</v>
      </c>
    </row>
    <row r="24" spans="1:10" x14ac:dyDescent="0.25">
      <c r="A24" s="185"/>
      <c r="B24" s="43" t="str">
        <f>A24&amp;"-"&amp;IF(DAY(Variables!$A$2)&lt;10,0,"")&amp;DAY(Variables!$A$2)</f>
        <v>-19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4" s="30" t="e">
        <f>VLOOKUP(B24,'Train Runs'!$A$13:$A$99939,1,FALSE)</f>
        <v>#N/A</v>
      </c>
    </row>
    <row r="25" spans="1:10" x14ac:dyDescent="0.25">
      <c r="A25" s="185"/>
      <c r="B25" s="43" t="str">
        <f>A25&amp;"-"&amp;IF(DAY(Variables!$A$2)&lt;10,0,"")&amp;DAY(Variables!$A$2)</f>
        <v>-19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5" s="30" t="e">
        <f>VLOOKUP(B25,'Train Runs'!$A$13:$A$99939,1,FALSE)</f>
        <v>#N/A</v>
      </c>
    </row>
    <row r="26" spans="1:10" x14ac:dyDescent="0.25">
      <c r="A26" s="185"/>
      <c r="B26" s="43" t="str">
        <f>A26&amp;"-"&amp;IF(DAY(Variables!$A$2)&lt;10,0,"")&amp;DAY(Variables!$A$2)</f>
        <v>-19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6" s="30" t="e">
        <f>VLOOKUP(B26,'Train Runs'!$A$13:$A$99939,1,FALSE)</f>
        <v>#N/A</v>
      </c>
    </row>
    <row r="27" spans="1:10" x14ac:dyDescent="0.25">
      <c r="A27" s="185"/>
      <c r="B27" s="43" t="str">
        <f>A27&amp;"-"&amp;IF(DAY(Variables!$A$2)&lt;10,0,"")&amp;DAY(Variables!$A$2)</f>
        <v>-19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7" s="30" t="e">
        <f>VLOOKUP(B27,'Train Runs'!$A$13:$A$99939,1,FALSE)</f>
        <v>#N/A</v>
      </c>
    </row>
    <row r="28" spans="1:10" x14ac:dyDescent="0.25">
      <c r="A28" s="185"/>
      <c r="B28" s="43" t="str">
        <f>A28&amp;"-"&amp;IF(DAY(Variables!$A$2)&lt;10,0,"")&amp;DAY(Variables!$A$2)</f>
        <v>-19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8" s="30" t="e">
        <f>VLOOKUP(B28,'Train Runs'!$A$13:$A$99939,1,FALSE)</f>
        <v>#N/A</v>
      </c>
    </row>
    <row r="29" spans="1:10" x14ac:dyDescent="0.25">
      <c r="A29" s="185"/>
      <c r="B29" s="43" t="str">
        <f>A29&amp;"-"&amp;IF(DAY(Variables!$A$2)&lt;10,0,"")&amp;DAY(Variables!$A$2)</f>
        <v>-19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9" s="30" t="e">
        <f>VLOOKUP(B29,'Train Runs'!$A$13:$A$99939,1,FALSE)</f>
        <v>#N/A</v>
      </c>
    </row>
    <row r="30" spans="1:10" x14ac:dyDescent="0.25">
      <c r="A30" s="185"/>
      <c r="B30" s="43" t="str">
        <f>A30&amp;"-"&amp;IF(DAY(Variables!$A$2)&lt;10,0,"")&amp;DAY(Variables!$A$2)</f>
        <v>-19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0" s="30" t="e">
        <f>VLOOKUP(B30,'Train Runs'!$A$13:$A$99939,1,FALSE)</f>
        <v>#N/A</v>
      </c>
    </row>
    <row r="31" spans="1:10" x14ac:dyDescent="0.25">
      <c r="A31" s="185"/>
      <c r="B31" s="43" t="str">
        <f>A31&amp;"-"&amp;IF(DAY(Variables!$A$2)&lt;10,0,"")&amp;DAY(Variables!$A$2)</f>
        <v>-19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1" s="30" t="e">
        <f>VLOOKUP(B31,'Train Runs'!$A$13:$A$99939,1,FALSE)</f>
        <v>#N/A</v>
      </c>
    </row>
    <row r="32" spans="1:10" x14ac:dyDescent="0.25">
      <c r="A32" s="185"/>
      <c r="B32" s="43" t="str">
        <f>A32&amp;"-"&amp;IF(DAY(Variables!$A$2)&lt;10,0,"")&amp;DAY(Variables!$A$2)</f>
        <v>-19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2" s="30" t="e">
        <f>VLOOKUP(B32,'Train Runs'!$A$13:$A$99939,1,FALSE)</f>
        <v>#N/A</v>
      </c>
    </row>
    <row r="33" spans="1:10" x14ac:dyDescent="0.25">
      <c r="A33" s="185"/>
      <c r="B33" s="43" t="str">
        <f>A33&amp;"-"&amp;IF(DAY(Variables!$A$2)&lt;10,0,"")&amp;DAY(Variables!$A$2)</f>
        <v>-19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3" s="30" t="e">
        <f>VLOOKUP(B33,'Train Runs'!$A$13:$A$99939,1,FALSE)</f>
        <v>#N/A</v>
      </c>
    </row>
    <row r="34" spans="1:10" x14ac:dyDescent="0.25">
      <c r="A34" s="185"/>
      <c r="B34" s="43" t="str">
        <f>A34&amp;"-"&amp;IF(DAY(Variables!$A$2)&lt;10,0,"")&amp;DAY(Variables!$A$2)</f>
        <v>-19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4" s="30" t="e">
        <f>VLOOKUP(B34,'Train Runs'!$A$13:$A$99939,1,FALSE)</f>
        <v>#N/A</v>
      </c>
    </row>
    <row r="35" spans="1:10" x14ac:dyDescent="0.25">
      <c r="A35" s="185"/>
      <c r="B35" s="43" t="str">
        <f>A35&amp;"-"&amp;IF(DAY(Variables!$A$2)&lt;10,0,"")&amp;DAY(Variables!$A$2)</f>
        <v>-19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5" s="30" t="e">
        <f>VLOOKUP(B35,'Train Runs'!$A$13:$A$99939,1,FALSE)</f>
        <v>#N/A</v>
      </c>
    </row>
    <row r="36" spans="1:10" x14ac:dyDescent="0.25">
      <c r="A36" s="185"/>
      <c r="B36" s="43" t="str">
        <f>A36&amp;"-"&amp;IF(DAY(Variables!$A$2)&lt;10,0,"")&amp;DAY(Variables!$A$2)</f>
        <v>-19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6" s="30" t="e">
        <f>VLOOKUP(B36,'Train Runs'!$A$13:$A$99939,1,FALSE)</f>
        <v>#N/A</v>
      </c>
    </row>
    <row r="37" spans="1:10" x14ac:dyDescent="0.25">
      <c r="A37" s="185"/>
      <c r="B37" s="43" t="str">
        <f>A37&amp;"-"&amp;IF(DAY(Variables!$A$2)&lt;10,0,"")&amp;DAY(Variables!$A$2)</f>
        <v>-19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7" s="30" t="e">
        <f>VLOOKUP(B37,'Train Runs'!$A$13:$A$99939,1,FALSE)</f>
        <v>#N/A</v>
      </c>
    </row>
    <row r="38" spans="1:10" x14ac:dyDescent="0.25">
      <c r="A38" s="185"/>
      <c r="B38" s="43" t="str">
        <f>A38&amp;"-"&amp;IF(DAY(Variables!$A$2)&lt;10,0,"")&amp;DAY(Variables!$A$2)</f>
        <v>-19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8" s="30" t="e">
        <f>VLOOKUP(B38,'Train Runs'!$A$13:$A$99939,1,FALSE)</f>
        <v>#N/A</v>
      </c>
    </row>
    <row r="39" spans="1:10" x14ac:dyDescent="0.25">
      <c r="A39" s="185"/>
      <c r="B39" s="43" t="str">
        <f>A39&amp;"-"&amp;IF(DAY(Variables!$A$2)&lt;10,0,"")&amp;DAY(Variables!$A$2)</f>
        <v>-19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ref="I39:I70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39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9" s="30" t="e">
        <f>VLOOKUP(B39,'Train Runs'!$A$13:$A$99939,1,FALSE)</f>
        <v>#N/A</v>
      </c>
    </row>
    <row r="40" spans="1:10" x14ac:dyDescent="0.25">
      <c r="A40" s="185"/>
      <c r="B40" s="43" t="str">
        <f>A40&amp;"-"&amp;IF(DAY(Variables!$A$2)&lt;10,0,"")&amp;DAY(Variables!$A$2)</f>
        <v>-19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0" s="30" t="e">
        <f>VLOOKUP(B40,'Train Runs'!$A$13:$A$99939,1,FALSE)</f>
        <v>#N/A</v>
      </c>
    </row>
    <row r="41" spans="1:10" x14ac:dyDescent="0.25">
      <c r="A41" s="185"/>
      <c r="B41" s="43" t="str">
        <f>A41&amp;"-"&amp;IF(DAY(Variables!$A$2)&lt;10,0,"")&amp;DAY(Variables!$A$2)</f>
        <v>-19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1" s="30" t="e">
        <f>VLOOKUP(B41,'Train Runs'!$A$13:$A$99939,1,FALSE)</f>
        <v>#N/A</v>
      </c>
    </row>
    <row r="42" spans="1:10" x14ac:dyDescent="0.25">
      <c r="A42" s="185"/>
      <c r="B42" s="43" t="str">
        <f>A42&amp;"-"&amp;IF(DAY(Variables!$A$2)&lt;10,0,"")&amp;DAY(Variables!$A$2)</f>
        <v>-19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2" s="30" t="e">
        <f>VLOOKUP(B42,'Train Runs'!$A$13:$A$99939,1,FALSE)</f>
        <v>#N/A</v>
      </c>
    </row>
    <row r="43" spans="1:10" x14ac:dyDescent="0.25">
      <c r="A43" s="185"/>
      <c r="B43" s="43" t="str">
        <f>A43&amp;"-"&amp;IF(DAY(Variables!$A$2)&lt;10,0,"")&amp;DAY(Variables!$A$2)</f>
        <v>-19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3" s="30" t="e">
        <f>VLOOKUP(B43,'Train Runs'!$A$13:$A$99939,1,FALSE)</f>
        <v>#N/A</v>
      </c>
    </row>
    <row r="44" spans="1:10" x14ac:dyDescent="0.25">
      <c r="A44" s="185"/>
      <c r="B44" s="43" t="str">
        <f>A44&amp;"-"&amp;IF(DAY(Variables!$A$2)&lt;10,0,"")&amp;DAY(Variables!$A$2)</f>
        <v>-19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4" s="30" t="e">
        <f>VLOOKUP(B44,'Train Runs'!$A$13:$A$99939,1,FALSE)</f>
        <v>#N/A</v>
      </c>
    </row>
    <row r="45" spans="1:10" x14ac:dyDescent="0.25">
      <c r="A45" s="185"/>
      <c r="B45" s="43" t="str">
        <f>A45&amp;"-"&amp;IF(DAY(Variables!$A$2)&lt;10,0,"")&amp;DAY(Variables!$A$2)</f>
        <v>-19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5" s="30" t="e">
        <f>VLOOKUP(B45,'Train Runs'!$A$13:$A$99939,1,FALSE)</f>
        <v>#N/A</v>
      </c>
    </row>
    <row r="46" spans="1:10" x14ac:dyDescent="0.25">
      <c r="A46" s="185"/>
      <c r="B46" s="43" t="str">
        <f>A46&amp;"-"&amp;IF(DAY(Variables!$A$2)&lt;10,0,"")&amp;DAY(Variables!$A$2)</f>
        <v>-19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6" s="30" t="e">
        <f>VLOOKUP(B46,'Train Runs'!$A$13:$A$99939,1,FALSE)</f>
        <v>#N/A</v>
      </c>
    </row>
    <row r="47" spans="1:10" x14ac:dyDescent="0.25">
      <c r="A47" s="185"/>
      <c r="B47" s="43" t="str">
        <f>A47&amp;"-"&amp;IF(DAY(Variables!$A$2)&lt;10,0,"")&amp;DAY(Variables!$A$2)</f>
        <v>-19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7" s="30" t="e">
        <f>VLOOKUP(B47,'Train Runs'!$A$13:$A$99939,1,FALSE)</f>
        <v>#N/A</v>
      </c>
    </row>
    <row r="48" spans="1:10" x14ac:dyDescent="0.25">
      <c r="A48" s="185"/>
      <c r="B48" s="43" t="str">
        <f>A48&amp;"-"&amp;IF(DAY(Variables!$A$2)&lt;10,0,"")&amp;DAY(Variables!$A$2)</f>
        <v>-19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8" s="30" t="e">
        <f>VLOOKUP(B48,'Train Runs'!$A$13:$A$99939,1,FALSE)</f>
        <v>#N/A</v>
      </c>
    </row>
    <row r="49" spans="1:10" x14ac:dyDescent="0.25">
      <c r="A49" s="185"/>
      <c r="B49" s="43" t="str">
        <f>A49&amp;"-"&amp;IF(DAY(Variables!$A$2)&lt;10,0,"")&amp;DAY(Variables!$A$2)</f>
        <v>-19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9" s="30" t="e">
        <f>VLOOKUP(B49,'Train Runs'!$A$13:$A$99939,1,FALSE)</f>
        <v>#N/A</v>
      </c>
    </row>
    <row r="50" spans="1:10" x14ac:dyDescent="0.25">
      <c r="A50" s="185"/>
      <c r="B50" s="43" t="str">
        <f>A50&amp;"-"&amp;IF(DAY(Variables!$A$2)&lt;10,0,"")&amp;DAY(Variables!$A$2)</f>
        <v>-19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0" s="30" t="e">
        <f>VLOOKUP(B50,'Train Runs'!$A$13:$A$99939,1,FALSE)</f>
        <v>#N/A</v>
      </c>
    </row>
    <row r="51" spans="1:10" x14ac:dyDescent="0.25">
      <c r="A51" s="185"/>
      <c r="B51" s="43" t="str">
        <f>A51&amp;"-"&amp;IF(DAY(Variables!$A$2)&lt;10,0,"")&amp;DAY(Variables!$A$2)</f>
        <v>-19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1" s="30" t="e">
        <f>VLOOKUP(B51,'Train Runs'!$A$13:$A$99939,1,FALSE)</f>
        <v>#N/A</v>
      </c>
    </row>
    <row r="52" spans="1:10" x14ac:dyDescent="0.25">
      <c r="A52" s="185"/>
      <c r="B52" s="43" t="str">
        <f>A52&amp;"-"&amp;IF(DAY(Variables!$A$2)&lt;10,0,"")&amp;DAY(Variables!$A$2)</f>
        <v>-19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2" s="30" t="e">
        <f>VLOOKUP(B52,'Train Runs'!$A$13:$A$99939,1,FALSE)</f>
        <v>#N/A</v>
      </c>
    </row>
    <row r="53" spans="1:10" x14ac:dyDescent="0.25">
      <c r="A53" s="185"/>
      <c r="B53" s="43" t="str">
        <f>A53&amp;"-"&amp;IF(DAY(Variables!$A$2)&lt;10,0,"")&amp;DAY(Variables!$A$2)</f>
        <v>-19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3" s="30" t="e">
        <f>VLOOKUP(B53,'Train Runs'!$A$13:$A$99939,1,FALSE)</f>
        <v>#N/A</v>
      </c>
    </row>
    <row r="54" spans="1:10" x14ac:dyDescent="0.25">
      <c r="A54" s="185"/>
      <c r="B54" s="43" t="str">
        <f>A54&amp;"-"&amp;IF(DAY(Variables!$A$2)&lt;10,0,"")&amp;DAY(Variables!$A$2)</f>
        <v>-19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4" s="30" t="e">
        <f>VLOOKUP(B54,'Train Runs'!$A$13:$A$99939,1,FALSE)</f>
        <v>#N/A</v>
      </c>
    </row>
    <row r="55" spans="1:10" x14ac:dyDescent="0.25">
      <c r="A55" s="185"/>
      <c r="B55" s="43" t="str">
        <f>A55&amp;"-"&amp;IF(DAY(Variables!$A$2)&lt;10,0,"")&amp;DAY(Variables!$A$2)</f>
        <v>-19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5" s="30" t="e">
        <f>VLOOKUP(B55,'Train Runs'!$A$13:$A$99939,1,FALSE)</f>
        <v>#N/A</v>
      </c>
    </row>
    <row r="56" spans="1:10" x14ac:dyDescent="0.25">
      <c r="A56" s="185"/>
      <c r="B56" s="43" t="str">
        <f>A56&amp;"-"&amp;IF(DAY(Variables!$A$2)&lt;10,0,"")&amp;DAY(Variables!$A$2)</f>
        <v>-19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6" s="30" t="e">
        <f>VLOOKUP(B56,'Train Runs'!$A$13:$A$99939,1,FALSE)</f>
        <v>#N/A</v>
      </c>
    </row>
    <row r="57" spans="1:10" x14ac:dyDescent="0.25">
      <c r="A57" s="185"/>
      <c r="B57" s="43" t="str">
        <f>A57&amp;"-"&amp;IF(DAY(Variables!$A$2)&lt;10,0,"")&amp;DAY(Variables!$A$2)</f>
        <v>-19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7" s="30" t="e">
        <f>VLOOKUP(B57,'Train Runs'!$A$13:$A$99939,1,FALSE)</f>
        <v>#N/A</v>
      </c>
    </row>
    <row r="58" spans="1:10" x14ac:dyDescent="0.25">
      <c r="A58" s="185"/>
      <c r="B58" s="43" t="str">
        <f>A58&amp;"-"&amp;IF(DAY(Variables!$A$2)&lt;10,0,"")&amp;DAY(Variables!$A$2)</f>
        <v>-19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8" s="30" t="e">
        <f>VLOOKUP(B58,'Train Runs'!$A$13:$A$99939,1,FALSE)</f>
        <v>#N/A</v>
      </c>
    </row>
    <row r="59" spans="1:10" x14ac:dyDescent="0.25">
      <c r="A59" s="185"/>
      <c r="B59" s="43" t="str">
        <f>A59&amp;"-"&amp;IF(DAY(Variables!$A$2)&lt;10,0,"")&amp;DAY(Variables!$A$2)</f>
        <v>-19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9" s="30" t="e">
        <f>VLOOKUP(B59,'Train Runs'!$A$13:$A$99939,1,FALSE)</f>
        <v>#N/A</v>
      </c>
    </row>
    <row r="60" spans="1:10" x14ac:dyDescent="0.25">
      <c r="A60" s="185"/>
      <c r="B60" s="43" t="str">
        <f>A60&amp;"-"&amp;IF(DAY(Variables!$A$2)&lt;10,0,"")&amp;DAY(Variables!$A$2)</f>
        <v>-19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0" s="30" t="e">
        <f>VLOOKUP(B60,'Train Runs'!$A$13:$A$99939,1,FALSE)</f>
        <v>#N/A</v>
      </c>
    </row>
    <row r="61" spans="1:10" x14ac:dyDescent="0.25">
      <c r="A61" s="185"/>
      <c r="B61" s="43" t="str">
        <f>A61&amp;"-"&amp;IF(DAY(Variables!$A$2)&lt;10,0,"")&amp;DAY(Variables!$A$2)</f>
        <v>-19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1" s="30" t="e">
        <f>VLOOKUP(B61,'Train Runs'!$A$13:$A$99939,1,FALSE)</f>
        <v>#N/A</v>
      </c>
    </row>
    <row r="62" spans="1:10" x14ac:dyDescent="0.25">
      <c r="A62" s="185"/>
      <c r="B62" s="43" t="str">
        <f>A62&amp;"-"&amp;IF(DAY(Variables!$A$2)&lt;10,0,"")&amp;DAY(Variables!$A$2)</f>
        <v>-19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2" s="30" t="e">
        <f>VLOOKUP(B62,'Train Runs'!$A$13:$A$99939,1,FALSE)</f>
        <v>#N/A</v>
      </c>
    </row>
    <row r="63" spans="1:10" x14ac:dyDescent="0.25">
      <c r="A63" s="185"/>
      <c r="B63" s="43" t="str">
        <f>A63&amp;"-"&amp;IF(DAY(Variables!$A$2)&lt;10,0,"")&amp;DAY(Variables!$A$2)</f>
        <v>-19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3" s="30" t="e">
        <f>VLOOKUP(B63,'Train Runs'!$A$13:$A$99939,1,FALSE)</f>
        <v>#N/A</v>
      </c>
    </row>
    <row r="64" spans="1:10" x14ac:dyDescent="0.25">
      <c r="A64" s="185"/>
      <c r="B64" s="43" t="str">
        <f>A64&amp;"-"&amp;IF(DAY(Variables!$A$2)&lt;10,0,"")&amp;DAY(Variables!$A$2)</f>
        <v>-19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4" s="30" t="e">
        <f>VLOOKUP(B64,'Train Runs'!$A$13:$A$99939,1,FALSE)</f>
        <v>#N/A</v>
      </c>
    </row>
    <row r="65" spans="1:10" x14ac:dyDescent="0.25">
      <c r="A65" s="185"/>
      <c r="B65" s="43" t="str">
        <f>A65&amp;"-"&amp;IF(DAY(Variables!$A$2)&lt;10,0,"")&amp;DAY(Variables!$A$2)</f>
        <v>-19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5" s="30" t="e">
        <f>VLOOKUP(B65,'Train Runs'!$A$13:$A$99939,1,FALSE)</f>
        <v>#N/A</v>
      </c>
    </row>
    <row r="66" spans="1:10" x14ac:dyDescent="0.25">
      <c r="A66" s="185"/>
      <c r="B66" s="43" t="str">
        <f>A66&amp;"-"&amp;IF(DAY(Variables!$A$2)&lt;10,0,"")&amp;DAY(Variables!$A$2)</f>
        <v>-19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6" s="30" t="e">
        <f>VLOOKUP(B66,'Train Runs'!$A$13:$A$99939,1,FALSE)</f>
        <v>#N/A</v>
      </c>
    </row>
    <row r="67" spans="1:10" x14ac:dyDescent="0.25">
      <c r="A67" s="185"/>
      <c r="B67" s="43" t="str">
        <f>A67&amp;"-"&amp;IF(DAY(Variables!$A$2)&lt;10,0,"")&amp;DAY(Variables!$A$2)</f>
        <v>-19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7" s="30" t="e">
        <f>VLOOKUP(B67,'Train Runs'!$A$13:$A$99939,1,FALSE)</f>
        <v>#N/A</v>
      </c>
    </row>
    <row r="68" spans="1:10" x14ac:dyDescent="0.25">
      <c r="A68" s="185"/>
      <c r="B68" s="43" t="str">
        <f>A68&amp;"-"&amp;IF(DAY(Variables!$A$2)&lt;10,0,"")&amp;DAY(Variables!$A$2)</f>
        <v>-19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8" s="30" t="e">
        <f>VLOOKUP(B68,'Train Runs'!$A$13:$A$99939,1,FALSE)</f>
        <v>#N/A</v>
      </c>
    </row>
    <row r="69" spans="1:10" x14ac:dyDescent="0.25">
      <c r="A69" s="185"/>
      <c r="B69" s="43" t="str">
        <f>A69&amp;"-"&amp;IF(DAY(Variables!$A$2)&lt;10,0,"")&amp;DAY(Variables!$A$2)</f>
        <v>-19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9" s="30" t="e">
        <f>VLOOKUP(B69,'Train Runs'!$A$13:$A$99939,1,FALSE)</f>
        <v>#N/A</v>
      </c>
    </row>
    <row r="70" spans="1:10" x14ac:dyDescent="0.25">
      <c r="A70" s="185"/>
      <c r="B70" s="43" t="str">
        <f>A70&amp;"-"&amp;IF(DAY(Variables!$A$2)&lt;10,0,"")&amp;DAY(Variables!$A$2)</f>
        <v>-19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0" s="30" t="e">
        <f>VLOOKUP(B70,'Train Runs'!$A$13:$A$99939,1,FALSE)</f>
        <v>#N/A</v>
      </c>
    </row>
    <row r="71" spans="1:10" x14ac:dyDescent="0.25">
      <c r="A71" s="185"/>
      <c r="B71" s="43" t="str">
        <f>A71&amp;"-"&amp;IF(DAY(Variables!$A$2)&lt;10,0,"")&amp;DAY(Variables!$A$2)</f>
        <v>-19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ref="I71:I92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1" s="30" t="e">
        <f>VLOOKUP(B71,'Train Runs'!$A$13:$A$99939,1,FALSE)</f>
        <v>#N/A</v>
      </c>
    </row>
    <row r="72" spans="1:10" x14ac:dyDescent="0.25">
      <c r="A72" s="185"/>
      <c r="B72" s="43" t="str">
        <f>A72&amp;"-"&amp;IF(DAY(Variables!$A$2)&lt;10,0,"")&amp;DAY(Variables!$A$2)</f>
        <v>-19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2" s="30" t="e">
        <f>VLOOKUP(B72,'Train Runs'!$A$13:$A$99939,1,FALSE)</f>
        <v>#N/A</v>
      </c>
    </row>
    <row r="73" spans="1:10" x14ac:dyDescent="0.25">
      <c r="A73" s="185"/>
      <c r="B73" s="43" t="str">
        <f>A73&amp;"-"&amp;IF(DAY(Variables!$A$2)&lt;10,0,"")&amp;DAY(Variables!$A$2)</f>
        <v>-19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3" s="30" t="e">
        <f>VLOOKUP(B73,'Train Runs'!$A$13:$A$99939,1,FALSE)</f>
        <v>#N/A</v>
      </c>
    </row>
    <row r="74" spans="1:10" x14ac:dyDescent="0.25">
      <c r="A74" s="185"/>
      <c r="B74" s="43" t="str">
        <f>A74&amp;"-"&amp;IF(DAY(Variables!$A$2)&lt;10,0,"")&amp;DAY(Variables!$A$2)</f>
        <v>-19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4" s="30" t="e">
        <f>VLOOKUP(B74,'Train Runs'!$A$13:$A$99939,1,FALSE)</f>
        <v>#N/A</v>
      </c>
    </row>
    <row r="75" spans="1:10" x14ac:dyDescent="0.25">
      <c r="A75" s="185"/>
      <c r="B75" s="43" t="str">
        <f>A75&amp;"-"&amp;IF(DAY(Variables!$A$2)&lt;10,0,"")&amp;DAY(Variables!$A$2)</f>
        <v>-19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5" s="30" t="e">
        <f>VLOOKUP(B75,'Train Runs'!$A$13:$A$99939,1,FALSE)</f>
        <v>#N/A</v>
      </c>
    </row>
    <row r="76" spans="1:10" x14ac:dyDescent="0.25">
      <c r="A76" s="185"/>
      <c r="B76" s="43" t="str">
        <f>A76&amp;"-"&amp;IF(DAY(Variables!$A$2)&lt;10,0,"")&amp;DAY(Variables!$A$2)</f>
        <v>-19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6" s="30" t="e">
        <f>VLOOKUP(B76,'Train Runs'!$A$13:$A$99939,1,FALSE)</f>
        <v>#N/A</v>
      </c>
    </row>
    <row r="77" spans="1:10" x14ac:dyDescent="0.25">
      <c r="A77" s="185"/>
      <c r="B77" s="43" t="str">
        <f>A77&amp;"-"&amp;IF(DAY(Variables!$A$2)&lt;10,0,"")&amp;DAY(Variables!$A$2)</f>
        <v>-19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7" s="30" t="e">
        <f>VLOOKUP(B77,'Train Runs'!$A$13:$A$99939,1,FALSE)</f>
        <v>#N/A</v>
      </c>
    </row>
    <row r="78" spans="1:10" x14ac:dyDescent="0.25">
      <c r="A78" s="185"/>
      <c r="B78" s="43" t="str">
        <f>A78&amp;"-"&amp;IF(DAY(Variables!$A$2)&lt;10,0,"")&amp;DAY(Variables!$A$2)</f>
        <v>-19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8" s="30" t="e">
        <f>VLOOKUP(B78,'Train Runs'!$A$13:$A$99939,1,FALSE)</f>
        <v>#N/A</v>
      </c>
    </row>
    <row r="79" spans="1:10" x14ac:dyDescent="0.25">
      <c r="A79" s="185"/>
      <c r="B79" s="43" t="str">
        <f>A79&amp;"-"&amp;IF(DAY(Variables!$A$2)&lt;10,0,"")&amp;DAY(Variables!$A$2)</f>
        <v>-19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9" s="30" t="e">
        <f>VLOOKUP(B79,'Train Runs'!$A$13:$A$99939,1,FALSE)</f>
        <v>#N/A</v>
      </c>
    </row>
    <row r="80" spans="1:10" x14ac:dyDescent="0.25">
      <c r="A80" s="185"/>
      <c r="B80" s="43" t="str">
        <f>A80&amp;"-"&amp;IF(DAY(Variables!$A$2)&lt;10,0,"")&amp;DAY(Variables!$A$2)</f>
        <v>-19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0" s="30" t="e">
        <f>VLOOKUP(B80,'Train Runs'!$A$13:$A$99939,1,FALSE)</f>
        <v>#N/A</v>
      </c>
    </row>
    <row r="81" spans="1:10" x14ac:dyDescent="0.25">
      <c r="A81" s="185"/>
      <c r="B81" s="43" t="str">
        <f>A81&amp;"-"&amp;IF(DAY(Variables!$A$2)&lt;10,0,"")&amp;DAY(Variables!$A$2)</f>
        <v>-19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1" s="30" t="e">
        <f>VLOOKUP(B81,'Train Runs'!$A$13:$A$99939,1,FALSE)</f>
        <v>#N/A</v>
      </c>
    </row>
    <row r="82" spans="1:10" x14ac:dyDescent="0.25">
      <c r="A82" s="185"/>
      <c r="B82" s="43" t="str">
        <f>A82&amp;"-"&amp;IF(DAY(Variables!$A$2)&lt;10,0,"")&amp;DAY(Variables!$A$2)</f>
        <v>-19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2" s="30" t="e">
        <f>VLOOKUP(B82,'Train Runs'!$A$13:$A$99939,1,FALSE)</f>
        <v>#N/A</v>
      </c>
    </row>
    <row r="83" spans="1:10" x14ac:dyDescent="0.25">
      <c r="A83" s="185"/>
      <c r="B83" s="43" t="str">
        <f>A83&amp;"-"&amp;IF(DAY(Variables!$A$2)&lt;10,0,"")&amp;DAY(Variables!$A$2)</f>
        <v>-19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3" s="30" t="e">
        <f>VLOOKUP(B83,'Train Runs'!$A$13:$A$99939,1,FALSE)</f>
        <v>#N/A</v>
      </c>
    </row>
    <row r="84" spans="1:10" x14ac:dyDescent="0.25">
      <c r="A84" s="185"/>
      <c r="B84" s="43" t="str">
        <f>A84&amp;"-"&amp;IF(DAY(Variables!$A$2)&lt;10,0,"")&amp;DAY(Variables!$A$2)</f>
        <v>-19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4" s="30" t="e">
        <f>VLOOKUP(B84,'Train Runs'!$A$13:$A$99939,1,FALSE)</f>
        <v>#N/A</v>
      </c>
    </row>
    <row r="85" spans="1:10" x14ac:dyDescent="0.25">
      <c r="A85" s="185"/>
      <c r="B85" s="43" t="str">
        <f>A85&amp;"-"&amp;IF(DAY(Variables!$A$2)&lt;10,0,"")&amp;DAY(Variables!$A$2)</f>
        <v>-19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5" s="30" t="e">
        <f>VLOOKUP(B85,'Train Runs'!$A$13:$A$99939,1,FALSE)</f>
        <v>#N/A</v>
      </c>
    </row>
    <row r="86" spans="1:10" x14ac:dyDescent="0.25">
      <c r="A86" s="185"/>
      <c r="B86" s="43" t="str">
        <f>A86&amp;"-"&amp;IF(DAY(Variables!$A$2)&lt;10,0,"")&amp;DAY(Variables!$A$2)</f>
        <v>-19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6" s="30" t="e">
        <f>VLOOKUP(B86,'Train Runs'!$A$13:$A$99939,1,FALSE)</f>
        <v>#N/A</v>
      </c>
    </row>
    <row r="87" spans="1:10" x14ac:dyDescent="0.25">
      <c r="A87" s="185"/>
      <c r="B87" s="43" t="str">
        <f>A87&amp;"-"&amp;IF(DAY(Variables!$A$2)&lt;10,0,"")&amp;DAY(Variables!$A$2)</f>
        <v>-19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7" s="30" t="e">
        <f>VLOOKUP(B87,'Train Runs'!$A$13:$A$99939,1,FALSE)</f>
        <v>#N/A</v>
      </c>
    </row>
    <row r="88" spans="1:10" x14ac:dyDescent="0.25">
      <c r="A88" s="185"/>
      <c r="B88" s="43" t="str">
        <f>A88&amp;"-"&amp;IF(DAY(Variables!$A$2)&lt;10,0,"")&amp;DAY(Variables!$A$2)</f>
        <v>-19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8" s="30" t="e">
        <f>VLOOKUP(B88,'Train Runs'!$A$13:$A$99939,1,FALSE)</f>
        <v>#N/A</v>
      </c>
    </row>
    <row r="89" spans="1:10" x14ac:dyDescent="0.25">
      <c r="A89" s="185"/>
      <c r="B89" s="43" t="str">
        <f>A89&amp;"-"&amp;IF(DAY(Variables!$A$2)&lt;10,0,"")&amp;DAY(Variables!$A$2)</f>
        <v>-19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9" s="30" t="e">
        <f>VLOOKUP(B89,'Train Runs'!$A$13:$A$99939,1,FALSE)</f>
        <v>#N/A</v>
      </c>
    </row>
    <row r="90" spans="1:10" x14ac:dyDescent="0.25">
      <c r="A90" s="185"/>
      <c r="B90" s="43" t="str">
        <f>A90&amp;"-"&amp;IF(DAY(Variables!$A$2)&lt;10,0,"")&amp;DAY(Variables!$A$2)</f>
        <v>-19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90" s="30" t="e">
        <f>VLOOKUP(B90,'Train Runs'!$A$13:$A$99939,1,FALSE)</f>
        <v>#N/A</v>
      </c>
    </row>
    <row r="91" spans="1:10" x14ac:dyDescent="0.25">
      <c r="A91" s="185"/>
      <c r="B91" s="43" t="str">
        <f>A91&amp;"-"&amp;IF(DAY(Variables!$A$2)&lt;10,0,"")&amp;DAY(Variables!$A$2)</f>
        <v>-19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91" s="30" t="e">
        <f>VLOOKUP(B91,'Train Runs'!$A$13:$A$99939,1,FALSE)</f>
        <v>#N/A</v>
      </c>
    </row>
    <row r="92" spans="1:10" x14ac:dyDescent="0.25">
      <c r="A92" s="185"/>
      <c r="B92" s="43" t="str">
        <f>A92&amp;"-"&amp;IF(DAY(Variables!$A$2)&lt;10,0,"")&amp;DAY(Variables!$A$2)</f>
        <v>-19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92" s="30" t="e">
        <f>VLOOKUP(B92,'Train Runs'!$A$13:$A$99939,1,FALSE)</f>
        <v>#N/A</v>
      </c>
    </row>
  </sheetData>
  <autoFilter ref="A2:J92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202" bestFit="1" customWidth="1"/>
    <col min="2" max="2" width="26.5703125" style="208" customWidth="1"/>
    <col min="3" max="3" width="8.85546875" style="198" customWidth="1"/>
    <col min="4" max="4" width="10.5703125" style="212" customWidth="1"/>
    <col min="5" max="5" width="39.5703125" bestFit="1" customWidth="1"/>
    <col min="6" max="6" width="16.5703125" style="212" customWidth="1"/>
    <col min="7" max="7" width="7" style="216" customWidth="1"/>
    <col min="8" max="8" width="6.5703125" style="218" customWidth="1"/>
    <col min="9" max="9" width="6.5703125" style="214" customWidth="1"/>
    <col min="10" max="10" width="9.42578125" style="210" bestFit="1" customWidth="1"/>
    <col min="11" max="11" width="9.42578125" style="210" customWidth="1"/>
    <col min="12" max="12" width="10.140625" style="206" customWidth="1"/>
    <col min="13" max="13" width="6.42578125" style="206" customWidth="1"/>
    <col min="14" max="15" width="6" style="206" customWidth="1"/>
    <col min="16" max="16" width="6.28515625" style="206" customWidth="1"/>
    <col min="17" max="17" width="7.28515625" style="205" customWidth="1"/>
  </cols>
  <sheetData>
    <row r="1" spans="1:17" s="195" customFormat="1" ht="35.25" customHeight="1" x14ac:dyDescent="0.25">
      <c r="A1" s="200" t="s">
        <v>371</v>
      </c>
      <c r="B1" s="207" t="s">
        <v>372</v>
      </c>
      <c r="C1" s="199" t="s">
        <v>380</v>
      </c>
      <c r="D1" s="211" t="s">
        <v>58</v>
      </c>
      <c r="E1" s="196" t="s">
        <v>24</v>
      </c>
      <c r="F1" s="211" t="s">
        <v>386</v>
      </c>
      <c r="G1" s="215" t="s">
        <v>93</v>
      </c>
      <c r="H1" s="217" t="s">
        <v>390</v>
      </c>
      <c r="I1" s="213" t="s">
        <v>389</v>
      </c>
      <c r="J1" s="209" t="s">
        <v>84</v>
      </c>
      <c r="K1" s="209" t="s">
        <v>385</v>
      </c>
      <c r="L1" s="204" t="s">
        <v>382</v>
      </c>
      <c r="M1" s="204" t="s">
        <v>373</v>
      </c>
      <c r="N1" s="204" t="s">
        <v>375</v>
      </c>
      <c r="O1" s="204" t="s">
        <v>376</v>
      </c>
      <c r="P1" s="204" t="s">
        <v>377</v>
      </c>
      <c r="Q1" s="203" t="s">
        <v>374</v>
      </c>
    </row>
    <row r="2" spans="1:17" x14ac:dyDescent="0.25">
      <c r="A2" s="201">
        <v>42800.21875</v>
      </c>
      <c r="B2" s="208" t="s">
        <v>379</v>
      </c>
      <c r="C2" s="198" t="s">
        <v>381</v>
      </c>
      <c r="D2" s="212">
        <v>104</v>
      </c>
      <c r="E2" s="30" t="s">
        <v>384</v>
      </c>
      <c r="G2" s="216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/stypes="*4004*201703061*" /stext=" 11:.+((SYSTEM_STATE.+slice.+state.+changed )|(ment ac)|(multiple cpu faults)|(system.+state.+changed )|(\[timeout)|(PRM\|1\|D)|(kpr)|(kdp)|(\|loc)|(penalty)|(\|PRM\|1\|D)|(crossing.((167)|(168)|(199)|(200))))"</v>
      </c>
      <c r="H2" s="218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"%USERPROFILE%\AppData\Local\Temp\OnboardLogs"\RTDC4004\*4004*201703061*</v>
      </c>
      <c r="I2" s="214" t="str">
        <f>IF(VLOOKUP(K2,'Train Runs'!$A$13:$V$995,1,TRUE)=K2,VLOOKUP(K2,'Train Runs'!$A$13:$V$995,22,TRUE),NA())</f>
        <v>https://d0f6bd738d7f1b3e5a7ca70fe4ff75f0.us-east-1.aws.found.io/app/kibana#/discover/Steve-Slow-Train-Analysis-(2080s-and-2083s)?_g=(refreshInterval:(display:Off,pause:!f,section:0,value:0),time:(from:'2017-03-19T03:30:23-0600',mode:absolute,to:'2017-03-19T06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2" s="210">
        <f t="shared" ref="J2:J35" si="2">A2-utc_offset/24</f>
        <v>42800.46875</v>
      </c>
      <c r="K2" s="210" t="str">
        <f>D2&amp;"-"&amp;IF(DAY(Variables!$A$2)&lt;10,0,"")&amp;DAY(Variables!$A$2)</f>
        <v>104-19</v>
      </c>
      <c r="L2" s="206">
        <f>IF(VLOOKUP(K2,'Train Runs'!$A$12:$B$995,1,TRUE)=K2,VLOOKUP(K2,'Train Runs'!$A$12:$B$995,2,TRUE),NA())</f>
        <v>4004</v>
      </c>
      <c r="M2" s="206">
        <f>VLOOKUP(B2,Variables!$T$2:$X$99,2,FALSE)</f>
        <v>167</v>
      </c>
      <c r="N2" s="206">
        <f>VLOOKUP(B2,Variables!$T$2:$X$99,3,FALSE)</f>
        <v>168</v>
      </c>
      <c r="O2" s="206">
        <f>VLOOKUP(B2,Variables!$T$2:$X$99,4,FALSE)</f>
        <v>199</v>
      </c>
      <c r="P2" s="206">
        <f>VLOOKUP(B2,Variables!$T$2:$X$99,5,FALSE)</f>
        <v>200</v>
      </c>
      <c r="Q2" s="205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201">
        <v>42800.343055555553</v>
      </c>
      <c r="B3" s="208" t="s">
        <v>379</v>
      </c>
      <c r="C3" s="198" t="s">
        <v>381</v>
      </c>
      <c r="D3" s="212">
        <v>126</v>
      </c>
      <c r="E3" s="30" t="s">
        <v>383</v>
      </c>
      <c r="F3" s="212" t="b">
        <v>1</v>
      </c>
      <c r="G3" s="216" t="str">
        <f t="shared" si="0"/>
        <v>"C:\Program Files (x86)\AstroGrep\AstroGrep.exe" /e /r /s /spath="%USERPROFILE%\AppData\Local\Temp\OnboardLogs" /stypes="*4019*201703061*" /stext=" 14:.+((SYSTEM_STATE.+slice.+state.+changed )|(ment ac)|(multiple cpu faults)|(system.+state.+changed )|(\[timeout)|(PRM\|1\|D)|(kpr)|(kdp)|(\|lc)|(penalty)|(\|PRM\|1\|D)|(crossing.((167)|(168)|(199)|(200))))"</v>
      </c>
      <c r="H3" s="218" t="str">
        <f t="shared" si="1"/>
        <v>grep -hSE " 14:.+((\|PRM\|1\|D)|(crossing.((167)|(168)|(199)|(200))))" "%USERPROFILE%\AppData\Local\Temp\OnboardLogs"\RTDC4019\*4019*201703061*</v>
      </c>
      <c r="I3" s="214" t="str">
        <f>IF(VLOOKUP(K3,'Train Runs'!$A$13:$V$995,1,TRUE)=K3,VLOOKUP(K3,'Train Runs'!$A$13:$V$995,22,TRUE),NA())</f>
        <v>https://d0f6bd738d7f1b3e5a7ca70fe4ff75f0.us-east-1.aws.found.io/app/kibana#/discover/Steve-Slow-Train-Analysis-(2080s-and-2083s)?_g=(refreshInterval:(display:Off,pause:!f,section:0,value:0),time:(from:'2017-03-19T06:33:45-0600',mode:absolute,to:'2017-03-19T09:18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3" s="210">
        <f t="shared" si="2"/>
        <v>42800.593055555553</v>
      </c>
      <c r="K3" s="210" t="str">
        <f>D3&amp;"-"&amp;IF(DAY(Variables!$A$2)&lt;10,0,"")&amp;DAY(Variables!$A$2)</f>
        <v>126-19</v>
      </c>
      <c r="L3" s="206">
        <f>IF(VLOOKUP(K3,'Train Runs'!$A$12:$B$995,1,TRUE)=K3,VLOOKUP(K3,'Train Runs'!$A$12:$B$995,2,TRUE),NA())</f>
        <v>4019</v>
      </c>
      <c r="M3" s="206">
        <f>VLOOKUP(B3,Variables!$T$2:$X$99,2,FALSE)</f>
        <v>167</v>
      </c>
      <c r="N3" s="206">
        <f>VLOOKUP(B3,Variables!$T$2:$X$99,3,FALSE)</f>
        <v>168</v>
      </c>
      <c r="O3" s="206">
        <f>VLOOKUP(B3,Variables!$T$2:$X$99,4,FALSE)</f>
        <v>199</v>
      </c>
      <c r="P3" s="206">
        <f>VLOOKUP(B3,Variables!$T$2:$X$99,5,FALSE)</f>
        <v>200</v>
      </c>
      <c r="Q3" s="205" t="str">
        <f t="shared" si="3"/>
        <v>(\|PRM\|1\|D)|(crossing.((167)|(168)|(199)|(200)))</v>
      </c>
    </row>
    <row r="4" spans="1:17" x14ac:dyDescent="0.25">
      <c r="A4" s="201">
        <v>42800.354861111111</v>
      </c>
      <c r="B4" s="208" t="s">
        <v>379</v>
      </c>
      <c r="C4" s="198" t="s">
        <v>381</v>
      </c>
      <c r="D4" s="212">
        <v>128</v>
      </c>
      <c r="E4" s="30" t="s">
        <v>383</v>
      </c>
      <c r="F4" s="212" t="b">
        <v>1</v>
      </c>
      <c r="G4" s="216" t="str">
        <f t="shared" si="0"/>
        <v>"C:\Program Files (x86)\AstroGrep\AstroGrep.exe" /e /r /s /spath="%USERPROFILE%\AppData\Local\Temp\OnboardLogs" /stypes="*4039*201703061*" /stext=" 14:.+((SYSTEM_STATE.+slice.+state.+changed )|(ment ac)|(multiple cpu faults)|(system.+state.+changed )|(\[timeout)|(PRM\|1\|D)|(kpr)|(kdp)|(\|lc)|(penalty)|(\|PRM\|1\|D)|(crossing.((167)|(168)|(199)|(200))))"</v>
      </c>
      <c r="H4" s="218" t="str">
        <f t="shared" si="1"/>
        <v>grep -hSE " 14:.+((\|PRM\|1\|D)|(crossing.((167)|(168)|(199)|(200))))" "%USERPROFILE%\AppData\Local\Temp\OnboardLogs"\RTDC4039\*4039*201703061*</v>
      </c>
      <c r="I4" s="214" t="str">
        <f>IF(VLOOKUP(K4,'Train Runs'!$A$13:$V$995,1,TRUE)=K4,VLOOKUP(K4,'Train Runs'!$A$13:$V$995,22,TRUE),NA())</f>
        <v>https://d0f6bd738d7f1b3e5a7ca70fe4ff75f0.us-east-1.aws.found.io/app/kibana#/discover/Steve-Slow-Train-Analysis-(2080s-and-2083s)?_g=(refreshInterval:(display:Off,pause:!f,section:0,value:0),time:(from:'2017-03-19T06:38:17-0600',mode:absolute,to:'2017-03-19T09:33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4" s="210">
        <f t="shared" si="2"/>
        <v>42800.604861111111</v>
      </c>
      <c r="K4" s="210" t="str">
        <f>D4&amp;"-"&amp;IF(DAY(Variables!$A$2)&lt;10,0,"")&amp;DAY(Variables!$A$2)</f>
        <v>128-19</v>
      </c>
      <c r="L4" s="206">
        <f>IF(VLOOKUP(K4,'Train Runs'!$A$12:$B$995,1,TRUE)=K4,VLOOKUP(K4,'Train Runs'!$A$12:$B$995,2,TRUE),NA())</f>
        <v>4039</v>
      </c>
      <c r="M4" s="206">
        <f>VLOOKUP(B4,Variables!$T$2:$X$99,2,FALSE)</f>
        <v>167</v>
      </c>
      <c r="N4" s="206">
        <f>VLOOKUP(B4,Variables!$T$2:$X$99,3,FALSE)</f>
        <v>168</v>
      </c>
      <c r="O4" s="206">
        <f>VLOOKUP(B4,Variables!$T$2:$X$99,4,FALSE)</f>
        <v>199</v>
      </c>
      <c r="P4" s="206">
        <f>VLOOKUP(B4,Variables!$T$2:$X$99,5,FALSE)</f>
        <v>200</v>
      </c>
      <c r="Q4" s="205" t="str">
        <f t="shared" si="3"/>
        <v>(\|PRM\|1\|D)|(crossing.((167)|(168)|(199)|(200)))</v>
      </c>
    </row>
    <row r="5" spans="1:17" x14ac:dyDescent="0.25">
      <c r="A5" s="201">
        <v>42800.364583333336</v>
      </c>
      <c r="B5" s="208" t="s">
        <v>379</v>
      </c>
      <c r="C5" s="198" t="s">
        <v>381</v>
      </c>
      <c r="D5" s="212">
        <f>D4+2</f>
        <v>130</v>
      </c>
      <c r="E5" s="30" t="s">
        <v>383</v>
      </c>
      <c r="F5" s="212" t="b">
        <v>1</v>
      </c>
      <c r="G5" s="216" t="str">
        <f t="shared" si="0"/>
        <v>"C:\Program Files (x86)\AstroGrep\AstroGrep.exe" /e /r /s /spath="%USERPROFILE%\AppData\Local\Temp\OnboardLogs" /stypes="*4054*201703061*" /stext=" 14:.+((SYSTEM_STATE.+slice.+state.+changed )|(ment ac)|(multiple cpu faults)|(system.+state.+changed )|(\[timeout)|(PRM\|1\|D)|(kpr)|(kdp)|(\|lc)|(penalty)|(\|PRM\|1\|D)|(crossing.((167)|(168)|(199)|(200))))"</v>
      </c>
      <c r="H5" s="218" t="str">
        <f t="shared" si="1"/>
        <v>grep -hSE " 14:.+((\|PRM\|1\|D)|(crossing.((167)|(168)|(199)|(200))))" "%USERPROFILE%\AppData\Local\Temp\OnboardLogs"\RTDC4054\*4054*201703061*</v>
      </c>
      <c r="I5" s="214" t="str">
        <f>IF(VLOOKUP(K5,'Train Runs'!$A$13:$V$995,1,TRUE)=K5,VLOOKUP(K5,'Train Runs'!$A$13:$V$995,22,TRUE),NA())</f>
        <v>https://d0f6bd738d7f1b3e5a7ca70fe4ff75f0.us-east-1.aws.found.io/app/kibana#/discover/Steve-Slow-Train-Analysis-(2080s-and-2083s)?_g=(refreshInterval:(display:Off,pause:!f,section:0,value:0),time:(from:'2017-03-19T07:06:11-0600',mode:absolute,to:'2017-03-19T09:50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5" s="210">
        <f t="shared" si="2"/>
        <v>42800.614583333336</v>
      </c>
      <c r="K5" s="210" t="str">
        <f>D5&amp;"-"&amp;IF(DAY(Variables!$A$2)&lt;10,0,"")&amp;DAY(Variables!$A$2)</f>
        <v>130-19</v>
      </c>
      <c r="L5" s="206">
        <f>IF(VLOOKUP(K5,'Train Runs'!$A$12:$B$995,1,TRUE)=K5,VLOOKUP(K5,'Train Runs'!$A$12:$B$995,2,TRUE),NA())</f>
        <v>4054</v>
      </c>
      <c r="M5" s="206">
        <f>VLOOKUP(B5,Variables!$T$2:$X$99,2,FALSE)</f>
        <v>167</v>
      </c>
      <c r="N5" s="206">
        <f>VLOOKUP(B5,Variables!$T$2:$X$99,3,FALSE)</f>
        <v>168</v>
      </c>
      <c r="O5" s="206">
        <f>VLOOKUP(B5,Variables!$T$2:$X$99,4,FALSE)</f>
        <v>199</v>
      </c>
      <c r="P5" s="206">
        <f>VLOOKUP(B5,Variables!$T$2:$X$99,5,FALSE)</f>
        <v>200</v>
      </c>
      <c r="Q5" s="205" t="str">
        <f t="shared" si="3"/>
        <v>(\|PRM\|1\|D)|(crossing.((167)|(168)|(199)|(200)))</v>
      </c>
    </row>
    <row r="6" spans="1:17" x14ac:dyDescent="0.25">
      <c r="A6" s="201">
        <v>42800.375</v>
      </c>
      <c r="B6" s="208" t="s">
        <v>379</v>
      </c>
      <c r="C6" s="198" t="s">
        <v>381</v>
      </c>
      <c r="D6" s="212">
        <f>D5+2</f>
        <v>132</v>
      </c>
      <c r="E6" s="30" t="s">
        <v>383</v>
      </c>
      <c r="F6" s="212" t="b">
        <v>1</v>
      </c>
      <c r="G6" s="216" t="str">
        <f t="shared" si="0"/>
        <v>"C:\Program Files (x86)\AstroGrep\AstroGrep.exe" /e /r /s /spath="%USERPROFILE%\AppData\Local\Temp\OnboardLogs" /stypes="*4004*201703061*" /stext=" 15:.+((SYSTEM_STATE.+slice.+state.+changed )|(ment ac)|(multiple cpu faults)|(system.+state.+changed )|(\[timeout)|(PRM\|1\|D)|(kpr)|(kdp)|(\|lc)|(penalty)|(\|PRM\|1\|D)|(crossing.((167)|(168)|(199)|(200))))"</v>
      </c>
      <c r="H6" s="218" t="str">
        <f t="shared" si="1"/>
        <v>grep -hSE " 15:.+((\|PRM\|1\|D)|(crossing.((167)|(168)|(199)|(200))))" "%USERPROFILE%\AppData\Local\Temp\OnboardLogs"\RTDC4004\*4004*201703061*</v>
      </c>
      <c r="I6" s="214" t="str">
        <f>IF(VLOOKUP(K6,'Train Runs'!$A$13:$V$995,1,TRUE)=K6,VLOOKUP(K6,'Train Runs'!$A$13:$V$995,22,TRUE),NA())</f>
        <v>https://d0f6bd738d7f1b3e5a7ca70fe4ff75f0.us-east-1.aws.found.io/app/kibana#/discover/Steve-Slow-Train-Analysis-(2080s-and-2083s)?_g=(refreshInterval:(display:Off,pause:!f,section:0,value:0),time:(from:'2017-03-19T07:15:25-0600',mode:absolute,to:'2017-03-19T10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6" s="210">
        <f t="shared" si="2"/>
        <v>42800.625</v>
      </c>
      <c r="K6" s="210" t="str">
        <f>D6&amp;"-"&amp;IF(DAY(Variables!$A$2)&lt;10,0,"")&amp;DAY(Variables!$A$2)</f>
        <v>132-19</v>
      </c>
      <c r="L6" s="206">
        <f>IF(VLOOKUP(K6,'Train Runs'!$A$12:$B$995,1,TRUE)=K6,VLOOKUP(K6,'Train Runs'!$A$12:$B$995,2,TRUE),NA())</f>
        <v>4004</v>
      </c>
      <c r="M6" s="206">
        <f>VLOOKUP(B6,Variables!$T$2:$X$99,2,FALSE)</f>
        <v>167</v>
      </c>
      <c r="N6" s="206">
        <f>VLOOKUP(B6,Variables!$T$2:$X$99,3,FALSE)</f>
        <v>168</v>
      </c>
      <c r="O6" s="206">
        <f>VLOOKUP(B6,Variables!$T$2:$X$99,4,FALSE)</f>
        <v>199</v>
      </c>
      <c r="P6" s="206">
        <f>VLOOKUP(B6,Variables!$T$2:$X$99,5,FALSE)</f>
        <v>200</v>
      </c>
      <c r="Q6" s="205" t="str">
        <f t="shared" si="3"/>
        <v>(\|PRM\|1\|D)|(crossing.((167)|(168)|(199)|(200)))</v>
      </c>
    </row>
    <row r="7" spans="1:17" x14ac:dyDescent="0.25">
      <c r="A7" s="201">
        <v>42800.383333333331</v>
      </c>
      <c r="B7" s="208" t="s">
        <v>379</v>
      </c>
      <c r="C7" s="198" t="s">
        <v>381</v>
      </c>
      <c r="D7" s="212">
        <f t="shared" ref="D7:D11" si="4">D6+2</f>
        <v>134</v>
      </c>
      <c r="E7" s="30" t="s">
        <v>383</v>
      </c>
      <c r="F7" s="212" t="b">
        <v>1</v>
      </c>
      <c r="G7" s="216" t="str">
        <f t="shared" si="0"/>
        <v>"C:\Program Files (x86)\AstroGrep\AstroGrep.exe" /e /r /s /spath="%USERPROFILE%\AppData\Local\Temp\OnboardLogs" /stypes="*4001*201703061*" /stext=" 15:.+((SYSTEM_STATE.+slice.+state.+changed )|(ment ac)|(multiple cpu faults)|(system.+state.+changed )|(\[timeout)|(PRM\|1\|D)|(kpr)|(kdp)|(\|lc)|(penalty)|(\|PRM\|1\|D)|(crossing.((167)|(168)|(199)|(200))))"</v>
      </c>
      <c r="H7" s="218" t="str">
        <f t="shared" si="1"/>
        <v>grep -hSE " 15:.+((\|PRM\|1\|D)|(crossing.((167)|(168)|(199)|(200))))" "%USERPROFILE%\AppData\Local\Temp\OnboardLogs"\RTDC4001\*4001*201703061*</v>
      </c>
      <c r="I7" s="214" t="str">
        <f>IF(VLOOKUP(K7,'Train Runs'!$A$13:$V$995,1,TRUE)=K7,VLOOKUP(K7,'Train Runs'!$A$13:$V$995,22,TRUE),NA())</f>
        <v>https://d0f6bd738d7f1b3e5a7ca70fe4ff75f0.us-east-1.aws.found.io/app/kibana#/discover/Steve-Slow-Train-Analysis-(2080s-and-2083s)?_g=(refreshInterval:(display:Off,pause:!f,section:0,value:0),time:(from:'2017-03-19T07:34:11-0600',mode:absolute,to:'2017-03-19T10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7" s="210">
        <f t="shared" si="2"/>
        <v>42800.633333333331</v>
      </c>
      <c r="K7" s="210" t="str">
        <f>D7&amp;"-"&amp;IF(DAY(Variables!$A$2)&lt;10,0,"")&amp;DAY(Variables!$A$2)</f>
        <v>134-19</v>
      </c>
      <c r="L7" s="206">
        <f>IF(VLOOKUP(K7,'Train Runs'!$A$12:$B$995,1,TRUE)=K7,VLOOKUP(K7,'Train Runs'!$A$12:$B$995,2,TRUE),NA())</f>
        <v>4001</v>
      </c>
      <c r="M7" s="206">
        <f>VLOOKUP(B7,Variables!$T$2:$X$99,2,FALSE)</f>
        <v>167</v>
      </c>
      <c r="N7" s="206">
        <f>VLOOKUP(B7,Variables!$T$2:$X$99,3,FALSE)</f>
        <v>168</v>
      </c>
      <c r="O7" s="206">
        <f>VLOOKUP(B7,Variables!$T$2:$X$99,4,FALSE)</f>
        <v>199</v>
      </c>
      <c r="P7" s="206">
        <f>VLOOKUP(B7,Variables!$T$2:$X$99,5,FALSE)</f>
        <v>200</v>
      </c>
      <c r="Q7" s="205" t="str">
        <f t="shared" si="3"/>
        <v>(\|PRM\|1\|D)|(crossing.((167)|(168)|(199)|(200)))</v>
      </c>
    </row>
    <row r="8" spans="1:17" x14ac:dyDescent="0.25">
      <c r="A8" s="201">
        <v>42800.393750000003</v>
      </c>
      <c r="B8" s="208" t="s">
        <v>379</v>
      </c>
      <c r="C8" s="198" t="s">
        <v>381</v>
      </c>
      <c r="D8" s="212">
        <f t="shared" si="4"/>
        <v>136</v>
      </c>
      <c r="E8" s="30" t="s">
        <v>383</v>
      </c>
      <c r="F8" s="212" t="b">
        <v>1</v>
      </c>
      <c r="G8" s="216" t="str">
        <f t="shared" si="0"/>
        <v>"C:\Program Files (x86)\AstroGrep\AstroGrep.exe" /e /r /s /spath="%USERPROFILE%\AppData\Local\Temp\OnboardLogs" /stypes="*4015*201703061*" /stext=" 15:.+((SYSTEM_STATE.+slice.+state.+changed )|(ment ac)|(multiple cpu faults)|(system.+state.+changed )|(\[timeout)|(PRM\|1\|D)|(kpr)|(kdp)|(\|lc)|(penalty)|(\|PRM\|1\|D)|(crossing.((167)|(168)|(199)|(200))))"</v>
      </c>
      <c r="H8" s="218" t="str">
        <f t="shared" si="1"/>
        <v>grep -hSE " 15:.+((\|PRM\|1\|D)|(crossing.((167)|(168)|(199)|(200))))" "%USERPROFILE%\AppData\Local\Temp\OnboardLogs"\RTDC4015\*4015*201703061*</v>
      </c>
      <c r="I8" s="214" t="str">
        <f>IF(VLOOKUP(K8,'Train Runs'!$A$13:$V$995,1,TRUE)=K8,VLOOKUP(K8,'Train Runs'!$A$13:$V$995,22,TRUE),NA())</f>
        <v>https://d0f6bd738d7f1b3e5a7ca70fe4ff75f0.us-east-1.aws.found.io/app/kibana#/discover/Steve-Slow-Train-Analysis-(2080s-and-2083s)?_g=(refreshInterval:(display:Off,pause:!f,section:0,value:0),time:(from:'2017-03-19T07:53:28-0600',mode:absolute,to:'2017-03-19T10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8" s="210">
        <f t="shared" si="2"/>
        <v>42800.643750000003</v>
      </c>
      <c r="K8" s="210" t="str">
        <f>D8&amp;"-"&amp;IF(DAY(Variables!$A$2)&lt;10,0,"")&amp;DAY(Variables!$A$2)</f>
        <v>136-19</v>
      </c>
      <c r="L8" s="206">
        <f>IF(VLOOKUP(K8,'Train Runs'!$A$12:$B$995,1,TRUE)=K8,VLOOKUP(K8,'Train Runs'!$A$12:$B$995,2,TRUE),NA())</f>
        <v>4015</v>
      </c>
      <c r="M8" s="206">
        <f>VLOOKUP(B8,Variables!$T$2:$X$99,2,FALSE)</f>
        <v>167</v>
      </c>
      <c r="N8" s="206">
        <f>VLOOKUP(B8,Variables!$T$2:$X$99,3,FALSE)</f>
        <v>168</v>
      </c>
      <c r="O8" s="206">
        <f>VLOOKUP(B8,Variables!$T$2:$X$99,4,FALSE)</f>
        <v>199</v>
      </c>
      <c r="P8" s="206">
        <f>VLOOKUP(B8,Variables!$T$2:$X$99,5,FALSE)</f>
        <v>200</v>
      </c>
      <c r="Q8" s="205" t="str">
        <f t="shared" si="3"/>
        <v>(\|PRM\|1\|D)|(crossing.((167)|(168)|(199)|(200)))</v>
      </c>
    </row>
    <row r="9" spans="1:17" x14ac:dyDescent="0.25">
      <c r="A9" s="201">
        <v>42800.404861111114</v>
      </c>
      <c r="B9" s="208" t="s">
        <v>379</v>
      </c>
      <c r="C9" s="198" t="s">
        <v>381</v>
      </c>
      <c r="D9" s="212">
        <f t="shared" si="4"/>
        <v>138</v>
      </c>
      <c r="E9" s="30" t="s">
        <v>383</v>
      </c>
      <c r="F9" s="212" t="b">
        <v>1</v>
      </c>
      <c r="G9" s="216" t="str">
        <f t="shared" si="0"/>
        <v>"C:\Program Files (x86)\AstroGrep\AstroGrep.exe" /e /r /s /spath="%USERPROFILE%\AppData\Local\Temp\OnboardLogs" /stypes="*4026*201703061*" /stext=" 15:.+((SYSTEM_STATE.+slice.+state.+changed )|(ment ac)|(multiple cpu faults)|(system.+state.+changed )|(\[timeout)|(PRM\|1\|D)|(kpr)|(kdp)|(\|lc)|(penalty)|(\|PRM\|1\|D)|(crossing.((167)|(168)|(199)|(200))))"</v>
      </c>
      <c r="H9" s="218" t="str">
        <f t="shared" si="1"/>
        <v>grep -hSE " 15:.+((\|PRM\|1\|D)|(crossing.((167)|(168)|(199)|(200))))" "%USERPROFILE%\AppData\Local\Temp\OnboardLogs"\RTDC4026\*4026*201703061*</v>
      </c>
      <c r="I9" s="214" t="str">
        <f>IF(VLOOKUP(K9,'Train Runs'!$A$13:$V$995,1,TRUE)=K9,VLOOKUP(K9,'Train Runs'!$A$13:$V$995,22,TRUE),NA())</f>
        <v>https://d0f6bd738d7f1b3e5a7ca70fe4ff75f0.us-east-1.aws.found.io/app/kibana#/discover/Steve-Slow-Train-Analysis-(2080s-and-2083s)?_g=(refreshInterval:(display:Off,pause:!f,section:0,value:0),time:(from:'2017-03-19T08:02:11-0600',mode:absolute,to:'2017-03-19T10:49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9" s="210">
        <f t="shared" si="2"/>
        <v>42800.654861111114</v>
      </c>
      <c r="K9" s="210" t="str">
        <f>D9&amp;"-"&amp;IF(DAY(Variables!$A$2)&lt;10,0,"")&amp;DAY(Variables!$A$2)</f>
        <v>138-19</v>
      </c>
      <c r="L9" s="206">
        <f>IF(VLOOKUP(K9,'Train Runs'!$A$12:$B$995,1,TRUE)=K9,VLOOKUP(K9,'Train Runs'!$A$12:$B$995,2,TRUE),NA())</f>
        <v>4026</v>
      </c>
      <c r="M9" s="206">
        <f>VLOOKUP(B9,Variables!$T$2:$X$99,2,FALSE)</f>
        <v>167</v>
      </c>
      <c r="N9" s="206">
        <f>VLOOKUP(B9,Variables!$T$2:$X$99,3,FALSE)</f>
        <v>168</v>
      </c>
      <c r="O9" s="206">
        <f>VLOOKUP(B9,Variables!$T$2:$X$99,4,FALSE)</f>
        <v>199</v>
      </c>
      <c r="P9" s="206">
        <f>VLOOKUP(B9,Variables!$T$2:$X$99,5,FALSE)</f>
        <v>200</v>
      </c>
      <c r="Q9" s="205" t="str">
        <f t="shared" si="3"/>
        <v>(\|PRM\|1\|D)|(crossing.((167)|(168)|(199)|(200)))</v>
      </c>
    </row>
    <row r="10" spans="1:17" x14ac:dyDescent="0.25">
      <c r="A10" s="201">
        <v>42800.415972222225</v>
      </c>
      <c r="B10" s="208" t="s">
        <v>379</v>
      </c>
      <c r="C10" s="198" t="s">
        <v>381</v>
      </c>
      <c r="D10" s="212">
        <f t="shared" si="4"/>
        <v>140</v>
      </c>
      <c r="E10" s="30" t="s">
        <v>383</v>
      </c>
      <c r="F10" s="212" t="b">
        <v>1</v>
      </c>
      <c r="G10" s="216" t="str">
        <f t="shared" si="0"/>
        <v>"C:\Program Files (x86)\AstroGrep\AstroGrep.exe" /e /r /s /spath="%USERPROFILE%\AppData\Local\Temp\OnboardLogs" /stypes="*4019*201703061*" /stext=" 15:.+((SYSTEM_STATE.+slice.+state.+changed )|(ment ac)|(multiple cpu faults)|(system.+state.+changed )|(\[timeout)|(PRM\|1\|D)|(kpr)|(kdp)|(\|lc)|(penalty)|(\|PRM\|1\|D)|(crossing.((167)|(168)|(199)|(200))))"</v>
      </c>
      <c r="H10" s="218" t="str">
        <f t="shared" si="1"/>
        <v>grep -hSE " 15:.+((\|PRM\|1\|D)|(crossing.((167)|(168)|(199)|(200))))" "%USERPROFILE%\AppData\Local\Temp\OnboardLogs"\RTDC4019\*4019*201703061*</v>
      </c>
      <c r="I10" s="214" t="str">
        <f>IF(VLOOKUP(K10,'Train Runs'!$A$13:$V$995,1,TRUE)=K10,VLOOKUP(K10,'Train Runs'!$A$13:$V$995,22,TRUE),NA())</f>
        <v>https://d0f6bd738d7f1b3e5a7ca70fe4ff75f0.us-east-1.aws.found.io/app/kibana#/discover/Steve-Slow-Train-Analysis-(2080s-and-2083s)?_g=(refreshInterval:(display:Off,pause:!f,section:0,value:0),time:(from:'2017-03-19T08:21:54-0600',mode:absolute,to:'2017-03-19T11:03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0" s="210">
        <f t="shared" si="2"/>
        <v>42800.665972222225</v>
      </c>
      <c r="K10" s="210" t="str">
        <f>D10&amp;"-"&amp;IF(DAY(Variables!$A$2)&lt;10,0,"")&amp;DAY(Variables!$A$2)</f>
        <v>140-19</v>
      </c>
      <c r="L10" s="206">
        <f>IF(VLOOKUP(K10,'Train Runs'!$A$12:$B$995,1,TRUE)=K10,VLOOKUP(K10,'Train Runs'!$A$12:$B$995,2,TRUE),NA())</f>
        <v>4019</v>
      </c>
      <c r="M10" s="206">
        <f>VLOOKUP(B10,Variables!$T$2:$X$99,2,FALSE)</f>
        <v>167</v>
      </c>
      <c r="N10" s="206">
        <f>VLOOKUP(B10,Variables!$T$2:$X$99,3,FALSE)</f>
        <v>168</v>
      </c>
      <c r="O10" s="206">
        <f>VLOOKUP(B10,Variables!$T$2:$X$99,4,FALSE)</f>
        <v>199</v>
      </c>
      <c r="P10" s="206">
        <f>VLOOKUP(B10,Variables!$T$2:$X$99,5,FALSE)</f>
        <v>200</v>
      </c>
      <c r="Q10" s="205" t="str">
        <f t="shared" si="3"/>
        <v>(\|PRM\|1\|D)|(crossing.((167)|(168)|(199)|(200)))</v>
      </c>
    </row>
    <row r="11" spans="1:17" x14ac:dyDescent="0.25">
      <c r="A11" s="201">
        <v>42800.425000000003</v>
      </c>
      <c r="B11" s="208" t="s">
        <v>379</v>
      </c>
      <c r="C11" s="198" t="s">
        <v>381</v>
      </c>
      <c r="D11" s="212">
        <f t="shared" si="4"/>
        <v>142</v>
      </c>
      <c r="E11" s="30" t="s">
        <v>383</v>
      </c>
      <c r="F11" s="212" t="b">
        <v>1</v>
      </c>
      <c r="G11" s="216" t="str">
        <f t="shared" si="0"/>
        <v>"C:\Program Files (x86)\AstroGrep\AstroGrep.exe" /e /r /s /spath="%USERPROFILE%\AppData\Local\Temp\OnboardLogs" /stypes="*4039*201703061*" /stext=" 16:.+((SYSTEM_STATE.+slice.+state.+changed )|(ment ac)|(multiple cpu faults)|(system.+state.+changed )|(\[timeout)|(PRM\|1\|D)|(kpr)|(kdp)|(\|lc)|(penalty)|(\|PRM\|1\|D)|(crossing.((167)|(168)|(199)|(200))))"</v>
      </c>
      <c r="H11" s="218" t="str">
        <f t="shared" si="1"/>
        <v>grep -hSE " 16:.+((\|PRM\|1\|D)|(crossing.((167)|(168)|(199)|(200))))" "%USERPROFILE%\AppData\Local\Temp\OnboardLogs"\RTDC4039\*4039*201703061*</v>
      </c>
      <c r="I11" s="214" t="str">
        <f>IF(VLOOKUP(K11,'Train Runs'!$A$13:$V$995,1,TRUE)=K11,VLOOKUP(K11,'Train Runs'!$A$13:$V$995,22,TRUE),NA())</f>
        <v>https://d0f6bd738d7f1b3e5a7ca70fe4ff75f0.us-east-1.aws.found.io/app/kibana#/discover/Steve-Slow-Train-Analysis-(2080s-and-2083s)?_g=(refreshInterval:(display:Off,pause:!f,section:0,value:0),time:(from:'2017-03-19T08:23:09-0600',mode:absolute,to:'2017-03-19T11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1" s="210">
        <f t="shared" si="2"/>
        <v>42800.675000000003</v>
      </c>
      <c r="K11" s="210" t="str">
        <f>D11&amp;"-"&amp;IF(DAY(Variables!$A$2)&lt;10,0,"")&amp;DAY(Variables!$A$2)</f>
        <v>142-19</v>
      </c>
      <c r="L11" s="206">
        <f>IF(VLOOKUP(K11,'Train Runs'!$A$12:$B$995,1,TRUE)=K11,VLOOKUP(K11,'Train Runs'!$A$12:$B$995,2,TRUE),NA())</f>
        <v>4039</v>
      </c>
      <c r="M11" s="206">
        <f>VLOOKUP(B11,Variables!$T$2:$X$99,2,FALSE)</f>
        <v>167</v>
      </c>
      <c r="N11" s="206">
        <f>VLOOKUP(B11,Variables!$T$2:$X$99,3,FALSE)</f>
        <v>168</v>
      </c>
      <c r="O11" s="206">
        <f>VLOOKUP(B11,Variables!$T$2:$X$99,4,FALSE)</f>
        <v>199</v>
      </c>
      <c r="P11" s="206">
        <f>VLOOKUP(B11,Variables!$T$2:$X$99,5,FALSE)</f>
        <v>200</v>
      </c>
      <c r="Q11" s="205" t="str">
        <f t="shared" si="3"/>
        <v>(\|PRM\|1\|D)|(crossing.((167)|(168)|(199)|(200)))</v>
      </c>
    </row>
    <row r="12" spans="1:17" x14ac:dyDescent="0.25">
      <c r="A12" s="201">
        <v>42800.435416666667</v>
      </c>
      <c r="B12" s="208" t="s">
        <v>379</v>
      </c>
      <c r="C12" s="198" t="s">
        <v>381</v>
      </c>
      <c r="D12" s="212">
        <v>144</v>
      </c>
      <c r="E12" s="30" t="s">
        <v>383</v>
      </c>
      <c r="F12" s="212" t="b">
        <v>1</v>
      </c>
      <c r="G12" s="216" t="str">
        <f t="shared" si="0"/>
        <v>"C:\Program Files (x86)\AstroGrep\AstroGrep.exe" /e /r /s /spath="%USERPROFILE%\AppData\Local\Temp\OnboardLogs" /stypes="*4054*201703061*" /stext=" 16:.+((SYSTEM_STATE.+slice.+state.+changed )|(ment ac)|(multiple cpu faults)|(system.+state.+changed )|(\[timeout)|(PRM\|1\|D)|(kpr)|(kdp)|(\|lc)|(penalty)|(\|PRM\|1\|D)|(crossing.((167)|(168)|(199)|(200))))"</v>
      </c>
      <c r="H12" s="218" t="str">
        <f t="shared" si="1"/>
        <v>grep -hSE " 16:.+((\|PRM\|1\|D)|(crossing.((167)|(168)|(199)|(200))))" "%USERPROFILE%\AppData\Local\Temp\OnboardLogs"\RTDC4054\*4054*201703061*</v>
      </c>
      <c r="I12" s="214" t="str">
        <f>IF(VLOOKUP(K12,'Train Runs'!$A$13:$V$995,1,TRUE)=K12,VLOOKUP(K12,'Train Runs'!$A$13:$V$995,22,TRUE),NA())</f>
        <v>https://d0f6bd738d7f1b3e5a7ca70fe4ff75f0.us-east-1.aws.found.io/app/kibana#/discover/Steve-Slow-Train-Analysis-(2080s-and-2083s)?_g=(refreshInterval:(display:Off,pause:!f,section:0,value:0),time:(from:'2017-03-19T08:38:34-0600',mode:absolute,to:'2017-03-19T11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12" s="210">
        <f t="shared" si="2"/>
        <v>42800.685416666667</v>
      </c>
      <c r="K12" s="210" t="str">
        <f>D12&amp;"-"&amp;IF(DAY(Variables!$A$2)&lt;10,0,"")&amp;DAY(Variables!$A$2)</f>
        <v>144-19</v>
      </c>
      <c r="L12" s="206">
        <f>IF(VLOOKUP(K12,'Train Runs'!$A$12:$B$995,1,TRUE)=K12,VLOOKUP(K12,'Train Runs'!$A$12:$B$995,2,TRUE),NA())</f>
        <v>4054</v>
      </c>
      <c r="M12" s="206">
        <f>VLOOKUP(B12,Variables!$T$2:$X$99,2,FALSE)</f>
        <v>167</v>
      </c>
      <c r="N12" s="206">
        <f>VLOOKUP(B12,Variables!$T$2:$X$99,3,FALSE)</f>
        <v>168</v>
      </c>
      <c r="O12" s="206">
        <f>VLOOKUP(B12,Variables!$T$2:$X$99,4,FALSE)</f>
        <v>199</v>
      </c>
      <c r="P12" s="206">
        <f>VLOOKUP(B12,Variables!$T$2:$X$99,5,FALSE)</f>
        <v>200</v>
      </c>
      <c r="Q12" s="205" t="str">
        <f t="shared" si="3"/>
        <v>(\|PRM\|1\|D)|(crossing.((167)|(168)|(199)|(200)))</v>
      </c>
    </row>
    <row r="13" spans="1:17" x14ac:dyDescent="0.25">
      <c r="A13" s="201">
        <v>42800.445833333331</v>
      </c>
      <c r="B13" s="208" t="s">
        <v>379</v>
      </c>
      <c r="C13" s="198" t="s">
        <v>381</v>
      </c>
      <c r="D13" s="212">
        <v>146</v>
      </c>
      <c r="E13" s="30" t="s">
        <v>383</v>
      </c>
      <c r="F13" s="212" t="b">
        <v>1</v>
      </c>
      <c r="G13" s="216" t="str">
        <f t="shared" si="0"/>
        <v>"C:\Program Files (x86)\AstroGrep\AstroGrep.exe" /e /r /s /spath="%USERPROFILE%\AppData\Local\Temp\OnboardLogs" /stypes="*4004*201703061*" /stext=" 16:.+((SYSTEM_STATE.+slice.+state.+changed )|(ment ac)|(multiple cpu faults)|(system.+state.+changed )|(\[timeout)|(PRM\|1\|D)|(kpr)|(kdp)|(\|lc)|(penalty)|(\|PRM\|1\|D)|(crossing.((167)|(168)|(199)|(200))))"</v>
      </c>
      <c r="H13" s="218" t="str">
        <f t="shared" si="1"/>
        <v>grep -hSE " 16:.+((\|PRM\|1\|D)|(crossing.((167)|(168)|(199)|(200))))" "%USERPROFILE%\AppData\Local\Temp\OnboardLogs"\RTDC4004\*4004*201703061*</v>
      </c>
      <c r="I13" s="214" t="str">
        <f>IF(VLOOKUP(K13,'Train Runs'!$A$13:$V$995,1,TRUE)=K13,VLOOKUP(K13,'Train Runs'!$A$13:$V$995,22,TRUE),NA())</f>
        <v>https://d0f6bd738d7f1b3e5a7ca70fe4ff75f0.us-east-1.aws.found.io/app/kibana#/discover/Steve-Slow-Train-Analysis-(2080s-and-2083s)?_g=(refreshInterval:(display:Off,pause:!f,section:0,value:0),time:(from:'2017-03-19T09:08:00-0600',mode:absolute,to:'2017-03-19T11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13" s="210">
        <f t="shared" si="2"/>
        <v>42800.695833333331</v>
      </c>
      <c r="K13" s="210" t="str">
        <f>D13&amp;"-"&amp;IF(DAY(Variables!$A$2)&lt;10,0,"")&amp;DAY(Variables!$A$2)</f>
        <v>146-19</v>
      </c>
      <c r="L13" s="206">
        <f>IF(VLOOKUP(K13,'Train Runs'!$A$12:$B$995,1,TRUE)=K13,VLOOKUP(K13,'Train Runs'!$A$12:$B$995,2,TRUE),NA())</f>
        <v>4004</v>
      </c>
      <c r="M13" s="206">
        <f>VLOOKUP(B13,Variables!$T$2:$X$99,2,FALSE)</f>
        <v>167</v>
      </c>
      <c r="N13" s="206">
        <f>VLOOKUP(B13,Variables!$T$2:$X$99,3,FALSE)</f>
        <v>168</v>
      </c>
      <c r="O13" s="206">
        <f>VLOOKUP(B13,Variables!$T$2:$X$99,4,FALSE)</f>
        <v>199</v>
      </c>
      <c r="P13" s="206">
        <f>VLOOKUP(B13,Variables!$T$2:$X$99,5,FALSE)</f>
        <v>200</v>
      </c>
      <c r="Q13" s="205" t="str">
        <f t="shared" si="3"/>
        <v>(\|PRM\|1\|D)|(crossing.((167)|(168)|(199)|(200)))</v>
      </c>
    </row>
    <row r="14" spans="1:17" x14ac:dyDescent="0.25">
      <c r="A14" s="201">
        <v>42800.456944444442</v>
      </c>
      <c r="B14" s="208" t="s">
        <v>379</v>
      </c>
      <c r="C14" s="198" t="s">
        <v>381</v>
      </c>
      <c r="D14" s="212">
        <v>148</v>
      </c>
      <c r="E14" s="30" t="s">
        <v>387</v>
      </c>
      <c r="F14" s="212" t="b">
        <v>1</v>
      </c>
      <c r="G14" s="216" t="str">
        <f t="shared" si="0"/>
        <v>"C:\Program Files (x86)\AstroGrep\AstroGrep.exe" /e /r /s /spath="%USERPROFILE%\AppData\Local\Temp\OnboardLogs" /stypes="*4001*201703061*" /stext=" 16:.+((SYSTEM_STATE.+slice.+state.+changed )|(ment ac)|(multiple cpu faults)|(system.+state.+changed )|(\[timeout)|(PRM\|1\|D)|(kpr)|(kdp)|(\|lc)|(penalty)|(\|PRM\|1\|D)|(crossing.((167)|(168)|(199)|(200))))"</v>
      </c>
      <c r="H14" s="218" t="str">
        <f t="shared" si="1"/>
        <v>grep -hSE " 16:.+((\|PRM\|1\|D)|(crossing.((167)|(168)|(199)|(200))))" "%USERPROFILE%\AppData\Local\Temp\OnboardLogs"\RTDC4001\*4001*201703061*</v>
      </c>
      <c r="I14" s="214" t="str">
        <f>IF(VLOOKUP(K14,'Train Runs'!$A$13:$V$995,1,TRUE)=K14,VLOOKUP(K14,'Train Runs'!$A$13:$V$995,22,TRUE),NA())</f>
        <v>https://d0f6bd738d7f1b3e5a7ca70fe4ff75f0.us-east-1.aws.found.io/app/kibana#/discover/Steve-Slow-Train-Analysis-(2080s-and-2083s)?_g=(refreshInterval:(display:Off,pause:!f,section:0,value:0),time:(from:'2017-03-19T09:14:05-0600',mode:absolute,to:'2017-03-19T12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14" s="210">
        <f t="shared" si="2"/>
        <v>42800.706944444442</v>
      </c>
      <c r="K14" s="210" t="str">
        <f>D14&amp;"-"&amp;IF(DAY(Variables!$A$2)&lt;10,0,"")&amp;DAY(Variables!$A$2)</f>
        <v>148-19</v>
      </c>
      <c r="L14" s="206">
        <f>IF(VLOOKUP(K14,'Train Runs'!$A$12:$B$995,1,TRUE)=K14,VLOOKUP(K14,'Train Runs'!$A$12:$B$995,2,TRUE),NA())</f>
        <v>4001</v>
      </c>
      <c r="M14" s="206">
        <f>VLOOKUP(B14,Variables!$T$2:$X$99,2,FALSE)</f>
        <v>167</v>
      </c>
      <c r="N14" s="206">
        <f>VLOOKUP(B14,Variables!$T$2:$X$99,3,FALSE)</f>
        <v>168</v>
      </c>
      <c r="O14" s="206">
        <f>VLOOKUP(B14,Variables!$T$2:$X$99,4,FALSE)</f>
        <v>199</v>
      </c>
      <c r="P14" s="206">
        <f>VLOOKUP(B14,Variables!$T$2:$X$99,5,FALSE)</f>
        <v>200</v>
      </c>
      <c r="Q14" s="205" t="str">
        <f t="shared" si="3"/>
        <v>(\|PRM\|1\|D)|(crossing.((167)|(168)|(199)|(200)))</v>
      </c>
    </row>
    <row r="15" spans="1:17" x14ac:dyDescent="0.25">
      <c r="A15" s="201">
        <v>42800.614583333336</v>
      </c>
      <c r="B15" s="208" t="s">
        <v>379</v>
      </c>
      <c r="C15" s="198" t="s">
        <v>381</v>
      </c>
      <c r="D15" s="212">
        <v>178</v>
      </c>
      <c r="E15" s="30" t="s">
        <v>388</v>
      </c>
      <c r="F15" s="212" t="b">
        <v>1</v>
      </c>
      <c r="G15" s="216" t="str">
        <f t="shared" si="0"/>
        <v>"C:\Program Files (x86)\AstroGrep\AstroGrep.exe" /e /r /s /spath="%USERPROFILE%\AppData\Local\Temp\OnboardLogs" /stypes="*4015*201703062*" /stext=" 20:.+((SYSTEM_STATE.+slice.+state.+changed )|(ment ac)|(multiple cpu faults)|(system.+state.+changed )|(\[timeout)|(PRM\|1\|D)|(kpr)|(kdp)|(\|lc)|(penalty)|(\|PRM\|1\|D)|(crossing.((167)|(168)|(199)|(200))))"</v>
      </c>
      <c r="H15" s="218" t="str">
        <f t="shared" si="1"/>
        <v>grep -hSE " 20:.+((\|PRM\|1\|D)|(crossing.((167)|(168)|(199)|(200))))" "%USERPROFILE%\AppData\Local\Temp\OnboardLogs"\RTDC4015\*4015*201703062*</v>
      </c>
      <c r="I15" s="214" t="str">
        <f>IF(VLOOKUP(K15,'Train Runs'!$A$13:$V$995,1,TRUE)=K15,VLOOKUP(K15,'Train Runs'!$A$13:$V$995,22,TRUE),NA())</f>
        <v>https://d0f6bd738d7f1b3e5a7ca70fe4ff75f0.us-east-1.aws.found.io/app/kibana#/discover/Steve-Slow-Train-Analysis-(2080s-and-2083s)?_g=(refreshInterval:(display:Off,pause:!f,section:0,value:0),time:(from:'2017-03-19T13:03:46-0600',mode:absolute,to:'2017-03-19T15:49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15" s="210">
        <f t="shared" si="2"/>
        <v>42800.864583333336</v>
      </c>
      <c r="K15" s="210" t="str">
        <f>D15&amp;"-"&amp;IF(DAY(Variables!$A$2)&lt;10,0,"")&amp;DAY(Variables!$A$2)</f>
        <v>178-19</v>
      </c>
      <c r="L15" s="206">
        <f>IF(VLOOKUP(K15,'Train Runs'!$A$12:$B$995,1,TRUE)=K15,VLOOKUP(K15,'Train Runs'!$A$12:$B$995,2,TRUE),NA())</f>
        <v>4015</v>
      </c>
      <c r="M15" s="206">
        <f>VLOOKUP(B15,Variables!$T$2:$X$99,2,FALSE)</f>
        <v>167</v>
      </c>
      <c r="N15" s="206">
        <f>VLOOKUP(B15,Variables!$T$2:$X$99,3,FALSE)</f>
        <v>168</v>
      </c>
      <c r="O15" s="206">
        <f>VLOOKUP(B15,Variables!$T$2:$X$99,4,FALSE)</f>
        <v>199</v>
      </c>
      <c r="P15" s="206">
        <f>VLOOKUP(B15,Variables!$T$2:$X$99,5,FALSE)</f>
        <v>200</v>
      </c>
      <c r="Q15" s="205" t="str">
        <f t="shared" si="3"/>
        <v>(\|PRM\|1\|D)|(crossing.((167)|(168)|(199)|(200)))</v>
      </c>
    </row>
    <row r="16" spans="1:17" x14ac:dyDescent="0.25">
      <c r="A16" s="201">
        <v>42800.699305555558</v>
      </c>
      <c r="B16" s="208" t="s">
        <v>379</v>
      </c>
      <c r="C16" s="198" t="s">
        <v>381</v>
      </c>
      <c r="D16" s="212">
        <v>194</v>
      </c>
      <c r="E16" s="30" t="s">
        <v>388</v>
      </c>
      <c r="F16" s="212" t="b">
        <v>1</v>
      </c>
      <c r="G16" s="216" t="str">
        <f t="shared" si="0"/>
        <v>"C:\Program Files (x86)\AstroGrep\AstroGrep.exe" /e /r /s /spath="%USERPROFILE%\AppData\Local\Temp\OnboardLogs" /stypes="*4026*201703062*" /stext=" 22:.+((SYSTEM_STATE.+slice.+state.+changed )|(ment ac)|(multiple cpu faults)|(system.+state.+changed )|(\[timeout)|(PRM\|1\|D)|(kpr)|(kdp)|(\|lc)|(penalty)|(\|PRM\|1\|D)|(crossing.((167)|(168)|(199)|(200))))"</v>
      </c>
      <c r="H16" s="218" t="str">
        <f t="shared" si="1"/>
        <v>grep -hSE " 22:.+((\|PRM\|1\|D)|(crossing.((167)|(168)|(199)|(200))))" "%USERPROFILE%\AppData\Local\Temp\OnboardLogs"\RTDC4026\*4026*201703062*</v>
      </c>
      <c r="I16" s="214" t="str">
        <f>IF(VLOOKUP(K16,'Train Runs'!$A$13:$V$995,1,TRUE)=K16,VLOOKUP(K16,'Train Runs'!$A$13:$V$995,22,TRUE),NA())</f>
        <v>https://d0f6bd738d7f1b3e5a7ca70fe4ff75f0.us-east-1.aws.found.io/app/kibana#/discover/Steve-Slow-Train-Analysis-(2080s-and-2083s)?_g=(refreshInterval:(display:Off,pause:!f,section:0,value:0),time:(from:'2017-03-19T15:05:24-0600',mode:absolute,to:'2017-03-19T17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16" s="210">
        <f t="shared" si="2"/>
        <v>42800.949305555558</v>
      </c>
      <c r="K16" s="210" t="str">
        <f>D16&amp;"-"&amp;IF(DAY(Variables!$A$2)&lt;10,0,"")&amp;DAY(Variables!$A$2)</f>
        <v>194-19</v>
      </c>
      <c r="L16" s="206">
        <f>IF(VLOOKUP(K16,'Train Runs'!$A$12:$B$995,1,TRUE)=K16,VLOOKUP(K16,'Train Runs'!$A$12:$B$995,2,TRUE),NA())</f>
        <v>4026</v>
      </c>
      <c r="M16" s="206">
        <f>VLOOKUP(B16,Variables!$T$2:$X$99,2,FALSE)</f>
        <v>167</v>
      </c>
      <c r="N16" s="206">
        <f>VLOOKUP(B16,Variables!$T$2:$X$99,3,FALSE)</f>
        <v>168</v>
      </c>
      <c r="O16" s="206">
        <f>VLOOKUP(B16,Variables!$T$2:$X$99,4,FALSE)</f>
        <v>199</v>
      </c>
      <c r="P16" s="206">
        <f>VLOOKUP(B16,Variables!$T$2:$X$99,5,FALSE)</f>
        <v>200</v>
      </c>
      <c r="Q16" s="205" t="str">
        <f t="shared" si="3"/>
        <v>(\|PRM\|1\|D)|(crossing.((167)|(168)|(199)|(200)))</v>
      </c>
    </row>
    <row r="17" spans="1:17" x14ac:dyDescent="0.25">
      <c r="A17" s="201">
        <v>42800.771527777775</v>
      </c>
      <c r="B17" s="208" t="s">
        <v>379</v>
      </c>
      <c r="C17" s="198" t="s">
        <v>381</v>
      </c>
      <c r="D17" s="212">
        <v>206</v>
      </c>
      <c r="E17" s="30" t="s">
        <v>383</v>
      </c>
      <c r="F17" s="212" t="b">
        <v>1</v>
      </c>
      <c r="G17" s="216" t="str">
        <f t="shared" si="0"/>
        <v>"C:\Program Files (x86)\AstroGrep\AstroGrep.exe" /e /r /s /spath="%USERPROFILE%\AppData\Local\Temp\OnboardLogs" /stypes="*4015*201703070*" /stext=" 00:.+((SYSTEM_STATE.+slice.+state.+changed )|(ment ac)|(multiple cpu faults)|(system.+state.+changed )|(\[timeout)|(PRM\|1\|D)|(kpr)|(kdp)|(\|lc)|(penalty)|(\|PRM\|1\|D)|(crossing.((167)|(168)|(199)|(200))))"</v>
      </c>
      <c r="H17" s="218" t="str">
        <f t="shared" si="1"/>
        <v>grep -hSE " 00:.+((\|PRM\|1\|D)|(crossing.((167)|(168)|(199)|(200))))" "%USERPROFILE%\AppData\Local\Temp\OnboardLogs"\RTDC4015\*4015*201703070*</v>
      </c>
      <c r="I17" s="214" t="str">
        <f>IF(VLOOKUP(K17,'Train Runs'!$A$13:$V$995,1,TRUE)=K17,VLOOKUP(K17,'Train Runs'!$A$13:$V$995,22,TRUE),NA())</f>
        <v>https://d0f6bd738d7f1b3e5a7ca70fe4ff75f0.us-east-1.aws.found.io/app/kibana#/discover/Steve-Slow-Train-Analysis-(2080s-and-2083s)?_g=(refreshInterval:(display:Off,pause:!f,section:0,value:0),time:(from:'2017-03-19T16:31:04-0600',mode:absolute,to:'2017-03-19T19:23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17" s="210">
        <f t="shared" si="2"/>
        <v>42801.021527777775</v>
      </c>
      <c r="K17" s="210" t="str">
        <f>D17&amp;"-"&amp;IF(DAY(Variables!$A$2)&lt;10,0,"")&amp;DAY(Variables!$A$2)</f>
        <v>206-19</v>
      </c>
      <c r="L17" s="206">
        <f>IF(VLOOKUP(K17,'Train Runs'!$A$12:$B$995,1,TRUE)=K17,VLOOKUP(K17,'Train Runs'!$A$12:$B$995,2,TRUE),NA())</f>
        <v>4015</v>
      </c>
      <c r="M17" s="206">
        <f>VLOOKUP(B17,Variables!$T$2:$X$99,2,FALSE)</f>
        <v>167</v>
      </c>
      <c r="N17" s="206">
        <f>VLOOKUP(B17,Variables!$T$2:$X$99,3,FALSE)</f>
        <v>168</v>
      </c>
      <c r="O17" s="206">
        <f>VLOOKUP(B17,Variables!$T$2:$X$99,4,FALSE)</f>
        <v>199</v>
      </c>
      <c r="P17" s="206">
        <f>VLOOKUP(B17,Variables!$T$2:$X$99,5,FALSE)</f>
        <v>200</v>
      </c>
      <c r="Q17" s="205" t="str">
        <f t="shared" si="3"/>
        <v>(\|PRM\|1\|D)|(crossing.((167)|(168)|(199)|(200)))</v>
      </c>
    </row>
    <row r="18" spans="1:17" x14ac:dyDescent="0.25">
      <c r="A18" s="201">
        <v>42800.784722222219</v>
      </c>
      <c r="B18" s="208" t="s">
        <v>379</v>
      </c>
      <c r="C18" s="198" t="s">
        <v>381</v>
      </c>
      <c r="D18" s="212">
        <v>210</v>
      </c>
      <c r="E18" s="30" t="s">
        <v>383</v>
      </c>
      <c r="F18" s="212" t="b">
        <v>1</v>
      </c>
      <c r="G18" s="216" t="str">
        <f t="shared" si="0"/>
        <v>"C:\Program Files (x86)\AstroGrep\AstroGrep.exe" /e /r /s /spath="%USERPROFILE%\AppData\Local\Temp\OnboardLogs" /stypes="*4019*201703070*" /stext=" 00:.+((SYSTEM_STATE.+slice.+state.+changed )|(ment ac)|(multiple cpu faults)|(system.+state.+changed )|(\[timeout)|(PRM\|1\|D)|(kpr)|(kdp)|(\|lc)|(penalty)|(\|PRM\|1\|D)|(crossing.((167)|(168)|(199)|(200))))"</v>
      </c>
      <c r="H18" s="218" t="str">
        <f t="shared" si="1"/>
        <v>grep -hSE " 00:.+((\|PRM\|1\|D)|(crossing.((167)|(168)|(199)|(200))))" "%USERPROFILE%\AppData\Local\Temp\OnboardLogs"\RTDC4019\*4019*201703070*</v>
      </c>
      <c r="I18" s="214" t="str">
        <f>IF(VLOOKUP(K18,'Train Runs'!$A$13:$V$995,1,TRUE)=K18,VLOOKUP(K18,'Train Runs'!$A$13:$V$995,22,TRUE),NA())</f>
        <v>https://d0f6bd738d7f1b3e5a7ca70fe4ff75f0.us-east-1.aws.found.io/app/kibana#/discover/Steve-Slow-Train-Analysis-(2080s-and-2083s)?_g=(refreshInterval:(display:Off,pause:!f,section:0,value:0),time:(from:'2017-03-19T17:09:31-0600',mode:absolute,to:'2017-03-19T19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8" s="210">
        <f t="shared" si="2"/>
        <v>42801.034722222219</v>
      </c>
      <c r="K18" s="210" t="str">
        <f>D18&amp;"-"&amp;IF(DAY(Variables!$A$2)&lt;10,0,"")&amp;DAY(Variables!$A$2)</f>
        <v>210-19</v>
      </c>
      <c r="L18" s="206">
        <f>IF(VLOOKUP(K18,'Train Runs'!$A$12:$B$995,1,TRUE)=K18,VLOOKUP(K18,'Train Runs'!$A$12:$B$995,2,TRUE),NA())</f>
        <v>4019</v>
      </c>
      <c r="M18" s="206">
        <f>VLOOKUP(B18,Variables!$T$2:$X$99,2,FALSE)</f>
        <v>167</v>
      </c>
      <c r="N18" s="206">
        <f>VLOOKUP(B18,Variables!$T$2:$X$99,3,FALSE)</f>
        <v>168</v>
      </c>
      <c r="O18" s="206">
        <f>VLOOKUP(B18,Variables!$T$2:$X$99,4,FALSE)</f>
        <v>199</v>
      </c>
      <c r="P18" s="206">
        <f>VLOOKUP(B18,Variables!$T$2:$X$99,5,FALSE)</f>
        <v>200</v>
      </c>
      <c r="Q18" s="205" t="str">
        <f t="shared" si="3"/>
        <v>(\|PRM\|1\|D)|(crossing.((167)|(168)|(199)|(200)))</v>
      </c>
    </row>
    <row r="19" spans="1:17" x14ac:dyDescent="0.25">
      <c r="A19" s="201">
        <v>42800.790277777778</v>
      </c>
      <c r="B19" s="208" t="s">
        <v>379</v>
      </c>
      <c r="C19" s="198" t="s">
        <v>381</v>
      </c>
      <c r="D19" s="212">
        <f>D18+2</f>
        <v>212</v>
      </c>
      <c r="E19" s="30" t="s">
        <v>383</v>
      </c>
      <c r="F19" s="212" t="b">
        <v>1</v>
      </c>
      <c r="G19" s="216" t="str">
        <f t="shared" si="0"/>
        <v>"C:\Program Files (x86)\AstroGrep\AstroGrep.exe" /e /r /s /spath="%USERPROFILE%\AppData\Local\Temp\OnboardLogs" /stypes="*4039*201703070*" /stext=" 00:.+((SYSTEM_STATE.+slice.+state.+changed )|(ment ac)|(multiple cpu faults)|(system.+state.+changed )|(\[timeout)|(PRM\|1\|D)|(kpr)|(kdp)|(\|lc)|(penalty)|(\|PRM\|1\|D)|(crossing.((167)|(168)|(199)|(200))))"</v>
      </c>
      <c r="H19" s="218" t="str">
        <f t="shared" si="1"/>
        <v>grep -hSE " 00:.+((\|PRM\|1\|D)|(crossing.((167)|(168)|(199)|(200))))" "%USERPROFILE%\AppData\Local\Temp\OnboardLogs"\RTDC4039\*4039*201703070*</v>
      </c>
      <c r="I19" s="214" t="str">
        <f>IF(VLOOKUP(K19,'Train Runs'!$A$13:$V$995,1,TRUE)=K19,VLOOKUP(K19,'Train Runs'!$A$13:$V$995,22,TRUE),NA())</f>
        <v>https://d0f6bd738d7f1b3e5a7ca70fe4ff75f0.us-east-1.aws.found.io/app/kibana#/discover/Steve-Slow-Train-Analysis-(2080s-and-2083s)?_g=(refreshInterval:(display:Off,pause:!f,section:0,value:0),time:(from:'2017-03-19T17:20:23-0600',mode:absolute,to:'2017-03-19T20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9" s="210">
        <f t="shared" si="2"/>
        <v>42801.040277777778</v>
      </c>
      <c r="K19" s="210" t="str">
        <f>D19&amp;"-"&amp;IF(DAY(Variables!$A$2)&lt;10,0,"")&amp;DAY(Variables!$A$2)</f>
        <v>212-19</v>
      </c>
      <c r="L19" s="206">
        <f>IF(VLOOKUP(K19,'Train Runs'!$A$12:$B$995,1,TRUE)=K19,VLOOKUP(K19,'Train Runs'!$A$12:$B$995,2,TRUE),NA())</f>
        <v>4039</v>
      </c>
      <c r="M19" s="206">
        <f>VLOOKUP(B19,Variables!$T$2:$X$99,2,FALSE)</f>
        <v>167</v>
      </c>
      <c r="N19" s="206">
        <f>VLOOKUP(B19,Variables!$T$2:$X$99,3,FALSE)</f>
        <v>168</v>
      </c>
      <c r="O19" s="206">
        <f>VLOOKUP(B19,Variables!$T$2:$X$99,4,FALSE)</f>
        <v>199</v>
      </c>
      <c r="P19" s="206">
        <f>VLOOKUP(B19,Variables!$T$2:$X$99,5,FALSE)</f>
        <v>200</v>
      </c>
      <c r="Q19" s="205" t="str">
        <f t="shared" si="3"/>
        <v>(\|PRM\|1\|D)|(crossing.((167)|(168)|(199)|(200)))</v>
      </c>
    </row>
    <row r="20" spans="1:17" x14ac:dyDescent="0.25">
      <c r="A20" s="201">
        <v>42800.803472222222</v>
      </c>
      <c r="B20" s="208" t="s">
        <v>379</v>
      </c>
      <c r="C20" s="198" t="s">
        <v>381</v>
      </c>
      <c r="D20" s="212">
        <v>214</v>
      </c>
      <c r="E20" s="30" t="s">
        <v>383</v>
      </c>
      <c r="F20" s="212" t="b">
        <v>1</v>
      </c>
      <c r="G20" s="216" t="str">
        <f t="shared" si="0"/>
        <v>"C:\Program Files (x86)\AstroGrep\AstroGrep.exe" /e /r /s /spath="%USERPROFILE%\AppData\Local\Temp\OnboardLogs" /stypes="*4054*201703070*" /stext=" 01:.+((SYSTEM_STATE.+slice.+state.+changed )|(ment ac)|(multiple cpu faults)|(system.+state.+changed )|(\[timeout)|(PRM\|1\|D)|(kpr)|(kdp)|(\|lc)|(penalty)|(\|PRM\|1\|D)|(crossing.((167)|(168)|(199)|(200))))"</v>
      </c>
      <c r="H20" s="218" t="str">
        <f t="shared" si="1"/>
        <v>grep -hSE " 01:.+((\|PRM\|1\|D)|(crossing.((167)|(168)|(199)|(200))))" "%USERPROFILE%\AppData\Local\Temp\OnboardLogs"\RTDC4054\*4054*201703070*</v>
      </c>
      <c r="I20" s="214" t="str">
        <f>IF(VLOOKUP(K20,'Train Runs'!$A$13:$V$995,1,TRUE)=K20,VLOOKUP(K20,'Train Runs'!$A$13:$V$995,22,TRUE),NA())</f>
        <v>https://d0f6bd738d7f1b3e5a7ca70fe4ff75f0.us-east-1.aws.found.io/app/kibana#/discover/Steve-Slow-Train-Analysis-(2080s-and-2083s)?_g=(refreshInterval:(display:Off,pause:!f,section:0,value:0),time:(from:'2017-03-19T17:36:45-0600',mode:absolute,to:'2017-03-19T20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20" s="210">
        <f t="shared" si="2"/>
        <v>42801.053472222222</v>
      </c>
      <c r="K20" s="210" t="str">
        <f>D20&amp;"-"&amp;IF(DAY(Variables!$A$2)&lt;10,0,"")&amp;DAY(Variables!$A$2)</f>
        <v>214-19</v>
      </c>
      <c r="L20" s="206">
        <f>IF(VLOOKUP(K20,'Train Runs'!$A$12:$B$995,1,TRUE)=K20,VLOOKUP(K20,'Train Runs'!$A$12:$B$995,2,TRUE),NA())</f>
        <v>4054</v>
      </c>
      <c r="M20" s="206">
        <f>VLOOKUP(B20,Variables!$T$2:$X$99,2,FALSE)</f>
        <v>167</v>
      </c>
      <c r="N20" s="206">
        <f>VLOOKUP(B20,Variables!$T$2:$X$99,3,FALSE)</f>
        <v>168</v>
      </c>
      <c r="O20" s="206">
        <f>VLOOKUP(B20,Variables!$T$2:$X$99,4,FALSE)</f>
        <v>199</v>
      </c>
      <c r="P20" s="206">
        <f>VLOOKUP(B20,Variables!$T$2:$X$99,5,FALSE)</f>
        <v>200</v>
      </c>
      <c r="Q20" s="205" t="str">
        <f t="shared" si="3"/>
        <v>(\|PRM\|1\|D)|(crossing.((167)|(168)|(199)|(200)))</v>
      </c>
    </row>
    <row r="21" spans="1:17" x14ac:dyDescent="0.25">
      <c r="A21" s="201">
        <v>42800.819444444445</v>
      </c>
      <c r="B21" s="208" t="s">
        <v>379</v>
      </c>
      <c r="C21" s="198" t="s">
        <v>381</v>
      </c>
      <c r="D21" s="212">
        <v>216</v>
      </c>
      <c r="E21" s="30" t="s">
        <v>383</v>
      </c>
      <c r="F21" s="212" t="b">
        <v>1</v>
      </c>
      <c r="G21" s="216" t="str">
        <f t="shared" si="0"/>
        <v>"C:\Program Files (x86)\AstroGrep\AstroGrep.exe" /e /r /s /spath="%USERPROFILE%\AppData\Local\Temp\OnboardLogs" /stypes="*4004*201703070*" /stext=" 01:.+((SYSTEM_STATE.+slice.+state.+changed )|(ment ac)|(multiple cpu faults)|(system.+state.+changed )|(\[timeout)|(PRM\|1\|D)|(kpr)|(kdp)|(\|lc)|(penalty)|(\|PRM\|1\|D)|(crossing.((167)|(168)|(199)|(200))))"</v>
      </c>
      <c r="H21" s="218" t="str">
        <f t="shared" si="1"/>
        <v>grep -hSE " 01:.+((\|PRM\|1\|D)|(crossing.((167)|(168)|(199)|(200))))" "%USERPROFILE%\AppData\Local\Temp\OnboardLogs"\RTDC4004\*4004*201703070*</v>
      </c>
      <c r="I21" s="214" t="str">
        <f>IF(VLOOKUP(K21,'Train Runs'!$A$13:$V$995,1,TRUE)=K21,VLOOKUP(K21,'Train Runs'!$A$13:$V$995,22,TRUE),NA())</f>
        <v>https://d0f6bd738d7f1b3e5a7ca70fe4ff75f0.us-east-1.aws.found.io/app/kibana#/discover/Steve-Slow-Train-Analysis-(2080s-and-2083s)?_g=(refreshInterval:(display:Off,pause:!f,section:0,value:0),time:(from:'2017-03-19T17:46:56-0600',mode:absolute,to:'2017-03-19T20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21" s="210">
        <f t="shared" si="2"/>
        <v>42801.069444444445</v>
      </c>
      <c r="K21" s="210" t="str">
        <f>D21&amp;"-"&amp;IF(DAY(Variables!$A$2)&lt;10,0,"")&amp;DAY(Variables!$A$2)</f>
        <v>216-19</v>
      </c>
      <c r="L21" s="206">
        <f>IF(VLOOKUP(K21,'Train Runs'!$A$12:$B$995,1,TRUE)=K21,VLOOKUP(K21,'Train Runs'!$A$12:$B$995,2,TRUE),NA())</f>
        <v>4004</v>
      </c>
      <c r="M21" s="206">
        <f>VLOOKUP(B21,Variables!$T$2:$X$99,2,FALSE)</f>
        <v>167</v>
      </c>
      <c r="N21" s="206">
        <f>VLOOKUP(B21,Variables!$T$2:$X$99,3,FALSE)</f>
        <v>168</v>
      </c>
      <c r="O21" s="206">
        <f>VLOOKUP(B21,Variables!$T$2:$X$99,4,FALSE)</f>
        <v>199</v>
      </c>
      <c r="P21" s="206">
        <f>VLOOKUP(B21,Variables!$T$2:$X$99,5,FALSE)</f>
        <v>200</v>
      </c>
      <c r="Q21" s="205" t="str">
        <f t="shared" si="3"/>
        <v>(\|PRM\|1\|D)|(crossing.((167)|(168)|(199)|(200)))</v>
      </c>
    </row>
    <row r="22" spans="1:17" x14ac:dyDescent="0.25">
      <c r="A22" s="201">
        <v>42800.828472222223</v>
      </c>
      <c r="B22" s="208" t="s">
        <v>379</v>
      </c>
      <c r="C22" s="198" t="s">
        <v>381</v>
      </c>
      <c r="D22" s="212">
        <f>D21+2</f>
        <v>218</v>
      </c>
      <c r="E22" s="30" t="s">
        <v>383</v>
      </c>
      <c r="F22" s="212" t="b">
        <v>1</v>
      </c>
      <c r="G22" s="216" t="str">
        <f t="shared" si="0"/>
        <v>"C:\Program Files (x86)\AstroGrep\AstroGrep.exe" /e /r /s /spath="%USERPROFILE%\AppData\Local\Temp\OnboardLogs" /stypes="*4001*201703070*" /stext=" 01:.+((SYSTEM_STATE.+slice.+state.+changed )|(ment ac)|(multiple cpu faults)|(system.+state.+changed )|(\[timeout)|(PRM\|1\|D)|(kpr)|(kdp)|(\|lc)|(penalty)|(\|PRM\|1\|D)|(crossing.((167)|(168)|(199)|(200))))"</v>
      </c>
      <c r="H22" s="218" t="str">
        <f t="shared" si="1"/>
        <v>grep -hSE " 01:.+((\|PRM\|1\|D)|(crossing.((167)|(168)|(199)|(200))))" "%USERPROFILE%\AppData\Local\Temp\OnboardLogs"\RTDC4001\*4001*201703070*</v>
      </c>
      <c r="I22" s="214" t="str">
        <f>IF(VLOOKUP(K22,'Train Runs'!$A$13:$V$995,1,TRUE)=K22,VLOOKUP(K22,'Train Runs'!$A$13:$V$995,22,TRUE),NA())</f>
        <v>https://d0f6bd738d7f1b3e5a7ca70fe4ff75f0.us-east-1.aws.found.io/app/kibana#/discover/Steve-Slow-Train-Analysis-(2080s-and-2083s)?_g=(refreshInterval:(display:Off,pause:!f,section:0,value:0),time:(from:'2017-03-19T17:58:02-0600',mode:absolute,to:'2017-03-19T20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22" s="210">
        <f t="shared" si="2"/>
        <v>42801.078472222223</v>
      </c>
      <c r="K22" s="210" t="str">
        <f>D22&amp;"-"&amp;IF(DAY(Variables!$A$2)&lt;10,0,"")&amp;DAY(Variables!$A$2)</f>
        <v>218-19</v>
      </c>
      <c r="L22" s="206">
        <f>IF(VLOOKUP(K22,'Train Runs'!$A$12:$B$995,1,TRUE)=K22,VLOOKUP(K22,'Train Runs'!$A$12:$B$995,2,TRUE),NA())</f>
        <v>4001</v>
      </c>
      <c r="M22" s="206">
        <f>VLOOKUP(B22,Variables!$T$2:$X$99,2,FALSE)</f>
        <v>167</v>
      </c>
      <c r="N22" s="206">
        <f>VLOOKUP(B22,Variables!$T$2:$X$99,3,FALSE)</f>
        <v>168</v>
      </c>
      <c r="O22" s="206">
        <f>VLOOKUP(B22,Variables!$T$2:$X$99,4,FALSE)</f>
        <v>199</v>
      </c>
      <c r="P22" s="206">
        <f>VLOOKUP(B22,Variables!$T$2:$X$99,5,FALSE)</f>
        <v>200</v>
      </c>
      <c r="Q22" s="205" t="str">
        <f t="shared" si="3"/>
        <v>(\|PRM\|1\|D)|(crossing.((167)|(168)|(199)|(200)))</v>
      </c>
    </row>
    <row r="23" spans="1:17" x14ac:dyDescent="0.25">
      <c r="A23" s="201">
        <v>42800.835416666669</v>
      </c>
      <c r="B23" s="208" t="s">
        <v>379</v>
      </c>
      <c r="C23" s="198" t="s">
        <v>381</v>
      </c>
      <c r="D23" s="212">
        <f>D22+2</f>
        <v>220</v>
      </c>
      <c r="E23" s="30" t="s">
        <v>383</v>
      </c>
      <c r="F23" s="212" t="b">
        <v>1</v>
      </c>
      <c r="G23" s="216" t="e">
        <f t="shared" si="0"/>
        <v>#N/A</v>
      </c>
      <c r="H23" s="218" t="e">
        <f t="shared" si="1"/>
        <v>#N/A</v>
      </c>
      <c r="I23" s="214" t="str">
        <f>IF(VLOOKUP(K23,'Train Runs'!$A$13:$V$995,1,TRUE)=K23,VLOOKUP(K23,'Train Runs'!$A$13:$V$995,22,TRUE),NA())</f>
        <v>https://d0f6bd738d7f1b3e5a7ca70fe4ff75f0.us-east-1.aws.found.io/app/kibana#/discover/Steve-Slow-Train-Analysis-(2080s-and-2083s)?_g=(refreshInterval:(display:Off,pause:!f,section:0,value:0),time:(from:'2017-03-19T18:23:23-0600',mode:absolute,to:'2017-03-19T21:04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23" s="210">
        <f t="shared" si="2"/>
        <v>42801.085416666669</v>
      </c>
      <c r="K23" s="210" t="str">
        <f>D23&amp;"-"&amp;IF(DAY(Variables!$A$2)&lt;10,0,"")&amp;DAY(Variables!$A$2)</f>
        <v>220-19</v>
      </c>
      <c r="L23" s="206" t="e">
        <f>IF(VLOOKUP(K23,'Train Runs'!$A$12:$B$995,1,TRUE)=K23,VLOOKUP(K23,'Train Runs'!$A$12:$B$995,2,TRUE),NA())</f>
        <v>#N/A</v>
      </c>
      <c r="M23" s="206">
        <f>VLOOKUP(B23,Variables!$T$2:$X$99,2,FALSE)</f>
        <v>167</v>
      </c>
      <c r="N23" s="206">
        <f>VLOOKUP(B23,Variables!$T$2:$X$99,3,FALSE)</f>
        <v>168</v>
      </c>
      <c r="O23" s="206">
        <f>VLOOKUP(B23,Variables!$T$2:$X$99,4,FALSE)</f>
        <v>199</v>
      </c>
      <c r="P23" s="206">
        <f>VLOOKUP(B23,Variables!$T$2:$X$99,5,FALSE)</f>
        <v>200</v>
      </c>
      <c r="Q23" s="205" t="str">
        <f t="shared" si="3"/>
        <v>(\|PRM\|1\|D)|(crossing.((167)|(168)|(199)|(200)))</v>
      </c>
    </row>
    <row r="24" spans="1:17" x14ac:dyDescent="0.25">
      <c r="A24" s="201">
        <v>42800.854166666664</v>
      </c>
      <c r="B24" s="208" t="s">
        <v>379</v>
      </c>
      <c r="C24" s="198" t="s">
        <v>381</v>
      </c>
      <c r="D24" s="212">
        <f>D23+2</f>
        <v>222</v>
      </c>
      <c r="E24" s="30" t="s">
        <v>383</v>
      </c>
      <c r="F24" s="212" t="b">
        <v>1</v>
      </c>
      <c r="G24" s="216" t="e">
        <f t="shared" si="0"/>
        <v>#N/A</v>
      </c>
      <c r="H24" s="218" t="e">
        <f t="shared" si="1"/>
        <v>#N/A</v>
      </c>
      <c r="I24" s="214" t="e">
        <f>IF(VLOOKUP(K24,'Train Runs'!$A$13:$V$995,1,TRUE)=K24,VLOOKUP(K24,'Train Runs'!$A$13:$V$995,22,TRUE),NA())</f>
        <v>#N/A</v>
      </c>
      <c r="J24" s="210">
        <f t="shared" si="2"/>
        <v>42801.104166666664</v>
      </c>
      <c r="K24" s="210" t="str">
        <f>D24&amp;"-"&amp;IF(DAY(Variables!$A$2)&lt;10,0,"")&amp;DAY(Variables!$A$2)</f>
        <v>222-19</v>
      </c>
      <c r="L24" s="206" t="e">
        <f>IF(VLOOKUP(K24,'Train Runs'!$A$12:$B$995,1,TRUE)=K24,VLOOKUP(K24,'Train Runs'!$A$12:$B$995,2,TRUE),NA())</f>
        <v>#N/A</v>
      </c>
      <c r="M24" s="206">
        <f>VLOOKUP(B24,Variables!$T$2:$X$99,2,FALSE)</f>
        <v>167</v>
      </c>
      <c r="N24" s="206">
        <f>VLOOKUP(B24,Variables!$T$2:$X$99,3,FALSE)</f>
        <v>168</v>
      </c>
      <c r="O24" s="206">
        <f>VLOOKUP(B24,Variables!$T$2:$X$99,4,FALSE)</f>
        <v>199</v>
      </c>
      <c r="P24" s="206">
        <f>VLOOKUP(B24,Variables!$T$2:$X$99,5,FALSE)</f>
        <v>200</v>
      </c>
      <c r="Q24" s="205" t="str">
        <f t="shared" si="3"/>
        <v>(\|PRM\|1\|D)|(crossing.((167)|(168)|(199)|(200)))</v>
      </c>
    </row>
    <row r="25" spans="1:17" x14ac:dyDescent="0.25">
      <c r="A25" s="201">
        <v>42800.872916666667</v>
      </c>
      <c r="B25" s="208" t="s">
        <v>379</v>
      </c>
      <c r="C25" s="198" t="s">
        <v>381</v>
      </c>
      <c r="D25" s="212">
        <f>D24+2</f>
        <v>224</v>
      </c>
      <c r="E25" s="30" t="s">
        <v>383</v>
      </c>
      <c r="F25" s="212" t="b">
        <v>1</v>
      </c>
      <c r="G25" s="216" t="e">
        <f t="shared" si="0"/>
        <v>#N/A</v>
      </c>
      <c r="H25" s="218" t="e">
        <f t="shared" si="1"/>
        <v>#N/A</v>
      </c>
      <c r="I25" s="214" t="e">
        <f>IF(VLOOKUP(K25,'Train Runs'!$A$13:$V$995,1,TRUE)=K25,VLOOKUP(K25,'Train Runs'!$A$13:$V$995,22,TRUE),NA())</f>
        <v>#N/A</v>
      </c>
      <c r="J25" s="210">
        <f t="shared" si="2"/>
        <v>42801.122916666667</v>
      </c>
      <c r="K25" s="210" t="str">
        <f>D25&amp;"-"&amp;IF(DAY(Variables!$A$2)&lt;10,0,"")&amp;DAY(Variables!$A$2)</f>
        <v>224-19</v>
      </c>
      <c r="L25" s="206" t="e">
        <f>IF(VLOOKUP(K25,'Train Runs'!$A$12:$B$995,1,TRUE)=K25,VLOOKUP(K25,'Train Runs'!$A$12:$B$995,2,TRUE),NA())</f>
        <v>#N/A</v>
      </c>
      <c r="M25" s="206">
        <f>VLOOKUP(B25,Variables!$T$2:$X$99,2,FALSE)</f>
        <v>167</v>
      </c>
      <c r="N25" s="206">
        <f>VLOOKUP(B25,Variables!$T$2:$X$99,3,FALSE)</f>
        <v>168</v>
      </c>
      <c r="O25" s="206">
        <f>VLOOKUP(B25,Variables!$T$2:$X$99,4,FALSE)</f>
        <v>199</v>
      </c>
      <c r="P25" s="206">
        <f>VLOOKUP(B25,Variables!$T$2:$X$99,5,FALSE)</f>
        <v>200</v>
      </c>
      <c r="Q25" s="205" t="str">
        <f t="shared" si="3"/>
        <v>(\|PRM\|1\|D)|(crossing.((167)|(168)|(199)|(200)))</v>
      </c>
    </row>
    <row r="26" spans="1:17" x14ac:dyDescent="0.25">
      <c r="A26" s="201">
        <v>42800.895138888889</v>
      </c>
      <c r="B26" s="208" t="s">
        <v>379</v>
      </c>
      <c r="C26" s="198" t="s">
        <v>381</v>
      </c>
      <c r="D26" s="212">
        <f>D25+2</f>
        <v>226</v>
      </c>
      <c r="E26" s="30" t="s">
        <v>383</v>
      </c>
      <c r="F26" s="212" t="b">
        <v>1</v>
      </c>
      <c r="G26" s="216" t="e">
        <f t="shared" si="0"/>
        <v>#N/A</v>
      </c>
      <c r="H26" s="218" t="e">
        <f t="shared" si="1"/>
        <v>#N/A</v>
      </c>
      <c r="I26" s="214" t="e">
        <f>IF(VLOOKUP(K26,'Train Runs'!$A$13:$V$995,1,TRUE)=K26,VLOOKUP(K26,'Train Runs'!$A$13:$V$995,22,TRUE),NA())</f>
        <v>#N/A</v>
      </c>
      <c r="J26" s="210">
        <f t="shared" si="2"/>
        <v>42801.145138888889</v>
      </c>
      <c r="K26" s="210" t="str">
        <f>D26&amp;"-"&amp;IF(DAY(Variables!$A$2)&lt;10,0,"")&amp;DAY(Variables!$A$2)</f>
        <v>226-19</v>
      </c>
      <c r="L26" s="206" t="e">
        <f>IF(VLOOKUP(K26,'Train Runs'!$A$12:$B$995,1,TRUE)=K26,VLOOKUP(K26,'Train Runs'!$A$12:$B$995,2,TRUE),NA())</f>
        <v>#N/A</v>
      </c>
      <c r="M26" s="206">
        <f>VLOOKUP(B26,Variables!$T$2:$X$99,2,FALSE)</f>
        <v>167</v>
      </c>
      <c r="N26" s="206">
        <f>VLOOKUP(B26,Variables!$T$2:$X$99,3,FALSE)</f>
        <v>168</v>
      </c>
      <c r="O26" s="206">
        <f>VLOOKUP(B26,Variables!$T$2:$X$99,4,FALSE)</f>
        <v>199</v>
      </c>
      <c r="P26" s="206">
        <f>VLOOKUP(B26,Variables!$T$2:$X$99,5,FALSE)</f>
        <v>200</v>
      </c>
      <c r="Q26" s="205" t="str">
        <f t="shared" si="3"/>
        <v>(\|PRM\|1\|D)|(crossing.((167)|(168)|(199)|(200)))</v>
      </c>
    </row>
    <row r="27" spans="1:17" x14ac:dyDescent="0.25">
      <c r="A27" s="201">
        <v>42800.916666666664</v>
      </c>
      <c r="B27" s="208" t="s">
        <v>379</v>
      </c>
      <c r="C27" s="198" t="s">
        <v>381</v>
      </c>
      <c r="D27" s="212">
        <f t="shared" ref="D27:D33" si="5">D26+2</f>
        <v>228</v>
      </c>
      <c r="E27" s="30" t="s">
        <v>383</v>
      </c>
      <c r="F27" s="212" t="b">
        <v>1</v>
      </c>
      <c r="G27" s="216" t="e">
        <f t="shared" si="0"/>
        <v>#N/A</v>
      </c>
      <c r="H27" s="218" t="e">
        <f t="shared" si="1"/>
        <v>#N/A</v>
      </c>
      <c r="I27" s="214" t="e">
        <f>IF(VLOOKUP(K27,'Train Runs'!$A$13:$V$995,1,TRUE)=K27,VLOOKUP(K27,'Train Runs'!$A$13:$V$995,22,TRUE),NA())</f>
        <v>#N/A</v>
      </c>
      <c r="J27" s="210">
        <f t="shared" si="2"/>
        <v>42801.166666666664</v>
      </c>
      <c r="K27" s="210" t="str">
        <f>D27&amp;"-"&amp;IF(DAY(Variables!$A$2)&lt;10,0,"")&amp;DAY(Variables!$A$2)</f>
        <v>228-19</v>
      </c>
      <c r="L27" s="206" t="e">
        <f>IF(VLOOKUP(K27,'Train Runs'!$A$12:$B$995,1,TRUE)=K27,VLOOKUP(K27,'Train Runs'!$A$12:$B$995,2,TRUE),NA())</f>
        <v>#N/A</v>
      </c>
      <c r="M27" s="206">
        <f>VLOOKUP(B27,Variables!$T$2:$X$99,2,FALSE)</f>
        <v>167</v>
      </c>
      <c r="N27" s="206">
        <f>VLOOKUP(B27,Variables!$T$2:$X$99,3,FALSE)</f>
        <v>168</v>
      </c>
      <c r="O27" s="206">
        <f>VLOOKUP(B27,Variables!$T$2:$X$99,4,FALSE)</f>
        <v>199</v>
      </c>
      <c r="P27" s="206">
        <f>VLOOKUP(B27,Variables!$T$2:$X$99,5,FALSE)</f>
        <v>200</v>
      </c>
      <c r="Q27" s="205" t="str">
        <f t="shared" si="3"/>
        <v>(\|PRM\|1\|D)|(crossing.((167)|(168)|(199)|(200)))</v>
      </c>
    </row>
    <row r="28" spans="1:17" x14ac:dyDescent="0.25">
      <c r="A28" s="201">
        <v>42800.939583333333</v>
      </c>
      <c r="B28" s="208" t="s">
        <v>379</v>
      </c>
      <c r="C28" s="198" t="s">
        <v>381</v>
      </c>
      <c r="D28" s="212">
        <f t="shared" si="5"/>
        <v>230</v>
      </c>
      <c r="E28" s="30" t="s">
        <v>383</v>
      </c>
      <c r="F28" s="212" t="b">
        <v>1</v>
      </c>
      <c r="G28" s="216" t="e">
        <f t="shared" si="0"/>
        <v>#N/A</v>
      </c>
      <c r="H28" s="218" t="e">
        <f t="shared" si="1"/>
        <v>#N/A</v>
      </c>
      <c r="I28" s="214" t="e">
        <f>IF(VLOOKUP(K28,'Train Runs'!$A$13:$V$995,1,TRUE)=K28,VLOOKUP(K28,'Train Runs'!$A$13:$V$995,22,TRUE),NA())</f>
        <v>#N/A</v>
      </c>
      <c r="J28" s="210">
        <f t="shared" si="2"/>
        <v>42801.189583333333</v>
      </c>
      <c r="K28" s="210" t="str">
        <f>D28&amp;"-"&amp;IF(DAY(Variables!$A$2)&lt;10,0,"")&amp;DAY(Variables!$A$2)</f>
        <v>230-19</v>
      </c>
      <c r="L28" s="206" t="e">
        <f>IF(VLOOKUP(K28,'Train Runs'!$A$12:$B$995,1,TRUE)=K28,VLOOKUP(K28,'Train Runs'!$A$12:$B$995,2,TRUE),NA())</f>
        <v>#N/A</v>
      </c>
      <c r="M28" s="206">
        <f>VLOOKUP(B28,Variables!$T$2:$X$99,2,FALSE)</f>
        <v>167</v>
      </c>
      <c r="N28" s="206">
        <f>VLOOKUP(B28,Variables!$T$2:$X$99,3,FALSE)</f>
        <v>168</v>
      </c>
      <c r="O28" s="206">
        <f>VLOOKUP(B28,Variables!$T$2:$X$99,4,FALSE)</f>
        <v>199</v>
      </c>
      <c r="P28" s="206">
        <f>VLOOKUP(B28,Variables!$T$2:$X$99,5,FALSE)</f>
        <v>200</v>
      </c>
      <c r="Q28" s="205" t="str">
        <f t="shared" si="3"/>
        <v>(\|PRM\|1\|D)|(crossing.((167)|(168)|(199)|(200)))</v>
      </c>
    </row>
    <row r="29" spans="1:17" x14ac:dyDescent="0.25">
      <c r="A29" s="201">
        <v>42800.957638888889</v>
      </c>
      <c r="B29" s="208" t="s">
        <v>379</v>
      </c>
      <c r="C29" s="198" t="s">
        <v>381</v>
      </c>
      <c r="D29" s="212">
        <f t="shared" si="5"/>
        <v>232</v>
      </c>
      <c r="E29" s="30" t="s">
        <v>383</v>
      </c>
      <c r="F29" s="212" t="b">
        <v>1</v>
      </c>
      <c r="G29" s="216" t="e">
        <f t="shared" si="0"/>
        <v>#N/A</v>
      </c>
      <c r="H29" s="218" t="e">
        <f t="shared" si="1"/>
        <v>#N/A</v>
      </c>
      <c r="I29" s="214" t="e">
        <f>IF(VLOOKUP(K29,'Train Runs'!$A$13:$V$995,1,TRUE)=K29,VLOOKUP(K29,'Train Runs'!$A$13:$V$995,22,TRUE),NA())</f>
        <v>#N/A</v>
      </c>
      <c r="J29" s="210">
        <f t="shared" si="2"/>
        <v>42801.207638888889</v>
      </c>
      <c r="K29" s="210" t="str">
        <f>D29&amp;"-"&amp;IF(DAY(Variables!$A$2)&lt;10,0,"")&amp;DAY(Variables!$A$2)</f>
        <v>232-19</v>
      </c>
      <c r="L29" s="206" t="e">
        <f>IF(VLOOKUP(K29,'Train Runs'!$A$12:$B$995,1,TRUE)=K29,VLOOKUP(K29,'Train Runs'!$A$12:$B$995,2,TRUE),NA())</f>
        <v>#N/A</v>
      </c>
      <c r="M29" s="206">
        <f>VLOOKUP(B29,Variables!$T$2:$X$99,2,FALSE)</f>
        <v>167</v>
      </c>
      <c r="N29" s="206">
        <f>VLOOKUP(B29,Variables!$T$2:$X$99,3,FALSE)</f>
        <v>168</v>
      </c>
      <c r="O29" s="206">
        <f>VLOOKUP(B29,Variables!$T$2:$X$99,4,FALSE)</f>
        <v>199</v>
      </c>
      <c r="P29" s="206">
        <f>VLOOKUP(B29,Variables!$T$2:$X$99,5,FALSE)</f>
        <v>200</v>
      </c>
      <c r="Q29" s="205" t="str">
        <f t="shared" si="3"/>
        <v>(\|PRM\|1\|D)|(crossing.((167)|(168)|(199)|(200)))</v>
      </c>
    </row>
    <row r="30" spans="1:17" x14ac:dyDescent="0.25">
      <c r="A30" s="201">
        <v>42800.96875</v>
      </c>
      <c r="B30" s="208" t="s">
        <v>379</v>
      </c>
      <c r="C30" s="198" t="s">
        <v>381</v>
      </c>
      <c r="D30" s="212">
        <f t="shared" si="5"/>
        <v>234</v>
      </c>
      <c r="E30" s="30" t="s">
        <v>383</v>
      </c>
      <c r="F30" s="212" t="b">
        <v>1</v>
      </c>
      <c r="G30" s="216" t="e">
        <f t="shared" si="0"/>
        <v>#N/A</v>
      </c>
      <c r="H30" s="218" t="e">
        <f t="shared" si="1"/>
        <v>#N/A</v>
      </c>
      <c r="I30" s="214" t="e">
        <f>IF(VLOOKUP(K30,'Train Runs'!$A$13:$V$995,1,TRUE)=K30,VLOOKUP(K30,'Train Runs'!$A$13:$V$995,22,TRUE),NA())</f>
        <v>#N/A</v>
      </c>
      <c r="J30" s="210">
        <f t="shared" si="2"/>
        <v>42801.21875</v>
      </c>
      <c r="K30" s="210" t="str">
        <f>D30&amp;"-"&amp;IF(DAY(Variables!$A$2)&lt;10,0,"")&amp;DAY(Variables!$A$2)</f>
        <v>234-19</v>
      </c>
      <c r="L30" s="206" t="e">
        <f>IF(VLOOKUP(K30,'Train Runs'!$A$12:$B$995,1,TRUE)=K30,VLOOKUP(K30,'Train Runs'!$A$12:$B$995,2,TRUE),NA())</f>
        <v>#N/A</v>
      </c>
      <c r="M30" s="206">
        <f>VLOOKUP(B30,Variables!$T$2:$X$99,2,FALSE)</f>
        <v>167</v>
      </c>
      <c r="N30" s="206">
        <f>VLOOKUP(B30,Variables!$T$2:$X$99,3,FALSE)</f>
        <v>168</v>
      </c>
      <c r="O30" s="206">
        <f>VLOOKUP(B30,Variables!$T$2:$X$99,4,FALSE)</f>
        <v>199</v>
      </c>
      <c r="P30" s="206">
        <f>VLOOKUP(B30,Variables!$T$2:$X$99,5,FALSE)</f>
        <v>200</v>
      </c>
      <c r="Q30" s="205" t="str">
        <f t="shared" si="3"/>
        <v>(\|PRM\|1\|D)|(crossing.((167)|(168)|(199)|(200)))</v>
      </c>
    </row>
    <row r="31" spans="1:17" x14ac:dyDescent="0.25">
      <c r="A31" s="201">
        <v>42800.979861111111</v>
      </c>
      <c r="B31" s="208" t="s">
        <v>379</v>
      </c>
      <c r="C31" s="198" t="s">
        <v>381</v>
      </c>
      <c r="D31" s="212">
        <f t="shared" si="5"/>
        <v>236</v>
      </c>
      <c r="E31" s="30" t="s">
        <v>383</v>
      </c>
      <c r="F31" s="212" t="b">
        <v>1</v>
      </c>
      <c r="G31" s="216" t="e">
        <f t="shared" si="0"/>
        <v>#N/A</v>
      </c>
      <c r="H31" s="218" t="e">
        <f t="shared" si="1"/>
        <v>#N/A</v>
      </c>
      <c r="I31" s="214" t="e">
        <f>IF(VLOOKUP(K31,'Train Runs'!$A$13:$V$995,1,TRUE)=K31,VLOOKUP(K31,'Train Runs'!$A$13:$V$995,22,TRUE),NA())</f>
        <v>#N/A</v>
      </c>
      <c r="J31" s="210">
        <f t="shared" si="2"/>
        <v>42801.229861111111</v>
      </c>
      <c r="K31" s="210" t="str">
        <f>D31&amp;"-"&amp;IF(DAY(Variables!$A$2)&lt;10,0,"")&amp;DAY(Variables!$A$2)</f>
        <v>236-19</v>
      </c>
      <c r="L31" s="206" t="e">
        <f>IF(VLOOKUP(K31,'Train Runs'!$A$12:$B$995,1,TRUE)=K31,VLOOKUP(K31,'Train Runs'!$A$12:$B$995,2,TRUE),NA())</f>
        <v>#N/A</v>
      </c>
      <c r="M31" s="206">
        <f>VLOOKUP(B31,Variables!$T$2:$X$99,2,FALSE)</f>
        <v>167</v>
      </c>
      <c r="N31" s="206">
        <f>VLOOKUP(B31,Variables!$T$2:$X$99,3,FALSE)</f>
        <v>168</v>
      </c>
      <c r="O31" s="206">
        <f>VLOOKUP(B31,Variables!$T$2:$X$99,4,FALSE)</f>
        <v>199</v>
      </c>
      <c r="P31" s="206">
        <f>VLOOKUP(B31,Variables!$T$2:$X$99,5,FALSE)</f>
        <v>200</v>
      </c>
      <c r="Q31" s="205" t="str">
        <f t="shared" si="3"/>
        <v>(\|PRM\|1\|D)|(crossing.((167)|(168)|(199)|(200)))</v>
      </c>
    </row>
    <row r="32" spans="1:17" x14ac:dyDescent="0.25">
      <c r="A32" s="201">
        <v>42800.999305555553</v>
      </c>
      <c r="B32" s="208" t="s">
        <v>379</v>
      </c>
      <c r="C32" s="198" t="s">
        <v>381</v>
      </c>
      <c r="D32" s="212">
        <f t="shared" si="5"/>
        <v>238</v>
      </c>
      <c r="E32" s="30" t="s">
        <v>383</v>
      </c>
      <c r="F32" s="212" t="b">
        <v>1</v>
      </c>
      <c r="G32" s="216" t="e">
        <f t="shared" si="0"/>
        <v>#N/A</v>
      </c>
      <c r="H32" s="218" t="e">
        <f t="shared" si="1"/>
        <v>#N/A</v>
      </c>
      <c r="I32" s="214" t="e">
        <f>IF(VLOOKUP(K32,'Train Runs'!$A$13:$V$995,1,TRUE)=K32,VLOOKUP(K32,'Train Runs'!$A$13:$V$995,22,TRUE),NA())</f>
        <v>#N/A</v>
      </c>
      <c r="J32" s="210">
        <f t="shared" si="2"/>
        <v>42801.249305555553</v>
      </c>
      <c r="K32" s="210" t="str">
        <f>D32&amp;"-"&amp;IF(DAY(Variables!$A$2)&lt;10,0,"")&amp;DAY(Variables!$A$2)</f>
        <v>238-19</v>
      </c>
      <c r="L32" s="206" t="e">
        <f>IF(VLOOKUP(K32,'Train Runs'!$A$12:$B$995,1,TRUE)=K32,VLOOKUP(K32,'Train Runs'!$A$12:$B$995,2,TRUE),NA())</f>
        <v>#N/A</v>
      </c>
      <c r="M32" s="206">
        <f>VLOOKUP(B32,Variables!$T$2:$X$99,2,FALSE)</f>
        <v>167</v>
      </c>
      <c r="N32" s="206">
        <f>VLOOKUP(B32,Variables!$T$2:$X$99,3,FALSE)</f>
        <v>168</v>
      </c>
      <c r="O32" s="206">
        <f>VLOOKUP(B32,Variables!$T$2:$X$99,4,FALSE)</f>
        <v>199</v>
      </c>
      <c r="P32" s="206">
        <f>VLOOKUP(B32,Variables!$T$2:$X$99,5,FALSE)</f>
        <v>200</v>
      </c>
      <c r="Q32" s="205" t="str">
        <f t="shared" si="3"/>
        <v>(\|PRM\|1\|D)|(crossing.((167)|(168)|(199)|(200)))</v>
      </c>
    </row>
    <row r="33" spans="1:17" x14ac:dyDescent="0.25">
      <c r="A33" s="202">
        <v>42801.022222222222</v>
      </c>
      <c r="B33" s="208" t="s">
        <v>379</v>
      </c>
      <c r="C33" s="198" t="s">
        <v>381</v>
      </c>
      <c r="D33" s="212">
        <f t="shared" si="5"/>
        <v>240</v>
      </c>
      <c r="E33" s="30" t="s">
        <v>383</v>
      </c>
      <c r="F33" s="212" t="b">
        <v>1</v>
      </c>
      <c r="G33" s="216" t="e">
        <f t="shared" si="0"/>
        <v>#N/A</v>
      </c>
      <c r="H33" s="218" t="e">
        <f t="shared" si="1"/>
        <v>#N/A</v>
      </c>
      <c r="I33" s="214" t="e">
        <f>IF(VLOOKUP(K33,'Train Runs'!$A$13:$V$995,1,TRUE)=K33,VLOOKUP(K33,'Train Runs'!$A$13:$V$995,22,TRUE),NA())</f>
        <v>#N/A</v>
      </c>
      <c r="J33" s="210">
        <f t="shared" si="2"/>
        <v>42801.272222222222</v>
      </c>
      <c r="K33" s="210" t="str">
        <f>D33&amp;"-"&amp;IF(DAY(Variables!$A$2)&lt;10,0,"")&amp;DAY(Variables!$A$2)</f>
        <v>240-19</v>
      </c>
      <c r="L33" s="206" t="e">
        <f>IF(VLOOKUP(K33,'Train Runs'!$A$12:$B$995,1,TRUE)=K33,VLOOKUP(K33,'Train Runs'!$A$12:$B$995,2,TRUE),NA())</f>
        <v>#N/A</v>
      </c>
      <c r="M33" s="206">
        <f>VLOOKUP(B33,Variables!$T$2:$X$99,2,FALSE)</f>
        <v>167</v>
      </c>
      <c r="N33" s="206">
        <f>VLOOKUP(B33,Variables!$T$2:$X$99,3,FALSE)</f>
        <v>168</v>
      </c>
      <c r="O33" s="206">
        <f>VLOOKUP(B33,Variables!$T$2:$X$99,4,FALSE)</f>
        <v>199</v>
      </c>
      <c r="P33" s="206">
        <f>VLOOKUP(B33,Variables!$T$2:$X$99,5,FALSE)</f>
        <v>200</v>
      </c>
      <c r="Q33" s="205" t="str">
        <f t="shared" si="3"/>
        <v>(\|PRM\|1\|D)|(crossing.((167)|(168)|(199)|(200)))</v>
      </c>
    </row>
    <row r="34" spans="1:17" x14ac:dyDescent="0.25">
      <c r="A34" s="202">
        <v>42801.040277777778</v>
      </c>
      <c r="B34" s="208" t="s">
        <v>379</v>
      </c>
      <c r="C34" s="198" t="s">
        <v>381</v>
      </c>
      <c r="D34" s="212">
        <v>240</v>
      </c>
      <c r="E34" s="30" t="s">
        <v>383</v>
      </c>
      <c r="F34" s="212" t="b">
        <v>1</v>
      </c>
      <c r="G34" s="216" t="e">
        <f t="shared" si="0"/>
        <v>#N/A</v>
      </c>
      <c r="H34" s="218" t="e">
        <f t="shared" si="1"/>
        <v>#N/A</v>
      </c>
      <c r="I34" s="214" t="e">
        <f>IF(VLOOKUP(K34,'Train Runs'!$A$13:$V$995,1,TRUE)=K34,VLOOKUP(K34,'Train Runs'!$A$13:$V$995,22,TRUE),NA())</f>
        <v>#N/A</v>
      </c>
      <c r="J34" s="210">
        <f t="shared" si="2"/>
        <v>42801.290277777778</v>
      </c>
      <c r="K34" s="210" t="str">
        <f>D34&amp;"-"&amp;IF(DAY(Variables!$A$2)&lt;10,0,"")&amp;DAY(Variables!$A$2)</f>
        <v>240-19</v>
      </c>
      <c r="L34" s="206" t="e">
        <f>IF(VLOOKUP(K34,'Train Runs'!$A$12:$B$995,1,TRUE)=K34,VLOOKUP(K34,'Train Runs'!$A$12:$B$995,2,TRUE),NA())</f>
        <v>#N/A</v>
      </c>
      <c r="M34" s="206">
        <f>VLOOKUP(B34,Variables!$T$2:$X$99,2,FALSE)</f>
        <v>167</v>
      </c>
      <c r="N34" s="206">
        <f>VLOOKUP(B34,Variables!$T$2:$X$99,3,FALSE)</f>
        <v>168</v>
      </c>
      <c r="O34" s="206">
        <f>VLOOKUP(B34,Variables!$T$2:$X$99,4,FALSE)</f>
        <v>199</v>
      </c>
      <c r="P34" s="206">
        <f>VLOOKUP(B34,Variables!$T$2:$X$99,5,FALSE)</f>
        <v>200</v>
      </c>
      <c r="Q34" s="205" t="str">
        <f t="shared" si="3"/>
        <v>(\|PRM\|1\|D)|(crossing.((167)|(168)|(199)|(200)))</v>
      </c>
    </row>
    <row r="35" spans="1:17" x14ac:dyDescent="0.25">
      <c r="A35" s="202">
        <v>42801.061805555553</v>
      </c>
      <c r="B35" s="208" t="s">
        <v>379</v>
      </c>
      <c r="C35" s="198" t="s">
        <v>381</v>
      </c>
      <c r="D35" s="212">
        <v>242</v>
      </c>
      <c r="E35" s="30" t="s">
        <v>383</v>
      </c>
      <c r="F35" s="212" t="b">
        <v>1</v>
      </c>
      <c r="G35" s="216" t="e">
        <f t="shared" si="0"/>
        <v>#N/A</v>
      </c>
      <c r="H35" s="218" t="e">
        <f t="shared" si="1"/>
        <v>#N/A</v>
      </c>
      <c r="I35" s="214" t="e">
        <f>IF(VLOOKUP(K35,'Train Runs'!$A$13:$V$995,1,TRUE)=K35,VLOOKUP(K35,'Train Runs'!$A$13:$V$995,22,TRUE),NA())</f>
        <v>#N/A</v>
      </c>
      <c r="J35" s="210">
        <f t="shared" si="2"/>
        <v>42801.311805555553</v>
      </c>
      <c r="K35" s="210" t="str">
        <f>D35&amp;"-"&amp;IF(DAY(Variables!$A$2)&lt;10,0,"")&amp;DAY(Variables!$A$2)</f>
        <v>242-19</v>
      </c>
      <c r="L35" s="206" t="e">
        <f>IF(VLOOKUP(K35,'Train Runs'!$A$12:$B$995,1,TRUE)=K35,VLOOKUP(K35,'Train Runs'!$A$12:$B$995,2,TRUE),NA())</f>
        <v>#N/A</v>
      </c>
      <c r="M35" s="206">
        <f>VLOOKUP(B35,Variables!$T$2:$X$99,2,FALSE)</f>
        <v>167</v>
      </c>
      <c r="N35" s="206">
        <f>VLOOKUP(B35,Variables!$T$2:$X$99,3,FALSE)</f>
        <v>168</v>
      </c>
      <c r="O35" s="206">
        <f>VLOOKUP(B35,Variables!$T$2:$X$99,4,FALSE)</f>
        <v>199</v>
      </c>
      <c r="P35" s="206">
        <f>VLOOKUP(B35,Variables!$T$2:$X$99,5,FALSE)</f>
        <v>200</v>
      </c>
      <c r="Q35" s="205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173</v>
      </c>
      <c r="B1" s="20" t="s">
        <v>174</v>
      </c>
      <c r="C1" s="20" t="s">
        <v>0</v>
      </c>
      <c r="D1" s="150" t="s">
        <v>175</v>
      </c>
      <c r="E1" s="20" t="s">
        <v>176</v>
      </c>
      <c r="F1" s="20" t="s">
        <v>196</v>
      </c>
      <c r="G1" s="8" t="s">
        <v>195</v>
      </c>
    </row>
    <row r="2" spans="1:7" x14ac:dyDescent="0.25">
      <c r="A2" s="8">
        <v>42813.032476851855</v>
      </c>
      <c r="B2" s="20" t="s">
        <v>405</v>
      </c>
      <c r="C2" s="20" t="s">
        <v>526</v>
      </c>
      <c r="D2" s="150">
        <v>2270000</v>
      </c>
      <c r="E2" s="20" t="s">
        <v>209</v>
      </c>
      <c r="F2" s="20" t="s">
        <v>210</v>
      </c>
      <c r="G2" s="8" t="str">
        <f>E2&amp;" "&amp;F2</f>
        <v>BROWN JACOB</v>
      </c>
    </row>
    <row r="3" spans="1:7" x14ac:dyDescent="0.25">
      <c r="A3" s="8">
        <v>42813.04420138889</v>
      </c>
      <c r="B3" s="20" t="s">
        <v>200</v>
      </c>
      <c r="C3" s="20" t="s">
        <v>527</v>
      </c>
      <c r="D3" s="150">
        <v>2230000</v>
      </c>
      <c r="E3" s="20" t="s">
        <v>445</v>
      </c>
      <c r="F3" s="20" t="s">
        <v>197</v>
      </c>
      <c r="G3" s="8" t="str">
        <f t="shared" ref="G3:G66" si="0">E3&amp;" "&amp;F3</f>
        <v>SMITH MICHAEL</v>
      </c>
    </row>
    <row r="4" spans="1:7" x14ac:dyDescent="0.25">
      <c r="A4" s="8">
        <v>42813.047638888886</v>
      </c>
      <c r="B4" s="20" t="s">
        <v>413</v>
      </c>
      <c r="C4" s="20" t="s">
        <v>528</v>
      </c>
      <c r="D4" s="150">
        <v>2000000</v>
      </c>
      <c r="E4" s="20" t="s">
        <v>406</v>
      </c>
      <c r="F4" s="20" t="s">
        <v>194</v>
      </c>
      <c r="G4" s="8" t="str">
        <f t="shared" si="0"/>
        <v>STAMBAUGH JAMES</v>
      </c>
    </row>
    <row r="5" spans="1:7" x14ac:dyDescent="0.25">
      <c r="A5" s="8">
        <v>42813.055462962962</v>
      </c>
      <c r="B5" s="20" t="s">
        <v>463</v>
      </c>
      <c r="C5" s="20" t="s">
        <v>529</v>
      </c>
      <c r="D5" s="150">
        <v>2150000</v>
      </c>
      <c r="E5" s="20" t="s">
        <v>394</v>
      </c>
      <c r="F5" s="20" t="s">
        <v>395</v>
      </c>
      <c r="G5" s="8" t="str">
        <f t="shared" si="0"/>
        <v>SWANSON BRYCE</v>
      </c>
    </row>
    <row r="6" spans="1:7" x14ac:dyDescent="0.25">
      <c r="A6" s="8">
        <v>42813.056620370371</v>
      </c>
      <c r="B6" s="20" t="s">
        <v>463</v>
      </c>
      <c r="C6" s="20" t="s">
        <v>529</v>
      </c>
      <c r="D6" s="150">
        <v>2150000</v>
      </c>
      <c r="E6" s="20" t="s">
        <v>394</v>
      </c>
      <c r="F6" s="20" t="s">
        <v>395</v>
      </c>
      <c r="G6" s="8" t="str">
        <f t="shared" si="0"/>
        <v>SWANSON BRYCE</v>
      </c>
    </row>
    <row r="7" spans="1:7" x14ac:dyDescent="0.25">
      <c r="A7" s="8">
        <v>42813.057199074072</v>
      </c>
      <c r="B7" s="20" t="s">
        <v>463</v>
      </c>
      <c r="C7" s="20" t="s">
        <v>529</v>
      </c>
      <c r="D7" s="150">
        <v>2150000</v>
      </c>
      <c r="E7" s="20" t="s">
        <v>394</v>
      </c>
      <c r="F7" s="20" t="s">
        <v>395</v>
      </c>
      <c r="G7" s="8" t="str">
        <f t="shared" si="0"/>
        <v>SWANSON BRYCE</v>
      </c>
    </row>
    <row r="8" spans="1:7" x14ac:dyDescent="0.25">
      <c r="A8" s="8">
        <v>42813.078009259261</v>
      </c>
      <c r="B8" s="20" t="s">
        <v>483</v>
      </c>
      <c r="C8" s="20" t="s">
        <v>530</v>
      </c>
      <c r="D8" s="150">
        <v>2230000</v>
      </c>
      <c r="E8" s="20" t="s">
        <v>445</v>
      </c>
      <c r="F8" s="20" t="s">
        <v>197</v>
      </c>
      <c r="G8" s="8" t="str">
        <f t="shared" si="0"/>
        <v>SMITH MICHAEL</v>
      </c>
    </row>
    <row r="9" spans="1:7" ht="15.75" thickBot="1" x14ac:dyDescent="0.3">
      <c r="A9" s="24">
        <v>42813.079247685186</v>
      </c>
      <c r="B9" s="20" t="s">
        <v>404</v>
      </c>
      <c r="C9" s="20" t="s">
        <v>531</v>
      </c>
      <c r="D9" s="150">
        <v>2270000</v>
      </c>
      <c r="E9" s="20" t="s">
        <v>209</v>
      </c>
      <c r="F9" s="20" t="s">
        <v>210</v>
      </c>
      <c r="G9" s="8" t="str">
        <f t="shared" si="0"/>
        <v>BROWN JACOB</v>
      </c>
    </row>
    <row r="10" spans="1:7" x14ac:dyDescent="0.25">
      <c r="A10" s="8">
        <v>42813.079872685186</v>
      </c>
      <c r="B10" s="20" t="s">
        <v>404</v>
      </c>
      <c r="C10" s="20" t="s">
        <v>531</v>
      </c>
      <c r="D10" s="150">
        <v>2270000</v>
      </c>
      <c r="E10" s="20" t="s">
        <v>209</v>
      </c>
      <c r="F10" s="20" t="s">
        <v>210</v>
      </c>
      <c r="G10" s="8" t="str">
        <f t="shared" si="0"/>
        <v>BROWN JACOB</v>
      </c>
    </row>
    <row r="11" spans="1:7" x14ac:dyDescent="0.25">
      <c r="A11" s="8">
        <v>42813.080451388887</v>
      </c>
      <c r="B11" s="20" t="s">
        <v>404</v>
      </c>
      <c r="C11" s="20" t="s">
        <v>531</v>
      </c>
      <c r="D11" s="150">
        <v>2270000</v>
      </c>
      <c r="E11" s="20" t="s">
        <v>209</v>
      </c>
      <c r="F11" s="20" t="s">
        <v>210</v>
      </c>
      <c r="G11" s="8" t="str">
        <f t="shared" si="0"/>
        <v>BROWN JACOB</v>
      </c>
    </row>
    <row r="12" spans="1:7" x14ac:dyDescent="0.25">
      <c r="A12" s="8">
        <v>42813.093668981484</v>
      </c>
      <c r="B12" s="20" t="s">
        <v>443</v>
      </c>
      <c r="C12" s="20" t="s">
        <v>532</v>
      </c>
      <c r="D12" s="150">
        <v>2150000</v>
      </c>
      <c r="E12" s="20" t="s">
        <v>394</v>
      </c>
      <c r="F12" s="20" t="s">
        <v>395</v>
      </c>
      <c r="G12" s="8" t="str">
        <f t="shared" si="0"/>
        <v>SWANSON BRYCE</v>
      </c>
    </row>
    <row r="13" spans="1:7" x14ac:dyDescent="0.25">
      <c r="A13" s="8">
        <v>42813.112708333334</v>
      </c>
      <c r="B13" s="20" t="s">
        <v>405</v>
      </c>
      <c r="C13" s="20" t="s">
        <v>533</v>
      </c>
      <c r="D13" s="150">
        <v>2270000</v>
      </c>
      <c r="E13" s="20" t="s">
        <v>209</v>
      </c>
      <c r="F13" s="20" t="s">
        <v>210</v>
      </c>
      <c r="G13" s="8" t="str">
        <f t="shared" si="0"/>
        <v>BROWN JACOB</v>
      </c>
    </row>
    <row r="14" spans="1:7" x14ac:dyDescent="0.25">
      <c r="A14" s="8">
        <v>42813.117754629631</v>
      </c>
      <c r="B14" s="20" t="s">
        <v>588</v>
      </c>
      <c r="C14" s="20" t="s">
        <v>606</v>
      </c>
      <c r="D14" s="150">
        <v>1360000</v>
      </c>
      <c r="E14" s="20" t="s">
        <v>495</v>
      </c>
      <c r="F14" s="20" t="s">
        <v>496</v>
      </c>
      <c r="G14" s="8" t="str">
        <f t="shared" si="0"/>
        <v>SANTIZO D. EDY</v>
      </c>
    </row>
    <row r="15" spans="1:7" x14ac:dyDescent="0.25">
      <c r="A15" s="8">
        <v>42813.129270833335</v>
      </c>
      <c r="B15" s="20" t="s">
        <v>229</v>
      </c>
      <c r="C15" s="20" t="s">
        <v>607</v>
      </c>
      <c r="D15" s="150">
        <v>1360000</v>
      </c>
      <c r="E15" s="20" t="s">
        <v>495</v>
      </c>
      <c r="F15" s="20" t="s">
        <v>496</v>
      </c>
      <c r="G15" s="8" t="str">
        <f t="shared" si="0"/>
        <v>SANTIZO D. EDY</v>
      </c>
    </row>
    <row r="16" spans="1:7" x14ac:dyDescent="0.25">
      <c r="A16" s="8">
        <v>42813.137083333335</v>
      </c>
      <c r="B16" s="20" t="s">
        <v>572</v>
      </c>
      <c r="C16" s="20" t="s">
        <v>608</v>
      </c>
      <c r="D16" s="150">
        <v>2010000</v>
      </c>
      <c r="E16" s="20" t="s">
        <v>497</v>
      </c>
      <c r="F16" s="20" t="s">
        <v>498</v>
      </c>
      <c r="G16" s="8" t="str">
        <f t="shared" si="0"/>
        <v>MAELZER KURT</v>
      </c>
    </row>
    <row r="17" spans="1:7" x14ac:dyDescent="0.25">
      <c r="A17" s="8">
        <v>42813.148611111108</v>
      </c>
      <c r="B17" s="20" t="s">
        <v>402</v>
      </c>
      <c r="C17" s="20" t="s">
        <v>609</v>
      </c>
      <c r="D17" s="150">
        <v>2010000</v>
      </c>
      <c r="E17" s="20" t="s">
        <v>497</v>
      </c>
      <c r="F17" s="20" t="s">
        <v>498</v>
      </c>
      <c r="G17" s="8" t="str">
        <f t="shared" si="0"/>
        <v>MAELZER KURT</v>
      </c>
    </row>
    <row r="18" spans="1:7" x14ac:dyDescent="0.25">
      <c r="A18" s="8">
        <v>42813.161365740743</v>
      </c>
      <c r="B18" s="20" t="s">
        <v>610</v>
      </c>
      <c r="C18" s="20" t="s">
        <v>611</v>
      </c>
      <c r="D18" s="150">
        <v>2550000</v>
      </c>
      <c r="E18" s="20" t="s">
        <v>415</v>
      </c>
      <c r="F18" s="20" t="s">
        <v>416</v>
      </c>
      <c r="G18" s="8" t="str">
        <f t="shared" si="0"/>
        <v>BADERTSCHER DIANE</v>
      </c>
    </row>
    <row r="19" spans="1:7" x14ac:dyDescent="0.25">
      <c r="A19" s="8">
        <v>42813.16574074074</v>
      </c>
      <c r="B19" s="20" t="s">
        <v>588</v>
      </c>
      <c r="C19" s="20" t="s">
        <v>612</v>
      </c>
      <c r="D19" s="150">
        <v>1360000</v>
      </c>
      <c r="E19" s="20" t="s">
        <v>495</v>
      </c>
      <c r="F19" s="20" t="s">
        <v>496</v>
      </c>
      <c r="G19" s="8" t="str">
        <f t="shared" si="0"/>
        <v>SANTIZO D. EDY</v>
      </c>
    </row>
    <row r="20" spans="1:7" x14ac:dyDescent="0.25">
      <c r="A20" s="8">
        <v>42813.172939814816</v>
      </c>
      <c r="B20" s="20" t="s">
        <v>425</v>
      </c>
      <c r="C20" s="20" t="s">
        <v>613</v>
      </c>
      <c r="D20" s="150">
        <v>2550000</v>
      </c>
      <c r="E20" s="20" t="s">
        <v>415</v>
      </c>
      <c r="F20" s="20" t="s">
        <v>416</v>
      </c>
      <c r="G20" s="8" t="str">
        <f t="shared" si="0"/>
        <v>BADERTSCHER DIANE</v>
      </c>
    </row>
    <row r="21" spans="1:7" x14ac:dyDescent="0.25">
      <c r="A21" s="8">
        <v>42813.173750000002</v>
      </c>
      <c r="B21" s="20" t="s">
        <v>460</v>
      </c>
      <c r="C21" s="20" t="s">
        <v>614</v>
      </c>
      <c r="D21" s="150">
        <v>1990000</v>
      </c>
      <c r="E21" s="20" t="s">
        <v>493</v>
      </c>
      <c r="F21" s="20" t="s">
        <v>494</v>
      </c>
      <c r="G21" s="8" t="str">
        <f t="shared" si="0"/>
        <v>DAVIS WENDY</v>
      </c>
    </row>
    <row r="22" spans="1:7" x14ac:dyDescent="0.25">
      <c r="A22" s="26">
        <v>42813.177627314813</v>
      </c>
      <c r="B22" s="20" t="s">
        <v>582</v>
      </c>
      <c r="C22" s="20" t="s">
        <v>615</v>
      </c>
      <c r="D22" s="150">
        <v>2140000</v>
      </c>
      <c r="E22" s="20" t="s">
        <v>441</v>
      </c>
      <c r="F22" s="20" t="s">
        <v>442</v>
      </c>
      <c r="G22" s="8" t="str">
        <f t="shared" si="0"/>
        <v>ROBINSON KADDIBA</v>
      </c>
    </row>
    <row r="23" spans="1:7" x14ac:dyDescent="0.25">
      <c r="A23" s="8">
        <v>42813.18378472222</v>
      </c>
      <c r="B23" s="20" t="s">
        <v>464</v>
      </c>
      <c r="C23" s="20" t="s">
        <v>571</v>
      </c>
      <c r="D23" s="150">
        <v>1990000</v>
      </c>
      <c r="E23" s="20" t="s">
        <v>493</v>
      </c>
      <c r="F23" s="20" t="s">
        <v>494</v>
      </c>
      <c r="G23" s="8" t="str">
        <f t="shared" si="0"/>
        <v>DAVIS WENDY</v>
      </c>
    </row>
    <row r="24" spans="1:7" x14ac:dyDescent="0.25">
      <c r="A24" s="8">
        <v>42813.188078703701</v>
      </c>
      <c r="B24" s="20" t="s">
        <v>572</v>
      </c>
      <c r="C24" s="20" t="s">
        <v>573</v>
      </c>
      <c r="D24" s="150">
        <v>2010000</v>
      </c>
      <c r="E24" s="20" t="s">
        <v>497</v>
      </c>
      <c r="F24" s="20" t="s">
        <v>498</v>
      </c>
      <c r="G24" s="8" t="str">
        <f t="shared" si="0"/>
        <v>MAELZER KURT</v>
      </c>
    </row>
    <row r="25" spans="1:7" x14ac:dyDescent="0.25">
      <c r="A25" s="8">
        <v>42813.191435185188</v>
      </c>
      <c r="B25" s="20" t="s">
        <v>616</v>
      </c>
      <c r="C25" s="20" t="s">
        <v>617</v>
      </c>
      <c r="D25" s="150">
        <v>2140000</v>
      </c>
      <c r="E25" s="20" t="s">
        <v>441</v>
      </c>
      <c r="F25" s="20" t="s">
        <v>442</v>
      </c>
      <c r="G25" s="8" t="str">
        <f t="shared" si="0"/>
        <v>ROBINSON KADDIBA</v>
      </c>
    </row>
    <row r="26" spans="1:7" x14ac:dyDescent="0.25">
      <c r="A26" s="8">
        <v>42813.204525462963</v>
      </c>
      <c r="B26" s="20" t="s">
        <v>229</v>
      </c>
      <c r="C26" s="20" t="s">
        <v>618</v>
      </c>
      <c r="D26" s="150">
        <v>2370000</v>
      </c>
      <c r="E26" s="20" t="s">
        <v>428</v>
      </c>
      <c r="F26" s="20" t="s">
        <v>429</v>
      </c>
      <c r="G26" s="8" t="str">
        <f t="shared" si="0"/>
        <v>DELGADO DIANAH</v>
      </c>
    </row>
    <row r="27" spans="1:7" x14ac:dyDescent="0.25">
      <c r="A27" s="8">
        <v>42813.204872685186</v>
      </c>
      <c r="B27" s="20" t="s">
        <v>574</v>
      </c>
      <c r="C27" s="20" t="s">
        <v>575</v>
      </c>
      <c r="D27" s="150">
        <v>1360000</v>
      </c>
      <c r="E27" s="20" t="s">
        <v>495</v>
      </c>
      <c r="F27" s="20" t="s">
        <v>496</v>
      </c>
      <c r="G27" s="8" t="str">
        <f t="shared" si="0"/>
        <v>SANTIZO D. EDY</v>
      </c>
    </row>
    <row r="28" spans="1:7" x14ac:dyDescent="0.25">
      <c r="A28" s="8">
        <v>42813.2109837963</v>
      </c>
      <c r="B28" s="20" t="s">
        <v>610</v>
      </c>
      <c r="C28" s="20" t="s">
        <v>619</v>
      </c>
      <c r="D28" s="150">
        <v>2550000</v>
      </c>
      <c r="E28" s="20" t="s">
        <v>415</v>
      </c>
      <c r="F28" s="20" t="s">
        <v>416</v>
      </c>
      <c r="G28" s="8" t="str">
        <f t="shared" si="0"/>
        <v>BADERTSCHER DIANE</v>
      </c>
    </row>
    <row r="29" spans="1:7" x14ac:dyDescent="0.25">
      <c r="A29" s="8">
        <v>42813.217800925922</v>
      </c>
      <c r="B29" s="20" t="s">
        <v>367</v>
      </c>
      <c r="C29" s="20" t="s">
        <v>620</v>
      </c>
      <c r="D29" s="150">
        <v>1830000</v>
      </c>
      <c r="E29" s="20" t="s">
        <v>621</v>
      </c>
      <c r="F29" s="20" t="s">
        <v>622</v>
      </c>
      <c r="G29" s="8" t="str">
        <f t="shared" si="0"/>
        <v>YORK EDGAR</v>
      </c>
    </row>
    <row r="30" spans="1:7" x14ac:dyDescent="0.25">
      <c r="A30" s="8">
        <v>42813.221886574072</v>
      </c>
      <c r="B30" s="20" t="s">
        <v>460</v>
      </c>
      <c r="C30" s="20" t="s">
        <v>623</v>
      </c>
      <c r="D30" s="150">
        <v>1990000</v>
      </c>
      <c r="E30" s="20" t="s">
        <v>493</v>
      </c>
      <c r="F30" s="20" t="s">
        <v>494</v>
      </c>
      <c r="G30" s="8" t="str">
        <f t="shared" si="0"/>
        <v>DAVIS WENDY</v>
      </c>
    </row>
    <row r="31" spans="1:7" x14ac:dyDescent="0.25">
      <c r="A31" s="8">
        <v>42813.227071759262</v>
      </c>
      <c r="B31" s="20" t="s">
        <v>402</v>
      </c>
      <c r="C31" s="20" t="s">
        <v>624</v>
      </c>
      <c r="D31" s="150">
        <v>2020000</v>
      </c>
      <c r="E31" s="20" t="s">
        <v>444</v>
      </c>
      <c r="F31" s="20" t="s">
        <v>424</v>
      </c>
      <c r="G31" s="8" t="str">
        <f t="shared" si="0"/>
        <v>SHOOK JOHN</v>
      </c>
    </row>
    <row r="32" spans="1:7" x14ac:dyDescent="0.25">
      <c r="A32" s="8">
        <v>42813.227939814817</v>
      </c>
      <c r="B32" s="20" t="s">
        <v>414</v>
      </c>
      <c r="C32" s="20" t="s">
        <v>625</v>
      </c>
      <c r="D32" s="150">
        <v>1830000</v>
      </c>
      <c r="E32" s="20" t="s">
        <v>621</v>
      </c>
      <c r="F32" s="20" t="s">
        <v>622</v>
      </c>
      <c r="G32" s="8" t="str">
        <f t="shared" si="0"/>
        <v>YORK EDGAR</v>
      </c>
    </row>
    <row r="33" spans="1:7" x14ac:dyDescent="0.25">
      <c r="A33" s="8">
        <v>42813.22934027778</v>
      </c>
      <c r="B33" s="20" t="s">
        <v>586</v>
      </c>
      <c r="C33" s="20" t="s">
        <v>626</v>
      </c>
      <c r="D33" s="150">
        <v>2010000</v>
      </c>
      <c r="E33" s="20" t="s">
        <v>497</v>
      </c>
      <c r="F33" s="20" t="s">
        <v>498</v>
      </c>
      <c r="G33" s="8" t="str">
        <f t="shared" si="0"/>
        <v>MAELZER KURT</v>
      </c>
    </row>
    <row r="34" spans="1:7" x14ac:dyDescent="0.25">
      <c r="A34" s="8">
        <v>42813.232094907406</v>
      </c>
      <c r="B34" s="20" t="s">
        <v>582</v>
      </c>
      <c r="C34" s="20" t="s">
        <v>627</v>
      </c>
      <c r="D34" s="150">
        <v>2140000</v>
      </c>
      <c r="E34" s="20" t="s">
        <v>441</v>
      </c>
      <c r="F34" s="20" t="s">
        <v>442</v>
      </c>
      <c r="G34" s="8" t="str">
        <f t="shared" si="0"/>
        <v>ROBINSON KADDIBA</v>
      </c>
    </row>
    <row r="35" spans="1:7" x14ac:dyDescent="0.25">
      <c r="A35" s="8">
        <v>42813.243055555555</v>
      </c>
      <c r="B35" s="20" t="s">
        <v>591</v>
      </c>
      <c r="C35" s="20" t="s">
        <v>628</v>
      </c>
      <c r="D35" s="150">
        <v>2370000</v>
      </c>
      <c r="E35" s="20" t="s">
        <v>428</v>
      </c>
      <c r="F35" s="20" t="s">
        <v>429</v>
      </c>
      <c r="G35" s="8" t="str">
        <f t="shared" si="0"/>
        <v>DELGADO DIANAH</v>
      </c>
    </row>
    <row r="36" spans="1:7" x14ac:dyDescent="0.25">
      <c r="A36" s="8">
        <v>42813.245243055557</v>
      </c>
      <c r="B36" s="20" t="s">
        <v>588</v>
      </c>
      <c r="C36" s="20" t="s">
        <v>629</v>
      </c>
      <c r="D36" s="150">
        <v>1360000</v>
      </c>
      <c r="E36" s="20" t="s">
        <v>495</v>
      </c>
      <c r="F36" s="20" t="s">
        <v>496</v>
      </c>
      <c r="G36" s="8" t="str">
        <f t="shared" si="0"/>
        <v>SANTIZO D. EDY</v>
      </c>
    </row>
    <row r="37" spans="1:7" x14ac:dyDescent="0.25">
      <c r="A37" s="8">
        <v>42813.247627314813</v>
      </c>
      <c r="B37" s="20" t="s">
        <v>367</v>
      </c>
      <c r="C37" s="20" t="s">
        <v>630</v>
      </c>
      <c r="D37" s="150">
        <v>1830000</v>
      </c>
      <c r="E37" s="20" t="s">
        <v>621</v>
      </c>
      <c r="F37" s="20" t="s">
        <v>622</v>
      </c>
      <c r="G37" s="8" t="str">
        <f t="shared" si="0"/>
        <v>YORK EDGAR</v>
      </c>
    </row>
    <row r="38" spans="1:7" x14ac:dyDescent="0.25">
      <c r="A38" s="8">
        <v>42813.249120370368</v>
      </c>
      <c r="B38" s="20" t="s">
        <v>425</v>
      </c>
      <c r="C38" s="20" t="s">
        <v>631</v>
      </c>
      <c r="D38" s="150">
        <v>2550000</v>
      </c>
      <c r="E38" s="20" t="s">
        <v>415</v>
      </c>
      <c r="F38" s="20" t="s">
        <v>416</v>
      </c>
      <c r="G38" s="8" t="str">
        <f t="shared" si="0"/>
        <v>BADERTSCHER DIANE</v>
      </c>
    </row>
    <row r="39" spans="1:7" x14ac:dyDescent="0.25">
      <c r="A39" s="8">
        <v>42813.249872685185</v>
      </c>
      <c r="B39" s="20" t="s">
        <v>425</v>
      </c>
      <c r="C39" s="20" t="s">
        <v>631</v>
      </c>
      <c r="D39" s="150">
        <v>2550000</v>
      </c>
      <c r="E39" s="20" t="s">
        <v>415</v>
      </c>
      <c r="F39" s="20" t="s">
        <v>416</v>
      </c>
      <c r="G39" s="8" t="str">
        <f t="shared" si="0"/>
        <v>BADERTSCHER DIANE</v>
      </c>
    </row>
    <row r="40" spans="1:7" x14ac:dyDescent="0.25">
      <c r="A40" s="8">
        <v>42813.258888888886</v>
      </c>
      <c r="B40" s="25" t="s">
        <v>464</v>
      </c>
      <c r="C40" s="20" t="s">
        <v>632</v>
      </c>
      <c r="D40" s="150">
        <v>1990000</v>
      </c>
      <c r="E40" s="20" t="s">
        <v>493</v>
      </c>
      <c r="F40" s="20" t="s">
        <v>494</v>
      </c>
      <c r="G40" s="8" t="str">
        <f t="shared" si="0"/>
        <v>DAVIS WENDY</v>
      </c>
    </row>
    <row r="41" spans="1:7" x14ac:dyDescent="0.25">
      <c r="A41" s="8">
        <v>42813.259085648147</v>
      </c>
      <c r="B41" s="20" t="s">
        <v>403</v>
      </c>
      <c r="C41" s="20" t="s">
        <v>633</v>
      </c>
      <c r="D41" s="150">
        <v>2020000</v>
      </c>
      <c r="E41" s="20" t="s">
        <v>444</v>
      </c>
      <c r="F41" s="20" t="s">
        <v>424</v>
      </c>
      <c r="G41" s="8" t="str">
        <f t="shared" si="0"/>
        <v>SHOOK JOHN</v>
      </c>
    </row>
    <row r="42" spans="1:7" x14ac:dyDescent="0.25">
      <c r="A42" s="8">
        <v>42813.266655092593</v>
      </c>
      <c r="B42" s="20" t="s">
        <v>616</v>
      </c>
      <c r="C42" s="20" t="s">
        <v>634</v>
      </c>
      <c r="D42" s="150">
        <v>2140000</v>
      </c>
      <c r="E42" s="20" t="s">
        <v>441</v>
      </c>
      <c r="F42" s="20" t="s">
        <v>442</v>
      </c>
      <c r="G42" s="8" t="str">
        <f t="shared" si="0"/>
        <v>ROBINSON KADDIBA</v>
      </c>
    </row>
    <row r="43" spans="1:7" x14ac:dyDescent="0.25">
      <c r="A43" s="8">
        <v>42813.273460648146</v>
      </c>
      <c r="B43" s="20" t="s">
        <v>572</v>
      </c>
      <c r="C43" s="20" t="s">
        <v>635</v>
      </c>
      <c r="D43" s="150">
        <v>2010000</v>
      </c>
      <c r="E43" s="20" t="s">
        <v>497</v>
      </c>
      <c r="F43" s="20" t="s">
        <v>498</v>
      </c>
      <c r="G43" s="8" t="str">
        <f t="shared" si="0"/>
        <v>MAELZER KURT</v>
      </c>
    </row>
    <row r="44" spans="1:7" x14ac:dyDescent="0.25">
      <c r="A44" s="8">
        <v>42813.274814814817</v>
      </c>
      <c r="B44" s="20" t="s">
        <v>414</v>
      </c>
      <c r="C44" s="20" t="s">
        <v>636</v>
      </c>
      <c r="D44" s="150">
        <v>1830000</v>
      </c>
      <c r="E44" s="20" t="s">
        <v>621</v>
      </c>
      <c r="F44" s="20" t="s">
        <v>622</v>
      </c>
      <c r="G44" s="8" t="str">
        <f t="shared" si="0"/>
        <v>YORK EDGAR</v>
      </c>
    </row>
    <row r="45" spans="1:7" x14ac:dyDescent="0.25">
      <c r="A45" s="8">
        <v>42813.276041666664</v>
      </c>
      <c r="B45" s="20" t="s">
        <v>229</v>
      </c>
      <c r="C45" s="20" t="s">
        <v>637</v>
      </c>
      <c r="D45" s="150">
        <v>1100000</v>
      </c>
      <c r="E45" s="20" t="s">
        <v>422</v>
      </c>
      <c r="F45" s="20" t="s">
        <v>423</v>
      </c>
      <c r="G45" s="8" t="str">
        <f t="shared" si="0"/>
        <v>GEBRETEKLE DAGNEW</v>
      </c>
    </row>
    <row r="46" spans="1:7" x14ac:dyDescent="0.25">
      <c r="A46" s="8">
        <v>42813.280914351853</v>
      </c>
      <c r="B46" s="20" t="s">
        <v>421</v>
      </c>
      <c r="C46" s="20" t="s">
        <v>638</v>
      </c>
      <c r="D46" s="150">
        <v>2550000</v>
      </c>
      <c r="E46" s="20" t="s">
        <v>415</v>
      </c>
      <c r="F46" s="20" t="s">
        <v>416</v>
      </c>
      <c r="G46" s="8" t="str">
        <f t="shared" si="0"/>
        <v>BADERTSCHER DIANE</v>
      </c>
    </row>
    <row r="47" spans="1:7" x14ac:dyDescent="0.25">
      <c r="A47" s="8">
        <v>42813.285509259258</v>
      </c>
      <c r="B47" s="20" t="s">
        <v>574</v>
      </c>
      <c r="C47" s="20" t="s">
        <v>639</v>
      </c>
      <c r="D47" s="150">
        <v>1360000</v>
      </c>
      <c r="E47" s="20" t="s">
        <v>495</v>
      </c>
      <c r="F47" s="20" t="s">
        <v>496</v>
      </c>
      <c r="G47" s="8" t="str">
        <f t="shared" si="0"/>
        <v>SANTIZO D. EDY</v>
      </c>
    </row>
    <row r="48" spans="1:7" x14ac:dyDescent="0.25">
      <c r="A48" s="8">
        <v>42813.289571759262</v>
      </c>
      <c r="B48" s="20" t="s">
        <v>367</v>
      </c>
      <c r="C48" s="20" t="s">
        <v>640</v>
      </c>
      <c r="D48" s="150">
        <v>1830000</v>
      </c>
      <c r="E48" s="20" t="s">
        <v>621</v>
      </c>
      <c r="F48" s="20" t="s">
        <v>622</v>
      </c>
      <c r="G48" s="8" t="str">
        <f t="shared" si="0"/>
        <v>YORK EDGAR</v>
      </c>
    </row>
    <row r="49" spans="1:7" x14ac:dyDescent="0.25">
      <c r="A49" s="8">
        <v>42813.297407407408</v>
      </c>
      <c r="B49" s="20" t="s">
        <v>460</v>
      </c>
      <c r="C49" s="20" t="s">
        <v>576</v>
      </c>
      <c r="D49" s="150">
        <v>1990000</v>
      </c>
      <c r="E49" s="20" t="s">
        <v>493</v>
      </c>
      <c r="F49" s="20" t="s">
        <v>494</v>
      </c>
      <c r="G49" s="8" t="str">
        <f t="shared" si="0"/>
        <v>DAVIS WENDY</v>
      </c>
    </row>
    <row r="50" spans="1:7" x14ac:dyDescent="0.25">
      <c r="A50" s="8">
        <v>42813.299050925925</v>
      </c>
      <c r="B50" s="20" t="s">
        <v>402</v>
      </c>
      <c r="C50" s="20" t="s">
        <v>641</v>
      </c>
      <c r="D50" s="150">
        <v>2040000</v>
      </c>
      <c r="E50" s="20" t="s">
        <v>642</v>
      </c>
      <c r="F50" s="20" t="s">
        <v>643</v>
      </c>
      <c r="G50" s="8" t="str">
        <f t="shared" si="0"/>
        <v>MOSES BRADLEY</v>
      </c>
    </row>
    <row r="51" spans="1:7" x14ac:dyDescent="0.25">
      <c r="A51" s="8">
        <v>42813.304942129631</v>
      </c>
      <c r="B51" s="20" t="s">
        <v>582</v>
      </c>
      <c r="C51" s="20" t="s">
        <v>644</v>
      </c>
      <c r="D51" s="150">
        <v>2140000</v>
      </c>
      <c r="E51" s="20" t="s">
        <v>441</v>
      </c>
      <c r="F51" s="20" t="s">
        <v>442</v>
      </c>
      <c r="G51" s="8" t="str">
        <f t="shared" si="0"/>
        <v>ROBINSON KADDIBA</v>
      </c>
    </row>
    <row r="52" spans="1:7" x14ac:dyDescent="0.25">
      <c r="A52" s="8">
        <v>42813.308541666665</v>
      </c>
      <c r="B52" s="20" t="s">
        <v>586</v>
      </c>
      <c r="C52" s="20" t="s">
        <v>645</v>
      </c>
      <c r="D52" s="150">
        <v>2010000</v>
      </c>
      <c r="E52" s="20" t="s">
        <v>497</v>
      </c>
      <c r="F52" s="20" t="s">
        <v>498</v>
      </c>
      <c r="G52" s="8" t="str">
        <f t="shared" si="0"/>
        <v>MAELZER KURT</v>
      </c>
    </row>
    <row r="53" spans="1:7" x14ac:dyDescent="0.25">
      <c r="A53" s="8">
        <v>42813.315868055557</v>
      </c>
      <c r="B53" s="20" t="s">
        <v>591</v>
      </c>
      <c r="C53" s="20" t="s">
        <v>646</v>
      </c>
      <c r="D53" s="150">
        <v>1100000</v>
      </c>
      <c r="E53" s="20" t="s">
        <v>422</v>
      </c>
      <c r="F53" s="20" t="s">
        <v>423</v>
      </c>
      <c r="G53" s="8" t="str">
        <f t="shared" si="0"/>
        <v>GEBRETEKLE DAGNEW</v>
      </c>
    </row>
    <row r="54" spans="1:7" x14ac:dyDescent="0.25">
      <c r="A54" s="8">
        <v>42813.317743055559</v>
      </c>
      <c r="B54" s="20" t="s">
        <v>414</v>
      </c>
      <c r="C54" s="20" t="s">
        <v>577</v>
      </c>
      <c r="D54" s="150">
        <v>1830000</v>
      </c>
      <c r="E54" s="20" t="s">
        <v>621</v>
      </c>
      <c r="F54" s="20" t="s">
        <v>622</v>
      </c>
      <c r="G54" s="8" t="str">
        <f t="shared" si="0"/>
        <v>YORK EDGAR</v>
      </c>
    </row>
    <row r="55" spans="1:7" x14ac:dyDescent="0.25">
      <c r="A55" s="8">
        <v>42813.318680555552</v>
      </c>
      <c r="B55" s="20" t="s">
        <v>588</v>
      </c>
      <c r="C55" s="20" t="s">
        <v>647</v>
      </c>
      <c r="D55" s="150">
        <v>1360000</v>
      </c>
      <c r="E55" s="20" t="s">
        <v>495</v>
      </c>
      <c r="F55" s="20" t="s">
        <v>496</v>
      </c>
      <c r="G55" s="8" t="str">
        <f t="shared" si="0"/>
        <v>SANTIZO D. EDY</v>
      </c>
    </row>
    <row r="56" spans="1:7" x14ac:dyDescent="0.25">
      <c r="A56" s="8">
        <v>42813.318761574075</v>
      </c>
      <c r="B56" s="20" t="s">
        <v>460</v>
      </c>
      <c r="C56" s="20" t="s">
        <v>576</v>
      </c>
      <c r="D56" s="150">
        <v>1990000</v>
      </c>
      <c r="E56" s="20" t="s">
        <v>493</v>
      </c>
      <c r="F56" s="20" t="s">
        <v>494</v>
      </c>
      <c r="G56" s="8" t="str">
        <f t="shared" si="0"/>
        <v>DAVIS WENDY</v>
      </c>
    </row>
    <row r="57" spans="1:7" x14ac:dyDescent="0.25">
      <c r="A57" s="8">
        <v>42813.319027777776</v>
      </c>
      <c r="B57" s="20" t="s">
        <v>425</v>
      </c>
      <c r="C57" s="20" t="s">
        <v>648</v>
      </c>
      <c r="D57" s="150">
        <v>2550000</v>
      </c>
      <c r="E57" s="20" t="s">
        <v>415</v>
      </c>
      <c r="F57" s="20" t="s">
        <v>416</v>
      </c>
      <c r="G57" s="8" t="str">
        <f t="shared" si="0"/>
        <v>BADERTSCHER DIANE</v>
      </c>
    </row>
    <row r="58" spans="1:7" x14ac:dyDescent="0.25">
      <c r="A58" s="8">
        <v>42813.319745370369</v>
      </c>
      <c r="B58" s="20" t="s">
        <v>425</v>
      </c>
      <c r="C58" s="20" t="s">
        <v>648</v>
      </c>
      <c r="D58" s="150">
        <v>2550000</v>
      </c>
      <c r="E58" s="20" t="s">
        <v>415</v>
      </c>
      <c r="F58" s="20" t="s">
        <v>416</v>
      </c>
      <c r="G58" s="8" t="str">
        <f t="shared" si="0"/>
        <v>BADERTSCHER DIANE</v>
      </c>
    </row>
    <row r="59" spans="1:7" x14ac:dyDescent="0.25">
      <c r="A59" s="8">
        <v>42813.320625</v>
      </c>
      <c r="B59" s="20" t="s">
        <v>425</v>
      </c>
      <c r="C59" s="20" t="s">
        <v>648</v>
      </c>
      <c r="D59" s="150">
        <v>2550000</v>
      </c>
      <c r="E59" s="20" t="s">
        <v>415</v>
      </c>
      <c r="F59" s="20" t="s">
        <v>416</v>
      </c>
      <c r="G59" s="8" t="str">
        <f t="shared" si="0"/>
        <v>BADERTSCHER DIANE</v>
      </c>
    </row>
    <row r="60" spans="1:7" x14ac:dyDescent="0.25">
      <c r="A60" s="8">
        <v>42813.331296296295</v>
      </c>
      <c r="B60" s="20" t="s">
        <v>367</v>
      </c>
      <c r="C60" s="20" t="s">
        <v>649</v>
      </c>
      <c r="D60" s="150">
        <v>1830000</v>
      </c>
      <c r="E60" s="20" t="s">
        <v>621</v>
      </c>
      <c r="F60" s="20" t="s">
        <v>622</v>
      </c>
      <c r="G60" s="8" t="str">
        <f t="shared" si="0"/>
        <v>YORK EDGAR</v>
      </c>
    </row>
    <row r="61" spans="1:7" x14ac:dyDescent="0.25">
      <c r="A61" s="8">
        <v>42813.331967592596</v>
      </c>
      <c r="B61" s="20" t="s">
        <v>464</v>
      </c>
      <c r="C61" s="20" t="s">
        <v>578</v>
      </c>
      <c r="D61" s="150">
        <v>1990000</v>
      </c>
      <c r="E61" s="20" t="s">
        <v>493</v>
      </c>
      <c r="F61" s="20" t="s">
        <v>494</v>
      </c>
      <c r="G61" s="8" t="str">
        <f t="shared" si="0"/>
        <v>DAVIS WENDY</v>
      </c>
    </row>
    <row r="62" spans="1:7" x14ac:dyDescent="0.25">
      <c r="A62" s="8">
        <v>42813.338425925926</v>
      </c>
      <c r="B62" s="20" t="s">
        <v>403</v>
      </c>
      <c r="C62" s="20" t="s">
        <v>650</v>
      </c>
      <c r="D62" s="150">
        <v>2040000</v>
      </c>
      <c r="E62" s="20" t="s">
        <v>642</v>
      </c>
      <c r="F62" s="20" t="s">
        <v>643</v>
      </c>
      <c r="G62" s="8" t="str">
        <f t="shared" si="0"/>
        <v>MOSES BRADLEY</v>
      </c>
    </row>
    <row r="63" spans="1:7" x14ac:dyDescent="0.25">
      <c r="A63" s="8">
        <v>42813.340138888889</v>
      </c>
      <c r="B63" s="20" t="s">
        <v>616</v>
      </c>
      <c r="C63" s="20" t="s">
        <v>651</v>
      </c>
      <c r="D63" s="150">
        <v>2140000</v>
      </c>
      <c r="E63" s="20" t="s">
        <v>441</v>
      </c>
      <c r="F63" s="20" t="s">
        <v>442</v>
      </c>
      <c r="G63" s="8" t="str">
        <f t="shared" si="0"/>
        <v>ROBINSON KADDIBA</v>
      </c>
    </row>
    <row r="64" spans="1:7" x14ac:dyDescent="0.25">
      <c r="A64" s="26">
        <v>42813.344409722224</v>
      </c>
      <c r="B64" s="20" t="s">
        <v>572</v>
      </c>
      <c r="C64" s="20" t="s">
        <v>652</v>
      </c>
      <c r="D64" s="150">
        <v>2010000</v>
      </c>
      <c r="E64" s="20" t="s">
        <v>497</v>
      </c>
      <c r="F64" s="20" t="s">
        <v>498</v>
      </c>
      <c r="G64" s="8" t="str">
        <f t="shared" si="0"/>
        <v>MAELZER KURT</v>
      </c>
    </row>
    <row r="65" spans="1:7" x14ac:dyDescent="0.25">
      <c r="A65" s="8">
        <v>42813.349432870367</v>
      </c>
      <c r="B65" s="20" t="s">
        <v>229</v>
      </c>
      <c r="C65" s="20" t="s">
        <v>653</v>
      </c>
      <c r="D65" s="150">
        <v>1100000</v>
      </c>
      <c r="E65" s="20" t="s">
        <v>422</v>
      </c>
      <c r="F65" s="20" t="s">
        <v>423</v>
      </c>
      <c r="G65" s="8" t="str">
        <f t="shared" si="0"/>
        <v>GEBRETEKLE DAGNEW</v>
      </c>
    </row>
    <row r="66" spans="1:7" x14ac:dyDescent="0.25">
      <c r="A66" s="8">
        <v>42813.357673611114</v>
      </c>
      <c r="B66" s="20" t="s">
        <v>421</v>
      </c>
      <c r="C66" s="20" t="s">
        <v>654</v>
      </c>
      <c r="D66" s="150">
        <v>2550000</v>
      </c>
      <c r="E66" s="20" t="s">
        <v>415</v>
      </c>
      <c r="F66" s="20" t="s">
        <v>416</v>
      </c>
      <c r="G66" s="8" t="str">
        <f t="shared" si="0"/>
        <v>BADERTSCHER DIANE</v>
      </c>
    </row>
    <row r="67" spans="1:7" x14ac:dyDescent="0.25">
      <c r="A67" s="8">
        <v>42813.357835648145</v>
      </c>
      <c r="B67" s="20" t="s">
        <v>574</v>
      </c>
      <c r="C67" s="20" t="s">
        <v>655</v>
      </c>
      <c r="D67" s="150">
        <v>1360000</v>
      </c>
      <c r="E67" s="20" t="s">
        <v>495</v>
      </c>
      <c r="F67" s="20" t="s">
        <v>496</v>
      </c>
      <c r="G67" s="8" t="str">
        <f t="shared" ref="G67:G130" si="1">E67&amp;" "&amp;F67</f>
        <v>SANTIZO D. EDY</v>
      </c>
    </row>
    <row r="68" spans="1:7" x14ac:dyDescent="0.25">
      <c r="A68" s="8">
        <v>42813.358472222222</v>
      </c>
      <c r="B68" s="20" t="s">
        <v>229</v>
      </c>
      <c r="C68" s="20" t="s">
        <v>653</v>
      </c>
      <c r="D68" s="150">
        <v>1100000</v>
      </c>
      <c r="E68" s="20" t="s">
        <v>422</v>
      </c>
      <c r="F68" s="20" t="s">
        <v>423</v>
      </c>
      <c r="G68" s="8" t="str">
        <f t="shared" si="1"/>
        <v>GEBRETEKLE DAGNEW</v>
      </c>
    </row>
    <row r="69" spans="1:7" x14ac:dyDescent="0.25">
      <c r="A69" s="8">
        <v>42813.358773148146</v>
      </c>
      <c r="B69" s="20" t="s">
        <v>414</v>
      </c>
      <c r="C69" s="20" t="s">
        <v>656</v>
      </c>
      <c r="D69" s="150">
        <v>1830000</v>
      </c>
      <c r="E69" s="20" t="s">
        <v>621</v>
      </c>
      <c r="F69" s="20" t="s">
        <v>622</v>
      </c>
      <c r="G69" s="8" t="str">
        <f t="shared" si="1"/>
        <v>YORK EDGAR</v>
      </c>
    </row>
    <row r="70" spans="1:7" x14ac:dyDescent="0.25">
      <c r="A70" s="8">
        <v>42813.370555555557</v>
      </c>
      <c r="B70" s="20" t="s">
        <v>402</v>
      </c>
      <c r="C70" s="20" t="s">
        <v>657</v>
      </c>
      <c r="D70" s="150">
        <v>2020000</v>
      </c>
      <c r="E70" s="20" t="s">
        <v>444</v>
      </c>
      <c r="F70" s="20" t="s">
        <v>424</v>
      </c>
      <c r="G70" s="8" t="str">
        <f t="shared" si="1"/>
        <v>SHOOK JOHN</v>
      </c>
    </row>
    <row r="71" spans="1:7" x14ac:dyDescent="0.25">
      <c r="A71" s="8">
        <v>42813.370763888888</v>
      </c>
      <c r="B71" s="20" t="s">
        <v>460</v>
      </c>
      <c r="C71" s="20" t="s">
        <v>658</v>
      </c>
      <c r="D71" s="150">
        <v>1990000</v>
      </c>
      <c r="E71" s="20" t="s">
        <v>493</v>
      </c>
      <c r="F71" s="20" t="s">
        <v>494</v>
      </c>
      <c r="G71" s="8" t="str">
        <f t="shared" si="1"/>
        <v>DAVIS WENDY</v>
      </c>
    </row>
    <row r="72" spans="1:7" x14ac:dyDescent="0.25">
      <c r="A72" s="8">
        <v>42813.372581018521</v>
      </c>
      <c r="B72" s="20" t="s">
        <v>367</v>
      </c>
      <c r="C72" s="20" t="s">
        <v>659</v>
      </c>
      <c r="D72" s="150">
        <v>1830000</v>
      </c>
      <c r="E72" s="20" t="s">
        <v>621</v>
      </c>
      <c r="F72" s="20" t="s">
        <v>622</v>
      </c>
      <c r="G72" s="8" t="str">
        <f t="shared" si="1"/>
        <v>YORK EDGAR</v>
      </c>
    </row>
    <row r="73" spans="1:7" x14ac:dyDescent="0.25">
      <c r="A73" s="8">
        <v>42813.377106481479</v>
      </c>
      <c r="B73" s="20" t="s">
        <v>582</v>
      </c>
      <c r="C73" s="20" t="s">
        <v>660</v>
      </c>
      <c r="D73" s="150">
        <v>2140000</v>
      </c>
      <c r="E73" s="20" t="s">
        <v>441</v>
      </c>
      <c r="F73" s="20" t="s">
        <v>442</v>
      </c>
      <c r="G73" s="8" t="str">
        <f t="shared" si="1"/>
        <v>ROBINSON KADDIBA</v>
      </c>
    </row>
    <row r="74" spans="1:7" x14ac:dyDescent="0.25">
      <c r="A74" s="8">
        <v>42813.382280092592</v>
      </c>
      <c r="B74" s="20" t="s">
        <v>586</v>
      </c>
      <c r="C74" s="20" t="s">
        <v>661</v>
      </c>
      <c r="D74" s="150">
        <v>2010000</v>
      </c>
      <c r="E74" s="20" t="s">
        <v>497</v>
      </c>
      <c r="F74" s="20" t="s">
        <v>498</v>
      </c>
      <c r="G74" s="8" t="str">
        <f t="shared" si="1"/>
        <v>MAELZER KURT</v>
      </c>
    </row>
    <row r="75" spans="1:7" x14ac:dyDescent="0.25">
      <c r="A75" s="8">
        <v>42813.3905787037</v>
      </c>
      <c r="B75" s="20" t="s">
        <v>591</v>
      </c>
      <c r="C75" s="20" t="s">
        <v>662</v>
      </c>
      <c r="D75" s="150">
        <v>1100000</v>
      </c>
      <c r="E75" s="20" t="s">
        <v>422</v>
      </c>
      <c r="F75" s="20" t="s">
        <v>423</v>
      </c>
      <c r="G75" s="8" t="str">
        <f t="shared" si="1"/>
        <v>GEBRETEKLE DAGNEW</v>
      </c>
    </row>
    <row r="76" spans="1:7" x14ac:dyDescent="0.25">
      <c r="A76" s="8">
        <v>42813.391435185185</v>
      </c>
      <c r="B76" s="20" t="s">
        <v>588</v>
      </c>
      <c r="C76" s="20" t="s">
        <v>663</v>
      </c>
      <c r="D76" s="150">
        <v>1360000</v>
      </c>
      <c r="E76" s="20" t="s">
        <v>495</v>
      </c>
      <c r="F76" s="20" t="s">
        <v>496</v>
      </c>
      <c r="G76" s="8" t="str">
        <f t="shared" si="1"/>
        <v>SANTIZO D. EDY</v>
      </c>
    </row>
    <row r="77" spans="1:7" x14ac:dyDescent="0.25">
      <c r="A77" s="8">
        <v>42813.392754629633</v>
      </c>
      <c r="B77" s="20" t="s">
        <v>425</v>
      </c>
      <c r="C77" s="20" t="s">
        <v>579</v>
      </c>
      <c r="D77" s="150">
        <v>2550000</v>
      </c>
      <c r="E77" s="20" t="s">
        <v>415</v>
      </c>
      <c r="F77" s="20" t="s">
        <v>416</v>
      </c>
      <c r="G77" s="8" t="str">
        <f t="shared" si="1"/>
        <v>BADERTSCHER DIANE</v>
      </c>
    </row>
    <row r="78" spans="1:7" x14ac:dyDescent="0.25">
      <c r="A78" s="8">
        <v>42813.393310185187</v>
      </c>
      <c r="B78" s="20" t="s">
        <v>425</v>
      </c>
      <c r="C78" s="20" t="s">
        <v>579</v>
      </c>
      <c r="D78" s="150">
        <v>2550000</v>
      </c>
      <c r="E78" s="20" t="s">
        <v>415</v>
      </c>
      <c r="F78" s="20" t="s">
        <v>416</v>
      </c>
      <c r="G78" s="8" t="str">
        <f t="shared" si="1"/>
        <v>BADERTSCHER DIANE</v>
      </c>
    </row>
    <row r="79" spans="1:7" x14ac:dyDescent="0.25">
      <c r="A79" s="8">
        <v>42813.394212962965</v>
      </c>
      <c r="B79" s="20" t="s">
        <v>425</v>
      </c>
      <c r="C79" s="20" t="s">
        <v>579</v>
      </c>
      <c r="D79" s="150">
        <v>2550000</v>
      </c>
      <c r="E79" s="20" t="s">
        <v>415</v>
      </c>
      <c r="F79" s="20" t="s">
        <v>416</v>
      </c>
      <c r="G79" s="8" t="str">
        <f t="shared" si="1"/>
        <v>BADERTSCHER DIANE</v>
      </c>
    </row>
    <row r="80" spans="1:7" x14ac:dyDescent="0.25">
      <c r="A80" s="8">
        <v>42813.401030092595</v>
      </c>
      <c r="B80" s="20" t="s">
        <v>414</v>
      </c>
      <c r="C80" s="20" t="s">
        <v>664</v>
      </c>
      <c r="D80" s="150">
        <v>1830000</v>
      </c>
      <c r="E80" s="20" t="s">
        <v>621</v>
      </c>
      <c r="F80" s="20" t="s">
        <v>622</v>
      </c>
      <c r="G80" s="8" t="str">
        <f t="shared" si="1"/>
        <v>YORK EDGAR</v>
      </c>
    </row>
    <row r="81" spans="1:7" x14ac:dyDescent="0.25">
      <c r="A81" s="8">
        <v>42813.402268518519</v>
      </c>
      <c r="B81" s="20" t="s">
        <v>403</v>
      </c>
      <c r="C81" s="20" t="s">
        <v>665</v>
      </c>
      <c r="D81" s="150">
        <v>2020000</v>
      </c>
      <c r="E81" s="20" t="s">
        <v>444</v>
      </c>
      <c r="F81" s="20" t="s">
        <v>424</v>
      </c>
      <c r="G81" s="8" t="str">
        <f t="shared" si="1"/>
        <v>SHOOK JOHN</v>
      </c>
    </row>
    <row r="82" spans="1:7" x14ac:dyDescent="0.25">
      <c r="A82" s="8">
        <v>42813.404016203705</v>
      </c>
      <c r="B82" s="20" t="s">
        <v>464</v>
      </c>
      <c r="C82" s="20" t="s">
        <v>580</v>
      </c>
      <c r="D82" s="150">
        <v>1990000</v>
      </c>
      <c r="E82" s="20" t="s">
        <v>493</v>
      </c>
      <c r="F82" s="20" t="s">
        <v>494</v>
      </c>
      <c r="G82" s="8" t="str">
        <f t="shared" si="1"/>
        <v>DAVIS WENDY</v>
      </c>
    </row>
    <row r="83" spans="1:7" x14ac:dyDescent="0.25">
      <c r="A83" s="8">
        <v>42813.413541666669</v>
      </c>
      <c r="B83" s="20" t="s">
        <v>367</v>
      </c>
      <c r="C83" s="20" t="s">
        <v>666</v>
      </c>
      <c r="D83" s="150">
        <v>1830000</v>
      </c>
      <c r="E83" s="20" t="s">
        <v>621</v>
      </c>
      <c r="F83" s="20" t="s">
        <v>622</v>
      </c>
      <c r="G83" s="8" t="str">
        <f t="shared" si="1"/>
        <v>YORK EDGAR</v>
      </c>
    </row>
    <row r="84" spans="1:7" x14ac:dyDescent="0.25">
      <c r="A84" s="8">
        <v>42813.413634259261</v>
      </c>
      <c r="B84" s="20" t="s">
        <v>616</v>
      </c>
      <c r="C84" s="20" t="s">
        <v>667</v>
      </c>
      <c r="D84" s="150">
        <v>2140000</v>
      </c>
      <c r="E84" s="20" t="s">
        <v>441</v>
      </c>
      <c r="F84" s="20" t="s">
        <v>442</v>
      </c>
      <c r="G84" s="8" t="str">
        <f t="shared" si="1"/>
        <v>ROBINSON KADDIBA</v>
      </c>
    </row>
    <row r="85" spans="1:7" x14ac:dyDescent="0.25">
      <c r="A85" s="8">
        <v>42813.415902777779</v>
      </c>
      <c r="B85" s="20" t="s">
        <v>464</v>
      </c>
      <c r="C85" s="20" t="s">
        <v>580</v>
      </c>
      <c r="D85" s="150">
        <v>1990000</v>
      </c>
      <c r="E85" s="20" t="s">
        <v>493</v>
      </c>
      <c r="F85" s="20" t="s">
        <v>494</v>
      </c>
      <c r="G85" s="8" t="str">
        <f t="shared" si="1"/>
        <v>DAVIS WENDY</v>
      </c>
    </row>
    <row r="86" spans="1:7" x14ac:dyDescent="0.25">
      <c r="A86" s="8">
        <v>42813.421550925923</v>
      </c>
      <c r="B86" s="20" t="s">
        <v>229</v>
      </c>
      <c r="C86" s="20" t="s">
        <v>668</v>
      </c>
      <c r="D86" s="150">
        <v>1100000</v>
      </c>
      <c r="E86" s="20" t="s">
        <v>422</v>
      </c>
      <c r="F86" s="20" t="s">
        <v>423</v>
      </c>
      <c r="G86" s="8" t="str">
        <f t="shared" si="1"/>
        <v>GEBRETEKLE DAGNEW</v>
      </c>
    </row>
    <row r="87" spans="1:7" x14ac:dyDescent="0.25">
      <c r="A87" s="8">
        <v>42813.422500000001</v>
      </c>
      <c r="B87" s="20" t="s">
        <v>572</v>
      </c>
      <c r="C87" s="20" t="s">
        <v>581</v>
      </c>
      <c r="D87" s="150">
        <v>2010000</v>
      </c>
      <c r="E87" s="20" t="s">
        <v>497</v>
      </c>
      <c r="F87" s="20" t="s">
        <v>498</v>
      </c>
      <c r="G87" s="8" t="str">
        <f t="shared" si="1"/>
        <v>MAELZER KURT</v>
      </c>
    </row>
    <row r="88" spans="1:7" x14ac:dyDescent="0.25">
      <c r="A88" s="8">
        <v>42813.426944444444</v>
      </c>
      <c r="B88" s="20" t="s">
        <v>421</v>
      </c>
      <c r="C88" s="20" t="s">
        <v>585</v>
      </c>
      <c r="D88" s="150">
        <v>2550000</v>
      </c>
      <c r="E88" s="20" t="s">
        <v>415</v>
      </c>
      <c r="F88" s="20" t="s">
        <v>416</v>
      </c>
      <c r="G88" s="8" t="str">
        <f t="shared" si="1"/>
        <v>BADERTSCHER DIANE</v>
      </c>
    </row>
    <row r="89" spans="1:7" x14ac:dyDescent="0.25">
      <c r="A89" s="8">
        <v>42813.434571759259</v>
      </c>
      <c r="B89" s="20" t="s">
        <v>574</v>
      </c>
      <c r="C89" s="20" t="s">
        <v>584</v>
      </c>
      <c r="D89" s="150">
        <v>2470000</v>
      </c>
      <c r="E89" s="20" t="s">
        <v>466</v>
      </c>
      <c r="F89" s="20" t="s">
        <v>467</v>
      </c>
      <c r="G89" s="8" t="str">
        <f t="shared" si="1"/>
        <v>ROMERO CHAD</v>
      </c>
    </row>
    <row r="90" spans="1:7" x14ac:dyDescent="0.25">
      <c r="A90" s="8">
        <v>42813.435520833336</v>
      </c>
      <c r="B90" s="20" t="s">
        <v>669</v>
      </c>
      <c r="C90" s="20" t="s">
        <v>670</v>
      </c>
      <c r="D90" s="150">
        <v>2530000</v>
      </c>
      <c r="E90" s="20" t="s">
        <v>671</v>
      </c>
      <c r="F90" s="20" t="s">
        <v>672</v>
      </c>
      <c r="G90" s="8" t="str">
        <f t="shared" si="1"/>
        <v>LALONDE GREGORY</v>
      </c>
    </row>
    <row r="91" spans="1:7" x14ac:dyDescent="0.25">
      <c r="A91" s="8">
        <v>42813.441469907404</v>
      </c>
      <c r="B91" s="20" t="s">
        <v>414</v>
      </c>
      <c r="C91" s="20" t="s">
        <v>673</v>
      </c>
      <c r="D91" s="150">
        <v>1830000</v>
      </c>
      <c r="E91" s="20" t="s">
        <v>621</v>
      </c>
      <c r="F91" s="20" t="s">
        <v>622</v>
      </c>
      <c r="G91" s="8" t="str">
        <f t="shared" si="1"/>
        <v>YORK EDGAR</v>
      </c>
    </row>
    <row r="92" spans="1:7" x14ac:dyDescent="0.25">
      <c r="A92" s="8">
        <v>42813.442824074074</v>
      </c>
      <c r="B92" s="20" t="s">
        <v>460</v>
      </c>
      <c r="C92" s="20" t="s">
        <v>674</v>
      </c>
      <c r="D92" s="150">
        <v>1990000</v>
      </c>
      <c r="E92" s="20" t="s">
        <v>493</v>
      </c>
      <c r="F92" s="20" t="s">
        <v>494</v>
      </c>
      <c r="G92" s="8" t="str">
        <f t="shared" si="1"/>
        <v>DAVIS WENDY</v>
      </c>
    </row>
    <row r="93" spans="1:7" x14ac:dyDescent="0.25">
      <c r="A93" s="8">
        <v>42813.445069444446</v>
      </c>
      <c r="B93" s="20" t="s">
        <v>402</v>
      </c>
      <c r="C93" s="20" t="s">
        <v>675</v>
      </c>
      <c r="D93" s="150">
        <v>2020000</v>
      </c>
      <c r="E93" s="20" t="s">
        <v>444</v>
      </c>
      <c r="F93" s="20" t="s">
        <v>424</v>
      </c>
      <c r="G93" s="8" t="str">
        <f t="shared" si="1"/>
        <v>SHOOK JOHN</v>
      </c>
    </row>
    <row r="94" spans="1:7" x14ac:dyDescent="0.25">
      <c r="A94" s="8">
        <v>42813.452430555553</v>
      </c>
      <c r="B94" s="20" t="s">
        <v>582</v>
      </c>
      <c r="C94" s="20" t="s">
        <v>583</v>
      </c>
      <c r="D94" s="150">
        <v>2140000</v>
      </c>
      <c r="E94" s="20" t="s">
        <v>441</v>
      </c>
      <c r="F94" s="20" t="s">
        <v>442</v>
      </c>
      <c r="G94" s="8" t="str">
        <f t="shared" si="1"/>
        <v>ROBINSON KADDIBA</v>
      </c>
    </row>
    <row r="95" spans="1:7" x14ac:dyDescent="0.25">
      <c r="A95" s="8">
        <v>42813.45516203704</v>
      </c>
      <c r="B95" s="20" t="s">
        <v>367</v>
      </c>
      <c r="C95" s="20" t="s">
        <v>676</v>
      </c>
      <c r="D95" s="150">
        <v>1830000</v>
      </c>
      <c r="E95" s="20" t="s">
        <v>621</v>
      </c>
      <c r="F95" s="20" t="s">
        <v>622</v>
      </c>
      <c r="G95" s="8" t="str">
        <f t="shared" si="1"/>
        <v>YORK EDGAR</v>
      </c>
    </row>
    <row r="96" spans="1:7" x14ac:dyDescent="0.25">
      <c r="A96" s="8">
        <v>42813.456388888888</v>
      </c>
      <c r="B96" s="20" t="s">
        <v>586</v>
      </c>
      <c r="C96" s="20" t="s">
        <v>587</v>
      </c>
      <c r="D96" s="150">
        <v>880000</v>
      </c>
      <c r="E96" s="20" t="s">
        <v>465</v>
      </c>
      <c r="F96" s="20" t="s">
        <v>197</v>
      </c>
      <c r="G96" s="8" t="str">
        <f t="shared" si="1"/>
        <v>STEWART MICHAEL</v>
      </c>
    </row>
    <row r="97" spans="1:7" x14ac:dyDescent="0.25">
      <c r="A97" s="8">
        <v>42813.460185185184</v>
      </c>
      <c r="B97" s="20" t="s">
        <v>591</v>
      </c>
      <c r="C97" s="20" t="s">
        <v>592</v>
      </c>
      <c r="D97" s="150">
        <v>1100000</v>
      </c>
      <c r="E97" s="20" t="s">
        <v>422</v>
      </c>
      <c r="F97" s="20" t="s">
        <v>423</v>
      </c>
      <c r="G97" s="8" t="str">
        <f t="shared" si="1"/>
        <v>GEBRETEKLE DAGNEW</v>
      </c>
    </row>
    <row r="98" spans="1:7" x14ac:dyDescent="0.25">
      <c r="A98" s="8">
        <v>42813.461898148147</v>
      </c>
      <c r="B98" s="20" t="s">
        <v>677</v>
      </c>
      <c r="C98" s="20" t="s">
        <v>678</v>
      </c>
      <c r="D98" s="150">
        <v>2010000</v>
      </c>
      <c r="E98" s="20" t="s">
        <v>497</v>
      </c>
      <c r="F98" s="20" t="s">
        <v>498</v>
      </c>
      <c r="G98" s="8" t="str">
        <f t="shared" si="1"/>
        <v>MAELZER KURT</v>
      </c>
    </row>
    <row r="99" spans="1:7" x14ac:dyDescent="0.25">
      <c r="A99" s="8">
        <v>42813.465115740742</v>
      </c>
      <c r="B99" s="20" t="s">
        <v>588</v>
      </c>
      <c r="C99" s="20" t="s">
        <v>589</v>
      </c>
      <c r="D99" s="150">
        <v>2470000</v>
      </c>
      <c r="E99" s="20" t="s">
        <v>466</v>
      </c>
      <c r="F99" s="20" t="s">
        <v>467</v>
      </c>
      <c r="G99" s="8" t="str">
        <f t="shared" si="1"/>
        <v>ROMERO CHAD</v>
      </c>
    </row>
    <row r="100" spans="1:7" x14ac:dyDescent="0.25">
      <c r="A100" s="8">
        <v>42813.467268518521</v>
      </c>
      <c r="B100" s="20" t="s">
        <v>425</v>
      </c>
      <c r="C100" s="20" t="s">
        <v>679</v>
      </c>
      <c r="D100" s="150">
        <v>920000</v>
      </c>
      <c r="E100" s="20" t="s">
        <v>493</v>
      </c>
      <c r="F100" s="20" t="s">
        <v>197</v>
      </c>
      <c r="G100" s="8" t="str">
        <f t="shared" si="1"/>
        <v>DAVIS MICHAEL</v>
      </c>
    </row>
    <row r="101" spans="1:7" x14ac:dyDescent="0.25">
      <c r="A101" s="8">
        <v>42813.468877314815</v>
      </c>
      <c r="B101" s="20" t="s">
        <v>425</v>
      </c>
      <c r="C101" s="20" t="s">
        <v>679</v>
      </c>
      <c r="D101" s="150">
        <v>920000</v>
      </c>
      <c r="E101" s="20" t="s">
        <v>493</v>
      </c>
      <c r="F101" s="20" t="s">
        <v>197</v>
      </c>
      <c r="G101" s="8" t="str">
        <f t="shared" si="1"/>
        <v>DAVIS MICHAEL</v>
      </c>
    </row>
    <row r="102" spans="1:7" x14ac:dyDescent="0.25">
      <c r="A102" s="8">
        <v>42813.474942129629</v>
      </c>
      <c r="B102" s="20" t="s">
        <v>403</v>
      </c>
      <c r="C102" s="20" t="s">
        <v>680</v>
      </c>
      <c r="D102" s="150">
        <v>2020000</v>
      </c>
      <c r="E102" s="20" t="s">
        <v>444</v>
      </c>
      <c r="F102" s="20" t="s">
        <v>424</v>
      </c>
      <c r="G102" s="8" t="str">
        <f t="shared" si="1"/>
        <v>SHOOK JOHN</v>
      </c>
    </row>
    <row r="103" spans="1:7" x14ac:dyDescent="0.25">
      <c r="A103" s="8">
        <v>42813.476331018515</v>
      </c>
      <c r="B103" s="20" t="s">
        <v>464</v>
      </c>
      <c r="C103" s="20" t="s">
        <v>681</v>
      </c>
      <c r="D103" s="150">
        <v>1300000</v>
      </c>
      <c r="E103" s="20" t="s">
        <v>499</v>
      </c>
      <c r="F103" s="20" t="s">
        <v>500</v>
      </c>
      <c r="G103" s="8" t="str">
        <f t="shared" si="1"/>
        <v>LEVIN SCOTT</v>
      </c>
    </row>
    <row r="104" spans="1:7" x14ac:dyDescent="0.25">
      <c r="A104" s="8">
        <v>42813.483043981483</v>
      </c>
      <c r="B104" s="20" t="s">
        <v>414</v>
      </c>
      <c r="C104" s="20" t="s">
        <v>590</v>
      </c>
      <c r="D104" s="150">
        <v>1830000</v>
      </c>
      <c r="E104" s="20" t="s">
        <v>621</v>
      </c>
      <c r="F104" s="20" t="s">
        <v>622</v>
      </c>
      <c r="G104" s="8" t="str">
        <f t="shared" si="1"/>
        <v>YORK EDGAR</v>
      </c>
    </row>
    <row r="105" spans="1:7" x14ac:dyDescent="0.25">
      <c r="A105" s="8">
        <v>42813.48673611111</v>
      </c>
      <c r="B105" s="20" t="s">
        <v>616</v>
      </c>
      <c r="C105" s="20" t="s">
        <v>682</v>
      </c>
      <c r="D105" s="150">
        <v>1770000</v>
      </c>
      <c r="E105" s="20" t="s">
        <v>430</v>
      </c>
      <c r="F105" s="20" t="s">
        <v>431</v>
      </c>
      <c r="G105" s="8" t="str">
        <f t="shared" si="1"/>
        <v>BRUDER RICHARD</v>
      </c>
    </row>
    <row r="106" spans="1:7" x14ac:dyDescent="0.25">
      <c r="A106" s="8">
        <v>42813.493831018517</v>
      </c>
      <c r="B106" s="20" t="s">
        <v>572</v>
      </c>
      <c r="C106" s="20" t="s">
        <v>683</v>
      </c>
      <c r="D106" s="150">
        <v>880000</v>
      </c>
      <c r="E106" s="20" t="s">
        <v>465</v>
      </c>
      <c r="F106" s="20" t="s">
        <v>197</v>
      </c>
      <c r="G106" s="8" t="str">
        <f t="shared" si="1"/>
        <v>STEWART MICHAEL</v>
      </c>
    </row>
    <row r="107" spans="1:7" x14ac:dyDescent="0.25">
      <c r="A107" s="8">
        <v>42813.495775462965</v>
      </c>
      <c r="B107" s="20" t="s">
        <v>229</v>
      </c>
      <c r="C107" s="20" t="s">
        <v>684</v>
      </c>
      <c r="D107" s="150">
        <v>1120000</v>
      </c>
      <c r="E107" s="20" t="s">
        <v>685</v>
      </c>
      <c r="F107" s="20" t="s">
        <v>686</v>
      </c>
      <c r="G107" s="8" t="str">
        <f t="shared" si="1"/>
        <v>LOCKLEAR TRAVIS</v>
      </c>
    </row>
    <row r="108" spans="1:7" x14ac:dyDescent="0.25">
      <c r="A108" s="8">
        <v>42813.497893518521</v>
      </c>
      <c r="B108" s="20" t="s">
        <v>367</v>
      </c>
      <c r="C108" s="20" t="s">
        <v>687</v>
      </c>
      <c r="D108" s="150">
        <v>1830000</v>
      </c>
      <c r="E108" s="20" t="s">
        <v>621</v>
      </c>
      <c r="F108" s="20" t="s">
        <v>622</v>
      </c>
      <c r="G108" s="8" t="str">
        <f t="shared" si="1"/>
        <v>YORK EDGAR</v>
      </c>
    </row>
    <row r="109" spans="1:7" x14ac:dyDescent="0.25">
      <c r="A109" s="8">
        <v>42813.505706018521</v>
      </c>
      <c r="B109" s="20" t="s">
        <v>421</v>
      </c>
      <c r="C109" s="20" t="s">
        <v>688</v>
      </c>
      <c r="D109" s="150">
        <v>920000</v>
      </c>
      <c r="E109" s="20" t="s">
        <v>493</v>
      </c>
      <c r="F109" s="20" t="s">
        <v>197</v>
      </c>
      <c r="G109" s="8" t="str">
        <f t="shared" si="1"/>
        <v>DAVIS MICHAEL</v>
      </c>
    </row>
    <row r="110" spans="1:7" x14ac:dyDescent="0.25">
      <c r="A110" s="8">
        <v>42813.506874999999</v>
      </c>
      <c r="B110" s="20" t="s">
        <v>574</v>
      </c>
      <c r="C110" s="20" t="s">
        <v>689</v>
      </c>
      <c r="D110" s="150">
        <v>2470000</v>
      </c>
      <c r="E110" s="20" t="s">
        <v>466</v>
      </c>
      <c r="F110" s="20" t="s">
        <v>467</v>
      </c>
      <c r="G110" s="8" t="str">
        <f t="shared" si="1"/>
        <v>ROMERO CHAD</v>
      </c>
    </row>
    <row r="111" spans="1:7" x14ac:dyDescent="0.25">
      <c r="A111" s="8">
        <v>42813.513958333337</v>
      </c>
      <c r="B111" s="20" t="s">
        <v>460</v>
      </c>
      <c r="C111" s="20" t="s">
        <v>690</v>
      </c>
      <c r="D111" s="150">
        <v>1300000</v>
      </c>
      <c r="E111" s="20" t="s">
        <v>499</v>
      </c>
      <c r="F111" s="20" t="s">
        <v>500</v>
      </c>
      <c r="G111" s="8" t="str">
        <f t="shared" si="1"/>
        <v>LEVIN SCOTT</v>
      </c>
    </row>
    <row r="112" spans="1:7" x14ac:dyDescent="0.25">
      <c r="A112" s="8">
        <v>42813.519826388889</v>
      </c>
      <c r="B112" s="20" t="s">
        <v>402</v>
      </c>
      <c r="C112" s="20" t="s">
        <v>691</v>
      </c>
      <c r="D112" s="150">
        <v>2360000</v>
      </c>
      <c r="E112" s="20" t="s">
        <v>446</v>
      </c>
      <c r="F112" s="20" t="s">
        <v>447</v>
      </c>
      <c r="G112" s="8" t="str">
        <f t="shared" si="1"/>
        <v>BRANDNER MELINDA</v>
      </c>
    </row>
    <row r="113" spans="1:7" x14ac:dyDescent="0.25">
      <c r="A113" s="8">
        <v>42813.524212962962</v>
      </c>
      <c r="B113" s="20" t="s">
        <v>582</v>
      </c>
      <c r="C113" s="20" t="s">
        <v>692</v>
      </c>
      <c r="D113" s="150">
        <v>1770000</v>
      </c>
      <c r="E113" s="20" t="s">
        <v>430</v>
      </c>
      <c r="F113" s="20" t="s">
        <v>431</v>
      </c>
      <c r="G113" s="8" t="str">
        <f t="shared" si="1"/>
        <v>BRUDER RICHARD</v>
      </c>
    </row>
    <row r="114" spans="1:7" x14ac:dyDescent="0.25">
      <c r="A114" s="8">
        <v>42813.524722222224</v>
      </c>
      <c r="B114" s="20" t="s">
        <v>414</v>
      </c>
      <c r="C114" s="20" t="s">
        <v>593</v>
      </c>
      <c r="D114" s="150">
        <v>1830000</v>
      </c>
      <c r="E114" s="20" t="s">
        <v>621</v>
      </c>
      <c r="F114" s="20" t="s">
        <v>622</v>
      </c>
      <c r="G114" s="8" t="str">
        <f t="shared" si="1"/>
        <v>YORK EDGAR</v>
      </c>
    </row>
    <row r="115" spans="1:7" x14ac:dyDescent="0.25">
      <c r="A115" s="8">
        <v>42813.527754629627</v>
      </c>
      <c r="B115" s="20" t="s">
        <v>586</v>
      </c>
      <c r="C115" s="20" t="s">
        <v>693</v>
      </c>
      <c r="D115" s="150">
        <v>880000</v>
      </c>
      <c r="E115" s="20" t="s">
        <v>465</v>
      </c>
      <c r="F115" s="20" t="s">
        <v>197</v>
      </c>
      <c r="G115" s="8" t="str">
        <f t="shared" si="1"/>
        <v>STEWART MICHAEL</v>
      </c>
    </row>
    <row r="116" spans="1:7" x14ac:dyDescent="0.25">
      <c r="A116" s="8">
        <v>42813.537372685183</v>
      </c>
      <c r="B116" s="20" t="s">
        <v>588</v>
      </c>
      <c r="C116" s="20" t="s">
        <v>694</v>
      </c>
      <c r="D116" s="150">
        <v>2470000</v>
      </c>
      <c r="E116" s="20" t="s">
        <v>466</v>
      </c>
      <c r="F116" s="20" t="s">
        <v>467</v>
      </c>
      <c r="G116" s="8" t="str">
        <f t="shared" si="1"/>
        <v>ROMERO CHAD</v>
      </c>
    </row>
    <row r="117" spans="1:7" x14ac:dyDescent="0.25">
      <c r="A117" s="8">
        <v>42813.53802083333</v>
      </c>
      <c r="B117" s="20" t="s">
        <v>591</v>
      </c>
      <c r="C117" s="20" t="s">
        <v>695</v>
      </c>
      <c r="D117" s="150">
        <v>1120000</v>
      </c>
      <c r="E117" s="20" t="s">
        <v>685</v>
      </c>
      <c r="F117" s="20" t="s">
        <v>686</v>
      </c>
      <c r="G117" s="8" t="str">
        <f t="shared" si="1"/>
        <v>LOCKLEAR TRAVIS</v>
      </c>
    </row>
    <row r="118" spans="1:7" x14ac:dyDescent="0.25">
      <c r="A118" s="8">
        <v>42813.538935185185</v>
      </c>
      <c r="B118" s="20" t="s">
        <v>425</v>
      </c>
      <c r="C118" s="20" t="s">
        <v>696</v>
      </c>
      <c r="D118" s="150">
        <v>920000</v>
      </c>
      <c r="E118" s="20" t="s">
        <v>493</v>
      </c>
      <c r="F118" s="20" t="s">
        <v>197</v>
      </c>
      <c r="G118" s="8" t="str">
        <f t="shared" si="1"/>
        <v>DAVIS MICHAEL</v>
      </c>
    </row>
    <row r="119" spans="1:7" x14ac:dyDescent="0.25">
      <c r="A119" s="8">
        <v>42813.540439814817</v>
      </c>
      <c r="B119" s="20" t="s">
        <v>425</v>
      </c>
      <c r="C119" s="20" t="s">
        <v>696</v>
      </c>
      <c r="D119" s="150">
        <v>920000</v>
      </c>
      <c r="E119" s="20" t="s">
        <v>493</v>
      </c>
      <c r="F119" s="20" t="s">
        <v>197</v>
      </c>
      <c r="G119" s="8" t="str">
        <f t="shared" si="1"/>
        <v>DAVIS MICHAEL</v>
      </c>
    </row>
    <row r="120" spans="1:7" x14ac:dyDescent="0.25">
      <c r="A120" s="8">
        <v>42813.542719907404</v>
      </c>
      <c r="B120" s="20" t="s">
        <v>367</v>
      </c>
      <c r="C120" s="20" t="s">
        <v>697</v>
      </c>
      <c r="D120" s="150">
        <v>1830000</v>
      </c>
      <c r="E120" s="20" t="s">
        <v>621</v>
      </c>
      <c r="F120" s="20" t="s">
        <v>622</v>
      </c>
      <c r="G120" s="8" t="str">
        <f t="shared" si="1"/>
        <v>YORK EDGAR</v>
      </c>
    </row>
    <row r="121" spans="1:7" x14ac:dyDescent="0.25">
      <c r="A121" s="8">
        <v>42813.548692129632</v>
      </c>
      <c r="B121" s="20" t="s">
        <v>464</v>
      </c>
      <c r="C121" s="20" t="s">
        <v>698</v>
      </c>
      <c r="D121" s="150">
        <v>1300000</v>
      </c>
      <c r="E121" s="20" t="s">
        <v>499</v>
      </c>
      <c r="F121" s="20" t="s">
        <v>500</v>
      </c>
      <c r="G121" s="8" t="str">
        <f t="shared" si="1"/>
        <v>LEVIN SCOTT</v>
      </c>
    </row>
    <row r="122" spans="1:7" x14ac:dyDescent="0.25">
      <c r="A122" s="8">
        <v>42813.553263888891</v>
      </c>
      <c r="B122" s="25" t="s">
        <v>403</v>
      </c>
      <c r="C122" s="20" t="s">
        <v>699</v>
      </c>
      <c r="D122" s="150">
        <v>2360000</v>
      </c>
      <c r="E122" s="20" t="s">
        <v>446</v>
      </c>
      <c r="F122" s="20" t="s">
        <v>447</v>
      </c>
      <c r="G122" s="8" t="str">
        <f t="shared" si="1"/>
        <v>BRANDNER MELINDA</v>
      </c>
    </row>
    <row r="123" spans="1:7" x14ac:dyDescent="0.25">
      <c r="A123" s="8">
        <v>42813.558564814812</v>
      </c>
      <c r="B123" s="20" t="s">
        <v>616</v>
      </c>
      <c r="C123" s="20" t="s">
        <v>700</v>
      </c>
      <c r="D123" s="150">
        <v>1770000</v>
      </c>
      <c r="E123" s="20" t="s">
        <v>430</v>
      </c>
      <c r="F123" s="20" t="s">
        <v>431</v>
      </c>
      <c r="G123" s="8" t="str">
        <f t="shared" si="1"/>
        <v>BRUDER RICHARD</v>
      </c>
    </row>
    <row r="124" spans="1:7" x14ac:dyDescent="0.25">
      <c r="A124" s="8">
        <v>42813.566018518519</v>
      </c>
      <c r="B124" s="20" t="s">
        <v>414</v>
      </c>
      <c r="C124" s="20" t="s">
        <v>701</v>
      </c>
      <c r="D124" s="150">
        <v>1830000</v>
      </c>
      <c r="E124" s="20" t="s">
        <v>621</v>
      </c>
      <c r="F124" s="20" t="s">
        <v>622</v>
      </c>
      <c r="G124" s="8" t="str">
        <f t="shared" si="1"/>
        <v>YORK EDGAR</v>
      </c>
    </row>
    <row r="125" spans="1:7" x14ac:dyDescent="0.25">
      <c r="A125" s="8">
        <v>42813.568622685183</v>
      </c>
      <c r="B125" s="20" t="s">
        <v>572</v>
      </c>
      <c r="C125" s="20" t="s">
        <v>702</v>
      </c>
      <c r="D125" s="150">
        <v>880000</v>
      </c>
      <c r="E125" s="20" t="s">
        <v>465</v>
      </c>
      <c r="F125" s="20" t="s">
        <v>197</v>
      </c>
      <c r="G125" s="8" t="str">
        <f t="shared" si="1"/>
        <v>STEWART MICHAEL</v>
      </c>
    </row>
    <row r="126" spans="1:7" x14ac:dyDescent="0.25">
      <c r="A126" s="8">
        <v>42813.571585648147</v>
      </c>
      <c r="B126" s="20" t="s">
        <v>229</v>
      </c>
      <c r="C126" s="20" t="s">
        <v>703</v>
      </c>
      <c r="D126" s="150">
        <v>1120000</v>
      </c>
      <c r="E126" s="20" t="s">
        <v>685</v>
      </c>
      <c r="F126" s="20" t="s">
        <v>686</v>
      </c>
      <c r="G126" s="8" t="str">
        <f t="shared" si="1"/>
        <v>LOCKLEAR TRAVIS</v>
      </c>
    </row>
    <row r="127" spans="1:7" x14ac:dyDescent="0.25">
      <c r="A127" s="8">
        <v>42813.578275462962</v>
      </c>
      <c r="B127" s="20" t="s">
        <v>574</v>
      </c>
      <c r="C127" s="20" t="s">
        <v>704</v>
      </c>
      <c r="D127" s="150">
        <v>2470000</v>
      </c>
      <c r="E127" s="20" t="s">
        <v>466</v>
      </c>
      <c r="F127" s="20" t="s">
        <v>467</v>
      </c>
      <c r="G127" s="8" t="str">
        <f t="shared" si="1"/>
        <v>ROMERO CHAD</v>
      </c>
    </row>
    <row r="128" spans="1:7" x14ac:dyDescent="0.25">
      <c r="A128" s="8">
        <v>42813.578541666669</v>
      </c>
      <c r="B128" s="20" t="s">
        <v>421</v>
      </c>
      <c r="C128" s="20" t="s">
        <v>594</v>
      </c>
      <c r="D128" s="150">
        <v>920000</v>
      </c>
      <c r="E128" s="20" t="s">
        <v>493</v>
      </c>
      <c r="F128" s="20" t="s">
        <v>197</v>
      </c>
      <c r="G128" s="8" t="str">
        <f t="shared" si="1"/>
        <v>DAVIS MICHAEL</v>
      </c>
    </row>
    <row r="129" spans="1:7" x14ac:dyDescent="0.25">
      <c r="A129" s="8">
        <v>42813.586319444446</v>
      </c>
      <c r="B129" s="20" t="s">
        <v>460</v>
      </c>
      <c r="C129" s="20" t="s">
        <v>705</v>
      </c>
      <c r="D129" s="150">
        <v>1300000</v>
      </c>
      <c r="E129" s="20" t="s">
        <v>499</v>
      </c>
      <c r="F129" s="20" t="s">
        <v>500</v>
      </c>
      <c r="G129" s="8" t="str">
        <f t="shared" si="1"/>
        <v>LEVIN SCOTT</v>
      </c>
    </row>
    <row r="130" spans="1:7" x14ac:dyDescent="0.25">
      <c r="A130" s="8">
        <v>42813.591550925928</v>
      </c>
      <c r="B130" s="20" t="s">
        <v>402</v>
      </c>
      <c r="C130" s="20" t="s">
        <v>595</v>
      </c>
      <c r="D130" s="150">
        <v>2360000</v>
      </c>
      <c r="E130" s="20" t="s">
        <v>446</v>
      </c>
      <c r="F130" s="20" t="s">
        <v>447</v>
      </c>
      <c r="G130" s="8" t="str">
        <f t="shared" si="1"/>
        <v>BRANDNER MELINDA</v>
      </c>
    </row>
    <row r="131" spans="1:7" x14ac:dyDescent="0.25">
      <c r="A131" s="8">
        <v>42813.591909722221</v>
      </c>
      <c r="B131" s="20" t="s">
        <v>367</v>
      </c>
      <c r="C131" s="20" t="s">
        <v>706</v>
      </c>
      <c r="D131" s="150">
        <v>1540000</v>
      </c>
      <c r="E131" s="20" t="s">
        <v>426</v>
      </c>
      <c r="F131" s="20" t="s">
        <v>427</v>
      </c>
      <c r="G131" s="8" t="str">
        <f t="shared" ref="G131:G194" si="2">E131&amp;" "&amp;F131</f>
        <v>HELVIE ADAM</v>
      </c>
    </row>
    <row r="132" spans="1:7" x14ac:dyDescent="0.25">
      <c r="A132" s="8">
        <v>42813.596319444441</v>
      </c>
      <c r="B132" s="20" t="s">
        <v>582</v>
      </c>
      <c r="C132" s="20" t="s">
        <v>707</v>
      </c>
      <c r="D132" s="150">
        <v>1770000</v>
      </c>
      <c r="E132" s="20" t="s">
        <v>430</v>
      </c>
      <c r="F132" s="20" t="s">
        <v>431</v>
      </c>
      <c r="G132" s="8" t="str">
        <f t="shared" si="2"/>
        <v>BRUDER RICHARD</v>
      </c>
    </row>
    <row r="133" spans="1:7" x14ac:dyDescent="0.25">
      <c r="A133" s="8">
        <v>42813.600428240738</v>
      </c>
      <c r="B133" s="20" t="s">
        <v>586</v>
      </c>
      <c r="C133" s="20" t="s">
        <v>708</v>
      </c>
      <c r="D133" s="150">
        <v>880000</v>
      </c>
      <c r="E133" s="20" t="s">
        <v>465</v>
      </c>
      <c r="F133" s="20" t="s">
        <v>197</v>
      </c>
      <c r="G133" s="8" t="str">
        <f t="shared" si="2"/>
        <v>STEWART MICHAEL</v>
      </c>
    </row>
    <row r="134" spans="1:7" x14ac:dyDescent="0.25">
      <c r="A134" s="8">
        <v>42813.610289351855</v>
      </c>
      <c r="B134" s="20" t="s">
        <v>414</v>
      </c>
      <c r="C134" s="20" t="s">
        <v>709</v>
      </c>
      <c r="D134" s="150">
        <v>1540000</v>
      </c>
      <c r="E134" s="20" t="s">
        <v>426</v>
      </c>
      <c r="F134" s="20" t="s">
        <v>427</v>
      </c>
      <c r="G134" s="8" t="str">
        <f t="shared" si="2"/>
        <v>HELVIE ADAM</v>
      </c>
    </row>
    <row r="135" spans="1:7" x14ac:dyDescent="0.25">
      <c r="A135" s="8">
        <v>42813.612210648149</v>
      </c>
      <c r="B135" s="20" t="s">
        <v>425</v>
      </c>
      <c r="C135" s="20" t="s">
        <v>710</v>
      </c>
      <c r="D135" s="150">
        <v>920000</v>
      </c>
      <c r="E135" s="20" t="s">
        <v>493</v>
      </c>
      <c r="F135" s="20" t="s">
        <v>197</v>
      </c>
      <c r="G135" s="8" t="str">
        <f t="shared" si="2"/>
        <v>DAVIS MICHAEL</v>
      </c>
    </row>
    <row r="136" spans="1:7" x14ac:dyDescent="0.25">
      <c r="A136" s="8">
        <v>42813.612534722219</v>
      </c>
      <c r="B136" s="20" t="s">
        <v>591</v>
      </c>
      <c r="C136" s="20" t="s">
        <v>711</v>
      </c>
      <c r="D136" s="150">
        <v>1120000</v>
      </c>
      <c r="E136" s="20" t="s">
        <v>685</v>
      </c>
      <c r="F136" s="20" t="s">
        <v>686</v>
      </c>
      <c r="G136" s="8" t="str">
        <f t="shared" si="2"/>
        <v>LOCKLEAR TRAVIS</v>
      </c>
    </row>
    <row r="137" spans="1:7" x14ac:dyDescent="0.25">
      <c r="A137" s="8">
        <v>42813.613900462966</v>
      </c>
      <c r="B137" s="20" t="s">
        <v>425</v>
      </c>
      <c r="C137" s="20" t="s">
        <v>710</v>
      </c>
      <c r="D137" s="150">
        <v>920000</v>
      </c>
      <c r="E137" s="20" t="s">
        <v>493</v>
      </c>
      <c r="F137" s="20" t="s">
        <v>197</v>
      </c>
      <c r="G137" s="8" t="str">
        <f t="shared" si="2"/>
        <v>DAVIS MICHAEL</v>
      </c>
    </row>
    <row r="138" spans="1:7" x14ac:dyDescent="0.25">
      <c r="A138" s="8">
        <v>42813.618321759262</v>
      </c>
      <c r="B138" s="20" t="s">
        <v>588</v>
      </c>
      <c r="C138" s="20" t="s">
        <v>596</v>
      </c>
      <c r="D138" s="150">
        <v>2470000</v>
      </c>
      <c r="E138" s="20" t="s">
        <v>466</v>
      </c>
      <c r="F138" s="20" t="s">
        <v>467</v>
      </c>
      <c r="G138" s="8" t="str">
        <f t="shared" si="2"/>
        <v>ROMERO CHAD</v>
      </c>
    </row>
    <row r="139" spans="1:7" x14ac:dyDescent="0.25">
      <c r="A139" s="8">
        <v>42813.621817129628</v>
      </c>
      <c r="B139" s="20" t="s">
        <v>464</v>
      </c>
      <c r="C139" s="20" t="s">
        <v>712</v>
      </c>
      <c r="D139" s="150">
        <v>1300000</v>
      </c>
      <c r="E139" s="20" t="s">
        <v>499</v>
      </c>
      <c r="F139" s="20" t="s">
        <v>500</v>
      </c>
      <c r="G139" s="8" t="str">
        <f t="shared" si="2"/>
        <v>LEVIN SCOTT</v>
      </c>
    </row>
    <row r="140" spans="1:7" x14ac:dyDescent="0.25">
      <c r="A140" s="8">
        <v>42813.629074074073</v>
      </c>
      <c r="B140" s="20" t="s">
        <v>403</v>
      </c>
      <c r="C140" s="20" t="s">
        <v>713</v>
      </c>
      <c r="D140" s="150">
        <v>2360000</v>
      </c>
      <c r="E140" s="20" t="s">
        <v>446</v>
      </c>
      <c r="F140" s="20" t="s">
        <v>447</v>
      </c>
      <c r="G140" s="8" t="str">
        <f t="shared" si="2"/>
        <v>BRANDNER MELINDA</v>
      </c>
    </row>
    <row r="141" spans="1:7" x14ac:dyDescent="0.25">
      <c r="A141" s="8">
        <v>42813.631597222222</v>
      </c>
      <c r="B141" s="20" t="s">
        <v>616</v>
      </c>
      <c r="C141" s="20" t="s">
        <v>714</v>
      </c>
      <c r="D141" s="150">
        <v>1770000</v>
      </c>
      <c r="E141" s="20" t="s">
        <v>430</v>
      </c>
      <c r="F141" s="20" t="s">
        <v>431</v>
      </c>
      <c r="G141" s="8" t="str">
        <f t="shared" si="2"/>
        <v>BRUDER RICHARD</v>
      </c>
    </row>
    <row r="142" spans="1:7" x14ac:dyDescent="0.25">
      <c r="A142" s="8">
        <v>42813.636979166666</v>
      </c>
      <c r="B142" s="20" t="s">
        <v>367</v>
      </c>
      <c r="C142" s="20" t="s">
        <v>715</v>
      </c>
      <c r="D142" s="150">
        <v>1540000</v>
      </c>
      <c r="E142" s="20" t="s">
        <v>426</v>
      </c>
      <c r="F142" s="20" t="s">
        <v>427</v>
      </c>
      <c r="G142" s="8" t="str">
        <f t="shared" si="2"/>
        <v>HELVIE ADAM</v>
      </c>
    </row>
    <row r="143" spans="1:7" x14ac:dyDescent="0.25">
      <c r="A143" s="8">
        <v>42813.642164351855</v>
      </c>
      <c r="B143" s="20" t="s">
        <v>572</v>
      </c>
      <c r="C143" s="20" t="s">
        <v>716</v>
      </c>
      <c r="D143" s="150">
        <v>880000</v>
      </c>
      <c r="E143" s="20" t="s">
        <v>465</v>
      </c>
      <c r="F143" s="20" t="s">
        <v>197</v>
      </c>
      <c r="G143" s="8" t="str">
        <f t="shared" si="2"/>
        <v>STEWART MICHAEL</v>
      </c>
    </row>
    <row r="144" spans="1:7" x14ac:dyDescent="0.25">
      <c r="A144" s="8">
        <v>42813.643321759257</v>
      </c>
      <c r="B144" s="20" t="s">
        <v>229</v>
      </c>
      <c r="C144" s="20" t="s">
        <v>717</v>
      </c>
      <c r="D144" s="150">
        <v>1120000</v>
      </c>
      <c r="E144" s="20" t="s">
        <v>685</v>
      </c>
      <c r="F144" s="20" t="s">
        <v>686</v>
      </c>
      <c r="G144" s="8" t="str">
        <f t="shared" si="2"/>
        <v>LOCKLEAR TRAVIS</v>
      </c>
    </row>
    <row r="145" spans="1:7" x14ac:dyDescent="0.25">
      <c r="A145" s="8">
        <v>42813.651967592596</v>
      </c>
      <c r="B145" s="20" t="s">
        <v>574</v>
      </c>
      <c r="C145" s="20" t="s">
        <v>598</v>
      </c>
      <c r="D145" s="150">
        <v>2480000</v>
      </c>
      <c r="E145" s="20" t="s">
        <v>432</v>
      </c>
      <c r="F145" s="20" t="s">
        <v>433</v>
      </c>
      <c r="G145" s="8" t="str">
        <f t="shared" si="2"/>
        <v>WHITED DUSTIN</v>
      </c>
    </row>
    <row r="146" spans="1:7" x14ac:dyDescent="0.25">
      <c r="A146" s="8">
        <v>42813.652256944442</v>
      </c>
      <c r="B146" s="20" t="s">
        <v>421</v>
      </c>
      <c r="C146" s="20" t="s">
        <v>718</v>
      </c>
      <c r="D146" s="150">
        <v>920000</v>
      </c>
      <c r="E146" s="20" t="s">
        <v>493</v>
      </c>
      <c r="F146" s="20" t="s">
        <v>197</v>
      </c>
      <c r="G146" s="8" t="str">
        <f t="shared" si="2"/>
        <v>DAVIS MICHAEL</v>
      </c>
    </row>
    <row r="147" spans="1:7" x14ac:dyDescent="0.25">
      <c r="A147" s="8">
        <v>42813.65415509259</v>
      </c>
      <c r="B147" s="20" t="s">
        <v>414</v>
      </c>
      <c r="C147" s="20" t="s">
        <v>597</v>
      </c>
      <c r="D147" s="150">
        <v>1540000</v>
      </c>
      <c r="E147" s="20" t="s">
        <v>426</v>
      </c>
      <c r="F147" s="20" t="s">
        <v>427</v>
      </c>
      <c r="G147" s="8" t="str">
        <f t="shared" si="2"/>
        <v>HELVIE ADAM</v>
      </c>
    </row>
    <row r="148" spans="1:7" x14ac:dyDescent="0.25">
      <c r="A148" s="8">
        <v>42813.65896990741</v>
      </c>
      <c r="B148" s="20" t="s">
        <v>460</v>
      </c>
      <c r="C148" s="20" t="s">
        <v>719</v>
      </c>
      <c r="D148" s="150">
        <v>1300000</v>
      </c>
      <c r="E148" s="20" t="s">
        <v>499</v>
      </c>
      <c r="F148" s="20" t="s">
        <v>500</v>
      </c>
      <c r="G148" s="8" t="str">
        <f t="shared" si="2"/>
        <v>LEVIN SCOTT</v>
      </c>
    </row>
    <row r="149" spans="1:7" x14ac:dyDescent="0.25">
      <c r="A149" s="8">
        <v>42813.664155092592</v>
      </c>
      <c r="B149" s="20" t="s">
        <v>402</v>
      </c>
      <c r="C149" s="20" t="s">
        <v>720</v>
      </c>
      <c r="D149" s="150">
        <v>2360000</v>
      </c>
      <c r="E149" s="20" t="s">
        <v>446</v>
      </c>
      <c r="F149" s="20" t="s">
        <v>447</v>
      </c>
      <c r="G149" s="8" t="str">
        <f t="shared" si="2"/>
        <v>BRANDNER MELINDA</v>
      </c>
    </row>
    <row r="150" spans="1:7" x14ac:dyDescent="0.25">
      <c r="A150" s="8">
        <v>42813.670856481483</v>
      </c>
      <c r="B150" s="20" t="s">
        <v>582</v>
      </c>
      <c r="C150" s="20" t="s">
        <v>721</v>
      </c>
      <c r="D150" s="150">
        <v>1770000</v>
      </c>
      <c r="E150" s="20" t="s">
        <v>430</v>
      </c>
      <c r="F150" s="20" t="s">
        <v>431</v>
      </c>
      <c r="G150" s="8" t="str">
        <f t="shared" si="2"/>
        <v>BRUDER RICHARD</v>
      </c>
    </row>
    <row r="151" spans="1:7" x14ac:dyDescent="0.25">
      <c r="A151" s="8">
        <v>42813.674907407411</v>
      </c>
      <c r="B151" s="20" t="s">
        <v>586</v>
      </c>
      <c r="C151" s="20" t="s">
        <v>722</v>
      </c>
      <c r="D151" s="150">
        <v>880000</v>
      </c>
      <c r="E151" s="20" t="s">
        <v>465</v>
      </c>
      <c r="F151" s="20" t="s">
        <v>197</v>
      </c>
      <c r="G151" s="8" t="str">
        <f t="shared" si="2"/>
        <v>STEWART MICHAEL</v>
      </c>
    </row>
    <row r="152" spans="1:7" x14ac:dyDescent="0.25">
      <c r="A152" s="8">
        <v>42813.678703703707</v>
      </c>
      <c r="B152" s="20" t="s">
        <v>367</v>
      </c>
      <c r="C152" s="20" t="s">
        <v>723</v>
      </c>
      <c r="D152" s="150">
        <v>1540000</v>
      </c>
      <c r="E152" s="20" t="s">
        <v>426</v>
      </c>
      <c r="F152" s="20" t="s">
        <v>427</v>
      </c>
      <c r="G152" s="8" t="str">
        <f t="shared" si="2"/>
        <v>HELVIE ADAM</v>
      </c>
    </row>
    <row r="153" spans="1:7" x14ac:dyDescent="0.25">
      <c r="A153" s="8">
        <v>42813.682476851849</v>
      </c>
      <c r="B153" s="20" t="s">
        <v>591</v>
      </c>
      <c r="C153" s="20" t="s">
        <v>724</v>
      </c>
      <c r="D153" s="150">
        <v>1120000</v>
      </c>
      <c r="E153" s="20" t="s">
        <v>685</v>
      </c>
      <c r="F153" s="20" t="s">
        <v>686</v>
      </c>
      <c r="G153" s="8" t="str">
        <f t="shared" si="2"/>
        <v>LOCKLEAR TRAVIS</v>
      </c>
    </row>
    <row r="154" spans="1:7" x14ac:dyDescent="0.25">
      <c r="A154" s="8">
        <v>42813.686145833337</v>
      </c>
      <c r="B154" s="20" t="s">
        <v>425</v>
      </c>
      <c r="C154" s="20" t="s">
        <v>725</v>
      </c>
      <c r="D154" s="150">
        <v>920000</v>
      </c>
      <c r="E154" s="20" t="s">
        <v>493</v>
      </c>
      <c r="F154" s="20" t="s">
        <v>197</v>
      </c>
      <c r="G154" s="8" t="str">
        <f t="shared" si="2"/>
        <v>DAVIS MICHAEL</v>
      </c>
    </row>
    <row r="155" spans="1:7" x14ac:dyDescent="0.25">
      <c r="A155" s="8">
        <v>42813.687662037039</v>
      </c>
      <c r="B155" s="20" t="s">
        <v>425</v>
      </c>
      <c r="C155" s="20" t="s">
        <v>725</v>
      </c>
      <c r="D155" s="150">
        <v>920000</v>
      </c>
      <c r="E155" s="20" t="s">
        <v>493</v>
      </c>
      <c r="F155" s="20" t="s">
        <v>197</v>
      </c>
      <c r="G155" s="8" t="str">
        <f t="shared" si="2"/>
        <v>DAVIS MICHAEL</v>
      </c>
    </row>
    <row r="156" spans="1:7" x14ac:dyDescent="0.25">
      <c r="A156" s="8">
        <v>42813.687986111108</v>
      </c>
      <c r="B156" s="20" t="s">
        <v>588</v>
      </c>
      <c r="C156" s="20" t="s">
        <v>599</v>
      </c>
      <c r="D156" s="150">
        <v>2480000</v>
      </c>
      <c r="E156" s="20" t="s">
        <v>432</v>
      </c>
      <c r="F156" s="20" t="s">
        <v>433</v>
      </c>
      <c r="G156" s="8" t="str">
        <f t="shared" si="2"/>
        <v>WHITED DUSTIN</v>
      </c>
    </row>
    <row r="157" spans="1:7" x14ac:dyDescent="0.25">
      <c r="A157" s="8">
        <v>42813.692164351851</v>
      </c>
      <c r="B157" s="20" t="s">
        <v>414</v>
      </c>
      <c r="C157" s="20" t="s">
        <v>726</v>
      </c>
      <c r="D157" s="150">
        <v>1540000</v>
      </c>
      <c r="E157" s="20" t="s">
        <v>426</v>
      </c>
      <c r="F157" s="20" t="s">
        <v>427</v>
      </c>
      <c r="G157" s="8" t="str">
        <f t="shared" si="2"/>
        <v>HELVIE ADAM</v>
      </c>
    </row>
    <row r="158" spans="1:7" x14ac:dyDescent="0.25">
      <c r="A158" s="8">
        <v>42813.695509259262</v>
      </c>
      <c r="B158" s="20" t="s">
        <v>464</v>
      </c>
      <c r="C158" s="20" t="s">
        <v>727</v>
      </c>
      <c r="D158" s="150">
        <v>1300000</v>
      </c>
      <c r="E158" s="20" t="s">
        <v>499</v>
      </c>
      <c r="F158" s="20" t="s">
        <v>500</v>
      </c>
      <c r="G158" s="8" t="str">
        <f t="shared" si="2"/>
        <v>LEVIN SCOTT</v>
      </c>
    </row>
    <row r="159" spans="1:7" x14ac:dyDescent="0.25">
      <c r="A159" s="8">
        <v>42813.703043981484</v>
      </c>
      <c r="B159" s="20" t="s">
        <v>403</v>
      </c>
      <c r="C159" s="20" t="s">
        <v>728</v>
      </c>
      <c r="D159" s="150">
        <v>2360000</v>
      </c>
      <c r="E159" s="20" t="s">
        <v>446</v>
      </c>
      <c r="F159" s="20" t="s">
        <v>447</v>
      </c>
      <c r="G159" s="8" t="str">
        <f t="shared" si="2"/>
        <v>BRANDNER MELINDA</v>
      </c>
    </row>
    <row r="160" spans="1:7" x14ac:dyDescent="0.25">
      <c r="A160" s="8">
        <v>42813.705358796295</v>
      </c>
      <c r="B160" s="20" t="s">
        <v>616</v>
      </c>
      <c r="C160" s="20" t="s">
        <v>729</v>
      </c>
      <c r="D160" s="150">
        <v>1770000</v>
      </c>
      <c r="E160" s="20" t="s">
        <v>430</v>
      </c>
      <c r="F160" s="20" t="s">
        <v>431</v>
      </c>
      <c r="G160" s="8" t="str">
        <f t="shared" si="2"/>
        <v>BRUDER RICHARD</v>
      </c>
    </row>
    <row r="161" spans="1:7" x14ac:dyDescent="0.25">
      <c r="A161" s="8">
        <v>42813.713194444441</v>
      </c>
      <c r="B161" s="20" t="s">
        <v>572</v>
      </c>
      <c r="C161" s="20" t="s">
        <v>730</v>
      </c>
      <c r="D161" s="150">
        <v>880000</v>
      </c>
      <c r="E161" s="20" t="s">
        <v>465</v>
      </c>
      <c r="F161" s="20" t="s">
        <v>197</v>
      </c>
      <c r="G161" s="8" t="str">
        <f t="shared" si="2"/>
        <v>STEWART MICHAEL</v>
      </c>
    </row>
    <row r="162" spans="1:7" x14ac:dyDescent="0.25">
      <c r="A162" s="8">
        <v>42813.719942129632</v>
      </c>
      <c r="B162" s="20" t="s">
        <v>229</v>
      </c>
      <c r="C162" s="20" t="s">
        <v>731</v>
      </c>
      <c r="D162" s="150">
        <v>1800000</v>
      </c>
      <c r="E162" s="20" t="s">
        <v>732</v>
      </c>
      <c r="F162" s="20" t="s">
        <v>733</v>
      </c>
      <c r="G162" s="8" t="str">
        <f t="shared" si="2"/>
        <v>CHANDLER KELVIN</v>
      </c>
    </row>
    <row r="163" spans="1:7" x14ac:dyDescent="0.25">
      <c r="A163" s="8">
        <v>42813.721226851849</v>
      </c>
      <c r="B163" s="20" t="s">
        <v>367</v>
      </c>
      <c r="C163" s="20" t="s">
        <v>734</v>
      </c>
      <c r="D163" s="150">
        <v>1540000</v>
      </c>
      <c r="E163" s="20" t="s">
        <v>426</v>
      </c>
      <c r="F163" s="20" t="s">
        <v>427</v>
      </c>
      <c r="G163" s="8" t="str">
        <f t="shared" si="2"/>
        <v>HELVIE ADAM</v>
      </c>
    </row>
    <row r="164" spans="1:7" x14ac:dyDescent="0.25">
      <c r="A164" s="8">
        <v>42813.725104166668</v>
      </c>
      <c r="B164" s="20" t="s">
        <v>421</v>
      </c>
      <c r="C164" s="20" t="s">
        <v>735</v>
      </c>
      <c r="D164" s="150">
        <v>920000</v>
      </c>
      <c r="E164" s="20" t="s">
        <v>493</v>
      </c>
      <c r="F164" s="20" t="s">
        <v>197</v>
      </c>
      <c r="G164" s="8" t="str">
        <f t="shared" si="2"/>
        <v>DAVIS MICHAEL</v>
      </c>
    </row>
    <row r="165" spans="1:7" x14ac:dyDescent="0.25">
      <c r="A165" s="8">
        <v>42813.725497685184</v>
      </c>
      <c r="B165" s="20" t="s">
        <v>736</v>
      </c>
      <c r="C165" s="20" t="s">
        <v>737</v>
      </c>
      <c r="D165" s="150">
        <v>2530000</v>
      </c>
      <c r="E165" s="20" t="s">
        <v>671</v>
      </c>
      <c r="F165" s="20" t="s">
        <v>672</v>
      </c>
      <c r="G165" s="8" t="str">
        <f t="shared" si="2"/>
        <v>LALONDE GREGORY</v>
      </c>
    </row>
    <row r="166" spans="1:7" x14ac:dyDescent="0.25">
      <c r="A166" s="8">
        <v>42813.727905092594</v>
      </c>
      <c r="B166" s="20" t="s">
        <v>574</v>
      </c>
      <c r="C166" s="20" t="s">
        <v>738</v>
      </c>
      <c r="D166" s="150">
        <v>1120000</v>
      </c>
      <c r="E166" s="20" t="s">
        <v>685</v>
      </c>
      <c r="F166" s="20" t="s">
        <v>686</v>
      </c>
      <c r="G166" s="8" t="str">
        <f t="shared" si="2"/>
        <v>LOCKLEAR TRAVIS</v>
      </c>
    </row>
    <row r="167" spans="1:7" x14ac:dyDescent="0.25">
      <c r="A167" s="8">
        <v>42813.73028935185</v>
      </c>
      <c r="B167" s="20" t="s">
        <v>460</v>
      </c>
      <c r="C167" s="20" t="s">
        <v>739</v>
      </c>
      <c r="D167" s="150">
        <v>1300000</v>
      </c>
      <c r="E167" s="20" t="s">
        <v>499</v>
      </c>
      <c r="F167" s="20" t="s">
        <v>500</v>
      </c>
      <c r="G167" s="8" t="str">
        <f t="shared" si="2"/>
        <v>LEVIN SCOTT</v>
      </c>
    </row>
    <row r="168" spans="1:7" x14ac:dyDescent="0.25">
      <c r="A168" s="8">
        <v>42813.733715277776</v>
      </c>
      <c r="B168" s="20" t="s">
        <v>414</v>
      </c>
      <c r="C168" s="20" t="s">
        <v>740</v>
      </c>
      <c r="D168" s="150">
        <v>1540000</v>
      </c>
      <c r="E168" s="20" t="s">
        <v>426</v>
      </c>
      <c r="F168" s="20" t="s">
        <v>427</v>
      </c>
      <c r="G168" s="8" t="str">
        <f t="shared" si="2"/>
        <v>HELVIE ADAM</v>
      </c>
    </row>
    <row r="169" spans="1:7" x14ac:dyDescent="0.25">
      <c r="A169" s="8">
        <v>42813.743715277778</v>
      </c>
      <c r="B169" s="20" t="s">
        <v>402</v>
      </c>
      <c r="C169" s="20" t="s">
        <v>741</v>
      </c>
      <c r="D169" s="150">
        <v>2630000</v>
      </c>
      <c r="E169" s="20" t="s">
        <v>468</v>
      </c>
      <c r="F169" s="20" t="s">
        <v>469</v>
      </c>
      <c r="G169" s="8" t="str">
        <f t="shared" si="2"/>
        <v>SAFIEF AEIMEN</v>
      </c>
    </row>
    <row r="170" spans="1:7" x14ac:dyDescent="0.25">
      <c r="A170" s="8">
        <v>42813.743877314817</v>
      </c>
      <c r="B170" s="20" t="s">
        <v>582</v>
      </c>
      <c r="C170" s="20" t="s">
        <v>742</v>
      </c>
      <c r="D170" s="150">
        <v>1770000</v>
      </c>
      <c r="E170" s="20" t="s">
        <v>430</v>
      </c>
      <c r="F170" s="20" t="s">
        <v>431</v>
      </c>
      <c r="G170" s="8" t="str">
        <f t="shared" si="2"/>
        <v>BRUDER RICHARD</v>
      </c>
    </row>
    <row r="171" spans="1:7" x14ac:dyDescent="0.25">
      <c r="A171" s="8">
        <v>42813.749016203707</v>
      </c>
      <c r="B171" s="20" t="s">
        <v>586</v>
      </c>
      <c r="C171" s="20" t="s">
        <v>600</v>
      </c>
      <c r="D171" s="150">
        <v>2360000</v>
      </c>
      <c r="E171" s="20" t="s">
        <v>446</v>
      </c>
      <c r="F171" s="20" t="s">
        <v>447</v>
      </c>
      <c r="G171" s="8" t="str">
        <f t="shared" si="2"/>
        <v>BRANDNER MELINDA</v>
      </c>
    </row>
    <row r="172" spans="1:7" x14ac:dyDescent="0.25">
      <c r="A172" s="8">
        <v>42813.750937500001</v>
      </c>
      <c r="B172" s="20" t="s">
        <v>200</v>
      </c>
      <c r="C172" s="20" t="s">
        <v>743</v>
      </c>
      <c r="D172" s="150">
        <v>2680000</v>
      </c>
      <c r="E172" s="20" t="s">
        <v>744</v>
      </c>
      <c r="F172" s="20" t="s">
        <v>745</v>
      </c>
      <c r="G172" s="8" t="str">
        <f t="shared" si="2"/>
        <v>DUNCAN SHEILA</v>
      </c>
    </row>
    <row r="173" spans="1:7" x14ac:dyDescent="0.25">
      <c r="A173" s="8">
        <v>42813.757256944446</v>
      </c>
      <c r="B173" s="20" t="s">
        <v>591</v>
      </c>
      <c r="C173" s="20" t="s">
        <v>746</v>
      </c>
      <c r="D173" s="150">
        <v>1800000</v>
      </c>
      <c r="E173" s="20" t="s">
        <v>732</v>
      </c>
      <c r="F173" s="20" t="s">
        <v>733</v>
      </c>
      <c r="G173" s="8" t="str">
        <f t="shared" si="2"/>
        <v>CHANDLER KELVIN</v>
      </c>
    </row>
    <row r="174" spans="1:7" x14ac:dyDescent="0.25">
      <c r="A174" s="8">
        <v>42813.760150462964</v>
      </c>
      <c r="B174" s="20" t="s">
        <v>425</v>
      </c>
      <c r="C174" s="20" t="s">
        <v>747</v>
      </c>
      <c r="D174" s="150">
        <v>2230000</v>
      </c>
      <c r="E174" s="20" t="s">
        <v>445</v>
      </c>
      <c r="F174" s="20" t="s">
        <v>197</v>
      </c>
      <c r="G174" s="8" t="str">
        <f t="shared" si="2"/>
        <v>SMITH MICHAEL</v>
      </c>
    </row>
    <row r="175" spans="1:7" x14ac:dyDescent="0.25">
      <c r="A175" s="8">
        <v>42813.761122685188</v>
      </c>
      <c r="B175" s="20" t="s">
        <v>425</v>
      </c>
      <c r="C175" s="20" t="s">
        <v>747</v>
      </c>
      <c r="D175" s="150">
        <v>2230000</v>
      </c>
      <c r="E175" s="20" t="s">
        <v>445</v>
      </c>
      <c r="F175" s="20" t="s">
        <v>197</v>
      </c>
      <c r="G175" s="8" t="str">
        <f t="shared" si="2"/>
        <v>SMITH MICHAEL</v>
      </c>
    </row>
    <row r="176" spans="1:7" x14ac:dyDescent="0.25">
      <c r="A176" s="8">
        <v>42813.762569444443</v>
      </c>
      <c r="B176" s="20" t="s">
        <v>367</v>
      </c>
      <c r="C176" s="20" t="s">
        <v>748</v>
      </c>
      <c r="D176" s="150">
        <v>1540000</v>
      </c>
      <c r="E176" s="20" t="s">
        <v>426</v>
      </c>
      <c r="F176" s="20" t="s">
        <v>427</v>
      </c>
      <c r="G176" s="8" t="str">
        <f t="shared" si="2"/>
        <v>HELVIE ADAM</v>
      </c>
    </row>
    <row r="177" spans="1:7" x14ac:dyDescent="0.25">
      <c r="A177" s="8">
        <v>42813.764849537038</v>
      </c>
      <c r="B177" s="20" t="s">
        <v>588</v>
      </c>
      <c r="C177" s="20" t="s">
        <v>749</v>
      </c>
      <c r="D177" s="150">
        <v>1120000</v>
      </c>
      <c r="E177" s="20" t="s">
        <v>685</v>
      </c>
      <c r="F177" s="20" t="s">
        <v>686</v>
      </c>
      <c r="G177" s="8" t="str">
        <f t="shared" si="2"/>
        <v>LOCKLEAR TRAVIS</v>
      </c>
    </row>
    <row r="178" spans="1:7" x14ac:dyDescent="0.25">
      <c r="A178" s="8">
        <v>42813.768495370372</v>
      </c>
      <c r="B178" s="20" t="s">
        <v>464</v>
      </c>
      <c r="C178" s="20" t="s">
        <v>750</v>
      </c>
      <c r="D178" s="150">
        <v>2000000</v>
      </c>
      <c r="E178" s="20" t="s">
        <v>406</v>
      </c>
      <c r="F178" s="20" t="s">
        <v>194</v>
      </c>
      <c r="G178" s="8" t="str">
        <f t="shared" si="2"/>
        <v>STAMBAUGH JAMES</v>
      </c>
    </row>
    <row r="179" spans="1:7" x14ac:dyDescent="0.25">
      <c r="A179" s="8">
        <v>42813.775752314818</v>
      </c>
      <c r="B179" s="20" t="s">
        <v>414</v>
      </c>
      <c r="C179" s="20" t="s">
        <v>751</v>
      </c>
      <c r="D179" s="150">
        <v>1540000</v>
      </c>
      <c r="E179" s="20" t="s">
        <v>426</v>
      </c>
      <c r="F179" s="20" t="s">
        <v>427</v>
      </c>
      <c r="G179" s="8" t="str">
        <f t="shared" si="2"/>
        <v>HELVIE ADAM</v>
      </c>
    </row>
    <row r="180" spans="1:7" x14ac:dyDescent="0.25">
      <c r="A180" s="8">
        <v>42813.77621527778</v>
      </c>
      <c r="B180" s="20" t="s">
        <v>403</v>
      </c>
      <c r="C180" s="20" t="s">
        <v>752</v>
      </c>
      <c r="D180" s="150">
        <v>2630000</v>
      </c>
      <c r="E180" s="20" t="s">
        <v>468</v>
      </c>
      <c r="F180" s="20" t="s">
        <v>469</v>
      </c>
      <c r="G180" s="8" t="str">
        <f t="shared" si="2"/>
        <v>SAFIEF AEIMEN</v>
      </c>
    </row>
    <row r="181" spans="1:7" x14ac:dyDescent="0.25">
      <c r="A181" s="8">
        <v>42813.777106481481</v>
      </c>
      <c r="B181" s="20" t="s">
        <v>616</v>
      </c>
      <c r="C181" s="20" t="s">
        <v>753</v>
      </c>
      <c r="D181" s="150">
        <v>1770000</v>
      </c>
      <c r="E181" s="20" t="s">
        <v>430</v>
      </c>
      <c r="F181" s="20" t="s">
        <v>431</v>
      </c>
      <c r="G181" s="8" t="str">
        <f t="shared" si="2"/>
        <v>BRUDER RICHARD</v>
      </c>
    </row>
    <row r="182" spans="1:7" x14ac:dyDescent="0.25">
      <c r="A182" s="8">
        <v>42813.783541666664</v>
      </c>
      <c r="B182" s="20" t="s">
        <v>572</v>
      </c>
      <c r="C182" s="20" t="s">
        <v>754</v>
      </c>
      <c r="D182" s="150">
        <v>2360000</v>
      </c>
      <c r="E182" s="20" t="s">
        <v>446</v>
      </c>
      <c r="F182" s="20" t="s">
        <v>447</v>
      </c>
      <c r="G182" s="8" t="str">
        <f t="shared" si="2"/>
        <v>BRANDNER MELINDA</v>
      </c>
    </row>
    <row r="183" spans="1:7" x14ac:dyDescent="0.25">
      <c r="A183" s="8">
        <v>42813.790902777779</v>
      </c>
      <c r="B183" s="20" t="s">
        <v>421</v>
      </c>
      <c r="C183" s="20" t="s">
        <v>755</v>
      </c>
      <c r="D183" s="150">
        <v>2230000</v>
      </c>
      <c r="E183" s="20" t="s">
        <v>445</v>
      </c>
      <c r="F183" s="20" t="s">
        <v>197</v>
      </c>
      <c r="G183" s="8" t="str">
        <f t="shared" si="2"/>
        <v>SMITH MICHAEL</v>
      </c>
    </row>
    <row r="184" spans="1:7" x14ac:dyDescent="0.25">
      <c r="A184" s="8">
        <v>42813.791076388887</v>
      </c>
      <c r="B184" s="20" t="s">
        <v>229</v>
      </c>
      <c r="C184" s="20" t="s">
        <v>756</v>
      </c>
      <c r="D184" s="150">
        <v>1800000</v>
      </c>
      <c r="E184" s="20" t="s">
        <v>732</v>
      </c>
      <c r="F184" s="20" t="s">
        <v>733</v>
      </c>
      <c r="G184" s="8" t="str">
        <f t="shared" si="2"/>
        <v>CHANDLER KELVIN</v>
      </c>
    </row>
    <row r="185" spans="1:7" x14ac:dyDescent="0.25">
      <c r="A185" s="8">
        <v>42813.797662037039</v>
      </c>
      <c r="B185" s="20" t="s">
        <v>574</v>
      </c>
      <c r="C185" s="20" t="s">
        <v>757</v>
      </c>
      <c r="D185" s="150">
        <v>1120000</v>
      </c>
      <c r="E185" s="20" t="s">
        <v>685</v>
      </c>
      <c r="F185" s="20" t="s">
        <v>686</v>
      </c>
      <c r="G185" s="8" t="str">
        <f t="shared" si="2"/>
        <v>LOCKLEAR TRAVIS</v>
      </c>
    </row>
    <row r="186" spans="1:7" x14ac:dyDescent="0.25">
      <c r="A186" s="8">
        <v>42813.804618055554</v>
      </c>
      <c r="B186" s="20" t="s">
        <v>367</v>
      </c>
      <c r="C186" s="20" t="s">
        <v>758</v>
      </c>
      <c r="D186" s="150">
        <v>1540000</v>
      </c>
      <c r="E186" s="20" t="s">
        <v>426</v>
      </c>
      <c r="F186" s="20" t="s">
        <v>427</v>
      </c>
      <c r="G186" s="8" t="str">
        <f t="shared" si="2"/>
        <v>HELVIE ADAM</v>
      </c>
    </row>
    <row r="187" spans="1:7" x14ac:dyDescent="0.25">
      <c r="A187" s="8">
        <v>42813.80840277778</v>
      </c>
      <c r="B187" s="20" t="s">
        <v>460</v>
      </c>
      <c r="C187" s="20" t="s">
        <v>759</v>
      </c>
      <c r="D187" s="150">
        <v>2000000</v>
      </c>
      <c r="E187" s="20" t="s">
        <v>406</v>
      </c>
      <c r="F187" s="20" t="s">
        <v>194</v>
      </c>
      <c r="G187" s="8" t="str">
        <f t="shared" si="2"/>
        <v>STAMBAUGH JAMES</v>
      </c>
    </row>
    <row r="188" spans="1:7" x14ac:dyDescent="0.25">
      <c r="A188" s="8">
        <v>42813.810162037036</v>
      </c>
      <c r="B188" s="20" t="s">
        <v>402</v>
      </c>
      <c r="C188" s="20" t="s">
        <v>760</v>
      </c>
      <c r="D188" s="150">
        <v>1810000</v>
      </c>
      <c r="E188" s="20" t="s">
        <v>761</v>
      </c>
      <c r="F188" s="20" t="s">
        <v>194</v>
      </c>
      <c r="G188" s="8" t="str">
        <f t="shared" si="2"/>
        <v>NEWELL JAMES</v>
      </c>
    </row>
    <row r="189" spans="1:7" x14ac:dyDescent="0.25">
      <c r="A189" s="8">
        <v>42813.817349537036</v>
      </c>
      <c r="B189" s="20" t="s">
        <v>414</v>
      </c>
      <c r="C189" s="20" t="s">
        <v>762</v>
      </c>
      <c r="D189" s="150">
        <v>1540000</v>
      </c>
      <c r="E189" s="20" t="s">
        <v>426</v>
      </c>
      <c r="F189" s="20" t="s">
        <v>427</v>
      </c>
      <c r="G189" s="8" t="str">
        <f t="shared" si="2"/>
        <v>HELVIE ADAM</v>
      </c>
    </row>
    <row r="190" spans="1:7" x14ac:dyDescent="0.25">
      <c r="A190" s="8">
        <v>42813.820729166669</v>
      </c>
      <c r="B190" s="20" t="s">
        <v>586</v>
      </c>
      <c r="C190" s="20" t="s">
        <v>763</v>
      </c>
      <c r="D190" s="150">
        <v>2360000</v>
      </c>
      <c r="E190" s="20" t="s">
        <v>446</v>
      </c>
      <c r="F190" s="20" t="s">
        <v>447</v>
      </c>
      <c r="G190" s="8" t="str">
        <f t="shared" si="2"/>
        <v>BRANDNER MELINDA</v>
      </c>
    </row>
    <row r="191" spans="1:7" x14ac:dyDescent="0.25">
      <c r="A191" s="8">
        <v>42813.829733796294</v>
      </c>
      <c r="B191" s="20" t="s">
        <v>591</v>
      </c>
      <c r="C191" s="20" t="s">
        <v>764</v>
      </c>
      <c r="D191" s="150">
        <v>1800000</v>
      </c>
      <c r="E191" s="20" t="s">
        <v>732</v>
      </c>
      <c r="F191" s="20" t="s">
        <v>733</v>
      </c>
      <c r="G191" s="8" t="str">
        <f t="shared" si="2"/>
        <v>CHANDLER KELVIN</v>
      </c>
    </row>
    <row r="192" spans="1:7" x14ac:dyDescent="0.25">
      <c r="A192" s="8">
        <v>42813.830868055556</v>
      </c>
      <c r="B192" s="20" t="s">
        <v>425</v>
      </c>
      <c r="C192" s="20" t="s">
        <v>765</v>
      </c>
      <c r="D192" s="150">
        <v>2680000</v>
      </c>
      <c r="E192" s="20" t="s">
        <v>744</v>
      </c>
      <c r="F192" s="20" t="s">
        <v>745</v>
      </c>
      <c r="G192" s="8" t="str">
        <f t="shared" si="2"/>
        <v>DUNCAN SHEILA</v>
      </c>
    </row>
    <row r="193" spans="1:7" x14ac:dyDescent="0.25">
      <c r="A193" s="8">
        <v>42813.831620370373</v>
      </c>
      <c r="B193" s="20" t="s">
        <v>425</v>
      </c>
      <c r="C193" s="20" t="s">
        <v>765</v>
      </c>
      <c r="D193" s="150">
        <v>2680000</v>
      </c>
      <c r="E193" s="20" t="s">
        <v>744</v>
      </c>
      <c r="F193" s="20" t="s">
        <v>745</v>
      </c>
      <c r="G193" s="8" t="str">
        <f t="shared" si="2"/>
        <v>DUNCAN SHEILA</v>
      </c>
    </row>
    <row r="194" spans="1:7" x14ac:dyDescent="0.25">
      <c r="A194" s="8">
        <v>42813.832430555558</v>
      </c>
      <c r="B194" s="20" t="s">
        <v>425</v>
      </c>
      <c r="C194" s="20" t="s">
        <v>765</v>
      </c>
      <c r="D194" s="150">
        <v>2680000</v>
      </c>
      <c r="E194" s="20" t="s">
        <v>744</v>
      </c>
      <c r="F194" s="20" t="s">
        <v>745</v>
      </c>
      <c r="G194" s="8" t="str">
        <f t="shared" si="2"/>
        <v>DUNCAN SHEILA</v>
      </c>
    </row>
    <row r="195" spans="1:7" x14ac:dyDescent="0.25">
      <c r="A195" s="8">
        <v>42813.836539351854</v>
      </c>
      <c r="B195" s="20" t="s">
        <v>601</v>
      </c>
      <c r="C195" s="20" t="s">
        <v>602</v>
      </c>
      <c r="D195" s="150">
        <v>2730000</v>
      </c>
      <c r="E195" s="20" t="s">
        <v>766</v>
      </c>
      <c r="F195" s="20" t="s">
        <v>767</v>
      </c>
      <c r="G195" s="8" t="str">
        <f t="shared" ref="G195:G258" si="3">E195&amp;" "&amp;F195</f>
        <v>YANG JAN</v>
      </c>
    </row>
    <row r="196" spans="1:7" x14ac:dyDescent="0.25">
      <c r="A196" s="8">
        <v>42813.838206018518</v>
      </c>
      <c r="B196" s="20" t="s">
        <v>464</v>
      </c>
      <c r="C196" s="20" t="s">
        <v>768</v>
      </c>
      <c r="D196" s="150">
        <v>2000000</v>
      </c>
      <c r="E196" s="20" t="s">
        <v>406</v>
      </c>
      <c r="F196" s="20" t="s">
        <v>194</v>
      </c>
      <c r="G196" s="8" t="str">
        <f t="shared" si="3"/>
        <v>STAMBAUGH JAMES</v>
      </c>
    </row>
    <row r="197" spans="1:7" x14ac:dyDescent="0.25">
      <c r="A197" s="8">
        <v>42813.840960648151</v>
      </c>
      <c r="B197" s="20" t="s">
        <v>403</v>
      </c>
      <c r="C197" s="20" t="s">
        <v>769</v>
      </c>
      <c r="D197" s="150">
        <v>1810000</v>
      </c>
      <c r="E197" s="20" t="s">
        <v>761</v>
      </c>
      <c r="F197" s="20" t="s">
        <v>194</v>
      </c>
      <c r="G197" s="8" t="str">
        <f t="shared" si="3"/>
        <v>NEWELL JAMES</v>
      </c>
    </row>
    <row r="198" spans="1:7" x14ac:dyDescent="0.25">
      <c r="A198" s="8">
        <v>42813.847372685188</v>
      </c>
      <c r="B198" s="20" t="s">
        <v>367</v>
      </c>
      <c r="C198" s="20" t="s">
        <v>770</v>
      </c>
      <c r="D198" s="150">
        <v>1540000</v>
      </c>
      <c r="E198" s="20" t="s">
        <v>426</v>
      </c>
      <c r="F198" s="20" t="s">
        <v>427</v>
      </c>
      <c r="G198" s="8" t="str">
        <f t="shared" si="3"/>
        <v>HELVIE ADAM</v>
      </c>
    </row>
    <row r="199" spans="1:7" x14ac:dyDescent="0.25">
      <c r="A199" s="8">
        <v>42813.849282407406</v>
      </c>
      <c r="B199" s="20" t="s">
        <v>771</v>
      </c>
      <c r="C199" s="20" t="s">
        <v>772</v>
      </c>
      <c r="D199" s="150">
        <v>2730000</v>
      </c>
      <c r="E199" s="20" t="s">
        <v>766</v>
      </c>
      <c r="F199" s="20" t="s">
        <v>767</v>
      </c>
      <c r="G199" s="8" t="str">
        <f t="shared" si="3"/>
        <v>YANG JAN</v>
      </c>
    </row>
    <row r="200" spans="1:7" x14ac:dyDescent="0.25">
      <c r="A200" s="8">
        <v>42813.859131944446</v>
      </c>
      <c r="B200" s="20" t="s">
        <v>414</v>
      </c>
      <c r="C200" s="20" t="s">
        <v>773</v>
      </c>
      <c r="D200" s="150">
        <v>1540000</v>
      </c>
      <c r="E200" s="20" t="s">
        <v>426</v>
      </c>
      <c r="F200" s="20" t="s">
        <v>427</v>
      </c>
      <c r="G200" s="8" t="str">
        <f t="shared" si="3"/>
        <v>HELVIE ADAM</v>
      </c>
    </row>
    <row r="201" spans="1:7" x14ac:dyDescent="0.25">
      <c r="A201" s="8">
        <v>42813.868194444447</v>
      </c>
      <c r="B201" s="20" t="s">
        <v>421</v>
      </c>
      <c r="C201" s="20" t="s">
        <v>774</v>
      </c>
      <c r="D201" s="150">
        <v>2680000</v>
      </c>
      <c r="E201" s="20" t="s">
        <v>744</v>
      </c>
      <c r="F201" s="20" t="s">
        <v>745</v>
      </c>
      <c r="G201" s="8" t="str">
        <f t="shared" si="3"/>
        <v>DUNCAN SHEILA</v>
      </c>
    </row>
    <row r="202" spans="1:7" x14ac:dyDescent="0.25">
      <c r="A202" s="26">
        <v>42813.872245370374</v>
      </c>
      <c r="B202" s="20" t="s">
        <v>229</v>
      </c>
      <c r="C202" s="20" t="s">
        <v>775</v>
      </c>
      <c r="D202" s="150">
        <v>1800000</v>
      </c>
      <c r="E202" s="20" t="s">
        <v>732</v>
      </c>
      <c r="F202" s="20" t="s">
        <v>733</v>
      </c>
      <c r="G202" s="8" t="str">
        <f t="shared" si="3"/>
        <v>CHANDLER KELVIN</v>
      </c>
    </row>
    <row r="203" spans="1:7" x14ac:dyDescent="0.25">
      <c r="A203" s="8">
        <v>42813.880636574075</v>
      </c>
      <c r="B203" s="20" t="s">
        <v>601</v>
      </c>
      <c r="C203" s="20" t="s">
        <v>602</v>
      </c>
      <c r="D203" s="150">
        <v>2730000</v>
      </c>
      <c r="E203" s="20" t="s">
        <v>766</v>
      </c>
      <c r="F203" s="20" t="s">
        <v>767</v>
      </c>
      <c r="G203" s="8" t="str">
        <f t="shared" si="3"/>
        <v>YANG JAN</v>
      </c>
    </row>
    <row r="204" spans="1:7" x14ac:dyDescent="0.25">
      <c r="A204" s="8">
        <v>42813.888206018521</v>
      </c>
      <c r="B204" s="20" t="s">
        <v>367</v>
      </c>
      <c r="C204" s="20" t="s">
        <v>776</v>
      </c>
      <c r="D204" s="150">
        <v>1540000</v>
      </c>
      <c r="E204" s="20" t="s">
        <v>426</v>
      </c>
      <c r="F204" s="20" t="s">
        <v>427</v>
      </c>
      <c r="G204" s="8" t="str">
        <f t="shared" si="3"/>
        <v>HELVIE ADAM</v>
      </c>
    </row>
    <row r="205" spans="1:7" x14ac:dyDescent="0.25">
      <c r="A205" s="8">
        <v>42813.889224537037</v>
      </c>
      <c r="B205" s="20" t="s">
        <v>460</v>
      </c>
      <c r="C205" s="20" t="s">
        <v>777</v>
      </c>
      <c r="D205" s="150">
        <v>2000000</v>
      </c>
      <c r="E205" s="20" t="s">
        <v>406</v>
      </c>
      <c r="F205" s="20" t="s">
        <v>194</v>
      </c>
      <c r="G205" s="8" t="str">
        <f t="shared" si="3"/>
        <v>STAMBAUGH JAMES</v>
      </c>
    </row>
    <row r="206" spans="1:7" x14ac:dyDescent="0.25">
      <c r="A206" s="8">
        <v>42813.892418981479</v>
      </c>
      <c r="B206" s="20" t="s">
        <v>402</v>
      </c>
      <c r="C206" s="20" t="s">
        <v>778</v>
      </c>
      <c r="D206" s="150">
        <v>1810000</v>
      </c>
      <c r="E206" s="20" t="s">
        <v>761</v>
      </c>
      <c r="F206" s="20" t="s">
        <v>194</v>
      </c>
      <c r="G206" s="8" t="str">
        <f t="shared" si="3"/>
        <v>NEWELL JAMES</v>
      </c>
    </row>
    <row r="207" spans="1:7" x14ac:dyDescent="0.25">
      <c r="A207" s="8">
        <v>42813.900659722225</v>
      </c>
      <c r="B207" s="20" t="s">
        <v>414</v>
      </c>
      <c r="C207" s="20" t="s">
        <v>779</v>
      </c>
      <c r="D207" s="150">
        <v>1540000</v>
      </c>
      <c r="E207" s="20" t="s">
        <v>426</v>
      </c>
      <c r="F207" s="20" t="s">
        <v>427</v>
      </c>
      <c r="G207" s="8" t="str">
        <f t="shared" si="3"/>
        <v>HELVIE ADAM</v>
      </c>
    </row>
    <row r="208" spans="1:7" x14ac:dyDescent="0.25">
      <c r="A208" s="8">
        <v>42813.904872685183</v>
      </c>
      <c r="B208" s="20" t="s">
        <v>425</v>
      </c>
      <c r="C208" s="20" t="s">
        <v>780</v>
      </c>
      <c r="D208" s="150">
        <v>2230000</v>
      </c>
      <c r="E208" s="20" t="s">
        <v>445</v>
      </c>
      <c r="F208" s="20" t="s">
        <v>197</v>
      </c>
      <c r="G208" s="8" t="str">
        <f t="shared" si="3"/>
        <v>SMITH MICHAEL</v>
      </c>
    </row>
    <row r="209" spans="1:7" x14ac:dyDescent="0.25">
      <c r="A209" s="8">
        <v>42813.905706018515</v>
      </c>
      <c r="B209" s="20" t="s">
        <v>425</v>
      </c>
      <c r="C209" s="20" t="s">
        <v>780</v>
      </c>
      <c r="D209" s="150">
        <v>2230000</v>
      </c>
      <c r="E209" s="20" t="s">
        <v>445</v>
      </c>
      <c r="F209" s="20" t="s">
        <v>197</v>
      </c>
      <c r="G209" s="8" t="str">
        <f t="shared" si="3"/>
        <v>SMITH MICHAEL</v>
      </c>
    </row>
    <row r="210" spans="1:7" x14ac:dyDescent="0.25">
      <c r="A210" s="8">
        <v>42813.906875000001</v>
      </c>
      <c r="B210" s="20" t="s">
        <v>425</v>
      </c>
      <c r="C210" s="20" t="s">
        <v>780</v>
      </c>
      <c r="D210" s="150">
        <v>2230000</v>
      </c>
      <c r="E210" s="20" t="s">
        <v>445</v>
      </c>
      <c r="F210" s="20" t="s">
        <v>197</v>
      </c>
      <c r="G210" s="8" t="str">
        <f t="shared" si="3"/>
        <v>SMITH MICHAEL</v>
      </c>
    </row>
    <row r="211" spans="1:7" x14ac:dyDescent="0.25">
      <c r="A211" s="8">
        <v>42813.911643518521</v>
      </c>
      <c r="B211" s="20" t="s">
        <v>591</v>
      </c>
      <c r="C211" s="20" t="s">
        <v>604</v>
      </c>
      <c r="D211" s="150">
        <v>1800000</v>
      </c>
      <c r="E211" s="20" t="s">
        <v>732</v>
      </c>
      <c r="F211" s="20" t="s">
        <v>733</v>
      </c>
      <c r="G211" s="8" t="str">
        <f t="shared" si="3"/>
        <v>CHANDLER KELVIN</v>
      </c>
    </row>
    <row r="212" spans="1:7" x14ac:dyDescent="0.25">
      <c r="A212" s="8">
        <v>42813.915937500002</v>
      </c>
      <c r="B212" s="20" t="s">
        <v>771</v>
      </c>
      <c r="C212" s="20" t="s">
        <v>772</v>
      </c>
      <c r="D212" s="150">
        <v>2730000</v>
      </c>
      <c r="E212" s="20" t="s">
        <v>766</v>
      </c>
      <c r="F212" s="20" t="s">
        <v>767</v>
      </c>
      <c r="G212" s="8" t="str">
        <f t="shared" si="3"/>
        <v>YANG JAN</v>
      </c>
    </row>
    <row r="213" spans="1:7" x14ac:dyDescent="0.25">
      <c r="A213" s="8">
        <v>42813.916863425926</v>
      </c>
      <c r="B213" s="20" t="s">
        <v>460</v>
      </c>
      <c r="C213" s="20" t="s">
        <v>777</v>
      </c>
      <c r="D213" s="150">
        <v>2000000</v>
      </c>
      <c r="E213" s="20" t="s">
        <v>406</v>
      </c>
      <c r="F213" s="20" t="s">
        <v>194</v>
      </c>
      <c r="G213" s="8" t="str">
        <f t="shared" si="3"/>
        <v>STAMBAUGH JAMES</v>
      </c>
    </row>
    <row r="214" spans="1:7" x14ac:dyDescent="0.25">
      <c r="A214" s="8">
        <v>42813.924421296295</v>
      </c>
      <c r="B214" s="20" t="s">
        <v>464</v>
      </c>
      <c r="C214" s="20" t="s">
        <v>781</v>
      </c>
      <c r="D214" s="150">
        <v>2000000</v>
      </c>
      <c r="E214" s="20" t="s">
        <v>406</v>
      </c>
      <c r="F214" s="20" t="s">
        <v>194</v>
      </c>
      <c r="G214" s="8" t="str">
        <f t="shared" si="3"/>
        <v>STAMBAUGH JAMES</v>
      </c>
    </row>
    <row r="215" spans="1:7" x14ac:dyDescent="0.25">
      <c r="A215" s="8">
        <v>42813.926747685182</v>
      </c>
      <c r="B215" s="20" t="s">
        <v>367</v>
      </c>
      <c r="C215" s="20" t="s">
        <v>603</v>
      </c>
      <c r="D215" s="150">
        <v>1540000</v>
      </c>
      <c r="E215" s="20" t="s">
        <v>426</v>
      </c>
      <c r="F215" s="20" t="s">
        <v>427</v>
      </c>
      <c r="G215" s="8" t="str">
        <f t="shared" si="3"/>
        <v>HELVIE ADAM</v>
      </c>
    </row>
    <row r="216" spans="1:7" x14ac:dyDescent="0.25">
      <c r="A216" s="8">
        <v>42813.932511574072</v>
      </c>
      <c r="B216" s="20" t="s">
        <v>403</v>
      </c>
      <c r="C216" s="20" t="s">
        <v>782</v>
      </c>
      <c r="D216" s="150">
        <v>1810000</v>
      </c>
      <c r="E216" s="20" t="s">
        <v>761</v>
      </c>
      <c r="F216" s="20" t="s">
        <v>194</v>
      </c>
      <c r="G216" s="8" t="str">
        <f t="shared" si="3"/>
        <v>NEWELL JAMES</v>
      </c>
    </row>
    <row r="217" spans="1:7" x14ac:dyDescent="0.25">
      <c r="A217" s="8">
        <v>42813.941655092596</v>
      </c>
      <c r="B217" s="20" t="s">
        <v>414</v>
      </c>
      <c r="C217" s="20" t="s">
        <v>783</v>
      </c>
      <c r="D217" s="150">
        <v>1540000</v>
      </c>
      <c r="E217" s="20" t="s">
        <v>426</v>
      </c>
      <c r="F217" s="20" t="s">
        <v>427</v>
      </c>
      <c r="G217" s="8" t="str">
        <f t="shared" si="3"/>
        <v>HELVIE ADAM</v>
      </c>
    </row>
    <row r="218" spans="1:7" x14ac:dyDescent="0.25">
      <c r="A218" s="8">
        <v>42813.948449074072</v>
      </c>
      <c r="B218" s="20" t="s">
        <v>421</v>
      </c>
      <c r="C218" s="20" t="s">
        <v>784</v>
      </c>
      <c r="D218" s="150">
        <v>2230000</v>
      </c>
      <c r="E218" s="20" t="s">
        <v>445</v>
      </c>
      <c r="F218" s="20" t="s">
        <v>197</v>
      </c>
      <c r="G218" s="8" t="str">
        <f t="shared" si="3"/>
        <v>SMITH MICHAEL</v>
      </c>
    </row>
    <row r="219" spans="1:7" x14ac:dyDescent="0.25">
      <c r="A219" s="8">
        <v>42813.949837962966</v>
      </c>
      <c r="B219" s="20" t="s">
        <v>421</v>
      </c>
      <c r="C219" s="20" t="s">
        <v>784</v>
      </c>
      <c r="D219" s="150">
        <v>2230000</v>
      </c>
      <c r="E219" s="20" t="s">
        <v>445</v>
      </c>
      <c r="F219" s="20" t="s">
        <v>197</v>
      </c>
      <c r="G219" s="8" t="str">
        <f t="shared" si="3"/>
        <v>SMITH MICHAEL</v>
      </c>
    </row>
    <row r="220" spans="1:7" x14ac:dyDescent="0.25">
      <c r="A220" s="8">
        <v>42813.950150462966</v>
      </c>
      <c r="B220" s="20" t="s">
        <v>601</v>
      </c>
      <c r="C220" s="20" t="s">
        <v>602</v>
      </c>
      <c r="D220" s="150">
        <v>2730000</v>
      </c>
      <c r="E220" s="20" t="s">
        <v>766</v>
      </c>
      <c r="F220" s="20" t="s">
        <v>767</v>
      </c>
      <c r="G220" s="8" t="str">
        <f t="shared" si="3"/>
        <v>YANG JAN</v>
      </c>
    </row>
    <row r="221" spans="1:7" x14ac:dyDescent="0.25">
      <c r="A221" s="8">
        <v>42813.9534375</v>
      </c>
      <c r="B221" s="20" t="s">
        <v>229</v>
      </c>
      <c r="C221" s="20" t="s">
        <v>785</v>
      </c>
      <c r="D221" s="150">
        <v>1800000</v>
      </c>
      <c r="E221" s="20" t="s">
        <v>732</v>
      </c>
      <c r="F221" s="20" t="s">
        <v>733</v>
      </c>
      <c r="G221" s="8" t="str">
        <f t="shared" si="3"/>
        <v>CHANDLER KELVIN</v>
      </c>
    </row>
    <row r="222" spans="1:7" x14ac:dyDescent="0.25">
      <c r="A222" s="8">
        <v>42813.974733796298</v>
      </c>
      <c r="B222" s="20" t="s">
        <v>460</v>
      </c>
      <c r="C222" s="20" t="s">
        <v>786</v>
      </c>
      <c r="D222" s="150">
        <v>2000000</v>
      </c>
      <c r="E222" s="20" t="s">
        <v>406</v>
      </c>
      <c r="F222" s="20" t="s">
        <v>194</v>
      </c>
      <c r="G222" s="8" t="str">
        <f t="shared" si="3"/>
        <v>STAMBAUGH JAMES</v>
      </c>
    </row>
    <row r="223" spans="1:7" x14ac:dyDescent="0.25">
      <c r="A223" s="8">
        <v>42813.976909722223</v>
      </c>
      <c r="B223" s="20" t="s">
        <v>402</v>
      </c>
      <c r="C223" s="20" t="s">
        <v>787</v>
      </c>
      <c r="D223" s="150">
        <v>1810000</v>
      </c>
      <c r="E223" s="20" t="s">
        <v>761</v>
      </c>
      <c r="F223" s="20" t="s">
        <v>194</v>
      </c>
      <c r="G223" s="8" t="str">
        <f t="shared" si="3"/>
        <v>NEWELL JAMES</v>
      </c>
    </row>
    <row r="224" spans="1:7" x14ac:dyDescent="0.25">
      <c r="A224" s="8">
        <v>42813.992997685185</v>
      </c>
      <c r="B224" t="s">
        <v>425</v>
      </c>
      <c r="C224" t="s">
        <v>605</v>
      </c>
      <c r="D224" s="150">
        <v>2230000</v>
      </c>
      <c r="E224" t="s">
        <v>445</v>
      </c>
      <c r="F224" s="20" t="s">
        <v>197</v>
      </c>
      <c r="G224" s="8" t="str">
        <f t="shared" si="3"/>
        <v>SMITH MICHAEL</v>
      </c>
    </row>
    <row r="225" spans="1:7" x14ac:dyDescent="0.25">
      <c r="A225" s="8">
        <v>42813.993009259262</v>
      </c>
      <c r="B225" t="s">
        <v>591</v>
      </c>
      <c r="C225" t="s">
        <v>788</v>
      </c>
      <c r="D225" s="150">
        <v>1800000</v>
      </c>
      <c r="E225" t="s">
        <v>732</v>
      </c>
      <c r="F225" s="20" t="s">
        <v>733</v>
      </c>
      <c r="G225" s="8" t="str">
        <f t="shared" si="3"/>
        <v>CHANDLER KELVIN</v>
      </c>
    </row>
    <row r="226" spans="1:7" x14ac:dyDescent="0.25">
      <c r="A226" s="8">
        <v>42813.994664351849</v>
      </c>
      <c r="B226" t="s">
        <v>425</v>
      </c>
      <c r="C226" t="s">
        <v>605</v>
      </c>
      <c r="D226" s="150">
        <v>2230000</v>
      </c>
      <c r="E226" t="s">
        <v>445</v>
      </c>
      <c r="F226" s="20" t="s">
        <v>197</v>
      </c>
      <c r="G226" s="8" t="str">
        <f t="shared" si="3"/>
        <v>SMITH MICHAEL</v>
      </c>
    </row>
    <row r="227" spans="1:7" x14ac:dyDescent="0.25">
      <c r="A227" s="8">
        <v>42814.005023148151</v>
      </c>
      <c r="B227" t="s">
        <v>464</v>
      </c>
      <c r="C227" t="s">
        <v>789</v>
      </c>
      <c r="D227" s="150">
        <v>2000000</v>
      </c>
      <c r="E227" t="s">
        <v>406</v>
      </c>
      <c r="F227" s="20" t="s">
        <v>194</v>
      </c>
      <c r="G227" s="8" t="str">
        <f t="shared" si="3"/>
        <v>STAMBAUGH JAMES</v>
      </c>
    </row>
    <row r="228" spans="1:7" x14ac:dyDescent="0.25">
      <c r="A228" s="8">
        <v>42814.007685185185</v>
      </c>
      <c r="B228" t="s">
        <v>771</v>
      </c>
      <c r="C228" t="s">
        <v>772</v>
      </c>
      <c r="D228" s="150">
        <v>2730000</v>
      </c>
      <c r="E228" t="s">
        <v>766</v>
      </c>
      <c r="F228" s="20" t="s">
        <v>767</v>
      </c>
      <c r="G228" s="8" t="str">
        <f t="shared" si="3"/>
        <v>YANG JAN</v>
      </c>
    </row>
    <row r="229" spans="1:7" x14ac:dyDescent="0.25">
      <c r="A229" s="8">
        <v>42814.014861111114</v>
      </c>
      <c r="B229" t="s">
        <v>403</v>
      </c>
      <c r="C229" t="s">
        <v>790</v>
      </c>
      <c r="D229" s="150">
        <v>1810000</v>
      </c>
      <c r="E229" t="s">
        <v>761</v>
      </c>
      <c r="F229" s="20" t="s">
        <v>194</v>
      </c>
      <c r="G229" s="8" t="str">
        <f t="shared" si="3"/>
        <v>NEWELL JAMES</v>
      </c>
    </row>
    <row r="230" spans="1:7" x14ac:dyDescent="0.25">
      <c r="A230" s="8">
        <v>42814.028854166667</v>
      </c>
      <c r="B230" t="s">
        <v>229</v>
      </c>
      <c r="C230" t="s">
        <v>791</v>
      </c>
      <c r="D230" s="150">
        <v>1800000</v>
      </c>
      <c r="E230" t="s">
        <v>732</v>
      </c>
      <c r="F230" s="20" t="s">
        <v>733</v>
      </c>
      <c r="G230" s="8" t="str">
        <f t="shared" si="3"/>
        <v>CHANDLER KELVIN</v>
      </c>
    </row>
    <row r="231" spans="1:7" x14ac:dyDescent="0.25">
      <c r="A231" s="8">
        <v>42814.030358796299</v>
      </c>
      <c r="B231" t="s">
        <v>421</v>
      </c>
      <c r="C231" t="s">
        <v>792</v>
      </c>
      <c r="D231" s="150">
        <v>2230000</v>
      </c>
      <c r="E231" t="s">
        <v>445</v>
      </c>
      <c r="F231" s="20" t="s">
        <v>197</v>
      </c>
      <c r="G231" s="8" t="str">
        <f t="shared" si="3"/>
        <v>SMITH MICHAEL</v>
      </c>
    </row>
    <row r="232" spans="1:7" x14ac:dyDescent="0.25">
      <c r="A232" s="8">
        <v>42814.039085648146</v>
      </c>
      <c r="B232" t="s">
        <v>601</v>
      </c>
      <c r="C232" t="s">
        <v>602</v>
      </c>
      <c r="D232" s="150">
        <v>2730000</v>
      </c>
      <c r="E232" t="s">
        <v>766</v>
      </c>
      <c r="F232" s="20" t="s">
        <v>767</v>
      </c>
      <c r="G232" s="8" t="str">
        <f t="shared" si="3"/>
        <v>YANG JAN</v>
      </c>
    </row>
    <row r="233" spans="1:7" x14ac:dyDescent="0.25">
      <c r="A233" s="8">
        <v>42814.047395833331</v>
      </c>
      <c r="B233" t="s">
        <v>402</v>
      </c>
      <c r="C233" t="s">
        <v>793</v>
      </c>
      <c r="D233" s="150">
        <v>1810000</v>
      </c>
      <c r="E233" t="s">
        <v>761</v>
      </c>
      <c r="F233" s="20" t="s">
        <v>194</v>
      </c>
      <c r="G233" s="8" t="str">
        <f t="shared" si="3"/>
        <v>NEWELL JAMES</v>
      </c>
    </row>
    <row r="234" spans="1:7" x14ac:dyDescent="0.25">
      <c r="A234" s="8">
        <v>42814.058541666665</v>
      </c>
      <c r="B234" t="s">
        <v>460</v>
      </c>
      <c r="C234" t="s">
        <v>794</v>
      </c>
      <c r="D234" s="150">
        <v>2000000</v>
      </c>
      <c r="E234" t="s">
        <v>406</v>
      </c>
      <c r="F234" s="20" t="s">
        <v>194</v>
      </c>
      <c r="G234" s="8" t="str">
        <f t="shared" si="3"/>
        <v>STAMBAUGH JAMES</v>
      </c>
    </row>
    <row r="235" spans="1:7" x14ac:dyDescent="0.25">
      <c r="A235" s="8">
        <v>42814.069826388892</v>
      </c>
      <c r="B235" t="s">
        <v>425</v>
      </c>
      <c r="C235" t="s">
        <v>795</v>
      </c>
      <c r="D235" s="150">
        <v>2230000</v>
      </c>
      <c r="E235" t="s">
        <v>445</v>
      </c>
      <c r="F235" s="20" t="s">
        <v>197</v>
      </c>
      <c r="G235" s="8" t="str">
        <f t="shared" si="3"/>
        <v>SMITH MICHAEL</v>
      </c>
    </row>
    <row r="236" spans="1:7" x14ac:dyDescent="0.25">
      <c r="A236" s="8">
        <v>42814.074317129627</v>
      </c>
      <c r="B236" t="s">
        <v>771</v>
      </c>
      <c r="C236" t="s">
        <v>772</v>
      </c>
      <c r="D236" s="150">
        <v>2730000</v>
      </c>
      <c r="E236" t="s">
        <v>766</v>
      </c>
      <c r="F236" s="20" t="s">
        <v>767</v>
      </c>
      <c r="G236" s="8" t="str">
        <f t="shared" si="3"/>
        <v>YANG JAN</v>
      </c>
    </row>
    <row r="237" spans="1:7" x14ac:dyDescent="0.25">
      <c r="A237" s="8">
        <v>42814.087789351855</v>
      </c>
      <c r="B237" t="s">
        <v>464</v>
      </c>
      <c r="C237" t="s">
        <v>796</v>
      </c>
      <c r="D237" s="150">
        <v>2000000</v>
      </c>
      <c r="E237" t="s">
        <v>406</v>
      </c>
      <c r="F237" s="20" t="s">
        <v>194</v>
      </c>
      <c r="G237" s="8" t="str">
        <f t="shared" si="3"/>
        <v>STAMBAUGH JAMES</v>
      </c>
    </row>
    <row r="238" spans="1:7" x14ac:dyDescent="0.25">
      <c r="A238" s="8">
        <v>42812.832025462965</v>
      </c>
      <c r="B238" t="s">
        <v>404</v>
      </c>
      <c r="C238" t="s">
        <v>488</v>
      </c>
      <c r="D238" s="150">
        <v>2270000</v>
      </c>
      <c r="E238" t="s">
        <v>209</v>
      </c>
      <c r="F238" s="20" t="s">
        <v>210</v>
      </c>
      <c r="G238" s="8" t="str">
        <f t="shared" si="3"/>
        <v>BROWN JACOB</v>
      </c>
    </row>
    <row r="239" spans="1:7" x14ac:dyDescent="0.25">
      <c r="A239" s="8">
        <v>42812.833148148151</v>
      </c>
      <c r="B239" t="s">
        <v>404</v>
      </c>
      <c r="C239" t="s">
        <v>488</v>
      </c>
      <c r="D239" s="150">
        <v>2270000</v>
      </c>
      <c r="E239" t="s">
        <v>209</v>
      </c>
      <c r="F239" s="20" t="s">
        <v>210</v>
      </c>
      <c r="G239" s="8" t="str">
        <f t="shared" si="3"/>
        <v>BROWN JACOB</v>
      </c>
    </row>
    <row r="240" spans="1:7" x14ac:dyDescent="0.25">
      <c r="A240" s="8">
        <v>42812.83488425926</v>
      </c>
      <c r="B240" t="s">
        <v>419</v>
      </c>
      <c r="C240" t="s">
        <v>487</v>
      </c>
      <c r="D240" s="150">
        <v>2450000</v>
      </c>
      <c r="E240" t="s">
        <v>501</v>
      </c>
      <c r="F240" s="20" t="s">
        <v>502</v>
      </c>
      <c r="G240" s="8" t="str">
        <f t="shared" si="3"/>
        <v>NELSON ARIANE</v>
      </c>
    </row>
    <row r="241" spans="1:7" x14ac:dyDescent="0.25">
      <c r="A241" s="8">
        <v>42812.835011574076</v>
      </c>
      <c r="B241" t="s">
        <v>200</v>
      </c>
      <c r="C241" t="s">
        <v>503</v>
      </c>
      <c r="D241" s="150">
        <v>2230000</v>
      </c>
      <c r="E241" t="s">
        <v>445</v>
      </c>
      <c r="F241" s="20" t="s">
        <v>197</v>
      </c>
      <c r="G241" s="8" t="str">
        <f t="shared" si="3"/>
        <v>SMITH MICHAEL</v>
      </c>
    </row>
    <row r="242" spans="1:7" x14ac:dyDescent="0.25">
      <c r="A242" s="8">
        <v>42812.843414351853</v>
      </c>
      <c r="B242" t="s">
        <v>461</v>
      </c>
      <c r="C242" t="s">
        <v>486</v>
      </c>
      <c r="D242" s="150">
        <v>2560000</v>
      </c>
      <c r="E242" t="s">
        <v>504</v>
      </c>
      <c r="F242" s="20" t="s">
        <v>505</v>
      </c>
      <c r="G242" s="8" t="str">
        <f t="shared" si="3"/>
        <v>MACDONALD THOMAS</v>
      </c>
    </row>
    <row r="243" spans="1:7" x14ac:dyDescent="0.25">
      <c r="A243" s="8">
        <v>42812.843518518515</v>
      </c>
      <c r="B243" t="s">
        <v>419</v>
      </c>
      <c r="C243" t="s">
        <v>487</v>
      </c>
      <c r="D243" s="150">
        <v>2450000</v>
      </c>
      <c r="E243" t="s">
        <v>501</v>
      </c>
      <c r="F243" s="20" t="s">
        <v>502</v>
      </c>
      <c r="G243" s="8" t="str">
        <f t="shared" si="3"/>
        <v>NELSON ARIANE</v>
      </c>
    </row>
    <row r="244" spans="1:7" x14ac:dyDescent="0.25">
      <c r="A244" s="8">
        <v>42812.844050925924</v>
      </c>
      <c r="B244" t="s">
        <v>461</v>
      </c>
      <c r="C244" t="s">
        <v>486</v>
      </c>
      <c r="D244" s="150">
        <v>2560000</v>
      </c>
      <c r="E244" t="s">
        <v>504</v>
      </c>
      <c r="F244" s="20" t="s">
        <v>505</v>
      </c>
      <c r="G244" s="8" t="str">
        <f t="shared" si="3"/>
        <v>MACDONALD THOMAS</v>
      </c>
    </row>
    <row r="245" spans="1:7" x14ac:dyDescent="0.25">
      <c r="A245" s="8">
        <v>42812.844965277778</v>
      </c>
      <c r="B245" t="s">
        <v>461</v>
      </c>
      <c r="C245" t="s">
        <v>486</v>
      </c>
      <c r="D245" s="150">
        <v>2560000</v>
      </c>
      <c r="E245" t="s">
        <v>504</v>
      </c>
      <c r="F245" s="20" t="s">
        <v>505</v>
      </c>
      <c r="G245" s="8" t="str">
        <f t="shared" si="3"/>
        <v>MACDONALD THOMAS</v>
      </c>
    </row>
    <row r="246" spans="1:7" x14ac:dyDescent="0.25">
      <c r="A246" s="8">
        <v>42812.846030092594</v>
      </c>
      <c r="B246" t="s">
        <v>443</v>
      </c>
      <c r="C246" t="s">
        <v>506</v>
      </c>
      <c r="D246" s="150">
        <v>1540000</v>
      </c>
      <c r="E246" t="s">
        <v>426</v>
      </c>
      <c r="F246" s="20" t="s">
        <v>427</v>
      </c>
      <c r="G246" s="8" t="str">
        <f t="shared" si="3"/>
        <v>HELVIE ADAM</v>
      </c>
    </row>
    <row r="247" spans="1:7" x14ac:dyDescent="0.25">
      <c r="A247" s="8">
        <v>42812.85119212963</v>
      </c>
      <c r="B247" t="s">
        <v>483</v>
      </c>
      <c r="C247" t="s">
        <v>489</v>
      </c>
      <c r="D247" s="150">
        <v>2230000</v>
      </c>
      <c r="E247" t="s">
        <v>445</v>
      </c>
      <c r="F247" s="20" t="s">
        <v>197</v>
      </c>
      <c r="G247" s="8" t="str">
        <f t="shared" si="3"/>
        <v>SMITH MICHAEL</v>
      </c>
    </row>
    <row r="248" spans="1:7" x14ac:dyDescent="0.25">
      <c r="A248" s="8">
        <v>42812.852048611108</v>
      </c>
      <c r="B248" t="s">
        <v>483</v>
      </c>
      <c r="C248" t="s">
        <v>489</v>
      </c>
      <c r="D248" s="150">
        <v>2230000</v>
      </c>
      <c r="E248" t="s">
        <v>445</v>
      </c>
      <c r="F248" s="20" t="s">
        <v>197</v>
      </c>
      <c r="G248" s="8" t="str">
        <f t="shared" si="3"/>
        <v>SMITH MICHAEL</v>
      </c>
    </row>
    <row r="249" spans="1:7" x14ac:dyDescent="0.25">
      <c r="A249" s="8">
        <v>42812.852372685185</v>
      </c>
      <c r="B249" t="s">
        <v>412</v>
      </c>
      <c r="C249" t="s">
        <v>490</v>
      </c>
      <c r="D249" s="150">
        <v>2630000</v>
      </c>
      <c r="E249" t="s">
        <v>468</v>
      </c>
      <c r="F249" s="20" t="s">
        <v>469</v>
      </c>
      <c r="G249" s="8" t="str">
        <f t="shared" si="3"/>
        <v>SAFIEF AEIMEN</v>
      </c>
    </row>
    <row r="250" spans="1:7" x14ac:dyDescent="0.25">
      <c r="A250" s="8">
        <v>42812.853321759256</v>
      </c>
      <c r="B250" t="s">
        <v>483</v>
      </c>
      <c r="C250" t="s">
        <v>489</v>
      </c>
      <c r="D250" s="150">
        <v>2230000</v>
      </c>
      <c r="E250" t="s">
        <v>445</v>
      </c>
      <c r="F250" s="20" t="s">
        <v>197</v>
      </c>
      <c r="G250" s="8" t="str">
        <f t="shared" si="3"/>
        <v>SMITH MICHAEL</v>
      </c>
    </row>
    <row r="251" spans="1:7" x14ac:dyDescent="0.25">
      <c r="A251" s="8">
        <v>42812.854247685187</v>
      </c>
      <c r="B251" t="s">
        <v>483</v>
      </c>
      <c r="C251" t="s">
        <v>489</v>
      </c>
      <c r="D251" s="150">
        <v>2230000</v>
      </c>
      <c r="E251" t="s">
        <v>445</v>
      </c>
      <c r="F251" s="20" t="s">
        <v>197</v>
      </c>
      <c r="G251" s="8" t="str">
        <f t="shared" si="3"/>
        <v>SMITH MICHAEL</v>
      </c>
    </row>
    <row r="252" spans="1:7" x14ac:dyDescent="0.25">
      <c r="A252" s="8">
        <v>42812.859027777777</v>
      </c>
      <c r="B252" t="s">
        <v>420</v>
      </c>
      <c r="C252" t="s">
        <v>507</v>
      </c>
      <c r="D252" s="150">
        <v>2450000</v>
      </c>
      <c r="E252" t="s">
        <v>501</v>
      </c>
      <c r="F252" s="20" t="s">
        <v>502</v>
      </c>
      <c r="G252" s="8" t="str">
        <f t="shared" si="3"/>
        <v>NELSON ARIANE</v>
      </c>
    </row>
    <row r="253" spans="1:7" x14ac:dyDescent="0.25">
      <c r="A253" s="8">
        <v>42812.859166666669</v>
      </c>
      <c r="B253" t="s">
        <v>440</v>
      </c>
      <c r="C253" t="s">
        <v>508</v>
      </c>
      <c r="D253" s="150">
        <v>1540000</v>
      </c>
      <c r="E253" t="s">
        <v>426</v>
      </c>
      <c r="F253" s="20" t="s">
        <v>427</v>
      </c>
      <c r="G253" s="8" t="str">
        <f t="shared" si="3"/>
        <v>HELVIE ADAM</v>
      </c>
    </row>
    <row r="254" spans="1:7" x14ac:dyDescent="0.25">
      <c r="A254" s="8">
        <v>42812.88082175926</v>
      </c>
      <c r="B254" t="s">
        <v>459</v>
      </c>
      <c r="C254" t="s">
        <v>509</v>
      </c>
      <c r="D254" s="150">
        <v>2150000</v>
      </c>
      <c r="E254" t="s">
        <v>394</v>
      </c>
      <c r="F254" s="20" t="s">
        <v>395</v>
      </c>
      <c r="G254" s="8" t="str">
        <f t="shared" si="3"/>
        <v>SWANSON BRYCE</v>
      </c>
    </row>
    <row r="255" spans="1:7" x14ac:dyDescent="0.25">
      <c r="A255" s="8">
        <v>42812.881689814814</v>
      </c>
      <c r="B255" t="s">
        <v>459</v>
      </c>
      <c r="C255" t="s">
        <v>509</v>
      </c>
      <c r="D255" s="150">
        <v>2150000</v>
      </c>
      <c r="E255" t="s">
        <v>394</v>
      </c>
      <c r="F255" s="20" t="s">
        <v>395</v>
      </c>
      <c r="G255" s="8" t="str">
        <f t="shared" si="3"/>
        <v>SWANSON BRYCE</v>
      </c>
    </row>
    <row r="256" spans="1:7" x14ac:dyDescent="0.25">
      <c r="A256" s="8">
        <v>42812.886805555558</v>
      </c>
      <c r="B256" t="s">
        <v>462</v>
      </c>
      <c r="C256" t="s">
        <v>510</v>
      </c>
      <c r="D256" s="150">
        <v>2560000</v>
      </c>
      <c r="E256" t="s">
        <v>504</v>
      </c>
      <c r="F256" s="20" t="s">
        <v>505</v>
      </c>
      <c r="G256" s="8" t="str">
        <f t="shared" si="3"/>
        <v>MACDONALD THOMAS</v>
      </c>
    </row>
    <row r="257" spans="1:7" x14ac:dyDescent="0.25">
      <c r="A257" s="8">
        <v>42812.88863425926</v>
      </c>
      <c r="B257" t="s">
        <v>443</v>
      </c>
      <c r="C257" t="s">
        <v>511</v>
      </c>
      <c r="D257" s="150">
        <v>1540000</v>
      </c>
      <c r="E257" t="s">
        <v>426</v>
      </c>
      <c r="F257" s="20" t="s">
        <v>427</v>
      </c>
      <c r="G257" s="8" t="str">
        <f t="shared" si="3"/>
        <v>HELVIE ADAM</v>
      </c>
    </row>
    <row r="258" spans="1:7" x14ac:dyDescent="0.25">
      <c r="A258" s="8">
        <v>42812.889756944445</v>
      </c>
      <c r="B258" t="s">
        <v>462</v>
      </c>
      <c r="C258" t="s">
        <v>512</v>
      </c>
      <c r="D258" s="150">
        <v>2560000</v>
      </c>
      <c r="E258" t="s">
        <v>504</v>
      </c>
      <c r="F258" s="20" t="s">
        <v>505</v>
      </c>
      <c r="G258" s="8" t="str">
        <f t="shared" si="3"/>
        <v>MACDONALD THOMAS</v>
      </c>
    </row>
    <row r="259" spans="1:7" x14ac:dyDescent="0.25">
      <c r="A259" s="8">
        <v>42812.890347222223</v>
      </c>
      <c r="B259" t="s">
        <v>462</v>
      </c>
      <c r="C259" t="s">
        <v>512</v>
      </c>
      <c r="D259" s="150">
        <v>2560000</v>
      </c>
      <c r="E259" t="s">
        <v>504</v>
      </c>
      <c r="F259" s="20" t="s">
        <v>505</v>
      </c>
      <c r="G259" s="8" t="str">
        <f t="shared" ref="G259:G322" si="4">E259&amp;" "&amp;F259</f>
        <v>MACDONALD THOMAS</v>
      </c>
    </row>
    <row r="260" spans="1:7" x14ac:dyDescent="0.25">
      <c r="A260" s="8">
        <v>42812.891099537039</v>
      </c>
      <c r="B260" t="s">
        <v>462</v>
      </c>
      <c r="C260" t="s">
        <v>512</v>
      </c>
      <c r="D260" s="150">
        <v>2560000</v>
      </c>
      <c r="E260" t="s">
        <v>504</v>
      </c>
      <c r="F260" s="20" t="s">
        <v>505</v>
      </c>
      <c r="G260" s="8" t="str">
        <f t="shared" si="4"/>
        <v>MACDONALD THOMAS</v>
      </c>
    </row>
    <row r="261" spans="1:7" x14ac:dyDescent="0.25">
      <c r="A261" s="8">
        <v>42812.892951388887</v>
      </c>
      <c r="B261" t="s">
        <v>462</v>
      </c>
      <c r="C261" t="s">
        <v>512</v>
      </c>
      <c r="D261" s="150">
        <v>2560000</v>
      </c>
      <c r="E261" t="s">
        <v>504</v>
      </c>
      <c r="F261" s="20" t="s">
        <v>505</v>
      </c>
      <c r="G261" s="8" t="str">
        <f t="shared" si="4"/>
        <v>MACDONALD THOMAS</v>
      </c>
    </row>
    <row r="262" spans="1:7" x14ac:dyDescent="0.25">
      <c r="A262" s="8">
        <v>42812.901053240741</v>
      </c>
      <c r="B262" t="s">
        <v>440</v>
      </c>
      <c r="C262" t="s">
        <v>513</v>
      </c>
      <c r="D262" s="150">
        <v>1540000</v>
      </c>
      <c r="E262" t="s">
        <v>426</v>
      </c>
      <c r="F262" s="20" t="s">
        <v>427</v>
      </c>
      <c r="G262" s="8" t="str">
        <f t="shared" si="4"/>
        <v>HELVIE ADAM</v>
      </c>
    </row>
    <row r="263" spans="1:7" x14ac:dyDescent="0.25">
      <c r="A263" s="8">
        <v>42812.901053240741</v>
      </c>
      <c r="B263" t="s">
        <v>200</v>
      </c>
      <c r="C263" t="s">
        <v>514</v>
      </c>
      <c r="D263" s="150">
        <v>2230000</v>
      </c>
      <c r="E263" t="s">
        <v>445</v>
      </c>
      <c r="F263" s="20" t="s">
        <v>197</v>
      </c>
      <c r="G263" s="8" t="str">
        <f t="shared" si="4"/>
        <v>SMITH MICHAEL</v>
      </c>
    </row>
    <row r="264" spans="1:7" x14ac:dyDescent="0.25">
      <c r="A264" s="8">
        <v>42812.911840277775</v>
      </c>
      <c r="B264" t="s">
        <v>405</v>
      </c>
      <c r="C264" t="s">
        <v>515</v>
      </c>
      <c r="D264" s="150">
        <v>2270000</v>
      </c>
      <c r="E264" t="s">
        <v>209</v>
      </c>
      <c r="F264" s="20" t="s">
        <v>210</v>
      </c>
      <c r="G264" s="8" t="str">
        <f t="shared" si="4"/>
        <v>BROWN JACOB</v>
      </c>
    </row>
    <row r="265" spans="1:7" x14ac:dyDescent="0.25">
      <c r="A265" s="8">
        <v>42812.926099537035</v>
      </c>
      <c r="B265" t="s">
        <v>443</v>
      </c>
      <c r="C265" t="s">
        <v>516</v>
      </c>
      <c r="D265" s="150">
        <v>1540000</v>
      </c>
      <c r="E265" t="s">
        <v>426</v>
      </c>
      <c r="F265" s="20" t="s">
        <v>427</v>
      </c>
      <c r="G265" s="8" t="str">
        <f t="shared" si="4"/>
        <v>HELVIE ADAM</v>
      </c>
    </row>
    <row r="266" spans="1:7" x14ac:dyDescent="0.25">
      <c r="A266" s="8">
        <v>42812.931909722225</v>
      </c>
      <c r="B266" t="s">
        <v>462</v>
      </c>
      <c r="C266" t="s">
        <v>512</v>
      </c>
      <c r="D266" s="150">
        <v>2560000</v>
      </c>
      <c r="E266" t="s">
        <v>504</v>
      </c>
      <c r="F266" s="20" t="s">
        <v>505</v>
      </c>
      <c r="G266" s="8" t="str">
        <f t="shared" si="4"/>
        <v>MACDONALD THOMAS</v>
      </c>
    </row>
    <row r="267" spans="1:7" x14ac:dyDescent="0.25">
      <c r="A267" s="8">
        <v>42812.935150462959</v>
      </c>
      <c r="B267" t="s">
        <v>463</v>
      </c>
      <c r="C267" t="s">
        <v>517</v>
      </c>
      <c r="D267" s="150">
        <v>2150000</v>
      </c>
      <c r="E267" t="s">
        <v>394</v>
      </c>
      <c r="F267" s="20" t="s">
        <v>395</v>
      </c>
      <c r="G267" s="8" t="str">
        <f t="shared" si="4"/>
        <v>SWANSON BRYCE</v>
      </c>
    </row>
    <row r="268" spans="1:7" x14ac:dyDescent="0.25">
      <c r="A268" s="8">
        <v>42812.938842592594</v>
      </c>
      <c r="B268" t="s">
        <v>413</v>
      </c>
      <c r="C268" t="s">
        <v>518</v>
      </c>
      <c r="D268" s="150">
        <v>2000000</v>
      </c>
      <c r="E268" t="s">
        <v>406</v>
      </c>
      <c r="F268" s="20" t="s">
        <v>194</v>
      </c>
      <c r="G268" s="8" t="str">
        <f t="shared" si="4"/>
        <v>STAMBAUGH JAMES</v>
      </c>
    </row>
    <row r="269" spans="1:7" x14ac:dyDescent="0.25">
      <c r="A269" s="8">
        <v>42812.942025462966</v>
      </c>
      <c r="B269" t="s">
        <v>440</v>
      </c>
      <c r="C269" t="s">
        <v>519</v>
      </c>
      <c r="D269" s="150">
        <v>1540000</v>
      </c>
      <c r="E269" t="s">
        <v>426</v>
      </c>
      <c r="F269" s="20" t="s">
        <v>427</v>
      </c>
      <c r="G269" s="8" t="str">
        <f t="shared" si="4"/>
        <v>HELVIE ADAM</v>
      </c>
    </row>
    <row r="270" spans="1:7" x14ac:dyDescent="0.25">
      <c r="A270" s="8">
        <v>42812.965555555558</v>
      </c>
      <c r="B270" t="s">
        <v>443</v>
      </c>
      <c r="C270" t="s">
        <v>520</v>
      </c>
      <c r="D270" s="150">
        <v>2630000</v>
      </c>
      <c r="E270" t="s">
        <v>468</v>
      </c>
      <c r="F270" s="20" t="s">
        <v>469</v>
      </c>
      <c r="G270" s="8" t="str">
        <f t="shared" si="4"/>
        <v>SAFIEF AEIMEN</v>
      </c>
    </row>
    <row r="271" spans="1:7" x14ac:dyDescent="0.25">
      <c r="A271" s="8">
        <v>42812.968553240738</v>
      </c>
      <c r="B271" t="s">
        <v>413</v>
      </c>
      <c r="C271" t="s">
        <v>518</v>
      </c>
      <c r="D271" s="150">
        <v>2000000</v>
      </c>
      <c r="E271" t="s">
        <v>406</v>
      </c>
      <c r="F271" s="20" t="s">
        <v>194</v>
      </c>
      <c r="G271" s="8" t="str">
        <f t="shared" si="4"/>
        <v>STAMBAUGH JAMES</v>
      </c>
    </row>
    <row r="272" spans="1:7" x14ac:dyDescent="0.25">
      <c r="A272" s="8">
        <v>42812.978981481479</v>
      </c>
      <c r="B272" t="s">
        <v>200</v>
      </c>
      <c r="C272" t="s">
        <v>514</v>
      </c>
      <c r="D272" s="150">
        <v>2230000</v>
      </c>
      <c r="E272" t="s">
        <v>445</v>
      </c>
      <c r="F272" s="20" t="s">
        <v>197</v>
      </c>
      <c r="G272" s="8" t="str">
        <f t="shared" si="4"/>
        <v>SMITH MICHAEL</v>
      </c>
    </row>
    <row r="273" spans="1:7" x14ac:dyDescent="0.25">
      <c r="A273" s="8">
        <v>42812.988240740742</v>
      </c>
      <c r="B273" t="s">
        <v>404</v>
      </c>
      <c r="C273" t="s">
        <v>491</v>
      </c>
      <c r="D273" s="150">
        <v>2270000</v>
      </c>
      <c r="E273" t="s">
        <v>209</v>
      </c>
      <c r="F273" s="20" t="s">
        <v>210</v>
      </c>
      <c r="G273" s="8" t="str">
        <f t="shared" si="4"/>
        <v>BROWN JACOB</v>
      </c>
    </row>
    <row r="274" spans="1:7" x14ac:dyDescent="0.25">
      <c r="A274" s="8">
        <v>42812.990706018521</v>
      </c>
      <c r="B274" t="s">
        <v>440</v>
      </c>
      <c r="C274" t="s">
        <v>521</v>
      </c>
      <c r="D274" s="150">
        <v>2630000</v>
      </c>
      <c r="E274" t="s">
        <v>468</v>
      </c>
      <c r="F274" s="20" t="s">
        <v>469</v>
      </c>
      <c r="G274" s="8" t="str">
        <f t="shared" si="4"/>
        <v>SAFIEF AEIMEN</v>
      </c>
    </row>
    <row r="275" spans="1:7" x14ac:dyDescent="0.25">
      <c r="A275" s="8">
        <v>42812.991481481484</v>
      </c>
      <c r="B275" t="s">
        <v>404</v>
      </c>
      <c r="C275" t="s">
        <v>491</v>
      </c>
      <c r="D275" s="150">
        <v>2270000</v>
      </c>
      <c r="E275" t="s">
        <v>209</v>
      </c>
      <c r="F275" s="20" t="s">
        <v>210</v>
      </c>
      <c r="G275" s="8" t="str">
        <f t="shared" si="4"/>
        <v>BROWN JACOB</v>
      </c>
    </row>
    <row r="276" spans="1:7" x14ac:dyDescent="0.25">
      <c r="A276" s="8">
        <v>42812.992361111108</v>
      </c>
      <c r="B276" t="s">
        <v>404</v>
      </c>
      <c r="C276" t="s">
        <v>491</v>
      </c>
      <c r="D276" s="150">
        <v>2270000</v>
      </c>
      <c r="E276" t="s">
        <v>209</v>
      </c>
      <c r="F276" s="20" t="s">
        <v>210</v>
      </c>
      <c r="G276" s="8" t="str">
        <f t="shared" si="4"/>
        <v>BROWN JACOB</v>
      </c>
    </row>
    <row r="277" spans="1:7" x14ac:dyDescent="0.25">
      <c r="A277" s="8">
        <v>42813.001851851855</v>
      </c>
      <c r="B277" t="s">
        <v>483</v>
      </c>
      <c r="C277" t="s">
        <v>522</v>
      </c>
      <c r="D277" s="150">
        <v>2230000</v>
      </c>
      <c r="E277" t="s">
        <v>445</v>
      </c>
      <c r="F277" s="20" t="s">
        <v>197</v>
      </c>
      <c r="G277" s="8" t="str">
        <f t="shared" si="4"/>
        <v>SMITH MICHAEL</v>
      </c>
    </row>
    <row r="278" spans="1:7" x14ac:dyDescent="0.25">
      <c r="A278" s="8">
        <v>42813.005509259259</v>
      </c>
      <c r="B278" t="s">
        <v>483</v>
      </c>
      <c r="C278" t="s">
        <v>523</v>
      </c>
      <c r="D278" s="150">
        <v>2230000</v>
      </c>
      <c r="E278" t="s">
        <v>445</v>
      </c>
      <c r="F278" s="20" t="s">
        <v>197</v>
      </c>
      <c r="G278" s="8" t="str">
        <f t="shared" si="4"/>
        <v>SMITH MICHAEL</v>
      </c>
    </row>
    <row r="279" spans="1:7" x14ac:dyDescent="0.25">
      <c r="A279" s="8">
        <v>42813.01185185185</v>
      </c>
      <c r="B279" t="s">
        <v>459</v>
      </c>
      <c r="C279" t="s">
        <v>492</v>
      </c>
      <c r="D279" s="150">
        <v>2150000</v>
      </c>
      <c r="E279" t="s">
        <v>394</v>
      </c>
      <c r="F279" s="20" t="s">
        <v>395</v>
      </c>
      <c r="G279" s="8" t="str">
        <f t="shared" si="4"/>
        <v>SWANSON BRYCE</v>
      </c>
    </row>
    <row r="280" spans="1:7" x14ac:dyDescent="0.25">
      <c r="A280" s="8">
        <v>42813.013032407405</v>
      </c>
      <c r="B280" t="s">
        <v>459</v>
      </c>
      <c r="C280" t="s">
        <v>492</v>
      </c>
      <c r="D280" s="150">
        <v>2150000</v>
      </c>
      <c r="E280" t="s">
        <v>394</v>
      </c>
      <c r="F280" s="20" t="s">
        <v>395</v>
      </c>
      <c r="G280" s="8" t="str">
        <f t="shared" si="4"/>
        <v>SWANSON BRYCE</v>
      </c>
    </row>
    <row r="281" spans="1:7" x14ac:dyDescent="0.25">
      <c r="A281" s="8">
        <v>42813.014224537037</v>
      </c>
      <c r="B281" t="s">
        <v>483</v>
      </c>
      <c r="C281" t="s">
        <v>523</v>
      </c>
      <c r="D281" s="150">
        <v>2230000</v>
      </c>
      <c r="E281" t="s">
        <v>445</v>
      </c>
      <c r="F281" s="20" t="s">
        <v>197</v>
      </c>
      <c r="G281" s="8" t="str">
        <f t="shared" si="4"/>
        <v>SMITH MICHAEL</v>
      </c>
    </row>
    <row r="282" spans="1:7" x14ac:dyDescent="0.25">
      <c r="A282" s="8">
        <v>42813.014872685184</v>
      </c>
      <c r="B282" t="s">
        <v>412</v>
      </c>
      <c r="C282" t="s">
        <v>524</v>
      </c>
      <c r="D282" s="150">
        <v>2000000</v>
      </c>
      <c r="E282" t="s">
        <v>406</v>
      </c>
      <c r="F282" s="20" t="s">
        <v>194</v>
      </c>
      <c r="G282" s="8" t="str">
        <f t="shared" si="4"/>
        <v>STAMBAUGH JAMES</v>
      </c>
    </row>
    <row r="283" spans="1:7" x14ac:dyDescent="0.25">
      <c r="A283" s="8">
        <v>42813.014965277776</v>
      </c>
      <c r="B283" t="s">
        <v>483</v>
      </c>
      <c r="C283" t="s">
        <v>523</v>
      </c>
      <c r="D283" s="150">
        <v>2230000</v>
      </c>
      <c r="E283" t="s">
        <v>445</v>
      </c>
      <c r="F283" s="20" t="s">
        <v>197</v>
      </c>
      <c r="G283" s="8" t="str">
        <f t="shared" si="4"/>
        <v>SMITH MICHAEL</v>
      </c>
    </row>
    <row r="284" spans="1:7" x14ac:dyDescent="0.25">
      <c r="A284" s="8">
        <v>42813.018391203703</v>
      </c>
      <c r="B284" t="s">
        <v>461</v>
      </c>
      <c r="C284" t="s">
        <v>525</v>
      </c>
      <c r="D284" s="150">
        <v>2560000</v>
      </c>
      <c r="E284" t="s">
        <v>504</v>
      </c>
      <c r="F284" s="20" t="s">
        <v>505</v>
      </c>
      <c r="G284" s="8" t="str">
        <f t="shared" si="4"/>
        <v>MACDONALD THOMAS</v>
      </c>
    </row>
    <row r="285" spans="1:7" x14ac:dyDescent="0.25">
      <c r="A285" s="8">
        <v>42813.020914351851</v>
      </c>
      <c r="B285" t="s">
        <v>483</v>
      </c>
      <c r="C285" t="s">
        <v>523</v>
      </c>
      <c r="D285" s="150">
        <v>2230000</v>
      </c>
      <c r="E285" t="s">
        <v>445</v>
      </c>
      <c r="F285" s="20" t="s">
        <v>197</v>
      </c>
      <c r="G285" s="8" t="str">
        <f t="shared" si="4"/>
        <v>SMITH MICHAEL</v>
      </c>
    </row>
    <row r="286" spans="1:7" x14ac:dyDescent="0.25">
      <c r="A286" s="8">
        <v>42813.032476851855</v>
      </c>
      <c r="B286" t="s">
        <v>405</v>
      </c>
      <c r="C286" t="s">
        <v>526</v>
      </c>
      <c r="D286" s="150">
        <v>2270000</v>
      </c>
      <c r="E286" t="s">
        <v>209</v>
      </c>
      <c r="F286" s="20" t="s">
        <v>210</v>
      </c>
      <c r="G286" s="8" t="str">
        <f t="shared" si="4"/>
        <v>BROWN JACOB</v>
      </c>
    </row>
    <row r="287" spans="1:7" x14ac:dyDescent="0.25">
      <c r="A287" s="8">
        <v>42813.04420138889</v>
      </c>
      <c r="B287" t="s">
        <v>200</v>
      </c>
      <c r="C287" t="s">
        <v>527</v>
      </c>
      <c r="D287" s="150">
        <v>2230000</v>
      </c>
      <c r="E287" t="s">
        <v>445</v>
      </c>
      <c r="F287" s="20" t="s">
        <v>197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413</v>
      </c>
      <c r="C288" t="s">
        <v>528</v>
      </c>
      <c r="D288" s="150">
        <v>2000000</v>
      </c>
      <c r="E288" t="s">
        <v>406</v>
      </c>
      <c r="F288" s="20" t="s">
        <v>194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463</v>
      </c>
      <c r="C289" t="s">
        <v>529</v>
      </c>
      <c r="D289" s="150">
        <v>2150000</v>
      </c>
      <c r="E289" t="s">
        <v>394</v>
      </c>
      <c r="F289" s="20" t="s">
        <v>395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463</v>
      </c>
      <c r="C290" t="s">
        <v>529</v>
      </c>
      <c r="D290" s="150">
        <v>2150000</v>
      </c>
      <c r="E290" t="s">
        <v>394</v>
      </c>
      <c r="F290" s="20" t="s">
        <v>395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463</v>
      </c>
      <c r="C291" t="s">
        <v>529</v>
      </c>
      <c r="D291" s="150">
        <v>2150000</v>
      </c>
      <c r="E291" t="s">
        <v>394</v>
      </c>
      <c r="F291" s="20" t="s">
        <v>395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483</v>
      </c>
      <c r="C292" t="s">
        <v>530</v>
      </c>
      <c r="D292" s="150">
        <v>2230000</v>
      </c>
      <c r="E292" t="s">
        <v>445</v>
      </c>
      <c r="F292" s="20" t="s">
        <v>197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404</v>
      </c>
      <c r="C293" t="s">
        <v>531</v>
      </c>
      <c r="D293" s="150">
        <v>2270000</v>
      </c>
      <c r="E293" t="s">
        <v>209</v>
      </c>
      <c r="F293" s="20" t="s">
        <v>210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404</v>
      </c>
      <c r="C294" t="s">
        <v>531</v>
      </c>
      <c r="D294" s="150">
        <v>2270000</v>
      </c>
      <c r="E294" t="s">
        <v>209</v>
      </c>
      <c r="F294" s="20" t="s">
        <v>210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404</v>
      </c>
      <c r="C295" t="s">
        <v>531</v>
      </c>
      <c r="D295" s="150">
        <v>2270000</v>
      </c>
      <c r="E295" t="s">
        <v>209</v>
      </c>
      <c r="F295" s="20" t="s">
        <v>210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443</v>
      </c>
      <c r="C296" t="s">
        <v>532</v>
      </c>
      <c r="D296" s="150">
        <v>2150000</v>
      </c>
      <c r="E296" t="s">
        <v>394</v>
      </c>
      <c r="F296" s="20" t="s">
        <v>395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405</v>
      </c>
      <c r="C297" t="s">
        <v>533</v>
      </c>
      <c r="D297" s="150">
        <v>2270000</v>
      </c>
      <c r="E297" t="s">
        <v>209</v>
      </c>
      <c r="F297" s="20" t="s">
        <v>210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161</v>
      </c>
      <c r="B1" s="190" t="s">
        <v>164</v>
      </c>
      <c r="C1" s="190" t="s">
        <v>157</v>
      </c>
      <c r="D1" s="148" t="s">
        <v>169</v>
      </c>
      <c r="E1" s="190" t="s">
        <v>158</v>
      </c>
      <c r="F1" s="190" t="s">
        <v>156</v>
      </c>
      <c r="G1" s="190" t="s">
        <v>154</v>
      </c>
      <c r="H1" s="190" t="s">
        <v>167</v>
      </c>
      <c r="I1" s="190" t="s">
        <v>168</v>
      </c>
      <c r="J1" s="190" t="s">
        <v>162</v>
      </c>
      <c r="K1" s="190" t="s">
        <v>160</v>
      </c>
      <c r="L1" s="190" t="s">
        <v>155</v>
      </c>
      <c r="M1" s="190" t="s">
        <v>165</v>
      </c>
      <c r="N1" s="190" t="s">
        <v>159</v>
      </c>
      <c r="O1" s="190" t="s">
        <v>166</v>
      </c>
      <c r="P1" s="190" t="s">
        <v>163</v>
      </c>
      <c r="Q1"/>
      <c r="R1"/>
    </row>
    <row r="2" spans="1:18" x14ac:dyDescent="0.25">
      <c r="A2" s="168">
        <v>57.43</v>
      </c>
      <c r="B2" s="168">
        <v>0.55000000000000004</v>
      </c>
      <c r="C2" s="168">
        <v>24.62</v>
      </c>
      <c r="D2" s="8">
        <v>42813</v>
      </c>
      <c r="E2" s="168">
        <v>0.28000000000000003</v>
      </c>
      <c r="F2" s="168" t="s">
        <v>362</v>
      </c>
      <c r="G2" s="168">
        <v>309.45999999999998</v>
      </c>
      <c r="H2" s="168">
        <v>0</v>
      </c>
      <c r="I2" s="168">
        <v>0</v>
      </c>
      <c r="J2" s="168">
        <v>1015.28</v>
      </c>
      <c r="K2" s="168" t="s">
        <v>363</v>
      </c>
      <c r="L2" s="168">
        <v>57.43</v>
      </c>
      <c r="M2" s="168">
        <v>1489903200</v>
      </c>
      <c r="N2" s="168">
        <v>3.52</v>
      </c>
      <c r="O2" s="168">
        <v>248</v>
      </c>
      <c r="P2" s="168">
        <v>1.65</v>
      </c>
      <c r="Q2"/>
      <c r="R2"/>
    </row>
    <row r="3" spans="1:18" x14ac:dyDescent="0.25">
      <c r="A3" s="168">
        <v>56.24</v>
      </c>
      <c r="B3" s="168">
        <v>0.47</v>
      </c>
      <c r="C3" s="168">
        <v>25.55</v>
      </c>
      <c r="D3" s="8">
        <v>42813.041666666664</v>
      </c>
      <c r="E3" s="168">
        <v>0.3</v>
      </c>
      <c r="F3" s="168" t="s">
        <v>362</v>
      </c>
      <c r="G3" s="168">
        <v>308.69</v>
      </c>
      <c r="H3" s="168">
        <v>0</v>
      </c>
      <c r="I3" s="168">
        <v>0</v>
      </c>
      <c r="J3" s="168">
        <v>1015.96</v>
      </c>
      <c r="K3" s="168" t="s">
        <v>363</v>
      </c>
      <c r="L3" s="168">
        <v>56.24</v>
      </c>
      <c r="M3" s="168">
        <v>1489906800</v>
      </c>
      <c r="N3" s="168">
        <v>10</v>
      </c>
      <c r="O3" s="168">
        <v>217</v>
      </c>
      <c r="P3" s="168">
        <v>3.56</v>
      </c>
      <c r="Q3"/>
      <c r="R3"/>
    </row>
    <row r="4" spans="1:18" x14ac:dyDescent="0.25">
      <c r="A4" s="168">
        <v>53.91</v>
      </c>
      <c r="B4" s="168">
        <v>0.39</v>
      </c>
      <c r="C4" s="168">
        <v>23.71</v>
      </c>
      <c r="D4" s="8">
        <v>42813.083333333336</v>
      </c>
      <c r="E4" s="168">
        <v>0.31</v>
      </c>
      <c r="F4" s="168" t="s">
        <v>362</v>
      </c>
      <c r="G4" s="168">
        <v>307.93</v>
      </c>
      <c r="H4" s="168">
        <v>0</v>
      </c>
      <c r="I4" s="168">
        <v>0</v>
      </c>
      <c r="J4" s="168">
        <v>1016.51</v>
      </c>
      <c r="K4" s="168" t="s">
        <v>363</v>
      </c>
      <c r="L4" s="168">
        <v>53.91</v>
      </c>
      <c r="M4" s="168">
        <v>1489910400</v>
      </c>
      <c r="N4" s="168">
        <v>3.82</v>
      </c>
      <c r="O4" s="168">
        <v>231</v>
      </c>
      <c r="P4" s="168">
        <v>2.95</v>
      </c>
      <c r="Q4"/>
      <c r="R4"/>
    </row>
    <row r="5" spans="1:18" x14ac:dyDescent="0.25">
      <c r="A5" s="168">
        <v>51.47</v>
      </c>
      <c r="B5" s="168">
        <v>0.37</v>
      </c>
      <c r="C5" s="168">
        <v>22.71</v>
      </c>
      <c r="D5" s="8">
        <v>42813.125</v>
      </c>
      <c r="E5" s="168">
        <v>0.32</v>
      </c>
      <c r="F5" s="168" t="s">
        <v>362</v>
      </c>
      <c r="G5" s="168">
        <v>307.16000000000003</v>
      </c>
      <c r="H5" s="168">
        <v>0</v>
      </c>
      <c r="I5" s="168">
        <v>0</v>
      </c>
      <c r="J5" s="168">
        <v>1017.02</v>
      </c>
      <c r="K5" s="168" t="s">
        <v>363</v>
      </c>
      <c r="L5" s="168">
        <v>51.47</v>
      </c>
      <c r="M5" s="168">
        <v>1489914000</v>
      </c>
      <c r="N5" s="168">
        <v>3.59</v>
      </c>
      <c r="O5" s="168">
        <v>235</v>
      </c>
      <c r="P5" s="168">
        <v>3.18</v>
      </c>
      <c r="Q5"/>
      <c r="R5"/>
    </row>
    <row r="6" spans="1:18" x14ac:dyDescent="0.25">
      <c r="A6" s="168">
        <v>50.69</v>
      </c>
      <c r="B6" s="168">
        <v>0.39</v>
      </c>
      <c r="C6" s="168">
        <v>22.13</v>
      </c>
      <c r="D6" s="8">
        <v>42813.166666666664</v>
      </c>
      <c r="E6" s="168">
        <v>0.32</v>
      </c>
      <c r="F6" s="168" t="s">
        <v>362</v>
      </c>
      <c r="G6" s="168">
        <v>307.35000000000002</v>
      </c>
      <c r="H6" s="168">
        <v>0</v>
      </c>
      <c r="I6" s="168">
        <v>0</v>
      </c>
      <c r="J6" s="168">
        <v>1016.96</v>
      </c>
      <c r="K6" s="168" t="s">
        <v>363</v>
      </c>
      <c r="L6" s="168">
        <v>50.69</v>
      </c>
      <c r="M6" s="168">
        <v>1489917600</v>
      </c>
      <c r="N6" s="168">
        <v>3.57</v>
      </c>
      <c r="O6" s="168">
        <v>225</v>
      </c>
      <c r="P6" s="168">
        <v>4.07</v>
      </c>
      <c r="Q6"/>
      <c r="R6"/>
    </row>
    <row r="7" spans="1:18" x14ac:dyDescent="0.25">
      <c r="A7" s="168">
        <v>48.39</v>
      </c>
      <c r="B7" s="168">
        <v>0.45</v>
      </c>
      <c r="C7" s="168">
        <v>22.08</v>
      </c>
      <c r="D7" s="8">
        <v>42813.208333333336</v>
      </c>
      <c r="E7" s="168">
        <v>0.33</v>
      </c>
      <c r="F7" s="168" t="s">
        <v>362</v>
      </c>
      <c r="G7" s="168">
        <v>307.89</v>
      </c>
      <c r="H7" s="168">
        <v>0</v>
      </c>
      <c r="I7" s="168">
        <v>0</v>
      </c>
      <c r="J7" s="168">
        <v>1016.43</v>
      </c>
      <c r="K7" s="168" t="s">
        <v>363</v>
      </c>
      <c r="L7" s="168">
        <v>49.69</v>
      </c>
      <c r="M7" s="168">
        <v>1489921200</v>
      </c>
      <c r="N7" s="168">
        <v>3.93</v>
      </c>
      <c r="O7" s="168">
        <v>239</v>
      </c>
      <c r="P7" s="168">
        <v>4.18</v>
      </c>
      <c r="Q7"/>
      <c r="R7"/>
    </row>
    <row r="8" spans="1:18" x14ac:dyDescent="0.25">
      <c r="A8" s="168">
        <v>50.63</v>
      </c>
      <c r="B8" s="168">
        <v>0.47</v>
      </c>
      <c r="C8" s="168">
        <v>23.81</v>
      </c>
      <c r="D8" s="8">
        <v>42813.25</v>
      </c>
      <c r="E8" s="168">
        <v>0.35</v>
      </c>
      <c r="F8" s="168" t="s">
        <v>362</v>
      </c>
      <c r="G8" s="168">
        <v>308.11</v>
      </c>
      <c r="H8" s="168">
        <v>0</v>
      </c>
      <c r="I8" s="168">
        <v>0</v>
      </c>
      <c r="J8" s="168">
        <v>1016.05</v>
      </c>
      <c r="K8" s="168" t="s">
        <v>363</v>
      </c>
      <c r="L8" s="168">
        <v>50.63</v>
      </c>
      <c r="M8" s="168">
        <v>1489924800</v>
      </c>
      <c r="N8" s="168">
        <v>5.7</v>
      </c>
      <c r="O8" s="168">
        <v>239</v>
      </c>
      <c r="P8" s="168">
        <v>3.5</v>
      </c>
      <c r="Q8"/>
      <c r="R8"/>
    </row>
    <row r="9" spans="1:18" x14ac:dyDescent="0.25">
      <c r="A9" s="168">
        <v>50.29</v>
      </c>
      <c r="B9" s="168">
        <v>0.47</v>
      </c>
      <c r="C9" s="168">
        <v>23.41</v>
      </c>
      <c r="D9" s="8">
        <v>42813.291666666664</v>
      </c>
      <c r="E9" s="168">
        <v>0.35</v>
      </c>
      <c r="F9" s="168" t="s">
        <v>362</v>
      </c>
      <c r="G9" s="168">
        <v>307.70999999999998</v>
      </c>
      <c r="H9" s="168">
        <v>0</v>
      </c>
      <c r="I9" s="168">
        <v>0</v>
      </c>
      <c r="J9" s="168">
        <v>1016.7</v>
      </c>
      <c r="K9" s="168" t="s">
        <v>363</v>
      </c>
      <c r="L9" s="168">
        <v>50.29</v>
      </c>
      <c r="M9" s="168">
        <v>1489928400</v>
      </c>
      <c r="N9" s="168">
        <v>4.04</v>
      </c>
      <c r="O9" s="168">
        <v>246</v>
      </c>
      <c r="P9" s="168">
        <v>3.07</v>
      </c>
      <c r="Q9"/>
      <c r="R9"/>
    </row>
    <row r="10" spans="1:18" x14ac:dyDescent="0.25">
      <c r="A10" s="168">
        <v>50.74</v>
      </c>
      <c r="B10" s="168">
        <v>0.47</v>
      </c>
      <c r="C10" s="168">
        <v>23.35</v>
      </c>
      <c r="D10" s="8">
        <v>42813.333333333336</v>
      </c>
      <c r="E10" s="168">
        <v>0.34</v>
      </c>
      <c r="F10" s="168" t="s">
        <v>364</v>
      </c>
      <c r="G10" s="168">
        <v>306.97000000000003</v>
      </c>
      <c r="H10" s="168">
        <v>0</v>
      </c>
      <c r="I10" s="168">
        <v>0</v>
      </c>
      <c r="J10" s="168">
        <v>1017.5</v>
      </c>
      <c r="K10" s="168" t="s">
        <v>363</v>
      </c>
      <c r="L10" s="168">
        <v>50.74</v>
      </c>
      <c r="M10" s="168">
        <v>1489932000</v>
      </c>
      <c r="N10" s="168">
        <v>3.45</v>
      </c>
      <c r="O10" s="168">
        <v>257</v>
      </c>
      <c r="P10" s="168">
        <v>3.53</v>
      </c>
      <c r="Q10"/>
      <c r="R10"/>
    </row>
    <row r="11" spans="1:18" x14ac:dyDescent="0.25">
      <c r="A11" s="168">
        <v>54.45</v>
      </c>
      <c r="B11" s="168">
        <v>0.46</v>
      </c>
      <c r="C11" s="168">
        <v>26.51</v>
      </c>
      <c r="D11" s="8">
        <v>42813.375</v>
      </c>
      <c r="E11" s="168">
        <v>0.34</v>
      </c>
      <c r="F11" s="168" t="s">
        <v>364</v>
      </c>
      <c r="G11" s="168">
        <v>306.11</v>
      </c>
      <c r="H11" s="168">
        <v>0</v>
      </c>
      <c r="I11" s="168">
        <v>0</v>
      </c>
      <c r="J11" s="168">
        <v>1017.74</v>
      </c>
      <c r="K11" s="168" t="s">
        <v>363</v>
      </c>
      <c r="L11" s="168">
        <v>54.45</v>
      </c>
      <c r="M11" s="168">
        <v>1489935600</v>
      </c>
      <c r="N11" s="168">
        <v>3.17</v>
      </c>
      <c r="O11" s="168">
        <v>217</v>
      </c>
      <c r="P11" s="168">
        <v>1.74</v>
      </c>
      <c r="Q11"/>
      <c r="R11"/>
    </row>
    <row r="12" spans="1:18" x14ac:dyDescent="0.25">
      <c r="A12" s="168">
        <v>61.4</v>
      </c>
      <c r="B12" s="168">
        <v>0.52</v>
      </c>
      <c r="C12" s="168">
        <v>26.84</v>
      </c>
      <c r="D12" s="8">
        <v>42813.416666666664</v>
      </c>
      <c r="E12" s="168">
        <v>0.27</v>
      </c>
      <c r="F12" s="168" t="s">
        <v>364</v>
      </c>
      <c r="G12" s="168">
        <v>305.17</v>
      </c>
      <c r="H12" s="168">
        <v>0</v>
      </c>
      <c r="I12" s="168">
        <v>0</v>
      </c>
      <c r="J12" s="168">
        <v>1016.79</v>
      </c>
      <c r="K12" s="168" t="s">
        <v>363</v>
      </c>
      <c r="L12" s="168">
        <v>61.4</v>
      </c>
      <c r="M12" s="168">
        <v>1489939200</v>
      </c>
      <c r="N12" s="168">
        <v>3.02</v>
      </c>
      <c r="O12" s="168">
        <v>235</v>
      </c>
      <c r="P12" s="168">
        <v>3.47</v>
      </c>
      <c r="Q12"/>
      <c r="R12"/>
    </row>
    <row r="13" spans="1:18" x14ac:dyDescent="0.25">
      <c r="A13" s="168">
        <v>66.38</v>
      </c>
      <c r="B13" s="168">
        <v>0.63</v>
      </c>
      <c r="C13" s="168">
        <v>26.46</v>
      </c>
      <c r="D13" s="8">
        <v>42813.458333333336</v>
      </c>
      <c r="E13" s="168">
        <v>0.22</v>
      </c>
      <c r="F13" s="168" t="s">
        <v>364</v>
      </c>
      <c r="G13" s="168">
        <v>304.11</v>
      </c>
      <c r="H13" s="168">
        <v>0</v>
      </c>
      <c r="I13" s="168">
        <v>0</v>
      </c>
      <c r="J13" s="168">
        <v>1015.3</v>
      </c>
      <c r="K13" s="168" t="s">
        <v>797</v>
      </c>
      <c r="L13" s="168">
        <v>66.38</v>
      </c>
      <c r="M13" s="168">
        <v>1489942800</v>
      </c>
      <c r="N13" s="168">
        <v>3.02</v>
      </c>
      <c r="O13" s="168">
        <v>244</v>
      </c>
      <c r="P13" s="168">
        <v>3.96</v>
      </c>
      <c r="Q13"/>
      <c r="R13"/>
    </row>
    <row r="14" spans="1:18" x14ac:dyDescent="0.25">
      <c r="A14" s="168">
        <v>73.17</v>
      </c>
      <c r="B14" s="168">
        <v>0.69</v>
      </c>
      <c r="C14" s="168">
        <v>23.96</v>
      </c>
      <c r="D14" s="8">
        <v>42813.5</v>
      </c>
      <c r="E14" s="168">
        <v>0.16</v>
      </c>
      <c r="F14" s="168" t="s">
        <v>364</v>
      </c>
      <c r="G14" s="168">
        <v>303</v>
      </c>
      <c r="H14" s="168">
        <v>0</v>
      </c>
      <c r="I14" s="168">
        <v>0</v>
      </c>
      <c r="J14" s="168">
        <v>1014.42</v>
      </c>
      <c r="K14" s="168" t="s">
        <v>797</v>
      </c>
      <c r="L14" s="168">
        <v>73.17</v>
      </c>
      <c r="M14" s="168">
        <v>1489946400</v>
      </c>
      <c r="N14" s="168">
        <v>3.05</v>
      </c>
      <c r="O14" s="168">
        <v>253</v>
      </c>
      <c r="P14" s="168">
        <v>2.99</v>
      </c>
      <c r="Q14"/>
      <c r="R14"/>
    </row>
    <row r="15" spans="1:18" x14ac:dyDescent="0.25">
      <c r="A15" s="168">
        <v>75.510000000000005</v>
      </c>
      <c r="B15" s="168">
        <v>0.65</v>
      </c>
      <c r="C15" s="168">
        <v>23.59</v>
      </c>
      <c r="D15" s="8">
        <v>42813.541666666664</v>
      </c>
      <c r="E15" s="168">
        <v>0.14000000000000001</v>
      </c>
      <c r="F15" s="168" t="s">
        <v>364</v>
      </c>
      <c r="G15" s="168">
        <v>301.89999999999998</v>
      </c>
      <c r="H15" s="168">
        <v>0</v>
      </c>
      <c r="I15" s="168">
        <v>0</v>
      </c>
      <c r="J15" s="168">
        <v>1014.16</v>
      </c>
      <c r="K15" s="168" t="s">
        <v>797</v>
      </c>
      <c r="L15" s="168">
        <v>75.510000000000005</v>
      </c>
      <c r="M15" s="168">
        <v>1489950000</v>
      </c>
      <c r="N15" s="168">
        <v>3.06</v>
      </c>
      <c r="O15" s="168">
        <v>312</v>
      </c>
      <c r="P15" s="168">
        <v>4.8899999999999997</v>
      </c>
      <c r="Q15"/>
      <c r="R15"/>
    </row>
    <row r="16" spans="1:18" x14ac:dyDescent="0.25">
      <c r="A16" s="168">
        <v>76.7</v>
      </c>
      <c r="B16" s="168">
        <v>0.6</v>
      </c>
      <c r="C16" s="168">
        <v>20.49</v>
      </c>
      <c r="D16" s="8">
        <v>42813.583333333336</v>
      </c>
      <c r="E16" s="168">
        <v>0.12</v>
      </c>
      <c r="F16" s="168" t="s">
        <v>364</v>
      </c>
      <c r="G16" s="168">
        <v>300.76</v>
      </c>
      <c r="H16" s="168">
        <v>0</v>
      </c>
      <c r="I16" s="168">
        <v>0</v>
      </c>
      <c r="J16" s="168">
        <v>1014.19</v>
      </c>
      <c r="K16" s="168" t="s">
        <v>797</v>
      </c>
      <c r="L16" s="168">
        <v>76.7</v>
      </c>
      <c r="M16" s="168">
        <v>1489953600</v>
      </c>
      <c r="N16" s="168">
        <v>3.05</v>
      </c>
      <c r="O16" s="168">
        <v>324</v>
      </c>
      <c r="P16" s="168">
        <v>6.28</v>
      </c>
      <c r="Q16"/>
      <c r="R16"/>
    </row>
    <row r="17" spans="1:18" x14ac:dyDescent="0.25">
      <c r="A17" s="168">
        <v>77.94</v>
      </c>
      <c r="B17" s="168">
        <v>0.56999999999999995</v>
      </c>
      <c r="C17" s="168">
        <v>19.96</v>
      </c>
      <c r="D17" s="8">
        <v>42813.625</v>
      </c>
      <c r="E17" s="168">
        <v>0.11</v>
      </c>
      <c r="F17" s="168" t="s">
        <v>364</v>
      </c>
      <c r="G17" s="168">
        <v>299.56</v>
      </c>
      <c r="H17" s="168">
        <v>0</v>
      </c>
      <c r="I17" s="168">
        <v>0</v>
      </c>
      <c r="J17" s="168">
        <v>1014.13</v>
      </c>
      <c r="K17" s="168" t="s">
        <v>363</v>
      </c>
      <c r="L17" s="168">
        <v>77.94</v>
      </c>
      <c r="M17" s="168">
        <v>1489957200</v>
      </c>
      <c r="N17" s="168">
        <v>3.08</v>
      </c>
      <c r="O17" s="168">
        <v>326</v>
      </c>
      <c r="P17" s="168">
        <v>6.3</v>
      </c>
      <c r="Q17"/>
      <c r="R17"/>
    </row>
    <row r="18" spans="1:18" x14ac:dyDescent="0.25">
      <c r="A18" s="168">
        <v>77.930000000000007</v>
      </c>
      <c r="B18" s="168">
        <v>0.6</v>
      </c>
      <c r="C18" s="168">
        <v>21.55</v>
      </c>
      <c r="D18" s="8">
        <v>42813.666666666664</v>
      </c>
      <c r="E18" s="168">
        <v>0.12</v>
      </c>
      <c r="F18" s="168" t="s">
        <v>364</v>
      </c>
      <c r="G18" s="168">
        <v>298.16000000000003</v>
      </c>
      <c r="H18" s="168">
        <v>0</v>
      </c>
      <c r="I18" s="168">
        <v>0</v>
      </c>
      <c r="J18" s="168">
        <v>1013.58</v>
      </c>
      <c r="K18" s="168" t="s">
        <v>797</v>
      </c>
      <c r="L18" s="168">
        <v>77.930000000000007</v>
      </c>
      <c r="M18" s="168">
        <v>1489960800</v>
      </c>
      <c r="N18" s="168">
        <v>3.04</v>
      </c>
      <c r="O18" s="168">
        <v>336</v>
      </c>
      <c r="P18" s="168">
        <v>7.47</v>
      </c>
      <c r="Q18"/>
      <c r="R18"/>
    </row>
    <row r="19" spans="1:18" x14ac:dyDescent="0.25">
      <c r="A19" s="168">
        <v>78.069999999999993</v>
      </c>
      <c r="B19" s="168">
        <v>0.68</v>
      </c>
      <c r="C19" s="168">
        <v>22.38</v>
      </c>
      <c r="D19" s="8">
        <v>42813.708333333336</v>
      </c>
      <c r="E19" s="168">
        <v>0.13</v>
      </c>
      <c r="F19" s="168" t="s">
        <v>364</v>
      </c>
      <c r="G19" s="168">
        <v>296.7</v>
      </c>
      <c r="H19" s="168">
        <v>0</v>
      </c>
      <c r="I19" s="168">
        <v>0</v>
      </c>
      <c r="J19" s="168">
        <v>1012.99</v>
      </c>
      <c r="K19" s="168" t="s">
        <v>797</v>
      </c>
      <c r="L19" s="168">
        <v>78.069999999999993</v>
      </c>
      <c r="M19" s="168">
        <v>1489964400</v>
      </c>
      <c r="N19" s="168">
        <v>5.47</v>
      </c>
      <c r="O19" s="168">
        <v>327</v>
      </c>
      <c r="P19" s="168">
        <v>7.66</v>
      </c>
      <c r="Q19"/>
      <c r="R19"/>
    </row>
    <row r="20" spans="1:18" x14ac:dyDescent="0.25">
      <c r="A20" s="168">
        <v>74.56</v>
      </c>
      <c r="B20" s="168">
        <v>0.67</v>
      </c>
      <c r="C20" s="168">
        <v>18.239999999999998</v>
      </c>
      <c r="D20" s="8">
        <v>42813.75</v>
      </c>
      <c r="E20" s="168">
        <v>0.12</v>
      </c>
      <c r="F20" s="168" t="s">
        <v>364</v>
      </c>
      <c r="G20" s="168">
        <v>295.57</v>
      </c>
      <c r="H20" s="168">
        <v>0</v>
      </c>
      <c r="I20" s="168">
        <v>0</v>
      </c>
      <c r="J20" s="168">
        <v>1012.88</v>
      </c>
      <c r="K20" s="168" t="s">
        <v>797</v>
      </c>
      <c r="L20" s="168">
        <v>74.56</v>
      </c>
      <c r="M20" s="168">
        <v>1489968000</v>
      </c>
      <c r="N20" s="168">
        <v>5.7</v>
      </c>
      <c r="O20" s="168">
        <v>319</v>
      </c>
      <c r="P20" s="168">
        <v>6.73</v>
      </c>
      <c r="Q20"/>
      <c r="R20"/>
    </row>
    <row r="21" spans="1:18" x14ac:dyDescent="0.25">
      <c r="A21" s="168">
        <v>70.790000000000006</v>
      </c>
      <c r="B21" s="168">
        <v>0.61</v>
      </c>
      <c r="C21" s="168">
        <v>18.29</v>
      </c>
      <c r="D21" s="8">
        <v>42813.791666666664</v>
      </c>
      <c r="E21" s="168">
        <v>0.13</v>
      </c>
      <c r="F21" s="168" t="s">
        <v>364</v>
      </c>
      <c r="G21" s="168">
        <v>295.10000000000002</v>
      </c>
      <c r="H21" s="168">
        <v>0</v>
      </c>
      <c r="I21" s="168">
        <v>0</v>
      </c>
      <c r="J21" s="168">
        <v>1013.68</v>
      </c>
      <c r="K21" s="168" t="s">
        <v>797</v>
      </c>
      <c r="L21" s="168">
        <v>70.790000000000006</v>
      </c>
      <c r="M21" s="168">
        <v>1489971600</v>
      </c>
      <c r="N21" s="168">
        <v>10</v>
      </c>
      <c r="O21" s="168">
        <v>313</v>
      </c>
      <c r="P21" s="168">
        <v>6.17</v>
      </c>
      <c r="Q21"/>
      <c r="R21"/>
    </row>
    <row r="22" spans="1:18" x14ac:dyDescent="0.25">
      <c r="A22" s="168">
        <v>66.98</v>
      </c>
      <c r="B22" s="168">
        <v>0.5</v>
      </c>
      <c r="C22" s="168">
        <v>22.63</v>
      </c>
      <c r="D22" s="8">
        <v>42813.833333333336</v>
      </c>
      <c r="E22" s="168">
        <v>0.18</v>
      </c>
      <c r="F22" s="168" t="s">
        <v>362</v>
      </c>
      <c r="G22" s="168">
        <v>294.95999999999998</v>
      </c>
      <c r="H22" s="168">
        <v>0</v>
      </c>
      <c r="I22" s="168">
        <v>0</v>
      </c>
      <c r="J22" s="168">
        <v>1014.89</v>
      </c>
      <c r="K22" s="168" t="s">
        <v>363</v>
      </c>
      <c r="L22" s="168">
        <v>66.98</v>
      </c>
      <c r="M22" s="168">
        <v>1489975200</v>
      </c>
      <c r="N22" s="168">
        <v>7.28</v>
      </c>
      <c r="O22" s="168">
        <v>309</v>
      </c>
      <c r="P22" s="168">
        <v>3.71</v>
      </c>
      <c r="Q22"/>
      <c r="R22"/>
    </row>
    <row r="23" spans="1:18" x14ac:dyDescent="0.25">
      <c r="A23" s="168">
        <v>64.14</v>
      </c>
      <c r="B23" s="168">
        <v>0.49</v>
      </c>
      <c r="C23" s="168">
        <v>21.23</v>
      </c>
      <c r="D23" s="8">
        <v>42813.875</v>
      </c>
      <c r="E23" s="168">
        <v>0.19</v>
      </c>
      <c r="F23" s="168" t="s">
        <v>362</v>
      </c>
      <c r="G23" s="168">
        <v>294.58</v>
      </c>
      <c r="H23" s="168">
        <v>0</v>
      </c>
      <c r="I23" s="168">
        <v>0</v>
      </c>
      <c r="J23" s="168">
        <v>1015.96</v>
      </c>
      <c r="K23" s="168" t="s">
        <v>363</v>
      </c>
      <c r="L23" s="168">
        <v>64.14</v>
      </c>
      <c r="M23" s="168">
        <v>1489978800</v>
      </c>
      <c r="N23" s="168">
        <v>6.87</v>
      </c>
      <c r="O23" s="168">
        <v>300</v>
      </c>
      <c r="P23" s="168">
        <v>2.0099999999999998</v>
      </c>
      <c r="Q23"/>
      <c r="R23"/>
    </row>
    <row r="24" spans="1:18" x14ac:dyDescent="0.25">
      <c r="A24" s="168">
        <v>61.44</v>
      </c>
      <c r="B24" s="168">
        <v>0.5</v>
      </c>
      <c r="C24" s="168">
        <v>21.02</v>
      </c>
      <c r="D24" s="8">
        <v>42813.916666666664</v>
      </c>
      <c r="E24" s="168">
        <v>0.21</v>
      </c>
      <c r="F24" s="168" t="s">
        <v>362</v>
      </c>
      <c r="G24" s="168">
        <v>293.58999999999997</v>
      </c>
      <c r="H24" s="168">
        <v>0</v>
      </c>
      <c r="I24" s="168">
        <v>0</v>
      </c>
      <c r="J24" s="168">
        <v>1016.38</v>
      </c>
      <c r="K24" s="168" t="s">
        <v>363</v>
      </c>
      <c r="L24" s="168">
        <v>61.44</v>
      </c>
      <c r="M24" s="168">
        <v>1489982400</v>
      </c>
      <c r="N24" s="168">
        <v>10</v>
      </c>
      <c r="O24" s="168">
        <v>252</v>
      </c>
      <c r="P24" s="168">
        <v>2.4900000000000002</v>
      </c>
      <c r="Q24"/>
      <c r="R24"/>
    </row>
    <row r="25" spans="1:18" x14ac:dyDescent="0.25">
      <c r="A25" s="168">
        <v>60.03</v>
      </c>
      <c r="B25" s="168">
        <v>0.57999999999999996</v>
      </c>
      <c r="C25" s="168">
        <v>20.79</v>
      </c>
      <c r="D25" s="8">
        <v>42813.958333333336</v>
      </c>
      <c r="E25" s="168">
        <v>0.22</v>
      </c>
      <c r="F25" s="168" t="s">
        <v>362</v>
      </c>
      <c r="G25" s="168">
        <v>292.35000000000002</v>
      </c>
      <c r="H25" s="168">
        <v>0</v>
      </c>
      <c r="I25" s="168">
        <v>0</v>
      </c>
      <c r="J25" s="168">
        <v>1016.39</v>
      </c>
      <c r="K25" s="168" t="s">
        <v>363</v>
      </c>
      <c r="L25" s="168">
        <v>60.03</v>
      </c>
      <c r="M25" s="168">
        <v>1489986000</v>
      </c>
      <c r="N25" s="168">
        <v>6.1</v>
      </c>
      <c r="O25" s="168">
        <v>215</v>
      </c>
      <c r="P25" s="168">
        <v>3.09</v>
      </c>
      <c r="Q25"/>
      <c r="R25"/>
    </row>
    <row r="26" spans="1:18" x14ac:dyDescent="0.25">
      <c r="A26" s="168">
        <v>56.83</v>
      </c>
      <c r="B26" s="168">
        <v>0.64</v>
      </c>
      <c r="C26" s="168">
        <v>21.22</v>
      </c>
      <c r="D26" s="8">
        <v>42814</v>
      </c>
      <c r="E26" s="168">
        <v>0.25</v>
      </c>
      <c r="F26" s="168" t="s">
        <v>362</v>
      </c>
      <c r="G26" s="168">
        <v>291.33</v>
      </c>
      <c r="H26" s="168">
        <v>0</v>
      </c>
      <c r="I26" s="168">
        <v>0</v>
      </c>
      <c r="J26" s="168">
        <v>1016.46</v>
      </c>
      <c r="K26" s="168" t="s">
        <v>797</v>
      </c>
      <c r="L26" s="168">
        <v>56.83</v>
      </c>
      <c r="M26" s="168">
        <v>1489989600</v>
      </c>
      <c r="N26" s="168">
        <v>6.47</v>
      </c>
      <c r="O26" s="168">
        <v>204</v>
      </c>
      <c r="P26" s="168">
        <v>2.95</v>
      </c>
      <c r="Q26"/>
      <c r="R26"/>
    </row>
    <row r="27" spans="1:18" x14ac:dyDescent="0.25">
      <c r="A27" s="168">
        <v>55.59</v>
      </c>
      <c r="B27" s="168">
        <v>0.73</v>
      </c>
      <c r="C27" s="168">
        <v>21.01</v>
      </c>
      <c r="D27" s="8">
        <v>42814.041666666664</v>
      </c>
      <c r="E27" s="168">
        <v>0.26</v>
      </c>
      <c r="F27" s="168" t="s">
        <v>362</v>
      </c>
      <c r="G27" s="168">
        <v>290.88</v>
      </c>
      <c r="H27" s="168">
        <v>0</v>
      </c>
      <c r="I27" s="168">
        <v>0</v>
      </c>
      <c r="J27" s="168">
        <v>1016.82</v>
      </c>
      <c r="K27" s="168" t="s">
        <v>797</v>
      </c>
      <c r="L27" s="168">
        <v>55.59</v>
      </c>
      <c r="M27" s="168">
        <v>1489993200</v>
      </c>
      <c r="N27" s="168">
        <v>6.8</v>
      </c>
      <c r="O27" s="168">
        <v>194</v>
      </c>
      <c r="P27" s="168">
        <v>3.57</v>
      </c>
      <c r="Q27"/>
      <c r="R27"/>
    </row>
    <row r="28" spans="1:18" x14ac:dyDescent="0.25">
      <c r="A28" s="168">
        <v>54.66</v>
      </c>
      <c r="B28" s="168">
        <v>0.87</v>
      </c>
      <c r="C28" s="168">
        <v>20.55</v>
      </c>
      <c r="D28" s="8">
        <v>42814.083333333336</v>
      </c>
      <c r="E28" s="168">
        <v>0.26</v>
      </c>
      <c r="F28" s="168" t="s">
        <v>362</v>
      </c>
      <c r="G28" s="168">
        <v>290.42</v>
      </c>
      <c r="H28" s="168">
        <v>0</v>
      </c>
      <c r="I28" s="168">
        <v>0</v>
      </c>
      <c r="J28" s="168">
        <v>1017.16</v>
      </c>
      <c r="K28" s="168" t="s">
        <v>797</v>
      </c>
      <c r="L28" s="168">
        <v>54.66</v>
      </c>
      <c r="M28" s="168">
        <v>1489996800</v>
      </c>
      <c r="N28" s="168">
        <v>6.33</v>
      </c>
      <c r="O28" s="168">
        <v>191</v>
      </c>
      <c r="P28" s="168">
        <v>4.1399999999999997</v>
      </c>
      <c r="Q28"/>
      <c r="R28"/>
    </row>
    <row r="29" spans="1:18" x14ac:dyDescent="0.25">
      <c r="A29" s="168">
        <v>53.96</v>
      </c>
      <c r="B29" s="168">
        <v>0.93</v>
      </c>
      <c r="C29" s="168">
        <v>21.05</v>
      </c>
      <c r="D29" s="8">
        <v>42814.125</v>
      </c>
      <c r="E29" s="168">
        <v>0.27</v>
      </c>
      <c r="F29" s="168" t="s">
        <v>362</v>
      </c>
      <c r="G29" s="168">
        <v>289.97000000000003</v>
      </c>
      <c r="H29" s="168">
        <v>0</v>
      </c>
      <c r="I29" s="168">
        <v>0</v>
      </c>
      <c r="J29" s="168">
        <v>1017.49</v>
      </c>
      <c r="K29" s="168" t="s">
        <v>797</v>
      </c>
      <c r="L29" s="168">
        <v>53.96</v>
      </c>
      <c r="M29" s="168">
        <v>1490000400</v>
      </c>
      <c r="N29" s="168">
        <v>6.1</v>
      </c>
      <c r="O29" s="168">
        <v>210</v>
      </c>
      <c r="P29" s="168">
        <v>3.29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187</v>
      </c>
    </row>
    <row r="33" spans="1:1" x14ac:dyDescent="0.25">
      <c r="A33" s="153" t="s">
        <v>178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6"/>
  <sheetViews>
    <sheetView tabSelected="1" workbookViewId="0">
      <selection activeCell="J24" sqref="J24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  <col min="20" max="24" width="9.140625" style="168"/>
  </cols>
  <sheetData>
    <row r="1" spans="1:24" ht="45.75" x14ac:dyDescent="0.3">
      <c r="A1" s="11" t="s">
        <v>25</v>
      </c>
      <c r="C1" s="131" t="s">
        <v>98</v>
      </c>
      <c r="D1" s="132" t="s">
        <v>99</v>
      </c>
      <c r="J1" s="158" t="s">
        <v>100</v>
      </c>
      <c r="K1" s="158" t="s">
        <v>66</v>
      </c>
      <c r="L1" s="158" t="s">
        <v>67</v>
      </c>
      <c r="O1" s="159" t="s">
        <v>101</v>
      </c>
      <c r="T1" s="219" t="s">
        <v>378</v>
      </c>
      <c r="U1" s="219"/>
      <c r="V1" s="219"/>
      <c r="W1" s="219"/>
      <c r="X1" s="219"/>
    </row>
    <row r="2" spans="1:24" ht="15.75" thickBot="1" x14ac:dyDescent="0.3">
      <c r="A2" s="12">
        <v>42813</v>
      </c>
      <c r="B2" s="4"/>
      <c r="C2" s="133">
        <v>50</v>
      </c>
      <c r="D2" s="134">
        <v>25</v>
      </c>
      <c r="F2" t="s">
        <v>112</v>
      </c>
      <c r="J2" s="158"/>
      <c r="K2" s="158" t="s">
        <v>66</v>
      </c>
      <c r="L2" s="158" t="s">
        <v>67</v>
      </c>
      <c r="T2" s="197" t="s">
        <v>379</v>
      </c>
      <c r="U2" s="197">
        <v>167</v>
      </c>
      <c r="V2" s="197">
        <v>168</v>
      </c>
      <c r="W2" s="197">
        <v>199</v>
      </c>
      <c r="X2" s="197">
        <v>200</v>
      </c>
    </row>
    <row r="3" spans="1:24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102</v>
      </c>
      <c r="P3" s="152">
        <f>AVERAGE(1.0714,1.1016)</f>
        <v>1.0865</v>
      </c>
      <c r="T3" s="197" t="s">
        <v>391</v>
      </c>
      <c r="U3" s="197">
        <v>174</v>
      </c>
      <c r="V3" s="197">
        <v>176</v>
      </c>
      <c r="W3" s="197">
        <v>207</v>
      </c>
      <c r="X3" s="197">
        <v>210</v>
      </c>
    </row>
    <row r="4" spans="1:24" ht="45" x14ac:dyDescent="0.25">
      <c r="C4" s="131" t="s">
        <v>98</v>
      </c>
      <c r="D4" s="132" t="s">
        <v>99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  <c r="T4" s="197" t="s">
        <v>392</v>
      </c>
      <c r="U4" s="197">
        <v>173</v>
      </c>
      <c r="V4" s="197">
        <v>175</v>
      </c>
      <c r="W4" s="197">
        <v>208</v>
      </c>
      <c r="X4" s="197">
        <v>209</v>
      </c>
    </row>
    <row r="5" spans="1:24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  <c r="T5" s="197" t="s">
        <v>393</v>
      </c>
      <c r="U5" s="197">
        <v>187</v>
      </c>
      <c r="V5" s="197">
        <v>188</v>
      </c>
      <c r="W5" s="197">
        <v>223</v>
      </c>
      <c r="X5" s="197">
        <v>224</v>
      </c>
    </row>
    <row r="6" spans="1:24" x14ac:dyDescent="0.25">
      <c r="C6" s="64"/>
      <c r="F6" t="s">
        <v>113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  <c r="T6" s="197"/>
      <c r="U6" s="197"/>
      <c r="V6" s="197"/>
      <c r="W6" s="197"/>
      <c r="X6" s="197"/>
    </row>
    <row r="7" spans="1:24" x14ac:dyDescent="0.25">
      <c r="C7" s="64"/>
      <c r="F7" t="s">
        <v>114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  <c r="T7" s="197"/>
      <c r="U7" s="197"/>
      <c r="V7" s="197"/>
      <c r="W7" s="197"/>
      <c r="X7" s="197"/>
    </row>
    <row r="8" spans="1:24" x14ac:dyDescent="0.25">
      <c r="C8" s="64"/>
      <c r="F8" t="s">
        <v>115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  <c r="T8" s="197"/>
      <c r="U8" s="197"/>
      <c r="V8" s="197"/>
      <c r="W8" s="197"/>
      <c r="X8" s="197"/>
    </row>
    <row r="9" spans="1:24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  <c r="T9" s="197"/>
      <c r="U9" s="197"/>
      <c r="V9" s="197"/>
      <c r="W9" s="197"/>
      <c r="X9" s="197"/>
    </row>
    <row r="10" spans="1:24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  <c r="T10" s="197"/>
      <c r="U10" s="197"/>
      <c r="V10" s="197"/>
      <c r="W10" s="197"/>
      <c r="X10" s="197"/>
    </row>
    <row r="11" spans="1:24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  <c r="T11" s="197"/>
      <c r="U11" s="197"/>
      <c r="V11" s="197"/>
      <c r="W11" s="197"/>
      <c r="X11" s="197"/>
    </row>
    <row r="12" spans="1:24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  <c r="T12" s="197"/>
      <c r="U12" s="197"/>
      <c r="V12" s="197"/>
      <c r="W12" s="197"/>
      <c r="X12" s="197"/>
    </row>
    <row r="13" spans="1:24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  <c r="T13" s="197"/>
      <c r="U13" s="197"/>
      <c r="V13" s="197"/>
      <c r="W13" s="197"/>
      <c r="X13" s="197"/>
    </row>
    <row r="14" spans="1:24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  <c r="T14" s="197"/>
      <c r="U14" s="197"/>
      <c r="V14" s="197"/>
      <c r="W14" s="197"/>
      <c r="X14" s="197"/>
    </row>
    <row r="15" spans="1:24" x14ac:dyDescent="0.25">
      <c r="C15" s="64"/>
      <c r="J15" s="160"/>
      <c r="K15" s="161"/>
      <c r="L15" s="161"/>
      <c r="T15" s="197"/>
      <c r="U15" s="197"/>
      <c r="V15" s="197"/>
      <c r="W15" s="197"/>
      <c r="X15" s="197"/>
    </row>
    <row r="16" spans="1:24" x14ac:dyDescent="0.25">
      <c r="C16" s="64"/>
      <c r="J16" s="160"/>
      <c r="K16" s="161"/>
      <c r="L16" s="161"/>
      <c r="T16" s="197"/>
      <c r="U16" s="197"/>
      <c r="V16" s="197"/>
      <c r="W16" s="197"/>
      <c r="X16" s="197"/>
    </row>
    <row r="17" spans="3:24" x14ac:dyDescent="0.25">
      <c r="C17" s="149" t="s">
        <v>188</v>
      </c>
      <c r="J17" s="160"/>
      <c r="K17" s="161"/>
      <c r="L17" s="161"/>
      <c r="T17" s="197"/>
      <c r="U17" s="197"/>
      <c r="V17" s="197"/>
      <c r="W17" s="197"/>
      <c r="X17" s="197"/>
    </row>
    <row r="18" spans="3:24" x14ac:dyDescent="0.25">
      <c r="C18" t="s">
        <v>942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  <c r="T18" s="197"/>
      <c r="U18" s="197"/>
      <c r="V18" s="197"/>
      <c r="W18" s="197"/>
      <c r="X18" s="197"/>
    </row>
    <row r="19" spans="3:24" x14ac:dyDescent="0.25">
      <c r="C19" t="s">
        <v>943</v>
      </c>
      <c r="J19" s="160" t="s">
        <v>86</v>
      </c>
      <c r="K19" s="161"/>
      <c r="L19" s="161"/>
      <c r="M19" s="168" t="s">
        <v>111</v>
      </c>
      <c r="T19" s="197"/>
      <c r="U19" s="197"/>
      <c r="V19" s="197"/>
      <c r="W19" s="197"/>
      <c r="X19" s="197"/>
    </row>
    <row r="20" spans="3:24" x14ac:dyDescent="0.25">
      <c r="C20" t="s">
        <v>944</v>
      </c>
      <c r="J20" s="152" t="s">
        <v>87</v>
      </c>
      <c r="M20" s="168" t="s">
        <v>370</v>
      </c>
      <c r="N20" s="168" t="s">
        <v>370</v>
      </c>
      <c r="T20" s="197"/>
      <c r="U20" s="197"/>
      <c r="V20" s="197"/>
      <c r="W20" s="197"/>
      <c r="X20" s="197"/>
    </row>
    <row r="21" spans="3:24" x14ac:dyDescent="0.25">
      <c r="C21" t="s">
        <v>945</v>
      </c>
      <c r="J21" s="152" t="s">
        <v>90</v>
      </c>
      <c r="K21" s="152" t="s">
        <v>91</v>
      </c>
      <c r="M21" s="168" t="s">
        <v>177</v>
      </c>
      <c r="T21" s="197"/>
      <c r="U21" s="197"/>
      <c r="V21" s="197"/>
      <c r="W21" s="197"/>
      <c r="X21" s="197"/>
    </row>
    <row r="22" spans="3:24" x14ac:dyDescent="0.25">
      <c r="C22" t="s">
        <v>946</v>
      </c>
      <c r="J22" s="152" t="s">
        <v>92</v>
      </c>
      <c r="K22" s="152" t="s">
        <v>110</v>
      </c>
      <c r="M22" s="168" t="s">
        <v>110</v>
      </c>
      <c r="T22" s="197"/>
      <c r="U22" s="197"/>
      <c r="V22" s="197"/>
      <c r="W22" s="197"/>
      <c r="X22" s="197"/>
    </row>
    <row r="23" spans="3:24" x14ac:dyDescent="0.25">
      <c r="C23" t="s">
        <v>947</v>
      </c>
      <c r="J23" s="162" t="s">
        <v>94</v>
      </c>
      <c r="M23" s="168" t="str">
        <f>"-06"</f>
        <v>-06</v>
      </c>
      <c r="T23" s="197"/>
      <c r="U23" s="197"/>
      <c r="V23" s="197"/>
      <c r="W23" s="197"/>
      <c r="X23" s="197"/>
    </row>
    <row r="24" spans="3:24" x14ac:dyDescent="0.25">
      <c r="C24" t="s">
        <v>948</v>
      </c>
      <c r="J24" s="152" t="s">
        <v>107</v>
      </c>
      <c r="M24" s="168" t="s">
        <v>109</v>
      </c>
      <c r="T24" s="197"/>
      <c r="U24" s="197"/>
      <c r="V24" s="197"/>
      <c r="W24" s="197"/>
      <c r="X24" s="197"/>
    </row>
    <row r="25" spans="3:24" x14ac:dyDescent="0.25">
      <c r="C25" t="s">
        <v>949</v>
      </c>
      <c r="J25" s="152" t="s">
        <v>149</v>
      </c>
      <c r="M25" s="168" t="b">
        <v>1</v>
      </c>
    </row>
    <row r="26" spans="3:24" x14ac:dyDescent="0.25">
      <c r="C26" t="s">
        <v>950</v>
      </c>
      <c r="J26" s="152" t="s">
        <v>150</v>
      </c>
      <c r="M26" s="168" t="str">
        <f>"%USERPROFILE%\Documents\GitHub\eaglep3-reporting\EC\"&amp;TEXT(A2,"yyyy-mm-dd")&amp;"-refined-times.txt"</f>
        <v>%USERPROFILE%\Documents\GitHub\eaglep3-reporting\EC\2017-03-19-refined-times.txt</v>
      </c>
    </row>
    <row r="27" spans="3:24" x14ac:dyDescent="0.25">
      <c r="C27" t="s">
        <v>951</v>
      </c>
      <c r="J27" s="152" t="s">
        <v>179</v>
      </c>
      <c r="M27" s="168" t="str">
        <f>"%USERPROFILE%\Documents\GitHub\eaglep3-reporting\EC\"&amp;TEXT(A2,"YYYY-MM-DD")&amp;"-Enforcements.txt"</f>
        <v>%USERPROFILE%\Documents\GitHub\eaglep3-reporting\EC\2017-03-19-Enforcements.txt</v>
      </c>
    </row>
    <row r="28" spans="3:24" x14ac:dyDescent="0.25">
      <c r="C28" t="s">
        <v>952</v>
      </c>
      <c r="J28" s="152" t="s">
        <v>180</v>
      </c>
      <c r="M28" s="168" t="str">
        <f>"%USERPROFILE%\Documents\GitHub\eaglep3-reporting\EC\"&amp;TEXT(A2,"YYYY-MM-DD")&amp;"-Runs-refined.txt"</f>
        <v>%USERPROFILE%\Documents\GitHub\eaglep3-reporting\EC\2017-03-19-Runs-refined.txt</v>
      </c>
    </row>
    <row r="29" spans="3:24" x14ac:dyDescent="0.25">
      <c r="C29" t="s">
        <v>953</v>
      </c>
      <c r="J29" s="152" t="s">
        <v>181</v>
      </c>
      <c r="M29" s="168" t="str">
        <f>"%USERPROFILE%\Documents\GitHub\eaglep3-reporting\EC\"&amp;TEXT(A2,"YYYY-MM-DD")&amp;"-Trips.txt"</f>
        <v>%USERPROFILE%\Documents\GitHub\eaglep3-reporting\EC\2017-03-19-Trips.txt</v>
      </c>
    </row>
    <row r="30" spans="3:24" x14ac:dyDescent="0.25">
      <c r="C30" t="s">
        <v>954</v>
      </c>
      <c r="J30" s="152" t="s">
        <v>182</v>
      </c>
      <c r="M30" s="168" t="str">
        <f>"%USERPROFILE%\Documents\GitHub\eaglep3-reporting\EC\"&amp;TEXT(A2,"YYYY-MM-DD")&amp;"-Weather.txt"</f>
        <v>%USERPROFILE%\Documents\GitHub\eaglep3-reporting\EC\2017-03-19-Weather.txt</v>
      </c>
    </row>
    <row r="31" spans="3:24" x14ac:dyDescent="0.25">
      <c r="C31" t="s">
        <v>955</v>
      </c>
      <c r="J31" s="152" t="s">
        <v>202</v>
      </c>
      <c r="M31" s="168" t="s">
        <v>203</v>
      </c>
    </row>
    <row r="32" spans="3:24" x14ac:dyDescent="0.25">
      <c r="C32" t="s">
        <v>956</v>
      </c>
    </row>
    <row r="33" spans="3:3" x14ac:dyDescent="0.25">
      <c r="C33" t="s">
        <v>957</v>
      </c>
    </row>
    <row r="34" spans="3:3" x14ac:dyDescent="0.25">
      <c r="C34" t="s">
        <v>958</v>
      </c>
    </row>
    <row r="35" spans="3:3" x14ac:dyDescent="0.25">
      <c r="C35" t="s">
        <v>959</v>
      </c>
    </row>
    <row r="36" spans="3:3" x14ac:dyDescent="0.25">
      <c r="C36" t="s">
        <v>960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120</v>
      </c>
      <c r="B1" s="101" t="s">
        <v>121</v>
      </c>
      <c r="C1" s="102" t="s">
        <v>122</v>
      </c>
      <c r="H1" t="s">
        <v>116</v>
      </c>
      <c r="I1" s="103" t="s">
        <v>118</v>
      </c>
      <c r="J1"/>
    </row>
    <row r="2" spans="1:11" x14ac:dyDescent="0.25">
      <c r="A2" s="102" t="s">
        <v>123</v>
      </c>
      <c r="B2" s="102" t="s">
        <v>124</v>
      </c>
      <c r="C2" s="102" t="s">
        <v>125</v>
      </c>
      <c r="H2" t="s">
        <v>117</v>
      </c>
      <c r="I2" s="95" t="s">
        <v>119</v>
      </c>
      <c r="J2"/>
    </row>
    <row r="3" spans="1:11" x14ac:dyDescent="0.25">
      <c r="A3" s="102" t="s">
        <v>126</v>
      </c>
      <c r="B3" s="102" t="s">
        <v>127</v>
      </c>
      <c r="C3" s="102" t="s">
        <v>128</v>
      </c>
      <c r="H3" t="s">
        <v>142</v>
      </c>
      <c r="I3" s="95">
        <v>1</v>
      </c>
      <c r="J3"/>
      <c r="K3" s="63"/>
    </row>
    <row r="4" spans="1:11" x14ac:dyDescent="0.25">
      <c r="A4" s="102" t="s">
        <v>129</v>
      </c>
      <c r="C4" s="102" t="s">
        <v>130</v>
      </c>
      <c r="H4" t="s">
        <v>143</v>
      </c>
      <c r="I4" s="95">
        <v>2</v>
      </c>
      <c r="J4"/>
      <c r="K4" s="63"/>
    </row>
    <row r="5" spans="1:11" x14ac:dyDescent="0.25">
      <c r="A5" s="102" t="s">
        <v>131</v>
      </c>
      <c r="C5" s="102" t="s">
        <v>132</v>
      </c>
      <c r="H5" t="s">
        <v>144</v>
      </c>
      <c r="I5" s="95">
        <v>23</v>
      </c>
      <c r="J5"/>
      <c r="K5" s="63"/>
    </row>
    <row r="6" spans="1:11" x14ac:dyDescent="0.25">
      <c r="A6" s="102" t="s">
        <v>133</v>
      </c>
      <c r="C6" s="102" t="s">
        <v>134</v>
      </c>
      <c r="H6" s="105" t="s">
        <v>145</v>
      </c>
      <c r="I6" s="106" t="s">
        <v>124</v>
      </c>
    </row>
    <row r="7" spans="1:11" x14ac:dyDescent="0.25">
      <c r="A7" s="102" t="s">
        <v>135</v>
      </c>
      <c r="C7" s="102" t="s">
        <v>136</v>
      </c>
    </row>
    <row r="8" spans="1:11" x14ac:dyDescent="0.25">
      <c r="C8" s="102" t="s">
        <v>137</v>
      </c>
    </row>
    <row r="9" spans="1:11" x14ac:dyDescent="0.25">
      <c r="C9" s="105" t="s">
        <v>170</v>
      </c>
    </row>
    <row r="10" spans="1:11" x14ac:dyDescent="0.25">
      <c r="C10" s="102" t="s">
        <v>138</v>
      </c>
    </row>
    <row r="11" spans="1:11" x14ac:dyDescent="0.25">
      <c r="C11" s="102" t="s">
        <v>139</v>
      </c>
    </row>
    <row r="12" spans="1:11" x14ac:dyDescent="0.25">
      <c r="C12" s="102" t="s">
        <v>140</v>
      </c>
    </row>
    <row r="13" spans="1:11" x14ac:dyDescent="0.25">
      <c r="C13" s="102" t="s">
        <v>141</v>
      </c>
    </row>
    <row r="14" spans="1:11" x14ac:dyDescent="0.25">
      <c r="C14" s="105" t="s">
        <v>171</v>
      </c>
    </row>
    <row r="15" spans="1:11" x14ac:dyDescent="0.25">
      <c r="C15" s="105" t="s">
        <v>189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231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232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233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234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235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236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237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238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239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240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241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242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243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244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245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246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247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248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249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250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251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252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253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254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255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256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257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258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259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260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261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262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263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264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265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266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267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268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269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270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271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272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273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274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275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276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277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278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279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280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281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282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283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284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285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286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287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288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289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290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291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292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293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294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295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296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297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298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299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300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301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302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303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304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305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306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307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308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309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310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311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312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313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314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315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316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317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318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319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320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321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322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323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324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325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326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327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328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329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330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331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332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333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334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335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336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337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338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339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340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341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342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343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344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345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346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347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348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349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350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351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352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353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354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355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356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357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358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359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360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2017-03-21T16:21:36Z</dcterms:modified>
</cp:coreProperties>
</file>