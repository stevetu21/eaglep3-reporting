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2" i="1" l="1"/>
  <c r="P233" i="1" l="1"/>
  <c r="N232" i="1"/>
  <c r="X206" i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197" i="1"/>
  <c r="X198" i="1"/>
  <c r="X199" i="1"/>
  <c r="X200" i="1"/>
  <c r="K198" i="1"/>
  <c r="L198" i="1"/>
  <c r="M198" i="1"/>
  <c r="N198" i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X174" i="1"/>
  <c r="X175" i="1"/>
  <c r="K173" i="1"/>
  <c r="L173" i="1"/>
  <c r="M173" i="1"/>
  <c r="N173" i="1" s="1"/>
  <c r="V173" i="1"/>
  <c r="AA173" i="1"/>
  <c r="AB173" i="1"/>
  <c r="AC173" i="1"/>
  <c r="AD173" i="1"/>
  <c r="T173" i="1" s="1"/>
  <c r="AE173" i="1"/>
  <c r="AF173" i="1"/>
  <c r="AH173" i="1"/>
  <c r="AM173" i="1"/>
  <c r="AN173" i="1"/>
  <c r="AO173" i="1"/>
  <c r="X169" i="1"/>
  <c r="K168" i="1"/>
  <c r="L168" i="1"/>
  <c r="M168" i="1"/>
  <c r="N168" i="1" s="1"/>
  <c r="V168" i="1"/>
  <c r="AA168" i="1"/>
  <c r="AB168" i="1"/>
  <c r="AC168" i="1"/>
  <c r="AD168" i="1"/>
  <c r="T168" i="1" s="1"/>
  <c r="AE168" i="1"/>
  <c r="AF168" i="1"/>
  <c r="AH168" i="1"/>
  <c r="AM168" i="1"/>
  <c r="AN168" i="1"/>
  <c r="AO168" i="1"/>
  <c r="X158" i="1"/>
  <c r="X159" i="1"/>
  <c r="X160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X141" i="1"/>
  <c r="X142" i="1"/>
  <c r="X143" i="1"/>
  <c r="X144" i="1"/>
  <c r="X145" i="1"/>
  <c r="X146" i="1"/>
  <c r="K141" i="1"/>
  <c r="L141" i="1"/>
  <c r="M141" i="1"/>
  <c r="N141" i="1"/>
  <c r="V141" i="1"/>
  <c r="AA141" i="1"/>
  <c r="AB141" i="1"/>
  <c r="AC141" i="1"/>
  <c r="AD141" i="1"/>
  <c r="T141" i="1" s="1"/>
  <c r="AE141" i="1"/>
  <c r="AF141" i="1"/>
  <c r="AH141" i="1"/>
  <c r="AM141" i="1"/>
  <c r="AN141" i="1"/>
  <c r="AO141" i="1"/>
  <c r="X134" i="1"/>
  <c r="X135" i="1"/>
  <c r="X136" i="1"/>
  <c r="X137" i="1"/>
  <c r="P2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V20" i="1"/>
  <c r="S23" i="3" s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P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5" i="3" s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P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R12" i="3" s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S21" i="3" s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S9" i="3" s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/>
  <c r="V104" i="1"/>
  <c r="Y104" i="1"/>
  <c r="AA104" i="1" s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/>
  <c r="V112" i="1"/>
  <c r="Y112" i="1"/>
  <c r="AA112" i="1" s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AA113" i="1" s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 s="1"/>
  <c r="T130" i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AA133" i="1" s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2" i="1"/>
  <c r="L142" i="1"/>
  <c r="M142" i="1"/>
  <c r="N142" i="1" s="1"/>
  <c r="V142" i="1"/>
  <c r="S10" i="3" s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S18" i="3" s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AO169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70" i="1"/>
  <c r="AM170" i="1"/>
  <c r="AN170" i="1"/>
  <c r="AO17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1" i="1"/>
  <c r="AM171" i="1"/>
  <c r="AN171" i="1"/>
  <c r="AO171" i="1"/>
  <c r="K220" i="1"/>
  <c r="L220" i="1"/>
  <c r="M220" i="1"/>
  <c r="N220" i="1" s="1"/>
  <c r="V220" i="1"/>
  <c r="S28" i="3" s="1"/>
  <c r="Y220" i="1"/>
  <c r="Z220" i="1"/>
  <c r="AA220" i="1" s="1"/>
  <c r="AB220" i="1"/>
  <c r="AC220" i="1"/>
  <c r="AD220" i="1"/>
  <c r="T220" i="1" s="1"/>
  <c r="AE220" i="1"/>
  <c r="AF220" i="1"/>
  <c r="AH172" i="1"/>
  <c r="AM172" i="1"/>
  <c r="AN172" i="1"/>
  <c r="AO17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4" i="1"/>
  <c r="AM174" i="1"/>
  <c r="AN174" i="1"/>
  <c r="AO174" i="1"/>
  <c r="K228" i="1"/>
  <c r="L228" i="1"/>
  <c r="M228" i="1"/>
  <c r="N228" i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AO175" i="1"/>
  <c r="K229" i="1"/>
  <c r="L229" i="1"/>
  <c r="M229" i="1"/>
  <c r="N229" i="1"/>
  <c r="V229" i="1"/>
  <c r="Y229" i="1"/>
  <c r="AA229" i="1" s="1"/>
  <c r="Z229" i="1"/>
  <c r="AB229" i="1"/>
  <c r="AC229" i="1"/>
  <c r="AD229" i="1"/>
  <c r="T229" i="1" s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AO177" i="1"/>
  <c r="K231" i="1"/>
  <c r="L231" i="1"/>
  <c r="M231" i="1"/>
  <c r="N231" i="1" s="1"/>
  <c r="V231" i="1"/>
  <c r="Y231" i="1"/>
  <c r="Z231" i="1"/>
  <c r="AB231" i="1"/>
  <c r="AC231" i="1"/>
  <c r="AD231" i="1"/>
  <c r="X231" i="1" s="1"/>
  <c r="AE231" i="1"/>
  <c r="AF231" i="1"/>
  <c r="AH178" i="1"/>
  <c r="AM178" i="1"/>
  <c r="AN178" i="1"/>
  <c r="AO178" i="1"/>
  <c r="K232" i="1"/>
  <c r="L232" i="1"/>
  <c r="M232" i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AO179" i="1"/>
  <c r="K233" i="1"/>
  <c r="L233" i="1"/>
  <c r="M233" i="1"/>
  <c r="V233" i="1"/>
  <c r="Y233" i="1"/>
  <c r="AA233" i="1" s="1"/>
  <c r="Z233" i="1"/>
  <c r="AB233" i="1"/>
  <c r="AC233" i="1"/>
  <c r="AD233" i="1"/>
  <c r="X233" i="1" s="1"/>
  <c r="AE233" i="1"/>
  <c r="AF233" i="1"/>
  <c r="AH180" i="1"/>
  <c r="AM180" i="1"/>
  <c r="AN180" i="1"/>
  <c r="AO180" i="1"/>
  <c r="K234" i="1"/>
  <c r="L234" i="1"/>
  <c r="M234" i="1"/>
  <c r="N234" i="1" s="1"/>
  <c r="T234" i="1"/>
  <c r="V234" i="1"/>
  <c r="Y234" i="1"/>
  <c r="AA234" i="1" s="1"/>
  <c r="Z234" i="1"/>
  <c r="AB234" i="1"/>
  <c r="AC234" i="1"/>
  <c r="AD234" i="1"/>
  <c r="AE234" i="1"/>
  <c r="AF234" i="1"/>
  <c r="AH181" i="1"/>
  <c r="AM181" i="1"/>
  <c r="AN181" i="1"/>
  <c r="AO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AO182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183" i="1"/>
  <c r="AM183" i="1"/>
  <c r="AN183" i="1"/>
  <c r="AO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AO184" i="1"/>
  <c r="K238" i="1"/>
  <c r="L238" i="1"/>
  <c r="M238" i="1"/>
  <c r="N238" i="1" s="1"/>
  <c r="V238" i="1"/>
  <c r="Y238" i="1"/>
  <c r="AA238" i="1" s="1"/>
  <c r="Z238" i="1"/>
  <c r="AB238" i="1"/>
  <c r="AC238" i="1"/>
  <c r="AD238" i="1"/>
  <c r="X238" i="1" s="1"/>
  <c r="AE238" i="1"/>
  <c r="AF238" i="1"/>
  <c r="AH185" i="1"/>
  <c r="AM185" i="1"/>
  <c r="AN185" i="1"/>
  <c r="AO185" i="1"/>
  <c r="K239" i="1"/>
  <c r="L239" i="1"/>
  <c r="M239" i="1"/>
  <c r="N239" i="1" s="1"/>
  <c r="V239" i="1"/>
  <c r="Y239" i="1"/>
  <c r="Z239" i="1"/>
  <c r="AB239" i="1"/>
  <c r="AC239" i="1"/>
  <c r="AD239" i="1"/>
  <c r="X239" i="1" s="1"/>
  <c r="AE239" i="1"/>
  <c r="AF239" i="1"/>
  <c r="AH186" i="1"/>
  <c r="AM186" i="1"/>
  <c r="AN186" i="1"/>
  <c r="AO186" i="1"/>
  <c r="K240" i="1"/>
  <c r="L240" i="1"/>
  <c r="M240" i="1"/>
  <c r="N240" i="1"/>
  <c r="V240" i="1"/>
  <c r="Y240" i="1"/>
  <c r="Z240" i="1"/>
  <c r="AB240" i="1"/>
  <c r="AC240" i="1"/>
  <c r="AD240" i="1"/>
  <c r="AE240" i="1"/>
  <c r="AF240" i="1"/>
  <c r="AH187" i="1"/>
  <c r="AM187" i="1"/>
  <c r="AN187" i="1"/>
  <c r="AO187" i="1"/>
  <c r="K241" i="1"/>
  <c r="L241" i="1"/>
  <c r="M241" i="1"/>
  <c r="N241" i="1"/>
  <c r="V241" i="1"/>
  <c r="Y241" i="1"/>
  <c r="AA241" i="1" s="1"/>
  <c r="Z241" i="1"/>
  <c r="AB241" i="1"/>
  <c r="AC241" i="1"/>
  <c r="AD241" i="1"/>
  <c r="AE241" i="1"/>
  <c r="AF241" i="1"/>
  <c r="AH188" i="1"/>
  <c r="AM188" i="1"/>
  <c r="AN188" i="1"/>
  <c r="AO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AO189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90" i="1"/>
  <c r="AM190" i="1"/>
  <c r="AN190" i="1"/>
  <c r="AO190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1" i="1"/>
  <c r="AM191" i="1"/>
  <c r="AN191" i="1"/>
  <c r="AO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AO192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3" i="1"/>
  <c r="AM193" i="1"/>
  <c r="AN193" i="1"/>
  <c r="AO193" i="1"/>
  <c r="K247" i="1"/>
  <c r="L247" i="1"/>
  <c r="M247" i="1"/>
  <c r="N247" i="1" s="1"/>
  <c r="V247" i="1"/>
  <c r="Y247" i="1"/>
  <c r="Z247" i="1"/>
  <c r="AB247" i="1"/>
  <c r="AC247" i="1"/>
  <c r="AD247" i="1"/>
  <c r="X247" i="1" s="1"/>
  <c r="AE247" i="1"/>
  <c r="AF247" i="1"/>
  <c r="AH194" i="1"/>
  <c r="AM194" i="1"/>
  <c r="AN194" i="1"/>
  <c r="AO194" i="1"/>
  <c r="K248" i="1"/>
  <c r="L248" i="1"/>
  <c r="M248" i="1"/>
  <c r="N248" i="1"/>
  <c r="V248" i="1"/>
  <c r="Y248" i="1"/>
  <c r="Z248" i="1"/>
  <c r="AB248" i="1"/>
  <c r="AC248" i="1"/>
  <c r="AD248" i="1"/>
  <c r="AE248" i="1"/>
  <c r="AF248" i="1"/>
  <c r="AH195" i="1"/>
  <c r="AM195" i="1"/>
  <c r="AN195" i="1"/>
  <c r="AO195" i="1"/>
  <c r="K249" i="1"/>
  <c r="L249" i="1"/>
  <c r="M249" i="1"/>
  <c r="N249" i="1"/>
  <c r="V249" i="1"/>
  <c r="Y249" i="1"/>
  <c r="Z249" i="1"/>
  <c r="AB249" i="1"/>
  <c r="AC249" i="1"/>
  <c r="AD249" i="1"/>
  <c r="AE249" i="1"/>
  <c r="AF249" i="1"/>
  <c r="AH196" i="1"/>
  <c r="AM196" i="1"/>
  <c r="AN196" i="1"/>
  <c r="AO196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7" i="1"/>
  <c r="AM197" i="1"/>
  <c r="AN197" i="1"/>
  <c r="AO197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9" i="1"/>
  <c r="AM199" i="1"/>
  <c r="AN199" i="1"/>
  <c r="AO199" i="1"/>
  <c r="K252" i="1"/>
  <c r="L252" i="1"/>
  <c r="M252" i="1"/>
  <c r="N252" i="1"/>
  <c r="V252" i="1"/>
  <c r="Y252" i="1"/>
  <c r="Z252" i="1"/>
  <c r="AB252" i="1"/>
  <c r="AC252" i="1"/>
  <c r="AD252" i="1"/>
  <c r="T252" i="1" s="1"/>
  <c r="AE252" i="1"/>
  <c r="AF252" i="1"/>
  <c r="AH200" i="1"/>
  <c r="AM200" i="1"/>
  <c r="AN200" i="1"/>
  <c r="AO200" i="1"/>
  <c r="K253" i="1"/>
  <c r="L253" i="1"/>
  <c r="M253" i="1"/>
  <c r="N253" i="1"/>
  <c r="V253" i="1"/>
  <c r="Y253" i="1"/>
  <c r="Z253" i="1"/>
  <c r="AB253" i="1"/>
  <c r="AC253" i="1"/>
  <c r="AD253" i="1"/>
  <c r="X253" i="1" s="1"/>
  <c r="AE253" i="1"/>
  <c r="AF253" i="1"/>
  <c r="AH201" i="1"/>
  <c r="AM201" i="1"/>
  <c r="AN201" i="1"/>
  <c r="AO201" i="1"/>
  <c r="K254" i="1"/>
  <c r="L254" i="1"/>
  <c r="M254" i="1"/>
  <c r="N254" i="1"/>
  <c r="V254" i="1"/>
  <c r="Y254" i="1"/>
  <c r="Z254" i="1"/>
  <c r="AB254" i="1"/>
  <c r="AC254" i="1"/>
  <c r="AD254" i="1"/>
  <c r="T254" i="1" s="1"/>
  <c r="AE254" i="1"/>
  <c r="AF254" i="1"/>
  <c r="AH202" i="1"/>
  <c r="AM202" i="1"/>
  <c r="AN202" i="1"/>
  <c r="AO202" i="1"/>
  <c r="K159" i="1"/>
  <c r="L159" i="1"/>
  <c r="M159" i="1"/>
  <c r="N159" i="1"/>
  <c r="V159" i="1"/>
  <c r="Y159" i="1"/>
  <c r="Z159" i="1"/>
  <c r="AB159" i="1"/>
  <c r="AC159" i="1"/>
  <c r="AD159" i="1"/>
  <c r="AE159" i="1"/>
  <c r="AF159" i="1"/>
  <c r="AH203" i="1"/>
  <c r="AM203" i="1"/>
  <c r="AN203" i="1"/>
  <c r="AO20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4" i="1"/>
  <c r="AM204" i="1"/>
  <c r="AN204" i="1"/>
  <c r="AO204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206" i="1"/>
  <c r="AM206" i="1"/>
  <c r="AN206" i="1"/>
  <c r="AO20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7" i="1"/>
  <c r="AM207" i="1"/>
  <c r="AN207" i="1"/>
  <c r="AO20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8" i="1"/>
  <c r="AM208" i="1"/>
  <c r="AN208" i="1"/>
  <c r="AO20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9" i="1"/>
  <c r="AM209" i="1"/>
  <c r="AN209" i="1"/>
  <c r="AO209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210" i="1"/>
  <c r="AM210" i="1"/>
  <c r="AN210" i="1"/>
  <c r="AO21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1" i="1"/>
  <c r="AM211" i="1"/>
  <c r="AN211" i="1"/>
  <c r="AO21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12" i="1"/>
  <c r="AM212" i="1"/>
  <c r="AN212" i="1"/>
  <c r="AO212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13" i="1"/>
  <c r="AM213" i="1"/>
  <c r="AN213" i="1"/>
  <c r="AO21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4" i="1"/>
  <c r="AM214" i="1"/>
  <c r="AN214" i="1"/>
  <c r="AO214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15" i="1"/>
  <c r="AM215" i="1"/>
  <c r="AN215" i="1"/>
  <c r="AO21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6" i="1"/>
  <c r="AM216" i="1"/>
  <c r="AN216" i="1"/>
  <c r="AO216" i="1"/>
  <c r="K172" i="1"/>
  <c r="L172" i="1"/>
  <c r="M172" i="1"/>
  <c r="V172" i="1"/>
  <c r="S27" i="3" s="1"/>
  <c r="Y172" i="1"/>
  <c r="Z172" i="1"/>
  <c r="AB172" i="1"/>
  <c r="AC172" i="1"/>
  <c r="AD172" i="1"/>
  <c r="X172" i="1" s="1"/>
  <c r="AE172" i="1"/>
  <c r="AF172" i="1"/>
  <c r="AH217" i="1"/>
  <c r="AM217" i="1"/>
  <c r="AN217" i="1"/>
  <c r="AO21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8" i="1"/>
  <c r="AM218" i="1"/>
  <c r="AN218" i="1"/>
  <c r="AO218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219" i="1"/>
  <c r="AM219" i="1"/>
  <c r="AN219" i="1"/>
  <c r="AO219" i="1"/>
  <c r="K176" i="1"/>
  <c r="L176" i="1"/>
  <c r="M176" i="1"/>
  <c r="N176" i="1" s="1"/>
  <c r="V176" i="1"/>
  <c r="Y176" i="1"/>
  <c r="Z176" i="1"/>
  <c r="AA176" i="1" s="1"/>
  <c r="AB176" i="1"/>
  <c r="AC176" i="1"/>
  <c r="AD176" i="1"/>
  <c r="X176" i="1" s="1"/>
  <c r="AE176" i="1"/>
  <c r="AF176" i="1"/>
  <c r="AH220" i="1"/>
  <c r="AM220" i="1"/>
  <c r="AN220" i="1"/>
  <c r="AO22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1" i="1"/>
  <c r="AM221" i="1"/>
  <c r="AN221" i="1"/>
  <c r="AO22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2" i="1"/>
  <c r="AM222" i="1"/>
  <c r="AN222" i="1"/>
  <c r="AO222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23" i="1"/>
  <c r="AM223" i="1"/>
  <c r="AN223" i="1"/>
  <c r="AO223" i="1"/>
  <c r="K180" i="1"/>
  <c r="L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224" i="1"/>
  <c r="AM224" i="1"/>
  <c r="AN224" i="1"/>
  <c r="AO224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25" i="1"/>
  <c r="AM225" i="1"/>
  <c r="AN225" i="1"/>
  <c r="AO225" i="1"/>
  <c r="K182" i="1"/>
  <c r="L182" i="1"/>
  <c r="M182" i="1"/>
  <c r="N182" i="1" s="1"/>
  <c r="V182" i="1"/>
  <c r="Y182" i="1"/>
  <c r="Z182" i="1"/>
  <c r="AA182" i="1" s="1"/>
  <c r="AB182" i="1"/>
  <c r="AC182" i="1"/>
  <c r="AD182" i="1"/>
  <c r="X182" i="1" s="1"/>
  <c r="AE182" i="1"/>
  <c r="AF182" i="1"/>
  <c r="AH226" i="1"/>
  <c r="AM226" i="1"/>
  <c r="AN226" i="1"/>
  <c r="AO226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27" i="1"/>
  <c r="AM227" i="1"/>
  <c r="AN227" i="1"/>
  <c r="AO227" i="1"/>
  <c r="K184" i="1"/>
  <c r="L184" i="1"/>
  <c r="M184" i="1"/>
  <c r="N184" i="1" s="1"/>
  <c r="V184" i="1"/>
  <c r="Y184" i="1"/>
  <c r="Z184" i="1"/>
  <c r="AA184" i="1" s="1"/>
  <c r="AB184" i="1"/>
  <c r="AC184" i="1"/>
  <c r="AD184" i="1"/>
  <c r="X184" i="1" s="1"/>
  <c r="AE184" i="1"/>
  <c r="AF184" i="1"/>
  <c r="AH228" i="1"/>
  <c r="AM228" i="1"/>
  <c r="AN228" i="1"/>
  <c r="AO228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29" i="1"/>
  <c r="AM229" i="1"/>
  <c r="AN229" i="1"/>
  <c r="AO229" i="1"/>
  <c r="K186" i="1"/>
  <c r="L186" i="1"/>
  <c r="M186" i="1"/>
  <c r="N186" i="1" s="1"/>
  <c r="V186" i="1"/>
  <c r="Y186" i="1"/>
  <c r="Z186" i="1"/>
  <c r="AA186" i="1" s="1"/>
  <c r="AB186" i="1"/>
  <c r="AC186" i="1"/>
  <c r="AD186" i="1"/>
  <c r="X186" i="1" s="1"/>
  <c r="AE186" i="1"/>
  <c r="AF186" i="1"/>
  <c r="AH230" i="1"/>
  <c r="AM230" i="1"/>
  <c r="AN230" i="1"/>
  <c r="AO23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31" i="1"/>
  <c r="AM231" i="1"/>
  <c r="AN231" i="1"/>
  <c r="AO23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2" i="1"/>
  <c r="AM232" i="1"/>
  <c r="AN232" i="1"/>
  <c r="AO232" i="1"/>
  <c r="K189" i="1"/>
  <c r="L189" i="1"/>
  <c r="M189" i="1"/>
  <c r="N189" i="1" s="1"/>
  <c r="V189" i="1"/>
  <c r="Y189" i="1"/>
  <c r="Z189" i="1"/>
  <c r="AA189" i="1" s="1"/>
  <c r="AB189" i="1"/>
  <c r="AC189" i="1"/>
  <c r="AD189" i="1"/>
  <c r="X189" i="1" s="1"/>
  <c r="AE189" i="1"/>
  <c r="AF189" i="1"/>
  <c r="AH233" i="1"/>
  <c r="AM233" i="1"/>
  <c r="AN233" i="1"/>
  <c r="AO23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4" i="1"/>
  <c r="AM234" i="1"/>
  <c r="AN234" i="1"/>
  <c r="AO234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35" i="1"/>
  <c r="AM235" i="1"/>
  <c r="AN235" i="1"/>
  <c r="AO235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36" i="1"/>
  <c r="AM236" i="1"/>
  <c r="AN236" i="1"/>
  <c r="AO236" i="1"/>
  <c r="K193" i="1"/>
  <c r="L193" i="1"/>
  <c r="M193" i="1"/>
  <c r="N193" i="1" s="1"/>
  <c r="V193" i="1"/>
  <c r="Y193" i="1"/>
  <c r="AA193" i="1" s="1"/>
  <c r="Z193" i="1"/>
  <c r="AB193" i="1"/>
  <c r="AC193" i="1"/>
  <c r="AD193" i="1"/>
  <c r="T193" i="1" s="1"/>
  <c r="AE193" i="1"/>
  <c r="AF193" i="1"/>
  <c r="AH237" i="1"/>
  <c r="AM237" i="1"/>
  <c r="AN237" i="1"/>
  <c r="AO237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38" i="1"/>
  <c r="AM238" i="1"/>
  <c r="AN238" i="1"/>
  <c r="AO23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9" i="1"/>
  <c r="AM239" i="1"/>
  <c r="AN239" i="1"/>
  <c r="AO23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0" i="1"/>
  <c r="AM240" i="1"/>
  <c r="AN240" i="1"/>
  <c r="AO24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1" i="1"/>
  <c r="AM241" i="1"/>
  <c r="AN241" i="1"/>
  <c r="AO24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2" i="1"/>
  <c r="AM242" i="1"/>
  <c r="AN242" i="1"/>
  <c r="AO24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43" i="1"/>
  <c r="AM243" i="1"/>
  <c r="AN243" i="1"/>
  <c r="AO24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4" i="1"/>
  <c r="AM244" i="1"/>
  <c r="AN244" i="1"/>
  <c r="AO24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5" i="1"/>
  <c r="AM245" i="1"/>
  <c r="AN245" i="1"/>
  <c r="AO24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6" i="1"/>
  <c r="AM246" i="1"/>
  <c r="AN246" i="1"/>
  <c r="AO246" i="1"/>
  <c r="K204" i="1"/>
  <c r="L204" i="1"/>
  <c r="M204" i="1"/>
  <c r="N204" i="1" s="1"/>
  <c r="V204" i="1"/>
  <c r="S26" i="3" s="1"/>
  <c r="Y204" i="1"/>
  <c r="Z204" i="1"/>
  <c r="AB204" i="1"/>
  <c r="AC204" i="1"/>
  <c r="AD204" i="1"/>
  <c r="AE204" i="1"/>
  <c r="R26" i="3" s="1"/>
  <c r="AF204" i="1"/>
  <c r="AH247" i="1"/>
  <c r="AM247" i="1"/>
  <c r="AN247" i="1"/>
  <c r="AO24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8" i="1"/>
  <c r="AM248" i="1"/>
  <c r="AN248" i="1"/>
  <c r="AO24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9" i="1"/>
  <c r="AM249" i="1"/>
  <c r="AN249" i="1"/>
  <c r="AO249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50" i="1"/>
  <c r="AM250" i="1"/>
  <c r="AN250" i="1"/>
  <c r="AO250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51" i="1"/>
  <c r="AM251" i="1"/>
  <c r="AN251" i="1"/>
  <c r="AO251" i="1"/>
  <c r="K258" i="1"/>
  <c r="L258" i="1"/>
  <c r="M258" i="1"/>
  <c r="N258" i="1" s="1"/>
  <c r="V258" i="1"/>
  <c r="Y258" i="1"/>
  <c r="Z258" i="1"/>
  <c r="AB258" i="1"/>
  <c r="AC258" i="1"/>
  <c r="AD258" i="1"/>
  <c r="T258" i="1" s="1"/>
  <c r="AE258" i="1"/>
  <c r="AF258" i="1"/>
  <c r="AH252" i="1"/>
  <c r="AM252" i="1"/>
  <c r="AN252" i="1"/>
  <c r="AO252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53" i="1"/>
  <c r="AM253" i="1"/>
  <c r="AN253" i="1"/>
  <c r="AO253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54" i="1"/>
  <c r="AM254" i="1"/>
  <c r="AN254" i="1"/>
  <c r="AO254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55" i="1"/>
  <c r="AM255" i="1"/>
  <c r="AN255" i="1"/>
  <c r="AO255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56" i="1"/>
  <c r="AM256" i="1"/>
  <c r="AN256" i="1"/>
  <c r="AO256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57" i="1"/>
  <c r="AM257" i="1"/>
  <c r="AN257" i="1"/>
  <c r="AO257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58" i="1"/>
  <c r="AM258" i="1"/>
  <c r="AN258" i="1"/>
  <c r="AO258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59" i="1"/>
  <c r="AM259" i="1"/>
  <c r="AN259" i="1"/>
  <c r="AO259" i="1"/>
  <c r="M28" i="3"/>
  <c r="U28" i="3"/>
  <c r="T28" i="3" s="1"/>
  <c r="V28" i="3"/>
  <c r="X28" i="3"/>
  <c r="M22" i="3"/>
  <c r="U22" i="3"/>
  <c r="AC22" i="3" s="1"/>
  <c r="V22" i="3"/>
  <c r="X22" i="3"/>
  <c r="M23" i="3"/>
  <c r="U23" i="3"/>
  <c r="AC23" i="3" s="1"/>
  <c r="V23" i="3"/>
  <c r="X23" i="3"/>
  <c r="M14" i="3"/>
  <c r="U14" i="3"/>
  <c r="T14" i="3" s="1"/>
  <c r="V14" i="3"/>
  <c r="X14" i="3"/>
  <c r="M8" i="3"/>
  <c r="U8" i="3"/>
  <c r="V8" i="3"/>
  <c r="X8" i="3"/>
  <c r="M25" i="3"/>
  <c r="U25" i="3"/>
  <c r="AC25" i="3" s="1"/>
  <c r="V25" i="3"/>
  <c r="X25" i="3"/>
  <c r="M13" i="3"/>
  <c r="U13" i="3"/>
  <c r="AC13" i="3" s="1"/>
  <c r="V13" i="3"/>
  <c r="X13" i="3"/>
  <c r="M24" i="3"/>
  <c r="U24" i="3"/>
  <c r="AD24" i="3" s="1"/>
  <c r="V24" i="3"/>
  <c r="X24" i="3"/>
  <c r="M36" i="3"/>
  <c r="U36" i="3"/>
  <c r="AC36" i="3" s="1"/>
  <c r="V36" i="3"/>
  <c r="X36" i="3"/>
  <c r="M27" i="3"/>
  <c r="U27" i="3"/>
  <c r="T27" i="3" s="1"/>
  <c r="V27" i="3"/>
  <c r="X27" i="3"/>
  <c r="M20" i="3"/>
  <c r="U20" i="3"/>
  <c r="AD20" i="3" s="1"/>
  <c r="V20" i="3"/>
  <c r="X20" i="3"/>
  <c r="M15" i="3"/>
  <c r="U15" i="3"/>
  <c r="AD15" i="3" s="1"/>
  <c r="V15" i="3"/>
  <c r="X15" i="3"/>
  <c r="M30" i="3"/>
  <c r="U30" i="3"/>
  <c r="AC30" i="3" s="1"/>
  <c r="V30" i="3"/>
  <c r="X30" i="3"/>
  <c r="M33" i="3"/>
  <c r="U33" i="3"/>
  <c r="AD33" i="3" s="1"/>
  <c r="V33" i="3"/>
  <c r="X33" i="3"/>
  <c r="M35" i="3"/>
  <c r="U35" i="3"/>
  <c r="V35" i="3"/>
  <c r="X35" i="3"/>
  <c r="M31" i="3"/>
  <c r="U31" i="3"/>
  <c r="V31" i="3"/>
  <c r="X31" i="3"/>
  <c r="M12" i="3"/>
  <c r="U12" i="3"/>
  <c r="AC12" i="3" s="1"/>
  <c r="V12" i="3"/>
  <c r="X12" i="3"/>
  <c r="M34" i="3"/>
  <c r="U34" i="3"/>
  <c r="V34" i="3"/>
  <c r="X34" i="3"/>
  <c r="M32" i="3"/>
  <c r="U32" i="3"/>
  <c r="V32" i="3"/>
  <c r="X32" i="3"/>
  <c r="M21" i="3"/>
  <c r="U21" i="3"/>
  <c r="AC21" i="3" s="1"/>
  <c r="V21" i="3"/>
  <c r="X21" i="3"/>
  <c r="M9" i="3"/>
  <c r="U9" i="3"/>
  <c r="V9" i="3"/>
  <c r="X9" i="3"/>
  <c r="M29" i="3"/>
  <c r="U29" i="3"/>
  <c r="AD29" i="3" s="1"/>
  <c r="V29" i="3"/>
  <c r="X29" i="3"/>
  <c r="M16" i="3"/>
  <c r="U16" i="3"/>
  <c r="AC16" i="3" s="1"/>
  <c r="V16" i="3"/>
  <c r="X16" i="3"/>
  <c r="M7" i="3"/>
  <c r="U7" i="3"/>
  <c r="T7" i="3" s="1"/>
  <c r="V7" i="3"/>
  <c r="X7" i="3"/>
  <c r="M17" i="3"/>
  <c r="U17" i="3"/>
  <c r="V17" i="3"/>
  <c r="X17" i="3"/>
  <c r="M26" i="3"/>
  <c r="U26" i="3"/>
  <c r="V26" i="3"/>
  <c r="X26" i="3"/>
  <c r="M11" i="3"/>
  <c r="U11" i="3"/>
  <c r="T11" i="3" s="1"/>
  <c r="V11" i="3"/>
  <c r="X11" i="3"/>
  <c r="M10" i="3"/>
  <c r="U10" i="3"/>
  <c r="V10" i="3"/>
  <c r="X10" i="3"/>
  <c r="M18" i="3"/>
  <c r="U18" i="3"/>
  <c r="AC18" i="3" s="1"/>
  <c r="V18" i="3"/>
  <c r="X18" i="3"/>
  <c r="S19" i="3"/>
  <c r="R19" i="3"/>
  <c r="R23" i="3"/>
  <c r="S14" i="3"/>
  <c r="R14" i="3"/>
  <c r="S8" i="3"/>
  <c r="R8" i="3"/>
  <c r="S13" i="3"/>
  <c r="R13" i="3"/>
  <c r="S24" i="3"/>
  <c r="R24" i="3"/>
  <c r="R15" i="3"/>
  <c r="S20" i="3"/>
  <c r="R20" i="3"/>
  <c r="S12" i="3"/>
  <c r="R21" i="3"/>
  <c r="R9" i="3"/>
  <c r="S16" i="3"/>
  <c r="R16" i="3"/>
  <c r="S7" i="3"/>
  <c r="R7" i="3"/>
  <c r="S17" i="3"/>
  <c r="R17" i="3"/>
  <c r="S11" i="3"/>
  <c r="R11" i="3"/>
  <c r="R10" i="3"/>
  <c r="R18" i="3"/>
  <c r="R28" i="3"/>
  <c r="R29" i="3"/>
  <c r="R27" i="3"/>
  <c r="M19" i="3"/>
  <c r="U19" i="3"/>
  <c r="T19" i="3" s="1"/>
  <c r="V19" i="3"/>
  <c r="X19" i="3"/>
  <c r="AG205" i="1"/>
  <c r="AG198" i="1"/>
  <c r="AG173" i="1"/>
  <c r="AG168" i="1"/>
  <c r="AG157" i="1"/>
  <c r="AG141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91" i="1"/>
  <c r="AG95" i="1"/>
  <c r="AG99" i="1"/>
  <c r="AG103" i="1"/>
  <c r="AG107" i="1"/>
  <c r="AG111" i="1"/>
  <c r="AG115" i="1"/>
  <c r="AG119" i="1"/>
  <c r="AG123" i="1"/>
  <c r="AG127" i="1"/>
  <c r="AG131" i="1"/>
  <c r="AG88" i="1"/>
  <c r="AG136" i="1"/>
  <c r="AG140" i="1"/>
  <c r="AG145" i="1"/>
  <c r="AG149" i="1"/>
  <c r="AG153" i="1"/>
  <c r="AG158" i="1"/>
  <c r="AG211" i="1"/>
  <c r="AG215" i="1"/>
  <c r="AG219" i="1"/>
  <c r="AG229" i="1"/>
  <c r="AG233" i="1"/>
  <c r="AG237" i="1"/>
  <c r="AG241" i="1"/>
  <c r="AG245" i="1"/>
  <c r="AG249" i="1"/>
  <c r="AG253" i="1"/>
  <c r="AG161" i="1"/>
  <c r="AG165" i="1"/>
  <c r="AG169" i="1"/>
  <c r="AG174" i="1"/>
  <c r="AG178" i="1"/>
  <c r="AG182" i="1"/>
  <c r="AG186" i="1"/>
  <c r="AG190" i="1"/>
  <c r="AG194" i="1"/>
  <c r="AG199" i="1"/>
  <c r="AG203" i="1"/>
  <c r="AG256" i="1"/>
  <c r="AG222" i="1"/>
  <c r="AG226" i="1"/>
  <c r="AG62" i="1"/>
  <c r="AG82" i="1"/>
  <c r="AG96" i="1"/>
  <c r="AG108" i="1"/>
  <c r="AG120" i="1"/>
  <c r="AG128" i="1"/>
  <c r="AG132" i="1"/>
  <c r="AG137" i="1"/>
  <c r="AG146" i="1"/>
  <c r="AG150" i="1"/>
  <c r="AG208" i="1"/>
  <c r="AG212" i="1"/>
  <c r="AG220" i="1"/>
  <c r="AG234" i="1"/>
  <c r="AG238" i="1"/>
  <c r="AG246" i="1"/>
  <c r="AG250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6" i="1"/>
  <c r="AG70" i="1"/>
  <c r="AG74" i="1"/>
  <c r="AG78" i="1"/>
  <c r="AG86" i="1"/>
  <c r="AG92" i="1"/>
  <c r="AG100" i="1"/>
  <c r="AG104" i="1"/>
  <c r="AG112" i="1"/>
  <c r="AG116" i="1"/>
  <c r="AG124" i="1"/>
  <c r="AG89" i="1"/>
  <c r="AG142" i="1"/>
  <c r="AG154" i="1"/>
  <c r="AG216" i="1"/>
  <c r="AG230" i="1"/>
  <c r="AG242" i="1"/>
  <c r="AG254" i="1"/>
  <c r="AG20" i="1"/>
  <c r="AG44" i="1"/>
  <c r="AG68" i="1"/>
  <c r="AG84" i="1"/>
  <c r="AG102" i="1"/>
  <c r="AG118" i="1"/>
  <c r="AG148" i="1"/>
  <c r="AG214" i="1"/>
  <c r="AG236" i="1"/>
  <c r="AG252" i="1"/>
  <c r="AG175" i="1"/>
  <c r="AG185" i="1"/>
  <c r="AG196" i="1"/>
  <c r="AG257" i="1"/>
  <c r="AG15" i="1"/>
  <c r="AG23" i="1"/>
  <c r="AG31" i="1"/>
  <c r="AG39" i="1"/>
  <c r="AG47" i="1"/>
  <c r="AG55" i="1"/>
  <c r="AG63" i="1"/>
  <c r="AG71" i="1"/>
  <c r="AG79" i="1"/>
  <c r="AG87" i="1"/>
  <c r="AG97" i="1"/>
  <c r="AG105" i="1"/>
  <c r="AG113" i="1"/>
  <c r="AG121" i="1"/>
  <c r="AG129" i="1"/>
  <c r="AG134" i="1"/>
  <c r="AG143" i="1"/>
  <c r="AG151" i="1"/>
  <c r="AG209" i="1"/>
  <c r="AG217" i="1"/>
  <c r="AG231" i="1"/>
  <c r="AG239" i="1"/>
  <c r="AG247" i="1"/>
  <c r="AG159" i="1"/>
  <c r="AG164" i="1"/>
  <c r="AG170" i="1"/>
  <c r="AG176" i="1"/>
  <c r="AG181" i="1"/>
  <c r="AG187" i="1"/>
  <c r="AG192" i="1"/>
  <c r="AG197" i="1"/>
  <c r="AG204" i="1"/>
  <c r="AG258" i="1"/>
  <c r="AG225" i="1"/>
  <c r="AG130" i="1"/>
  <c r="AG218" i="1"/>
  <c r="AG248" i="1"/>
  <c r="AG166" i="1"/>
  <c r="AG183" i="1"/>
  <c r="AG193" i="1"/>
  <c r="AG206" i="1"/>
  <c r="AG227" i="1"/>
  <c r="AG28" i="1"/>
  <c r="AG36" i="1"/>
  <c r="AG52" i="1"/>
  <c r="AG60" i="1"/>
  <c r="AG76" i="1"/>
  <c r="AG94" i="1"/>
  <c r="AG110" i="1"/>
  <c r="AG126" i="1"/>
  <c r="AG139" i="1"/>
  <c r="AG156" i="1"/>
  <c r="AG228" i="1"/>
  <c r="AG244" i="1"/>
  <c r="AG163" i="1"/>
  <c r="AG255" i="1"/>
  <c r="AG180" i="1"/>
  <c r="AG191" i="1"/>
  <c r="AG202" i="1"/>
  <c r="AG224" i="1"/>
  <c r="AG16" i="1"/>
  <c r="AG24" i="1"/>
  <c r="AG32" i="1"/>
  <c r="AG40" i="1"/>
  <c r="AG48" i="1"/>
  <c r="AG56" i="1"/>
  <c r="AG64" i="1"/>
  <c r="AG72" i="1"/>
  <c r="AG80" i="1"/>
  <c r="AG90" i="1"/>
  <c r="AG98" i="1"/>
  <c r="AG106" i="1"/>
  <c r="AG114" i="1"/>
  <c r="AG122" i="1"/>
  <c r="AG135" i="1"/>
  <c r="AG144" i="1"/>
  <c r="AG152" i="1"/>
  <c r="AG210" i="1"/>
  <c r="AG232" i="1"/>
  <c r="AG240" i="1"/>
  <c r="AG160" i="1"/>
  <c r="AG171" i="1"/>
  <c r="AG177" i="1"/>
  <c r="AG188" i="1"/>
  <c r="AG200" i="1"/>
  <c r="AG259" i="1"/>
  <c r="AG19" i="1"/>
  <c r="AG27" i="1"/>
  <c r="AG35" i="1"/>
  <c r="AG43" i="1"/>
  <c r="AG51" i="1"/>
  <c r="AG59" i="1"/>
  <c r="AG67" i="1"/>
  <c r="AG75" i="1"/>
  <c r="AG83" i="1"/>
  <c r="AG93" i="1"/>
  <c r="AG101" i="1"/>
  <c r="AG117" i="1"/>
  <c r="AG125" i="1"/>
  <c r="AG133" i="1"/>
  <c r="AG138" i="1"/>
  <c r="AG147" i="1"/>
  <c r="AG155" i="1"/>
  <c r="AG221" i="1"/>
  <c r="AG235" i="1"/>
  <c r="AG251" i="1"/>
  <c r="AG162" i="1"/>
  <c r="AG172" i="1"/>
  <c r="AG179" i="1"/>
  <c r="AG189" i="1"/>
  <c r="AG201" i="1"/>
  <c r="AG223" i="1"/>
  <c r="AG109" i="1"/>
  <c r="AG213" i="1"/>
  <c r="AG243" i="1"/>
  <c r="AG167" i="1"/>
  <c r="AG184" i="1"/>
  <c r="AG195" i="1"/>
  <c r="AG207" i="1"/>
  <c r="W20" i="3"/>
  <c r="W9" i="3"/>
  <c r="W22" i="3"/>
  <c r="W31" i="3"/>
  <c r="W13" i="3"/>
  <c r="W21" i="3"/>
  <c r="W35" i="3"/>
  <c r="W17" i="3"/>
  <c r="W25" i="3"/>
  <c r="W34" i="3"/>
  <c r="W10" i="3"/>
  <c r="W18" i="3"/>
  <c r="W28" i="3"/>
  <c r="W26" i="3"/>
  <c r="W32" i="3"/>
  <c r="W14" i="3"/>
  <c r="W16" i="3"/>
  <c r="W8" i="3"/>
  <c r="W11" i="3"/>
  <c r="W36" i="3"/>
  <c r="W30" i="3"/>
  <c r="W12" i="3"/>
  <c r="W33" i="3"/>
  <c r="W27" i="3"/>
  <c r="W24" i="3"/>
  <c r="W15" i="3"/>
  <c r="W29" i="3"/>
  <c r="W23" i="3"/>
  <c r="W7" i="3"/>
  <c r="W19" i="3"/>
  <c r="AI205" i="1" l="1"/>
  <c r="U205" i="1"/>
  <c r="S205" i="1" s="1"/>
  <c r="W205" i="1"/>
  <c r="X205" i="1"/>
  <c r="AI198" i="1"/>
  <c r="U198" i="1"/>
  <c r="S198" i="1" s="1"/>
  <c r="W198" i="1"/>
  <c r="AI173" i="1"/>
  <c r="U173" i="1"/>
  <c r="S173" i="1" s="1"/>
  <c r="W173" i="1"/>
  <c r="X173" i="1"/>
  <c r="AI168" i="1"/>
  <c r="U168" i="1"/>
  <c r="S168" i="1" s="1"/>
  <c r="W168" i="1"/>
  <c r="X168" i="1"/>
  <c r="AI157" i="1"/>
  <c r="U157" i="1"/>
  <c r="S157" i="1" s="1"/>
  <c r="W157" i="1"/>
  <c r="X157" i="1"/>
  <c r="AI141" i="1"/>
  <c r="U141" i="1"/>
  <c r="S141" i="1" s="1"/>
  <c r="W141" i="1"/>
  <c r="X203" i="1"/>
  <c r="AA195" i="1"/>
  <c r="AA191" i="1"/>
  <c r="X178" i="1"/>
  <c r="AA244" i="1"/>
  <c r="AA235" i="1"/>
  <c r="X230" i="1"/>
  <c r="AA215" i="1"/>
  <c r="X214" i="1"/>
  <c r="X213" i="1"/>
  <c r="AA211" i="1"/>
  <c r="X209" i="1"/>
  <c r="X156" i="1"/>
  <c r="AA153" i="1"/>
  <c r="X152" i="1"/>
  <c r="AA149" i="1"/>
  <c r="X148" i="1"/>
  <c r="AA145" i="1"/>
  <c r="AA140" i="1"/>
  <c r="X139" i="1"/>
  <c r="AA136" i="1"/>
  <c r="AA126" i="1"/>
  <c r="AA121" i="1"/>
  <c r="AA120" i="1"/>
  <c r="AA109" i="1"/>
  <c r="AA99" i="1"/>
  <c r="AA96" i="1"/>
  <c r="AA69" i="1"/>
  <c r="X67" i="1"/>
  <c r="AA62" i="1"/>
  <c r="AA60" i="1"/>
  <c r="AA59" i="1"/>
  <c r="AA55" i="1"/>
  <c r="X257" i="1"/>
  <c r="X167" i="1"/>
  <c r="AA164" i="1"/>
  <c r="X163" i="1"/>
  <c r="AA160" i="1"/>
  <c r="T247" i="1"/>
  <c r="T239" i="1"/>
  <c r="T238" i="1"/>
  <c r="AA52" i="1"/>
  <c r="AA39" i="1"/>
  <c r="AA35" i="1"/>
  <c r="AA225" i="1"/>
  <c r="AA259" i="1"/>
  <c r="X201" i="1"/>
  <c r="AA197" i="1"/>
  <c r="X192" i="1"/>
  <c r="T189" i="1"/>
  <c r="T176" i="1"/>
  <c r="AA174" i="1"/>
  <c r="AA169" i="1"/>
  <c r="AA165" i="1"/>
  <c r="AA246" i="1"/>
  <c r="AA242" i="1"/>
  <c r="AA237" i="1"/>
  <c r="X236" i="1"/>
  <c r="X235" i="1"/>
  <c r="AA217" i="1"/>
  <c r="AA216" i="1"/>
  <c r="AA213" i="1"/>
  <c r="AA155" i="1"/>
  <c r="X154" i="1"/>
  <c r="AA151" i="1"/>
  <c r="X150" i="1"/>
  <c r="AA147" i="1"/>
  <c r="AA143" i="1"/>
  <c r="AA138" i="1"/>
  <c r="AA130" i="1"/>
  <c r="X128" i="1"/>
  <c r="AA118" i="1"/>
  <c r="AA107" i="1"/>
  <c r="AA101" i="1"/>
  <c r="AA94" i="1"/>
  <c r="AA73" i="1"/>
  <c r="AA66" i="1"/>
  <c r="AA65" i="1"/>
  <c r="AA42" i="1"/>
  <c r="AA36" i="1"/>
  <c r="AA32" i="1"/>
  <c r="AA28" i="1"/>
  <c r="AA24" i="1"/>
  <c r="AA20" i="1"/>
  <c r="AA16" i="1"/>
  <c r="X190" i="1"/>
  <c r="AA188" i="1"/>
  <c r="AA171" i="1"/>
  <c r="AA167" i="1"/>
  <c r="AA163" i="1"/>
  <c r="AA159" i="1"/>
  <c r="T134" i="1"/>
  <c r="AA199" i="1"/>
  <c r="T197" i="1"/>
  <c r="AA172" i="1"/>
  <c r="AA255" i="1"/>
  <c r="T251" i="1"/>
  <c r="X251" i="1"/>
  <c r="X216" i="1"/>
  <c r="T216" i="1"/>
  <c r="AA196" i="1"/>
  <c r="X194" i="1"/>
  <c r="AA178" i="1"/>
  <c r="AA177" i="1"/>
  <c r="AA166" i="1"/>
  <c r="AA162" i="1"/>
  <c r="X246" i="1"/>
  <c r="T246" i="1"/>
  <c r="T221" i="1"/>
  <c r="X221" i="1"/>
  <c r="T133" i="1"/>
  <c r="X133" i="1"/>
  <c r="AA161" i="1"/>
  <c r="AA245" i="1"/>
  <c r="AA240" i="1"/>
  <c r="AA239" i="1"/>
  <c r="T230" i="1"/>
  <c r="AA219" i="1"/>
  <c r="X217" i="1"/>
  <c r="AA210" i="1"/>
  <c r="AA209" i="1"/>
  <c r="AA208" i="1"/>
  <c r="AA156" i="1"/>
  <c r="AA152" i="1"/>
  <c r="AA148" i="1"/>
  <c r="AA144" i="1"/>
  <c r="AA139" i="1"/>
  <c r="AA131" i="1"/>
  <c r="AA129" i="1"/>
  <c r="AA128" i="1"/>
  <c r="X127" i="1"/>
  <c r="AA124" i="1"/>
  <c r="AA114" i="1"/>
  <c r="AA111" i="1"/>
  <c r="AA108" i="1"/>
  <c r="AA98" i="1"/>
  <c r="AA95" i="1"/>
  <c r="AA92" i="1"/>
  <c r="X71" i="1"/>
  <c r="AA63" i="1"/>
  <c r="AA48" i="1"/>
  <c r="AA46" i="1"/>
  <c r="AA45" i="1"/>
  <c r="AA33" i="1"/>
  <c r="AA29" i="1"/>
  <c r="AA25" i="1"/>
  <c r="AA21" i="1"/>
  <c r="AA17" i="1"/>
  <c r="AA254" i="1"/>
  <c r="AA253" i="1"/>
  <c r="AA252" i="1"/>
  <c r="AA251" i="1"/>
  <c r="AA247" i="1"/>
  <c r="AA232" i="1"/>
  <c r="AA231" i="1"/>
  <c r="AA230" i="1"/>
  <c r="AA228" i="1"/>
  <c r="AA221" i="1"/>
  <c r="AA154" i="1"/>
  <c r="AA150" i="1"/>
  <c r="AA146" i="1"/>
  <c r="AA142" i="1"/>
  <c r="AA137" i="1"/>
  <c r="AA122" i="1"/>
  <c r="AA119" i="1"/>
  <c r="AA116" i="1"/>
  <c r="AA106" i="1"/>
  <c r="AA103" i="1"/>
  <c r="AA100" i="1"/>
  <c r="AA90" i="1"/>
  <c r="X89" i="1"/>
  <c r="AA86" i="1"/>
  <c r="AA71" i="1"/>
  <c r="AA70" i="1"/>
  <c r="X69" i="1"/>
  <c r="AA67" i="1"/>
  <c r="X66" i="1"/>
  <c r="X63" i="1"/>
  <c r="X60" i="1"/>
  <c r="AA58" i="1"/>
  <c r="AA57" i="1"/>
  <c r="AA56" i="1"/>
  <c r="AA54" i="1"/>
  <c r="AA53" i="1"/>
  <c r="AA40" i="1"/>
  <c r="AA38" i="1"/>
  <c r="AA37" i="1"/>
  <c r="AA31" i="1"/>
  <c r="AA27" i="1"/>
  <c r="AA23" i="1"/>
  <c r="AA19" i="1"/>
  <c r="AA15" i="1"/>
  <c r="T204" i="1"/>
  <c r="X204" i="1"/>
  <c r="T202" i="1"/>
  <c r="X202" i="1"/>
  <c r="T194" i="1"/>
  <c r="T178" i="1"/>
  <c r="X250" i="1"/>
  <c r="T250" i="1"/>
  <c r="X249" i="1"/>
  <c r="T249" i="1"/>
  <c r="T248" i="1"/>
  <c r="X248" i="1"/>
  <c r="X243" i="1"/>
  <c r="AA258" i="1"/>
  <c r="AA257" i="1"/>
  <c r="AA256" i="1"/>
  <c r="AA207" i="1"/>
  <c r="AA206" i="1"/>
  <c r="T206" i="1"/>
  <c r="AA203" i="1"/>
  <c r="T203" i="1"/>
  <c r="AA201" i="1"/>
  <c r="T201" i="1"/>
  <c r="X196" i="1"/>
  <c r="T192" i="1"/>
  <c r="X188" i="1"/>
  <c r="X241" i="1"/>
  <c r="X195" i="1"/>
  <c r="X187" i="1"/>
  <c r="X185" i="1"/>
  <c r="X183" i="1"/>
  <c r="X181" i="1"/>
  <c r="X179" i="1"/>
  <c r="X240" i="1"/>
  <c r="T240" i="1"/>
  <c r="AA204" i="1"/>
  <c r="AA202" i="1"/>
  <c r="AA200" i="1"/>
  <c r="X193" i="1"/>
  <c r="T191" i="1"/>
  <c r="T186" i="1"/>
  <c r="T184" i="1"/>
  <c r="T182" i="1"/>
  <c r="T180" i="1"/>
  <c r="X177" i="1"/>
  <c r="AA250" i="1"/>
  <c r="AA249" i="1"/>
  <c r="X244" i="1"/>
  <c r="T244" i="1"/>
  <c r="X245" i="1"/>
  <c r="T241" i="1"/>
  <c r="X237" i="1"/>
  <c r="T236" i="1"/>
  <c r="T233" i="1"/>
  <c r="X229" i="1"/>
  <c r="T219" i="1"/>
  <c r="X215" i="1"/>
  <c r="T214" i="1"/>
  <c r="T211" i="1"/>
  <c r="X208" i="1"/>
  <c r="T131" i="1"/>
  <c r="T67" i="1"/>
  <c r="T57" i="1"/>
  <c r="T231" i="1"/>
  <c r="X228" i="1"/>
  <c r="T217" i="1"/>
  <c r="T209" i="1"/>
  <c r="T129" i="1"/>
  <c r="AA87" i="1"/>
  <c r="X73" i="1"/>
  <c r="AA72" i="1"/>
  <c r="T69" i="1"/>
  <c r="X65" i="1"/>
  <c r="AA64" i="1"/>
  <c r="X62" i="1"/>
  <c r="X59" i="1"/>
  <c r="AA248" i="1"/>
  <c r="X242" i="1"/>
  <c r="X234" i="1"/>
  <c r="X220" i="1"/>
  <c r="X212" i="1"/>
  <c r="X132" i="1"/>
  <c r="X58" i="1"/>
  <c r="X232" i="1"/>
  <c r="X218" i="1"/>
  <c r="X210" i="1"/>
  <c r="AA134" i="1"/>
  <c r="X130" i="1"/>
  <c r="T128" i="1"/>
  <c r="X87" i="1"/>
  <c r="X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68" i="1"/>
  <c r="X56" i="1"/>
  <c r="AI259" i="1"/>
  <c r="U227" i="1"/>
  <c r="S227" i="1" s="1"/>
  <c r="AI258" i="1"/>
  <c r="U226" i="1"/>
  <c r="S226" i="1" s="1"/>
  <c r="AI257" i="1"/>
  <c r="U225" i="1"/>
  <c r="S225" i="1" s="1"/>
  <c r="AI256" i="1"/>
  <c r="U224" i="1"/>
  <c r="S224" i="1" s="1"/>
  <c r="AI255" i="1"/>
  <c r="U223" i="1"/>
  <c r="S223" i="1" s="1"/>
  <c r="AI254" i="1"/>
  <c r="U222" i="1"/>
  <c r="S222" i="1" s="1"/>
  <c r="AI253" i="1"/>
  <c r="U259" i="1"/>
  <c r="S259" i="1" s="1"/>
  <c r="AI252" i="1"/>
  <c r="U258" i="1"/>
  <c r="S258" i="1" s="1"/>
  <c r="AI251" i="1"/>
  <c r="AI250" i="1"/>
  <c r="U256" i="1"/>
  <c r="S256" i="1" s="1"/>
  <c r="AI249" i="1"/>
  <c r="U207" i="1"/>
  <c r="S207" i="1" s="1"/>
  <c r="AI248" i="1"/>
  <c r="U206" i="1"/>
  <c r="S206" i="1" s="1"/>
  <c r="AI247" i="1"/>
  <c r="U204" i="1"/>
  <c r="S204" i="1" s="1"/>
  <c r="AI246" i="1"/>
  <c r="U203" i="1"/>
  <c r="S203" i="1" s="1"/>
  <c r="AI245" i="1"/>
  <c r="U202" i="1"/>
  <c r="S202" i="1" s="1"/>
  <c r="AI244" i="1"/>
  <c r="U201" i="1"/>
  <c r="S201" i="1" s="1"/>
  <c r="AI243" i="1"/>
  <c r="U200" i="1"/>
  <c r="S200" i="1" s="1"/>
  <c r="U199" i="1"/>
  <c r="S199" i="1" s="1"/>
  <c r="AI242" i="1"/>
  <c r="U197" i="1"/>
  <c r="S197" i="1" s="1"/>
  <c r="AI241" i="1"/>
  <c r="U196" i="1"/>
  <c r="S196" i="1" s="1"/>
  <c r="AI240" i="1"/>
  <c r="U195" i="1"/>
  <c r="S195" i="1" s="1"/>
  <c r="AI239" i="1"/>
  <c r="U194" i="1"/>
  <c r="S194" i="1" s="1"/>
  <c r="AI238" i="1"/>
  <c r="U193" i="1"/>
  <c r="S193" i="1" s="1"/>
  <c r="AI237" i="1"/>
  <c r="U192" i="1"/>
  <c r="S192" i="1" s="1"/>
  <c r="AI236" i="1"/>
  <c r="U191" i="1"/>
  <c r="S191" i="1" s="1"/>
  <c r="AI235" i="1"/>
  <c r="U190" i="1"/>
  <c r="S190" i="1" s="1"/>
  <c r="AI234" i="1"/>
  <c r="U189" i="1"/>
  <c r="S189" i="1" s="1"/>
  <c r="AI233" i="1"/>
  <c r="U188" i="1"/>
  <c r="S188" i="1" s="1"/>
  <c r="AI232" i="1"/>
  <c r="U187" i="1"/>
  <c r="S187" i="1" s="1"/>
  <c r="AI231" i="1"/>
  <c r="U186" i="1"/>
  <c r="S186" i="1" s="1"/>
  <c r="AI230" i="1"/>
  <c r="U185" i="1"/>
  <c r="S185" i="1" s="1"/>
  <c r="AI229" i="1"/>
  <c r="U184" i="1"/>
  <c r="S184" i="1" s="1"/>
  <c r="AI228" i="1"/>
  <c r="U183" i="1"/>
  <c r="S183" i="1" s="1"/>
  <c r="AI227" i="1"/>
  <c r="U182" i="1"/>
  <c r="S182" i="1" s="1"/>
  <c r="AI226" i="1"/>
  <c r="U181" i="1"/>
  <c r="S181" i="1" s="1"/>
  <c r="AI225" i="1"/>
  <c r="U180" i="1"/>
  <c r="S180" i="1" s="1"/>
  <c r="AI224" i="1"/>
  <c r="U179" i="1"/>
  <c r="S179" i="1" s="1"/>
  <c r="AI223" i="1"/>
  <c r="U178" i="1"/>
  <c r="S178" i="1" s="1"/>
  <c r="AI222" i="1"/>
  <c r="U177" i="1"/>
  <c r="S177" i="1" s="1"/>
  <c r="AI221" i="1"/>
  <c r="U176" i="1"/>
  <c r="S176" i="1" s="1"/>
  <c r="AI220" i="1"/>
  <c r="AI219" i="1"/>
  <c r="U174" i="1"/>
  <c r="S174" i="1" s="1"/>
  <c r="AI218" i="1"/>
  <c r="AI217" i="1"/>
  <c r="U171" i="1"/>
  <c r="S171" i="1" s="1"/>
  <c r="AI216" i="1"/>
  <c r="U170" i="1"/>
  <c r="S170" i="1" s="1"/>
  <c r="AI215" i="1"/>
  <c r="AI214" i="1"/>
  <c r="AI213" i="1"/>
  <c r="U255" i="1"/>
  <c r="S255" i="1" s="1"/>
  <c r="AI212" i="1"/>
  <c r="AI211" i="1"/>
  <c r="U166" i="1"/>
  <c r="S166" i="1" s="1"/>
  <c r="AI210" i="1"/>
  <c r="AI209" i="1"/>
  <c r="U164" i="1"/>
  <c r="S164" i="1" s="1"/>
  <c r="AI208" i="1"/>
  <c r="AI207" i="1"/>
  <c r="U162" i="1"/>
  <c r="S162" i="1" s="1"/>
  <c r="AI206" i="1"/>
  <c r="AI204" i="1"/>
  <c r="U160" i="1"/>
  <c r="S160" i="1" s="1"/>
  <c r="AI203" i="1"/>
  <c r="AI202" i="1"/>
  <c r="U254" i="1"/>
  <c r="S254" i="1" s="1"/>
  <c r="AI201" i="1"/>
  <c r="AI200" i="1"/>
  <c r="U252" i="1"/>
  <c r="S252" i="1" s="1"/>
  <c r="AI199" i="1"/>
  <c r="U251" i="1"/>
  <c r="S251" i="1" s="1"/>
  <c r="AI197" i="1"/>
  <c r="U250" i="1"/>
  <c r="S250" i="1" s="1"/>
  <c r="AI196" i="1"/>
  <c r="U249" i="1"/>
  <c r="S249" i="1" s="1"/>
  <c r="AI195" i="1"/>
  <c r="U248" i="1"/>
  <c r="S248" i="1" s="1"/>
  <c r="U247" i="1"/>
  <c r="S247" i="1" s="1"/>
  <c r="AI194" i="1"/>
  <c r="U246" i="1"/>
  <c r="S246" i="1" s="1"/>
  <c r="AI193" i="1"/>
  <c r="W246" i="1"/>
  <c r="U245" i="1"/>
  <c r="S245" i="1" s="1"/>
  <c r="AI192" i="1"/>
  <c r="U244" i="1"/>
  <c r="S244" i="1" s="1"/>
  <c r="AI191" i="1"/>
  <c r="W244" i="1"/>
  <c r="U243" i="1"/>
  <c r="S243" i="1" s="1"/>
  <c r="AI190" i="1"/>
  <c r="U242" i="1"/>
  <c r="S242" i="1" s="1"/>
  <c r="AI189" i="1"/>
  <c r="U241" i="1"/>
  <c r="S241" i="1" s="1"/>
  <c r="AI188" i="1"/>
  <c r="U240" i="1"/>
  <c r="S240" i="1" s="1"/>
  <c r="AI187" i="1"/>
  <c r="W240" i="1"/>
  <c r="U239" i="1"/>
  <c r="S239" i="1" s="1"/>
  <c r="AI186" i="1"/>
  <c r="U238" i="1"/>
  <c r="S238" i="1" s="1"/>
  <c r="AI185" i="1"/>
  <c r="W238" i="1"/>
  <c r="U237" i="1"/>
  <c r="S237" i="1" s="1"/>
  <c r="AI184" i="1"/>
  <c r="U236" i="1"/>
  <c r="S236" i="1" s="1"/>
  <c r="AI183" i="1"/>
  <c r="W236" i="1"/>
  <c r="U235" i="1"/>
  <c r="S235" i="1" s="1"/>
  <c r="AI182" i="1"/>
  <c r="U234" i="1"/>
  <c r="S234" i="1" s="1"/>
  <c r="AI181" i="1"/>
  <c r="U233" i="1"/>
  <c r="S233" i="1" s="1"/>
  <c r="AI180" i="1"/>
  <c r="U232" i="1"/>
  <c r="S232" i="1" s="1"/>
  <c r="AI179" i="1"/>
  <c r="W232" i="1"/>
  <c r="U231" i="1"/>
  <c r="S231" i="1" s="1"/>
  <c r="AI178" i="1"/>
  <c r="U230" i="1"/>
  <c r="S230" i="1" s="1"/>
  <c r="AI177" i="1"/>
  <c r="W230" i="1"/>
  <c r="U229" i="1"/>
  <c r="S229" i="1" s="1"/>
  <c r="AI176" i="1"/>
  <c r="U228" i="1"/>
  <c r="S228" i="1" s="1"/>
  <c r="AI175" i="1"/>
  <c r="U221" i="1"/>
  <c r="S221" i="1" s="1"/>
  <c r="AI174" i="1"/>
  <c r="U220" i="1"/>
  <c r="S220" i="1" s="1"/>
  <c r="AI172" i="1"/>
  <c r="U219" i="1"/>
  <c r="S219" i="1" s="1"/>
  <c r="AI171" i="1"/>
  <c r="U218" i="1"/>
  <c r="S218" i="1" s="1"/>
  <c r="AI170" i="1"/>
  <c r="U217" i="1"/>
  <c r="S217" i="1" s="1"/>
  <c r="AI169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U210" i="1"/>
  <c r="S210" i="1" s="1"/>
  <c r="AI161" i="1"/>
  <c r="U209" i="1"/>
  <c r="S209" i="1" s="1"/>
  <c r="AI160" i="1"/>
  <c r="U208" i="1"/>
  <c r="S208" i="1" s="1"/>
  <c r="AI159" i="1"/>
  <c r="U158" i="1"/>
  <c r="S158" i="1" s="1"/>
  <c r="AI158" i="1"/>
  <c r="AI156" i="1"/>
  <c r="U155" i="1"/>
  <c r="S155" i="1" s="1"/>
  <c r="AI155" i="1"/>
  <c r="AI154" i="1"/>
  <c r="U153" i="1"/>
  <c r="S153" i="1" s="1"/>
  <c r="AI153" i="1"/>
  <c r="AI152" i="1"/>
  <c r="U151" i="1"/>
  <c r="S151" i="1" s="1"/>
  <c r="AI151" i="1"/>
  <c r="AI150" i="1"/>
  <c r="U149" i="1"/>
  <c r="S149" i="1" s="1"/>
  <c r="AI149" i="1"/>
  <c r="AI148" i="1"/>
  <c r="U147" i="1"/>
  <c r="S147" i="1" s="1"/>
  <c r="AI147" i="1"/>
  <c r="AI146" i="1"/>
  <c r="U145" i="1"/>
  <c r="S145" i="1" s="1"/>
  <c r="AI145" i="1"/>
  <c r="AI144" i="1"/>
  <c r="U143" i="1"/>
  <c r="S143" i="1" s="1"/>
  <c r="AI143" i="1"/>
  <c r="AI142" i="1"/>
  <c r="U140" i="1"/>
  <c r="S140" i="1" s="1"/>
  <c r="AI140" i="1"/>
  <c r="AI139" i="1"/>
  <c r="U138" i="1"/>
  <c r="S138" i="1" s="1"/>
  <c r="AI138" i="1"/>
  <c r="AI137" i="1"/>
  <c r="U136" i="1"/>
  <c r="S136" i="1" s="1"/>
  <c r="AI136" i="1"/>
  <c r="U135" i="1"/>
  <c r="S135" i="1" s="1"/>
  <c r="AI135" i="1"/>
  <c r="U134" i="1"/>
  <c r="S134" i="1" s="1"/>
  <c r="AI134" i="1"/>
  <c r="AI89" i="1"/>
  <c r="AI88" i="1"/>
  <c r="U133" i="1"/>
  <c r="S133" i="1" s="1"/>
  <c r="AI133" i="1"/>
  <c r="U132" i="1"/>
  <c r="S132" i="1" s="1"/>
  <c r="AI132" i="1"/>
  <c r="W132" i="1"/>
  <c r="U131" i="1"/>
  <c r="S131" i="1" s="1"/>
  <c r="AI131" i="1"/>
  <c r="U130" i="1"/>
  <c r="S130" i="1" s="1"/>
  <c r="AI130" i="1"/>
  <c r="W130" i="1"/>
  <c r="U129" i="1"/>
  <c r="S129" i="1" s="1"/>
  <c r="AI129" i="1"/>
  <c r="U128" i="1"/>
  <c r="S128" i="1" s="1"/>
  <c r="AI128" i="1"/>
  <c r="W128" i="1"/>
  <c r="U127" i="1"/>
  <c r="AI127" i="1"/>
  <c r="S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AI87" i="1"/>
  <c r="U87" i="1"/>
  <c r="S87" i="1" s="1"/>
  <c r="AI86" i="1"/>
  <c r="U86" i="1"/>
  <c r="S86" i="1" s="1"/>
  <c r="AI85" i="1"/>
  <c r="AI84" i="1"/>
  <c r="AI83" i="1"/>
  <c r="AI82" i="1"/>
  <c r="AI81" i="1"/>
  <c r="AI80" i="1"/>
  <c r="AI79" i="1"/>
  <c r="AI78" i="1"/>
  <c r="AI77" i="1"/>
  <c r="AI76" i="1"/>
  <c r="U76" i="1"/>
  <c r="S76" i="1" s="1"/>
  <c r="AI75" i="1"/>
  <c r="U75" i="1"/>
  <c r="S75" i="1" s="1"/>
  <c r="AI74" i="1"/>
  <c r="U74" i="1"/>
  <c r="S74" i="1" s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AI59" i="1"/>
  <c r="U58" i="1"/>
  <c r="AI58" i="1"/>
  <c r="W58" i="1"/>
  <c r="U57" i="1"/>
  <c r="AI57" i="1"/>
  <c r="S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00" i="1"/>
  <c r="W191" i="1"/>
  <c r="W227" i="1"/>
  <c r="W226" i="1"/>
  <c r="W225" i="1"/>
  <c r="W224" i="1"/>
  <c r="W223" i="1"/>
  <c r="W222" i="1"/>
  <c r="W259" i="1"/>
  <c r="W258" i="1"/>
  <c r="W257" i="1"/>
  <c r="W256" i="1"/>
  <c r="W207" i="1"/>
  <c r="W206" i="1"/>
  <c r="W203" i="1"/>
  <c r="W201" i="1"/>
  <c r="W199" i="1"/>
  <c r="W195" i="1"/>
  <c r="W190" i="1"/>
  <c r="W187" i="1"/>
  <c r="W185" i="1"/>
  <c r="W183" i="1"/>
  <c r="W181" i="1"/>
  <c r="W179" i="1"/>
  <c r="W247" i="1"/>
  <c r="W239" i="1"/>
  <c r="W231" i="1"/>
  <c r="W196" i="1"/>
  <c r="W193" i="1"/>
  <c r="W188" i="1"/>
  <c r="W177" i="1"/>
  <c r="W175" i="1"/>
  <c r="W174" i="1"/>
  <c r="W172" i="1"/>
  <c r="W171" i="1"/>
  <c r="W245" i="1"/>
  <c r="W242" i="1"/>
  <c r="W237" i="1"/>
  <c r="W234" i="1"/>
  <c r="W229" i="1"/>
  <c r="W184" i="1"/>
  <c r="W180" i="1"/>
  <c r="W178" i="1"/>
  <c r="W243" i="1"/>
  <c r="W235" i="1"/>
  <c r="W204" i="1"/>
  <c r="W202" i="1"/>
  <c r="W194" i="1"/>
  <c r="W186" i="1"/>
  <c r="W182" i="1"/>
  <c r="W197" i="1"/>
  <c r="W192" i="1"/>
  <c r="W189" i="1"/>
  <c r="W176" i="1"/>
  <c r="W241" i="1"/>
  <c r="W233" i="1"/>
  <c r="X171" i="1"/>
  <c r="W228" i="1"/>
  <c r="W217" i="1"/>
  <c r="W214" i="1"/>
  <c r="W209" i="1"/>
  <c r="W129" i="1"/>
  <c r="X226" i="1"/>
  <c r="X224" i="1"/>
  <c r="X222" i="1"/>
  <c r="X258" i="1"/>
  <c r="T257" i="1"/>
  <c r="U257" i="1" s="1"/>
  <c r="S257" i="1" s="1"/>
  <c r="X207" i="1"/>
  <c r="T175" i="1"/>
  <c r="U175" i="1" s="1"/>
  <c r="S175" i="1" s="1"/>
  <c r="T172" i="1"/>
  <c r="U172" i="1" s="1"/>
  <c r="S172" i="1" s="1"/>
  <c r="X170" i="1"/>
  <c r="W169" i="1"/>
  <c r="T169" i="1"/>
  <c r="U169" i="1" s="1"/>
  <c r="S169" i="1" s="1"/>
  <c r="X255" i="1"/>
  <c r="W167" i="1"/>
  <c r="T167" i="1"/>
  <c r="U167" i="1" s="1"/>
  <c r="S167" i="1" s="1"/>
  <c r="X166" i="1"/>
  <c r="W165" i="1"/>
  <c r="T165" i="1"/>
  <c r="U165" i="1" s="1"/>
  <c r="S165" i="1" s="1"/>
  <c r="X164" i="1"/>
  <c r="W163" i="1"/>
  <c r="T163" i="1"/>
  <c r="U163" i="1" s="1"/>
  <c r="S163" i="1" s="1"/>
  <c r="X162" i="1"/>
  <c r="W161" i="1"/>
  <c r="T161" i="1"/>
  <c r="U161" i="1" s="1"/>
  <c r="S161" i="1" s="1"/>
  <c r="W159" i="1"/>
  <c r="T159" i="1"/>
  <c r="U159" i="1" s="1"/>
  <c r="S159" i="1" s="1"/>
  <c r="X254" i="1"/>
  <c r="W253" i="1"/>
  <c r="T253" i="1"/>
  <c r="U253" i="1" s="1"/>
  <c r="S253" i="1" s="1"/>
  <c r="X252" i="1"/>
  <c r="W251" i="1"/>
  <c r="W249" i="1"/>
  <c r="W220" i="1"/>
  <c r="W215" i="1"/>
  <c r="W212" i="1"/>
  <c r="W158" i="1"/>
  <c r="W127" i="1"/>
  <c r="X227" i="1"/>
  <c r="X225" i="1"/>
  <c r="X223" i="1"/>
  <c r="X259" i="1"/>
  <c r="X256" i="1"/>
  <c r="W221" i="1"/>
  <c r="W218" i="1"/>
  <c r="W213" i="1"/>
  <c r="W210" i="1"/>
  <c r="W133" i="1"/>
  <c r="W170" i="1"/>
  <c r="W255" i="1"/>
  <c r="W166" i="1"/>
  <c r="W164" i="1"/>
  <c r="W162" i="1"/>
  <c r="W160" i="1"/>
  <c r="W254" i="1"/>
  <c r="W252" i="1"/>
  <c r="W250" i="1"/>
  <c r="W248" i="1"/>
  <c r="W219" i="1"/>
  <c r="W216" i="1"/>
  <c r="W211" i="1"/>
  <c r="W208" i="1"/>
  <c r="W131" i="1"/>
  <c r="T156" i="1"/>
  <c r="U156" i="1" s="1"/>
  <c r="S156" i="1" s="1"/>
  <c r="X155" i="1"/>
  <c r="W154" i="1"/>
  <c r="T154" i="1"/>
  <c r="U154" i="1" s="1"/>
  <c r="S154" i="1" s="1"/>
  <c r="X153" i="1"/>
  <c r="W152" i="1"/>
  <c r="T152" i="1"/>
  <c r="U152" i="1" s="1"/>
  <c r="S152" i="1" s="1"/>
  <c r="X151" i="1"/>
  <c r="W150" i="1"/>
  <c r="T150" i="1"/>
  <c r="U150" i="1" s="1"/>
  <c r="S150" i="1" s="1"/>
  <c r="X149" i="1"/>
  <c r="W148" i="1"/>
  <c r="T148" i="1"/>
  <c r="U148" i="1" s="1"/>
  <c r="S148" i="1" s="1"/>
  <c r="X147" i="1"/>
  <c r="W146" i="1"/>
  <c r="T146" i="1"/>
  <c r="U146" i="1" s="1"/>
  <c r="S146" i="1" s="1"/>
  <c r="W144" i="1"/>
  <c r="T144" i="1"/>
  <c r="U144" i="1" s="1"/>
  <c r="S144" i="1" s="1"/>
  <c r="W142" i="1"/>
  <c r="T142" i="1"/>
  <c r="U142" i="1" s="1"/>
  <c r="S142" i="1" s="1"/>
  <c r="X140" i="1"/>
  <c r="W139" i="1"/>
  <c r="T139" i="1"/>
  <c r="U139" i="1" s="1"/>
  <c r="S139" i="1" s="1"/>
  <c r="X138" i="1"/>
  <c r="W137" i="1"/>
  <c r="T137" i="1"/>
  <c r="U137" i="1" s="1"/>
  <c r="S137" i="1" s="1"/>
  <c r="W135" i="1"/>
  <c r="W126" i="1"/>
  <c r="W122" i="1"/>
  <c r="W118" i="1"/>
  <c r="W114" i="1"/>
  <c r="W110" i="1"/>
  <c r="W106" i="1"/>
  <c r="W102" i="1"/>
  <c r="W98" i="1"/>
  <c r="W125" i="1"/>
  <c r="W121" i="1"/>
  <c r="W117" i="1"/>
  <c r="W113" i="1"/>
  <c r="W109" i="1"/>
  <c r="W105" i="1"/>
  <c r="W101" i="1"/>
  <c r="W97" i="1"/>
  <c r="W155" i="1"/>
  <c r="W153" i="1"/>
  <c r="W151" i="1"/>
  <c r="W149" i="1"/>
  <c r="W147" i="1"/>
  <c r="W145" i="1"/>
  <c r="W143" i="1"/>
  <c r="W140" i="1"/>
  <c r="W138" i="1"/>
  <c r="W136" i="1"/>
  <c r="W134" i="1"/>
  <c r="W124" i="1"/>
  <c r="W120" i="1"/>
  <c r="W116" i="1"/>
  <c r="W112" i="1"/>
  <c r="W108" i="1"/>
  <c r="W104" i="1"/>
  <c r="W100" i="1"/>
  <c r="W96" i="1"/>
  <c r="W156" i="1"/>
  <c r="W123" i="1"/>
  <c r="W119" i="1"/>
  <c r="W115" i="1"/>
  <c r="W111" i="1"/>
  <c r="W107" i="1"/>
  <c r="W103" i="1"/>
  <c r="W99" i="1"/>
  <c r="W95" i="1"/>
  <c r="W94" i="1"/>
  <c r="W90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W93" i="1"/>
  <c r="W92" i="1"/>
  <c r="W91" i="1"/>
  <c r="X95" i="1"/>
  <c r="X94" i="1"/>
  <c r="X93" i="1"/>
  <c r="X92" i="1"/>
  <c r="X91" i="1"/>
  <c r="X90" i="1"/>
  <c r="AA89" i="1"/>
  <c r="W89" i="1" s="1"/>
  <c r="AA88" i="1"/>
  <c r="W88" i="1" s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W70" i="1"/>
  <c r="W69" i="1"/>
  <c r="W62" i="1"/>
  <c r="W60" i="1"/>
  <c r="T89" i="1"/>
  <c r="U89" i="1" s="1"/>
  <c r="S89" i="1" s="1"/>
  <c r="T88" i="1"/>
  <c r="U88" i="1" s="1"/>
  <c r="S88" i="1" s="1"/>
  <c r="W86" i="1"/>
  <c r="W72" i="1"/>
  <c r="W71" i="1"/>
  <c r="W64" i="1"/>
  <c r="W63" i="1"/>
  <c r="W61" i="1"/>
  <c r="W73" i="1"/>
  <c r="W66" i="1"/>
  <c r="W65" i="1"/>
  <c r="W59" i="1"/>
  <c r="W87" i="1"/>
  <c r="W85" i="1"/>
  <c r="W84" i="1"/>
  <c r="W83" i="1"/>
  <c r="W82" i="1"/>
  <c r="W81" i="1"/>
  <c r="W80" i="1"/>
  <c r="W79" i="1"/>
  <c r="W78" i="1"/>
  <c r="W77" i="1"/>
  <c r="W76" i="1"/>
  <c r="W75" i="1"/>
  <c r="W74" i="1"/>
  <c r="W68" i="1"/>
  <c r="W67" i="1"/>
  <c r="W57" i="1"/>
  <c r="T64" i="1"/>
  <c r="U64" i="1" s="1"/>
  <c r="S64" i="1" s="1"/>
  <c r="W55" i="1"/>
  <c r="W51" i="1"/>
  <c r="W47" i="1"/>
  <c r="W43" i="1"/>
  <c r="W39" i="1"/>
  <c r="X76" i="1"/>
  <c r="X75" i="1"/>
  <c r="X74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2" i="1"/>
  <c r="U62" i="1" s="1"/>
  <c r="S62" i="1" s="1"/>
  <c r="W54" i="1"/>
  <c r="W50" i="1"/>
  <c r="W46" i="1"/>
  <c r="W42" i="1"/>
  <c r="W38" i="1"/>
  <c r="W53" i="1"/>
  <c r="W49" i="1"/>
  <c r="W45" i="1"/>
  <c r="W41" i="1"/>
  <c r="W52" i="1"/>
  <c r="W48" i="1"/>
  <c r="W44" i="1"/>
  <c r="W40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C7" i="3"/>
  <c r="AD28" i="3"/>
  <c r="AE36" i="3"/>
  <c r="AD30" i="3"/>
  <c r="AE28" i="3"/>
  <c r="AE19" i="3"/>
  <c r="AD25" i="3"/>
  <c r="AC33" i="3"/>
  <c r="T33" i="3"/>
  <c r="S25" i="3"/>
  <c r="AC28" i="3"/>
  <c r="S22" i="3"/>
  <c r="S33" i="3"/>
  <c r="S30" i="3"/>
  <c r="S31" i="3"/>
  <c r="S29" i="3"/>
  <c r="R36" i="3"/>
  <c r="S35" i="3"/>
  <c r="S34" i="3"/>
  <c r="R32" i="3"/>
  <c r="R33" i="3"/>
  <c r="R30" i="3"/>
  <c r="R31" i="3"/>
  <c r="S36" i="3"/>
  <c r="R34" i="3"/>
  <c r="R35" i="3"/>
  <c r="S32" i="3"/>
  <c r="R25" i="3"/>
  <c r="R22" i="3"/>
  <c r="AE29" i="3"/>
  <c r="AE23" i="3"/>
  <c r="AC11" i="3"/>
  <c r="AC17" i="3"/>
  <c r="AE32" i="3"/>
  <c r="AE16" i="3"/>
  <c r="AD34" i="3"/>
  <c r="AE33" i="3"/>
  <c r="AE26" i="3"/>
  <c r="AD21" i="3"/>
  <c r="AE20" i="3"/>
  <c r="AD17" i="3"/>
  <c r="AE11" i="3"/>
  <c r="AD16" i="3"/>
  <c r="AE15" i="3"/>
  <c r="AD13" i="3"/>
  <c r="AD9" i="3"/>
  <c r="AE8" i="3"/>
  <c r="AD27" i="3"/>
  <c r="AD26" i="3"/>
  <c r="T12" i="3"/>
  <c r="AC35" i="3"/>
  <c r="AC27" i="3"/>
  <c r="T13" i="3"/>
  <c r="AC8" i="3"/>
  <c r="AD12" i="3"/>
  <c r="AD11" i="3"/>
  <c r="T23" i="3"/>
  <c r="AD8" i="3"/>
  <c r="AC26" i="3"/>
  <c r="T26" i="3"/>
  <c r="AD32" i="3"/>
  <c r="T21" i="3"/>
  <c r="AC32" i="3"/>
  <c r="AD19" i="3"/>
  <c r="AC24" i="3"/>
  <c r="AC14" i="3"/>
  <c r="T18" i="3"/>
  <c r="AD36" i="3"/>
  <c r="T16" i="3"/>
  <c r="AC9" i="3"/>
  <c r="AE24" i="3"/>
  <c r="AD23" i="3"/>
  <c r="T30" i="3"/>
  <c r="AC20" i="3"/>
  <c r="AE27" i="3"/>
  <c r="AE12" i="3"/>
  <c r="Y27" i="3"/>
  <c r="Y26" i="3"/>
  <c r="Y7" i="3"/>
  <c r="Y33" i="3"/>
  <c r="Y28" i="3"/>
  <c r="Y21" i="3"/>
  <c r="Y12" i="3"/>
  <c r="Y13" i="3"/>
  <c r="Y23" i="3"/>
  <c r="Y18" i="3"/>
  <c r="Y16" i="3"/>
  <c r="Y30" i="3"/>
  <c r="Y10" i="3"/>
  <c r="Y29" i="3"/>
  <c r="Y34" i="3"/>
  <c r="Y31" i="3"/>
  <c r="Y15" i="3"/>
  <c r="Y36" i="3"/>
  <c r="Y25" i="3"/>
  <c r="Y22" i="3"/>
  <c r="Y14" i="3"/>
  <c r="Y11" i="3"/>
  <c r="Y17" i="3"/>
  <c r="Y9" i="3"/>
  <c r="Y32" i="3"/>
  <c r="Y35" i="3"/>
  <c r="Y20" i="3"/>
  <c r="Y24" i="3"/>
  <c r="Y8" i="3"/>
  <c r="AC29" i="3"/>
  <c r="AD35" i="3"/>
  <c r="T29" i="3"/>
  <c r="AE35" i="3"/>
  <c r="AC15" i="3"/>
  <c r="AD22" i="3"/>
  <c r="T15" i="3"/>
  <c r="AE22" i="3"/>
  <c r="AD31" i="3"/>
  <c r="AE31" i="3"/>
  <c r="AC10" i="3"/>
  <c r="T10" i="3"/>
  <c r="AC34" i="3"/>
  <c r="T34" i="3"/>
  <c r="AC31" i="3"/>
  <c r="T31" i="3"/>
  <c r="AE18" i="3"/>
  <c r="T36" i="3"/>
  <c r="AE14" i="3"/>
  <c r="T25" i="3"/>
  <c r="AE10" i="3"/>
  <c r="T22" i="3"/>
  <c r="T17" i="3"/>
  <c r="AE34" i="3"/>
  <c r="T9" i="3"/>
  <c r="AE30" i="3"/>
  <c r="T32" i="3"/>
  <c r="AE25" i="3"/>
  <c r="T35" i="3"/>
  <c r="AE21" i="3"/>
  <c r="T20" i="3"/>
  <c r="AD18" i="3"/>
  <c r="AE17" i="3"/>
  <c r="T24" i="3"/>
  <c r="AD14" i="3"/>
  <c r="AE13" i="3"/>
  <c r="T8" i="3"/>
  <c r="AD10" i="3"/>
  <c r="AE9" i="3"/>
  <c r="AC19" i="3"/>
  <c r="Y19" i="3"/>
  <c r="S58" i="1" l="1"/>
  <c r="V13" i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18" i="3" l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6" i="3" l="1"/>
  <c r="N11" i="3"/>
  <c r="N10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7" i="3" l="1"/>
  <c r="N8" i="3"/>
  <c r="N28" i="3"/>
  <c r="N19" i="3"/>
  <c r="N7" i="3"/>
  <c r="N21" i="3"/>
  <c r="N34" i="3"/>
  <c r="N35" i="3"/>
  <c r="N31" i="3"/>
  <c r="N30" i="3"/>
  <c r="N33" i="3"/>
  <c r="N27" i="3"/>
  <c r="N25" i="3"/>
  <c r="N13" i="3"/>
  <c r="N29" i="3"/>
  <c r="N12" i="3"/>
  <c r="N20" i="3"/>
  <c r="N24" i="3"/>
  <c r="N32" i="3"/>
  <c r="N16" i="3"/>
  <c r="N9" i="3"/>
  <c r="N15" i="3"/>
  <c r="N36" i="3"/>
  <c r="N14" i="3"/>
  <c r="N22" i="3"/>
  <c r="N2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<sst xmlns="http://schemas.openxmlformats.org/spreadsheetml/2006/main" count="2922" uniqueCount="1121">
  <si>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</si>
  <si>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</si>
  <si>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</si>
  <si>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</si>
  <si>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</si>
  <si>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</si>
  <si>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</si>
  <si>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</si>
  <si>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</si>
  <si>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</si>
  <si>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</si>
  <si>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</si>
  <si>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</si>
  <si>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</si>
  <si>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</si>
  <si>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</si>
  <si>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</si>
  <si>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</si>
  <si>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</si>
  <si>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</si>
  <si>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</si>
  <si>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</si>
  <si>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</si>
  <si>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</si>
  <si>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</si>
  <si>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</si>
  <si>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</si>
  <si>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</si>
  <si>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</si>
  <si>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</si>
  <si>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</si>
  <si>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</si>
  <si>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</si>
  <si>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</si>
  <si>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</si>
  <si>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</si>
  <si>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</si>
  <si>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</si>
  <si>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</si>
  <si>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</si>
  <si>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</si>
  <si>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</si>
  <si>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</si>
  <si>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</si>
  <si>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</si>
  <si>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</si>
  <si>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</si>
  <si>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</si>
  <si>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</si>
  <si>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</si>
  <si>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</si>
  <si>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</si>
  <si>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</si>
  <si>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</si>
  <si>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</si>
  <si>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</si>
  <si>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</si>
  <si>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</si>
  <si>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</si>
  <si>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</si>
  <si>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</si>
  <si>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</si>
  <si>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</si>
  <si>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</si>
  <si>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</si>
  <si>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</si>
  <si>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</si>
  <si>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</si>
  <si>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</si>
  <si>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</si>
  <si>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</si>
  <si>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</si>
  <si>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</si>
  <si>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</si>
  <si>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</si>
  <si>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</si>
  <si>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</si>
  <si>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</si>
  <si>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</si>
  <si>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</si>
  <si>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</si>
  <si>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</si>
  <si>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</si>
  <si>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</si>
  <si>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</si>
  <si>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</si>
  <si>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</si>
  <si>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</si>
  <si>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</si>
  <si>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</si>
  <si>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</si>
  <si>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</si>
  <si>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</si>
  <si>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</si>
  <si>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</si>
  <si>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</si>
  <si>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</si>
  <si>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</si>
  <si>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</si>
  <si>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</si>
  <si>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</si>
  <si>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</si>
  <si>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</si>
  <si>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</si>
  <si>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</si>
  <si>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</si>
  <si>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</si>
  <si>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</si>
  <si>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</si>
  <si>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</si>
  <si>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</si>
  <si>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</si>
  <si>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</si>
  <si>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</si>
  <si>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</si>
  <si>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</si>
  <si>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</si>
  <si>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</si>
  <si>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</si>
  <si>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</si>
  <si>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</si>
  <si>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</si>
  <si>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</si>
  <si>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</si>
  <si>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</si>
  <si>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</si>
  <si>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</si>
  <si>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</si>
  <si>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</si>
  <si>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</si>
  <si>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</si>
  <si>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</si>
  <si>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</si>
  <si>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</si>
  <si>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</si>
  <si>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</si>
  <si>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</si>
  <si>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</si>
  <si>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</si>
  <si>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</si>
  <si>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</si>
  <si>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</si>
  <si>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</si>
  <si>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</si>
  <si>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</si>
  <si>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</si>
  <si>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</si>
  <si>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</si>
  <si>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</si>
  <si>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</si>
  <si>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</si>
  <si>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</si>
  <si>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</si>
  <si>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</si>
  <si>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</si>
  <si>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</si>
  <si>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</si>
  <si>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</si>
  <si>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</si>
  <si>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</si>
  <si>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</si>
  <si>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</si>
  <si>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</si>
  <si>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</si>
  <si>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</si>
  <si>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</si>
  <si>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</si>
  <si>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</si>
  <si>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</si>
  <si>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</si>
  <si>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</si>
  <si>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</si>
  <si>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</si>
  <si>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</si>
  <si>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</si>
  <si>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</si>
  <si>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</si>
  <si>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</si>
  <si>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</si>
  <si>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</si>
  <si>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</si>
  <si>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</si>
  <si>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</si>
  <si>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</si>
  <si>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</si>
  <si>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</si>
  <si>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</si>
  <si>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</si>
  <si>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</si>
  <si>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</si>
  <si>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</si>
  <si>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</si>
  <si>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</si>
  <si>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</si>
  <si>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</si>
  <si>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</si>
  <si>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</si>
  <si>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</si>
  <si>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</si>
  <si>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</si>
  <si>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</si>
  <si>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</si>
  <si>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</si>
  <si>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</si>
  <si>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</si>
  <si>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</si>
  <si>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</si>
  <si>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</si>
  <si>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</si>
  <si>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</si>
  <si>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</si>
  <si>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</si>
  <si>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</si>
  <si>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</si>
  <si>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</si>
  <si>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</si>
  <si>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</si>
  <si>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</si>
  <si>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</si>
  <si>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</si>
  <si>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</si>
  <si>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</si>
  <si>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</si>
  <si>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</si>
  <si>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</si>
  <si>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</si>
  <si>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</si>
  <si>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</si>
  <si>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</si>
  <si>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</si>
  <si>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</si>
  <si>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</si>
  <si>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</si>
  <si>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</si>
  <si>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</si>
  <si>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</si>
  <si>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</si>
  <si>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</si>
  <si>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</si>
  <si>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</si>
  <si>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</si>
  <si>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</si>
  <si>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</si>
  <si>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</si>
  <si>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</si>
  <si>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</si>
  <si>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</si>
  <si>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</si>
  <si>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</si>
  <si>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</si>
  <si>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</si>
  <si>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</si>
  <si>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</si>
  <si>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</si>
  <si>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</si>
  <si>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</si>
  <si>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</si>
  <si>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</si>
  <si>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</si>
  <si>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</si>
  <si>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</si>
  <si>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</si>
  <si>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</si>
  <si>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</si>
  <si>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</si>
  <si>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</si>
  <si>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</si>
  <si>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</si>
  <si>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</si>
  <si>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</si>
  <si>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</si>
  <si>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</si>
  <si>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</si>
  <si>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</si>
  <si>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</si>
  <si>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</si>
  <si>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</si>
  <si>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</si>
  <si>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</si>
  <si>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</si>
  <si>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</si>
  <si>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</si>
  <si>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</si>
  <si>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</si>
  <si>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</si>
  <si>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</si>
  <si>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</si>
  <si>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</si>
  <si>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</si>
  <si>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</si>
  <si>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</si>
  <si>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</si>
  <si>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</si>
  <si>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</si>
  <si>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</si>
  <si>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</si>
  <si>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</si>
  <si>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</si>
  <si>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</si>
  <si>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</si>
  <si>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</si>
  <si>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</si>
  <si>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</si>
  <si>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</si>
  <si>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</si>
  <si>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</si>
  <si>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</si>
  <si>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</si>
  <si>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</si>
  <si>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</si>
  <si>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</si>
  <si>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</si>
  <si>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</si>
  <si>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</si>
  <si>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</si>
  <si>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</si>
  <si>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</si>
  <si>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</si>
  <si>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</si>
  <si>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</si>
  <si>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</si>
  <si>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</si>
  <si>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</si>
  <si>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</si>
  <si>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</si>
  <si>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</si>
  <si>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</si>
  <si>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</si>
  <si>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</si>
  <si>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</si>
  <si>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</si>
  <si>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</si>
  <si>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</si>
  <si>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</si>
  <si>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</si>
  <si>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</si>
  <si>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</si>
  <si>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</si>
  <si>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</si>
  <si>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</si>
  <si>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</si>
  <si>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</si>
  <si>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</si>
  <si>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</si>
  <si>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</si>
  <si>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</si>
  <si>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</si>
  <si>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</si>
  <si>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</si>
  <si>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</si>
  <si>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</si>
  <si>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</si>
  <si>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</si>
  <si>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</si>
  <si>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</si>
  <si>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</si>
  <si>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</si>
  <si>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</si>
  <si>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</si>
  <si>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</si>
  <si>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</si>
  <si>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</si>
  <si>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</si>
  <si>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</si>
  <si>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</si>
  <si>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</si>
  <si>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</si>
  <si>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</si>
  <si>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</si>
  <si>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</si>
  <si>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</si>
  <si>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</si>
  <si>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</si>
  <si>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</si>
  <si>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</si>
  <si>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</si>
  <si>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</si>
  <si>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</si>
  <si>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</si>
  <si>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</si>
  <si>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</si>
  <si>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</si>
  <si>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</si>
  <si>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</si>
  <si>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</si>
  <si>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</si>
  <si>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</si>
  <si>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</si>
  <si>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</si>
  <si>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</si>
  <si>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</si>
  <si>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</si>
  <si>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</si>
  <si>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</si>
  <si>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</si>
  <si>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</si>
  <si>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</si>
  <si>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</si>
  <si>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</si>
  <si>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</si>
  <si>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</si>
  <si>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</si>
  <si>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</si>
  <si>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</si>
  <si>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</si>
  <si>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</si>
  <si>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</si>
  <si>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</si>
  <si>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</si>
  <si>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</si>
  <si>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</si>
  <si>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</si>
  <si>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</si>
  <si>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</si>
  <si>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</si>
  <si>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204:508</t>
  </si>
  <si>
    <t>204:232932</t>
  </si>
  <si>
    <t>204:540</t>
  </si>
  <si>
    <t>rtdc.l.rtdc.4025:itc</t>
  </si>
  <si>
    <t>rtdc.l.rtdc.4026:itc</t>
  </si>
  <si>
    <t>DONTE</t>
  </si>
  <si>
    <t>clear-day</t>
  </si>
  <si>
    <t>204:233299</t>
  </si>
  <si>
    <t>300:23346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</si>
  <si>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</si>
  <si>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</si>
  <si>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</si>
  <si>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</si>
  <si>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</si>
  <si>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</si>
  <si>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</si>
  <si>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</si>
  <si>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</si>
  <si>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</si>
  <si>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</si>
  <si>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</si>
  <si>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</si>
  <si>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</si>
  <si>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</si>
  <si>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</si>
  <si>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</si>
  <si>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</si>
  <si>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</si>
  <si>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</si>
  <si>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</si>
  <si>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</si>
  <si>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</si>
  <si>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</si>
  <si>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rtdc.l.rtdc.4058:itc</t>
  </si>
  <si>
    <t>ANDERS</t>
  </si>
  <si>
    <t>STEVEN</t>
  </si>
  <si>
    <t>204:216</t>
  </si>
  <si>
    <t>204:158</t>
  </si>
  <si>
    <t>204:200</t>
  </si>
  <si>
    <t>204:520</t>
  </si>
  <si>
    <t>204:517</t>
  </si>
  <si>
    <t>rtdc.l.rtdc.4031:itc</t>
  </si>
  <si>
    <t>rtdc.l.rtdc.4032:itc</t>
  </si>
  <si>
    <t>rtdc.l.rtdc.4005:itc</t>
  </si>
  <si>
    <t>rtdc.l.rtdc.4006:itc</t>
  </si>
  <si>
    <t>311-29</t>
  </si>
  <si>
    <t>204:233230</t>
  </si>
  <si>
    <t>204:233297</t>
  </si>
  <si>
    <t>204:209</t>
  </si>
  <si>
    <t>204:163</t>
  </si>
  <si>
    <t>204:519</t>
  </si>
  <si>
    <t>204:232930</t>
  </si>
  <si>
    <t>204:484</t>
  </si>
  <si>
    <t>rtdc.l.rtdc.4054:itc</t>
  </si>
  <si>
    <t>204:232971</t>
  </si>
  <si>
    <t>204:232965</t>
  </si>
  <si>
    <t>204:232996</t>
  </si>
  <si>
    <t>204:178</t>
  </si>
  <si>
    <t>204:457</t>
  </si>
  <si>
    <t>204:233266</t>
  </si>
  <si>
    <t>204:444</t>
  </si>
  <si>
    <t>204:506</t>
  </si>
  <si>
    <t>204:233274</t>
  </si>
  <si>
    <t>204:502</t>
  </si>
  <si>
    <t>rtdc.l.rtdc.4009:itc</t>
  </si>
  <si>
    <t>rtdc.l.rtdc.4010:itc</t>
  </si>
  <si>
    <t>THOMPSON</t>
  </si>
  <si>
    <t>LAMAR</t>
  </si>
  <si>
    <t>NEKESHA</t>
  </si>
  <si>
    <t>DAVIS</t>
  </si>
  <si>
    <t>rtdc.l.rtdc.4063:itc</t>
  </si>
  <si>
    <t>204:233291</t>
  </si>
  <si>
    <t>204:233312</t>
  </si>
  <si>
    <t>204:170</t>
  </si>
  <si>
    <t>204:513</t>
  </si>
  <si>
    <t>204:233255</t>
  </si>
  <si>
    <t>204:233232</t>
  </si>
  <si>
    <t>204:482</t>
  </si>
  <si>
    <t>204:232969</t>
  </si>
  <si>
    <t>204:524</t>
  </si>
  <si>
    <t>204:478</t>
  </si>
  <si>
    <t>204:232966</t>
  </si>
  <si>
    <t>204:150</t>
  </si>
  <si>
    <t>204:504</t>
  </si>
  <si>
    <t>300:58926</t>
  </si>
  <si>
    <t>204:466</t>
  </si>
  <si>
    <t>204:232942</t>
  </si>
  <si>
    <t>204:232906</t>
  </si>
  <si>
    <t>204:233276</t>
  </si>
  <si>
    <t>204:233264</t>
  </si>
  <si>
    <t>204:528</t>
  </si>
  <si>
    <t>204:471</t>
  </si>
  <si>
    <t>300:23308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</si>
  <si>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</si>
  <si>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</si>
  <si>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</si>
  <si>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</si>
  <si>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</si>
  <si>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</si>
  <si>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</si>
  <si>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</si>
  <si>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</si>
  <si>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</si>
  <si>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</si>
  <si>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</si>
  <si>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</si>
  <si>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</si>
  <si>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AUSTIN</t>
  </si>
  <si>
    <t>204:435</t>
  </si>
  <si>
    <t>204:464</t>
  </si>
  <si>
    <t>204:232974</t>
  </si>
  <si>
    <t>204:488</t>
  </si>
  <si>
    <t>204:229</t>
  </si>
  <si>
    <t>204:232934</t>
  </si>
  <si>
    <t>204:233280</t>
  </si>
  <si>
    <t>204:145</t>
  </si>
  <si>
    <t>204:267</t>
  </si>
  <si>
    <t>204:551</t>
  </si>
  <si>
    <t>204:233215</t>
  </si>
  <si>
    <t>204:531</t>
  </si>
  <si>
    <t>204:555</t>
  </si>
  <si>
    <t>204:559</t>
  </si>
  <si>
    <t>204:233259</t>
  </si>
  <si>
    <t>204:154</t>
  </si>
  <si>
    <t>300:58924</t>
  </si>
  <si>
    <t>204:450</t>
  </si>
  <si>
    <t>300:58609</t>
  </si>
  <si>
    <t>300:58619</t>
  </si>
  <si>
    <t>300:58946</t>
  </si>
  <si>
    <t>300:58941</t>
  </si>
  <si>
    <t>300:58982</t>
  </si>
  <si>
    <t>300:58948</t>
  </si>
  <si>
    <t>rtdc.l.rtdc.4003:itc</t>
  </si>
  <si>
    <t>rtdc.l.rtdc.4004:itc</t>
  </si>
  <si>
    <t>Early Arrival</t>
  </si>
  <si>
    <t>rtdc.l.rtdc.4015:itc</t>
  </si>
  <si>
    <t>rtdc.l.rtdc.4016:itc</t>
  </si>
  <si>
    <t>rtdc.l.rtdc.4060:itc</t>
  </si>
  <si>
    <t>BEAM</t>
  </si>
  <si>
    <t>ROSS</t>
  </si>
  <si>
    <t>FORTUNATO</t>
  </si>
  <si>
    <t>FRANK</t>
  </si>
  <si>
    <t>STARKS</t>
  </si>
  <si>
    <t>ANGELINA</t>
  </si>
  <si>
    <t>BRUDER</t>
  </si>
  <si>
    <t>RICHARD</t>
  </si>
  <si>
    <t>DE LA ROSA</t>
  </si>
  <si>
    <t>ALEX</t>
  </si>
  <si>
    <t>NEWELL</t>
  </si>
  <si>
    <t>WEST</t>
  </si>
  <si>
    <t>BRYAN</t>
  </si>
  <si>
    <t>ZEWDU</t>
  </si>
  <si>
    <t>DEREJE</t>
  </si>
  <si>
    <t>307-05</t>
  </si>
  <si>
    <t>244-05</t>
  </si>
  <si>
    <t>309-05</t>
  </si>
  <si>
    <t>311-05</t>
  </si>
  <si>
    <t>204:232979</t>
  </si>
  <si>
    <t>204:220</t>
  </si>
  <si>
    <t>204:232946</t>
  </si>
  <si>
    <t>204:458</t>
  </si>
  <si>
    <t>204:187</t>
  </si>
  <si>
    <t>204:223</t>
  </si>
  <si>
    <t>204:232977</t>
  </si>
  <si>
    <t>204:149</t>
  </si>
  <si>
    <t>204:233314</t>
  </si>
  <si>
    <t>204:447</t>
  </si>
  <si>
    <t>204:233336</t>
  </si>
  <si>
    <t>204:233328</t>
  </si>
  <si>
    <t>204:183</t>
  </si>
  <si>
    <t>204:233288</t>
  </si>
  <si>
    <t>204:232957</t>
  </si>
  <si>
    <t>204:233013</t>
  </si>
  <si>
    <t>204:232994</t>
  </si>
  <si>
    <t>204:233223</t>
  </si>
  <si>
    <t>204:233195</t>
  </si>
  <si>
    <t>204:232943</t>
  </si>
  <si>
    <t>204:549</t>
  </si>
  <si>
    <t>204:232917</t>
  </si>
  <si>
    <t>204:221</t>
  </si>
  <si>
    <t>204:233257</t>
  </si>
  <si>
    <t>204:233226</t>
  </si>
  <si>
    <t>204:232886</t>
  </si>
  <si>
    <t>204:233309</t>
  </si>
  <si>
    <t>204:232967</t>
  </si>
  <si>
    <t>204:560</t>
  </si>
  <si>
    <t>204:533</t>
  </si>
  <si>
    <t>204:243</t>
  </si>
  <si>
    <t>204:276</t>
  </si>
  <si>
    <t>204:232894</t>
  </si>
  <si>
    <t>204:233261</t>
  </si>
  <si>
    <t>204:232879</t>
  </si>
  <si>
    <t>204:233251</t>
  </si>
  <si>
    <t>204:233216</t>
  </si>
  <si>
    <t>300:23314</t>
  </si>
  <si>
    <t>300:58628</t>
  </si>
  <si>
    <t>204:119</t>
  </si>
  <si>
    <t>300:58931</t>
  </si>
  <si>
    <t>204:459</t>
  </si>
  <si>
    <t>300:58673</t>
  </si>
  <si>
    <t>204:475</t>
  </si>
  <si>
    <t>300:58978</t>
  </si>
  <si>
    <t>300:58933</t>
  </si>
  <si>
    <t>300:58611</t>
  </si>
  <si>
    <t>204:162</t>
  </si>
  <si>
    <t>204:133</t>
  </si>
  <si>
    <t>204:137</t>
  </si>
  <si>
    <t>204:153</t>
  </si>
  <si>
    <t>300:58632</t>
  </si>
  <si>
    <t>204:468</t>
  </si>
  <si>
    <t>204:151</t>
  </si>
  <si>
    <t>300:28759</t>
  </si>
  <si>
    <t>start /low /b %USERPROFILE%\Documents\GitHub\eaglep3\Utilities\DownloadLogsFromS3.py --loco 4003 --day 2017-12-06</t>
  </si>
  <si>
    <t>105-06</t>
  </si>
  <si>
    <t>312-06</t>
  </si>
  <si>
    <t>104-06</t>
  </si>
  <si>
    <t>108-06</t>
  </si>
  <si>
    <t>rtdc.l.rtdc.4041:itc</t>
  </si>
  <si>
    <t>110-06</t>
  </si>
  <si>
    <t>112-06</t>
  </si>
  <si>
    <t>122-06</t>
  </si>
  <si>
    <t>809-06</t>
  </si>
  <si>
    <t>rtdc.l.rtdc.4033:itc</t>
  </si>
  <si>
    <t>128-06</t>
  </si>
  <si>
    <t>81-06</t>
  </si>
  <si>
    <t>rtdc.l.rtdc.4050:itc</t>
  </si>
  <si>
    <t>813-06</t>
  </si>
  <si>
    <t>145-06</t>
  </si>
  <si>
    <t>138-06</t>
  </si>
  <si>
    <t>72-06</t>
  </si>
  <si>
    <t>74-06</t>
  </si>
  <si>
    <t>148-06</t>
  </si>
  <si>
    <t>75-06</t>
  </si>
  <si>
    <t>73-06</t>
  </si>
  <si>
    <t>162-06</t>
  </si>
  <si>
    <t>174-06</t>
  </si>
  <si>
    <t>67-06</t>
  </si>
  <si>
    <t>188-06</t>
  </si>
  <si>
    <t>rtdc.l.rtdc.4034:itc</t>
  </si>
  <si>
    <t>197-06</t>
  </si>
  <si>
    <t>rtdc.l.rtdc.4042:itc</t>
  </si>
  <si>
    <t>207-06</t>
  </si>
  <si>
    <t>839-06</t>
  </si>
  <si>
    <t>845-06</t>
  </si>
  <si>
    <t>226-06</t>
  </si>
  <si>
    <t>228-06</t>
  </si>
  <si>
    <t>236-06</t>
  </si>
  <si>
    <t>300-06</t>
  </si>
  <si>
    <t>89-06</t>
  </si>
  <si>
    <t>101-06</t>
  </si>
  <si>
    <t>302-06</t>
  </si>
  <si>
    <t>ACKERMAN</t>
  </si>
  <si>
    <t>JARED</t>
  </si>
  <si>
    <t>88-06</t>
  </si>
  <si>
    <t>103-06</t>
  </si>
  <si>
    <t>102-06</t>
  </si>
  <si>
    <t>304-06</t>
  </si>
  <si>
    <t>306-06</t>
  </si>
  <si>
    <t>308-06</t>
  </si>
  <si>
    <t>LOPES</t>
  </si>
  <si>
    <t>KIMBERLY</t>
  </si>
  <si>
    <t>107-06</t>
  </si>
  <si>
    <t>109-06</t>
  </si>
  <si>
    <t>310-06</t>
  </si>
  <si>
    <t>901-06</t>
  </si>
  <si>
    <t>111-06</t>
  </si>
  <si>
    <t>106-06</t>
  </si>
  <si>
    <t>800-06</t>
  </si>
  <si>
    <t>113-06</t>
  </si>
  <si>
    <t>115-06</t>
  </si>
  <si>
    <t>801-06</t>
  </si>
  <si>
    <t>117-06</t>
  </si>
  <si>
    <t>rtdc.l.rtdc.4049:itc</t>
  </si>
  <si>
    <t>902-06</t>
  </si>
  <si>
    <t>ROCHA</t>
  </si>
  <si>
    <t>YAOTL</t>
  </si>
  <si>
    <t>119-06</t>
  </si>
  <si>
    <t>802-06</t>
  </si>
  <si>
    <t>114-06</t>
  </si>
  <si>
    <t>803-06</t>
  </si>
  <si>
    <t>121-06</t>
  </si>
  <si>
    <t>116-06</t>
  </si>
  <si>
    <t>123-06</t>
  </si>
  <si>
    <t>118-06</t>
  </si>
  <si>
    <t>804-06</t>
  </si>
  <si>
    <t>120-06</t>
  </si>
  <si>
    <t>805-06</t>
  </si>
  <si>
    <t>125-06</t>
  </si>
  <si>
    <t>127-06</t>
  </si>
  <si>
    <t>806-06</t>
  </si>
  <si>
    <t>807-06</t>
  </si>
  <si>
    <t>129-06</t>
  </si>
  <si>
    <t>124-06</t>
  </si>
  <si>
    <t>131-06</t>
  </si>
  <si>
    <t>808-06</t>
  </si>
  <si>
    <t>126-06</t>
  </si>
  <si>
    <t>133-06</t>
  </si>
  <si>
    <t>61-06</t>
  </si>
  <si>
    <t>810-06</t>
  </si>
  <si>
    <t>811-06</t>
  </si>
  <si>
    <t>135-06</t>
  </si>
  <si>
    <t>130-06</t>
  </si>
  <si>
    <t>137-06</t>
  </si>
  <si>
    <t>132-06</t>
  </si>
  <si>
    <t>139-06</t>
  </si>
  <si>
    <t>812-06</t>
  </si>
  <si>
    <t>903-06</t>
  </si>
  <si>
    <t>134-06</t>
  </si>
  <si>
    <t>141-06</t>
  </si>
  <si>
    <t>136-06</t>
  </si>
  <si>
    <t>PELLITIER</t>
  </si>
  <si>
    <t>GEORGE</t>
  </si>
  <si>
    <t>71-06</t>
  </si>
  <si>
    <t>ROMERO</t>
  </si>
  <si>
    <t>CHAD</t>
  </si>
  <si>
    <t>143-06</t>
  </si>
  <si>
    <t>140-06</t>
  </si>
  <si>
    <t>142-06</t>
  </si>
  <si>
    <t>147-06</t>
  </si>
  <si>
    <t>814-06</t>
  </si>
  <si>
    <t>149-06</t>
  </si>
  <si>
    <t>144-06</t>
  </si>
  <si>
    <t>151-06</t>
  </si>
  <si>
    <t>146-06</t>
  </si>
  <si>
    <t>815-06</t>
  </si>
  <si>
    <t>HUFFSMITH</t>
  </si>
  <si>
    <t>MONTY</t>
  </si>
  <si>
    <t>153-06</t>
  </si>
  <si>
    <t>150-06</t>
  </si>
  <si>
    <t>816-06</t>
  </si>
  <si>
    <t>155-06</t>
  </si>
  <si>
    <t>157-06</t>
  </si>
  <si>
    <t>152-06</t>
  </si>
  <si>
    <t>159-06</t>
  </si>
  <si>
    <t>817-06</t>
  </si>
  <si>
    <t>156-06</t>
  </si>
  <si>
    <t>154-06</t>
  </si>
  <si>
    <t>161-06</t>
  </si>
  <si>
    <t>163-06</t>
  </si>
  <si>
    <t>818-06</t>
  </si>
  <si>
    <t>165-06</t>
  </si>
  <si>
    <t>160-06</t>
  </si>
  <si>
    <t>158-06</t>
  </si>
  <si>
    <t>167-06</t>
  </si>
  <si>
    <t>819-06</t>
  </si>
  <si>
    <t>169-06</t>
  </si>
  <si>
    <t>164-06</t>
  </si>
  <si>
    <t>166-06</t>
  </si>
  <si>
    <t>820-06</t>
  </si>
  <si>
    <t>171-06</t>
  </si>
  <si>
    <t>173-06</t>
  </si>
  <si>
    <t>KILLION</t>
  </si>
  <si>
    <t>168-06</t>
  </si>
  <si>
    <t>175-06</t>
  </si>
  <si>
    <t>821-06</t>
  </si>
  <si>
    <t>LEVERE</t>
  </si>
  <si>
    <t>CRAIG</t>
  </si>
  <si>
    <t>177-06</t>
  </si>
  <si>
    <t>170-06</t>
  </si>
  <si>
    <t>179-06</t>
  </si>
  <si>
    <t>172-06</t>
  </si>
  <si>
    <t>822-06</t>
  </si>
  <si>
    <t>68-06</t>
  </si>
  <si>
    <t>181-06</t>
  </si>
  <si>
    <t>176-06</t>
  </si>
  <si>
    <t>183-06</t>
  </si>
  <si>
    <t>823-06</t>
  </si>
  <si>
    <t>178-06</t>
  </si>
  <si>
    <t>180-06</t>
  </si>
  <si>
    <t>185-06</t>
  </si>
  <si>
    <t>187-06</t>
  </si>
  <si>
    <t>824-06</t>
  </si>
  <si>
    <t>182-06</t>
  </si>
  <si>
    <t>189-06</t>
  </si>
  <si>
    <t>184-06</t>
  </si>
  <si>
    <t>191-06</t>
  </si>
  <si>
    <t>825-06</t>
  </si>
  <si>
    <t>193-06</t>
  </si>
  <si>
    <t>186-06</t>
  </si>
  <si>
    <t>904-06</t>
  </si>
  <si>
    <t>195-06</t>
  </si>
  <si>
    <t>826-06</t>
  </si>
  <si>
    <t>827-06</t>
  </si>
  <si>
    <t>190-06</t>
  </si>
  <si>
    <t>192-06</t>
  </si>
  <si>
    <t>828-06</t>
  </si>
  <si>
    <t>194-06</t>
  </si>
  <si>
    <t>199-06</t>
  </si>
  <si>
    <t>829-06</t>
  </si>
  <si>
    <t>201-06</t>
  </si>
  <si>
    <t>196-06</t>
  </si>
  <si>
    <t>203-06</t>
  </si>
  <si>
    <t>70-06</t>
  </si>
  <si>
    <t>CUSHING</t>
  </si>
  <si>
    <t>HARRY</t>
  </si>
  <si>
    <t>830-06</t>
  </si>
  <si>
    <t>831-06</t>
  </si>
  <si>
    <t>198-06</t>
  </si>
  <si>
    <t>205-06</t>
  </si>
  <si>
    <t>MCREYNOLDS</t>
  </si>
  <si>
    <t>KYLE</t>
  </si>
  <si>
    <t>200-06</t>
  </si>
  <si>
    <t>832-06</t>
  </si>
  <si>
    <t>rtdc.l.rtdc.4020:itc</t>
  </si>
  <si>
    <t>87-06</t>
  </si>
  <si>
    <t>202-06</t>
  </si>
  <si>
    <t>833-06</t>
  </si>
  <si>
    <t>209-06</t>
  </si>
  <si>
    <t>204-06</t>
  </si>
  <si>
    <t>62-06</t>
  </si>
  <si>
    <t>211-06</t>
  </si>
  <si>
    <t>834-06</t>
  </si>
  <si>
    <t>835-06</t>
  </si>
  <si>
    <t>206-06</t>
  </si>
  <si>
    <t>208-06</t>
  </si>
  <si>
    <t>213-06</t>
  </si>
  <si>
    <t>215-06</t>
  </si>
  <si>
    <t>836-06</t>
  </si>
  <si>
    <t>210-06</t>
  </si>
  <si>
    <t>837-06</t>
  </si>
  <si>
    <t>217-06</t>
  </si>
  <si>
    <t>212-06</t>
  </si>
  <si>
    <t>219-06</t>
  </si>
  <si>
    <t>838-06</t>
  </si>
  <si>
    <t>301-06</t>
  </si>
  <si>
    <t>214-06</t>
  </si>
  <si>
    <t>216-06</t>
  </si>
  <si>
    <t>906-06</t>
  </si>
  <si>
    <t>221-06</t>
  </si>
  <si>
    <t>841-06</t>
  </si>
  <si>
    <t>303-06</t>
  </si>
  <si>
    <t>218-06</t>
  </si>
  <si>
    <t>223-06</t>
  </si>
  <si>
    <t>220-06</t>
  </si>
  <si>
    <t>840-06</t>
  </si>
  <si>
    <t>305-06</t>
  </si>
  <si>
    <t>222-06</t>
  </si>
  <si>
    <t>225-06</t>
  </si>
  <si>
    <t>843-06</t>
  </si>
  <si>
    <t>227-06</t>
  </si>
  <si>
    <t>224-06</t>
  </si>
  <si>
    <t>842-06</t>
  </si>
  <si>
    <t>229-06</t>
  </si>
  <si>
    <t>231-06</t>
  </si>
  <si>
    <t>844-06</t>
  </si>
  <si>
    <t>230-06</t>
  </si>
  <si>
    <t>233-06</t>
  </si>
  <si>
    <t>847-06</t>
  </si>
  <si>
    <t>235-06</t>
  </si>
  <si>
    <t>232-06</t>
  </si>
  <si>
    <t>846-06</t>
  </si>
  <si>
    <t>234-06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</si>
  <si>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</si>
  <si>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</si>
  <si>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</si>
  <si>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</si>
  <si>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</si>
  <si>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</si>
  <si>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</si>
  <si>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</si>
  <si>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</si>
  <si>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</si>
  <si>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</si>
  <si>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</si>
  <si>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</si>
  <si>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</si>
  <si>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partly-cloudy-night</t>
  </si>
  <si>
    <t>Partly Cloudy</t>
  </si>
  <si>
    <t>Mostly Cloudy</t>
  </si>
  <si>
    <t>partly-cloudy-day</t>
  </si>
  <si>
    <t>204:854</t>
  </si>
  <si>
    <t>204:225</t>
  </si>
  <si>
    <t>204:460</t>
  </si>
  <si>
    <t>204:233295</t>
  </si>
  <si>
    <t>204:141</t>
  </si>
  <si>
    <t>204:28393</t>
  </si>
  <si>
    <t>204:233046</t>
  </si>
  <si>
    <t>204:469</t>
  </si>
  <si>
    <t>204:233317</t>
  </si>
  <si>
    <t>204:233008</t>
  </si>
  <si>
    <t>204:184827</t>
  </si>
  <si>
    <t>204:127851</t>
  </si>
  <si>
    <t>204:58803</t>
  </si>
  <si>
    <t>204:233278</t>
  </si>
  <si>
    <t>204:232990</t>
  </si>
  <si>
    <t>204:205</t>
  </si>
  <si>
    <t>204:232998</t>
  </si>
  <si>
    <t>204:260</t>
  </si>
  <si>
    <t>204:233316</t>
  </si>
  <si>
    <t>204:233003</t>
  </si>
  <si>
    <t>204:442</t>
  </si>
  <si>
    <t>204:233302</t>
  </si>
  <si>
    <t>204:233004</t>
  </si>
  <si>
    <t>204:233193</t>
  </si>
  <si>
    <t>204:232861</t>
  </si>
  <si>
    <t>204:406</t>
  </si>
  <si>
    <t>204:64151</t>
  </si>
  <si>
    <t>204:233272</t>
  </si>
  <si>
    <t>204:232940</t>
  </si>
  <si>
    <t>204:242</t>
  </si>
  <si>
    <t>204:453</t>
  </si>
  <si>
    <t>204:233310</t>
  </si>
  <si>
    <t>204:232883</t>
  </si>
  <si>
    <t>204:232959</t>
  </si>
  <si>
    <t>204:422</t>
  </si>
  <si>
    <t>204:233329</t>
  </si>
  <si>
    <t>204:233211</t>
  </si>
  <si>
    <t>204:203</t>
  </si>
  <si>
    <t>204:232968</t>
  </si>
  <si>
    <t>204:233293</t>
  </si>
  <si>
    <t>204:233285</t>
  </si>
  <si>
    <t>204:232976</t>
  </si>
  <si>
    <t>204:36604</t>
  </si>
  <si>
    <t>204:37188</t>
  </si>
  <si>
    <t>204:233180</t>
  </si>
  <si>
    <t>204:232857</t>
  </si>
  <si>
    <t>204:211</t>
  </si>
  <si>
    <t>204:232980</t>
  </si>
  <si>
    <t>204:185</t>
  </si>
  <si>
    <t>204:497</t>
  </si>
  <si>
    <t>204:233304</t>
  </si>
  <si>
    <t>204:196</t>
  </si>
  <si>
    <t>204:233330</t>
  </si>
  <si>
    <t>204:233001</t>
  </si>
  <si>
    <t>204:233323</t>
  </si>
  <si>
    <t>204:451</t>
  </si>
  <si>
    <t>204:232992</t>
  </si>
  <si>
    <t>204:449</t>
  </si>
  <si>
    <t>204:232877</t>
  </si>
  <si>
    <t>204:233210</t>
  </si>
  <si>
    <t>204:232889</t>
  </si>
  <si>
    <t>204:233165</t>
  </si>
  <si>
    <t>204:232846</t>
  </si>
  <si>
    <t>204:293</t>
  </si>
  <si>
    <t>204:233002</t>
  </si>
  <si>
    <t>204:130</t>
  </si>
  <si>
    <t>204:462</t>
  </si>
  <si>
    <t>204:233268</t>
  </si>
  <si>
    <t>204:167</t>
  </si>
  <si>
    <t>204:233208</t>
  </si>
  <si>
    <t>204:232892</t>
  </si>
  <si>
    <t>204:529</t>
  </si>
  <si>
    <t>204:232921</t>
  </si>
  <si>
    <t>204:214</t>
  </si>
  <si>
    <t>204:599</t>
  </si>
  <si>
    <t>204:258</t>
  </si>
  <si>
    <t>204:233318</t>
  </si>
  <si>
    <t>204:143</t>
  </si>
  <si>
    <t>204:232985</t>
  </si>
  <si>
    <t>204:233322</t>
  </si>
  <si>
    <t>204:232982</t>
  </si>
  <si>
    <t>204:515</t>
  </si>
  <si>
    <t>204:233199</t>
  </si>
  <si>
    <t>204:232902</t>
  </si>
  <si>
    <t>204:233205</t>
  </si>
  <si>
    <t>204:147</t>
  </si>
  <si>
    <t>204:274</t>
  </si>
  <si>
    <t>204:232981</t>
  </si>
  <si>
    <t>204:232</t>
  </si>
  <si>
    <t>204:232904</t>
  </si>
  <si>
    <t>204:602</t>
  </si>
  <si>
    <t>204:584</t>
  </si>
  <si>
    <t>204:232983</t>
  </si>
  <si>
    <t>204:233282</t>
  </si>
  <si>
    <t>204:263</t>
  </si>
  <si>
    <t>204:628</t>
  </si>
  <si>
    <t>204:232953</t>
  </si>
  <si>
    <t>204:161</t>
  </si>
  <si>
    <t>204:251</t>
  </si>
  <si>
    <t>204:232949</t>
  </si>
  <si>
    <t>204:232944</t>
  </si>
  <si>
    <t>204:240</t>
  </si>
  <si>
    <t>204:232955</t>
  </si>
  <si>
    <t>204:495</t>
  </si>
  <si>
    <t>204:232896</t>
  </si>
  <si>
    <t>204:233245</t>
  </si>
  <si>
    <t>204:539</t>
  </si>
  <si>
    <t>300:23326</t>
  </si>
  <si>
    <t>300:23312</t>
  </si>
  <si>
    <t>300:23468</t>
  </si>
  <si>
    <t>300:23310</t>
  </si>
  <si>
    <t>300:19603</t>
  </si>
  <si>
    <t>300:23321</t>
  </si>
  <si>
    <t>300:21894</t>
  </si>
  <si>
    <t>204:156</t>
  </si>
  <si>
    <t>300:23223</t>
  </si>
  <si>
    <t>300:23447</t>
  </si>
  <si>
    <t>300:23301</t>
  </si>
  <si>
    <t>300:23673</t>
  </si>
  <si>
    <t>204:542</t>
  </si>
  <si>
    <t>300:23625</t>
  </si>
  <si>
    <t>204:480</t>
  </si>
  <si>
    <t>300:23302</t>
  </si>
  <si>
    <t>204:1496</t>
  </si>
  <si>
    <t>204:3542</t>
  </si>
  <si>
    <t>204:3231</t>
  </si>
  <si>
    <t>204:139</t>
  </si>
  <si>
    <t>300:112218</t>
  </si>
  <si>
    <t>204:1712</t>
  </si>
  <si>
    <t>300:112228</t>
  </si>
  <si>
    <t>300:63904</t>
  </si>
  <si>
    <t>204:1154</t>
  </si>
  <si>
    <t>300:112540</t>
  </si>
  <si>
    <t>204:1170</t>
  </si>
  <si>
    <t>300:112536</t>
  </si>
  <si>
    <t>204:923</t>
  </si>
  <si>
    <t>300:23049</t>
  </si>
  <si>
    <t>204:919</t>
  </si>
  <si>
    <t>300:23278</t>
  </si>
  <si>
    <t>204:965</t>
  </si>
  <si>
    <t>300:23318</t>
  </si>
  <si>
    <t>204:917</t>
  </si>
  <si>
    <t>300:29953</t>
  </si>
  <si>
    <t>300:112576</t>
  </si>
  <si>
    <t>204:1244</t>
  </si>
  <si>
    <t>204:1285</t>
  </si>
  <si>
    <t>300:23297</t>
  </si>
  <si>
    <t>204:1229</t>
  </si>
  <si>
    <t>300:112193</t>
  </si>
  <si>
    <t>300:38051</t>
  </si>
  <si>
    <t>300:112199</t>
  </si>
  <si>
    <t>204:1186</t>
  </si>
  <si>
    <t>204:1149</t>
  </si>
  <si>
    <t>300:38368</t>
  </si>
  <si>
    <t>300:112511</t>
  </si>
  <si>
    <t>204:1480</t>
  </si>
  <si>
    <t>300:112262</t>
  </si>
  <si>
    <t>204:4569</t>
  </si>
  <si>
    <t>204:1105</t>
  </si>
  <si>
    <t>300:112260</t>
  </si>
  <si>
    <t>204:636</t>
  </si>
  <si>
    <t>204:1448</t>
  </si>
  <si>
    <t>300:112580</t>
  </si>
  <si>
    <t>204:1438</t>
  </si>
  <si>
    <t>300:58677</t>
  </si>
  <si>
    <t>204:164</t>
  </si>
  <si>
    <t>204:470</t>
  </si>
  <si>
    <t>300:58984</t>
  </si>
  <si>
    <t>300:58675</t>
  </si>
  <si>
    <t>204:166</t>
  </si>
  <si>
    <t>204:368</t>
  </si>
  <si>
    <t>300:58608</t>
  </si>
  <si>
    <t>204:95</t>
  </si>
  <si>
    <t>300:58672</t>
  </si>
  <si>
    <t>204:392</t>
  </si>
  <si>
    <t>300:58935</t>
  </si>
  <si>
    <t>300:30277</t>
  </si>
  <si>
    <t>300:112513</t>
  </si>
  <si>
    <t>300:58626</t>
  </si>
  <si>
    <t>204:395</t>
  </si>
  <si>
    <t>300:58939</t>
  </si>
  <si>
    <t>300:58623</t>
  </si>
  <si>
    <t>204:73</t>
  </si>
  <si>
    <t>204:375</t>
  </si>
  <si>
    <t>300:22859</t>
  </si>
  <si>
    <t>204:383</t>
  </si>
  <si>
    <t>300:58666</t>
  </si>
  <si>
    <t>204:124</t>
  </si>
  <si>
    <t>204:424</t>
  </si>
  <si>
    <t>300:58655</t>
  </si>
  <si>
    <t>204:433</t>
  </si>
  <si>
    <t>204:120</t>
  </si>
  <si>
    <t>204:423</t>
  </si>
  <si>
    <t>300:58641</t>
  </si>
  <si>
    <t>300:58630</t>
  </si>
  <si>
    <t>204:432</t>
  </si>
  <si>
    <t>300:58624</t>
  </si>
  <si>
    <t>204:430</t>
  </si>
  <si>
    <t>204:148</t>
  </si>
  <si>
    <t>204:135</t>
  </si>
  <si>
    <t>204:455</t>
  </si>
  <si>
    <t>300:58445</t>
  </si>
  <si>
    <t>204:437</t>
  </si>
  <si>
    <t>204:182</t>
  </si>
  <si>
    <t>300:58638</t>
  </si>
  <si>
    <t>300:58615</t>
  </si>
  <si>
    <t>300:58914</t>
  </si>
  <si>
    <t>204:1143</t>
  </si>
  <si>
    <t>204:3245</t>
  </si>
  <si>
    <t>204:1199</t>
  </si>
  <si>
    <t>204:3558</t>
  </si>
  <si>
    <t>204:1166</t>
  </si>
  <si>
    <t>300:30209</t>
  </si>
  <si>
    <t>300:58988</t>
  </si>
  <si>
    <t>300:24246</t>
  </si>
  <si>
    <t>300:23699</t>
  </si>
  <si>
    <t>300:28786</t>
  </si>
  <si>
    <t>300:58600</t>
  </si>
  <si>
    <t>start /low /b %USERPROFILE%\Documents\GitHub\eaglep3\Utilities\DownloadLogsFromS3.py --loco 4032 --day 2017-12-06</t>
  </si>
  <si>
    <t>start /low /b %USERPROFILE%\Documents\GitHub\eaglep3\Utilities\DownloadLogsFromS3.py --loco 4062 --day 2017-12-06</t>
  </si>
  <si>
    <t>start /low /b %USERPROFILE%\Documents\GitHub\eaglep3\Utilities\DownloadLogsFromS3.py --loco 4050 --day 2017-12-06</t>
  </si>
  <si>
    <t>start /low /b %USERPROFILE%\Documents\GitHub\eaglep3\Utilities\DownloadLogsFromS3.py --loco 4034 --day 2017-12-06</t>
  </si>
  <si>
    <t>start /low /b %USERPROFILE%\Documents\GitHub\eaglep3\Utilities\DownloadLogsFromS3.py --loco 4007 --day 2017-12-06</t>
  </si>
  <si>
    <t>start /low /b %USERPROFILE%\Documents\GitHub\eaglep3\Utilities\DownloadLogsFromS3.py --loco 4061 --day 2017-12-06</t>
  </si>
  <si>
    <t>start /low /b %USERPROFILE%\Documents\GitHub\eaglep3\Utilities\DownloadLogsFromS3.py --loco 4063 --day 2017-12-07</t>
  </si>
  <si>
    <t>start /low /b %USERPROFILE%\Documents\GitHub\eaglep3\Utilities\DownloadLogsFromS3.py --loco 4031 --day 2017-12-07</t>
  </si>
  <si>
    <t>start /low /b %USERPROFILE%\Documents\GitHub\eaglep3\Utilities\DownloadLogsFromS3.py --loco 4031 --day 2017-12-06</t>
  </si>
  <si>
    <t>start /low /b %USERPROFILE%\Documents\GitHub\eaglep3\Utilities\DownloadLogsFromS3.py --loco 4041 --day 2017-12-06</t>
  </si>
  <si>
    <t>start /low /b %USERPROFILE%\Documents\GitHub\eaglep3\Utilities\DownloadLogsFromS3.py --loco 4042 --day 2017-12-07</t>
  </si>
  <si>
    <t>start /low /b %USERPROFILE%\Documents\GitHub\eaglep3\Utilities\DownloadLogsFromS3.py --loco 4033 --day 2017-12-06</t>
  </si>
  <si>
    <t>start /low /b %USERPROFILE%\Documents\GitHub\eaglep3\Utilities\DownloadLogsFromS3.py --loco 4050 --day 2017-12-07</t>
  </si>
  <si>
    <t>204:233283</t>
  </si>
  <si>
    <t>204:871</t>
  </si>
  <si>
    <t>204:1394</t>
  </si>
  <si>
    <t>Onboard in-route failure</t>
  </si>
  <si>
    <t>Onboard in-route failure (wiring issue)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</si>
</sst>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4"/>
  <sheetViews>
    <sheetView tabSelected="1" topLeftCell="A13" zoomScaleNormal="100" workbookViewId="0">
      <selection activeCell="R35" sqref="R3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43075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43075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COUNTIFS($N$13:$N$9577,"&gt;0",$AG$13:$AG$9577,I1)</f>
        <v>140</v>
      </c>
      <c r="K5" s="39"/>
      <c r="L5" s="170"/>
      <c r="M5" s="40">
        <f>AVERAGEIFS($N$13:$N$9577,$AG$13:$AG$9577,I1)</f>
        <v>36.924880952225067</v>
      </c>
      <c r="N5" s="38">
        <f t="array" ref="N5">MIN(IF($AG$13:$AG$9577=I1,IF(ISNUMBER($N$13:$N$9577),IF($N$13:$N$9577&gt;0,$N$13:$N$9577))))</f>
        <v>34.016666666138917</v>
      </c>
      <c r="O5" s="3">
        <f t="array" ref="O5">MAX(IF($AG$13:$AG$9577=I1,IF(ISNUMBER($N$13:$N$9577),IF($N$13:$N$9577&gt;0,$N$13:$N$9577))))</f>
        <v>41.266666674055159</v>
      </c>
      <c r="P5" s="2"/>
      <c r="R5" s="162" t="s">
        <v>17</v>
      </c>
      <c r="S5" s="205">
        <f>COUNTIFS($N$13:$N$9577,"&gt;0",$AG$13:$AG$9577,R1)</f>
        <v>48</v>
      </c>
      <c r="T5" s="170"/>
      <c r="U5" s="193"/>
      <c r="V5" s="209">
        <f>AVERAGEIFS($N$13:$N$9577,$AG$13:$AG$9577,R1)</f>
        <v>14.056944443582324</v>
      </c>
      <c r="W5" s="210">
        <f t="array" ref="W5">MIN(IF($AG$13:$AG$9577=R1,IF(ISNUMBER($N$13:$N$9577),IF($N$13:$N$9577&gt;0,$N$13:$N$9577))))</f>
        <v>10.749999998370185</v>
      </c>
      <c r="X5" s="198">
        <f t="array" ref="X5">MAX(IF($AG$13:$AG$9577=R1,IF(ISNUMBER($N$13:$N$9577),IF($N$13:$N$9577&gt;0,$N$13:$N$9577))))</f>
        <v>18.366666664369404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COUNT($O$13:$O$335)</f>
        <v>0</v>
      </c>
      <c r="K6" s="39"/>
      <c r="L6" s="170"/>
      <c r="M6" s="40">
        <f>IFERROR(AVERAGE($O$13:$O$335),0)</f>
        <v>0</v>
      </c>
      <c r="N6" s="38">
        <f>MIN($O$13:$O$335)</f>
        <v>0</v>
      </c>
      <c r="O6" s="3">
        <f>MAX($O$13:$O$335)</f>
        <v>0</v>
      </c>
      <c r="P6" s="2"/>
      <c r="R6" s="163" t="s">
        <v>43</v>
      </c>
      <c r="S6" s="205">
        <f>COUNT($O$13:$O$335)</f>
        <v>0</v>
      </c>
      <c r="T6" s="170"/>
      <c r="U6" s="193"/>
      <c r="V6" s="209">
        <f>IFERROR(AVERAGE($O$13:$O$335),0)</f>
        <v>0</v>
      </c>
      <c r="W6" s="210">
        <f>MIN($O$13:$O$335)</f>
        <v>0</v>
      </c>
      <c r="X6" s="198">
        <f>MAX($O$13:$O$335)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COUNTIFS($P$13:$P$9577,"&gt;0",$AG$13:$AG$9577,I1)</f>
        <v>4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COUNTIFS($P$13:$P$9577,"&gt;0",$AG$13:$AG$9577,R1)</f>
        <v>1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0"/>
      <c r="M8" s="40">
        <f>M5</f>
        <v>36.924880952225067</v>
      </c>
      <c r="N8" s="38">
        <f>N5</f>
        <v>34.016666666138917</v>
      </c>
      <c r="O8" s="3">
        <f>O5</f>
        <v>41.266666674055159</v>
      </c>
      <c r="P8" s="2"/>
      <c r="R8" s="162" t="s">
        <v>16</v>
      </c>
      <c r="S8" s="205">
        <f>S5</f>
        <v>48</v>
      </c>
      <c r="T8" s="170"/>
      <c r="U8" s="193"/>
      <c r="V8" s="209">
        <f>V5</f>
        <v>14.056944443582324</v>
      </c>
      <c r="W8" s="210">
        <f>W5</f>
        <v>10.749999998370185</v>
      </c>
      <c r="X8" s="198">
        <f>X5</f>
        <v>18.366666664369404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0.97959183673469385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- 2017-12-06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AVERAGE(S13:S139)</f>
        <v>0.98199999999999998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664</v>
      </c>
      <c r="B13" s="7">
        <v>4008</v>
      </c>
      <c r="C13" s="21" t="s">
        <v>192</v>
      </c>
      <c r="D13" s="21" t="s">
        <v>885</v>
      </c>
      <c r="E13" s="13">
        <v>43075.128645833334</v>
      </c>
      <c r="F13" s="13">
        <v>43075.135868055557</v>
      </c>
      <c r="G13" s="7">
        <v>101</v>
      </c>
      <c r="H13" s="21" t="s">
        <v>503</v>
      </c>
      <c r="I13" s="13">
        <v>43075.161296296297</v>
      </c>
      <c r="J13" s="7">
        <v>0</v>
      </c>
      <c r="K13" s="89" t="str">
        <f t="shared" ref="K13:K76" si="0">IF(ISEVEN(B13),(B13-1)&amp;"/"&amp;B13,B13&amp;"/"&amp;(B13+1))</f>
        <v>4007/4008</v>
      </c>
      <c r="L13" s="183" t="str">
        <f>VLOOKUP(A13,'Trips&amp;Operators'!$C$1:$G$99911,5,FALSE)</f>
        <v>HAMMOND JUSTYNN</v>
      </c>
      <c r="M13" s="6">
        <f t="shared" ref="M13:M76" si="1">I13-F13</f>
        <v>2.5428240740438923E-2</v>
      </c>
      <c r="N13" s="7">
        <f>24*60*SUM($M13:$M13)</f>
        <v>36.616666666232049</v>
      </c>
      <c r="O13" s="7"/>
      <c r="P13" s="225"/>
      <c r="Q13" s="22"/>
      <c r="R13" s="242"/>
      <c r="S13" s="249">
        <f t="shared" ref="S13:S19" si="2">1/IF(AG13="EC",12,1)*SUM(U13:U13)</f>
        <v>1</v>
      </c>
      <c r="T13" s="172" t="str">
        <f t="shared" ref="T13:T76" si="3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-06T02:05:15-0700',mode:absolute,to:'2017-12-06T04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2" t="str">
        <f>IF(AA13&lt;VLOOKUP(AG13,Variables!$AC$3:$AD$8,2,FALSE),"Y","N")</f>
        <v>N</v>
      </c>
      <c r="X13" s="202" t="e">
        <f t="shared" ref="X13:X44" si="5">VALUE(LEFT(AD13,4))-VALUE(LEFT(AD12,4))</f>
        <v>#VALUE!</v>
      </c>
      <c r="Y13" s="202">
        <f t="shared" ref="Y13:Y44" si="6">RIGHT(D13,LEN(D13)-4)/10000</f>
        <v>8.5400000000000004E-2</v>
      </c>
      <c r="Z13" s="202">
        <f t="shared" ref="Z13:Z44" si="7">RIGHT(H13,LEN(H13)-4)/10000</f>
        <v>23.3276</v>
      </c>
      <c r="AA13" s="202">
        <f t="shared" ref="AA13:AA76" si="8">ABS(Z13-Y13)</f>
        <v>23.2422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/stypes="app*4008*20171206*" /stext=" 10:.+((SYSTEM_STATE.+slice.+state.+changed )|(ment ac)|(multiple cpu faults)|(system.+state.+changed )|(\[timeout)|(PRM\|1\|D)|(kpr)|(kdp)|(train st.+moving)|(\|lc)|(penalty))"</v>
      </c>
      <c r="AG13" s="180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4008 --swversion DE.1.0.9.0 --startMP 204:854 --initTime 2017-12-06T03:05:15 --startdatetime 2017-12-06T03:15:39 --delay 101 --endMP 204:233276 --enddatetime 2017-12-06T03:52:16 --enforcementcount 0 &gt;&gt;%USERPROFILE%\Documents\GitHub\eaglep3-reporting\EC\2017-12-06-refined-times.txt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{"issue":{"subject":"","project_id":79,"tracker_id":40,"status_id":1,"priority_id":2,"assigned_to_id":338,"start_date":"2017-12-06","description":"","custom_fields":[{"id":1,"name":"Subdivision","value":"EC"},{"id":4,"name":"Milepost","value":"23.3276"},{"id":17,"name":"Train ID","value":"101-06"},{"id":16,"name":"Locomotive ID","value":"4008"},{"id":130,"name":"Impact","value":""},{"id":150,"name":"Time of Event (Mountain Time)","value":"03:52:16"},{"id":151,"name":"Denver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5">"start /low /b "&amp;dls3logs&amp;" --loco "&amp;B13&amp;" --day "&amp;TEXT(F13,"YYYY-MM-DD")</f>
        <v>start /low /b %USERPROFILE%\Documents\GitHub\eaglep3\Utilities\DownloadLogsFromS3.py --loco 4008 --day 2017-12-06</v>
      </c>
      <c r="AN13" s="150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-06T02:05:15-0700',mode:absolute,to:'2017-12-06T04:52:16-0700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670</v>
      </c>
      <c r="B14" s="225">
        <v>4007</v>
      </c>
      <c r="C14" s="227" t="s">
        <v>192</v>
      </c>
      <c r="D14" s="227" t="s">
        <v>586</v>
      </c>
      <c r="E14" s="226">
        <v>43075.163472222222</v>
      </c>
      <c r="F14" s="226">
        <v>43075.175208333334</v>
      </c>
      <c r="G14" s="225">
        <v>77</v>
      </c>
      <c r="H14" s="227" t="s">
        <v>886</v>
      </c>
      <c r="I14" s="226">
        <v>43075.201504629629</v>
      </c>
      <c r="J14" s="225">
        <v>0</v>
      </c>
      <c r="K14" s="237" t="str">
        <f t="shared" si="0"/>
        <v>4007/4008</v>
      </c>
      <c r="L14" s="245" t="str">
        <f>VLOOKUP(A14,'Trips&amp;Operators'!$C$1:$G$99911,5,FALSE)</f>
        <v>HAMMOND JUSTYNN</v>
      </c>
      <c r="M14" s="224">
        <f t="shared" si="1"/>
        <v>2.6296296295186039E-2</v>
      </c>
      <c r="N14" s="225">
        <f>24*60*SUM($M14:$M14)</f>
        <v>37.866666665067896</v>
      </c>
      <c r="O14" s="225"/>
      <c r="P14" s="225"/>
      <c r="Q14" s="228"/>
      <c r="R14" s="242"/>
      <c r="S14" s="249">
        <f t="shared" si="2"/>
        <v>1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-06T02:55:24-0700',mode:absolute,to:'2017-12-06T05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47" t="str">
        <f>IF(AA14&lt;VLOOKUP(AG14,Variables!$AC$3:$AD$8,2,FALSE),"Y","N")</f>
        <v>N</v>
      </c>
      <c r="X14" s="247">
        <f t="shared" si="5"/>
        <v>1</v>
      </c>
      <c r="Y14" s="247">
        <f t="shared" si="6"/>
        <v>23.2957</v>
      </c>
      <c r="Z14" s="247">
        <f t="shared" si="7"/>
        <v>2.2499999999999999E-2</v>
      </c>
      <c r="AA14" s="247">
        <f t="shared" si="8"/>
        <v>23.273199999999999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9"/>
        <v>102</v>
      </c>
      <c r="AE14" s="235" t="str">
        <f t="shared" si="1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4" s="234" t="str">
        <f t="shared" si="11"/>
        <v>"C:\Program Files (x86)\AstroGrep\AstroGrep.exe" /e /r /s /spath="%USERPROFILE%\AppData\Local\Temp\OnboardLogs" /stypes="app*4007*20171206*" /stext=" 11:.+((SYSTEM_STATE.+slice.+state.+changed )|(ment ac)|(multiple cpu faults)|(system.+state.+changed )|(\[timeout)|(PRM\|1\|D)|(kpr)|(kdp)|(train st.+moving)|(\|lc)|(penalty))"</v>
      </c>
      <c r="AG14" s="244" t="str">
        <f t="shared" si="12"/>
        <v>EC</v>
      </c>
      <c r="AH14" s="23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4007 --swversion DE.1.0.9.0 --startMP 204:232957 --initTime 2017-12-06T03:55:24 --startdatetime 2017-12-06T04:12:18 --delay 77 --endMP 204:225 --enddatetime 2017-12-06T04:50:10 --enforcementcount 0 &gt;&gt;%USERPROFILE%\Documents\GitHub\eaglep3-reporting\EC\2017-12-06-refined-times.txt</v>
      </c>
      <c r="AI14" s="23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{"issue":{"subject":"","project_id":79,"tracker_id":40,"status_id":1,"priority_id":2,"assigned_to_id":338,"start_date":"2017-12-06","description":"","custom_fields":[{"id":1,"name":"Subdivision","value":"EC"},{"id":4,"name":"Milepost","value":"0.0225"},{"id":17,"name":"Train ID","value":"102-06"},{"id":16,"name":"Locomotive ID","value":"4007"},{"id":130,"name":"Impact","value":""},{"id":150,"name":"Time of Event (Mountain Time)","value":"04:50:10"},{"id":151,"name":"Denver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0">"start /low /b "&amp;dls3logs&amp;" --loco "&amp;B14&amp;" --day "&amp;TEXT(F14,"YYYY-MM-DD")</f>
        <v>start /low /b %USERPROFILE%\Documents\GitHub\eaglep3\Utilities\DownloadLogsFromS3.py --loco 4007 --day 2017-12-06</v>
      </c>
      <c r="AN14" s="24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-06T02:55:24-0700',mode:absolute,to:'2017-12-06T05:50:10-0700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669</v>
      </c>
      <c r="B15" s="225">
        <v>4010</v>
      </c>
      <c r="C15" s="227" t="s">
        <v>192</v>
      </c>
      <c r="D15" s="227" t="s">
        <v>887</v>
      </c>
      <c r="E15" s="226">
        <v>43075.148425925923</v>
      </c>
      <c r="F15" s="226">
        <v>43075.156412037039</v>
      </c>
      <c r="G15" s="225">
        <v>105</v>
      </c>
      <c r="H15" s="227" t="s">
        <v>888</v>
      </c>
      <c r="I15" s="226">
        <v>43075.181921296295</v>
      </c>
      <c r="J15" s="225">
        <v>0</v>
      </c>
      <c r="K15" s="237" t="str">
        <f t="shared" si="0"/>
        <v>4009/4010</v>
      </c>
      <c r="L15" s="245" t="str">
        <f>VLOOKUP(A15,'Trips&amp;Operators'!$C$1:$G$99911,5,FALSE)</f>
        <v>ACKERMAN JARED</v>
      </c>
      <c r="M15" s="224">
        <f t="shared" si="1"/>
        <v>2.5509259256068617E-2</v>
      </c>
      <c r="N15" s="225">
        <f>24*60*SUM($M15:$M15)</f>
        <v>36.733333328738809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-06T02:33:44-0700',mode:absolute,to:'2017-12-06T05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47" t="str">
        <f>IF(AA15&lt;VLOOKUP(AG15,Variables!$AC$3:$AD$8,2,FALSE),"Y","N")</f>
        <v>N</v>
      </c>
      <c r="X15" s="247">
        <f t="shared" si="5"/>
        <v>1</v>
      </c>
      <c r="Y15" s="247">
        <f t="shared" si="6"/>
        <v>4.5999999999999999E-2</v>
      </c>
      <c r="Z15" s="247">
        <f t="shared" si="7"/>
        <v>23.329499999999999</v>
      </c>
      <c r="AA15" s="247">
        <f t="shared" si="8"/>
        <v>23.2835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9"/>
        <v>103</v>
      </c>
      <c r="AE15" s="235" t="str">
        <f t="shared" si="1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5" s="234" t="str">
        <f t="shared" si="11"/>
        <v>"C:\Program Files (x86)\AstroGrep\AstroGrep.exe" /e /r /s /spath="%USERPROFILE%\AppData\Local\Temp\OnboardLogs" /stypes="app*4010*20171206*" /stext=" 11:.+((SYSTEM_STATE.+slice.+state.+changed )|(ment ac)|(multiple cpu faults)|(system.+state.+changed )|(\[timeout)|(PRM\|1\|D)|(kpr)|(kdp)|(train st.+moving)|(\|lc)|(penalty))"</v>
      </c>
      <c r="AG15" s="244" t="str">
        <f t="shared" si="12"/>
        <v>EC</v>
      </c>
      <c r="AH15" s="236" t="str">
        <f t="shared" si="18"/>
        <v>"%USERPROFILE%\Documents\GitHub\eaglep3\Utilities\RefineRTDCRunTimes.py" --tripid 103-06 --locoid 4010 --swversion DE.1.0.9.0 --startMP 204:460 --initTime 2017-12-06T03:33:44 --startdatetime 2017-12-06T03:45:14 --delay 105 --endMP 204:233295 --enddatetime 2017-12-06T04:21:58 --enforcementcount 0 &gt;&gt;%USERPROFILE%\Documents\GitHub\eaglep3-reporting\EC\2017-12-06-refined-times.txt</v>
      </c>
      <c r="AI1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{"issue":{"subject":"","project_id":79,"tracker_id":40,"status_id":1,"priority_id":2,"assigned_to_id":338,"start_date":"2017-12-06","description":"","custom_fields":[{"id":1,"name":"Subdivision","value":"EC"},{"id":4,"name":"Milepost","value":"23.3295"},{"id":17,"name":"Train ID","value":"103-06"},{"id":16,"name":"Locomotive ID","value":"4010"},{"id":130,"name":"Impact","value":""},{"id":150,"name":"Time of Event (Mountain Time)","value":"04:21:58"},{"id":151,"name":"Denver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0"/>
        <v>start /low /b %USERPROFILE%\Documents\GitHub\eaglep3\Utilities\DownloadLogsFromS3.py --loco 4010 --day 2017-12-06</v>
      </c>
      <c r="AN1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2"/>
        <v>https://d0f6bd738d7f1b3e5a7ca70fe4ff75f0.us-east-1.aws.found.io/app/kibana#/discover/Steve-Slow-Train-Analysis-(2080s-and-2083s)?_g=(refreshInterval:(display:Off,pause:!f,section:0,value:0),time:(from:'2017-12-06T02:33:44-0700',mode:absolute,to:'2017-12-06T05:21:58-0700'))&amp;_a=(columns:!('Message%20ID',Summary),filters:!(),index:'emp_*',interval:auto,query:(query_string:(analyze_wildcard:!t,query:'%22rtdc.l.rtdc.4010%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630</v>
      </c>
      <c r="B16" s="225">
        <v>4009</v>
      </c>
      <c r="C16" s="227" t="s">
        <v>192</v>
      </c>
      <c r="D16" s="227" t="s">
        <v>578</v>
      </c>
      <c r="E16" s="226">
        <v>43075.188587962963</v>
      </c>
      <c r="F16" s="226">
        <v>43075.196018518516</v>
      </c>
      <c r="G16" s="225">
        <v>96</v>
      </c>
      <c r="H16" s="227" t="s">
        <v>889</v>
      </c>
      <c r="I16" s="226">
        <v>43075.223391203705</v>
      </c>
      <c r="J16" s="225">
        <v>0</v>
      </c>
      <c r="K16" s="237" t="str">
        <f t="shared" si="0"/>
        <v>4009/4010</v>
      </c>
      <c r="L16" s="245" t="str">
        <f>VLOOKUP(A16,'Trips&amp;Operators'!$C$1:$G$99911,5,FALSE)</f>
        <v>ACKERMAN JARED</v>
      </c>
      <c r="M16" s="224">
        <f t="shared" si="1"/>
        <v>2.7372685188311152E-2</v>
      </c>
      <c r="N16" s="225">
        <f>24*60*SUM($M16:$M16)</f>
        <v>39.416666671168059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-06T03:31:34-0700',mode:absolute,to:'2017-12-06T06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47" t="str">
        <f>IF(AA16&lt;VLOOKUP(AG16,Variables!$AC$3:$AD$8,2,FALSE),"Y","N")</f>
        <v>N</v>
      </c>
      <c r="X16" s="247">
        <f t="shared" si="5"/>
        <v>1</v>
      </c>
      <c r="Y16" s="247">
        <f t="shared" si="6"/>
        <v>23.297699999999999</v>
      </c>
      <c r="Z16" s="247">
        <f t="shared" si="7"/>
        <v>1.41E-2</v>
      </c>
      <c r="AA16" s="247">
        <f t="shared" si="8"/>
        <v>23.2836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9"/>
        <v>104</v>
      </c>
      <c r="AE16" s="235" t="str">
        <f t="shared" si="1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6" s="234" t="str">
        <f t="shared" si="11"/>
        <v>"C:\Program Files (x86)\AstroGrep\AstroGrep.exe" /e /r /s /spath="%USERPROFILE%\AppData\Local\Temp\OnboardLogs" /stypes="app*4009*20171206*" /stext=" 12:.+((SYSTEM_STATE.+slice.+state.+changed )|(ment ac)|(multiple cpu faults)|(system.+state.+changed )|(\[timeout)|(PRM\|1\|D)|(kpr)|(kdp)|(train st.+moving)|(\|lc)|(penalty))"</v>
      </c>
      <c r="AG16" s="244" t="str">
        <f t="shared" si="12"/>
        <v>EC</v>
      </c>
      <c r="AH16" s="236" t="str">
        <f t="shared" si="18"/>
        <v>"%USERPROFILE%\Documents\GitHub\eaglep3\Utilities\RefineRTDCRunTimes.py" --tripid 104-06 --locoid 4009 --swversion DE.1.0.9.0 --startMP 204:232977 --initTime 2017-12-06T04:31:34 --startdatetime 2017-12-06T04:42:16 --delay 96 --endMP 204:141 --enddatetime 2017-12-06T05:21:41 --enforcementcount 0 &gt;&gt;%USERPROFILE%\Documents\GitHub\eaglep3-reporting\EC\2017-12-06-refined-times.txt</v>
      </c>
      <c r="AI1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{"issue":{"subject":"","project_id":79,"tracker_id":40,"status_id":1,"priority_id":2,"assigned_to_id":338,"start_date":"2017-12-06","description":"","custom_fields":[{"id":1,"name":"Subdivision","value":"EC"},{"id":4,"name":"Milepost","value":"0.0141"},{"id":17,"name":"Train ID","value":"104-06"},{"id":16,"name":"Locomotive ID","value":"4009"},{"id":130,"name":"Impact","value":""},{"id":150,"name":"Time of Event (Mountain Time)","value":"05:21:41"},{"id":151,"name":"Denver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0"/>
        <v>start /low /b %USERPROFILE%\Documents\GitHub\eaglep3\Utilities\DownloadLogsFromS3.py --loco 4009 --day 2017-12-06</v>
      </c>
      <c r="AN1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2"/>
        <v>https://d0f6bd738d7f1b3e5a7ca70fe4ff75f0.us-east-1.aws.found.io/app/kibana#/discover/Steve-Slow-Train-Analysis-(2080s-and-2083s)?_g=(refreshInterval:(display:Off,pause:!f,section:0,value:0),time:(from:'2017-12-06T03:31:34-0700',mode:absolute,to:'2017-12-06T06:21:41-0700'))&amp;_a=(columns:!('Message%20ID',Summary),filters:!(),index:'emp_*',interval:auto,query:(query_string:(analyze_wildcard:!t,query:'%22rtdc.l.rtdc.4009%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628</v>
      </c>
      <c r="B17" s="225">
        <v>4032</v>
      </c>
      <c r="C17" s="227" t="s">
        <v>192</v>
      </c>
      <c r="D17" s="227" t="s">
        <v>492</v>
      </c>
      <c r="E17" s="226">
        <v>43075.173229166663</v>
      </c>
      <c r="F17" s="226">
        <v>43075.177557870367</v>
      </c>
      <c r="G17" s="225">
        <v>260</v>
      </c>
      <c r="H17" s="227" t="s">
        <v>890</v>
      </c>
      <c r="I17" s="226">
        <v>43075.182696759257</v>
      </c>
      <c r="J17" s="225">
        <v>0</v>
      </c>
      <c r="K17" s="237" t="str">
        <f t="shared" si="0"/>
        <v>4031/4032</v>
      </c>
      <c r="L17" s="245" t="str">
        <f>VLOOKUP(A17,'Trips&amp;Operators'!$C$1:$G$99911,5,FALSE)</f>
        <v>YORK EDGAR</v>
      </c>
      <c r="M17" s="224">
        <f t="shared" si="1"/>
        <v>5.1388888896326534E-3</v>
      </c>
      <c r="N17" s="225"/>
      <c r="O17" s="225"/>
      <c r="P17" s="225">
        <f>24*60*SUM($M17:$M17)</f>
        <v>7.400000001071021</v>
      </c>
      <c r="Q17" s="228"/>
      <c r="R17" s="242" t="s">
        <v>447</v>
      </c>
      <c r="S17" s="249">
        <f t="shared" si="2"/>
        <v>8.3333333333333329E-2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-06T03:09:27-0700',mode:absolute,to:'2017-12-06T05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47" t="str">
        <f>IF(AA17&lt;VLOOKUP(AG17,Variables!$AC$3:$AD$8,2,FALSE),"Y","N")</f>
        <v>Y</v>
      </c>
      <c r="X17" s="247">
        <f t="shared" si="5"/>
        <v>1</v>
      </c>
      <c r="Y17" s="247">
        <f t="shared" si="6"/>
        <v>4.82E-2</v>
      </c>
      <c r="Z17" s="247">
        <f t="shared" si="7"/>
        <v>2.8393000000000002</v>
      </c>
      <c r="AA17" s="247">
        <f t="shared" si="8"/>
        <v>2.7911000000000001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9"/>
        <v>105</v>
      </c>
      <c r="AE17" s="235" t="str">
        <f t="shared" si="1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7" s="234" t="str">
        <f t="shared" si="11"/>
        <v>"C:\Program Files (x86)\AstroGrep\AstroGrep.exe" /e /r /s /spath="%USERPROFILE%\AppData\Local\Temp\OnboardLogs" /stypes="app*4032*20171206*" /stext=" 11:.+((SYSTEM_STATE.+slice.+state.+changed )|(ment ac)|(multiple cpu faults)|(system.+state.+changed )|(\[timeout)|(PRM\|1\|D)|(kpr)|(kdp)|(train st.+moving)|(\|lc)|(penalty))"</v>
      </c>
      <c r="AG17" s="244" t="str">
        <f t="shared" si="12"/>
        <v>EC</v>
      </c>
      <c r="AH17" s="236" t="str">
        <f t="shared" si="18"/>
        <v>"%USERPROFILE%\Documents\GitHub\eaglep3\Utilities\RefineRTDCRunTimes.py" --tripid 105-06 --locoid 4032 --swversion DE.1.0.9.0 --startMP 204:482 --initTime 2017-12-06T04:09:27 --startdatetime 2017-12-06T04:15:41 --delay 260 --endMP 204:28393 --enddatetime 2017-12-06T04:23:05 --enforcementcount 0 &gt;&gt;%USERPROFILE%\Documents\GitHub\eaglep3-reporting\EC\2017-12-06-refined-times.txt</v>
      </c>
      <c r="AI17" s="238" t="str">
        <f t="shared" si="19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drop","project_id":79,"tracker_id":40,"status_id":1,"priority_id":2,"assigned_to_id":338,"start_date":"2017-12-06","description":"","custom_fields":[{"id":1,"name":"Subdivision","value":"EC"},{"id":4,"name":"Milepost","value":"2.8393"},{"id":17,"name":"Train ID","value":"105-06"},{"id":16,"name":"Locomotive ID","value":"4032"},{"id":130,"name":"Impact","value":""},{"id":150,"name":"Time of Event (Mountain Time)","value":"04:23:05"},{"id":151,"name":"Denver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0"/>
        <v>start /low /b %USERPROFILE%\Documents\GitHub\eaglep3\Utilities\DownloadLogsFromS3.py --loco 4032 --day 2017-12-06</v>
      </c>
      <c r="AN17" s="241" t="str">
        <f t="shared" si="21"/>
        <v>echo {"issue":{"subject":"Wi-MAX data drop","project_id":30,"tracker_id":4,"status_id":1,"priority_id":1,"assigned_to_id":10,"start_date":"2017-12-06","description":"","custom_fields":[{"id":30,"name":"Category","value":"Issue"},{"id":3,"name":"Functional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2"/>
        <v>https://d0f6bd738d7f1b3e5a7ca70fe4ff75f0.us-east-1.aws.found.io/app/kibana#/discover/Steve-Slow-Train-Analysis-(2080s-and-2083s)?_g=(refreshInterval:(display:Off,pause:!f,section:0,value:0),time:(from:'2017-12-06T03:09:27-0700',mode:absolute,to:'2017-12-06T05:23:05-0700'))&amp;_a=(columns:!('Message%20ID',Summary),filters:!(),index:'emp_*',interval:auto,query:(query_string:(analyze_wildcard:!t,query:'%22rtdc.l.rtdc.4032%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681</v>
      </c>
      <c r="B18" s="225">
        <v>4031</v>
      </c>
      <c r="C18" s="227" t="s">
        <v>192</v>
      </c>
      <c r="D18" s="227" t="s">
        <v>891</v>
      </c>
      <c r="E18" s="226">
        <v>43075.204328703701</v>
      </c>
      <c r="F18" s="226">
        <v>43075.216944444444</v>
      </c>
      <c r="G18" s="225">
        <v>62</v>
      </c>
      <c r="H18" s="227" t="s">
        <v>472</v>
      </c>
      <c r="I18" s="226">
        <v>43075.242303240739</v>
      </c>
      <c r="J18" s="225">
        <v>0</v>
      </c>
      <c r="K18" s="237" t="str">
        <f t="shared" si="0"/>
        <v>4031/4032</v>
      </c>
      <c r="L18" s="245" t="str">
        <f>VLOOKUP(A18,'Trips&amp;Operators'!$C$1:$G$99911,5,FALSE)</f>
        <v>YORK EDGAR</v>
      </c>
      <c r="M18" s="224">
        <f t="shared" si="1"/>
        <v>2.5358796294312924E-2</v>
      </c>
      <c r="N18" s="225">
        <f>24*60*SUM($M18:$M18)</f>
        <v>36.516666663810611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-06T03:54:14-0700',mode:absolute,to:'2017-12-06T06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47" t="str">
        <f>IF(AA18&lt;VLOOKUP(AG18,Variables!$AC$3:$AD$8,2,FALSE),"Y","N")</f>
        <v>N</v>
      </c>
      <c r="X18" s="247">
        <f t="shared" si="5"/>
        <v>1</v>
      </c>
      <c r="Y18" s="247">
        <f t="shared" si="6"/>
        <v>23.304600000000001</v>
      </c>
      <c r="Z18" s="247">
        <f t="shared" si="7"/>
        <v>1.78E-2</v>
      </c>
      <c r="AA18" s="247">
        <f t="shared" si="8"/>
        <v>23.286799999999999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9"/>
        <v>106</v>
      </c>
      <c r="AE18" s="235" t="str">
        <f t="shared" si="1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8" s="234" t="str">
        <f t="shared" si="11"/>
        <v>"C:\Program Files (x86)\AstroGrep\AstroGrep.exe" /e /r /s /spath="%USERPROFILE%\AppData\Local\Temp\OnboardLogs" /stypes="app*4031*20171206*" /stext=" 12:.+((SYSTEM_STATE.+slice.+state.+changed )|(ment ac)|(multiple cpu faults)|(system.+state.+changed )|(\[timeout)|(PRM\|1\|D)|(kpr)|(kdp)|(train st.+moving)|(\|lc)|(penalty))"</v>
      </c>
      <c r="AG18" s="244" t="str">
        <f t="shared" si="12"/>
        <v>EC</v>
      </c>
      <c r="AH18" s="236" t="str">
        <f t="shared" si="18"/>
        <v>"%USERPROFILE%\Documents\GitHub\eaglep3\Utilities\RefineRTDCRunTimes.py" --tripid 106-06 --locoid 4031 --swversion DE.1.0.9.0 --startMP 204:233046 --initTime 2017-12-06T04:54:14 --startdatetime 2017-12-06T05:12:24 --delay 62 --endMP 204:178 --enddatetime 2017-12-06T05:48:55 --enforcementcount 0 &gt;&gt;%USERPROFILE%\Documents\GitHub\eaglep3-reporting\EC\2017-12-06-refined-times.txt</v>
      </c>
      <c r="AI18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{"issue":{"subject":"","project_id":79,"tracker_id":40,"status_id":1,"priority_id":2,"assigned_to_id":338,"start_date":"2017-12-06","description":"","custom_fields":[{"id":1,"name":"Subdivision","value":"EC"},{"id":4,"name":"Milepost","value":"0.0178"},{"id":17,"name":"Train ID","value":"106-06"},{"id":16,"name":"Locomotive ID","value":"4031"},{"id":130,"name":"Impact","value":""},{"id":150,"name":"Time of Event (Mountain Time)","value":"05:48:55"},{"id":151,"name":"Denver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0"/>
        <v>start /low /b %USERPROFILE%\Documents\GitHub\eaglep3\Utilities\DownloadLogsFromS3.py --loco 4031 --day 2017-12-06</v>
      </c>
      <c r="AN18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2"/>
        <v>https://d0f6bd738d7f1b3e5a7ca70fe4ff75f0.us-east-1.aws.found.io/app/kibana#/discover/Steve-Slow-Train-Analysis-(2080s-and-2083s)?_g=(refreshInterval:(display:Off,pause:!f,section:0,value:0),time:(from:'2017-12-06T03:54:14-0700',mode:absolute,to:'2017-12-06T06:48:55-0700'))&amp;_a=(columns:!('Message%20ID',Summary),filters:!(),index:'emp_*',interval:auto,query:(query_string:(analyze_wildcard:!t,query:'%22rtdc.l.rtdc.4031%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676</v>
      </c>
      <c r="B19" s="225">
        <v>4004</v>
      </c>
      <c r="C19" s="227" t="s">
        <v>192</v>
      </c>
      <c r="D19" s="227" t="s">
        <v>892</v>
      </c>
      <c r="E19" s="226">
        <v>43075.178865740738</v>
      </c>
      <c r="F19" s="226">
        <v>43075.187777777777</v>
      </c>
      <c r="G19" s="225">
        <v>60</v>
      </c>
      <c r="H19" s="227" t="s">
        <v>893</v>
      </c>
      <c r="I19" s="226">
        <v>43075.212037037039</v>
      </c>
      <c r="J19" s="225">
        <v>0</v>
      </c>
      <c r="K19" s="237" t="str">
        <f t="shared" si="0"/>
        <v>4003/4004</v>
      </c>
      <c r="L19" s="245" t="str">
        <f>VLOOKUP(A19,'Trips&amp;Operators'!$C$1:$G$99911,5,FALSE)</f>
        <v>BEAM ROSS</v>
      </c>
      <c r="M19" s="224">
        <f t="shared" si="1"/>
        <v>2.4259259262180422E-2</v>
      </c>
      <c r="N19" s="225">
        <f>24*60*SUM($M19:$M19)</f>
        <v>34.933333337539807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-06T03:17:34-0700',mode:absolute,to:'2017-12-06T06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247" t="str">
        <f>IF(AA19&lt;VLOOKUP(AG19,Variables!$AC$3:$AD$8,2,FALSE),"Y","N")</f>
        <v>N</v>
      </c>
      <c r="X19" s="247">
        <f t="shared" si="5"/>
        <v>1</v>
      </c>
      <c r="Y19" s="247">
        <f t="shared" si="6"/>
        <v>4.6899999999999997E-2</v>
      </c>
      <c r="Z19" s="247">
        <f t="shared" si="7"/>
        <v>23.331700000000001</v>
      </c>
      <c r="AA19" s="247">
        <f t="shared" si="8"/>
        <v>23.284800000000001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9"/>
        <v>107</v>
      </c>
      <c r="AE19" s="235" t="str">
        <f t="shared" si="10"/>
        <v>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 &amp; aws s3 cp s3://rtdc.mdm.uploadarchive.raw/RTDC4004/ "%USERPROFILE%\AppData\Local\Temp\OnboardLogs"\RTDC4004\2017-12-07 --exclude "*" --recursive --include "*20171207*" &amp; "%USERPROFILE%\Documents\GitHub\mrs-test-scripts\Headless Mode &amp; Sideloading\WalkAndUnGZ.bat" "%USERPROFILE%\AppData\Local\Temp\OnboardLogs"\RTDC4004\2017-12-07</v>
      </c>
      <c r="AF19" s="234" t="str">
        <f t="shared" si="11"/>
        <v>"C:\Program Files (x86)\AstroGrep\AstroGrep.exe" /e /r /s /spath="%USERPROFILE%\AppData\Local\Temp\OnboardLogs" /stypes="app*4004*20171206*" /stext=" 12:.+((SYSTEM_STATE.+slice.+state.+changed )|(ment ac)|(multiple cpu faults)|(system.+state.+changed )|(\[timeout)|(PRM\|1\|D)|(kpr)|(kdp)|(train st.+moving)|(\|lc)|(penalty))"</v>
      </c>
      <c r="AG19" s="244" t="str">
        <f t="shared" si="12"/>
        <v>EC</v>
      </c>
      <c r="AH19" s="236" t="str">
        <f t="shared" si="18"/>
        <v>"%USERPROFILE%\Documents\GitHub\eaglep3\Utilities\RefineRTDCRunTimes.py" --tripid 107-06 --locoid 4004 --swversion DE.1.0.9.0 --startMP 204:469 --initTime 2017-12-06T04:17:34 --startdatetime 2017-12-06T04:30:24 --delay 60 --endMP 204:233317 --enddatetime 2017-12-06T05:05:20 --enforcementcount 0 &gt;&gt;%USERPROFILE%\Documents\GitHub\eaglep3-reporting\EC\2017-12-06-refined-times.txt</v>
      </c>
      <c r="AI1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{"issue":{"subject":"","project_id":79,"tracker_id":40,"status_id":1,"priority_id":2,"assigned_to_id":338,"start_date":"2017-12-06","description":"","custom_fields":[{"id":1,"name":"Subdivision","value":"EC"},{"id":4,"name":"Milepost","value":"23.3317"},{"id":17,"name":"Train ID","value":"107-06"},{"id":16,"name":"Locomotive ID","value":"4004"},{"id":130,"name":"Impact","value":""},{"id":150,"name":"Time of Event (Mountain Time)","value":"05:05:20"},{"id":151,"name":"Denver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0"/>
        <v>start /low /b %USERPROFILE%\Documents\GitHub\eaglep3\Utilities\DownloadLogsFromS3.py --loco 4004 --day 2017-12-06</v>
      </c>
      <c r="AN1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2"/>
        <v>https://d0f6bd738d7f1b3e5a7ca70fe4ff75f0.us-east-1.aws.found.io/app/kibana#/discover/Steve-Slow-Train-Analysis-(2080s-and-2083s)?_g=(refreshInterval:(display:Off,pause:!f,section:0,value:0),time:(from:'2017-12-06T03:17:34-0700',mode:absolute,to:'2017-12-06T06:05:20-0700'))&amp;_a=(columns:!('Message%20ID',Summary),filters:!(),index:'emp_*',interval:auto,query:(query_string:(analyze_wildcard:!t,query:'%22rtdc.l.rtdc.4004%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631</v>
      </c>
      <c r="B20" s="225">
        <v>4003</v>
      </c>
      <c r="C20" s="227" t="s">
        <v>192</v>
      </c>
      <c r="D20" s="227" t="s">
        <v>894</v>
      </c>
      <c r="E20" s="226">
        <v>43075.212962962964</v>
      </c>
      <c r="F20" s="226">
        <v>43075.237766203703</v>
      </c>
      <c r="G20" s="225">
        <v>46</v>
      </c>
      <c r="H20" s="227" t="s">
        <v>895</v>
      </c>
      <c r="I20" s="226">
        <v>43075.245023148149</v>
      </c>
      <c r="J20" s="225">
        <v>0</v>
      </c>
      <c r="K20" s="237" t="str">
        <f t="shared" si="0"/>
        <v>4003/4004</v>
      </c>
      <c r="L20" s="245" t="str">
        <f>VLOOKUP(A20,'Trips&amp;Operators'!$C$1:$G$99911,5,FALSE)</f>
        <v>BEAM ROSS</v>
      </c>
      <c r="M20" s="224">
        <f t="shared" si="1"/>
        <v>7.2569444455439225E-3</v>
      </c>
      <c r="N20" s="225"/>
      <c r="O20" s="225"/>
      <c r="P20" s="225"/>
      <c r="Q20" s="228"/>
      <c r="R20" s="242"/>
      <c r="S20" s="249"/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-06T04:06:40-0700',mode:absolute,to:'2017-12-06T06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247" t="str">
        <f>IF(AA20&lt;VLOOKUP(AG20,Variables!$AC$3:$AD$8,2,FALSE),"Y","N")</f>
        <v>Y</v>
      </c>
      <c r="X20" s="247">
        <f t="shared" si="5"/>
        <v>1</v>
      </c>
      <c r="Y20" s="247">
        <f t="shared" si="6"/>
        <v>23.300799999999999</v>
      </c>
      <c r="Z20" s="247">
        <f t="shared" si="7"/>
        <v>18.482700000000001</v>
      </c>
      <c r="AA20" s="247">
        <f t="shared" si="8"/>
        <v>4.8180999999999976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9"/>
        <v>108</v>
      </c>
      <c r="AE20" s="235" t="str">
        <f t="shared" si="10"/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AF20" s="234" t="str">
        <f t="shared" si="11"/>
        <v>"C:\Program Files (x86)\AstroGrep\AstroGrep.exe" /e /r /s /spath="%USERPROFILE%\AppData\Local\Temp\OnboardLogs" /stypes="app*4003*20171206*" /stext=" 12:.+((SYSTEM_STATE.+slice.+state.+changed )|(ment ac)|(multiple cpu faults)|(system.+state.+changed )|(\[timeout)|(PRM\|1\|D)|(kpr)|(kdp)|(train st.+moving)|(\|lc)|(penalty))"</v>
      </c>
      <c r="AG20" s="244" t="str">
        <f t="shared" si="12"/>
        <v>EC</v>
      </c>
      <c r="AH20" s="236" t="str">
        <f t="shared" si="18"/>
        <v>"%USERPROFILE%\Documents\GitHub\eaglep3\Utilities\RefineRTDCRunTimes.py" --tripid 108-06 --locoid 4003 --swversion DE.1.0.9.0 --startMP 204:233008 --initTime 2017-12-06T05:06:40 --startdatetime 2017-12-06T05:42:23 --delay 46 --endMP 204:184827 --enddatetime 2017-12-06T05:52:50 --enforcementcount 0 &gt;&gt;%USERPROFILE%\Documents\GitHub\eaglep3-reporting\EC\2017-12-06-refined-times.txt</v>
      </c>
      <c r="AI2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{"issue":{"subject":"","project_id":79,"tracker_id":40,"status_id":1,"priority_id":2,"assigned_to_id":338,"start_date":"2017-12-06","description":"","custom_fields":[{"id":1,"name":"Subdivision","value":"EC"},{"id":4,"name":"Milepost","value":"18.4827"},{"id":17,"name":"Train ID","value":"108-06"},{"id":16,"name":"Locomotive ID","value":"4003"},{"id":130,"name":"Impact","value":""},{"id":150,"name":"Time of Event (Mountain Time)","value":"05:52:50"},{"id":151,"name":"Denver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0"/>
        <v>start /low /b %USERPROFILE%\Documents\GitHub\eaglep3\Utilities\DownloadLogsFromS3.py --loco 4003 --day 2017-12-06</v>
      </c>
      <c r="AN2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2"/>
        <v>https://d0f6bd738d7f1b3e5a7ca70fe4ff75f0.us-east-1.aws.found.io/app/kibana#/discover/Steve-Slow-Train-Analysis-(2080s-and-2083s)?_g=(refreshInterval:(display:Off,pause:!f,section:0,value:0),time:(from:'2017-12-06T04:06:40-0700',mode:absolute,to:'2017-12-06T06:52:50-0700'))&amp;_a=(columns:!('Message%20ID',Summary),filters:!(),index:'emp_*',interval:auto,query:(query_string:(analyze_wildcard:!t,query:'%22rtdc.l.rtdc.4003%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631</v>
      </c>
      <c r="B21" s="225">
        <v>4003</v>
      </c>
      <c r="C21" s="227" t="s">
        <v>192</v>
      </c>
      <c r="D21" s="227" t="s">
        <v>896</v>
      </c>
      <c r="E21" s="226">
        <v>43075.236759259256</v>
      </c>
      <c r="F21" s="226">
        <v>43075.237766203703</v>
      </c>
      <c r="G21" s="225">
        <v>44</v>
      </c>
      <c r="H21" s="227" t="s">
        <v>897</v>
      </c>
      <c r="I21" s="226">
        <v>43075.245023148149</v>
      </c>
      <c r="J21" s="225">
        <v>0</v>
      </c>
      <c r="K21" s="237" t="str">
        <f t="shared" si="0"/>
        <v>4003/4004</v>
      </c>
      <c r="L21" s="245" t="str">
        <f>VLOOKUP(A21,'Trips&amp;Operators'!$C$1:$G$99911,5,FALSE)</f>
        <v>BEAM ROSS</v>
      </c>
      <c r="M21" s="224">
        <f t="shared" si="1"/>
        <v>7.2569444455439225E-3</v>
      </c>
      <c r="N21" s="225"/>
      <c r="O21" s="225"/>
      <c r="P21" s="225">
        <f>24*60*SUM($M21:$M21)</f>
        <v>10.450000001583248</v>
      </c>
      <c r="Q21" s="228"/>
      <c r="R21" s="242" t="s">
        <v>447</v>
      </c>
      <c r="S21" s="249">
        <f t="shared" ref="S21:S57" si="23">1/IF(AG21="EC",12,1)*SUM(U21:U21)</f>
        <v>0.41666666666666663</v>
      </c>
      <c r="T21" s="242" t="str">
        <f t="shared" si="3"/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5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-06T04:40:56-0700',mode:absolute,to:'2017-12-06T06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247" t="str">
        <f>IF(AA21&lt;VLOOKUP(AG21,Variables!$AC$3:$AD$8,2,FALSE),"Y","N")</f>
        <v>Y</v>
      </c>
      <c r="X21" s="247">
        <f t="shared" si="5"/>
        <v>0</v>
      </c>
      <c r="Y21" s="247">
        <f t="shared" si="6"/>
        <v>12.7851</v>
      </c>
      <c r="Z21" s="247">
        <f t="shared" si="7"/>
        <v>5.8803000000000001</v>
      </c>
      <c r="AA21" s="247">
        <f t="shared" si="8"/>
        <v>6.9047999999999998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9"/>
        <v>108</v>
      </c>
      <c r="AE21" s="235" t="str">
        <f t="shared" si="10"/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AF21" s="234" t="str">
        <f t="shared" si="11"/>
        <v>"C:\Program Files (x86)\AstroGrep\AstroGrep.exe" /e /r /s /spath="%USERPROFILE%\AppData\Local\Temp\OnboardLogs" /stypes="app*4003*20171206*" /stext=" 12:.+((SYSTEM_STATE.+slice.+state.+changed )|(ment ac)|(multiple cpu faults)|(system.+state.+changed )|(\[timeout)|(PRM\|1\|D)|(kpr)|(kdp)|(train st.+moving)|(\|lc)|(penalty))"</v>
      </c>
      <c r="AG21" s="244" t="str">
        <f t="shared" si="12"/>
        <v>EC</v>
      </c>
      <c r="AH21" s="236" t="str">
        <f t="shared" si="18"/>
        <v>"%USERPROFILE%\Documents\GitHub\eaglep3\Utilities\RefineRTDCRunTimes.py" --tripid 108-06 --locoid 4003 --swversion DE.1.0.9.0 --startMP 204:127851 --initTime 2017-12-06T05:40:56 --startdatetime 2017-12-06T05:42:23 --delay 44 --endMP 204:58803 --enddatetime 2017-12-06T05:52:50 --enforcementcount 0 &gt;&gt;%USERPROFILE%\Documents\GitHub\eaglep3-reporting\EC\2017-12-06-refined-times.txt</v>
      </c>
      <c r="AI21" s="238" t="str">
        <f t="shared" si="19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drop","project_id":79,"tracker_id":40,"status_id":1,"priority_id":2,"assigned_to_id":338,"start_date":"2017-12-06","description":"","custom_fields":[{"id":1,"name":"Subdivision","value":"EC"},{"id":4,"name":"Milepost","value":"5.8803"},{"id":17,"name":"Train ID","value":"108-06"},{"id":16,"name":"Locomotive ID","value":"4003"},{"id":130,"name":"Impact","value":""},{"id":150,"name":"Time of Event (Mountain Time)","value":"05:52:50"},{"id":151,"name":"Denver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0"/>
        <v>start /low /b %USERPROFILE%\Documents\GitHub\eaglep3\Utilities\DownloadLogsFromS3.py --loco 4003 --day 2017-12-06</v>
      </c>
      <c r="AN21" s="241" t="str">
        <f t="shared" si="21"/>
        <v>echo {"issue":{"subject":"Wi-MAX data drop","project_id":30,"tracker_id":4,"status_id":1,"priority_id":1,"assigned_to_id":10,"start_date":"2017-12-06","description":"","custom_fields":[{"id":30,"name":"Category","value":"Issue"},{"id":3,"name":"Functional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2"/>
        <v>https://d0f6bd738d7f1b3e5a7ca70fe4ff75f0.us-east-1.aws.found.io/app/kibana#/discover/Steve-Slow-Train-Analysis-(2080s-and-2083s)?_g=(refreshInterval:(display:Off,pause:!f,section:0,value:0),time:(from:'2017-12-06T04:40:56-0700',mode:absolute,to:'2017-12-06T06:52:50-0700'))&amp;_a=(columns:!('Message%20ID',Summary),filters:!(),index:'emp_*',interval:auto,query:(query_string:(analyze_wildcard:!t,query:'%22rtdc.l.rtdc.4003%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677</v>
      </c>
      <c r="B22" s="225">
        <v>4042</v>
      </c>
      <c r="C22" s="227" t="s">
        <v>192</v>
      </c>
      <c r="D22" s="227" t="s">
        <v>506</v>
      </c>
      <c r="E22" s="226">
        <v>43075.187939814816</v>
      </c>
      <c r="F22" s="226">
        <v>43075.19809027778</v>
      </c>
      <c r="G22" s="225">
        <v>81</v>
      </c>
      <c r="H22" s="227" t="s">
        <v>898</v>
      </c>
      <c r="I22" s="226">
        <v>43075.222187500003</v>
      </c>
      <c r="J22" s="225">
        <v>0</v>
      </c>
      <c r="K22" s="237" t="str">
        <f t="shared" si="0"/>
        <v>4041/4042</v>
      </c>
      <c r="L22" s="245" t="str">
        <f>VLOOKUP(A22,'Trips&amp;Operators'!$C$1:$G$99911,5,FALSE)</f>
        <v>LOPES KIMBERLY</v>
      </c>
      <c r="M22" s="224">
        <f t="shared" si="1"/>
        <v>2.4097222223645076E-2</v>
      </c>
      <c r="N22" s="225">
        <f t="shared" ref="N22:N34" si="24">24*60*SUM($M22:$M22)</f>
        <v>34.70000000204891</v>
      </c>
      <c r="O22" s="225"/>
      <c r="P22" s="225"/>
      <c r="Q22" s="228"/>
      <c r="R22" s="242"/>
      <c r="S22" s="249">
        <f t="shared" si="23"/>
        <v>1</v>
      </c>
      <c r="T22" s="242" t="str">
        <f t="shared" si="3"/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-06T03:30:38-0700',mode:absolute,to:'2017-12-06T06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" s="247" t="str">
        <f>IF(AA22&lt;VLOOKUP(AG22,Variables!$AC$3:$AD$8,2,FALSE),"Y","N")</f>
        <v>N</v>
      </c>
      <c r="X22" s="247">
        <f t="shared" si="5"/>
        <v>1</v>
      </c>
      <c r="Y22" s="247">
        <f t="shared" si="6"/>
        <v>4.7100000000000003E-2</v>
      </c>
      <c r="Z22" s="247">
        <f t="shared" si="7"/>
        <v>23.3278</v>
      </c>
      <c r="AA22" s="247">
        <f t="shared" si="8"/>
        <v>23.2807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9"/>
        <v>109</v>
      </c>
      <c r="AE22" s="235" t="str">
        <f t="shared" si="1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22" s="234" t="str">
        <f t="shared" si="11"/>
        <v>"C:\Program Files (x86)\AstroGrep\AstroGrep.exe" /e /r /s /spath="%USERPROFILE%\AppData\Local\Temp\OnboardLogs" /stypes="app*4042*20171206*" /stext=" 12:.+((SYSTEM_STATE.+slice.+state.+changed )|(ment ac)|(multiple cpu faults)|(system.+state.+changed )|(\[timeout)|(PRM\|1\|D)|(kpr)|(kdp)|(train st.+moving)|(\|lc)|(penalty))"</v>
      </c>
      <c r="AG22" s="244" t="str">
        <f t="shared" si="12"/>
        <v>EC</v>
      </c>
      <c r="AH22" s="236" t="str">
        <f t="shared" si="18"/>
        <v>"%USERPROFILE%\Documents\GitHub\eaglep3\Utilities\RefineRTDCRunTimes.py" --tripid 109-06 --locoid 4042 --swversion DE.1.0.9.0 --startMP 204:471 --initTime 2017-12-06T04:30:38 --startdatetime 2017-12-06T04:45:15 --delay 81 --endMP 204:233278 --enddatetime 2017-12-06T05:19:57 --enforcementcount 0 &gt;&gt;%USERPROFILE%\Documents\GitHub\eaglep3-reporting\EC\2017-12-06-refined-times.txt</v>
      </c>
      <c r="AI2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{"issue":{"subject":"","project_id":79,"tracker_id":40,"status_id":1,"priority_id":2,"assigned_to_id":338,"start_date":"2017-12-06","description":"","custom_fields":[{"id":1,"name":"Subdivision","value":"EC"},{"id":4,"name":"Milepost","value":"23.3278"},{"id":17,"name":"Train ID","value":"109-06"},{"id":16,"name":"Locomotive ID","value":"4042"},{"id":130,"name":"Impact","value":""},{"id":150,"name":"Time of Event (Mountain Time)","value":"05:19:57"},{"id":151,"name":"Denver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0"/>
        <v>start /low /b %USERPROFILE%\Documents\GitHub\eaglep3\Utilities\DownloadLogsFromS3.py --loco 4042 --day 2017-12-06</v>
      </c>
      <c r="AN2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2"/>
        <v>https://d0f6bd738d7f1b3e5a7ca70fe4ff75f0.us-east-1.aws.found.io/app/kibana#/discover/Steve-Slow-Train-Analysis-(2080s-and-2083s)?_g=(refreshInterval:(display:Off,pause:!f,section:0,value:0),time:(from:'2017-12-06T03:30:38-0700',mode:absolute,to:'2017-12-06T06:19:57-0700'))&amp;_a=(columns:!('Message%20ID',Summary),filters:!(),index:'emp_*',interval:auto,query:(query_string:(analyze_wildcard:!t,query:'%22rtdc.l.rtdc.4042%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633</v>
      </c>
      <c r="B23" s="225">
        <v>4041</v>
      </c>
      <c r="C23" s="227" t="s">
        <v>192</v>
      </c>
      <c r="D23" s="227" t="s">
        <v>899</v>
      </c>
      <c r="E23" s="226">
        <v>43075.22625</v>
      </c>
      <c r="F23" s="226">
        <v>43075.237685185188</v>
      </c>
      <c r="G23" s="225">
        <v>51</v>
      </c>
      <c r="H23" s="227" t="s">
        <v>900</v>
      </c>
      <c r="I23" s="226">
        <v>43075.264131944445</v>
      </c>
      <c r="J23" s="225">
        <v>0</v>
      </c>
      <c r="K23" s="237" t="str">
        <f t="shared" si="0"/>
        <v>4041/4042</v>
      </c>
      <c r="L23" s="245" t="str">
        <f>VLOOKUP(A23,'Trips&amp;Operators'!$C$1:$G$99911,5,FALSE)</f>
        <v>LOPES KIMBERLY</v>
      </c>
      <c r="M23" s="224">
        <f t="shared" si="1"/>
        <v>2.6446759256941732E-2</v>
      </c>
      <c r="N23" s="225">
        <f t="shared" si="24"/>
        <v>38.083333329996094</v>
      </c>
      <c r="O23" s="225"/>
      <c r="P23" s="225"/>
      <c r="Q23" s="228"/>
      <c r="R23" s="242"/>
      <c r="S23" s="249">
        <f t="shared" si="23"/>
        <v>1</v>
      </c>
      <c r="T23" s="242" t="str">
        <f t="shared" si="3"/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-06T04:25:48-0700',mode:absolute,to:'2017-12-06T07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" s="247" t="str">
        <f>IF(AA23&lt;VLOOKUP(AG23,Variables!$AC$3:$AD$8,2,FALSE),"Y","N")</f>
        <v>N</v>
      </c>
      <c r="X23" s="247">
        <f t="shared" si="5"/>
        <v>1</v>
      </c>
      <c r="Y23" s="247">
        <f t="shared" si="6"/>
        <v>23.298999999999999</v>
      </c>
      <c r="Z23" s="247">
        <f t="shared" si="7"/>
        <v>2.0500000000000001E-2</v>
      </c>
      <c r="AA23" s="247">
        <f t="shared" si="8"/>
        <v>23.278500000000001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9"/>
        <v>110</v>
      </c>
      <c r="AE23" s="235" t="str">
        <f t="shared" si="1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23" s="234" t="str">
        <f t="shared" si="11"/>
        <v>"C:\Program Files (x86)\AstroGrep\AstroGrep.exe" /e /r /s /spath="%USERPROFILE%\AppData\Local\Temp\OnboardLogs" /stypes="app*4041*20171206*" /stext=" 13:.+((SYSTEM_STATE.+slice.+state.+changed )|(ment ac)|(multiple cpu faults)|(system.+state.+changed )|(\[timeout)|(PRM\|1\|D)|(kpr)|(kdp)|(train st.+moving)|(\|lc)|(penalty))"</v>
      </c>
      <c r="AG23" s="244" t="str">
        <f t="shared" si="12"/>
        <v>EC</v>
      </c>
      <c r="AH23" s="236" t="str">
        <f t="shared" si="18"/>
        <v>"%USERPROFILE%\Documents\GitHub\eaglep3\Utilities\RefineRTDCRunTimes.py" --tripid 110-06 --locoid 4041 --swversion DE.1.0.9.0 --startMP 204:232990 --initTime 2017-12-06T05:25:48 --startdatetime 2017-12-06T05:42:16 --delay 51 --endMP 204:205 --enddatetime 2017-12-06T06:20:21 --enforcementcount 0 &gt;&gt;%USERPROFILE%\Documents\GitHub\eaglep3-reporting\EC\2017-12-06-refined-times.txt</v>
      </c>
      <c r="AI2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{"issue":{"subject":"","project_id":79,"tracker_id":40,"status_id":1,"priority_id":2,"assigned_to_id":338,"start_date":"2017-12-06","description":"","custom_fields":[{"id":1,"name":"Subdivision","value":"EC"},{"id":4,"name":"Milepost","value":"0.0205"},{"id":17,"name":"Train ID","value":"110-06"},{"id":16,"name":"Locomotive ID","value":"4041"},{"id":130,"name":"Impact","value":""},{"id":150,"name":"Time of Event (Mountain Time)","value":"06:20:21"},{"id":151,"name":"Denver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0"/>
        <v>start /low /b %USERPROFILE%\Documents\GitHub\eaglep3\Utilities\DownloadLogsFromS3.py --loco 4041 --day 2017-12-06</v>
      </c>
      <c r="AN2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2"/>
        <v>https://d0f6bd738d7f1b3e5a7ca70fe4ff75f0.us-east-1.aws.found.io/app/kibana#/discover/Steve-Slow-Train-Analysis-(2080s-and-2083s)?_g=(refreshInterval:(display:Off,pause:!f,section:0,value:0),time:(from:'2017-12-06T04:25:48-0700',mode:absolute,to:'2017-12-06T07:20:21-0700'))&amp;_a=(columns:!('Message%20ID',Summary),filters:!(),index:'emp_*',interval:auto,query:(query_string:(analyze_wildcard:!t,query:'%22rtdc.l.rtdc.4041%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680</v>
      </c>
      <c r="B24" s="225">
        <v>4008</v>
      </c>
      <c r="C24" s="227" t="s">
        <v>192</v>
      </c>
      <c r="D24" s="227" t="s">
        <v>478</v>
      </c>
      <c r="E24" s="226">
        <v>43075.203680555554</v>
      </c>
      <c r="F24" s="226">
        <v>43075.208611111113</v>
      </c>
      <c r="G24" s="225">
        <v>55</v>
      </c>
      <c r="H24" s="227" t="s">
        <v>580</v>
      </c>
      <c r="I24" s="226">
        <v>43075.234525462962</v>
      </c>
      <c r="J24" s="225">
        <v>0</v>
      </c>
      <c r="K24" s="237" t="str">
        <f t="shared" si="0"/>
        <v>4007/4008</v>
      </c>
      <c r="L24" s="245" t="str">
        <f>VLOOKUP(A24,'Trips&amp;Operators'!$C$1:$G$99911,5,FALSE)</f>
        <v>HAMMOND JUSTYNN</v>
      </c>
      <c r="M24" s="224">
        <f t="shared" si="1"/>
        <v>2.5914351848769002E-2</v>
      </c>
      <c r="N24" s="225">
        <f t="shared" si="24"/>
        <v>37.316666662227362</v>
      </c>
      <c r="O24" s="225"/>
      <c r="P24" s="225"/>
      <c r="Q24" s="228"/>
      <c r="R24" s="242"/>
      <c r="S24" s="249">
        <f t="shared" si="23"/>
        <v>1</v>
      </c>
      <c r="T24" s="242" t="str">
        <f t="shared" si="3"/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-06T03:53:18-0700',mode:absolute,to:'2017-12-06T06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247" t="str">
        <f>IF(AA24&lt;VLOOKUP(AG24,Variables!$AC$3:$AD$8,2,FALSE),"Y","N")</f>
        <v>N</v>
      </c>
      <c r="X24" s="247">
        <f t="shared" si="5"/>
        <v>1</v>
      </c>
      <c r="Y24" s="247">
        <f t="shared" si="6"/>
        <v>5.0200000000000002E-2</v>
      </c>
      <c r="Z24" s="247">
        <f t="shared" si="7"/>
        <v>23.331399999999999</v>
      </c>
      <c r="AA24" s="247">
        <f t="shared" si="8"/>
        <v>23.281199999999998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9"/>
        <v>111</v>
      </c>
      <c r="AE24" s="235" t="str">
        <f t="shared" si="1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24" s="234" t="str">
        <f t="shared" si="11"/>
        <v>"C:\Program Files (x86)\AstroGrep\AstroGrep.exe" /e /r /s /spath="%USERPROFILE%\AppData\Local\Temp\OnboardLogs" /stypes="app*4008*20171206*" /stext=" 12:.+((SYSTEM_STATE.+slice.+state.+changed )|(ment ac)|(multiple cpu faults)|(system.+state.+changed )|(\[timeout)|(PRM\|1\|D)|(kpr)|(kdp)|(train st.+moving)|(\|lc)|(penalty))"</v>
      </c>
      <c r="AG24" s="244" t="str">
        <f t="shared" si="12"/>
        <v>EC</v>
      </c>
      <c r="AH24" s="236" t="str">
        <f t="shared" si="18"/>
        <v>"%USERPROFILE%\Documents\GitHub\eaglep3\Utilities\RefineRTDCRunTimes.py" --tripid 111-06 --locoid 4008 --swversion DE.1.0.9.0 --startMP 204:502 --initTime 2017-12-06T04:53:18 --startdatetime 2017-12-06T05:00:24 --delay 55 --endMP 204:233314 --enddatetime 2017-12-06T05:37:43 --enforcementcount 0 &gt;&gt;%USERPROFILE%\Documents\GitHub\eaglep3-reporting\EC\2017-12-06-refined-times.txt</v>
      </c>
      <c r="AI2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{"issue":{"subject":"","project_id":79,"tracker_id":40,"status_id":1,"priority_id":2,"assigned_to_id":338,"start_date":"2017-12-06","description":"","custom_fields":[{"id":1,"name":"Subdivision","value":"EC"},{"id":4,"name":"Milepost","value":"23.3314"},{"id":17,"name":"Train ID","value":"111-06"},{"id":16,"name":"Locomotive ID","value":"4008"},{"id":130,"name":"Impact","value":""},{"id":150,"name":"Time of Event (Mountain Time)","value":"05:37:43"},{"id":151,"name":"Denver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0"/>
        <v>start /low /b %USERPROFILE%\Documents\GitHub\eaglep3\Utilities\DownloadLogsFromS3.py --loco 4008 --day 2017-12-06</v>
      </c>
      <c r="AN2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2"/>
        <v>https://d0f6bd738d7f1b3e5a7ca70fe4ff75f0.us-east-1.aws.found.io/app/kibana#/discover/Steve-Slow-Train-Analysis-(2080s-and-2083s)?_g=(refreshInterval:(display:Off,pause:!f,section:0,value:0),time:(from:'2017-12-06T03:53:18-0700',mode:absolute,to:'2017-12-06T06:37:43-0700'))&amp;_a=(columns:!('Message%20ID',Summary),filters:!(),index:'emp_*',interval:auto,query:(query_string:(analyze_wildcard:!t,query:'%22rtdc.l.rtdc.4008%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634</v>
      </c>
      <c r="B25" s="225">
        <v>4007</v>
      </c>
      <c r="C25" s="227" t="s">
        <v>192</v>
      </c>
      <c r="D25" s="227" t="s">
        <v>901</v>
      </c>
      <c r="E25" s="226">
        <v>43075.244131944448</v>
      </c>
      <c r="F25" s="226">
        <v>43075.248136574075</v>
      </c>
      <c r="G25" s="225">
        <v>59</v>
      </c>
      <c r="H25" s="227" t="s">
        <v>902</v>
      </c>
      <c r="I25" s="226">
        <v>43075.274826388886</v>
      </c>
      <c r="J25" s="225">
        <v>0</v>
      </c>
      <c r="K25" s="237" t="str">
        <f t="shared" si="0"/>
        <v>4007/4008</v>
      </c>
      <c r="L25" s="245" t="str">
        <f>VLOOKUP(A25,'Trips&amp;Operators'!$C$1:$G$99911,5,FALSE)</f>
        <v>HAMMOND JUSTYNN</v>
      </c>
      <c r="M25" s="224">
        <f t="shared" si="1"/>
        <v>2.6689814811106771E-2</v>
      </c>
      <c r="N25" s="225">
        <f t="shared" si="24"/>
        <v>38.433333327993751</v>
      </c>
      <c r="O25" s="225"/>
      <c r="P25" s="225"/>
      <c r="Q25" s="228"/>
      <c r="R25" s="242"/>
      <c r="S25" s="249">
        <f t="shared" si="23"/>
        <v>1</v>
      </c>
      <c r="T25" s="242" t="str">
        <f t="shared" si="3"/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-06T04:51:33-0700',mode:absolute,to:'2017-12-06T07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247" t="str">
        <f>IF(AA25&lt;VLOOKUP(AG25,Variables!$AC$3:$AD$8,2,FALSE),"Y","N")</f>
        <v>N</v>
      </c>
      <c r="X25" s="247">
        <f t="shared" si="5"/>
        <v>1</v>
      </c>
      <c r="Y25" s="247">
        <f t="shared" si="6"/>
        <v>23.299800000000001</v>
      </c>
      <c r="Z25" s="247">
        <f t="shared" si="7"/>
        <v>2.5999999999999999E-2</v>
      </c>
      <c r="AA25" s="247">
        <f t="shared" si="8"/>
        <v>23.273800000000001</v>
      </c>
      <c r="AB25" s="233" t="str">
        <f>VLOOKUP(A25,Enforcements!$C$7:$K$9,8,0)</f>
        <v>Bulletin (2)</v>
      </c>
      <c r="AC25" s="232" t="str">
        <f>VLOOKUP(A25,Enforcements!$C$7:$E$9,3,0)</f>
        <v>GRADE CROSSING</v>
      </c>
      <c r="AD25" s="243">
        <f t="shared" si="9"/>
        <v>112</v>
      </c>
      <c r="AE25" s="235" t="str">
        <f t="shared" si="1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25" s="234" t="str">
        <f t="shared" si="11"/>
        <v>"C:\Program Files (x86)\AstroGrep\AstroGrep.exe" /e /r /s /spath="%USERPROFILE%\AppData\Local\Temp\OnboardLogs" /stypes="app*4007*20171206*" /stext=" 13:.+((SYSTEM_STATE.+slice.+state.+changed )|(ment ac)|(multiple cpu faults)|(system.+state.+changed )|(\[timeout)|(PRM\|1\|D)|(kpr)|(kdp)|(train st.+moving)|(\|lc)|(penalty))"</v>
      </c>
      <c r="AG25" s="244" t="str">
        <f t="shared" si="12"/>
        <v>EC</v>
      </c>
      <c r="AH25" s="236" t="str">
        <f t="shared" si="18"/>
        <v>"%USERPROFILE%\Documents\GitHub\eaglep3\Utilities\RefineRTDCRunTimes.py" --tripid 112-06 --locoid 4007 --swversion DE.1.0.9.0 --startMP 204:232998 --initTime 2017-12-06T05:51:33 --startdatetime 2017-12-06T05:57:19 --delay 59 --endMP 204:260 --enddatetime 2017-12-06T06:35:45 --enforcementcount 0 &gt;&gt;%USERPROFILE%\Documents\GitHub\eaglep3-reporting\EC\2017-12-06-refined-times.txt</v>
      </c>
      <c r="AI2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{"issue":{"subject":"","project_id":79,"tracker_id":40,"status_id":1,"priority_id":2,"assigned_to_id":338,"start_date":"2017-12-06","description":"","custom_fields":[{"id":1,"name":"Subdivision","value":"EC"},{"id":4,"name":"Milepost","value":"0.026"},{"id":17,"name":"Train ID","value":"112-06"},{"id":16,"name":"Locomotive ID","value":"4007"},{"id":130,"name":"Impact","value":""},{"id":150,"name":"Time of Event (Mountain Time)","value":"06:35:45"},{"id":151,"name":"Denver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0"/>
        <v>start /low /b %USERPROFILE%\Documents\GitHub\eaglep3\Utilities\DownloadLogsFromS3.py --loco 4007 --day 2017-12-06</v>
      </c>
      <c r="AN2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2"/>
        <v>https://d0f6bd738d7f1b3e5a7ca70fe4ff75f0.us-east-1.aws.found.io/app/kibana#/discover/Steve-Slow-Train-Analysis-(2080s-and-2083s)?_g=(refreshInterval:(display:Off,pause:!f,section:0,value:0),time:(from:'2017-12-06T04:51:33-0700',mode:absolute,to:'2017-12-06T07:35:45-0700'))&amp;_a=(columns:!('Message%20ID',Summary),filters:!(),index:'emp_*',interval:auto,query:(query_string:(analyze_wildcard:!t,query:'%22rtdc.l.rtdc.4007%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683</v>
      </c>
      <c r="B26" s="225">
        <v>4034</v>
      </c>
      <c r="C26" s="227" t="s">
        <v>192</v>
      </c>
      <c r="D26" s="227" t="s">
        <v>475</v>
      </c>
      <c r="E26" s="226">
        <v>43075.214907407404</v>
      </c>
      <c r="F26" s="226">
        <v>43075.218923611108</v>
      </c>
      <c r="G26" s="225">
        <v>56</v>
      </c>
      <c r="H26" s="227" t="s">
        <v>903</v>
      </c>
      <c r="I26" s="226">
        <v>43075.243321759262</v>
      </c>
      <c r="J26" s="225">
        <v>0</v>
      </c>
      <c r="K26" s="237" t="str">
        <f t="shared" si="0"/>
        <v>4033/4034</v>
      </c>
      <c r="L26" s="245" t="str">
        <f>VLOOKUP(A26,'Trips&amp;Operators'!$C$1:$G$99911,5,FALSE)</f>
        <v>YANAI IAN</v>
      </c>
      <c r="M26" s="224">
        <f t="shared" si="1"/>
        <v>2.439814815443242E-2</v>
      </c>
      <c r="N26" s="225">
        <f t="shared" si="24"/>
        <v>35.133333342382684</v>
      </c>
      <c r="O26" s="225"/>
      <c r="P26" s="225"/>
      <c r="Q26" s="228"/>
      <c r="R26" s="242"/>
      <c r="S26" s="249">
        <f t="shared" si="23"/>
        <v>1</v>
      </c>
      <c r="T26" s="242" t="str">
        <f t="shared" si="3"/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-06T04:09:28-0700',mode:absolute,to:'2017-12-06T06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6" s="247" t="str">
        <f>IF(AA26&lt;VLOOKUP(AG26,Variables!$AC$3:$AD$8,2,FALSE),"Y","N")</f>
        <v>N</v>
      </c>
      <c r="X26" s="247">
        <f t="shared" si="5"/>
        <v>1</v>
      </c>
      <c r="Y26" s="247">
        <f t="shared" si="6"/>
        <v>4.4400000000000002E-2</v>
      </c>
      <c r="Z26" s="247">
        <f t="shared" si="7"/>
        <v>23.331600000000002</v>
      </c>
      <c r="AA26" s="247">
        <f t="shared" si="8"/>
        <v>23.287200000000002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9"/>
        <v>113</v>
      </c>
      <c r="AE26" s="235" t="str">
        <f t="shared" si="1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26" s="234" t="str">
        <f t="shared" si="11"/>
        <v>"C:\Program Files (x86)\AstroGrep\AstroGrep.exe" /e /r /s /spath="%USERPROFILE%\AppData\Local\Temp\OnboardLogs" /stypes="app*4034*20171206*" /stext=" 12:.+((SYSTEM_STATE.+slice.+state.+changed )|(ment ac)|(multiple cpu faults)|(system.+state.+changed )|(\[timeout)|(PRM\|1\|D)|(kpr)|(kdp)|(train st.+moving)|(\|lc)|(penalty))"</v>
      </c>
      <c r="AG26" s="244" t="str">
        <f t="shared" si="12"/>
        <v>EC</v>
      </c>
      <c r="AH26" s="236" t="str">
        <f t="shared" si="18"/>
        <v>"%USERPROFILE%\Documents\GitHub\eaglep3\Utilities\RefineRTDCRunTimes.py" --tripid 113-06 --locoid 4034 --swversion DE.1.0.9.0 --startMP 204:444 --initTime 2017-12-06T05:09:28 --startdatetime 2017-12-06T05:15:15 --delay 56 --endMP 204:233316 --enddatetime 2017-12-06T05:50:23 --enforcementcount 0 &gt;&gt;%USERPROFILE%\Documents\GitHub\eaglep3-reporting\EC\2017-12-06-refined-times.txt</v>
      </c>
      <c r="AI2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{"issue":{"subject":"","project_id":79,"tracker_id":40,"status_id":1,"priority_id":2,"assigned_to_id":338,"start_date":"2017-12-06","description":"","custom_fields":[{"id":1,"name":"Subdivision","value":"EC"},{"id":4,"name":"Milepost","value":"23.3316"},{"id":17,"name":"Train ID","value":"113-06"},{"id":16,"name":"Locomotive ID","value":"4034"},{"id":130,"name":"Impact","value":""},{"id":150,"name":"Time of Event (Mountain Time)","value":"05:50:23"},{"id":151,"name":"Denver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0"/>
        <v>start /low /b %USERPROFILE%\Documents\GitHub\eaglep3\Utilities\DownloadLogsFromS3.py --loco 4034 --day 2017-12-06</v>
      </c>
      <c r="AN2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2"/>
        <v>https://d0f6bd738d7f1b3e5a7ca70fe4ff75f0.us-east-1.aws.found.io/app/kibana#/discover/Steve-Slow-Train-Analysis-(2080s-and-2083s)?_g=(refreshInterval:(display:Off,pause:!f,section:0,value:0),time:(from:'2017-12-06T04:09:28-0700',mode:absolute,to:'2017-12-06T06:50:23-0700'))&amp;_a=(columns:!('Message%20ID',Summary),filters:!(),index:'emp_*',interval:auto,query:(query_string:(analyze_wildcard:!t,query:'%22rtdc.l.rtdc.4034%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693</v>
      </c>
      <c r="B27" s="225">
        <v>4033</v>
      </c>
      <c r="C27" s="227" t="s">
        <v>192</v>
      </c>
      <c r="D27" s="227" t="s">
        <v>904</v>
      </c>
      <c r="E27" s="226">
        <v>43075.249201388891</v>
      </c>
      <c r="F27" s="226">
        <v>43075.258506944447</v>
      </c>
      <c r="G27" s="225">
        <v>52</v>
      </c>
      <c r="H27" s="227" t="s">
        <v>538</v>
      </c>
      <c r="I27" s="226">
        <v>43075.284525462965</v>
      </c>
      <c r="J27" s="225">
        <v>0</v>
      </c>
      <c r="K27" s="237" t="str">
        <f t="shared" si="0"/>
        <v>4033/4034</v>
      </c>
      <c r="L27" s="245" t="str">
        <f>VLOOKUP(A27,'Trips&amp;Operators'!$C$1:$G$99911,5,FALSE)</f>
        <v>YANAI IAN</v>
      </c>
      <c r="M27" s="224">
        <f t="shared" si="1"/>
        <v>2.6018518517958E-2</v>
      </c>
      <c r="N27" s="225">
        <f t="shared" si="24"/>
        <v>37.46666666585952</v>
      </c>
      <c r="O27" s="225"/>
      <c r="P27" s="225"/>
      <c r="Q27" s="228"/>
      <c r="R27" s="242"/>
      <c r="S27" s="249">
        <f t="shared" si="23"/>
        <v>1</v>
      </c>
      <c r="T27" s="242" t="str">
        <f t="shared" si="3"/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-06T04:58:51-0700',mode:absolute,to:'2017-12-06T07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" s="247" t="str">
        <f>IF(AA27&lt;VLOOKUP(AG27,Variables!$AC$3:$AD$8,2,FALSE),"Y","N")</f>
        <v>N</v>
      </c>
      <c r="X27" s="247">
        <f t="shared" si="5"/>
        <v>1</v>
      </c>
      <c r="Y27" s="247">
        <f t="shared" si="6"/>
        <v>23.3003</v>
      </c>
      <c r="Z27" s="247">
        <f t="shared" si="7"/>
        <v>1.54E-2</v>
      </c>
      <c r="AA27" s="247">
        <f t="shared" si="8"/>
        <v>23.2849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9"/>
        <v>114</v>
      </c>
      <c r="AE27" s="235" t="str">
        <f t="shared" si="1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27" s="234" t="str">
        <f t="shared" si="11"/>
        <v>"C:\Program Files (x86)\AstroGrep\AstroGrep.exe" /e /r /s /spath="%USERPROFILE%\AppData\Local\Temp\OnboardLogs" /stypes="app*4033*20171206*" /stext=" 13:.+((SYSTEM_STATE.+slice.+state.+changed )|(ment ac)|(multiple cpu faults)|(system.+state.+changed )|(\[timeout)|(PRM\|1\|D)|(kpr)|(kdp)|(train st.+moving)|(\|lc)|(penalty))"</v>
      </c>
      <c r="AG27" s="244" t="str">
        <f t="shared" si="12"/>
        <v>EC</v>
      </c>
      <c r="AH27" s="236" t="str">
        <f t="shared" si="18"/>
        <v>"%USERPROFILE%\Documents\GitHub\eaglep3\Utilities\RefineRTDCRunTimes.py" --tripid 114-06 --locoid 4033 --swversion DE.1.0.9.0 --startMP 204:233003 --initTime 2017-12-06T05:58:51 --startdatetime 2017-12-06T06:12:15 --delay 52 --endMP 204:154 --enddatetime 2017-12-06T06:49:43 --enforcementcount 0 &gt;&gt;%USERPROFILE%\Documents\GitHub\eaglep3-reporting\EC\2017-12-06-refined-times.txt</v>
      </c>
      <c r="AI2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{"issue":{"subject":"","project_id":79,"tracker_id":40,"status_id":1,"priority_id":2,"assigned_to_id":338,"start_date":"2017-12-06","description":"","custom_fields":[{"id":1,"name":"Subdivision","value":"EC"},{"id":4,"name":"Milepost","value":"0.0154"},{"id":17,"name":"Train ID","value":"114-06"},{"id":16,"name":"Locomotive ID","value":"4033"},{"id":130,"name":"Impact","value":""},{"id":150,"name":"Time of Event (Mountain Time)","value":"06:49:43"},{"id":151,"name":"Denver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0"/>
        <v>start /low /b %USERPROFILE%\Documents\GitHub\eaglep3\Utilities\DownloadLogsFromS3.py --loco 4033 --day 2017-12-06</v>
      </c>
      <c r="AN2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2"/>
        <v>https://d0f6bd738d7f1b3e5a7ca70fe4ff75f0.us-east-1.aws.found.io/app/kibana#/discover/Steve-Slow-Train-Analysis-(2080s-and-2083s)?_g=(refreshInterval:(display:Off,pause:!f,section:0,value:0),time:(from:'2017-12-06T04:58:51-0700',mode:absolute,to:'2017-12-06T07:49:43-0700'))&amp;_a=(columns:!('Message%20ID',Summary),filters:!(),index:'emp_*',interval:auto,query:(query_string:(analyze_wildcard:!t,query:'%22rtdc.l.rtdc.4033%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684</v>
      </c>
      <c r="B28" s="225">
        <v>4010</v>
      </c>
      <c r="C28" s="227" t="s">
        <v>192</v>
      </c>
      <c r="D28" s="227" t="s">
        <v>905</v>
      </c>
      <c r="E28" s="226">
        <v>43075.224768518521</v>
      </c>
      <c r="F28" s="226">
        <v>43075.229351851849</v>
      </c>
      <c r="G28" s="225">
        <v>77</v>
      </c>
      <c r="H28" s="227" t="s">
        <v>906</v>
      </c>
      <c r="I28" s="226">
        <v>43075.255254629628</v>
      </c>
      <c r="J28" s="225">
        <v>0</v>
      </c>
      <c r="K28" s="237" t="str">
        <f t="shared" si="0"/>
        <v>4009/4010</v>
      </c>
      <c r="L28" s="245" t="str">
        <f>VLOOKUP(A28,'Trips&amp;Operators'!$C$1:$G$99911,5,FALSE)</f>
        <v>ACKERMAN JARED</v>
      </c>
      <c r="M28" s="224">
        <f t="shared" si="1"/>
        <v>2.5902777779265307E-2</v>
      </c>
      <c r="N28" s="225">
        <f t="shared" si="24"/>
        <v>37.300000002142042</v>
      </c>
      <c r="O28" s="225"/>
      <c r="P28" s="225"/>
      <c r="Q28" s="228"/>
      <c r="R28" s="242"/>
      <c r="S28" s="249">
        <f t="shared" si="23"/>
        <v>1</v>
      </c>
      <c r="T28" s="242" t="str">
        <f t="shared" si="3"/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-06T04:23:40-0700',mode:absolute,to:'2017-12-06T07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247" t="str">
        <f>IF(AA28&lt;VLOOKUP(AG28,Variables!$AC$3:$AD$8,2,FALSE),"Y","N")</f>
        <v>N</v>
      </c>
      <c r="X28" s="247">
        <f t="shared" si="5"/>
        <v>1</v>
      </c>
      <c r="Y28" s="247">
        <f t="shared" si="6"/>
        <v>4.4200000000000003E-2</v>
      </c>
      <c r="Z28" s="247">
        <f t="shared" si="7"/>
        <v>23.330200000000001</v>
      </c>
      <c r="AA28" s="247">
        <f t="shared" si="8"/>
        <v>23.286000000000001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9"/>
        <v>115</v>
      </c>
      <c r="AE28" s="235" t="str">
        <f t="shared" si="1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28" s="234" t="str">
        <f t="shared" si="11"/>
        <v>"C:\Program Files (x86)\AstroGrep\AstroGrep.exe" /e /r /s /spath="%USERPROFILE%\AppData\Local\Temp\OnboardLogs" /stypes="app*4010*20171206*" /stext=" 13:.+((SYSTEM_STATE.+slice.+state.+changed )|(ment ac)|(multiple cpu faults)|(system.+state.+changed )|(\[timeout)|(PRM\|1\|D)|(kpr)|(kdp)|(train st.+moving)|(\|lc)|(penalty))"</v>
      </c>
      <c r="AG28" s="244" t="str">
        <f t="shared" si="12"/>
        <v>EC</v>
      </c>
      <c r="AH28" s="236" t="str">
        <f t="shared" si="18"/>
        <v>"%USERPROFILE%\Documents\GitHub\eaglep3\Utilities\RefineRTDCRunTimes.py" --tripid 115-06 --locoid 4010 --swversion DE.1.0.9.0 --startMP 204:442 --initTime 2017-12-06T05:23:40 --startdatetime 2017-12-06T05:30:16 --delay 77 --endMP 204:233302 --enddatetime 2017-12-06T06:07:34 --enforcementcount 0 &gt;&gt;%USERPROFILE%\Documents\GitHub\eaglep3-reporting\EC\2017-12-06-refined-times.txt</v>
      </c>
      <c r="AI28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{"issue":{"subject":"","project_id":79,"tracker_id":40,"status_id":1,"priority_id":2,"assigned_to_id":338,"start_date":"2017-12-06","description":"","custom_fields":[{"id":1,"name":"Subdivision","value":"EC"},{"id":4,"name":"Milepost","value":"23.3302"},{"id":17,"name":"Train ID","value":"115-06"},{"id":16,"name":"Locomotive ID","value":"4010"},{"id":130,"name":"Impact","value":""},{"id":150,"name":"Time of Event (Mountain Time)","value":"06:07:34"},{"id":151,"name":"Denver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0"/>
        <v>start /low /b %USERPROFILE%\Documents\GitHub\eaglep3\Utilities\DownloadLogsFromS3.py --loco 4010 --day 2017-12-06</v>
      </c>
      <c r="AN28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2"/>
        <v>https://d0f6bd738d7f1b3e5a7ca70fe4ff75f0.us-east-1.aws.found.io/app/kibana#/discover/Steve-Slow-Train-Analysis-(2080s-and-2083s)?_g=(refreshInterval:(display:Off,pause:!f,section:0,value:0),time:(from:'2017-12-06T04:23:40-0700',mode:absolute,to:'2017-12-06T07:07:34-0700'))&amp;_a=(columns:!('Message%20ID',Summary),filters:!(),index:'emp_*',interval:auto,query:(query_string:(analyze_wildcard:!t,query:'%22rtdc.l.rtdc.4010%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696</v>
      </c>
      <c r="B29" s="225">
        <v>4009</v>
      </c>
      <c r="C29" s="227" t="s">
        <v>192</v>
      </c>
      <c r="D29" s="227" t="s">
        <v>907</v>
      </c>
      <c r="E29" s="226">
        <v>43075.262048611112</v>
      </c>
      <c r="F29" s="226">
        <v>43075.268923611111</v>
      </c>
      <c r="G29" s="225">
        <v>94</v>
      </c>
      <c r="H29" s="227" t="s">
        <v>889</v>
      </c>
      <c r="I29" s="226">
        <v>43075.295659722222</v>
      </c>
      <c r="J29" s="225">
        <v>0</v>
      </c>
      <c r="K29" s="237" t="str">
        <f t="shared" si="0"/>
        <v>4009/4010</v>
      </c>
      <c r="L29" s="245" t="str">
        <f>VLOOKUP(A29,'Trips&amp;Operators'!$C$1:$G$99911,5,FALSE)</f>
        <v>ACKERMAN JARED</v>
      </c>
      <c r="M29" s="224">
        <f t="shared" si="1"/>
        <v>2.6736111110949423E-2</v>
      </c>
      <c r="N29" s="225">
        <f t="shared" si="24"/>
        <v>38.499999999767169</v>
      </c>
      <c r="O29" s="225"/>
      <c r="P29" s="225"/>
      <c r="Q29" s="228"/>
      <c r="R29" s="242"/>
      <c r="S29" s="249">
        <f t="shared" si="23"/>
        <v>1</v>
      </c>
      <c r="T29" s="242" t="str">
        <f t="shared" si="3"/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-06T05:17:21-0700',mode:absolute,to:'2017-12-06T08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247" t="str">
        <f>IF(AA29&lt;VLOOKUP(AG29,Variables!$AC$3:$AD$8,2,FALSE),"Y","N")</f>
        <v>N</v>
      </c>
      <c r="X29" s="247">
        <f t="shared" si="5"/>
        <v>1</v>
      </c>
      <c r="Y29" s="247">
        <f t="shared" si="6"/>
        <v>23.3004</v>
      </c>
      <c r="Z29" s="247">
        <f t="shared" si="7"/>
        <v>1.41E-2</v>
      </c>
      <c r="AA29" s="247">
        <f t="shared" si="8"/>
        <v>23.286300000000001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9"/>
        <v>116</v>
      </c>
      <c r="AE29" s="235" t="str">
        <f t="shared" si="1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29" s="234" t="str">
        <f t="shared" si="11"/>
        <v>"C:\Program Files (x86)\AstroGrep\AstroGrep.exe" /e /r /s /spath="%USERPROFILE%\AppData\Local\Temp\OnboardLogs" /stypes="app*4009*20171206*" /stext=" 14:.+((SYSTEM_STATE.+slice.+state.+changed )|(ment ac)|(multiple cpu faults)|(system.+state.+changed )|(\[timeout)|(PRM\|1\|D)|(kpr)|(kdp)|(train st.+moving)|(\|lc)|(penalty))"</v>
      </c>
      <c r="AG29" s="244" t="str">
        <f t="shared" si="12"/>
        <v>EC</v>
      </c>
      <c r="AH29" s="236" t="str">
        <f t="shared" si="18"/>
        <v>"%USERPROFILE%\Documents\GitHub\eaglep3\Utilities\RefineRTDCRunTimes.py" --tripid 116-06 --locoid 4009 --swversion DE.1.0.9.0 --startMP 204:233004 --initTime 2017-12-06T06:17:21 --startdatetime 2017-12-06T06:27:15 --delay 94 --endMP 204:141 --enddatetime 2017-12-06T07:05:45 --enforcementcount 0 &gt;&gt;%USERPROFILE%\Documents\GitHub\eaglep3-reporting\EC\2017-12-06-refined-times.txt</v>
      </c>
      <c r="AI2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{"issue":{"subject":"","project_id":79,"tracker_id":40,"status_id":1,"priority_id":2,"assigned_to_id":338,"start_date":"2017-12-06","description":"","custom_fields":[{"id":1,"name":"Subdivision","value":"EC"},{"id":4,"name":"Milepost","value":"0.0141"},{"id":17,"name":"Train ID","value":"116-06"},{"id":16,"name":"Locomotive ID","value":"4009"},{"id":130,"name":"Impact","value":""},{"id":150,"name":"Time of Event (Mountain Time)","value":"07:05:45"},{"id":151,"name":"Denver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0"/>
        <v>start /low /b %USERPROFILE%\Documents\GitHub\eaglep3\Utilities\DownloadLogsFromS3.py --loco 4009 --day 2017-12-06</v>
      </c>
      <c r="AN2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2"/>
        <v>https://d0f6bd738d7f1b3e5a7ca70fe4ff75f0.us-east-1.aws.found.io/app/kibana#/discover/Steve-Slow-Train-Analysis-(2080s-and-2083s)?_g=(refreshInterval:(display:Off,pause:!f,section:0,value:0),time:(from:'2017-12-06T05:17:21-0700',mode:absolute,to:'2017-12-06T08:05:45-0700'))&amp;_a=(columns:!('Message%20ID',Summary),filters:!(),index:'emp_*',interval:auto,query:(query_string:(analyze_wildcard:!t,query:'%22rtdc.l.rtdc.4009%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686</v>
      </c>
      <c r="B30" s="225">
        <v>4062</v>
      </c>
      <c r="C30" s="227" t="s">
        <v>192</v>
      </c>
      <c r="D30" s="227" t="s">
        <v>465</v>
      </c>
      <c r="E30" s="226">
        <v>43075.228831018518</v>
      </c>
      <c r="F30" s="226">
        <v>43075.239861111113</v>
      </c>
      <c r="G30" s="225">
        <v>59</v>
      </c>
      <c r="H30" s="227" t="s">
        <v>908</v>
      </c>
      <c r="I30" s="226">
        <v>43075.264201388891</v>
      </c>
      <c r="J30" s="225">
        <v>0</v>
      </c>
      <c r="K30" s="237" t="str">
        <f t="shared" si="0"/>
        <v>4061/4062</v>
      </c>
      <c r="L30" s="245" t="str">
        <f>VLOOKUP(A30,'Trips&amp;Operators'!$C$1:$G$99911,5,FALSE)</f>
        <v>FORTUNATO FRANK</v>
      </c>
      <c r="M30" s="224">
        <f t="shared" si="1"/>
        <v>2.4340277777810115E-2</v>
      </c>
      <c r="N30" s="225">
        <f t="shared" si="24"/>
        <v>35.050000000046566</v>
      </c>
      <c r="O30" s="225"/>
      <c r="P30" s="225"/>
      <c r="Q30" s="228"/>
      <c r="R30" s="242"/>
      <c r="S30" s="249">
        <f t="shared" si="23"/>
        <v>1</v>
      </c>
      <c r="T30" s="242" t="str">
        <f t="shared" si="3"/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-06T04:29:31-0700',mode:absolute,to:'2017-12-06T07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0" s="247" t="str">
        <f>IF(AA30&lt;VLOOKUP(AG30,Variables!$AC$3:$AD$8,2,FALSE),"Y","N")</f>
        <v>N</v>
      </c>
      <c r="X30" s="247">
        <f t="shared" si="5"/>
        <v>1</v>
      </c>
      <c r="Y30" s="247">
        <f t="shared" si="6"/>
        <v>5.1900000000000002E-2</v>
      </c>
      <c r="Z30" s="247">
        <f t="shared" si="7"/>
        <v>23.319299999999998</v>
      </c>
      <c r="AA30" s="247">
        <f t="shared" si="8"/>
        <v>23.267399999999999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9"/>
        <v>117</v>
      </c>
      <c r="AE30" s="235" t="str">
        <f t="shared" si="1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30" s="234" t="str">
        <f t="shared" si="11"/>
        <v>"C:\Program Files (x86)\AstroGrep\AstroGrep.exe" /e /r /s /spath="%USERPROFILE%\AppData\Local\Temp\OnboardLogs" /stypes="app*4062*20171206*" /stext=" 13:.+((SYSTEM_STATE.+slice.+state.+changed )|(ment ac)|(multiple cpu faults)|(system.+state.+changed )|(\[timeout)|(PRM\|1\|D)|(kpr)|(kdp)|(train st.+moving)|(\|lc)|(penalty))"</v>
      </c>
      <c r="AG30" s="244" t="str">
        <f t="shared" si="12"/>
        <v>EC</v>
      </c>
      <c r="AH30" s="236" t="str">
        <f t="shared" si="18"/>
        <v>"%USERPROFILE%\Documents\GitHub\eaglep3\Utilities\RefineRTDCRunTimes.py" --tripid 117-06 --locoid 4062 --swversion DE.1.0.9.0 --startMP 204:519 --initTime 2017-12-06T05:29:31 --startdatetime 2017-12-06T05:45:24 --delay 59 --endMP 204:233193 --enddatetime 2017-12-06T06:20:27 --enforcementcount 0 &gt;&gt;%USERPROFILE%\Documents\GitHub\eaglep3-reporting\EC\2017-12-06-refined-times.txt</v>
      </c>
      <c r="AI3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{"issue":{"subject":"","project_id":79,"tracker_id":40,"status_id":1,"priority_id":2,"assigned_to_id":338,"start_date":"2017-12-06","description":"","custom_fields":[{"id":1,"name":"Subdivision","value":"EC"},{"id":4,"name":"Milepost","value":"23.3193"},{"id":17,"name":"Train ID","value":"117-06"},{"id":16,"name":"Locomotive ID","value":"4062"},{"id":130,"name":"Impact","value":""},{"id":150,"name":"Time of Event (Mountain Time)","value":"06:20:27"},{"id":151,"name":"Denver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0"/>
        <v>start /low /b %USERPROFILE%\Documents\GitHub\eaglep3\Utilities\DownloadLogsFromS3.py --loco 4062 --day 2017-12-06</v>
      </c>
      <c r="AN3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2"/>
        <v>https://d0f6bd738d7f1b3e5a7ca70fe4ff75f0.us-east-1.aws.found.io/app/kibana#/discover/Steve-Slow-Train-Analysis-(2080s-and-2083s)?_g=(refreshInterval:(display:Off,pause:!f,section:0,value:0),time:(from:'2017-12-06T04:29:31-0700',mode:absolute,to:'2017-12-06T07:20:27-0700'))&amp;_a=(columns:!('Message%20ID',Summary),filters:!(),index:'emp_*',interval:auto,query:(query_string:(analyze_wildcard:!t,query:'%22rtdc.l.rtdc.4062%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698</v>
      </c>
      <c r="B31" s="225">
        <v>4061</v>
      </c>
      <c r="C31" s="227" t="s">
        <v>192</v>
      </c>
      <c r="D31" s="227" t="s">
        <v>909</v>
      </c>
      <c r="E31" s="226">
        <v>43075.265949074077</v>
      </c>
      <c r="F31" s="226">
        <v>43075.279398148145</v>
      </c>
      <c r="G31" s="225">
        <v>61</v>
      </c>
      <c r="H31" s="227" t="s">
        <v>406</v>
      </c>
      <c r="I31" s="226">
        <v>43075.305613425924</v>
      </c>
      <c r="J31" s="225">
        <v>0</v>
      </c>
      <c r="K31" s="237" t="str">
        <f t="shared" si="0"/>
        <v>4061/4062</v>
      </c>
      <c r="L31" s="245" t="str">
        <f>VLOOKUP(A31,'Trips&amp;Operators'!$C$1:$G$99911,5,FALSE)</f>
        <v>FORTUNATO FRANK</v>
      </c>
      <c r="M31" s="224">
        <f t="shared" si="1"/>
        <v>2.6215277779556345E-2</v>
      </c>
      <c r="N31" s="225">
        <f t="shared" si="24"/>
        <v>37.750000002561137</v>
      </c>
      <c r="O31" s="225"/>
      <c r="P31" s="225"/>
      <c r="Q31" s="228"/>
      <c r="R31" s="242"/>
      <c r="S31" s="249">
        <f t="shared" si="23"/>
        <v>1</v>
      </c>
      <c r="T31" s="242" t="str">
        <f t="shared" si="3"/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-06T05:22:58-0700',mode:absolute,to:'2017-12-06T08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1" s="247" t="str">
        <f>IF(AA31&lt;VLOOKUP(AG31,Variables!$AC$3:$AD$8,2,FALSE),"Y","N")</f>
        <v>N</v>
      </c>
      <c r="X31" s="247">
        <f t="shared" si="5"/>
        <v>1</v>
      </c>
      <c r="Y31" s="247">
        <f t="shared" si="6"/>
        <v>23.286100000000001</v>
      </c>
      <c r="Z31" s="247">
        <f t="shared" si="7"/>
        <v>2.07E-2</v>
      </c>
      <c r="AA31" s="247">
        <f t="shared" si="8"/>
        <v>23.2654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9"/>
        <v>118</v>
      </c>
      <c r="AE31" s="235" t="str">
        <f t="shared" si="1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31" s="234" t="str">
        <f t="shared" si="11"/>
        <v>"C:\Program Files (x86)\AstroGrep\AstroGrep.exe" /e /r /s /spath="%USERPROFILE%\AppData\Local\Temp\OnboardLogs" /stypes="app*4061*20171206*" /stext=" 14:.+((SYSTEM_STATE.+slice.+state.+changed )|(ment ac)|(multiple cpu faults)|(system.+state.+changed )|(\[timeout)|(PRM\|1\|D)|(kpr)|(kdp)|(train st.+moving)|(\|lc)|(penalty))"</v>
      </c>
      <c r="AG31" s="244" t="str">
        <f t="shared" si="12"/>
        <v>EC</v>
      </c>
      <c r="AH31" s="236" t="str">
        <f t="shared" si="18"/>
        <v>"%USERPROFILE%\Documents\GitHub\eaglep3\Utilities\RefineRTDCRunTimes.py" --tripid 118-06 --locoid 4061 --swversion DE.1.0.9.0 --startMP 204:232861 --initTime 2017-12-06T06:22:58 --startdatetime 2017-12-06T06:42:20 --delay 61 --endMP 204:207 --enddatetime 2017-12-06T07:20:05 --enforcementcount 0 &gt;&gt;%USERPROFILE%\Documents\GitHub\eaglep3-reporting\EC\2017-12-06-refined-times.txt</v>
      </c>
      <c r="AI31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{"issue":{"subject":"","project_id":79,"tracker_id":40,"status_id":1,"priority_id":2,"assigned_to_id":338,"start_date":"2017-12-06","description":"","custom_fields":[{"id":1,"name":"Subdivision","value":"EC"},{"id":4,"name":"Milepost","value":"0.0207"},{"id":17,"name":"Train ID","value":"118-06"},{"id":16,"name":"Locomotive ID","value":"4061"},{"id":130,"name":"Impact","value":""},{"id":150,"name":"Time of Event (Mountain Time)","value":"07:20:05"},{"id":151,"name":"Denver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0"/>
        <v>start /low /b %USERPROFILE%\Documents\GitHub\eaglep3\Utilities\DownloadLogsFromS3.py --loco 4061 --day 2017-12-06</v>
      </c>
      <c r="AN31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2"/>
        <v>https://d0f6bd738d7f1b3e5a7ca70fe4ff75f0.us-east-1.aws.found.io/app/kibana#/discover/Steve-Slow-Train-Analysis-(2080s-and-2083s)?_g=(refreshInterval:(display:Off,pause:!f,section:0,value:0),time:(from:'2017-12-06T05:22:58-0700',mode:absolute,to:'2017-12-06T08:20:05-0700'))&amp;_a=(columns:!('Message%20ID',Summary),filters:!(),index:'emp_*',interval:auto,query:(query_string:(analyze_wildcard:!t,query:'%22rtdc.l.rtdc.4061%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691</v>
      </c>
      <c r="B32" s="225">
        <v>4032</v>
      </c>
      <c r="C32" s="227" t="s">
        <v>192</v>
      </c>
      <c r="D32" s="227" t="s">
        <v>892</v>
      </c>
      <c r="E32" s="226">
        <v>43075.243622685186</v>
      </c>
      <c r="F32" s="226">
        <v>43075.250231481485</v>
      </c>
      <c r="G32" s="225">
        <v>91</v>
      </c>
      <c r="H32" s="227" t="s">
        <v>906</v>
      </c>
      <c r="I32" s="226">
        <v>43075.274618055555</v>
      </c>
      <c r="J32" s="225">
        <v>0</v>
      </c>
      <c r="K32" s="237" t="str">
        <f t="shared" si="0"/>
        <v>4031/4032</v>
      </c>
      <c r="L32" s="245" t="str">
        <f>VLOOKUP(A32,'Trips&amp;Operators'!$C$1:$G$99911,5,FALSE)</f>
        <v>YORK EDGAR</v>
      </c>
      <c r="M32" s="224">
        <f t="shared" si="1"/>
        <v>2.438657407037681E-2</v>
      </c>
      <c r="N32" s="225">
        <f t="shared" si="24"/>
        <v>35.116666661342606</v>
      </c>
      <c r="O32" s="225"/>
      <c r="P32" s="225"/>
      <c r="Q32" s="228"/>
      <c r="R32" s="242"/>
      <c r="S32" s="249">
        <f t="shared" si="23"/>
        <v>1</v>
      </c>
      <c r="T32" s="242" t="str">
        <f t="shared" si="3"/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-06T04:50:49-0700',mode:absolute,to:'2017-12-06T07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247" t="str">
        <f>IF(AA32&lt;VLOOKUP(AG32,Variables!$AC$3:$AD$8,2,FALSE),"Y","N")</f>
        <v>N</v>
      </c>
      <c r="X32" s="247">
        <f t="shared" si="5"/>
        <v>1</v>
      </c>
      <c r="Y32" s="247">
        <f t="shared" si="6"/>
        <v>4.6899999999999997E-2</v>
      </c>
      <c r="Z32" s="247">
        <f t="shared" si="7"/>
        <v>23.330200000000001</v>
      </c>
      <c r="AA32" s="247">
        <f t="shared" si="8"/>
        <v>23.283300000000001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9"/>
        <v>119</v>
      </c>
      <c r="AE32" s="235" t="str">
        <f t="shared" si="1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32" s="234" t="str">
        <f t="shared" si="11"/>
        <v>"C:\Program Files (x86)\AstroGrep\AstroGrep.exe" /e /r /s /spath="%USERPROFILE%\AppData\Local\Temp\OnboardLogs" /stypes="app*4032*20171206*" /stext=" 13:.+((SYSTEM_STATE.+slice.+state.+changed )|(ment ac)|(multiple cpu faults)|(system.+state.+changed )|(\[timeout)|(PRM\|1\|D)|(kpr)|(kdp)|(train st.+moving)|(\|lc)|(penalty))"</v>
      </c>
      <c r="AG32" s="244" t="str">
        <f t="shared" si="12"/>
        <v>EC</v>
      </c>
      <c r="AH32" s="236" t="str">
        <f t="shared" si="18"/>
        <v>"%USERPROFILE%\Documents\GitHub\eaglep3\Utilities\RefineRTDCRunTimes.py" --tripid 119-06 --locoid 4032 --swversion DE.1.0.9.0 --startMP 204:469 --initTime 2017-12-06T05:50:49 --startdatetime 2017-12-06T06:00:20 --delay 91 --endMP 204:233302 --enddatetime 2017-12-06T06:35:27 --enforcementcount 0 &gt;&gt;%USERPROFILE%\Documents\GitHub\eaglep3-reporting\EC\2017-12-06-refined-times.txt</v>
      </c>
      <c r="AI3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{"issue":{"subject":"","project_id":79,"tracker_id":40,"status_id":1,"priority_id":2,"assigned_to_id":338,"start_date":"2017-12-06","description":"","custom_fields":[{"id":1,"name":"Subdivision","value":"EC"},{"id":4,"name":"Milepost","value":"23.3302"},{"id":17,"name":"Train ID","value":"119-06"},{"id":16,"name":"Locomotive ID","value":"4032"},{"id":130,"name":"Impact","value":""},{"id":150,"name":"Time of Event (Mountain Time)","value":"06:35:27"},{"id":151,"name":"Denver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0"/>
        <v>start /low /b %USERPROFILE%\Documents\GitHub\eaglep3\Utilities\DownloadLogsFromS3.py --loco 4032 --day 2017-12-06</v>
      </c>
      <c r="AN3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2"/>
        <v>https://d0f6bd738d7f1b3e5a7ca70fe4ff75f0.us-east-1.aws.found.io/app/kibana#/discover/Steve-Slow-Train-Analysis-(2080s-and-2083s)?_g=(refreshInterval:(display:Off,pause:!f,section:0,value:0),time:(from:'2017-12-06T04:50:49-0700',mode:absolute,to:'2017-12-06T07:35:27-0700'))&amp;_a=(columns:!('Message%20ID',Summary),filters:!(),index:'emp_*',interval:auto,query:(query_string:(analyze_wildcard:!t,query:'%22rtdc.l.rtdc.4032%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700</v>
      </c>
      <c r="B33" s="225">
        <v>4031</v>
      </c>
      <c r="C33" s="227" t="s">
        <v>192</v>
      </c>
      <c r="D33" s="227" t="s">
        <v>525</v>
      </c>
      <c r="E33" s="226">
        <v>43075.275543981479</v>
      </c>
      <c r="F33" s="226">
        <v>43075.290069444447</v>
      </c>
      <c r="G33" s="225">
        <v>71</v>
      </c>
      <c r="H33" s="227" t="s">
        <v>579</v>
      </c>
      <c r="I33" s="226">
        <v>43075.315497685187</v>
      </c>
      <c r="J33" s="225">
        <v>0</v>
      </c>
      <c r="K33" s="237" t="str">
        <f t="shared" si="0"/>
        <v>4031/4032</v>
      </c>
      <c r="L33" s="245" t="str">
        <f>VLOOKUP(A33,'Trips&amp;Operators'!$C$1:$G$99911,5,FALSE)</f>
        <v>YORK EDGAR</v>
      </c>
      <c r="M33" s="224">
        <f t="shared" si="1"/>
        <v>2.5428240740438923E-2</v>
      </c>
      <c r="N33" s="225">
        <f t="shared" si="24"/>
        <v>36.616666666232049</v>
      </c>
      <c r="O33" s="225"/>
      <c r="P33" s="225"/>
      <c r="Q33" s="228"/>
      <c r="R33" s="242"/>
      <c r="S33" s="249">
        <f t="shared" si="23"/>
        <v>1</v>
      </c>
      <c r="T33" s="242" t="str">
        <f t="shared" si="3"/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-06T05:36:47-0700',mode:absolute,to:'2017-12-06T08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3" s="247" t="str">
        <f>IF(AA33&lt;VLOOKUP(AG33,Variables!$AC$3:$AD$8,2,FALSE),"Y","N")</f>
        <v>N</v>
      </c>
      <c r="X33" s="247">
        <f t="shared" si="5"/>
        <v>1</v>
      </c>
      <c r="Y33" s="247">
        <f t="shared" si="6"/>
        <v>23.2974</v>
      </c>
      <c r="Z33" s="247">
        <f t="shared" si="7"/>
        <v>1.49E-2</v>
      </c>
      <c r="AA33" s="247">
        <f t="shared" si="8"/>
        <v>23.282499999999999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9"/>
        <v>120</v>
      </c>
      <c r="AE33" s="235" t="str">
        <f t="shared" si="1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33" s="234" t="str">
        <f t="shared" si="11"/>
        <v>"C:\Program Files (x86)\AstroGrep\AstroGrep.exe" /e /r /s /spath="%USERPROFILE%\AppData\Local\Temp\OnboardLogs" /stypes="app*4031*20171206*" /stext=" 14:.+((SYSTEM_STATE.+slice.+state.+changed )|(ment ac)|(multiple cpu faults)|(system.+state.+changed )|(\[timeout)|(PRM\|1\|D)|(kpr)|(kdp)|(train st.+moving)|(\|lc)|(penalty))"</v>
      </c>
      <c r="AG33" s="244" t="str">
        <f t="shared" si="12"/>
        <v>EC</v>
      </c>
      <c r="AH33" s="236" t="str">
        <f t="shared" si="18"/>
        <v>"%USERPROFILE%\Documents\GitHub\eaglep3\Utilities\RefineRTDCRunTimes.py" --tripid 120-06 --locoid 4031 --swversion DE.1.0.9.0 --startMP 204:232974 --initTime 2017-12-06T06:36:47 --startdatetime 2017-12-06T06:57:42 --delay 71 --endMP 204:149 --enddatetime 2017-12-06T07:34:19 --enforcementcount 0 &gt;&gt;%USERPROFILE%\Documents\GitHub\eaglep3-reporting\EC\2017-12-06-refined-times.txt</v>
      </c>
      <c r="AI3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{"issue":{"subject":"","project_id":79,"tracker_id":40,"status_id":1,"priority_id":2,"assigned_to_id":338,"start_date":"2017-12-06","description":"","custom_fields":[{"id":1,"name":"Subdivision","value":"EC"},{"id":4,"name":"Milepost","value":"0.0149"},{"id":17,"name":"Train ID","value":"120-06"},{"id":16,"name":"Locomotive ID","value":"4031"},{"id":130,"name":"Impact","value":""},{"id":150,"name":"Time of Event (Mountain Time)","value":"07:34:19"},{"id":151,"name":"Denver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0"/>
        <v>start /low /b %USERPROFILE%\Documents\GitHub\eaglep3\Utilities\DownloadLogsFromS3.py --loco 4031 --day 2017-12-06</v>
      </c>
      <c r="AN3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2"/>
        <v>https://d0f6bd738d7f1b3e5a7ca70fe4ff75f0.us-east-1.aws.found.io/app/kibana#/discover/Steve-Slow-Train-Analysis-(2080s-and-2083s)?_g=(refreshInterval:(display:Off,pause:!f,section:0,value:0),time:(from:'2017-12-06T05:36:47-0700',mode:absolute,to:'2017-12-06T08:34:19-0700'))&amp;_a=(columns:!('Message%20ID',Summary),filters:!(),index:'emp_*',interval:auto,query:(query_string:(analyze_wildcard:!t,query:'%22rtdc.l.rtdc.4031%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695</v>
      </c>
      <c r="B34" s="225">
        <v>4004</v>
      </c>
      <c r="C34" s="227" t="s">
        <v>192</v>
      </c>
      <c r="D34" s="227" t="s">
        <v>910</v>
      </c>
      <c r="E34" s="226">
        <v>43075.256423611114</v>
      </c>
      <c r="F34" s="226">
        <v>43075.260682870372</v>
      </c>
      <c r="G34" s="225">
        <v>50</v>
      </c>
      <c r="H34" s="227" t="s">
        <v>888</v>
      </c>
      <c r="I34" s="226">
        <v>43075.28496527778</v>
      </c>
      <c r="J34" s="225">
        <v>0</v>
      </c>
      <c r="K34" s="237" t="str">
        <f t="shared" si="0"/>
        <v>4003/4004</v>
      </c>
      <c r="L34" s="245" t="str">
        <f>VLOOKUP(A34,'Trips&amp;Operators'!$C$1:$G$99911,5,FALSE)</f>
        <v>BEAM ROSS</v>
      </c>
      <c r="M34" s="224">
        <f t="shared" si="1"/>
        <v>2.4282407408463769E-2</v>
      </c>
      <c r="N34" s="225">
        <f t="shared" si="24"/>
        <v>34.966666668187827</v>
      </c>
      <c r="O34" s="225"/>
      <c r="P34" s="225"/>
      <c r="Q34" s="228"/>
      <c r="R34" s="242"/>
      <c r="S34" s="249">
        <f t="shared" si="23"/>
        <v>1</v>
      </c>
      <c r="T34" s="242" t="str">
        <f t="shared" si="3"/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-06T05:09:15-0700',mode:absolute,to:'2017-12-06T07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247" t="str">
        <f>IF(AA34&lt;VLOOKUP(AG34,Variables!$AC$3:$AD$8,2,FALSE),"Y","N")</f>
        <v>N</v>
      </c>
      <c r="X34" s="247">
        <f t="shared" si="5"/>
        <v>1</v>
      </c>
      <c r="Y34" s="247">
        <f t="shared" si="6"/>
        <v>4.0599999999999997E-2</v>
      </c>
      <c r="Z34" s="247">
        <f t="shared" si="7"/>
        <v>23.329499999999999</v>
      </c>
      <c r="AA34" s="247">
        <f t="shared" si="8"/>
        <v>23.288899999999998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9"/>
        <v>121</v>
      </c>
      <c r="AE34" s="235" t="str">
        <f t="shared" si="10"/>
        <v>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 &amp; aws s3 cp s3://rtdc.mdm.uploadarchive.raw/RTDC4004/ "%USERPROFILE%\AppData\Local\Temp\OnboardLogs"\RTDC4004\2017-12-07 --exclude "*" --recursive --include "*20171207*" &amp; "%USERPROFILE%\Documents\GitHub\mrs-test-scripts\Headless Mode &amp; Sideloading\WalkAndUnGZ.bat" "%USERPROFILE%\AppData\Local\Temp\OnboardLogs"\RTDC4004\2017-12-07</v>
      </c>
      <c r="AF34" s="234" t="str">
        <f t="shared" si="11"/>
        <v>"C:\Program Files (x86)\AstroGrep\AstroGrep.exe" /e /r /s /spath="%USERPROFILE%\AppData\Local\Temp\OnboardLogs" /stypes="app*4004*20171206*" /stext=" 13:.+((SYSTEM_STATE.+slice.+state.+changed )|(ment ac)|(multiple cpu faults)|(system.+state.+changed )|(\[timeout)|(PRM\|1\|D)|(kpr)|(kdp)|(train st.+moving)|(\|lc)|(penalty))"</v>
      </c>
      <c r="AG34" s="244" t="str">
        <f t="shared" si="12"/>
        <v>EC</v>
      </c>
      <c r="AH34" s="236" t="str">
        <f t="shared" si="18"/>
        <v>"%USERPROFILE%\Documents\GitHub\eaglep3\Utilities\RefineRTDCRunTimes.py" --tripid 121-06 --locoid 4004 --swversion DE.1.0.9.0 --startMP 204:406 --initTime 2017-12-06T06:09:15 --startdatetime 2017-12-06T06:15:23 --delay 50 --endMP 204:233295 --enddatetime 2017-12-06T06:50:21 --enforcementcount 0 &gt;&gt;%USERPROFILE%\Documents\GitHub\eaglep3-reporting\EC\2017-12-06-refined-times.txt</v>
      </c>
      <c r="AI3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{"issue":{"subject":"","project_id":79,"tracker_id":40,"status_id":1,"priority_id":2,"assigned_to_id":338,"start_date":"2017-12-06","description":"","custom_fields":[{"id":1,"name":"Subdivision","value":"EC"},{"id":4,"name":"Milepost","value":"23.3295"},{"id":17,"name":"Train ID","value":"121-06"},{"id":16,"name":"Locomotive ID","value":"4004"},{"id":130,"name":"Impact","value":""},{"id":150,"name":"Time of Event (Mountain Time)","value":"06:50:21"},{"id":151,"name":"Denver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0"/>
        <v>start /low /b %USERPROFILE%\Documents\GitHub\eaglep3\Utilities\DownloadLogsFromS3.py --loco 4004 --day 2017-12-06</v>
      </c>
      <c r="AN3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2"/>
        <v>https://d0f6bd738d7f1b3e5a7ca70fe4ff75f0.us-east-1.aws.found.io/app/kibana#/discover/Steve-Slow-Train-Analysis-(2080s-and-2083s)?_g=(refreshInterval:(display:Off,pause:!f,section:0,value:0),time:(from:'2017-12-06T05:09:15-0700',mode:absolute,to:'2017-12-06T07:50:21-0700'))&amp;_a=(columns:!('Message%20ID',Summary),filters:!(),index:'emp_*',interval:auto,query:(query_string:(analyze_wildcard:!t,query:'%22rtdc.l.rtdc.4004%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635</v>
      </c>
      <c r="B35" s="225">
        <v>4003</v>
      </c>
      <c r="C35" s="227" t="s">
        <v>192</v>
      </c>
      <c r="D35" s="227" t="s">
        <v>578</v>
      </c>
      <c r="E35" s="226">
        <v>43075.286203703705</v>
      </c>
      <c r="F35" s="226">
        <v>43075.300208333334</v>
      </c>
      <c r="G35" s="225">
        <v>52</v>
      </c>
      <c r="H35" s="227" t="s">
        <v>911</v>
      </c>
      <c r="I35" s="226">
        <v>43075.317013888889</v>
      </c>
      <c r="J35" s="225">
        <v>0</v>
      </c>
      <c r="K35" s="237" t="str">
        <f t="shared" si="0"/>
        <v>4003/4004</v>
      </c>
      <c r="L35" s="245" t="str">
        <f>VLOOKUP(A35,'Trips&amp;Operators'!$C$1:$G$99911,5,FALSE)</f>
        <v>BEAM ROSS</v>
      </c>
      <c r="M35" s="224">
        <f t="shared" si="1"/>
        <v>1.6805555555038154E-2</v>
      </c>
      <c r="N35" s="225"/>
      <c r="O35" s="225"/>
      <c r="P35" s="225">
        <f>24*60*SUM($M35:$M35)</f>
        <v>24.199999999254942</v>
      </c>
      <c r="Q35" s="228"/>
      <c r="R35" s="242" t="s">
        <v>1120</v>
      </c>
      <c r="S35" s="249">
        <f t="shared" si="23"/>
        <v>0.25</v>
      </c>
      <c r="T35" s="242" t="str">
        <f t="shared" si="3"/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3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-06T05:52:08-0700',mode:absolute,to:'2017-12-06T08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247" t="str">
        <f>IF(AA35&lt;VLOOKUP(AG35,Variables!$AC$3:$AD$8,2,FALSE),"Y","N")</f>
        <v>Y</v>
      </c>
      <c r="X35" s="247">
        <f t="shared" si="5"/>
        <v>1</v>
      </c>
      <c r="Y35" s="247">
        <f t="shared" si="6"/>
        <v>23.297699999999999</v>
      </c>
      <c r="Z35" s="247">
        <f t="shared" si="7"/>
        <v>6.4150999999999998</v>
      </c>
      <c r="AA35" s="247">
        <f t="shared" si="8"/>
        <v>16.8826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9"/>
        <v>122</v>
      </c>
      <c r="AE35" s="235" t="str">
        <f t="shared" si="10"/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AF35" s="234" t="str">
        <f t="shared" si="11"/>
        <v>"C:\Program Files (x86)\AstroGrep\AstroGrep.exe" /e /r /s /spath="%USERPROFILE%\AppData\Local\Temp\OnboardLogs" /stypes="app*4003*20171206*" /stext=" 14:.+((SYSTEM_STATE.+slice.+state.+changed )|(ment ac)|(multiple cpu faults)|(system.+state.+changed )|(\[timeout)|(PRM\|1\|D)|(kpr)|(kdp)|(train st.+moving)|(\|lc)|(penalty))"</v>
      </c>
      <c r="AG35" s="244" t="str">
        <f t="shared" si="12"/>
        <v>EC</v>
      </c>
      <c r="AH35" s="236" t="str">
        <f t="shared" si="18"/>
        <v>"%USERPROFILE%\Documents\GitHub\eaglep3\Utilities\RefineRTDCRunTimes.py" --tripid 122-06 --locoid 4003 --swversion DE.1.0.9.0 --startMP 204:232977 --initTime 2017-12-06T06:52:08 --startdatetime 2017-12-06T07:12:18 --delay 52 --endMP 204:64151 --enddatetime 2017-12-06T07:36:30 --enforcementcount 0 &gt;&gt;%USERPROFILE%\Documents\GitHub\eaglep3-reporting\EC\2017-12-06-refined-times.txt</v>
      </c>
      <c r="AI35" s="238" t="str">
        <f t="shared" si="19"/>
        <v>echo {"issue":{"subject":"Onboard in-route failure (wiring issue)","project_id":79,"tracker_id":40,"status_id":1,"priority_id":2,"assigned_to_id":338,"start_date":"2017-12-06","description":"","custom_fields":[{"id":1,"name":"Subdivision","value":"EC"},{"id":4,"name":"Milepost","value":"6.4151"},{"id":17,"name":"Train ID","value":"122-06"},{"id":16,"name":"Locomotive ID","value":"4003"},{"id":130,"name":"Impact","value":""},{"id":150,"name":"Time of Event (Mountain Time)","value":"07:36:30"},{"id":151,"name":"Denver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0"/>
        <v>start /low /b %USERPROFILE%\Documents\GitHub\eaglep3\Utilities\DownloadLogsFromS3.py --loco 4003 --day 2017-12-06</v>
      </c>
      <c r="AN35" s="241" t="str">
        <f t="shared" si="21"/>
        <v>echo {"issue":{"subject":"Onboard in-route failure (wiring issue)","project_id":30,"tracker_id":4,"status_id":1,"priority_id":1,"assigned_to_id":10,"start_date":"2017-12-06","description":"","custom_fields":[{"id":30,"name":"Category","value":"Issue"},{"id":3,"name":"Functional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2"/>
        <v>https://d0f6bd738d7f1b3e5a7ca70fe4ff75f0.us-east-1.aws.found.io/app/kibana#/discover/Steve-Slow-Train-Analysis-(2080s-and-2083s)?_g=(refreshInterval:(display:Off,pause:!f,section:0,value:0),time:(from:'2017-12-06T05:52:08-0700',mode:absolute,to:'2017-12-06T08:36:30-0700'))&amp;_a=(columns:!('Message%20ID',Summary),filters:!(),index:'emp_*',interval:auto,query:(query_string:(analyze_wildcard:!t,query:'%22rtdc.l.rtdc.4003%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697</v>
      </c>
      <c r="B36" s="225">
        <v>4042</v>
      </c>
      <c r="C36" s="227" t="s">
        <v>192</v>
      </c>
      <c r="D36" s="227" t="s">
        <v>498</v>
      </c>
      <c r="E36" s="226">
        <v>43075.265636574077</v>
      </c>
      <c r="F36" s="226">
        <v>43075.271481481483</v>
      </c>
      <c r="G36" s="225">
        <v>58</v>
      </c>
      <c r="H36" s="227" t="s">
        <v>474</v>
      </c>
      <c r="I36" s="226">
        <v>43075.296018518522</v>
      </c>
      <c r="J36" s="225">
        <v>0</v>
      </c>
      <c r="K36" s="237" t="str">
        <f t="shared" si="0"/>
        <v>4041/4042</v>
      </c>
      <c r="L36" s="245" t="str">
        <f>VLOOKUP(A36,'Trips&amp;Operators'!$C$1:$G$99911,5,FALSE)</f>
        <v>LOPES KIMBERLY</v>
      </c>
      <c r="M36" s="224">
        <f t="shared" si="1"/>
        <v>2.453703703940846E-2</v>
      </c>
      <c r="N36" s="225">
        <f t="shared" ref="N36:N57" si="25">24*60*SUM($M36:$M36)</f>
        <v>35.333333336748183</v>
      </c>
      <c r="O36" s="225"/>
      <c r="P36" s="225"/>
      <c r="Q36" s="228"/>
      <c r="R36" s="242"/>
      <c r="S36" s="249">
        <f t="shared" si="23"/>
        <v>1</v>
      </c>
      <c r="T36" s="242" t="str">
        <f t="shared" si="3"/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-06T05:22:31-0700',mode:absolute,to:'2017-12-06T08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247" t="str">
        <f>IF(AA36&lt;VLOOKUP(AG36,Variables!$AC$3:$AD$8,2,FALSE),"Y","N")</f>
        <v>N</v>
      </c>
      <c r="X36" s="247">
        <f t="shared" si="5"/>
        <v>1</v>
      </c>
      <c r="Y36" s="247">
        <f t="shared" si="6"/>
        <v>5.04E-2</v>
      </c>
      <c r="Z36" s="247">
        <f t="shared" si="7"/>
        <v>23.326599999999999</v>
      </c>
      <c r="AA36" s="247">
        <f t="shared" si="8"/>
        <v>23.276199999999999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9"/>
        <v>123</v>
      </c>
      <c r="AE36" s="235" t="str">
        <f t="shared" si="1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36" s="234" t="str">
        <f t="shared" si="11"/>
        <v>"C:\Program Files (x86)\AstroGrep\AstroGrep.exe" /e /r /s /spath="%USERPROFILE%\AppData\Local\Temp\OnboardLogs" /stypes="app*4042*20171206*" /stext=" 14:.+((SYSTEM_STATE.+slice.+state.+changed )|(ment ac)|(multiple cpu faults)|(system.+state.+changed )|(\[timeout)|(PRM\|1\|D)|(kpr)|(kdp)|(train st.+moving)|(\|lc)|(penalty))"</v>
      </c>
      <c r="AG36" s="244" t="str">
        <f t="shared" si="12"/>
        <v>EC</v>
      </c>
      <c r="AH36" s="236" t="str">
        <f t="shared" si="18"/>
        <v>"%USERPROFILE%\Documents\GitHub\eaglep3\Utilities\RefineRTDCRunTimes.py" --tripid 123-06 --locoid 4042 --swversion DE.1.0.9.0 --startMP 204:504 --initTime 2017-12-06T06:22:31 --startdatetime 2017-12-06T06:30:56 --delay 58 --endMP 204:233266 --enddatetime 2017-12-06T07:06:16 --enforcementcount 0 &gt;&gt;%USERPROFILE%\Documents\GitHub\eaglep3-reporting\EC\2017-12-06-refined-times.txt</v>
      </c>
      <c r="AI3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{"issue":{"subject":"","project_id":79,"tracker_id":40,"status_id":1,"priority_id":2,"assigned_to_id":338,"start_date":"2017-12-06","description":"","custom_fields":[{"id":1,"name":"Subdivision","value":"EC"},{"id":4,"name":"Milepost","value":"23.3266"},{"id":17,"name":"Train ID","value":"123-06"},{"id":16,"name":"Locomotive ID","value":"4042"},{"id":130,"name":"Impact","value":""},{"id":150,"name":"Time of Event (Mountain Time)","value":"07:06:16"},{"id":151,"name":"Denver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0"/>
        <v>start /low /b %USERPROFILE%\Documents\GitHub\eaglep3\Utilities\DownloadLogsFromS3.py --loco 4042 --day 2017-12-06</v>
      </c>
      <c r="AN3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2"/>
        <v>https://d0f6bd738d7f1b3e5a7ca70fe4ff75f0.us-east-1.aws.found.io/app/kibana#/discover/Steve-Slow-Train-Analysis-(2080s-and-2083s)?_g=(refreshInterval:(display:Off,pause:!f,section:0,value:0),time:(from:'2017-12-06T05:22:31-0700',mode:absolute,to:'2017-12-06T08:06:16-0700'))&amp;_a=(columns:!('Message%20ID',Summary),filters:!(),index:'emp_*',interval:auto,query:(query_string:(analyze_wildcard:!t,query:'%22rtdc.l.rtdc.4042%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707</v>
      </c>
      <c r="B37" s="225">
        <v>4041</v>
      </c>
      <c r="C37" s="227" t="s">
        <v>192</v>
      </c>
      <c r="D37" s="227" t="s">
        <v>586</v>
      </c>
      <c r="E37" s="226">
        <v>43075.299502314818</v>
      </c>
      <c r="F37" s="226">
        <v>43075.310636574075</v>
      </c>
      <c r="G37" s="225">
        <v>54</v>
      </c>
      <c r="H37" s="227" t="s">
        <v>406</v>
      </c>
      <c r="I37" s="226">
        <v>43075.336296296293</v>
      </c>
      <c r="J37" s="225">
        <v>0</v>
      </c>
      <c r="K37" s="237" t="str">
        <f t="shared" si="0"/>
        <v>4041/4042</v>
      </c>
      <c r="L37" s="245" t="str">
        <f>VLOOKUP(A37,'Trips&amp;Operators'!$C$1:$G$99911,5,FALSE)</f>
        <v>LOPES KIMBERLY</v>
      </c>
      <c r="M37" s="224">
        <f t="shared" si="1"/>
        <v>2.565972221782431E-2</v>
      </c>
      <c r="N37" s="225">
        <f t="shared" si="25"/>
        <v>36.949999993667006</v>
      </c>
      <c r="O37" s="225"/>
      <c r="P37" s="225"/>
      <c r="Q37" s="228"/>
      <c r="R37" s="242"/>
      <c r="S37" s="249">
        <f t="shared" si="23"/>
        <v>1</v>
      </c>
      <c r="T37" s="242" t="str">
        <f t="shared" si="3"/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-06T06:11:17-0700',mode:absolute,to:'2017-12-06T09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247" t="str">
        <f>IF(AA37&lt;VLOOKUP(AG37,Variables!$AC$3:$AD$8,2,FALSE),"Y","N")</f>
        <v>N</v>
      </c>
      <c r="X37" s="247">
        <f t="shared" si="5"/>
        <v>1</v>
      </c>
      <c r="Y37" s="247">
        <f t="shared" si="6"/>
        <v>23.2957</v>
      </c>
      <c r="Z37" s="247">
        <f t="shared" si="7"/>
        <v>2.07E-2</v>
      </c>
      <c r="AA37" s="247">
        <f t="shared" si="8"/>
        <v>23.274999999999999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9"/>
        <v>124</v>
      </c>
      <c r="AE37" s="235" t="str">
        <f t="shared" si="1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37" s="234" t="str">
        <f t="shared" si="11"/>
        <v>"C:\Program Files (x86)\AstroGrep\AstroGrep.exe" /e /r /s /spath="%USERPROFILE%\AppData\Local\Temp\OnboardLogs" /stypes="app*4041*20171206*" /stext=" 15:.+((SYSTEM_STATE.+slice.+state.+changed )|(ment ac)|(multiple cpu faults)|(system.+state.+changed )|(\[timeout)|(PRM\|1\|D)|(kpr)|(kdp)|(train st.+moving)|(\|lc)|(penalty))"</v>
      </c>
      <c r="AG37" s="244" t="str">
        <f t="shared" si="12"/>
        <v>EC</v>
      </c>
      <c r="AH37" s="236" t="str">
        <f t="shared" si="18"/>
        <v>"%USERPROFILE%\Documents\GitHub\eaglep3\Utilities\RefineRTDCRunTimes.py" --tripid 124-06 --locoid 4041 --swversion DE.1.0.9.0 --startMP 204:232957 --initTime 2017-12-06T07:11:17 --startdatetime 2017-12-06T07:27:19 --delay 54 --endMP 204:207 --enddatetime 2017-12-06T08:04:16 --enforcementcount 0 &gt;&gt;%USERPROFILE%\Documents\GitHub\eaglep3-reporting\EC\2017-12-06-refined-times.txt</v>
      </c>
      <c r="AI3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{"issue":{"subject":"","project_id":79,"tracker_id":40,"status_id":1,"priority_id":2,"assigned_to_id":338,"start_date":"2017-12-06","description":"","custom_fields":[{"id":1,"name":"Subdivision","value":"EC"},{"id":4,"name":"Milepost","value":"0.0207"},{"id":17,"name":"Train ID","value":"124-06"},{"id":16,"name":"Locomotive ID","value":"4041"},{"id":130,"name":"Impact","value":""},{"id":150,"name":"Time of Event (Mountain Time)","value":"08:04:16"},{"id":151,"name":"Denver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0"/>
        <v>start /low /b %USERPROFILE%\Documents\GitHub\eaglep3\Utilities\DownloadLogsFromS3.py --loco 4041 --day 2017-12-06</v>
      </c>
      <c r="AN3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2"/>
        <v>https://d0f6bd738d7f1b3e5a7ca70fe4ff75f0.us-east-1.aws.found.io/app/kibana#/discover/Steve-Slow-Train-Analysis-(2080s-and-2083s)?_g=(refreshInterval:(display:Off,pause:!f,section:0,value:0),time:(from:'2017-12-06T06:11:17-0700',mode:absolute,to:'2017-12-06T09:04:16-0700'))&amp;_a=(columns:!('Message%20ID',Summary),filters:!(),index:'emp_*',interval:auto,query:(query_string:(analyze_wildcard:!t,query:'%22rtdc.l.rtdc.4041%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702</v>
      </c>
      <c r="B38" s="225">
        <v>4008</v>
      </c>
      <c r="C38" s="227" t="s">
        <v>192</v>
      </c>
      <c r="D38" s="227" t="s">
        <v>494</v>
      </c>
      <c r="E38" s="226">
        <v>43075.276655092595</v>
      </c>
      <c r="F38" s="226">
        <v>43075.282060185185</v>
      </c>
      <c r="G38" s="225">
        <v>75</v>
      </c>
      <c r="H38" s="227" t="s">
        <v>912</v>
      </c>
      <c r="I38" s="226">
        <v>43075.307314814818</v>
      </c>
      <c r="J38" s="225">
        <v>0</v>
      </c>
      <c r="K38" s="237" t="str">
        <f t="shared" si="0"/>
        <v>4007/4008</v>
      </c>
      <c r="L38" s="245" t="str">
        <f>VLOOKUP(A38,'Trips&amp;Operators'!$C$1:$G$99911,5,FALSE)</f>
        <v>HAMMOND JUSTYNN</v>
      </c>
      <c r="M38" s="224">
        <f t="shared" si="1"/>
        <v>2.5254629632399883E-2</v>
      </c>
      <c r="N38" s="225">
        <f t="shared" si="25"/>
        <v>36.366666670655832</v>
      </c>
      <c r="O38" s="225"/>
      <c r="P38" s="225"/>
      <c r="Q38" s="228"/>
      <c r="R38" s="242"/>
      <c r="S38" s="249">
        <f t="shared" si="23"/>
        <v>1</v>
      </c>
      <c r="T38" s="242" t="str">
        <f t="shared" si="3"/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-06T05:38:23-0700',mode:absolute,to:'2017-12-06T08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247" t="str">
        <f>IF(AA38&lt;VLOOKUP(AG38,Variables!$AC$3:$AD$8,2,FALSE),"Y","N")</f>
        <v>N</v>
      </c>
      <c r="X38" s="247">
        <f t="shared" si="5"/>
        <v>1</v>
      </c>
      <c r="Y38" s="247">
        <f t="shared" si="6"/>
        <v>5.2400000000000002E-2</v>
      </c>
      <c r="Z38" s="247">
        <f t="shared" si="7"/>
        <v>23.327200000000001</v>
      </c>
      <c r="AA38" s="247">
        <f t="shared" si="8"/>
        <v>23.274800000000003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9"/>
        <v>125</v>
      </c>
      <c r="AE38" s="235" t="str">
        <f t="shared" si="1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38" s="234" t="str">
        <f t="shared" si="11"/>
        <v>"C:\Program Files (x86)\AstroGrep\AstroGrep.exe" /e /r /s /spath="%USERPROFILE%\AppData\Local\Temp\OnboardLogs" /stypes="app*4008*20171206*" /stext=" 14:.+((SYSTEM_STATE.+slice.+state.+changed )|(ment ac)|(multiple cpu faults)|(system.+state.+changed )|(\[timeout)|(PRM\|1\|D)|(kpr)|(kdp)|(train st.+moving)|(\|lc)|(penalty))"</v>
      </c>
      <c r="AG38" s="244" t="str">
        <f t="shared" si="12"/>
        <v>EC</v>
      </c>
      <c r="AH38" s="236" t="str">
        <f t="shared" si="18"/>
        <v>"%USERPROFILE%\Documents\GitHub\eaglep3\Utilities\RefineRTDCRunTimes.py" --tripid 125-06 --locoid 4008 --swversion DE.1.0.9.0 --startMP 204:524 --initTime 2017-12-06T06:38:23 --startdatetime 2017-12-06T06:46:10 --delay 75 --endMP 204:233272 --enddatetime 2017-12-06T07:22:32 --enforcementcount 0 &gt;&gt;%USERPROFILE%\Documents\GitHub\eaglep3-reporting\EC\2017-12-06-refined-times.txt</v>
      </c>
      <c r="AI38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{"issue":{"subject":"","project_id":79,"tracker_id":40,"status_id":1,"priority_id":2,"assigned_to_id":338,"start_date":"2017-12-06","description":"","custom_fields":[{"id":1,"name":"Subdivision","value":"EC"},{"id":4,"name":"Milepost","value":"23.3272"},{"id":17,"name":"Train ID","value":"125-06"},{"id":16,"name":"Locomotive ID","value":"4008"},{"id":130,"name":"Impact","value":""},{"id":150,"name":"Time of Event (Mountain Time)","value":"07:22:32"},{"id":151,"name":"Denver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0"/>
        <v>start /low /b %USERPROFILE%\Documents\GitHub\eaglep3\Utilities\DownloadLogsFromS3.py --loco 4008 --day 2017-12-06</v>
      </c>
      <c r="AN38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2"/>
        <v>https://d0f6bd738d7f1b3e5a7ca70fe4ff75f0.us-east-1.aws.found.io/app/kibana#/discover/Steve-Slow-Train-Analysis-(2080s-and-2083s)?_g=(refreshInterval:(display:Off,pause:!f,section:0,value:0),time:(from:'2017-12-06T05:38:23-0700',mode:absolute,to:'2017-12-06T08:22:32-0700'))&amp;_a=(columns:!('Message%20ID',Summary),filters:!(),index:'emp_*',interval:auto,query:(query_string:(analyze_wildcard:!t,query:'%22rtdc.l.rtdc.4008%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710</v>
      </c>
      <c r="B39" s="225">
        <v>4007</v>
      </c>
      <c r="C39" s="227" t="s">
        <v>192</v>
      </c>
      <c r="D39" s="227" t="s">
        <v>913</v>
      </c>
      <c r="E39" s="226">
        <v>43075.316018518519</v>
      </c>
      <c r="F39" s="226">
        <v>43075.321076388886</v>
      </c>
      <c r="G39" s="225">
        <v>64</v>
      </c>
      <c r="H39" s="227" t="s">
        <v>914</v>
      </c>
      <c r="I39" s="226">
        <v>43075.348090277781</v>
      </c>
      <c r="J39" s="225">
        <v>0</v>
      </c>
      <c r="K39" s="237" t="str">
        <f t="shared" si="0"/>
        <v>4007/4008</v>
      </c>
      <c r="L39" s="245" t="str">
        <f>VLOOKUP(A39,'Trips&amp;Operators'!$C$1:$G$99911,5,FALSE)</f>
        <v>HAMMOND JUSTYNN</v>
      </c>
      <c r="M39" s="224">
        <f t="shared" si="1"/>
        <v>2.701388889545342E-2</v>
      </c>
      <c r="N39" s="225">
        <f t="shared" si="25"/>
        <v>38.900000009452924</v>
      </c>
      <c r="O39" s="225"/>
      <c r="P39" s="225"/>
      <c r="Q39" s="228"/>
      <c r="R39" s="242"/>
      <c r="S39" s="249">
        <f t="shared" si="23"/>
        <v>1</v>
      </c>
      <c r="T39" s="242" t="str">
        <f t="shared" si="3"/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-06T06:35:04-0700',mode:absolute,to:'2017-12-06T09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247" t="str">
        <f>IF(AA39&lt;VLOOKUP(AG39,Variables!$AC$3:$AD$8,2,FALSE),"Y","N")</f>
        <v>N</v>
      </c>
      <c r="X39" s="247">
        <f t="shared" si="5"/>
        <v>1</v>
      </c>
      <c r="Y39" s="247">
        <f t="shared" si="6"/>
        <v>23.294</v>
      </c>
      <c r="Z39" s="247">
        <f t="shared" si="7"/>
        <v>2.4199999999999999E-2</v>
      </c>
      <c r="AA39" s="247">
        <f t="shared" si="8"/>
        <v>23.2698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9"/>
        <v>126</v>
      </c>
      <c r="AE39" s="235" t="str">
        <f t="shared" si="1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39" s="234" t="str">
        <f t="shared" si="11"/>
        <v>"C:\Program Files (x86)\AstroGrep\AstroGrep.exe" /e /r /s /spath="%USERPROFILE%\AppData\Local\Temp\OnboardLogs" /stypes="app*4007*20171206*" /stext=" 15:.+((SYSTEM_STATE.+slice.+state.+changed )|(ment ac)|(multiple cpu faults)|(system.+state.+changed )|(\[timeout)|(PRM\|1\|D)|(kpr)|(kdp)|(train st.+moving)|(\|lc)|(penalty))"</v>
      </c>
      <c r="AG39" s="244" t="str">
        <f t="shared" si="12"/>
        <v>EC</v>
      </c>
      <c r="AH39" s="236" t="str">
        <f t="shared" si="18"/>
        <v>"%USERPROFILE%\Documents\GitHub\eaglep3\Utilities\RefineRTDCRunTimes.py" --tripid 126-06 --locoid 4007 --swversion DE.1.0.9.0 --startMP 204:232940 --initTime 2017-12-06T07:35:04 --startdatetime 2017-12-06T07:42:21 --delay 64 --endMP 204:242 --enddatetime 2017-12-06T08:21:15 --enforcementcount 0 &gt;&gt;%USERPROFILE%\Documents\GitHub\eaglep3-reporting\EC\2017-12-06-refined-times.txt</v>
      </c>
      <c r="AI3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{"issue":{"subject":"","project_id":79,"tracker_id":40,"status_id":1,"priority_id":2,"assigned_to_id":338,"start_date":"2017-12-06","description":"","custom_fields":[{"id":1,"name":"Subdivision","value":"EC"},{"id":4,"name":"Milepost","value":"0.0242"},{"id":17,"name":"Train ID","value":"126-06"},{"id":16,"name":"Locomotive ID","value":"4007"},{"id":130,"name":"Impact","value":""},{"id":150,"name":"Time of Event (Mountain Time)","value":"08:21:15"},{"id":151,"name":"Denver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0"/>
        <v>start /low /b %USERPROFILE%\Documents\GitHub\eaglep3\Utilities\DownloadLogsFromS3.py --loco 4007 --day 2017-12-06</v>
      </c>
      <c r="AN3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2"/>
        <v>https://d0f6bd738d7f1b3e5a7ca70fe4ff75f0.us-east-1.aws.found.io/app/kibana#/discover/Steve-Slow-Train-Analysis-(2080s-and-2083s)?_g=(refreshInterval:(display:Off,pause:!f,section:0,value:0),time:(from:'2017-12-06T06:35:04-0700',mode:absolute,to:'2017-12-06T09:21:15-0700'))&amp;_a=(columns:!('Message%20ID',Summary),filters:!(),index:'emp_*',interval:auto,query:(query_string:(analyze_wildcard:!t,query:'%22rtdc.l.rtdc.4007%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703</v>
      </c>
      <c r="B40" s="225">
        <v>4034</v>
      </c>
      <c r="C40" s="227" t="s">
        <v>192</v>
      </c>
      <c r="D40" s="227" t="s">
        <v>915</v>
      </c>
      <c r="E40" s="226">
        <v>43075.285844907405</v>
      </c>
      <c r="F40" s="226">
        <v>43075.291909722226</v>
      </c>
      <c r="G40" s="225">
        <v>53</v>
      </c>
      <c r="H40" s="227" t="s">
        <v>916</v>
      </c>
      <c r="I40" s="226">
        <v>43075.316562499997</v>
      </c>
      <c r="J40" s="225">
        <v>0</v>
      </c>
      <c r="K40" s="237" t="str">
        <f t="shared" si="0"/>
        <v>4033/4034</v>
      </c>
      <c r="L40" s="245" t="str">
        <f>VLOOKUP(A40,'Trips&amp;Operators'!$C$1:$G$99911,5,FALSE)</f>
        <v>YANAI IAN</v>
      </c>
      <c r="M40" s="224">
        <f t="shared" si="1"/>
        <v>2.4652777770825196E-2</v>
      </c>
      <c r="N40" s="225">
        <f t="shared" si="25"/>
        <v>35.499999989988282</v>
      </c>
      <c r="O40" s="225"/>
      <c r="P40" s="225"/>
      <c r="Q40" s="228"/>
      <c r="R40" s="242"/>
      <c r="S40" s="249">
        <f t="shared" si="23"/>
        <v>1</v>
      </c>
      <c r="T40" s="242" t="str">
        <f t="shared" si="3"/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-06T05:51:37-0700',mode:absolute,to:'2017-12-06T08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0" s="247" t="str">
        <f>IF(AA40&lt;VLOOKUP(AG40,Variables!$AC$3:$AD$8,2,FALSE),"Y","N")</f>
        <v>N</v>
      </c>
      <c r="X40" s="247">
        <f t="shared" si="5"/>
        <v>1</v>
      </c>
      <c r="Y40" s="247">
        <f t="shared" si="6"/>
        <v>4.53E-2</v>
      </c>
      <c r="Z40" s="247">
        <f t="shared" si="7"/>
        <v>23.331</v>
      </c>
      <c r="AA40" s="247">
        <f t="shared" si="8"/>
        <v>23.285699999999999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9"/>
        <v>127</v>
      </c>
      <c r="AE40" s="235" t="str">
        <f t="shared" si="1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40" s="234" t="str">
        <f t="shared" si="11"/>
        <v>"C:\Program Files (x86)\AstroGrep\AstroGrep.exe" /e /r /s /spath="%USERPROFILE%\AppData\Local\Temp\OnboardLogs" /stypes="app*4034*20171206*" /stext=" 14:.+((SYSTEM_STATE.+slice.+state.+changed )|(ment ac)|(multiple cpu faults)|(system.+state.+changed )|(\[timeout)|(PRM\|1\|D)|(kpr)|(kdp)|(train st.+moving)|(\|lc)|(penalty))"</v>
      </c>
      <c r="AG40" s="244" t="str">
        <f t="shared" si="12"/>
        <v>EC</v>
      </c>
      <c r="AH40" s="236" t="str">
        <f t="shared" si="18"/>
        <v>"%USERPROFILE%\Documents\GitHub\eaglep3\Utilities\RefineRTDCRunTimes.py" --tripid 127-06 --locoid 4034 --swversion DE.1.0.9.0 --startMP 204:453 --initTime 2017-12-06T06:51:37 --startdatetime 2017-12-06T07:00:21 --delay 53 --endMP 204:233310 --enddatetime 2017-12-06T07:35:51 --enforcementcount 0 &gt;&gt;%USERPROFILE%\Documents\GitHub\eaglep3-reporting\EC\2017-12-06-refined-times.txt</v>
      </c>
      <c r="AI4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{"issue":{"subject":"","project_id":79,"tracker_id":40,"status_id":1,"priority_id":2,"assigned_to_id":338,"start_date":"2017-12-06","description":"","custom_fields":[{"id":1,"name":"Subdivision","value":"EC"},{"id":4,"name":"Milepost","value":"23.331"},{"id":17,"name":"Train ID","value":"127-06"},{"id":16,"name":"Locomotive ID","value":"4034"},{"id":130,"name":"Impact","value":""},{"id":150,"name":"Time of Event (Mountain Time)","value":"07:35:51"},{"id":151,"name":"Denver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0"/>
        <v>start /low /b %USERPROFILE%\Documents\GitHub\eaglep3\Utilities\DownloadLogsFromS3.py --loco 4034 --day 2017-12-06</v>
      </c>
      <c r="AN4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2"/>
        <v>https://d0f6bd738d7f1b3e5a7ca70fe4ff75f0.us-east-1.aws.found.io/app/kibana#/discover/Steve-Slow-Train-Analysis-(2080s-and-2083s)?_g=(refreshInterval:(display:Off,pause:!f,section:0,value:0),time:(from:'2017-12-06T05:51:37-0700',mode:absolute,to:'2017-12-06T08:35:51-0700'))&amp;_a=(columns:!('Message%20ID',Summary),filters:!(),index:'emp_*',interval:auto,query:(query_string:(analyze_wildcard:!t,query:'%22rtdc.l.rtdc.4034%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638</v>
      </c>
      <c r="B41" s="225">
        <v>4033</v>
      </c>
      <c r="C41" s="227" t="s">
        <v>192</v>
      </c>
      <c r="D41" s="227" t="s">
        <v>471</v>
      </c>
      <c r="E41" s="226">
        <v>43075.317800925928</v>
      </c>
      <c r="F41" s="226">
        <v>43075.331446759257</v>
      </c>
      <c r="G41" s="225">
        <v>89</v>
      </c>
      <c r="H41" s="227" t="s">
        <v>464</v>
      </c>
      <c r="I41" s="226">
        <v>43075.357604166667</v>
      </c>
      <c r="J41" s="225">
        <v>0</v>
      </c>
      <c r="K41" s="237" t="str">
        <f t="shared" si="0"/>
        <v>4033/4034</v>
      </c>
      <c r="L41" s="245" t="str">
        <f>VLOOKUP(A41,'Trips&amp;Operators'!$C$1:$G$99911,5,FALSE)</f>
        <v>YANAI IAN</v>
      </c>
      <c r="M41" s="224">
        <f t="shared" si="1"/>
        <v>2.6157407410209998E-2</v>
      </c>
      <c r="N41" s="225">
        <f t="shared" si="25"/>
        <v>37.666666670702398</v>
      </c>
      <c r="O41" s="225"/>
      <c r="P41" s="225"/>
      <c r="Q41" s="228"/>
      <c r="R41" s="242"/>
      <c r="S41" s="249">
        <f t="shared" si="23"/>
        <v>1</v>
      </c>
      <c r="T41" s="242" t="str">
        <f t="shared" si="3"/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-06T06:37:38-0700',mode:absolute,to:'2017-12-06T09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1" s="247" t="str">
        <f>IF(AA41&lt;VLOOKUP(AG41,Variables!$AC$3:$AD$8,2,FALSE),"Y","N")</f>
        <v>N</v>
      </c>
      <c r="X41" s="247">
        <f t="shared" si="5"/>
        <v>1</v>
      </c>
      <c r="Y41" s="247">
        <f t="shared" si="6"/>
        <v>23.299600000000002</v>
      </c>
      <c r="Z41" s="247">
        <f t="shared" si="7"/>
        <v>1.6299999999999999E-2</v>
      </c>
      <c r="AA41" s="247">
        <f t="shared" si="8"/>
        <v>23.283300000000001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9"/>
        <v>128</v>
      </c>
      <c r="AE41" s="235" t="str">
        <f t="shared" si="1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41" s="234" t="str">
        <f t="shared" si="11"/>
        <v>"C:\Program Files (x86)\AstroGrep\AstroGrep.exe" /e /r /s /spath="%USERPROFILE%\AppData\Local\Temp\OnboardLogs" /stypes="app*4033*20171206*" /stext=" 15:.+((SYSTEM_STATE.+slice.+state.+changed )|(ment ac)|(multiple cpu faults)|(system.+state.+changed )|(\[timeout)|(PRM\|1\|D)|(kpr)|(kdp)|(train st.+moving)|(\|lc)|(penalty))"</v>
      </c>
      <c r="AG41" s="244" t="str">
        <f t="shared" si="12"/>
        <v>EC</v>
      </c>
      <c r="AH41" s="236" t="str">
        <f t="shared" si="18"/>
        <v>"%USERPROFILE%\Documents\GitHub\eaglep3\Utilities\RefineRTDCRunTimes.py" --tripid 128-06 --locoid 4033 --swversion DE.1.0.9.0 --startMP 204:232996 --initTime 2017-12-06T07:37:38 --startdatetime 2017-12-06T07:57:17 --delay 89 --endMP 204:163 --enddatetime 2017-12-06T08:34:57 --enforcementcount 0 &gt;&gt;%USERPROFILE%\Documents\GitHub\eaglep3-reporting\EC\2017-12-06-refined-times.txt</v>
      </c>
      <c r="AI41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{"issue":{"subject":"","project_id":79,"tracker_id":40,"status_id":1,"priority_id":2,"assigned_to_id":338,"start_date":"2017-12-06","description":"","custom_fields":[{"id":1,"name":"Subdivision","value":"EC"},{"id":4,"name":"Milepost","value":"0.0163"},{"id":17,"name":"Train ID","value":"128-06"},{"id":16,"name":"Locomotive ID","value":"4033"},{"id":130,"name":"Impact","value":""},{"id":150,"name":"Time of Event (Mountain Time)","value":"08:34:57"},{"id":151,"name":"Denver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0"/>
        <v>start /low /b %USERPROFILE%\Documents\GitHub\eaglep3\Utilities\DownloadLogsFromS3.py --loco 4033 --day 2017-12-06</v>
      </c>
      <c r="AN41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2"/>
        <v>https://d0f6bd738d7f1b3e5a7ca70fe4ff75f0.us-east-1.aws.found.io/app/kibana#/discover/Steve-Slow-Train-Analysis-(2080s-and-2083s)?_g=(refreshInterval:(display:Off,pause:!f,section:0,value:0),time:(from:'2017-12-06T06:37:38-0700',mode:absolute,to:'2017-12-06T09:34:57-0700'))&amp;_a=(columns:!('Message%20ID',Summary),filters:!(),index:'emp_*',interval:auto,query:(query_string:(analyze_wildcard:!t,query:'%22rtdc.l.rtdc.4033%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706</v>
      </c>
      <c r="B42" s="225">
        <v>4010</v>
      </c>
      <c r="C42" s="227" t="s">
        <v>192</v>
      </c>
      <c r="D42" s="227" t="s">
        <v>495</v>
      </c>
      <c r="E42" s="226">
        <v>43075.296956018516</v>
      </c>
      <c r="F42" s="226">
        <v>43075.30228009259</v>
      </c>
      <c r="G42" s="225">
        <v>91</v>
      </c>
      <c r="H42" s="227" t="s">
        <v>585</v>
      </c>
      <c r="I42" s="226">
        <v>43075.32739583333</v>
      </c>
      <c r="J42" s="225">
        <v>0</v>
      </c>
      <c r="K42" s="237" t="str">
        <f t="shared" si="0"/>
        <v>4009/4010</v>
      </c>
      <c r="L42" s="245" t="str">
        <f>VLOOKUP(A42,'Trips&amp;Operators'!$C$1:$G$99911,5,FALSE)</f>
        <v>ACKERMAN JARED</v>
      </c>
      <c r="M42" s="224">
        <f t="shared" si="1"/>
        <v>2.5115740740147885E-2</v>
      </c>
      <c r="N42" s="225">
        <f t="shared" si="25"/>
        <v>36.166666665812954</v>
      </c>
      <c r="O42" s="225"/>
      <c r="P42" s="225"/>
      <c r="Q42" s="228"/>
      <c r="R42" s="242"/>
      <c r="S42" s="249">
        <f t="shared" si="23"/>
        <v>1</v>
      </c>
      <c r="T42" s="242" t="str">
        <f t="shared" si="3"/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-06T06:07:37-0700',mode:absolute,to:'2017-12-06T08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247" t="str">
        <f>IF(AA42&lt;VLOOKUP(AG42,Variables!$AC$3:$AD$8,2,FALSE),"Y","N")</f>
        <v>N</v>
      </c>
      <c r="X42" s="247">
        <f t="shared" si="5"/>
        <v>1</v>
      </c>
      <c r="Y42" s="247">
        <f t="shared" si="6"/>
        <v>4.7800000000000002E-2</v>
      </c>
      <c r="Z42" s="247">
        <f t="shared" si="7"/>
        <v>23.328800000000001</v>
      </c>
      <c r="AA42" s="247">
        <f t="shared" si="8"/>
        <v>23.281000000000002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9"/>
        <v>129</v>
      </c>
      <c r="AE42" s="235" t="str">
        <f t="shared" si="1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42" s="234" t="str">
        <f t="shared" si="11"/>
        <v>"C:\Program Files (x86)\AstroGrep\AstroGrep.exe" /e /r /s /spath="%USERPROFILE%\AppData\Local\Temp\OnboardLogs" /stypes="app*4010*20171206*" /stext=" 14:.+((SYSTEM_STATE.+slice.+state.+changed )|(ment ac)|(multiple cpu faults)|(system.+state.+changed )|(\[timeout)|(PRM\|1\|D)|(kpr)|(kdp)|(train st.+moving)|(\|lc)|(penalty))"</v>
      </c>
      <c r="AG42" s="244" t="str">
        <f t="shared" si="12"/>
        <v>EC</v>
      </c>
      <c r="AH42" s="236" t="str">
        <f t="shared" si="18"/>
        <v>"%USERPROFILE%\Documents\GitHub\eaglep3\Utilities\RefineRTDCRunTimes.py" --tripid 129-06 --locoid 4010 --swversion DE.1.0.9.0 --startMP 204:478 --initTime 2017-12-06T07:07:37 --startdatetime 2017-12-06T07:15:17 --delay 91 --endMP 204:233288 --enddatetime 2017-12-06T07:51:27 --enforcementcount 0 &gt;&gt;%USERPROFILE%\Documents\GitHub\eaglep3-reporting\EC\2017-12-06-refined-times.txt</v>
      </c>
      <c r="AI4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{"issue":{"subject":"","project_id":79,"tracker_id":40,"status_id":1,"priority_id":2,"assigned_to_id":338,"start_date":"2017-12-06","description":"","custom_fields":[{"id":1,"name":"Subdivision","value":"EC"},{"id":4,"name":"Milepost","value":"23.3288"},{"id":17,"name":"Train ID","value":"129-06"},{"id":16,"name":"Locomotive ID","value":"4010"},{"id":130,"name":"Impact","value":""},{"id":150,"name":"Time of Event (Mountain Time)","value":"07:51:27"},{"id":151,"name":"Denver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0"/>
        <v>start /low /b %USERPROFILE%\Documents\GitHub\eaglep3\Utilities\DownloadLogsFromS3.py --loco 4010 --day 2017-12-06</v>
      </c>
      <c r="AN4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2"/>
        <v>https://d0f6bd738d7f1b3e5a7ca70fe4ff75f0.us-east-1.aws.found.io/app/kibana#/discover/Steve-Slow-Train-Analysis-(2080s-and-2083s)?_g=(refreshInterval:(display:Off,pause:!f,section:0,value:0),time:(from:'2017-12-06T06:07:37-0700',mode:absolute,to:'2017-12-06T08:51:27-0700'))&amp;_a=(columns:!('Message%20ID',Summary),filters:!(),index:'emp_*',interval:auto,query:(query_string:(analyze_wildcard:!t,query:'%22rtdc.l.rtdc.4010%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716</v>
      </c>
      <c r="B43" s="225">
        <v>4009</v>
      </c>
      <c r="C43" s="227" t="s">
        <v>192</v>
      </c>
      <c r="D43" s="227" t="s">
        <v>578</v>
      </c>
      <c r="E43" s="226">
        <v>43075.334282407406</v>
      </c>
      <c r="F43" s="226">
        <v>43075.341851851852</v>
      </c>
      <c r="G43" s="225">
        <v>94</v>
      </c>
      <c r="H43" s="227" t="s">
        <v>889</v>
      </c>
      <c r="I43" s="226">
        <v>43075.369537037041</v>
      </c>
      <c r="J43" s="225">
        <v>0</v>
      </c>
      <c r="K43" s="237" t="str">
        <f t="shared" si="0"/>
        <v>4009/4010</v>
      </c>
      <c r="L43" s="245" t="str">
        <f>VLOOKUP(A43,'Trips&amp;Operators'!$C$1:$G$99911,5,FALSE)</f>
        <v>ACKERMAN JARED</v>
      </c>
      <c r="M43" s="224">
        <f t="shared" si="1"/>
        <v>2.768518518860219E-2</v>
      </c>
      <c r="N43" s="225">
        <f t="shared" si="25"/>
        <v>39.866666671587154</v>
      </c>
      <c r="O43" s="225"/>
      <c r="P43" s="225"/>
      <c r="Q43" s="228"/>
      <c r="R43" s="242"/>
      <c r="S43" s="249">
        <f t="shared" si="23"/>
        <v>1</v>
      </c>
      <c r="T43" s="242" t="str">
        <f t="shared" si="3"/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-06T07:01:22-0700',mode:absolute,to:'2017-12-06T09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247" t="str">
        <f>IF(AA43&lt;VLOOKUP(AG43,Variables!$AC$3:$AD$8,2,FALSE),"Y","N")</f>
        <v>N</v>
      </c>
      <c r="X43" s="247">
        <f t="shared" si="5"/>
        <v>1</v>
      </c>
      <c r="Y43" s="247">
        <f t="shared" si="6"/>
        <v>23.297699999999999</v>
      </c>
      <c r="Z43" s="247">
        <f t="shared" si="7"/>
        <v>1.41E-2</v>
      </c>
      <c r="AA43" s="247">
        <f t="shared" si="8"/>
        <v>23.2836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9"/>
        <v>130</v>
      </c>
      <c r="AE43" s="235" t="str">
        <f t="shared" si="1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43" s="234" t="str">
        <f t="shared" si="11"/>
        <v>"C:\Program Files (x86)\AstroGrep\AstroGrep.exe" /e /r /s /spath="%USERPROFILE%\AppData\Local\Temp\OnboardLogs" /stypes="app*4009*20171206*" /stext=" 15:.+((SYSTEM_STATE.+slice.+state.+changed )|(ment ac)|(multiple cpu faults)|(system.+state.+changed )|(\[timeout)|(PRM\|1\|D)|(kpr)|(kdp)|(train st.+moving)|(\|lc)|(penalty))"</v>
      </c>
      <c r="AG43" s="244" t="str">
        <f t="shared" si="12"/>
        <v>EC</v>
      </c>
      <c r="AH43" s="236" t="str">
        <f t="shared" si="18"/>
        <v>"%USERPROFILE%\Documents\GitHub\eaglep3\Utilities\RefineRTDCRunTimes.py" --tripid 130-06 --locoid 4009 --swversion DE.1.0.9.0 --startMP 204:232977 --initTime 2017-12-06T08:01:22 --startdatetime 2017-12-06T08:12:16 --delay 94 --endMP 204:141 --enddatetime 2017-12-06T08:52:08 --enforcementcount 0 &gt;&gt;%USERPROFILE%\Documents\GitHub\eaglep3-reporting\EC\2017-12-06-refined-times.txt</v>
      </c>
      <c r="AI4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{"issue":{"subject":"","project_id":79,"tracker_id":40,"status_id":1,"priority_id":2,"assigned_to_id":338,"start_date":"2017-12-06","description":"","custom_fields":[{"id":1,"name":"Subdivision","value":"EC"},{"id":4,"name":"Milepost","value":"0.0141"},{"id":17,"name":"Train ID","value":"130-06"},{"id":16,"name":"Locomotive ID","value":"4009"},{"id":130,"name":"Impact","value":""},{"id":150,"name":"Time of Event (Mountain Time)","value":"08:52:08"},{"id":151,"name":"Denver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0"/>
        <v>start /low /b %USERPROFILE%\Documents\GitHub\eaglep3\Utilities\DownloadLogsFromS3.py --loco 4009 --day 2017-12-06</v>
      </c>
      <c r="AN4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2"/>
        <v>https://d0f6bd738d7f1b3e5a7ca70fe4ff75f0.us-east-1.aws.found.io/app/kibana#/discover/Steve-Slow-Train-Analysis-(2080s-and-2083s)?_g=(refreshInterval:(display:Off,pause:!f,section:0,value:0),time:(from:'2017-12-06T07:01:22-0700',mode:absolute,to:'2017-12-06T09:52:08-0700'))&amp;_a=(columns:!('Message%20ID',Summary),filters:!(),index:'emp_*',interval:auto,query:(query_string:(analyze_wildcard:!t,query:'%22rtdc.l.rtdc.4009%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708</v>
      </c>
      <c r="B44" s="225">
        <v>4062</v>
      </c>
      <c r="C44" s="227" t="s">
        <v>192</v>
      </c>
      <c r="D44" s="227" t="s">
        <v>494</v>
      </c>
      <c r="E44" s="226">
        <v>43075.307245370372</v>
      </c>
      <c r="F44" s="226">
        <v>43075.312673611108</v>
      </c>
      <c r="G44" s="225">
        <v>58</v>
      </c>
      <c r="H44" s="227" t="s">
        <v>590</v>
      </c>
      <c r="I44" s="226">
        <v>43075.337766203702</v>
      </c>
      <c r="J44" s="225">
        <v>0</v>
      </c>
      <c r="K44" s="237" t="str">
        <f t="shared" si="0"/>
        <v>4061/4062</v>
      </c>
      <c r="L44" s="245" t="str">
        <f>VLOOKUP(A44,'Trips&amp;Operators'!$C$1:$G$99911,5,FALSE)</f>
        <v>FORTUNATO FRANK</v>
      </c>
      <c r="M44" s="224">
        <f t="shared" si="1"/>
        <v>2.5092592593864538E-2</v>
      </c>
      <c r="N44" s="225">
        <f t="shared" si="25"/>
        <v>36.133333335164934</v>
      </c>
      <c r="O44" s="225"/>
      <c r="P44" s="225"/>
      <c r="Q44" s="228"/>
      <c r="R44" s="242"/>
      <c r="S44" s="249">
        <f t="shared" si="23"/>
        <v>1</v>
      </c>
      <c r="T44" s="242" t="str">
        <f t="shared" si="3"/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-06T06:22:26-0700',mode:absolute,to:'2017-12-06T09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4" s="247" t="str">
        <f>IF(AA44&lt;VLOOKUP(AG44,Variables!$AC$3:$AD$8,2,FALSE),"Y","N")</f>
        <v>N</v>
      </c>
      <c r="X44" s="247">
        <f t="shared" si="5"/>
        <v>1</v>
      </c>
      <c r="Y44" s="247">
        <f t="shared" si="6"/>
        <v>5.2400000000000002E-2</v>
      </c>
      <c r="Z44" s="247">
        <f t="shared" si="7"/>
        <v>23.319500000000001</v>
      </c>
      <c r="AA44" s="247">
        <f t="shared" si="8"/>
        <v>23.267100000000003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9"/>
        <v>131</v>
      </c>
      <c r="AE44" s="235" t="str">
        <f t="shared" si="1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44" s="234" t="str">
        <f t="shared" si="11"/>
        <v>"C:\Program Files (x86)\AstroGrep\AstroGrep.exe" /e /r /s /spath="%USERPROFILE%\AppData\Local\Temp\OnboardLogs" /stypes="app*4062*20171206*" /stext=" 15:.+((SYSTEM_STATE.+slice.+state.+changed )|(ment ac)|(multiple cpu faults)|(system.+state.+changed )|(\[timeout)|(PRM\|1\|D)|(kpr)|(kdp)|(train st.+moving)|(\|lc)|(penalty))"</v>
      </c>
      <c r="AG44" s="244" t="str">
        <f t="shared" si="12"/>
        <v>EC</v>
      </c>
      <c r="AH44" s="236" t="str">
        <f t="shared" si="18"/>
        <v>"%USERPROFILE%\Documents\GitHub\eaglep3\Utilities\RefineRTDCRunTimes.py" --tripid 131-06 --locoid 4062 --swversion DE.1.0.9.0 --startMP 204:524 --initTime 2017-12-06T07:22:26 --startdatetime 2017-12-06T07:30:15 --delay 58 --endMP 204:233195 --enddatetime 2017-12-06T08:06:23 --enforcementcount 0 &gt;&gt;%USERPROFILE%\Documents\GitHub\eaglep3-reporting\EC\2017-12-06-refined-times.txt</v>
      </c>
      <c r="AI4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{"issue":{"subject":"","project_id":79,"tracker_id":40,"status_id":1,"priority_id":2,"assigned_to_id":338,"start_date":"2017-12-06","description":"","custom_fields":[{"id":1,"name":"Subdivision","value":"EC"},{"id":4,"name":"Milepost","value":"23.3195"},{"id":17,"name":"Train ID","value":"131-06"},{"id":16,"name":"Locomotive ID","value":"4062"},{"id":130,"name":"Impact","value":""},{"id":150,"name":"Time of Event (Mountain Time)","value":"08:06:23"},{"id":151,"name":"Denver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0"/>
        <v>start /low /b %USERPROFILE%\Documents\GitHub\eaglep3\Utilities\DownloadLogsFromS3.py --loco 4062 --day 2017-12-06</v>
      </c>
      <c r="AN4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2"/>
        <v>https://d0f6bd738d7f1b3e5a7ca70fe4ff75f0.us-east-1.aws.found.io/app/kibana#/discover/Steve-Slow-Train-Analysis-(2080s-and-2083s)?_g=(refreshInterval:(display:Off,pause:!f,section:0,value:0),time:(from:'2017-12-06T06:22:26-0700',mode:absolute,to:'2017-12-06T09:06:23-0700'))&amp;_a=(columns:!('Message%20ID',Summary),filters:!(),index:'emp_*',interval:auto,query:(query_string:(analyze_wildcard:!t,query:'%22rtdc.l.rtdc.4062%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718</v>
      </c>
      <c r="B45" s="225">
        <v>4061</v>
      </c>
      <c r="C45" s="227" t="s">
        <v>192</v>
      </c>
      <c r="D45" s="227" t="s">
        <v>917</v>
      </c>
      <c r="E45" s="226">
        <v>43075.340138888889</v>
      </c>
      <c r="F45" s="226">
        <v>43075.352361111109</v>
      </c>
      <c r="G45" s="225">
        <v>49</v>
      </c>
      <c r="H45" s="227" t="s">
        <v>406</v>
      </c>
      <c r="I45" s="226">
        <v>43075.378784722219</v>
      </c>
      <c r="J45" s="225">
        <v>0</v>
      </c>
      <c r="K45" s="237" t="str">
        <f t="shared" si="0"/>
        <v>4061/4062</v>
      </c>
      <c r="L45" s="245" t="str">
        <f>VLOOKUP(A45,'Trips&amp;Operators'!$C$1:$G$99911,5,FALSE)</f>
        <v>FORTUNATO FRANK</v>
      </c>
      <c r="M45" s="224">
        <f t="shared" si="1"/>
        <v>2.6423611110658385E-2</v>
      </c>
      <c r="N45" s="225">
        <f t="shared" si="25"/>
        <v>38.049999999348074</v>
      </c>
      <c r="O45" s="225"/>
      <c r="P45" s="225"/>
      <c r="Q45" s="228"/>
      <c r="R45" s="242"/>
      <c r="S45" s="249">
        <f t="shared" si="23"/>
        <v>1</v>
      </c>
      <c r="T45" s="242" t="str">
        <f t="shared" si="3"/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-06T07:09:48-0700',mode:absolute,to:'2017-12-06T10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5" s="247" t="str">
        <f>IF(AA45&lt;VLOOKUP(AG45,Variables!$AC$3:$AD$8,2,FALSE),"Y","N")</f>
        <v>N</v>
      </c>
      <c r="X45" s="247">
        <f t="shared" ref="X45:X76" si="26">VALUE(LEFT(AD45,4))-VALUE(LEFT(AD44,4))</f>
        <v>1</v>
      </c>
      <c r="Y45" s="247">
        <f t="shared" ref="Y45:Y76" si="27">RIGHT(D45,LEN(D45)-4)/10000</f>
        <v>23.2883</v>
      </c>
      <c r="Z45" s="247">
        <f t="shared" ref="Z45:Z76" si="28">RIGHT(H45,LEN(H45)-4)/10000</f>
        <v>2.07E-2</v>
      </c>
      <c r="AA45" s="247">
        <f t="shared" si="8"/>
        <v>23.267599999999998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9"/>
        <v>132</v>
      </c>
      <c r="AE45" s="235" t="str">
        <f t="shared" si="1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45" s="234" t="str">
        <f t="shared" si="11"/>
        <v>"C:\Program Files (x86)\AstroGrep\AstroGrep.exe" /e /r /s /spath="%USERPROFILE%\AppData\Local\Temp\OnboardLogs" /stypes="app*4061*20171206*" /stext=" 16:.+((SYSTEM_STATE.+slice.+state.+changed )|(ment ac)|(multiple cpu faults)|(system.+state.+changed )|(\[timeout)|(PRM\|1\|D)|(kpr)|(kdp)|(train st.+moving)|(\|lc)|(penalty))"</v>
      </c>
      <c r="AG45" s="244" t="str">
        <f t="shared" si="12"/>
        <v>EC</v>
      </c>
      <c r="AH45" s="236" t="str">
        <f t="shared" si="18"/>
        <v>"%USERPROFILE%\Documents\GitHub\eaglep3\Utilities\RefineRTDCRunTimes.py" --tripid 132-06 --locoid 4061 --swversion DE.1.0.9.0 --startMP 204:232883 --initTime 2017-12-06T08:09:48 --startdatetime 2017-12-06T08:27:24 --delay 49 --endMP 204:207 --enddatetime 2017-12-06T09:05:27 --enforcementcount 0 &gt;&gt;%USERPROFILE%\Documents\GitHub\eaglep3-reporting\EC\2017-12-06-refined-times.txt</v>
      </c>
      <c r="AI4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{"issue":{"subject":"","project_id":79,"tracker_id":40,"status_id":1,"priority_id":2,"assigned_to_id":338,"start_date":"2017-12-06","description":"","custom_fields":[{"id":1,"name":"Subdivision","value":"EC"},{"id":4,"name":"Milepost","value":"0.0207"},{"id":17,"name":"Train ID","value":"132-06"},{"id":16,"name":"Locomotive ID","value":"4061"},{"id":130,"name":"Impact","value":""},{"id":150,"name":"Time of Event (Mountain Time)","value":"09:05:27"},{"id":151,"name":"Denver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0"/>
        <v>start /low /b %USERPROFILE%\Documents\GitHub\eaglep3\Utilities\DownloadLogsFromS3.py --loco 4061 --day 2017-12-06</v>
      </c>
      <c r="AN4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2"/>
        <v>https://d0f6bd738d7f1b3e5a7ca70fe4ff75f0.us-east-1.aws.found.io/app/kibana#/discover/Steve-Slow-Train-Analysis-(2080s-and-2083s)?_g=(refreshInterval:(display:Off,pause:!f,section:0,value:0),time:(from:'2017-12-06T07:09:48-0700',mode:absolute,to:'2017-12-06T10:05:27-0700'))&amp;_a=(columns:!('Message%20ID',Summary),filters:!(),index:'emp_*',interval:auto,query:(query_string:(analyze_wildcard:!t,query:'%22rtdc.l.rtdc.4061%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711</v>
      </c>
      <c r="B46" s="225">
        <v>4032</v>
      </c>
      <c r="C46" s="227" t="s">
        <v>192</v>
      </c>
      <c r="D46" s="227" t="s">
        <v>915</v>
      </c>
      <c r="E46" s="226">
        <v>43075.316712962966</v>
      </c>
      <c r="F46" s="226">
        <v>43075.323159722226</v>
      </c>
      <c r="G46" s="225">
        <v>48</v>
      </c>
      <c r="H46" s="227" t="s">
        <v>477</v>
      </c>
      <c r="I46" s="226">
        <v>43075.346782407411</v>
      </c>
      <c r="J46" s="225">
        <v>0</v>
      </c>
      <c r="K46" s="237" t="str">
        <f t="shared" si="0"/>
        <v>4031/4032</v>
      </c>
      <c r="L46" s="245" t="str">
        <f>VLOOKUP(A46,'Trips&amp;Operators'!$C$1:$G$99911,5,FALSE)</f>
        <v>YORK EDGAR</v>
      </c>
      <c r="M46" s="224">
        <f t="shared" si="1"/>
        <v>2.3622685184818693E-2</v>
      </c>
      <c r="N46" s="225">
        <f t="shared" si="25"/>
        <v>34.016666666138917</v>
      </c>
      <c r="O46" s="225"/>
      <c r="P46" s="225"/>
      <c r="Q46" s="228"/>
      <c r="R46" s="242"/>
      <c r="S46" s="249">
        <f t="shared" si="23"/>
        <v>1</v>
      </c>
      <c r="T46" s="242" t="str">
        <f t="shared" si="3"/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-06T06:36:04-0700',mode:absolute,to:'2017-12-06T09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247" t="str">
        <f>IF(AA46&lt;VLOOKUP(AG46,Variables!$AC$3:$AD$8,2,FALSE),"Y","N")</f>
        <v>N</v>
      </c>
      <c r="X46" s="247">
        <f t="shared" si="26"/>
        <v>1</v>
      </c>
      <c r="Y46" s="247">
        <f t="shared" si="27"/>
        <v>4.53E-2</v>
      </c>
      <c r="Z46" s="247">
        <f t="shared" si="28"/>
        <v>23.327400000000001</v>
      </c>
      <c r="AA46" s="247">
        <f t="shared" si="8"/>
        <v>23.2821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9"/>
        <v>133</v>
      </c>
      <c r="AE46" s="235" t="str">
        <f t="shared" si="1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46" s="234" t="str">
        <f t="shared" si="11"/>
        <v>"C:\Program Files (x86)\AstroGrep\AstroGrep.exe" /e /r /s /spath="%USERPROFILE%\AppData\Local\Temp\OnboardLogs" /stypes="app*4032*20171206*" /stext=" 15:.+((SYSTEM_STATE.+slice.+state.+changed )|(ment ac)|(multiple cpu faults)|(system.+state.+changed )|(\[timeout)|(PRM\|1\|D)|(kpr)|(kdp)|(train st.+moving)|(\|lc)|(penalty))"</v>
      </c>
      <c r="AG46" s="244" t="str">
        <f t="shared" si="12"/>
        <v>EC</v>
      </c>
      <c r="AH46" s="236" t="str">
        <f t="shared" si="18"/>
        <v>"%USERPROFILE%\Documents\GitHub\eaglep3\Utilities\RefineRTDCRunTimes.py" --tripid 133-06 --locoid 4032 --swversion DE.1.0.9.0 --startMP 204:453 --initTime 2017-12-06T07:36:04 --startdatetime 2017-12-06T07:45:21 --delay 48 --endMP 204:233274 --enddatetime 2017-12-06T08:19:22 --enforcementcount 0 &gt;&gt;%USERPROFILE%\Documents\GitHub\eaglep3-reporting\EC\2017-12-06-refined-times.txt</v>
      </c>
      <c r="AI4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{"issue":{"subject":"","project_id":79,"tracker_id":40,"status_id":1,"priority_id":2,"assigned_to_id":338,"start_date":"2017-12-06","description":"","custom_fields":[{"id":1,"name":"Subdivision","value":"EC"},{"id":4,"name":"Milepost","value":"23.3274"},{"id":17,"name":"Train ID","value":"133-06"},{"id":16,"name":"Locomotive ID","value":"4032"},{"id":130,"name":"Impact","value":""},{"id":150,"name":"Time of Event (Mountain Time)","value":"08:19:22"},{"id":151,"name":"Denver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0"/>
        <v>start /low /b %USERPROFILE%\Documents\GitHub\eaglep3\Utilities\DownloadLogsFromS3.py --loco 4032 --day 2017-12-06</v>
      </c>
      <c r="AN4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2"/>
        <v>https://d0f6bd738d7f1b3e5a7ca70fe4ff75f0.us-east-1.aws.found.io/app/kibana#/discover/Steve-Slow-Train-Analysis-(2080s-and-2083s)?_g=(refreshInterval:(display:Off,pause:!f,section:0,value:0),time:(from:'2017-12-06T06:36:04-0700',mode:absolute,to:'2017-12-06T09:19:22-0700'))&amp;_a=(columns:!('Message%20ID',Summary),filters:!(),index:'emp_*',interval:auto,query:(query_string:(analyze_wildcard:!t,query:'%22rtdc.l.rtdc.4032%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722</v>
      </c>
      <c r="B47" s="225">
        <v>4031</v>
      </c>
      <c r="C47" s="227" t="s">
        <v>192</v>
      </c>
      <c r="D47" s="227" t="s">
        <v>918</v>
      </c>
      <c r="E47" s="226">
        <v>43075.361597222225</v>
      </c>
      <c r="F47" s="226">
        <v>43075.362962962965</v>
      </c>
      <c r="G47" s="225">
        <v>47</v>
      </c>
      <c r="H47" s="227" t="s">
        <v>538</v>
      </c>
      <c r="I47" s="226">
        <v>43075.388738425929</v>
      </c>
      <c r="J47" s="225">
        <v>0</v>
      </c>
      <c r="K47" s="237" t="str">
        <f t="shared" si="0"/>
        <v>4031/4032</v>
      </c>
      <c r="L47" s="245" t="str">
        <f>VLOOKUP(A47,'Trips&amp;Operators'!$C$1:$G$99911,5,FALSE)</f>
        <v>YORK EDGAR</v>
      </c>
      <c r="M47" s="224">
        <f t="shared" si="1"/>
        <v>2.5775462963792961E-2</v>
      </c>
      <c r="N47" s="225">
        <f t="shared" si="25"/>
        <v>37.116666667861864</v>
      </c>
      <c r="O47" s="225"/>
      <c r="P47" s="225"/>
      <c r="Q47" s="228"/>
      <c r="R47" s="242"/>
      <c r="S47" s="249">
        <f t="shared" si="23"/>
        <v>1</v>
      </c>
      <c r="T47" s="242" t="str">
        <f t="shared" si="3"/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-06T07:40:42-0700',mode:absolute,to:'2017-12-06T10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247" t="str">
        <f>IF(AA47&lt;VLOOKUP(AG47,Variables!$AC$3:$AD$8,2,FALSE),"Y","N")</f>
        <v>N</v>
      </c>
      <c r="X47" s="247">
        <f t="shared" si="26"/>
        <v>1</v>
      </c>
      <c r="Y47" s="247">
        <f t="shared" si="27"/>
        <v>23.2959</v>
      </c>
      <c r="Z47" s="247">
        <f t="shared" si="28"/>
        <v>1.54E-2</v>
      </c>
      <c r="AA47" s="247">
        <f t="shared" si="8"/>
        <v>23.2805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9"/>
        <v>134</v>
      </c>
      <c r="AE47" s="235" t="str">
        <f t="shared" si="1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47" s="234" t="str">
        <f t="shared" si="11"/>
        <v>"C:\Program Files (x86)\AstroGrep\AstroGrep.exe" /e /r /s /spath="%USERPROFILE%\AppData\Local\Temp\OnboardLogs" /stypes="app*4031*20171206*" /stext=" 16:.+((SYSTEM_STATE.+slice.+state.+changed )|(ment ac)|(multiple cpu faults)|(system.+state.+changed )|(\[timeout)|(PRM\|1\|D)|(kpr)|(kdp)|(train st.+moving)|(\|lc)|(penalty))"</v>
      </c>
      <c r="AG47" s="244" t="str">
        <f t="shared" si="12"/>
        <v>EC</v>
      </c>
      <c r="AH47" s="236" t="str">
        <f t="shared" si="18"/>
        <v>"%USERPROFILE%\Documents\GitHub\eaglep3\Utilities\RefineRTDCRunTimes.py" --tripid 134-06 --locoid 4031 --swversion DE.1.0.9.0 --startMP 204:232959 --initTime 2017-12-06T08:40:42 --startdatetime 2017-12-06T08:42:40 --delay 47 --endMP 204:154 --enddatetime 2017-12-06T09:19:47 --enforcementcount 0 &gt;&gt;%USERPROFILE%\Documents\GitHub\eaglep3-reporting\EC\2017-12-06-refined-times.txt</v>
      </c>
      <c r="AI4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{"issue":{"subject":"","project_id":79,"tracker_id":40,"status_id":1,"priority_id":2,"assigned_to_id":338,"start_date":"2017-12-06","description":"","custom_fields":[{"id":1,"name":"Subdivision","value":"EC"},{"id":4,"name":"Milepost","value":"0.0154"},{"id":17,"name":"Train ID","value":"134-06"},{"id":16,"name":"Locomotive ID","value":"4031"},{"id":130,"name":"Impact","value":""},{"id":150,"name":"Time of Event (Mountain Time)","value":"09:19:47"},{"id":151,"name":"Denver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0"/>
        <v>start /low /b %USERPROFILE%\Documents\GitHub\eaglep3\Utilities\DownloadLogsFromS3.py --loco 4031 --day 2017-12-06</v>
      </c>
      <c r="AN4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2"/>
        <v>https://d0f6bd738d7f1b3e5a7ca70fe4ff75f0.us-east-1.aws.found.io/app/kibana#/discover/Steve-Slow-Train-Analysis-(2080s-and-2083s)?_g=(refreshInterval:(display:Off,pause:!f,section:0,value:0),time:(from:'2017-12-06T07:40:42-0700',mode:absolute,to:'2017-12-06T10:19:47-0700'))&amp;_a=(columns:!('Message%20ID',Summary),filters:!(),index:'emp_*',interval:auto,query:(query_string:(analyze_wildcard:!t,query:'%22rtdc.l.rtdc.4031%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715</v>
      </c>
      <c r="B48" s="225">
        <v>4064</v>
      </c>
      <c r="C48" s="227" t="s">
        <v>192</v>
      </c>
      <c r="D48" s="227" t="s">
        <v>919</v>
      </c>
      <c r="E48" s="226">
        <v>43075.332094907404</v>
      </c>
      <c r="F48" s="226">
        <v>43075.333912037036</v>
      </c>
      <c r="G48" s="225">
        <v>54</v>
      </c>
      <c r="H48" s="227" t="s">
        <v>920</v>
      </c>
      <c r="I48" s="226">
        <v>43075.358865740738</v>
      </c>
      <c r="J48" s="225">
        <v>0</v>
      </c>
      <c r="K48" s="237" t="str">
        <f t="shared" si="0"/>
        <v>4063/4064</v>
      </c>
      <c r="L48" s="245" t="str">
        <f>VLOOKUP(A48,'Trips&amp;Operators'!$C$1:$G$99911,5,FALSE)</f>
        <v>SPECTOR MICHAEL</v>
      </c>
      <c r="M48" s="224">
        <f t="shared" si="1"/>
        <v>2.495370370161254E-2</v>
      </c>
      <c r="N48" s="225">
        <f t="shared" si="25"/>
        <v>35.933333330322057</v>
      </c>
      <c r="O48" s="225"/>
      <c r="P48" s="225"/>
      <c r="Q48" s="228"/>
      <c r="R48" s="242"/>
      <c r="S48" s="249">
        <f t="shared" si="23"/>
        <v>1</v>
      </c>
      <c r="T48" s="242" t="str">
        <f t="shared" si="3"/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-06T06:58:13-0700',mode:absolute,to:'2017-12-06T09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8" s="247" t="str">
        <f>IF(AA48&lt;VLOOKUP(AG48,Variables!$AC$3:$AD$8,2,FALSE),"Y","N")</f>
        <v>N</v>
      </c>
      <c r="X48" s="247">
        <f t="shared" si="26"/>
        <v>1</v>
      </c>
      <c r="Y48" s="247">
        <f t="shared" si="27"/>
        <v>4.2200000000000001E-2</v>
      </c>
      <c r="Z48" s="247">
        <f t="shared" si="28"/>
        <v>23.332899999999999</v>
      </c>
      <c r="AA48" s="247">
        <f t="shared" si="8"/>
        <v>23.290699999999998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9"/>
        <v>135</v>
      </c>
      <c r="AE48" s="235" t="str">
        <f t="shared" si="1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48" s="234" t="str">
        <f t="shared" si="11"/>
        <v>"C:\Program Files (x86)\AstroGrep\AstroGrep.exe" /e /r /s /spath="%USERPROFILE%\AppData\Local\Temp\OnboardLogs" /stypes="app*4064*20171206*" /stext=" 15:.+((SYSTEM_STATE.+slice.+state.+changed )|(ment ac)|(multiple cpu faults)|(system.+state.+changed )|(\[timeout)|(PRM\|1\|D)|(kpr)|(kdp)|(train st.+moving)|(\|lc)|(penalty))"</v>
      </c>
      <c r="AG48" s="244" t="str">
        <f t="shared" si="12"/>
        <v>EC</v>
      </c>
      <c r="AH48" s="236" t="str">
        <f t="shared" si="18"/>
        <v>"%USERPROFILE%\Documents\GitHub\eaglep3\Utilities\RefineRTDCRunTimes.py" --tripid 135-06 --locoid 4064 --swversion DE.1.0.9.0 --startMP 204:422 --initTime 2017-12-06T07:58:13 --startdatetime 2017-12-06T08:00:50 --delay 54 --endMP 204:233329 --enddatetime 2017-12-06T08:36:46 --enforcementcount 0 &gt;&gt;%USERPROFILE%\Documents\GitHub\eaglep3-reporting\EC\2017-12-06-refined-times.txt</v>
      </c>
      <c r="AI48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{"issue":{"subject":"","project_id":79,"tracker_id":40,"status_id":1,"priority_id":2,"assigned_to_id":338,"start_date":"2017-12-06","description":"","custom_fields":[{"id":1,"name":"Subdivision","value":"EC"},{"id":4,"name":"Milepost","value":"23.3329"},{"id":17,"name":"Train ID","value":"135-06"},{"id":16,"name":"Locomotive ID","value":"4064"},{"id":130,"name":"Impact","value":""},{"id":150,"name":"Time of Event (Mountain Time)","value":"08:36:46"},{"id":151,"name":"Denver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0"/>
        <v>start /low /b %USERPROFILE%\Documents\GitHub\eaglep3\Utilities\DownloadLogsFromS3.py --loco 4064 --day 2017-12-06</v>
      </c>
      <c r="AN48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2"/>
        <v>https://d0f6bd738d7f1b3e5a7ca70fe4ff75f0.us-east-1.aws.found.io/app/kibana#/discover/Steve-Slow-Train-Analysis-(2080s-and-2083s)?_g=(refreshInterval:(display:Off,pause:!f,section:0,value:0),time:(from:'2017-12-06T06:58:13-0700',mode:absolute,to:'2017-12-06T09:36:46-0700'))&amp;_a=(columns:!('Message%20ID',Summary),filters:!(),index:'emp_*',interval:auto,query:(query_string:(analyze_wildcard:!t,query:'%22rtdc.l.rtdc.4064%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724</v>
      </c>
      <c r="B49" s="225">
        <v>4063</v>
      </c>
      <c r="C49" s="227" t="s">
        <v>192</v>
      </c>
      <c r="D49" s="227" t="s">
        <v>894</v>
      </c>
      <c r="E49" s="226">
        <v>43075.362476851849</v>
      </c>
      <c r="F49" s="226">
        <v>43075.373368055552</v>
      </c>
      <c r="G49" s="225">
        <v>87</v>
      </c>
      <c r="H49" s="227" t="s">
        <v>579</v>
      </c>
      <c r="I49" s="226">
        <v>43075.399594907409</v>
      </c>
      <c r="J49" s="225">
        <v>0</v>
      </c>
      <c r="K49" s="237" t="str">
        <f t="shared" si="0"/>
        <v>4063/4064</v>
      </c>
      <c r="L49" s="245" t="str">
        <f>VLOOKUP(A49,'Trips&amp;Operators'!$C$1:$G$99911,5,FALSE)</f>
        <v>SPECTOR MICHAEL</v>
      </c>
      <c r="M49" s="224">
        <f t="shared" si="1"/>
        <v>2.6226851856335998E-2</v>
      </c>
      <c r="N49" s="225">
        <f t="shared" si="25"/>
        <v>37.766666673123837</v>
      </c>
      <c r="O49" s="225"/>
      <c r="P49" s="225"/>
      <c r="Q49" s="228"/>
      <c r="R49" s="242"/>
      <c r="S49" s="249">
        <f t="shared" si="23"/>
        <v>1</v>
      </c>
      <c r="T49" s="242" t="str">
        <f t="shared" si="3"/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-06T07:41:58-0700',mode:absolute,to:'2017-12-06T10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9" s="247" t="str">
        <f>IF(AA49&lt;VLOOKUP(AG49,Variables!$AC$3:$AD$8,2,FALSE),"Y","N")</f>
        <v>N</v>
      </c>
      <c r="X49" s="247">
        <f t="shared" si="26"/>
        <v>1</v>
      </c>
      <c r="Y49" s="247">
        <f t="shared" si="27"/>
        <v>23.300799999999999</v>
      </c>
      <c r="Z49" s="247">
        <f t="shared" si="28"/>
        <v>1.49E-2</v>
      </c>
      <c r="AA49" s="247">
        <f t="shared" si="8"/>
        <v>23.285899999999998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9"/>
        <v>136</v>
      </c>
      <c r="AE49" s="235" t="str">
        <f t="shared" si="1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49" s="234" t="str">
        <f t="shared" si="11"/>
        <v>"C:\Program Files (x86)\AstroGrep\AstroGrep.exe" /e /r /s /spath="%USERPROFILE%\AppData\Local\Temp\OnboardLogs" /stypes="app*4063*20171206*" /stext=" 16:.+((SYSTEM_STATE.+slice.+state.+changed )|(ment ac)|(multiple cpu faults)|(system.+state.+changed )|(\[timeout)|(PRM\|1\|D)|(kpr)|(kdp)|(train st.+moving)|(\|lc)|(penalty))"</v>
      </c>
      <c r="AG49" s="244" t="str">
        <f t="shared" si="12"/>
        <v>EC</v>
      </c>
      <c r="AH49" s="236" t="str">
        <f t="shared" si="18"/>
        <v>"%USERPROFILE%\Documents\GitHub\eaglep3\Utilities\RefineRTDCRunTimes.py" --tripid 136-06 --locoid 4063 --swversion DE.1.0.9.0 --startMP 204:233008 --initTime 2017-12-06T08:41:58 --startdatetime 2017-12-06T08:57:39 --delay 87 --endMP 204:149 --enddatetime 2017-12-06T09:35:25 --enforcementcount 0 &gt;&gt;%USERPROFILE%\Documents\GitHub\eaglep3-reporting\EC\2017-12-06-refined-times.txt</v>
      </c>
      <c r="AI4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{"issue":{"subject":"","project_id":79,"tracker_id":40,"status_id":1,"priority_id":2,"assigned_to_id":338,"start_date":"2017-12-06","description":"","custom_fields":[{"id":1,"name":"Subdivision","value":"EC"},{"id":4,"name":"Milepost","value":"0.0149"},{"id":17,"name":"Train ID","value":"136-06"},{"id":16,"name":"Locomotive ID","value":"4063"},{"id":130,"name":"Impact","value":""},{"id":150,"name":"Time of Event (Mountain Time)","value":"09:35:25"},{"id":151,"name":"Denver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0"/>
        <v>start /low /b %USERPROFILE%\Documents\GitHub\eaglep3\Utilities\DownloadLogsFromS3.py --loco 4063 --day 2017-12-06</v>
      </c>
      <c r="AN4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2"/>
        <v>https://d0f6bd738d7f1b3e5a7ca70fe4ff75f0.us-east-1.aws.found.io/app/kibana#/discover/Steve-Slow-Train-Analysis-(2080s-and-2083s)?_g=(refreshInterval:(display:Off,pause:!f,section:0,value:0),time:(from:'2017-12-06T07:41:58-0700',mode:absolute,to:'2017-12-06T10:35:25-0700'))&amp;_a=(columns:!('Message%20ID',Summary),filters:!(),index:'emp_*',interval:auto,query:(query_string:(analyze_wildcard:!t,query:'%22rtdc.l.rtdc.4063%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717</v>
      </c>
      <c r="B50" s="225">
        <v>4042</v>
      </c>
      <c r="C50" s="227" t="s">
        <v>192</v>
      </c>
      <c r="D50" s="227" t="s">
        <v>415</v>
      </c>
      <c r="E50" s="226">
        <v>43075.337673611109</v>
      </c>
      <c r="F50" s="226">
        <v>43075.344259259262</v>
      </c>
      <c r="G50" s="225">
        <v>58</v>
      </c>
      <c r="H50" s="227" t="s">
        <v>921</v>
      </c>
      <c r="I50" s="226">
        <v>43075.368206018517</v>
      </c>
      <c r="J50" s="225">
        <v>0</v>
      </c>
      <c r="K50" s="237" t="str">
        <f t="shared" si="0"/>
        <v>4041/4042</v>
      </c>
      <c r="L50" s="245" t="str">
        <f>VLOOKUP(A50,'Trips&amp;Operators'!$C$1:$G$99911,5,FALSE)</f>
        <v>LOPES KIMBERLY</v>
      </c>
      <c r="M50" s="224">
        <f t="shared" si="1"/>
        <v>2.3946759254613426E-2</v>
      </c>
      <c r="N50" s="225">
        <f t="shared" si="25"/>
        <v>34.483333326643333</v>
      </c>
      <c r="O50" s="225"/>
      <c r="P50" s="225"/>
      <c r="Q50" s="228"/>
      <c r="R50" s="242"/>
      <c r="S50" s="249">
        <f t="shared" si="23"/>
        <v>1</v>
      </c>
      <c r="T50" s="242" t="str">
        <f t="shared" si="3"/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-06T07:06:15-0700',mode:absolute,to:'2017-12-06T09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247" t="str">
        <f>IF(AA50&lt;VLOOKUP(AG50,Variables!$AC$3:$AD$8,2,FALSE),"Y","N")</f>
        <v>N</v>
      </c>
      <c r="X50" s="247">
        <f t="shared" si="26"/>
        <v>1</v>
      </c>
      <c r="Y50" s="247">
        <f t="shared" si="27"/>
        <v>5.0799999999999998E-2</v>
      </c>
      <c r="Z50" s="247">
        <f t="shared" si="28"/>
        <v>23.321100000000001</v>
      </c>
      <c r="AA50" s="247">
        <f t="shared" si="8"/>
        <v>23.270300000000002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9"/>
        <v>137</v>
      </c>
      <c r="AE50" s="235" t="str">
        <f t="shared" si="1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50" s="234" t="str">
        <f t="shared" si="11"/>
        <v>"C:\Program Files (x86)\AstroGrep\AstroGrep.exe" /e /r /s /spath="%USERPROFILE%\AppData\Local\Temp\OnboardLogs" /stypes="app*4042*20171206*" /stext=" 15:.+((SYSTEM_STATE.+slice.+state.+changed )|(ment ac)|(multiple cpu faults)|(system.+state.+changed )|(\[timeout)|(PRM\|1\|D)|(kpr)|(kdp)|(train st.+moving)|(\|lc)|(penalty))"</v>
      </c>
      <c r="AG50" s="244" t="str">
        <f t="shared" si="12"/>
        <v>EC</v>
      </c>
      <c r="AH50" s="236" t="str">
        <f t="shared" si="18"/>
        <v>"%USERPROFILE%\Documents\GitHub\eaglep3\Utilities\RefineRTDCRunTimes.py" --tripid 137-06 --locoid 4042 --swversion DE.1.0.9.0 --startMP 204:508 --initTime 2017-12-06T08:06:15 --startdatetime 2017-12-06T08:15:44 --delay 58 --endMP 204:233211 --enddatetime 2017-12-06T08:50:13 --enforcementcount 0 &gt;&gt;%USERPROFILE%\Documents\GitHub\eaglep3-reporting\EC\2017-12-06-refined-times.txt</v>
      </c>
      <c r="AI5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{"issue":{"subject":"","project_id":79,"tracker_id":40,"status_id":1,"priority_id":2,"assigned_to_id":338,"start_date":"2017-12-06","description":"","custom_fields":[{"id":1,"name":"Subdivision","value":"EC"},{"id":4,"name":"Milepost","value":"23.3211"},{"id":17,"name":"Train ID","value":"137-06"},{"id":16,"name":"Locomotive ID","value":"4042"},{"id":130,"name":"Impact","value":""},{"id":150,"name":"Time of Event (Mountain Time)","value":"08:50:13"},{"id":151,"name":"Denver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0"/>
        <v>start /low /b %USERPROFILE%\Documents\GitHub\eaglep3\Utilities\DownloadLogsFromS3.py --loco 4042 --day 2017-12-06</v>
      </c>
      <c r="AN5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2"/>
        <v>https://d0f6bd738d7f1b3e5a7ca70fe4ff75f0.us-east-1.aws.found.io/app/kibana#/discover/Steve-Slow-Train-Analysis-(2080s-and-2083s)?_g=(refreshInterval:(display:Off,pause:!f,section:0,value:0),time:(from:'2017-12-06T07:06:15-0700',mode:absolute,to:'2017-12-06T09:50:13-0700'))&amp;_a=(columns:!('Message%20ID',Summary),filters:!(),index:'emp_*',interval:auto,query:(query_string:(analyze_wildcard:!t,query:'%22rtdc.l.rtdc.4042%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643</v>
      </c>
      <c r="B51" s="225">
        <v>4041</v>
      </c>
      <c r="C51" s="227" t="s">
        <v>192</v>
      </c>
      <c r="D51" s="227" t="s">
        <v>604</v>
      </c>
      <c r="E51" s="226">
        <v>43075.373391203706</v>
      </c>
      <c r="F51" s="226">
        <v>43075.383692129632</v>
      </c>
      <c r="G51" s="225">
        <v>52</v>
      </c>
      <c r="H51" s="227" t="s">
        <v>922</v>
      </c>
      <c r="I51" s="226">
        <v>43075.41</v>
      </c>
      <c r="J51" s="225">
        <v>0</v>
      </c>
      <c r="K51" s="237" t="str">
        <f t="shared" si="0"/>
        <v>4041/4042</v>
      </c>
      <c r="L51" s="245" t="str">
        <f>VLOOKUP(A51,'Trips&amp;Operators'!$C$1:$G$99911,5,FALSE)</f>
        <v>LOPES KIMBERLY</v>
      </c>
      <c r="M51" s="224">
        <f t="shared" si="1"/>
        <v>2.6307870371965691E-2</v>
      </c>
      <c r="N51" s="225">
        <f t="shared" si="25"/>
        <v>37.883333335630596</v>
      </c>
      <c r="O51" s="225"/>
      <c r="P51" s="225"/>
      <c r="Q51" s="228"/>
      <c r="R51" s="242"/>
      <c r="S51" s="249">
        <f t="shared" si="23"/>
        <v>1</v>
      </c>
      <c r="T51" s="242" t="str">
        <f t="shared" si="3"/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-06T07:57:41-0700',mode:absolute,to:'2017-12-06T10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247" t="str">
        <f>IF(AA51&lt;VLOOKUP(AG51,Variables!$AC$3:$AD$8,2,FALSE),"Y","N")</f>
        <v>N</v>
      </c>
      <c r="X51" s="247">
        <f t="shared" si="26"/>
        <v>1</v>
      </c>
      <c r="Y51" s="247">
        <f t="shared" si="27"/>
        <v>23.289400000000001</v>
      </c>
      <c r="Z51" s="247">
        <f t="shared" si="28"/>
        <v>2.0299999999999999E-2</v>
      </c>
      <c r="AA51" s="247">
        <f t="shared" si="8"/>
        <v>23.269100000000002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9"/>
        <v>138</v>
      </c>
      <c r="AE51" s="235" t="str">
        <f t="shared" si="1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51" s="234" t="str">
        <f t="shared" si="11"/>
        <v>"C:\Program Files (x86)\AstroGrep\AstroGrep.exe" /e /r /s /spath="%USERPROFILE%\AppData\Local\Temp\OnboardLogs" /stypes="app*4041*20171206*" /stext=" 16:.+((SYSTEM_STATE.+slice.+state.+changed )|(ment ac)|(multiple cpu faults)|(system.+state.+changed )|(\[timeout)|(PRM\|1\|D)|(kpr)|(kdp)|(train st.+moving)|(\|lc)|(penalty))"</v>
      </c>
      <c r="AG51" s="244" t="str">
        <f t="shared" si="12"/>
        <v>EC</v>
      </c>
      <c r="AH51" s="236" t="str">
        <f t="shared" si="18"/>
        <v>"%USERPROFILE%\Documents\GitHub\eaglep3\Utilities\RefineRTDCRunTimes.py" --tripid 138-06 --locoid 4041 --swversion DE.1.0.9.0 --startMP 204:232894 --initTime 2017-12-06T08:57:41 --startdatetime 2017-12-06T09:12:31 --delay 52 --endMP 204:203 --enddatetime 2017-12-06T09:50:24 --enforcementcount 0 &gt;&gt;%USERPROFILE%\Documents\GitHub\eaglep3-reporting\EC\2017-12-06-refined-times.txt</v>
      </c>
      <c r="AI51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{"issue":{"subject":"","project_id":79,"tracker_id":40,"status_id":1,"priority_id":2,"assigned_to_id":338,"start_date":"2017-12-06","description":"","custom_fields":[{"id":1,"name":"Subdivision","value":"EC"},{"id":4,"name":"Milepost","value":"0.0203"},{"id":17,"name":"Train ID","value":"138-06"},{"id":16,"name":"Locomotive ID","value":"4041"},{"id":130,"name":"Impact","value":""},{"id":150,"name":"Time of Event (Mountain Time)","value":"09:50:24"},{"id":151,"name":"Denver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0"/>
        <v>start /low /b %USERPROFILE%\Documents\GitHub\eaglep3\Utilities\DownloadLogsFromS3.py --loco 4041 --day 2017-12-06</v>
      </c>
      <c r="AN51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2"/>
        <v>https://d0f6bd738d7f1b3e5a7ca70fe4ff75f0.us-east-1.aws.found.io/app/kibana#/discover/Steve-Slow-Train-Analysis-(2080s-and-2083s)?_g=(refreshInterval:(display:Off,pause:!f,section:0,value:0),time:(from:'2017-12-06T07:57:41-0700',mode:absolute,to:'2017-12-06T10:50:24-0700'))&amp;_a=(columns:!('Message%20ID',Summary),filters:!(),index:'emp_*',interval:auto,query:(query_string:(analyze_wildcard:!t,query:'%22rtdc.l.rtdc.4041%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719</v>
      </c>
      <c r="B52" s="225">
        <v>4008</v>
      </c>
      <c r="C52" s="227" t="s">
        <v>192</v>
      </c>
      <c r="D52" s="227" t="s">
        <v>465</v>
      </c>
      <c r="E52" s="226">
        <v>43075.350231481483</v>
      </c>
      <c r="F52" s="226">
        <v>43075.354421296295</v>
      </c>
      <c r="G52" s="225">
        <v>69</v>
      </c>
      <c r="H52" s="227" t="s">
        <v>529</v>
      </c>
      <c r="I52" s="226">
        <v>43075.38</v>
      </c>
      <c r="J52" s="225">
        <v>0</v>
      </c>
      <c r="K52" s="237" t="str">
        <f t="shared" si="0"/>
        <v>4007/4008</v>
      </c>
      <c r="L52" s="245" t="str">
        <f>VLOOKUP(A52,'Trips&amp;Operators'!$C$1:$G$99911,5,FALSE)</f>
        <v>HAMMOND JUSTYNN</v>
      </c>
      <c r="M52" s="224">
        <f t="shared" si="1"/>
        <v>2.5578703702194616E-2</v>
      </c>
      <c r="N52" s="225">
        <f t="shared" si="25"/>
        <v>36.833333331160247</v>
      </c>
      <c r="O52" s="225"/>
      <c r="P52" s="225"/>
      <c r="Q52" s="228"/>
      <c r="R52" s="242"/>
      <c r="S52" s="249">
        <f t="shared" si="23"/>
        <v>1</v>
      </c>
      <c r="T52" s="242" t="str">
        <f t="shared" si="3"/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-06T07:24:20-0700',mode:absolute,to:'2017-12-06T10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247" t="str">
        <f>IF(AA52&lt;VLOOKUP(AG52,Variables!$AC$3:$AD$8,2,FALSE),"Y","N")</f>
        <v>N</v>
      </c>
      <c r="X52" s="247">
        <f t="shared" si="26"/>
        <v>1</v>
      </c>
      <c r="Y52" s="247">
        <f t="shared" si="27"/>
        <v>5.1900000000000002E-2</v>
      </c>
      <c r="Z52" s="247">
        <f t="shared" si="28"/>
        <v>23.327999999999999</v>
      </c>
      <c r="AA52" s="247">
        <f t="shared" si="8"/>
        <v>23.2761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9"/>
        <v>139</v>
      </c>
      <c r="AE52" s="235" t="str">
        <f t="shared" si="1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52" s="234" t="str">
        <f t="shared" si="11"/>
        <v>"C:\Program Files (x86)\AstroGrep\AstroGrep.exe" /e /r /s /spath="%USERPROFILE%\AppData\Local\Temp\OnboardLogs" /stypes="app*4008*20171206*" /stext=" 16:.+((SYSTEM_STATE.+slice.+state.+changed )|(ment ac)|(multiple cpu faults)|(system.+state.+changed )|(\[timeout)|(PRM\|1\|D)|(kpr)|(kdp)|(train st.+moving)|(\|lc)|(penalty))"</v>
      </c>
      <c r="AG52" s="244" t="str">
        <f t="shared" si="12"/>
        <v>EC</v>
      </c>
      <c r="AH52" s="236" t="str">
        <f t="shared" si="18"/>
        <v>"%USERPROFILE%\Documents\GitHub\eaglep3\Utilities\RefineRTDCRunTimes.py" --tripid 139-06 --locoid 4008 --swversion DE.1.0.9.0 --startMP 204:519 --initTime 2017-12-06T08:24:20 --startdatetime 2017-12-06T08:30:22 --delay 69 --endMP 204:233280 --enddatetime 2017-12-06T09:07:12 --enforcementcount 0 &gt;&gt;%USERPROFILE%\Documents\GitHub\eaglep3-reporting\EC\2017-12-06-refined-times.txt</v>
      </c>
      <c r="AI5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{"issue":{"subject":"","project_id":79,"tracker_id":40,"status_id":1,"priority_id":2,"assigned_to_id":338,"start_date":"2017-12-06","description":"","custom_fields":[{"id":1,"name":"Subdivision","value":"EC"},{"id":4,"name":"Milepost","value":"23.328"},{"id":17,"name":"Train ID","value":"139-06"},{"id":16,"name":"Locomotive ID","value":"4008"},{"id":130,"name":"Impact","value":""},{"id":150,"name":"Time of Event (Mountain Time)","value":"09:07:12"},{"id":151,"name":"Denver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0"/>
        <v>start /low /b %USERPROFILE%\Documents\GitHub\eaglep3\Utilities\DownloadLogsFromS3.py --loco 4008 --day 2017-12-06</v>
      </c>
      <c r="AN5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2"/>
        <v>https://d0f6bd738d7f1b3e5a7ca70fe4ff75f0.us-east-1.aws.found.io/app/kibana#/discover/Steve-Slow-Train-Analysis-(2080s-and-2083s)?_g=(refreshInterval:(display:Off,pause:!f,section:0,value:0),time:(from:'2017-12-06T07:24:20-0700',mode:absolute,to:'2017-12-06T10:07:12-0700'))&amp;_a=(columns:!('Message%20ID',Summary),filters:!(),index:'emp_*',interval:auto,query:(query_string:(analyze_wildcard:!t,query:'%22rtdc.l.rtdc.4008%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731</v>
      </c>
      <c r="B53" s="225">
        <v>4007</v>
      </c>
      <c r="C53" s="227" t="s">
        <v>192</v>
      </c>
      <c r="D53" s="227" t="s">
        <v>923</v>
      </c>
      <c r="E53" s="226">
        <v>43075.389328703706</v>
      </c>
      <c r="F53" s="226">
        <v>43075.393923611111</v>
      </c>
      <c r="G53" s="225">
        <v>55</v>
      </c>
      <c r="H53" s="227" t="s">
        <v>463</v>
      </c>
      <c r="I53" s="226">
        <v>43075.420590277776</v>
      </c>
      <c r="J53" s="225">
        <v>0</v>
      </c>
      <c r="K53" s="237" t="str">
        <f t="shared" si="0"/>
        <v>4007/4008</v>
      </c>
      <c r="L53" s="245" t="str">
        <f>VLOOKUP(A53,'Trips&amp;Operators'!$C$1:$G$99911,5,FALSE)</f>
        <v>HAMMOND JUSTYNN</v>
      </c>
      <c r="M53" s="224">
        <f t="shared" si="1"/>
        <v>2.6666666664823424E-2</v>
      </c>
      <c r="N53" s="225">
        <f t="shared" si="25"/>
        <v>38.399999997345731</v>
      </c>
      <c r="O53" s="225"/>
      <c r="P53" s="225"/>
      <c r="Q53" s="228"/>
      <c r="R53" s="242"/>
      <c r="S53" s="249">
        <f t="shared" si="23"/>
        <v>1</v>
      </c>
      <c r="T53" s="242" t="str">
        <f t="shared" si="3"/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-06T08:20:38-0700',mode:absolute,to:'2017-12-06T11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247" t="str">
        <f>IF(AA53&lt;VLOOKUP(AG53,Variables!$AC$3:$AD$8,2,FALSE),"Y","N")</f>
        <v>N</v>
      </c>
      <c r="X53" s="247">
        <f t="shared" si="26"/>
        <v>1</v>
      </c>
      <c r="Y53" s="247">
        <f t="shared" si="27"/>
        <v>23.296800000000001</v>
      </c>
      <c r="Z53" s="247">
        <f t="shared" si="28"/>
        <v>2.0899999999999998E-2</v>
      </c>
      <c r="AA53" s="247">
        <f t="shared" si="8"/>
        <v>23.2759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9"/>
        <v>140</v>
      </c>
      <c r="AE53" s="235" t="str">
        <f t="shared" si="1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53" s="234" t="str">
        <f t="shared" si="11"/>
        <v>"C:\Program Files (x86)\AstroGrep\AstroGrep.exe" /e /r /s /spath="%USERPROFILE%\AppData\Local\Temp\OnboardLogs" /stypes="app*4007*20171206*" /stext=" 17:.+((SYSTEM_STATE.+slice.+state.+changed )|(ment ac)|(multiple cpu faults)|(system.+state.+changed )|(\[timeout)|(PRM\|1\|D)|(kpr)|(kdp)|(train st.+moving)|(\|lc)|(penalty))"</v>
      </c>
      <c r="AG53" s="244" t="str">
        <f t="shared" si="12"/>
        <v>EC</v>
      </c>
      <c r="AH53" s="236" t="str">
        <f t="shared" si="18"/>
        <v>"%USERPROFILE%\Documents\GitHub\eaglep3\Utilities\RefineRTDCRunTimes.py" --tripid 140-06 --locoid 4007 --swversion DE.1.0.9.0 --startMP 204:232968 --initTime 2017-12-06T09:20:38 --startdatetime 2017-12-06T09:27:15 --delay 55 --endMP 204:209 --enddatetime 2017-12-06T10:05:39 --enforcementcount 0 &gt;&gt;%USERPROFILE%\Documents\GitHub\eaglep3-reporting\EC\2017-12-06-refined-times.txt</v>
      </c>
      <c r="AI5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{"issue":{"subject":"","project_id":79,"tracker_id":40,"status_id":1,"priority_id":2,"assigned_to_id":338,"start_date":"2017-12-06","description":"","custom_fields":[{"id":1,"name":"Subdivision","value":"EC"},{"id":4,"name":"Milepost","value":"0.0209"},{"id":17,"name":"Train ID","value":"140-06"},{"id":16,"name":"Locomotive ID","value":"4007"},{"id":130,"name":"Impact","value":""},{"id":150,"name":"Time of Event (Mountain Time)","value":"10:05:39"},{"id":151,"name":"Denver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0"/>
        <v>start /low /b %USERPROFILE%\Documents\GitHub\eaglep3\Utilities\DownloadLogsFromS3.py --loco 4007 --day 2017-12-06</v>
      </c>
      <c r="AN5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2"/>
        <v>https://d0f6bd738d7f1b3e5a7ca70fe4ff75f0.us-east-1.aws.found.io/app/kibana#/discover/Steve-Slow-Train-Analysis-(2080s-and-2083s)?_g=(refreshInterval:(display:Off,pause:!f,section:0,value:0),time:(from:'2017-12-06T08:20:38-0700',mode:absolute,to:'2017-12-06T11:05:39-0700'))&amp;_a=(columns:!('Message%20ID',Summary),filters:!(),index:'emp_*',interval:auto,query:(query_string:(analyze_wildcard:!t,query:'%22rtdc.l.rtdc.4007%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723</v>
      </c>
      <c r="B54" s="225">
        <v>4034</v>
      </c>
      <c r="C54" s="227" t="s">
        <v>192</v>
      </c>
      <c r="D54" s="227" t="s">
        <v>446</v>
      </c>
      <c r="E54" s="226">
        <v>43075.36141203704</v>
      </c>
      <c r="F54" s="226">
        <v>43075.364803240744</v>
      </c>
      <c r="G54" s="225">
        <v>69</v>
      </c>
      <c r="H54" s="227" t="s">
        <v>924</v>
      </c>
      <c r="I54" s="226">
        <v>43075.38890046296</v>
      </c>
      <c r="J54" s="225">
        <v>0</v>
      </c>
      <c r="K54" s="237" t="str">
        <f t="shared" si="0"/>
        <v>4033/4034</v>
      </c>
      <c r="L54" s="245" t="str">
        <f>VLOOKUP(A54,'Trips&amp;Operators'!$C$1:$G$99911,5,FALSE)</f>
        <v>YANAI IAN</v>
      </c>
      <c r="M54" s="224">
        <f t="shared" si="1"/>
        <v>2.4097222216369119E-2</v>
      </c>
      <c r="N54" s="225">
        <f t="shared" si="25"/>
        <v>34.699999991571531</v>
      </c>
      <c r="O54" s="225"/>
      <c r="P54" s="225"/>
      <c r="Q54" s="228"/>
      <c r="R54" s="242"/>
      <c r="S54" s="249">
        <f t="shared" si="23"/>
        <v>1</v>
      </c>
      <c r="T54" s="242" t="str">
        <f t="shared" si="3"/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-06T07:40:26-0700',mode:absolute,to:'2017-12-06T10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4" s="247" t="str">
        <f>IF(AA54&lt;VLOOKUP(AG54,Variables!$AC$3:$AD$8,2,FALSE),"Y","N")</f>
        <v>N</v>
      </c>
      <c r="X54" s="247">
        <f t="shared" si="26"/>
        <v>1</v>
      </c>
      <c r="Y54" s="247">
        <f t="shared" si="27"/>
        <v>4.4600000000000001E-2</v>
      </c>
      <c r="Z54" s="247">
        <f t="shared" si="28"/>
        <v>23.3293</v>
      </c>
      <c r="AA54" s="247">
        <f t="shared" si="8"/>
        <v>23.284700000000001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9"/>
        <v>141</v>
      </c>
      <c r="AE54" s="235" t="str">
        <f t="shared" si="1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54" s="234" t="str">
        <f t="shared" si="11"/>
        <v>"C:\Program Files (x86)\AstroGrep\AstroGrep.exe" /e /r /s /spath="%USERPROFILE%\AppData\Local\Temp\OnboardLogs" /stypes="app*4034*20171206*" /stext=" 16:.+((SYSTEM_STATE.+slice.+state.+changed )|(ment ac)|(multiple cpu faults)|(system.+state.+changed )|(\[timeout)|(PRM\|1\|D)|(kpr)|(kdp)|(train st.+moving)|(\|lc)|(penalty))"</v>
      </c>
      <c r="AG54" s="244" t="str">
        <f t="shared" si="12"/>
        <v>EC</v>
      </c>
      <c r="AH54" s="236" t="str">
        <f t="shared" si="18"/>
        <v>"%USERPROFILE%\Documents\GitHub\eaglep3\Utilities\RefineRTDCRunTimes.py" --tripid 141-06 --locoid 4034 --swversion DE.1.0.9.0 --startMP 204:446 --initTime 2017-12-06T08:40:26 --startdatetime 2017-12-06T08:45:19 --delay 69 --endMP 204:233293 --enddatetime 2017-12-06T09:20:01 --enforcementcount 0 &gt;&gt;%USERPROFILE%\Documents\GitHub\eaglep3-reporting\EC\2017-12-06-refined-times.txt</v>
      </c>
      <c r="AI5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{"issue":{"subject":"","project_id":79,"tracker_id":40,"status_id":1,"priority_id":2,"assigned_to_id":338,"start_date":"2017-12-06","description":"","custom_fields":[{"id":1,"name":"Subdivision","value":"EC"},{"id":4,"name":"Milepost","value":"23.3293"},{"id":17,"name":"Train ID","value":"141-06"},{"id":16,"name":"Locomotive ID","value":"4034"},{"id":130,"name":"Impact","value":""},{"id":150,"name":"Time of Event (Mountain Time)","value":"09:20:01"},{"id":151,"name":"Denver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0"/>
        <v>start /low /b %USERPROFILE%\Documents\GitHub\eaglep3\Utilities\DownloadLogsFromS3.py --loco 4034 --day 2017-12-06</v>
      </c>
      <c r="AN5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2"/>
        <v>https://d0f6bd738d7f1b3e5a7ca70fe4ff75f0.us-east-1.aws.found.io/app/kibana#/discover/Steve-Slow-Train-Analysis-(2080s-and-2083s)?_g=(refreshInterval:(display:Off,pause:!f,section:0,value:0),time:(from:'2017-12-06T07:40:26-0700',mode:absolute,to:'2017-12-06T10:20:01-0700'))&amp;_a=(columns:!('Message%20ID',Summary),filters:!(),index:'emp_*',interval:auto,query:(query_string:(analyze_wildcard:!t,query:'%22rtdc.l.rtdc.4034%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732</v>
      </c>
      <c r="B55" s="225">
        <v>4033</v>
      </c>
      <c r="C55" s="227" t="s">
        <v>192</v>
      </c>
      <c r="D55" s="227" t="s">
        <v>469</v>
      </c>
      <c r="E55" s="226">
        <v>43075.389837962961</v>
      </c>
      <c r="F55" s="226">
        <v>43075.404340277775</v>
      </c>
      <c r="G55" s="225">
        <v>58</v>
      </c>
      <c r="H55" s="227" t="s">
        <v>579</v>
      </c>
      <c r="I55" s="226">
        <v>43075.431863425925</v>
      </c>
      <c r="J55" s="225">
        <v>0</v>
      </c>
      <c r="K55" s="237" t="str">
        <f t="shared" si="0"/>
        <v>4033/4034</v>
      </c>
      <c r="L55" s="245" t="str">
        <f>VLOOKUP(A55,'Trips&amp;Operators'!$C$1:$G$99911,5,FALSE)</f>
        <v>YANAI IAN</v>
      </c>
      <c r="M55" s="224">
        <f t="shared" si="1"/>
        <v>2.7523148150066845E-2</v>
      </c>
      <c r="N55" s="225">
        <f t="shared" si="25"/>
        <v>39.633333336096257</v>
      </c>
      <c r="O55" s="225"/>
      <c r="P55" s="225"/>
      <c r="Q55" s="228"/>
      <c r="R55" s="242"/>
      <c r="S55" s="249">
        <f t="shared" si="23"/>
        <v>1</v>
      </c>
      <c r="T55" s="242" t="str">
        <f t="shared" si="3"/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-06T08:21:22-0700',mode:absolute,to:'2017-12-06T11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5" s="247" t="str">
        <f>IF(AA55&lt;VLOOKUP(AG55,Variables!$AC$3:$AD$8,2,FALSE),"Y","N")</f>
        <v>N</v>
      </c>
      <c r="X55" s="247">
        <f t="shared" si="26"/>
        <v>1</v>
      </c>
      <c r="Y55" s="247">
        <f t="shared" si="27"/>
        <v>23.2971</v>
      </c>
      <c r="Z55" s="247">
        <f t="shared" si="28"/>
        <v>1.49E-2</v>
      </c>
      <c r="AA55" s="247">
        <f t="shared" si="8"/>
        <v>23.2822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9"/>
        <v>142</v>
      </c>
      <c r="AE55" s="235" t="str">
        <f t="shared" si="1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55" s="234" t="str">
        <f t="shared" si="11"/>
        <v>"C:\Program Files (x86)\AstroGrep\AstroGrep.exe" /e /r /s /spath="%USERPROFILE%\AppData\Local\Temp\OnboardLogs" /stypes="app*4033*20171206*" /stext=" 17:.+((SYSTEM_STATE.+slice.+state.+changed )|(ment ac)|(multiple cpu faults)|(system.+state.+changed )|(\[timeout)|(PRM\|1\|D)|(kpr)|(kdp)|(train st.+moving)|(\|lc)|(penalty))"</v>
      </c>
      <c r="AG55" s="244" t="str">
        <f t="shared" si="12"/>
        <v>EC</v>
      </c>
      <c r="AH55" s="236" t="str">
        <f t="shared" si="18"/>
        <v>"%USERPROFILE%\Documents\GitHub\eaglep3\Utilities\RefineRTDCRunTimes.py" --tripid 142-06 --locoid 4033 --swversion DE.1.0.9.0 --startMP 204:232971 --initTime 2017-12-06T09:21:22 --startdatetime 2017-12-06T09:42:15 --delay 58 --endMP 204:149 --enddatetime 2017-12-06T10:21:53 --enforcementcount 0 &gt;&gt;%USERPROFILE%\Documents\GitHub\eaglep3-reporting\EC\2017-12-06-refined-times.txt</v>
      </c>
      <c r="AI5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{"issue":{"subject":"","project_id":79,"tracker_id":40,"status_id":1,"priority_id":2,"assigned_to_id":338,"start_date":"2017-12-06","description":"","custom_fields":[{"id":1,"name":"Subdivision","value":"EC"},{"id":4,"name":"Milepost","value":"0.0149"},{"id":17,"name":"Train ID","value":"142-06"},{"id":16,"name":"Locomotive ID","value":"4033"},{"id":130,"name":"Impact","value":""},{"id":150,"name":"Time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0"/>
        <v>start /low /b %USERPROFILE%\Documents\GitHub\eaglep3\Utilities\DownloadLogsFromS3.py --loco 4033 --day 2017-12-06</v>
      </c>
      <c r="AN5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2"/>
        <v>https://d0f6bd738d7f1b3e5a7ca70fe4ff75f0.us-east-1.aws.found.io/app/kibana#/discover/Steve-Slow-Train-Analysis-(2080s-and-2083s)?_g=(refreshInterval:(display:Off,pause:!f,section:0,value:0),time:(from:'2017-12-06T08:21:22-0700',mode:absolute,to:'2017-12-06T11:21:53-0700'))&amp;_a=(columns:!('Message%20ID',Summary),filters:!(),index:'emp_*',interval:auto,query:(query_string:(analyze_wildcard:!t,query:'%22rtdc.l.rtdc.4033%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730</v>
      </c>
      <c r="B56" s="225">
        <v>4010</v>
      </c>
      <c r="C56" s="227" t="s">
        <v>192</v>
      </c>
      <c r="D56" s="227" t="s">
        <v>581</v>
      </c>
      <c r="E56" s="226">
        <v>43075.37096064815</v>
      </c>
      <c r="F56" s="226">
        <v>43075.375185185185</v>
      </c>
      <c r="G56" s="225">
        <v>93</v>
      </c>
      <c r="H56" s="227" t="s">
        <v>925</v>
      </c>
      <c r="I56" s="226">
        <v>43075.400254629632</v>
      </c>
      <c r="J56" s="225">
        <v>0</v>
      </c>
      <c r="K56" s="237" t="str">
        <f t="shared" si="0"/>
        <v>4009/4010</v>
      </c>
      <c r="L56" s="245" t="str">
        <f>VLOOKUP(A56,'Trips&amp;Operators'!$C$1:$G$99911,5,FALSE)</f>
        <v>ACKERMAN JARED</v>
      </c>
      <c r="M56" s="224">
        <f t="shared" si="1"/>
        <v>2.5069444447581191E-2</v>
      </c>
      <c r="N56" s="225">
        <f t="shared" si="25"/>
        <v>36.100000004516914</v>
      </c>
      <c r="O56" s="225"/>
      <c r="P56" s="225"/>
      <c r="Q56" s="228"/>
      <c r="R56" s="242"/>
      <c r="S56" s="249">
        <f t="shared" si="23"/>
        <v>1</v>
      </c>
      <c r="T56" s="242" t="str">
        <f t="shared" si="3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-06T07:54:11-0700',mode:absolute,to:'2017-12-06T10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247" t="str">
        <f>IF(AA56&lt;VLOOKUP(AG56,Variables!$AC$3:$AD$8,2,FALSE),"Y","N")</f>
        <v>N</v>
      </c>
      <c r="X56" s="247">
        <f t="shared" si="26"/>
        <v>1</v>
      </c>
      <c r="Y56" s="247">
        <f t="shared" si="27"/>
        <v>4.4699999999999997E-2</v>
      </c>
      <c r="Z56" s="247">
        <f t="shared" si="28"/>
        <v>23.328499999999998</v>
      </c>
      <c r="AA56" s="247">
        <f t="shared" si="8"/>
        <v>23.283799999999999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9"/>
        <v>143</v>
      </c>
      <c r="AE56" s="235" t="str">
        <f t="shared" si="1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56" s="234" t="str">
        <f t="shared" si="11"/>
        <v>"C:\Program Files (x86)\AstroGrep\AstroGrep.exe" /e /r /s /spath="%USERPROFILE%\AppData\Local\Temp\OnboardLogs" /stypes="app*4010*20171206*" /stext=" 16:.+((SYSTEM_STATE.+slice.+state.+changed )|(ment ac)|(multiple cpu faults)|(system.+state.+changed )|(\[timeout)|(PRM\|1\|D)|(kpr)|(kdp)|(train st.+moving)|(\|lc)|(penalty))"</v>
      </c>
      <c r="AG56" s="244" t="str">
        <f t="shared" si="12"/>
        <v>EC</v>
      </c>
      <c r="AH56" s="236" t="str">
        <f t="shared" si="18"/>
        <v>"%USERPROFILE%\Documents\GitHub\eaglep3\Utilities\RefineRTDCRunTimes.py" --tripid 143-06 --locoid 4010 --swversion DE.1.0.9.0 --startMP 204:447 --initTime 2017-12-06T08:54:11 --startdatetime 2017-12-06T09:00:16 --delay 93 --endMP 204:233285 --enddatetime 2017-12-06T09:36:22 --enforcementcount 0 &gt;&gt;%USERPROFILE%\Documents\GitHub\eaglep3-reporting\EC\2017-12-06-refined-times.txt</v>
      </c>
      <c r="AI5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{"issue":{"subject":"","project_id":79,"tracker_id":40,"status_id":1,"priority_id":2,"assigned_to_id":338,"start_date":"2017-12-06","description":"","custom_fields":[{"id":1,"name":"Subdivision","value":"EC"},{"id":4,"name":"Milepost","value":"23.3285"},{"id":17,"name":"Train ID","value":"143-06"},{"id":16,"name":"Locomotive ID","value":"4010"},{"id":130,"name":"Impact","value":""},{"id":150,"name":"Time of Event (Mountain Time)","value":"09:36:22"},{"id":151,"name":"Denver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0"/>
        <v>start /low /b %USERPROFILE%\Documents\GitHub\eaglep3\Utilities\DownloadLogsFromS3.py --loco 4010 --day 2017-12-06</v>
      </c>
      <c r="AN5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2"/>
        <v>https://d0f6bd738d7f1b3e5a7ca70fe4ff75f0.us-east-1.aws.found.io/app/kibana#/discover/Steve-Slow-Train-Analysis-(2080s-and-2083s)?_g=(refreshInterval:(display:Off,pause:!f,section:0,value:0),time:(from:'2017-12-06T07:54:11-0700',mode:absolute,to:'2017-12-06T10:36:22-0700'))&amp;_a=(columns:!('Message%20ID',Summary),filters:!(),index:'emp_*',interval:auto,query:(query_string:(analyze_wildcard:!t,query:'%22rtdc.l.rtdc.4010%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736</v>
      </c>
      <c r="B57" s="225">
        <v>4009</v>
      </c>
      <c r="C57" s="227" t="s">
        <v>192</v>
      </c>
      <c r="D57" s="227" t="s">
        <v>926</v>
      </c>
      <c r="E57" s="226">
        <v>43075.407129629632</v>
      </c>
      <c r="F57" s="226">
        <v>43075.414768518516</v>
      </c>
      <c r="G57" s="225">
        <v>124</v>
      </c>
      <c r="H57" s="227" t="s">
        <v>579</v>
      </c>
      <c r="I57" s="226">
        <v>43075.441041666665</v>
      </c>
      <c r="J57" s="225">
        <v>0</v>
      </c>
      <c r="K57" s="237" t="str">
        <f t="shared" si="0"/>
        <v>4009/4010</v>
      </c>
      <c r="L57" s="245" t="str">
        <f>VLOOKUP(A57,'Trips&amp;Operators'!$C$1:$G$99911,5,FALSE)</f>
        <v>ACKERMAN JARED</v>
      </c>
      <c r="M57" s="224">
        <f t="shared" si="1"/>
        <v>2.6273148148902692E-2</v>
      </c>
      <c r="N57" s="225">
        <f t="shared" si="25"/>
        <v>37.833333334419876</v>
      </c>
      <c r="O57" s="225"/>
      <c r="P57" s="225"/>
      <c r="Q57" s="228"/>
      <c r="R57" s="242"/>
      <c r="S57" s="249">
        <f t="shared" si="23"/>
        <v>1</v>
      </c>
      <c r="T57" s="242" t="str">
        <f t="shared" si="3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-06T08:46:16-0700',mode:absolute,to:'2017-12-06T11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247" t="str">
        <f>IF(AA57&lt;VLOOKUP(AG57,Variables!$AC$3:$AD$8,2,FALSE),"Y","N")</f>
        <v>N</v>
      </c>
      <c r="X57" s="247">
        <f t="shared" si="26"/>
        <v>1</v>
      </c>
      <c r="Y57" s="247">
        <f t="shared" si="27"/>
        <v>23.297599999999999</v>
      </c>
      <c r="Z57" s="247">
        <f t="shared" si="28"/>
        <v>1.49E-2</v>
      </c>
      <c r="AA57" s="247">
        <f t="shared" si="8"/>
        <v>23.282699999999998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9"/>
        <v>144</v>
      </c>
      <c r="AE57" s="235" t="str">
        <f t="shared" si="1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57" s="234" t="str">
        <f t="shared" si="11"/>
        <v>"C:\Program Files (x86)\AstroGrep\AstroGrep.exe" /e /r /s /spath="%USERPROFILE%\AppData\Local\Temp\OnboardLogs" /stypes="app*4009*20171206*" /stext=" 17:.+((SYSTEM_STATE.+slice.+state.+changed )|(ment ac)|(multiple cpu faults)|(system.+state.+changed )|(\[timeout)|(PRM\|1\|D)|(kpr)|(kdp)|(train st.+moving)|(\|lc)|(penalty))"</v>
      </c>
      <c r="AG57" s="244" t="str">
        <f t="shared" si="12"/>
        <v>EC</v>
      </c>
      <c r="AH57" s="236" t="str">
        <f t="shared" si="18"/>
        <v>"%USERPROFILE%\Documents\GitHub\eaglep3\Utilities\RefineRTDCRunTimes.py" --tripid 144-06 --locoid 4009 --swversion DE.1.0.9.0 --startMP 204:232976 --initTime 2017-12-06T09:46:16 --startdatetime 2017-12-06T09:57:16 --delay 124 --endMP 204:149 --enddatetime 2017-12-06T10:35:06 --enforcementcount 0 &gt;&gt;%USERPROFILE%\Documents\GitHub\eaglep3-reporting\EC\2017-12-06-refined-times.txt</v>
      </c>
      <c r="AI5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{"issue":{"subject":"","project_id":79,"tracker_id":40,"status_id":1,"priority_id":2,"assigned_to_id":338,"start_date":"2017-12-06","description":"","custom_fields":[{"id":1,"name":"Subdivision","value":"EC"},{"id":4,"name":"Milepost","value":"0.0149"},{"id":17,"name":"Train ID","value":"144-06"},{"id":16,"name":"Locomotive ID","value":"4009"},{"id":130,"name":"Impact","value":""},{"id":150,"name":"Time of Event (Mountain Time)","value":"10:35:06"},{"id":151,"name":"Denver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0"/>
        <v>start /low /b %USERPROFILE%\Documents\GitHub\eaglep3\Utilities\DownloadLogsFromS3.py --loco 4009 --day 2017-12-06</v>
      </c>
      <c r="AN5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2"/>
        <v>https://d0f6bd738d7f1b3e5a7ca70fe4ff75f0.us-east-1.aws.found.io/app/kibana#/discover/Steve-Slow-Train-Analysis-(2080s-and-2083s)?_g=(refreshInterval:(display:Off,pause:!f,section:0,value:0),time:(from:'2017-12-06T08:46:16-0700',mode:absolute,to:'2017-12-06T11:35:06-0700'))&amp;_a=(columns:!('Message%20ID',Summary),filters:!(),index:'emp_*',interval:auto,query:(query_string:(analyze_wildcard:!t,query:'%22rtdc.l.rtdc.4009%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642</v>
      </c>
      <c r="B58" s="225">
        <v>4062</v>
      </c>
      <c r="C58" s="227" t="s">
        <v>192</v>
      </c>
      <c r="D58" s="227" t="s">
        <v>417</v>
      </c>
      <c r="E58" s="226">
        <v>43075.380729166667</v>
      </c>
      <c r="F58" s="226">
        <v>43075.395057870373</v>
      </c>
      <c r="G58" s="225">
        <v>68</v>
      </c>
      <c r="H58" s="227" t="s">
        <v>927</v>
      </c>
      <c r="I58" s="226">
        <v>43075.412418981483</v>
      </c>
      <c r="J58" s="225">
        <v>0</v>
      </c>
      <c r="K58" s="237" t="str">
        <f t="shared" si="0"/>
        <v>4061/4062</v>
      </c>
      <c r="L58" s="245" t="str">
        <f>VLOOKUP(A58,'Trips&amp;Operators'!$C$1:$G$99911,5,FALSE)</f>
        <v>FORTUNATO FRANK</v>
      </c>
      <c r="M58" s="224">
        <f t="shared" si="1"/>
        <v>1.7361111109494232E-2</v>
      </c>
      <c r="N58" s="225"/>
      <c r="O58" s="225"/>
      <c r="P58" s="225">
        <f>24*60*SUM($M58:$M58)</f>
        <v>24.999999997671694</v>
      </c>
      <c r="Q58" s="228"/>
      <c r="R58" s="242" t="s">
        <v>447</v>
      </c>
      <c r="S58" s="249">
        <f>1/IF(AG58="EC",12,1)*SUM(U58:U59)</f>
        <v>1</v>
      </c>
      <c r="T58" s="242" t="str">
        <f t="shared" si="3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3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-06T08:08:15-0700',mode:absolute,to:'2017-12-06T10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247" t="str">
        <f>IF(AA58&lt;VLOOKUP(AG58,Variables!$AC$3:$AD$8,2,FALSE),"Y","N")</f>
        <v>Y</v>
      </c>
      <c r="X58" s="247">
        <f t="shared" si="26"/>
        <v>1</v>
      </c>
      <c r="Y58" s="247">
        <f t="shared" si="27"/>
        <v>5.3999999999999999E-2</v>
      </c>
      <c r="Z58" s="247">
        <f t="shared" si="28"/>
        <v>3.6604000000000001</v>
      </c>
      <c r="AA58" s="247">
        <f t="shared" si="8"/>
        <v>3.6064000000000003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9"/>
        <v>145</v>
      </c>
      <c r="AE58" s="235" t="str">
        <f t="shared" si="1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58" s="234" t="str">
        <f t="shared" si="11"/>
        <v>"C:\Program Files (x86)\AstroGrep\AstroGrep.exe" /e /r /s /spath="%USERPROFILE%\AppData\Local\Temp\OnboardLogs" /stypes="app*4062*20171206*" /stext=" 16:.+((SYSTEM_STATE.+slice.+state.+changed )|(ment ac)|(multiple cpu faults)|(system.+state.+changed )|(\[timeout)|(PRM\|1\|D)|(kpr)|(kdp)|(train st.+moving)|(\|lc)|(penalty))"</v>
      </c>
      <c r="AG58" s="244" t="str">
        <f t="shared" si="12"/>
        <v>EC</v>
      </c>
      <c r="AH58" s="236" t="str">
        <f t="shared" si="18"/>
        <v>"%USERPROFILE%\Documents\GitHub\eaglep3\Utilities\RefineRTDCRunTimes.py" --tripid 145-06 --locoid 4062 --swversion DE.1.0.9.0 --startMP 204:540 --initTime 2017-12-06T09:08:15 --startdatetime 2017-12-06T09:28:53 --delay 68 --endMP 204:36604 --enddatetime 2017-12-06T09:53:53 --enforcementcount 0 &gt;&gt;%USERPROFILE%\Documents\GitHub\eaglep3-reporting\EC\2017-12-06-refined-times.txt</v>
      </c>
      <c r="AI58" s="238" t="str">
        <f t="shared" si="19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drop","project_id":79,"tracker_id":40,"status_id":1,"priority_id":2,"assigned_to_id":338,"start_date":"2017-12-06","description":"","custom_fields":[{"id":1,"name":"Subdivision","value":"EC"},{"id":4,"name":"Milepost","value":"3.6604"},{"id":17,"name":"Train ID","value":"145-06"},{"id":16,"name":"Locomotive ID","value":"4062"},{"id":130,"name":"Impact","value":""},{"id":150,"name":"Time of Event (Mountain Time)","value":"09:53:53"},{"id":151,"name":"Denver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0"/>
        <v>start /low /b %USERPROFILE%\Documents\GitHub\eaglep3\Utilities\DownloadLogsFromS3.py --loco 4062 --day 2017-12-06</v>
      </c>
      <c r="AN58" s="241" t="str">
        <f t="shared" si="21"/>
        <v>echo {"issue":{"subject":"Wi-MAX data drop","project_id":30,"tracker_id":4,"status_id":1,"priority_id":1,"assigned_to_id":10,"start_date":"2017-12-06","description":"","custom_fields":[{"id":30,"name":"Category","value":"Issue"},{"id":3,"name":"Functional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2"/>
        <v>https://d0f6bd738d7f1b3e5a7ca70fe4ff75f0.us-east-1.aws.found.io/app/kibana#/discover/Steve-Slow-Train-Analysis-(2080s-and-2083s)?_g=(refreshInterval:(display:Off,pause:!f,section:0,value:0),time:(from:'2017-12-06T08:08:15-0700',mode:absolute,to:'2017-12-06T10:53:53-0700'))&amp;_a=(columns:!('Message%20ID',Summary),filters:!(),index:'emp_*',interval:auto,query:(query_string:(analyze_wildcard:!t,query:'%22rtdc.l.rtdc.4062%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642</v>
      </c>
      <c r="B59" s="225">
        <v>4062</v>
      </c>
      <c r="C59" s="227" t="s">
        <v>192</v>
      </c>
      <c r="D59" s="227" t="s">
        <v>928</v>
      </c>
      <c r="E59" s="226">
        <v>43075.394178240742</v>
      </c>
      <c r="F59" s="226">
        <v>43075.395057870373</v>
      </c>
      <c r="G59" s="225">
        <v>42</v>
      </c>
      <c r="H59" s="227" t="s">
        <v>929</v>
      </c>
      <c r="I59" s="226">
        <v>43075.412418981483</v>
      </c>
      <c r="J59" s="225">
        <v>0</v>
      </c>
      <c r="K59" s="237" t="str">
        <f t="shared" si="0"/>
        <v>4061/4062</v>
      </c>
      <c r="L59" s="245" t="str">
        <f>VLOOKUP(A59,'Trips&amp;Operators'!$C$1:$G$99911,5,FALSE)</f>
        <v>FORTUNATO FRANK</v>
      </c>
      <c r="M59" s="224">
        <f t="shared" si="1"/>
        <v>1.7361111109494232E-2</v>
      </c>
      <c r="N59" s="225"/>
      <c r="O59" s="225"/>
      <c r="P59" s="225"/>
      <c r="Q59" s="228"/>
      <c r="R59" s="242"/>
      <c r="S59" s="249"/>
      <c r="T59" s="242" t="str">
        <f t="shared" si="3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9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-06T08:27:37-0700',mode:absolute,to:'2017-12-06T10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9" s="247" t="str">
        <f>IF(AA59&lt;VLOOKUP(AG59,Variables!$AC$3:$AD$8,2,FALSE),"Y","N")</f>
        <v>Y</v>
      </c>
      <c r="X59" s="247">
        <f t="shared" si="26"/>
        <v>0</v>
      </c>
      <c r="Y59" s="247">
        <f t="shared" si="27"/>
        <v>3.7187999999999999</v>
      </c>
      <c r="Z59" s="247">
        <f t="shared" si="28"/>
        <v>23.318000000000001</v>
      </c>
      <c r="AA59" s="247">
        <f t="shared" si="8"/>
        <v>19.599200000000003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9"/>
        <v>145</v>
      </c>
      <c r="AE59" s="235" t="str">
        <f t="shared" si="1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59" s="234" t="str">
        <f t="shared" si="11"/>
        <v>"C:\Program Files (x86)\AstroGrep\AstroGrep.exe" /e /r /s /spath="%USERPROFILE%\AppData\Local\Temp\OnboardLogs" /stypes="app*4062*20171206*" /stext=" 16:.+((SYSTEM_STATE.+slice.+state.+changed )|(ment ac)|(multiple cpu faults)|(system.+state.+changed )|(\[timeout)|(PRM\|1\|D)|(kpr)|(kdp)|(train st.+moving)|(\|lc)|(penalty))"</v>
      </c>
      <c r="AG59" s="244" t="str">
        <f t="shared" si="12"/>
        <v>EC</v>
      </c>
      <c r="AH59" s="236" t="str">
        <f t="shared" si="18"/>
        <v>"%USERPROFILE%\Documents\GitHub\eaglep3\Utilities\RefineRTDCRunTimes.py" --tripid 145-06 --locoid 4062 --swversion DE.1.0.9.0 --startMP 204:37188 --initTime 2017-12-06T09:27:37 --startdatetime 2017-12-06T09:28:53 --delay 42 --endMP 204:233180 --enddatetime 2017-12-06T09:53:53 --enforcementcount 0 &gt;&gt;%USERPROFILE%\Documents\GitHub\eaglep3-reporting\EC\2017-12-06-refined-times.txt</v>
      </c>
      <c r="AI5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{"issue":{"subject":"","project_id":79,"tracker_id":40,"status_id":1,"priority_id":2,"assigned_to_id":338,"start_date":"2017-12-06","description":"","custom_fields":[{"id":1,"name":"Subdivision","value":"EC"},{"id":4,"name":"Milepost","value":"23.318"},{"id":17,"name":"Train ID","value":"145-06"},{"id":16,"name":"Locomotive ID","value":"4062"},{"id":130,"name":"Impact","value":""},{"id":150,"name":"Time of Event (Mountain Time)","value":"09:53:53"},{"id":151,"name":"Denver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0"/>
        <v>start /low /b %USERPROFILE%\Documents\GitHub\eaglep3\Utilities\DownloadLogsFromS3.py --loco 4062 --day 2017-12-06</v>
      </c>
      <c r="AN5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2"/>
        <v>https://d0f6bd738d7f1b3e5a7ca70fe4ff75f0.us-east-1.aws.found.io/app/kibana#/discover/Steve-Slow-Train-Analysis-(2080s-and-2083s)?_g=(refreshInterval:(display:Off,pause:!f,section:0,value:0),time:(from:'2017-12-06T08:27:37-0700',mode:absolute,to:'2017-12-06T10:53:53-0700'))&amp;_a=(columns:!('Message%20ID',Summary),filters:!(),index:'emp_*',interval:auto,query:(query_string:(analyze_wildcard:!t,query:'%22rtdc.l.rtdc.4062%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738</v>
      </c>
      <c r="B60" s="225">
        <v>4061</v>
      </c>
      <c r="C60" s="227" t="s">
        <v>192</v>
      </c>
      <c r="D60" s="227" t="s">
        <v>930</v>
      </c>
      <c r="E60" s="226">
        <v>43075.413599537038</v>
      </c>
      <c r="F60" s="226">
        <v>43075.425162037034</v>
      </c>
      <c r="G60" s="225">
        <v>49</v>
      </c>
      <c r="H60" s="227" t="s">
        <v>931</v>
      </c>
      <c r="I60" s="226">
        <v>43075.452291666668</v>
      </c>
      <c r="J60" s="225">
        <v>0</v>
      </c>
      <c r="K60" s="237" t="str">
        <f t="shared" si="0"/>
        <v>4061/4062</v>
      </c>
      <c r="L60" s="245" t="str">
        <f>VLOOKUP(A60,'Trips&amp;Operators'!$C$1:$G$99911,5,FALSE)</f>
        <v>FORTUNATO FRANK</v>
      </c>
      <c r="M60" s="224">
        <f t="shared" si="1"/>
        <v>2.7129629634146113E-2</v>
      </c>
      <c r="N60" s="225">
        <f t="shared" ref="N60:N91" si="29">24*60*SUM($M60:$M60)</f>
        <v>39.066666673170403</v>
      </c>
      <c r="O60" s="225"/>
      <c r="P60" s="225"/>
      <c r="Q60" s="228"/>
      <c r="R60" s="242"/>
      <c r="S60" s="249">
        <f t="shared" ref="S60:S91" si="30">1/IF(AG60="EC",12,1)*SUM(U60:U60)</f>
        <v>1</v>
      </c>
      <c r="T60" s="242" t="str">
        <f t="shared" si="3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-06T08:55:35-0700',mode:absolute,to:'2017-12-06T11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0" s="247" t="str">
        <f>IF(AA60&lt;VLOOKUP(AG60,Variables!$AC$3:$AD$8,2,FALSE),"Y","N")</f>
        <v>N</v>
      </c>
      <c r="X60" s="247">
        <f t="shared" si="26"/>
        <v>1</v>
      </c>
      <c r="Y60" s="247">
        <f t="shared" si="27"/>
        <v>23.285699999999999</v>
      </c>
      <c r="Z60" s="247">
        <f t="shared" si="28"/>
        <v>2.1100000000000001E-2</v>
      </c>
      <c r="AA60" s="247">
        <f t="shared" si="8"/>
        <v>23.264599999999998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9"/>
        <v>146</v>
      </c>
      <c r="AE60" s="235" t="str">
        <f t="shared" si="1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60" s="234" t="str">
        <f t="shared" si="11"/>
        <v>"C:\Program Files (x86)\AstroGrep\AstroGrep.exe" /e /r /s /spath="%USERPROFILE%\AppData\Local\Temp\OnboardLogs" /stypes="app*4061*20171206*" /stext=" 17:.+((SYSTEM_STATE.+slice.+state.+changed )|(ment ac)|(multiple cpu faults)|(system.+state.+changed )|(\[timeout)|(PRM\|1\|D)|(kpr)|(kdp)|(train st.+moving)|(\|lc)|(penalty))"</v>
      </c>
      <c r="AG60" s="244" t="str">
        <f t="shared" si="12"/>
        <v>EC</v>
      </c>
      <c r="AH60" s="236" t="str">
        <f t="shared" si="18"/>
        <v>"%USERPROFILE%\Documents\GitHub\eaglep3\Utilities\RefineRTDCRunTimes.py" --tripid 146-06 --locoid 4061 --swversion DE.1.0.9.0 --startMP 204:232857 --initTime 2017-12-06T09:55:35 --startdatetime 2017-12-06T10:12:14 --delay 49 --endMP 204:211 --enddatetime 2017-12-06T10:51:18 --enforcementcount 0 &gt;&gt;%USERPROFILE%\Documents\GitHub\eaglep3-reporting\EC\2017-12-06-refined-times.txt</v>
      </c>
      <c r="AI6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{"issue":{"subject":"","project_id":79,"tracker_id":40,"status_id":1,"priority_id":2,"assigned_to_id":338,"start_date":"2017-12-06","description":"","custom_fields":[{"id":1,"name":"Subdivision","value":"EC"},{"id":4,"name":"Milepost","value":"0.0211"},{"id":17,"name":"Train ID","value":"146-06"},{"id":16,"name":"Locomotive ID","value":"4061"},{"id":130,"name":"Impact","value":""},{"id":150,"name":"Time of Event (Mountain Time)","value":"10:51:18"},{"id":151,"name":"Denver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0"/>
        <v>start /low /b %USERPROFILE%\Documents\GitHub\eaglep3\Utilities\DownloadLogsFromS3.py --loco 4061 --day 2017-12-06</v>
      </c>
      <c r="AN6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2"/>
        <v>https://d0f6bd738d7f1b3e5a7ca70fe4ff75f0.us-east-1.aws.found.io/app/kibana#/discover/Steve-Slow-Train-Analysis-(2080s-and-2083s)?_g=(refreshInterval:(display:Off,pause:!f,section:0,value:0),time:(from:'2017-12-06T08:55:35-0700',mode:absolute,to:'2017-12-06T11:51:18-0700'))&amp;_a=(columns:!('Message%20ID',Summary),filters:!(),index:'emp_*',interval:auto,query:(query_string:(analyze_wildcard:!t,query:'%22rtdc.l.rtdc.4061%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733</v>
      </c>
      <c r="B61" s="225">
        <v>4032</v>
      </c>
      <c r="C61" s="227" t="s">
        <v>192</v>
      </c>
      <c r="D61" s="227" t="s">
        <v>615</v>
      </c>
      <c r="E61" s="226">
        <v>43075.390277777777</v>
      </c>
      <c r="F61" s="226">
        <v>43075.396099537036</v>
      </c>
      <c r="G61" s="225">
        <v>50</v>
      </c>
      <c r="H61" s="227" t="s">
        <v>898</v>
      </c>
      <c r="I61" s="226">
        <v>43075.420590277776</v>
      </c>
      <c r="J61" s="225">
        <v>0</v>
      </c>
      <c r="K61" s="237" t="str">
        <f t="shared" si="0"/>
        <v>4031/4032</v>
      </c>
      <c r="L61" s="245" t="str">
        <f>VLOOKUP(A61,'Trips&amp;Operators'!$C$1:$G$99911,5,FALSE)</f>
        <v>YORK EDGAR</v>
      </c>
      <c r="M61" s="224">
        <f t="shared" si="1"/>
        <v>2.4490740739565808E-2</v>
      </c>
      <c r="N61" s="225">
        <f t="shared" si="29"/>
        <v>35.266666664974764</v>
      </c>
      <c r="O61" s="225"/>
      <c r="P61" s="225"/>
      <c r="Q61" s="228"/>
      <c r="R61" s="242"/>
      <c r="S61" s="249">
        <f t="shared" si="30"/>
        <v>1</v>
      </c>
      <c r="T61" s="242" t="str">
        <f t="shared" si="3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-06T08:22:00-0700',mode:absolute,to:'2017-12-06T11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47" t="str">
        <f>IF(AA61&lt;VLOOKUP(AG61,Variables!$AC$3:$AD$8,2,FALSE),"Y","N")</f>
        <v>N</v>
      </c>
      <c r="X61" s="247">
        <f t="shared" si="26"/>
        <v>1</v>
      </c>
      <c r="Y61" s="247">
        <f t="shared" si="27"/>
        <v>4.7500000000000001E-2</v>
      </c>
      <c r="Z61" s="247">
        <f t="shared" si="28"/>
        <v>23.3278</v>
      </c>
      <c r="AA61" s="247">
        <f t="shared" si="8"/>
        <v>23.2803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9"/>
        <v>147</v>
      </c>
      <c r="AE61" s="235" t="str">
        <f t="shared" si="1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61" s="234" t="str">
        <f t="shared" si="11"/>
        <v>"C:\Program Files (x86)\AstroGrep\AstroGrep.exe" /e /r /s /spath="%USERPROFILE%\AppData\Local\Temp\OnboardLogs" /stypes="app*4032*20171206*" /stext=" 17:.+((SYSTEM_STATE.+slice.+state.+changed )|(ment ac)|(multiple cpu faults)|(system.+state.+changed )|(\[timeout)|(PRM\|1\|D)|(kpr)|(kdp)|(train st.+moving)|(\|lc)|(penalty))"</v>
      </c>
      <c r="AG61" s="244" t="str">
        <f t="shared" si="12"/>
        <v>EC</v>
      </c>
      <c r="AH61" s="236" t="str">
        <f t="shared" si="18"/>
        <v>"%USERPROFILE%\Documents\GitHub\eaglep3\Utilities\RefineRTDCRunTimes.py" --tripid 147-06 --locoid 4032 --swversion DE.1.0.9.0 --startMP 204:475 --initTime 2017-12-06T09:22:00 --startdatetime 2017-12-06T09:30:23 --delay 50 --endMP 204:233278 --enddatetime 2017-12-06T10:05:39 --enforcementcount 0 &gt;&gt;%USERPROFILE%\Documents\GitHub\eaglep3-reporting\EC\2017-12-06-refined-times.txt</v>
      </c>
      <c r="AI61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{"issue":{"subject":"","project_id":79,"tracker_id":40,"status_id":1,"priority_id":2,"assigned_to_id":338,"start_date":"2017-12-06","description":"","custom_fields":[{"id":1,"name":"Subdivision","value":"EC"},{"id":4,"name":"Milepost","value":"23.3278"},{"id":17,"name":"Train ID","value":"147-06"},{"id":16,"name":"Locomotive ID","value":"4032"},{"id":130,"name":"Impact","value":""},{"id":150,"name":"Time of Event (Mountain Time)","value":"10:05:39"},{"id":151,"name":"Denver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0"/>
        <v>start /low /b %USERPROFILE%\Documents\GitHub\eaglep3\Utilities\DownloadLogsFromS3.py --loco 4032 --day 2017-12-06</v>
      </c>
      <c r="AN61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2"/>
        <v>https://d0f6bd738d7f1b3e5a7ca70fe4ff75f0.us-east-1.aws.found.io/app/kibana#/discover/Steve-Slow-Train-Analysis-(2080s-and-2083s)?_g=(refreshInterval:(display:Off,pause:!f,section:0,value:0),time:(from:'2017-12-06T08:22:00-0700',mode:absolute,to:'2017-12-06T11:05:39-0700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646</v>
      </c>
      <c r="B62" s="225">
        <v>4031</v>
      </c>
      <c r="C62" s="227" t="s">
        <v>192</v>
      </c>
      <c r="D62" s="227" t="s">
        <v>926</v>
      </c>
      <c r="E62" s="226">
        <v>43075.433321759258</v>
      </c>
      <c r="F62" s="226">
        <v>43075.435578703706</v>
      </c>
      <c r="G62" s="225">
        <v>44</v>
      </c>
      <c r="H62" s="227" t="s">
        <v>530</v>
      </c>
      <c r="I62" s="226">
        <v>43075.461099537039</v>
      </c>
      <c r="J62" s="225">
        <v>0</v>
      </c>
      <c r="K62" s="237" t="str">
        <f t="shared" si="0"/>
        <v>4031/4032</v>
      </c>
      <c r="L62" s="245" t="str">
        <f>VLOOKUP(A62,'Trips&amp;Operators'!$C$1:$G$99911,5,FALSE)</f>
        <v>YORK EDGAR</v>
      </c>
      <c r="M62" s="224">
        <f t="shared" si="1"/>
        <v>2.5520833332848269E-2</v>
      </c>
      <c r="N62" s="225">
        <f t="shared" si="29"/>
        <v>36.749999999301508</v>
      </c>
      <c r="O62" s="225"/>
      <c r="P62" s="225"/>
      <c r="Q62" s="228"/>
      <c r="R62" s="242"/>
      <c r="S62" s="249">
        <f t="shared" si="30"/>
        <v>1</v>
      </c>
      <c r="T62" s="242" t="str">
        <f t="shared" si="3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-06T09:23:59-0700',mode:absolute,to:'2017-12-06T12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47" t="str">
        <f>IF(AA62&lt;VLOOKUP(AG62,Variables!$AC$3:$AD$8,2,FALSE),"Y","N")</f>
        <v>N</v>
      </c>
      <c r="X62" s="247">
        <f t="shared" si="26"/>
        <v>1</v>
      </c>
      <c r="Y62" s="247">
        <f t="shared" si="27"/>
        <v>23.297599999999999</v>
      </c>
      <c r="Z62" s="247">
        <f t="shared" si="28"/>
        <v>1.4500000000000001E-2</v>
      </c>
      <c r="AA62" s="247">
        <f t="shared" si="8"/>
        <v>23.283099999999997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9"/>
        <v>148</v>
      </c>
      <c r="AE62" s="235" t="str">
        <f t="shared" si="1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62" s="234" t="str">
        <f t="shared" si="11"/>
        <v>"C:\Program Files (x86)\AstroGrep\AstroGrep.exe" /e /r /s /spath="%USERPROFILE%\AppData\Local\Temp\OnboardLogs" /stypes="app*4031*20171206*" /stext=" 18:.+((SYSTEM_STATE.+slice.+state.+changed )|(ment ac)|(multiple cpu faults)|(system.+state.+changed )|(\[timeout)|(PRM\|1\|D)|(kpr)|(kdp)|(train st.+moving)|(\|lc)|(penalty))"</v>
      </c>
      <c r="AG62" s="244" t="str">
        <f t="shared" si="12"/>
        <v>EC</v>
      </c>
      <c r="AH62" s="236" t="str">
        <f t="shared" si="18"/>
        <v>"%USERPROFILE%\Documents\GitHub\eaglep3\Utilities\RefineRTDCRunTimes.py" --tripid 148-06 --locoid 4031 --swversion DE.1.0.9.0 --startMP 204:232976 --initTime 2017-12-06T10:23:59 --startdatetime 2017-12-06T10:27:14 --delay 44 --endMP 204:145 --enddatetime 2017-12-06T11:03:59 --enforcementcount 0 &gt;&gt;%USERPROFILE%\Documents\GitHub\eaglep3-reporting\EC\2017-12-06-refined-times.txt</v>
      </c>
      <c r="AI6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{"issue":{"subject":"","project_id":79,"tracker_id":40,"status_id":1,"priority_id":2,"assigned_to_id":338,"start_date":"2017-12-06","description":"","custom_fields":[{"id":1,"name":"Subdivision","value":"EC"},{"id":4,"name":"Milepost","value":"0.0145"},{"id":17,"name":"Train ID","value":"148-06"},{"id":16,"name":"Locomotive ID","value":"4031"},{"id":130,"name":"Impact","value":""},{"id":150,"name":"Time of Event (Mountain Time)","value":"11:03:59"},{"id":151,"name":"Denver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0"/>
        <v>start /low /b %USERPROFILE%\Documents\GitHub\eaglep3\Utilities\DownloadLogsFromS3.py --loco 4031 --day 2017-12-06</v>
      </c>
      <c r="AN6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2"/>
        <v>https://d0f6bd738d7f1b3e5a7ca70fe4ff75f0.us-east-1.aws.found.io/app/kibana#/discover/Steve-Slow-Train-Analysis-(2080s-and-2083s)?_g=(refreshInterval:(display:Off,pause:!f,section:0,value:0),time:(from:'2017-12-06T09:23:59-0700',mode:absolute,to:'2017-12-06T12:03:59-0700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735</v>
      </c>
      <c r="B63" s="225">
        <v>4064</v>
      </c>
      <c r="C63" s="227" t="s">
        <v>192</v>
      </c>
      <c r="D63" s="227" t="s">
        <v>476</v>
      </c>
      <c r="E63" s="226">
        <v>43075.403067129628</v>
      </c>
      <c r="F63" s="226">
        <v>43075.406435185185</v>
      </c>
      <c r="G63" s="225">
        <v>64</v>
      </c>
      <c r="H63" s="227" t="s">
        <v>462</v>
      </c>
      <c r="I63" s="226">
        <v>43075.430324074077</v>
      </c>
      <c r="J63" s="225">
        <v>0</v>
      </c>
      <c r="K63" s="237" t="str">
        <f t="shared" si="0"/>
        <v>4063/4064</v>
      </c>
      <c r="L63" s="245" t="str">
        <f>VLOOKUP(A63,'Trips&amp;Operators'!$C$1:$G$99911,5,FALSE)</f>
        <v>BEAM ROSS</v>
      </c>
      <c r="M63" s="224">
        <f t="shared" si="1"/>
        <v>2.3888888892543036E-2</v>
      </c>
      <c r="N63" s="225">
        <f t="shared" si="29"/>
        <v>34.400000005261973</v>
      </c>
      <c r="O63" s="225"/>
      <c r="P63" s="225"/>
      <c r="Q63" s="228"/>
      <c r="R63" s="242"/>
      <c r="S63" s="249">
        <f t="shared" si="30"/>
        <v>1</v>
      </c>
      <c r="T63" s="242" t="str">
        <f t="shared" si="3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-06T08:40:25-0700',mode:absolute,to:'2017-12-06T11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3" s="247" t="str">
        <f>IF(AA63&lt;VLOOKUP(AG63,Variables!$AC$3:$AD$8,2,FALSE),"Y","N")</f>
        <v>N</v>
      </c>
      <c r="X63" s="247">
        <f t="shared" si="26"/>
        <v>1</v>
      </c>
      <c r="Y63" s="247">
        <f t="shared" si="27"/>
        <v>5.0599999999999999E-2</v>
      </c>
      <c r="Z63" s="247">
        <f t="shared" si="28"/>
        <v>23.329699999999999</v>
      </c>
      <c r="AA63" s="247">
        <f t="shared" si="8"/>
        <v>23.2791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9"/>
        <v>149</v>
      </c>
      <c r="AE63" s="235" t="str">
        <f t="shared" si="1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63" s="234" t="str">
        <f t="shared" si="11"/>
        <v>"C:\Program Files (x86)\AstroGrep\AstroGrep.exe" /e /r /s /spath="%USERPROFILE%\AppData\Local\Temp\OnboardLogs" /stypes="app*4064*20171206*" /stext=" 17:.+((SYSTEM_STATE.+slice.+state.+changed )|(ment ac)|(multiple cpu faults)|(system.+state.+changed )|(\[timeout)|(PRM\|1\|D)|(kpr)|(kdp)|(train st.+moving)|(\|lc)|(penalty))"</v>
      </c>
      <c r="AG63" s="244" t="str">
        <f t="shared" si="12"/>
        <v>EC</v>
      </c>
      <c r="AH63" s="236" t="str">
        <f t="shared" si="18"/>
        <v>"%USERPROFILE%\Documents\GitHub\eaglep3\Utilities\RefineRTDCRunTimes.py" --tripid 149-06 --locoid 4064 --swversion DE.1.0.9.0 --startMP 204:506 --initTime 2017-12-06T09:40:25 --startdatetime 2017-12-06T09:45:16 --delay 64 --endMP 204:233297 --enddatetime 2017-12-06T10:19:40 --enforcementcount 0 &gt;&gt;%USERPROFILE%\Documents\GitHub\eaglep3-reporting\EC\2017-12-06-refined-times.txt</v>
      </c>
      <c r="AI6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{"issue":{"subject":"","project_id":79,"tracker_id":40,"status_id":1,"priority_id":2,"assigned_to_id":338,"start_date":"2017-12-06","description":"","custom_fields":[{"id":1,"name":"Subdivision","value":"EC"},{"id":4,"name":"Milepost","value":"23.3297"},{"id":17,"name":"Train ID","value":"149-06"},{"id":16,"name":"Locomotive ID","value":"4064"},{"id":130,"name":"Impact","value":""},{"id":150,"name":"Time of Event (Mountain Time)","value":"10:19:40"},{"id":151,"name":"Denver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0"/>
        <v>start /low /b %USERPROFILE%\Documents\GitHub\eaglep3\Utilities\DownloadLogsFromS3.py --loco 4064 --day 2017-12-06</v>
      </c>
      <c r="AN6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2"/>
        <v>https://d0f6bd738d7f1b3e5a7ca70fe4ff75f0.us-east-1.aws.found.io/app/kibana#/discover/Steve-Slow-Train-Analysis-(2080s-and-2083s)?_g=(refreshInterval:(display:Off,pause:!f,section:0,value:0),time:(from:'2017-12-06T08:40:25-0700',mode:absolute,to:'2017-12-06T11:19:40-0700'))&amp;_a=(columns:!('Message%20ID',Summary),filters:!(),index:'emp_*',interval:auto,query:(query_string:(analyze_wildcard:!t,query:'%22rtdc.l.rtdc.4064%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743</v>
      </c>
      <c r="B64" s="225">
        <v>4063</v>
      </c>
      <c r="C64" s="227" t="s">
        <v>192</v>
      </c>
      <c r="D64" s="227" t="s">
        <v>932</v>
      </c>
      <c r="E64" s="226">
        <v>43075.431261574071</v>
      </c>
      <c r="F64" s="226">
        <v>43075.44604166667</v>
      </c>
      <c r="G64" s="225">
        <v>58</v>
      </c>
      <c r="H64" s="227" t="s">
        <v>933</v>
      </c>
      <c r="I64" s="226">
        <v>43075.471539351849</v>
      </c>
      <c r="J64" s="225">
        <v>0</v>
      </c>
      <c r="K64" s="237" t="str">
        <f t="shared" si="0"/>
        <v>4063/4064</v>
      </c>
      <c r="L64" s="245" t="str">
        <f>VLOOKUP(A64,'Trips&amp;Operators'!$C$1:$G$99911,5,FALSE)</f>
        <v>BEAM ROSS</v>
      </c>
      <c r="M64" s="224">
        <f t="shared" si="1"/>
        <v>2.5497685179288965E-2</v>
      </c>
      <c r="N64" s="225">
        <f t="shared" si="29"/>
        <v>36.716666658176109</v>
      </c>
      <c r="O64" s="225"/>
      <c r="P64" s="225"/>
      <c r="Q64" s="228"/>
      <c r="R64" s="242"/>
      <c r="S64" s="249">
        <f t="shared" si="30"/>
        <v>1</v>
      </c>
      <c r="T64" s="242" t="str">
        <f t="shared" si="3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-06T09:21:01-0700',mode:absolute,to:'2017-12-06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4" s="247" t="str">
        <f>IF(AA64&lt;VLOOKUP(AG64,Variables!$AC$3:$AD$8,2,FALSE),"Y","N")</f>
        <v>N</v>
      </c>
      <c r="X64" s="247">
        <f t="shared" si="26"/>
        <v>1</v>
      </c>
      <c r="Y64" s="247">
        <f t="shared" si="27"/>
        <v>23.297999999999998</v>
      </c>
      <c r="Z64" s="247">
        <f t="shared" si="28"/>
        <v>1.8499999999999999E-2</v>
      </c>
      <c r="AA64" s="247">
        <f t="shared" si="8"/>
        <v>23.279499999999999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9"/>
        <v>150</v>
      </c>
      <c r="AE64" s="235" t="str">
        <f t="shared" si="1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64" s="234" t="str">
        <f t="shared" si="11"/>
        <v>"C:\Program Files (x86)\AstroGrep\AstroGrep.exe" /e /r /s /spath="%USERPROFILE%\AppData\Local\Temp\OnboardLogs" /stypes="app*4063*20171206*" /stext=" 18:.+((SYSTEM_STATE.+slice.+state.+changed )|(ment ac)|(multiple cpu faults)|(system.+state.+changed )|(\[timeout)|(PRM\|1\|D)|(kpr)|(kdp)|(train st.+moving)|(\|lc)|(penalty))"</v>
      </c>
      <c r="AG64" s="244" t="str">
        <f t="shared" si="12"/>
        <v>EC</v>
      </c>
      <c r="AH64" s="236" t="str">
        <f t="shared" si="18"/>
        <v>"%USERPROFILE%\Documents\GitHub\eaglep3\Utilities\RefineRTDCRunTimes.py" --tripid 150-06 --locoid 4063 --swversion DE.1.0.9.0 --startMP 204:232980 --initTime 2017-12-06T10:21:01 --startdatetime 2017-12-06T10:42:18 --delay 58 --endMP 204:185 --enddatetime 2017-12-06T11:19:01 --enforcementcount 0 &gt;&gt;%USERPROFILE%\Documents\GitHub\eaglep3-reporting\EC\2017-12-06-refined-times.txt</v>
      </c>
      <c r="AI6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{"issue":{"subject":"","project_id":79,"tracker_id":40,"status_id":1,"priority_id":2,"assigned_to_id":338,"start_date":"2017-12-06","description":"","custom_fields":[{"id":1,"name":"Subdivision","value":"EC"},{"id":4,"name":"Milepost","value":"0.0185"},{"id":17,"name":"Train ID","value":"150-06"},{"id":16,"name":"Locomotive ID","value":"4063"},{"id":130,"name":"Impact","value":""},{"id":150,"name":"Time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0"/>
        <v>start /low /b %USERPROFILE%\Documents\GitHub\eaglep3\Utilities\DownloadLogsFromS3.py --loco 4063 --day 2017-12-06</v>
      </c>
      <c r="AN6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2"/>
        <v>https://d0f6bd738d7f1b3e5a7ca70fe4ff75f0.us-east-1.aws.found.io/app/kibana#/discover/Steve-Slow-Train-Analysis-(2080s-and-2083s)?_g=(refreshInterval:(display:Off,pause:!f,section:0,value:0),time:(from:'2017-12-06T09:21:01-0700',mode:absolute,to:'2017-12-06T12:19:01-0700'))&amp;_a=(columns:!('Message%20ID',Summary),filters:!(),index:'emp_*',interval:auto,query:(query_string:(analyze_wildcard:!t,query:'%22rtdc.l.rtdc.4063%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737</v>
      </c>
      <c r="B65" s="225">
        <v>4042</v>
      </c>
      <c r="C65" s="227" t="s">
        <v>192</v>
      </c>
      <c r="D65" s="227" t="s">
        <v>934</v>
      </c>
      <c r="E65" s="226">
        <v>43075.411666666667</v>
      </c>
      <c r="F65" s="226">
        <v>43075.417118055557</v>
      </c>
      <c r="G65" s="225">
        <v>49</v>
      </c>
      <c r="H65" s="227" t="s">
        <v>935</v>
      </c>
      <c r="I65" s="226">
        <v>43075.441261574073</v>
      </c>
      <c r="J65" s="225">
        <v>0</v>
      </c>
      <c r="K65" s="237" t="str">
        <f t="shared" si="0"/>
        <v>4041/4042</v>
      </c>
      <c r="L65" s="245" t="str">
        <f>VLOOKUP(A65,'Trips&amp;Operators'!$C$1:$G$99911,5,FALSE)</f>
        <v>LOPES KIMBERLY</v>
      </c>
      <c r="M65" s="224">
        <f t="shared" si="1"/>
        <v>2.414351851621177E-2</v>
      </c>
      <c r="N65" s="225">
        <f t="shared" si="29"/>
        <v>34.766666663344949</v>
      </c>
      <c r="O65" s="225"/>
      <c r="P65" s="225"/>
      <c r="Q65" s="228"/>
      <c r="R65" s="242"/>
      <c r="S65" s="249">
        <f t="shared" si="30"/>
        <v>1</v>
      </c>
      <c r="T65" s="242" t="str">
        <f t="shared" si="3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-06T08:52:48-0700',mode:absolute,to:'2017-12-06T11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47" t="str">
        <f>IF(AA65&lt;VLOOKUP(AG65,Variables!$AC$3:$AD$8,2,FALSE),"Y","N")</f>
        <v>N</v>
      </c>
      <c r="X65" s="247">
        <f t="shared" si="26"/>
        <v>1</v>
      </c>
      <c r="Y65" s="247">
        <f t="shared" si="27"/>
        <v>4.9700000000000001E-2</v>
      </c>
      <c r="Z65" s="247">
        <f t="shared" si="28"/>
        <v>23.330400000000001</v>
      </c>
      <c r="AA65" s="247">
        <f t="shared" si="8"/>
        <v>23.2807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9"/>
        <v>151</v>
      </c>
      <c r="AE65" s="235" t="str">
        <f t="shared" si="1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65" s="234" t="str">
        <f t="shared" si="11"/>
        <v>"C:\Program Files (x86)\AstroGrep\AstroGrep.exe" /e /r /s /spath="%USERPROFILE%\AppData\Local\Temp\OnboardLogs" /stypes="app*4042*20171206*" /stext=" 17:.+((SYSTEM_STATE.+slice.+state.+changed )|(ment ac)|(multiple cpu faults)|(system.+state.+changed )|(\[timeout)|(PRM\|1\|D)|(kpr)|(kdp)|(train st.+moving)|(\|lc)|(penalty))"</v>
      </c>
      <c r="AG65" s="244" t="str">
        <f t="shared" si="12"/>
        <v>EC</v>
      </c>
      <c r="AH65" s="236" t="str">
        <f t="shared" si="18"/>
        <v>"%USERPROFILE%\Documents\GitHub\eaglep3\Utilities\RefineRTDCRunTimes.py" --tripid 151-06 --locoid 4042 --swversion DE.1.0.9.0 --startMP 204:497 --initTime 2017-12-06T09:52:48 --startdatetime 2017-12-06T10:00:39 --delay 49 --endMP 204:233304 --enddatetime 2017-12-06T10:35:25 --enforcementcount 0 &gt;&gt;%USERPROFILE%\Documents\GitHub\eaglep3-reporting\EC\2017-12-06-refined-times.txt</v>
      </c>
      <c r="AI6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{"issue":{"subject":"","project_id":79,"tracker_id":40,"status_id":1,"priority_id":2,"assigned_to_id":338,"start_date":"2017-12-06","description":"","custom_fields":[{"id":1,"name":"Subdivision","value":"EC"},{"id":4,"name":"Milepost","value":"23.3304"},{"id":17,"name":"Train ID","value":"151-06"},{"id":16,"name":"Locomotive ID","value":"4042"},{"id":130,"name":"Impact","value":""},{"id":150,"name":"Time of Event (Mountain Time)","value":"10:35:25"},{"id":151,"name":"Denver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0"/>
        <v>start /low /b %USERPROFILE%\Documents\GitHub\eaglep3\Utilities\DownloadLogsFromS3.py --loco 4042 --day 2017-12-06</v>
      </c>
      <c r="AN6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2"/>
        <v>https://d0f6bd738d7f1b3e5a7ca70fe4ff75f0.us-east-1.aws.found.io/app/kibana#/discover/Steve-Slow-Train-Analysis-(2080s-and-2083s)?_g=(refreshInterval:(display:Off,pause:!f,section:0,value:0),time:(from:'2017-12-06T08:52:48-0700',mode:absolute,to:'2017-12-06T11:35:25-0700'))&amp;_a=(columns:!('Message%20ID',Summary),filters:!(),index:'emp_*',interval:auto,query:(query_string:(analyze_wildcard:!t,query:'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747</v>
      </c>
      <c r="B66" s="225">
        <v>4041</v>
      </c>
      <c r="C66" s="227" t="s">
        <v>192</v>
      </c>
      <c r="D66" s="227" t="s">
        <v>901</v>
      </c>
      <c r="E66" s="226">
        <v>43075.451168981483</v>
      </c>
      <c r="F66" s="226">
        <v>43075.456435185188</v>
      </c>
      <c r="G66" s="225">
        <v>51</v>
      </c>
      <c r="H66" s="227" t="s">
        <v>936</v>
      </c>
      <c r="I66" s="226">
        <v>43075.482129629629</v>
      </c>
      <c r="J66" s="225">
        <v>0</v>
      </c>
      <c r="K66" s="237" t="str">
        <f t="shared" si="0"/>
        <v>4041/4042</v>
      </c>
      <c r="L66" s="245" t="str">
        <f>VLOOKUP(A66,'Trips&amp;Operators'!$C$1:$G$99911,5,FALSE)</f>
        <v>LOPES KIMBERLY</v>
      </c>
      <c r="M66" s="224">
        <f t="shared" si="1"/>
        <v>2.569444444088731E-2</v>
      </c>
      <c r="N66" s="225">
        <f t="shared" si="29"/>
        <v>36.999999994877726</v>
      </c>
      <c r="O66" s="225"/>
      <c r="P66" s="225"/>
      <c r="Q66" s="228"/>
      <c r="R66" s="242"/>
      <c r="S66" s="249">
        <f t="shared" si="30"/>
        <v>1</v>
      </c>
      <c r="T66" s="242" t="str">
        <f t="shared" si="3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-06T09:49:41-0700',mode:absolute,to:'2017-12-06T12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47" t="str">
        <f>IF(AA66&lt;VLOOKUP(AG66,Variables!$AC$3:$AD$8,2,FALSE),"Y","N")</f>
        <v>N</v>
      </c>
      <c r="X66" s="247">
        <f t="shared" si="26"/>
        <v>1</v>
      </c>
      <c r="Y66" s="247">
        <f t="shared" si="27"/>
        <v>23.299800000000001</v>
      </c>
      <c r="Z66" s="247">
        <f t="shared" si="28"/>
        <v>1.9599999999999999E-2</v>
      </c>
      <c r="AA66" s="247">
        <f t="shared" si="8"/>
        <v>23.280200000000001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9"/>
        <v>152</v>
      </c>
      <c r="AE66" s="235" t="str">
        <f t="shared" si="1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66" s="234" t="str">
        <f t="shared" si="11"/>
        <v>"C:\Program Files (x86)\AstroGrep\AstroGrep.exe" /e /r /s /spath="%USERPROFILE%\AppData\Local\Temp\OnboardLogs" /stypes="app*4041*20171206*" /stext=" 18:.+((SYSTEM_STATE.+slice.+state.+changed )|(ment ac)|(multiple cpu faults)|(system.+state.+changed )|(\[timeout)|(PRM\|1\|D)|(kpr)|(kdp)|(train st.+moving)|(\|lc)|(penalty))"</v>
      </c>
      <c r="AG66" s="244" t="str">
        <f t="shared" si="12"/>
        <v>EC</v>
      </c>
      <c r="AH66" s="236" t="str">
        <f t="shared" si="18"/>
        <v>"%USERPROFILE%\Documents\GitHub\eaglep3\Utilities\RefineRTDCRunTimes.py" --tripid 152-06 --locoid 4041 --swversion DE.1.0.9.0 --startMP 204:232998 --initTime 2017-12-06T10:49:41 --startdatetime 2017-12-06T10:57:16 --delay 51 --endMP 204:196 --enddatetime 2017-12-06T11:34:16 --enforcementcount 0 &gt;&gt;%USERPROFILE%\Documents\GitHub\eaglep3-reporting\EC\2017-12-06-refined-times.txt</v>
      </c>
      <c r="AI6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{"issue":{"subject":"","project_id":79,"tracker_id":40,"status_id":1,"priority_id":2,"assigned_to_id":338,"start_date":"2017-12-06","description":"","custom_fields":[{"id":1,"name":"Subdivision","value":"EC"},{"id":4,"name":"Milepost","value":"0.0196"},{"id":17,"name":"Train ID","value":"152-06"},{"id":16,"name":"Locomotive ID","value":"4041"},{"id":130,"name":"Impact","value":""},{"id":150,"name":"Time of Event (Mountain Time)","value":"11:34:16"},{"id":151,"name":"Denver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0"/>
        <v>start /low /b %USERPROFILE%\Documents\GitHub\eaglep3\Utilities\DownloadLogsFromS3.py --loco 4041 --day 2017-12-06</v>
      </c>
      <c r="AN6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2"/>
        <v>https://d0f6bd738d7f1b3e5a7ca70fe4ff75f0.us-east-1.aws.found.io/app/kibana#/discover/Steve-Slow-Train-Analysis-(2080s-and-2083s)?_g=(refreshInterval:(display:Off,pause:!f,section:0,value:0),time:(from:'2017-12-06T09:49:41-0700',mode:absolute,to:'2017-12-06T12:34:16-0700'))&amp;_a=(columns:!('Message%20ID',Summary),filters:!(),index:'emp_*',interval:auto,query:(query_string:(analyze_wildcard:!t,query:'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742</v>
      </c>
      <c r="B67" s="225">
        <v>4008</v>
      </c>
      <c r="C67" s="227" t="s">
        <v>192</v>
      </c>
      <c r="D67" s="227" t="s">
        <v>415</v>
      </c>
      <c r="E67" s="226">
        <v>43075.425509259258</v>
      </c>
      <c r="F67" s="226">
        <v>43075.427453703705</v>
      </c>
      <c r="G67" s="225">
        <v>61</v>
      </c>
      <c r="H67" s="227" t="s">
        <v>937</v>
      </c>
      <c r="I67" s="226">
        <v>43075.45140046296</v>
      </c>
      <c r="J67" s="225">
        <v>0</v>
      </c>
      <c r="K67" s="237" t="str">
        <f t="shared" si="0"/>
        <v>4007/4008</v>
      </c>
      <c r="L67" s="245" t="str">
        <f>VLOOKUP(A67,'Trips&amp;Operators'!$C$1:$G$99911,5,FALSE)</f>
        <v>LAMAR NEKESHA</v>
      </c>
      <c r="M67" s="224">
        <f t="shared" si="1"/>
        <v>2.3946759254613426E-2</v>
      </c>
      <c r="N67" s="225">
        <f t="shared" si="29"/>
        <v>34.483333326643333</v>
      </c>
      <c r="O67" s="225"/>
      <c r="P67" s="225"/>
      <c r="Q67" s="228"/>
      <c r="R67" s="242"/>
      <c r="S67" s="249">
        <f t="shared" si="30"/>
        <v>1</v>
      </c>
      <c r="T67" s="242" t="str">
        <f t="shared" si="3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-06T09:12:44-0700',mode:absolute,to:'2017-12-06T11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247" t="str">
        <f>IF(AA67&lt;VLOOKUP(AG67,Variables!$AC$3:$AD$8,2,FALSE),"Y","N")</f>
        <v>N</v>
      </c>
      <c r="X67" s="247">
        <f t="shared" si="26"/>
        <v>1</v>
      </c>
      <c r="Y67" s="247">
        <f t="shared" si="27"/>
        <v>5.0799999999999998E-2</v>
      </c>
      <c r="Z67" s="247">
        <f t="shared" si="28"/>
        <v>23.332999999999998</v>
      </c>
      <c r="AA67" s="247">
        <f t="shared" si="8"/>
        <v>23.2822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9"/>
        <v>153</v>
      </c>
      <c r="AE67" s="235" t="str">
        <f t="shared" si="1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67" s="234" t="str">
        <f t="shared" si="11"/>
        <v>"C:\Program Files (x86)\AstroGrep\AstroGrep.exe" /e /r /s /spath="%USERPROFILE%\AppData\Local\Temp\OnboardLogs" /stypes="app*4008*20171206*" /stext=" 17:.+((SYSTEM_STATE.+slice.+state.+changed )|(ment ac)|(multiple cpu faults)|(system.+state.+changed )|(\[timeout)|(PRM\|1\|D)|(kpr)|(kdp)|(train st.+moving)|(\|lc)|(penalty))"</v>
      </c>
      <c r="AG67" s="244" t="str">
        <f t="shared" si="12"/>
        <v>EC</v>
      </c>
      <c r="AH67" s="236" t="str">
        <f t="shared" si="18"/>
        <v>"%USERPROFILE%\Documents\GitHub\eaglep3\Utilities\RefineRTDCRunTimes.py" --tripid 153-06 --locoid 4008 --swversion DE.1.0.9.0 --startMP 204:508 --initTime 2017-12-06T10:12:44 --startdatetime 2017-12-06T10:15:32 --delay 61 --endMP 204:233330 --enddatetime 2017-12-06T10:50:01 --enforcementcount 0 &gt;&gt;%USERPROFILE%\Documents\GitHub\eaglep3-reporting\EC\2017-12-06-refined-times.txt</v>
      </c>
      <c r="AI6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{"issue":{"subject":"","project_id":79,"tracker_id":40,"status_id":1,"priority_id":2,"assigned_to_id":338,"start_date":"2017-12-06","description":"","custom_fields":[{"id":1,"name":"Subdivision","value":"EC"},{"id":4,"name":"Milepost","value":"23.333"},{"id":17,"name":"Train ID","value":"153-06"},{"id":16,"name":"Locomotive ID","value":"4008"},{"id":130,"name":"Impact","value":""},{"id":150,"name":"Time of Event (Mountain Time)","value":"10:50:01"},{"id":151,"name":"Denver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0"/>
        <v>start /low /b %USERPROFILE%\Documents\GitHub\eaglep3\Utilities\DownloadLogsFromS3.py --loco 4008 --day 2017-12-06</v>
      </c>
      <c r="AN6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2"/>
        <v>https://d0f6bd738d7f1b3e5a7ca70fe4ff75f0.us-east-1.aws.found.io/app/kibana#/discover/Steve-Slow-Train-Analysis-(2080s-and-2083s)?_g=(refreshInterval:(display:Off,pause:!f,section:0,value:0),time:(from:'2017-12-06T09:12:44-0700',mode:absolute,to:'2017-12-06T11:50:01-0700'))&amp;_a=(columns:!('Message%20ID',Summary),filters:!(),index:'emp_*',interval:auto,query:(query_string:(analyze_wildcard:!t,query:'%22rtdc.l.rtdc.4008%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751</v>
      </c>
      <c r="B68" s="225">
        <v>4007</v>
      </c>
      <c r="C68" s="227" t="s">
        <v>192</v>
      </c>
      <c r="D68" s="227" t="s">
        <v>938</v>
      </c>
      <c r="E68" s="226">
        <v>43075.465405092589</v>
      </c>
      <c r="F68" s="226">
        <v>43075.467094907406</v>
      </c>
      <c r="G68" s="225">
        <v>97</v>
      </c>
      <c r="H68" s="227" t="s">
        <v>488</v>
      </c>
      <c r="I68" s="226">
        <v>43075.493055555555</v>
      </c>
      <c r="J68" s="225">
        <v>0</v>
      </c>
      <c r="K68" s="237" t="str">
        <f t="shared" si="0"/>
        <v>4007/4008</v>
      </c>
      <c r="L68" s="245" t="str">
        <f>VLOOKUP(A68,'Trips&amp;Operators'!$C$1:$G$99911,5,FALSE)</f>
        <v>LAMAR NEKESHA</v>
      </c>
      <c r="M68" s="224">
        <f t="shared" si="1"/>
        <v>2.5960648148611654E-2</v>
      </c>
      <c r="N68" s="225">
        <f t="shared" si="29"/>
        <v>37.383333334000781</v>
      </c>
      <c r="O68" s="225"/>
      <c r="P68" s="225"/>
      <c r="Q68" s="228"/>
      <c r="R68" s="242"/>
      <c r="S68" s="249">
        <f t="shared" si="30"/>
        <v>1</v>
      </c>
      <c r="T68" s="242" t="str">
        <f t="shared" si="3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-06T10:10:11-0700',mode:absolute,to:'2017-12-06T12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247" t="str">
        <f>IF(AA68&lt;VLOOKUP(AG68,Variables!$AC$3:$AD$8,2,FALSE),"Y","N")</f>
        <v>N</v>
      </c>
      <c r="X68" s="247">
        <f t="shared" si="26"/>
        <v>1</v>
      </c>
      <c r="Y68" s="247">
        <f t="shared" si="27"/>
        <v>23.3001</v>
      </c>
      <c r="Z68" s="247">
        <f t="shared" si="28"/>
        <v>1.7000000000000001E-2</v>
      </c>
      <c r="AA68" s="247">
        <f t="shared" si="8"/>
        <v>23.283100000000001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9"/>
        <v>154</v>
      </c>
      <c r="AE68" s="235" t="str">
        <f t="shared" si="1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68" s="234" t="str">
        <f t="shared" si="11"/>
        <v>"C:\Program Files (x86)\AstroGrep\AstroGrep.exe" /e /r /s /spath="%USERPROFILE%\AppData\Local\Temp\OnboardLogs" /stypes="app*4007*20171206*" /stext=" 18:.+((SYSTEM_STATE.+slice.+state.+changed )|(ment ac)|(multiple cpu faults)|(system.+state.+changed )|(\[timeout)|(PRM\|1\|D)|(kpr)|(kdp)|(train st.+moving)|(\|lc)|(penalty))"</v>
      </c>
      <c r="AG68" s="244" t="str">
        <f t="shared" si="12"/>
        <v>EC</v>
      </c>
      <c r="AH68" s="236" t="str">
        <f t="shared" si="18"/>
        <v>"%USERPROFILE%\Documents\GitHub\eaglep3\Utilities\RefineRTDCRunTimes.py" --tripid 154-06 --locoid 4007 --swversion DE.1.0.9.0 --startMP 204:233001 --initTime 2017-12-06T11:10:11 --startdatetime 2017-12-06T11:12:37 --delay 97 --endMP 204:170 --enddatetime 2017-12-06T11:50:00 --enforcementcount 0 &gt;&gt;%USERPROFILE%\Documents\GitHub\eaglep3-reporting\EC\2017-12-06-refined-times.txt</v>
      </c>
      <c r="AI68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{"issue":{"subject":"","project_id":79,"tracker_id":40,"status_id":1,"priority_id":2,"assigned_to_id":338,"start_date":"2017-12-06","description":"","custom_fields":[{"id":1,"name":"Subdivision","value":"EC"},{"id":4,"name":"Milepost","value":"0.017"},{"id":17,"name":"Train ID","value":"154-06"},{"id":16,"name":"Locomotive ID","value":"4007"},{"id":130,"name":"Impact","value":""},{"id":150,"name":"Time of Event (Mountain Time)","value":"11:50:00"},{"id":151,"name":"Denver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0"/>
        <v>start /low /b %USERPROFILE%\Documents\GitHub\eaglep3\Utilities\DownloadLogsFromS3.py --loco 4007 --day 2017-12-06</v>
      </c>
      <c r="AN68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2"/>
        <v>https://d0f6bd738d7f1b3e5a7ca70fe4ff75f0.us-east-1.aws.found.io/app/kibana#/discover/Steve-Slow-Train-Analysis-(2080s-and-2083s)?_g=(refreshInterval:(display:Off,pause:!f,section:0,value:0),time:(from:'2017-12-06T10:10:11-0700',mode:absolute,to:'2017-12-06T12:50:00-0700'))&amp;_a=(columns:!('Message%20ID',Summary),filters:!(),index:'emp_*',interval:auto,query:(query_string:(analyze_wildcard:!t,query:'%22rtdc.l.rtdc.4007%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745</v>
      </c>
      <c r="B69" s="225">
        <v>4034</v>
      </c>
      <c r="C69" s="227" t="s">
        <v>192</v>
      </c>
      <c r="D69" s="227" t="s">
        <v>915</v>
      </c>
      <c r="E69" s="226">
        <v>43075.434571759259</v>
      </c>
      <c r="F69" s="226">
        <v>43075.437662037039</v>
      </c>
      <c r="G69" s="225">
        <v>47</v>
      </c>
      <c r="H69" s="227" t="s">
        <v>939</v>
      </c>
      <c r="I69" s="226">
        <v>43075.462326388886</v>
      </c>
      <c r="J69" s="225">
        <v>0</v>
      </c>
      <c r="K69" s="237" t="str">
        <f t="shared" si="0"/>
        <v>4033/4034</v>
      </c>
      <c r="L69" s="245" t="str">
        <f>VLOOKUP(A69,'Trips&amp;Operators'!$C$1:$G$99911,5,FALSE)</f>
        <v>YANAI IAN</v>
      </c>
      <c r="M69" s="224">
        <f t="shared" si="1"/>
        <v>2.4664351847604848E-2</v>
      </c>
      <c r="N69" s="225">
        <f t="shared" si="29"/>
        <v>35.516666660550982</v>
      </c>
      <c r="O69" s="225"/>
      <c r="P69" s="225"/>
      <c r="Q69" s="228"/>
      <c r="R69" s="242"/>
      <c r="S69" s="249">
        <f t="shared" si="30"/>
        <v>1</v>
      </c>
      <c r="T69" s="242" t="str">
        <f t="shared" si="3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-06T09:25:47-0700',mode:absolute,to:'2017-12-06T12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9" s="247" t="str">
        <f>IF(AA69&lt;VLOOKUP(AG69,Variables!$AC$3:$AD$8,2,FALSE),"Y","N")</f>
        <v>N</v>
      </c>
      <c r="X69" s="247">
        <f t="shared" si="26"/>
        <v>1</v>
      </c>
      <c r="Y69" s="247">
        <f t="shared" si="27"/>
        <v>4.53E-2</v>
      </c>
      <c r="Z69" s="247">
        <f t="shared" si="28"/>
        <v>23.3323</v>
      </c>
      <c r="AA69" s="247">
        <f t="shared" si="8"/>
        <v>23.286999999999999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9"/>
        <v>155</v>
      </c>
      <c r="AE69" s="235" t="str">
        <f t="shared" si="1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69" s="234" t="str">
        <f t="shared" si="11"/>
        <v>"C:\Program Files (x86)\AstroGrep\AstroGrep.exe" /e /r /s /spath="%USERPROFILE%\AppData\Local\Temp\OnboardLogs" /stypes="app*4034*20171206*" /stext=" 18:.+((SYSTEM_STATE.+slice.+state.+changed )|(ment ac)|(multiple cpu faults)|(system.+state.+changed )|(\[timeout)|(PRM\|1\|D)|(kpr)|(kdp)|(train st.+moving)|(\|lc)|(penalty))"</v>
      </c>
      <c r="AG69" s="244" t="str">
        <f t="shared" si="12"/>
        <v>EC</v>
      </c>
      <c r="AH69" s="236" t="str">
        <f t="shared" si="18"/>
        <v>"%USERPROFILE%\Documents\GitHub\eaglep3\Utilities\RefineRTDCRunTimes.py" --tripid 155-06 --locoid 4034 --swversion DE.1.0.9.0 --startMP 204:453 --initTime 2017-12-06T10:25:47 --startdatetime 2017-12-06T10:30:14 --delay 47 --endMP 204:233323 --enddatetime 2017-12-06T11:05:45 --enforcementcount 0 &gt;&gt;%USERPROFILE%\Documents\GitHub\eaglep3-reporting\EC\2017-12-06-refined-times.txt</v>
      </c>
      <c r="AI69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{"issue":{"subject":"","project_id":79,"tracker_id":40,"status_id":1,"priority_id":2,"assigned_to_id":338,"start_date":"2017-12-06","description":"","custom_fields":[{"id":1,"name":"Subdivision","value":"EC"},{"id":4,"name":"Milepost","value":"23.3323"},{"id":17,"name":"Train ID","value":"155-06"},{"id":16,"name":"Locomotive ID","value":"4034"},{"id":130,"name":"Impact","value":""},{"id":150,"name":"Time of Event (Mountain Time)","value":"11:05:45"},{"id":151,"name":"Denver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0"/>
        <v>start /low /b %USERPROFILE%\Documents\GitHub\eaglep3\Utilities\DownloadLogsFromS3.py --loco 4034 --day 2017-12-06</v>
      </c>
      <c r="AN69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2"/>
        <v>https://d0f6bd738d7f1b3e5a7ca70fe4ff75f0.us-east-1.aws.found.io/app/kibana#/discover/Steve-Slow-Train-Analysis-(2080s-and-2083s)?_g=(refreshInterval:(display:Off,pause:!f,section:0,value:0),time:(from:'2017-12-06T09:25:47-0700',mode:absolute,to:'2017-12-06T12:05:45-0700'))&amp;_a=(columns:!('Message%20ID',Summary),filters:!(),index:'emp_*',interval:auto,query:(query_string:(analyze_wildcard:!t,query:'%22rtdc.l.rtdc.4034%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750</v>
      </c>
      <c r="B70" s="225">
        <v>4033</v>
      </c>
      <c r="C70" s="227" t="s">
        <v>192</v>
      </c>
      <c r="D70" s="227" t="s">
        <v>901</v>
      </c>
      <c r="E70" s="226">
        <v>43075.463321759256</v>
      </c>
      <c r="F70" s="226">
        <v>43075.477372685185</v>
      </c>
      <c r="G70" s="225">
        <v>51</v>
      </c>
      <c r="H70" s="227" t="s">
        <v>497</v>
      </c>
      <c r="I70" s="226">
        <v>43075.502951388888</v>
      </c>
      <c r="J70" s="225">
        <v>0</v>
      </c>
      <c r="K70" s="237" t="str">
        <f t="shared" si="0"/>
        <v>4033/4034</v>
      </c>
      <c r="L70" s="245" t="str">
        <f>VLOOKUP(A70,'Trips&amp;Operators'!$C$1:$G$99911,5,FALSE)</f>
        <v>YANAI IAN</v>
      </c>
      <c r="M70" s="224">
        <f t="shared" si="1"/>
        <v>2.5578703702194616E-2</v>
      </c>
      <c r="N70" s="225">
        <f t="shared" si="29"/>
        <v>36.833333331160247</v>
      </c>
      <c r="O70" s="225"/>
      <c r="P70" s="225"/>
      <c r="Q70" s="228"/>
      <c r="R70" s="242"/>
      <c r="S70" s="249">
        <f t="shared" si="30"/>
        <v>1</v>
      </c>
      <c r="T70" s="242" t="str">
        <f t="shared" si="3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-06T10:07:11-0700',mode:absolute,to:'2017-12-06T13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0" s="247" t="str">
        <f>IF(AA70&lt;VLOOKUP(AG70,Variables!$AC$3:$AD$8,2,FALSE),"Y","N")</f>
        <v>N</v>
      </c>
      <c r="X70" s="247">
        <f t="shared" si="26"/>
        <v>1</v>
      </c>
      <c r="Y70" s="247">
        <f t="shared" si="27"/>
        <v>23.299800000000001</v>
      </c>
      <c r="Z70" s="247">
        <f t="shared" si="28"/>
        <v>1.4999999999999999E-2</v>
      </c>
      <c r="AA70" s="247">
        <f t="shared" si="8"/>
        <v>23.284800000000001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9"/>
        <v>156</v>
      </c>
      <c r="AE70" s="235" t="str">
        <f t="shared" si="1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70" s="234" t="str">
        <f t="shared" si="11"/>
        <v>"C:\Program Files (x86)\AstroGrep\AstroGrep.exe" /e /r /s /spath="%USERPROFILE%\AppData\Local\Temp\OnboardLogs" /stypes="app*4033*20171206*" /stext=" 19:.+((SYSTEM_STATE.+slice.+state.+changed )|(ment ac)|(multiple cpu faults)|(system.+state.+changed )|(\[timeout)|(PRM\|1\|D)|(kpr)|(kdp)|(train st.+moving)|(\|lc)|(penalty))"</v>
      </c>
      <c r="AG70" s="244" t="str">
        <f t="shared" si="12"/>
        <v>EC</v>
      </c>
      <c r="AH70" s="236" t="str">
        <f t="shared" si="18"/>
        <v>"%USERPROFILE%\Documents\GitHub\eaglep3\Utilities\RefineRTDCRunTimes.py" --tripid 156-06 --locoid 4033 --swversion DE.1.0.9.0 --startMP 204:232998 --initTime 2017-12-06T11:07:11 --startdatetime 2017-12-06T11:27:25 --delay 51 --endMP 204:150 --enddatetime 2017-12-06T12:04:15 --enforcementcount 0 &gt;&gt;%USERPROFILE%\Documents\GitHub\eaglep3-reporting\EC\2017-12-06-refined-times.txt</v>
      </c>
      <c r="AI70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{"issue":{"subject":"","project_id":79,"tracker_id":40,"status_id":1,"priority_id":2,"assigned_to_id":338,"start_date":"2017-12-06","description":"","custom_fields":[{"id":1,"name":"Subdivision","value":"EC"},{"id":4,"name":"Milepost","value":"0.015"},{"id":17,"name":"Train ID","value":"156-06"},{"id":16,"name":"Locomotive ID","value":"4033"},{"id":130,"name":"Impact","value":""},{"id":150,"name":"Time of Event (Mountain Time)","value":"12:04:15"},{"id":151,"name":"Denver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0"/>
        <v>start /low /b %USERPROFILE%\Documents\GitHub\eaglep3\Utilities\DownloadLogsFromS3.py --loco 4033 --day 2017-12-06</v>
      </c>
      <c r="AN70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2"/>
        <v>https://d0f6bd738d7f1b3e5a7ca70fe4ff75f0.us-east-1.aws.found.io/app/kibana#/discover/Steve-Slow-Train-Analysis-(2080s-and-2083s)?_g=(refreshInterval:(display:Off,pause:!f,section:0,value:0),time:(from:'2017-12-06T10:07:11-0700',mode:absolute,to:'2017-12-06T13:04:15-0700'))&amp;_a=(columns:!('Message%20ID',Summary),filters:!(),index:'emp_*',interval:auto,query:(query_string:(analyze_wildcard:!t,query:'%22rtdc.l.rtdc.4033%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746</v>
      </c>
      <c r="B71" s="225">
        <v>4010</v>
      </c>
      <c r="C71" s="227" t="s">
        <v>192</v>
      </c>
      <c r="D71" s="227" t="s">
        <v>940</v>
      </c>
      <c r="E71" s="226">
        <v>43075.442685185182</v>
      </c>
      <c r="F71" s="226">
        <v>43075.448263888888</v>
      </c>
      <c r="G71" s="225">
        <v>172</v>
      </c>
      <c r="H71" s="227" t="s">
        <v>583</v>
      </c>
      <c r="I71" s="226">
        <v>43075.473819444444</v>
      </c>
      <c r="J71" s="225">
        <v>0</v>
      </c>
      <c r="K71" s="237" t="str">
        <f t="shared" si="0"/>
        <v>4009/4010</v>
      </c>
      <c r="L71" s="245" t="str">
        <f>VLOOKUP(A71,'Trips&amp;Operators'!$C$1:$G$99911,5,FALSE)</f>
        <v>DAVIS MICHAEL</v>
      </c>
      <c r="M71" s="224">
        <f t="shared" si="1"/>
        <v>2.5555555555911269E-2</v>
      </c>
      <c r="N71" s="225">
        <f t="shared" si="29"/>
        <v>36.800000000512227</v>
      </c>
      <c r="O71" s="225"/>
      <c r="P71" s="225"/>
      <c r="Q71" s="228"/>
      <c r="R71" s="242"/>
      <c r="S71" s="249">
        <f t="shared" si="30"/>
        <v>1</v>
      </c>
      <c r="T71" s="242" t="str">
        <f t="shared" si="3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-06T09:37:28-0700',mode:absolute,to:'2017-12-06T12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247" t="str">
        <f>IF(AA71&lt;VLOOKUP(AG71,Variables!$AC$3:$AD$8,2,FALSE),"Y","N")</f>
        <v>N</v>
      </c>
      <c r="X71" s="247">
        <f t="shared" si="26"/>
        <v>1</v>
      </c>
      <c r="Y71" s="247">
        <f t="shared" si="27"/>
        <v>4.5100000000000001E-2</v>
      </c>
      <c r="Z71" s="247">
        <f t="shared" si="28"/>
        <v>23.332799999999999</v>
      </c>
      <c r="AA71" s="247">
        <f t="shared" si="8"/>
        <v>23.287699999999997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9"/>
        <v>157</v>
      </c>
      <c r="AE71" s="235" t="str">
        <f t="shared" si="1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71" s="234" t="str">
        <f t="shared" si="11"/>
        <v>"C:\Program Files (x86)\AstroGrep\AstroGrep.exe" /e /r /s /spath="%USERPROFILE%\AppData\Local\Temp\OnboardLogs" /stypes="app*4010*20171206*" /stext=" 18:.+((SYSTEM_STATE.+slice.+state.+changed )|(ment ac)|(multiple cpu faults)|(system.+state.+changed )|(\[timeout)|(PRM\|1\|D)|(kpr)|(kdp)|(train st.+moving)|(\|lc)|(penalty))"</v>
      </c>
      <c r="AG71" s="244" t="str">
        <f t="shared" si="12"/>
        <v>EC</v>
      </c>
      <c r="AH71" s="236" t="str">
        <f t="shared" si="18"/>
        <v>"%USERPROFILE%\Documents\GitHub\eaglep3\Utilities\RefineRTDCRunTimes.py" --tripid 157-06 --locoid 4010 --swversion DE.1.0.9.0 --startMP 204:451 --initTime 2017-12-06T10:37:28 --startdatetime 2017-12-06T10:45:30 --delay 172 --endMP 204:233328 --enddatetime 2017-12-06T11:22:18 --enforcementcount 0 &gt;&gt;%USERPROFILE%\Documents\GitHub\eaglep3-reporting\EC\2017-12-06-refined-times.txt</v>
      </c>
      <c r="AI71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{"issue":{"subject":"","project_id":79,"tracker_id":40,"status_id":1,"priority_id":2,"assigned_to_id":338,"start_date":"2017-12-06","description":"","custom_fields":[{"id":1,"name":"Subdivision","value":"EC"},{"id":4,"name":"Milepost","value":"23.3328"},{"id":17,"name":"Train ID","value":"157-06"},{"id":16,"name":"Locomotive ID","value":"4010"},{"id":130,"name":"Impact","value":""},{"id":150,"name":"Time of Event (Mountain Time)","value":"11:22:18"},{"id":151,"name":"Denver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0"/>
        <v>start /low /b %USERPROFILE%\Documents\GitHub\eaglep3\Utilities\DownloadLogsFromS3.py --loco 4010 --day 2017-12-06</v>
      </c>
      <c r="AN71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2"/>
        <v>https://d0f6bd738d7f1b3e5a7ca70fe4ff75f0.us-east-1.aws.found.io/app/kibana#/discover/Steve-Slow-Train-Analysis-(2080s-and-2083s)?_g=(refreshInterval:(display:Off,pause:!f,section:0,value:0),time:(from:'2017-12-06T09:37:28-0700',mode:absolute,to:'2017-12-06T12:22:18-0700'))&amp;_a=(columns:!('Message%20ID',Summary),filters:!(),index:'emp_*',interval:auto,query:(query_string:(analyze_wildcard:!t,query:'%22rtdc.l.rtdc.4010%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757</v>
      </c>
      <c r="B72" s="225">
        <v>4009</v>
      </c>
      <c r="C72" s="227" t="s">
        <v>192</v>
      </c>
      <c r="D72" s="227" t="s">
        <v>941</v>
      </c>
      <c r="E72" s="226">
        <v>43075.485254629632</v>
      </c>
      <c r="F72" s="226">
        <v>43075.487951388888</v>
      </c>
      <c r="G72" s="225">
        <v>105</v>
      </c>
      <c r="H72" s="227" t="s">
        <v>594</v>
      </c>
      <c r="I72" s="226">
        <v>43075.5155787037</v>
      </c>
      <c r="J72" s="225">
        <v>0</v>
      </c>
      <c r="K72" s="237" t="str">
        <f t="shared" si="0"/>
        <v>4009/4010</v>
      </c>
      <c r="L72" s="245" t="str">
        <f>VLOOKUP(A72,'Trips&amp;Operators'!$C$1:$G$99911,5,FALSE)</f>
        <v>DAVIS MICHAEL</v>
      </c>
      <c r="M72" s="224">
        <f t="shared" si="1"/>
        <v>2.7627314811979886E-2</v>
      </c>
      <c r="N72" s="225">
        <f t="shared" si="29"/>
        <v>39.783333329251036</v>
      </c>
      <c r="O72" s="225"/>
      <c r="P72" s="225"/>
      <c r="Q72" s="228"/>
      <c r="R72" s="242"/>
      <c r="S72" s="249">
        <f t="shared" si="30"/>
        <v>1</v>
      </c>
      <c r="T72" s="242" t="str">
        <f t="shared" si="3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-06T10:38:46-0700',mode:absolute,to:'2017-12-06T13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247" t="str">
        <f>IF(AA72&lt;VLOOKUP(AG72,Variables!$AC$3:$AD$8,2,FALSE),"Y","N")</f>
        <v>N</v>
      </c>
      <c r="X72" s="247">
        <f t="shared" si="26"/>
        <v>1</v>
      </c>
      <c r="Y72" s="247">
        <f t="shared" si="27"/>
        <v>23.299199999999999</v>
      </c>
      <c r="Z72" s="247">
        <f t="shared" si="28"/>
        <v>2.2100000000000002E-2</v>
      </c>
      <c r="AA72" s="247">
        <f t="shared" si="8"/>
        <v>23.277100000000001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9"/>
        <v>158</v>
      </c>
      <c r="AE72" s="235" t="str">
        <f t="shared" si="1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72" s="234" t="str">
        <f t="shared" si="11"/>
        <v>"C:\Program Files (x86)\AstroGrep\AstroGrep.exe" /e /r /s /spath="%USERPROFILE%\AppData\Local\Temp\OnboardLogs" /stypes="app*4009*20171206*" /stext=" 19:.+((SYSTEM_STATE.+slice.+state.+changed )|(ment ac)|(multiple cpu faults)|(system.+state.+changed )|(\[timeout)|(PRM\|1\|D)|(kpr)|(kdp)|(train st.+moving)|(\|lc)|(penalty))"</v>
      </c>
      <c r="AG72" s="244" t="str">
        <f t="shared" si="12"/>
        <v>EC</v>
      </c>
      <c r="AH72" s="236" t="str">
        <f t="shared" si="18"/>
        <v>"%USERPROFILE%\Documents\GitHub\eaglep3\Utilities\RefineRTDCRunTimes.py" --tripid 158-06 --locoid 4009 --swversion DE.1.0.9.0 --startMP 204:232992 --initTime 2017-12-06T11:38:46 --startdatetime 2017-12-06T11:42:39 --delay 105 --endMP 204:221 --enddatetime 2017-12-06T12:22:26 --enforcementcount 0 &gt;&gt;%USERPROFILE%\Documents\GitHub\eaglep3-reporting\EC\2017-12-06-refined-times.txt</v>
      </c>
      <c r="AI72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{"issue":{"subject":"","project_id":79,"tracker_id":40,"status_id":1,"priority_id":2,"assigned_to_id":338,"start_date":"2017-12-06","description":"","custom_fields":[{"id":1,"name":"Subdivision","value":"EC"},{"id":4,"name":"Milepost","value":"0.0221"},{"id":17,"name":"Train ID","value":"158-06"},{"id":16,"name":"Locomotive ID","value":"4009"},{"id":130,"name":"Impact","value":""},{"id":150,"name":"Time of Event (Mountain Time)","value":"12:22:26"},{"id":151,"name":"Denver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0"/>
        <v>start /low /b %USERPROFILE%\Documents\GitHub\eaglep3\Utilities\DownloadLogsFromS3.py --loco 4009 --day 2017-12-06</v>
      </c>
      <c r="AN72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2"/>
        <v>https://d0f6bd738d7f1b3e5a7ca70fe4ff75f0.us-east-1.aws.found.io/app/kibana#/discover/Steve-Slow-Train-Analysis-(2080s-and-2083s)?_g=(refreshInterval:(display:Off,pause:!f,section:0,value:0),time:(from:'2017-12-06T10:38:46-0700',mode:absolute,to:'2017-12-06T13:22:26-0700'))&amp;_a=(columns:!('Message%20ID',Summary),filters:!(),index:'emp_*',interval:auto,query:(query_string:(analyze_wildcard:!t,query:'%22rtdc.l.rtdc.4009%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748</v>
      </c>
      <c r="B73" s="225">
        <v>4062</v>
      </c>
      <c r="C73" s="227" t="s">
        <v>192</v>
      </c>
      <c r="D73" s="227" t="s">
        <v>455</v>
      </c>
      <c r="E73" s="226">
        <v>43075.454189814816</v>
      </c>
      <c r="F73" s="226">
        <v>43075.458483796298</v>
      </c>
      <c r="G73" s="225">
        <v>53</v>
      </c>
      <c r="H73" s="227" t="s">
        <v>590</v>
      </c>
      <c r="I73" s="226">
        <v>43075.483136574076</v>
      </c>
      <c r="J73" s="225">
        <v>0</v>
      </c>
      <c r="K73" s="237" t="str">
        <f t="shared" si="0"/>
        <v>4061/4062</v>
      </c>
      <c r="L73" s="245" t="str">
        <f>VLOOKUP(A73,'Trips&amp;Operators'!$C$1:$G$99911,5,FALSE)</f>
        <v>FORTUNATO FRANK</v>
      </c>
      <c r="M73" s="224">
        <f t="shared" si="1"/>
        <v>2.4652777778101154E-2</v>
      </c>
      <c r="N73" s="225">
        <f t="shared" si="29"/>
        <v>35.500000000465661</v>
      </c>
      <c r="O73" s="225"/>
      <c r="P73" s="225"/>
      <c r="Q73" s="228"/>
      <c r="R73" s="242"/>
      <c r="S73" s="249">
        <f t="shared" si="30"/>
        <v>1</v>
      </c>
      <c r="T73" s="242" t="str">
        <f t="shared" si="3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-06T09:54:02-0700',mode:absolute,to:'2017-12-06T12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247" t="str">
        <f>IF(AA73&lt;VLOOKUP(AG73,Variables!$AC$3:$AD$8,2,FALSE),"Y","N")</f>
        <v>N</v>
      </c>
      <c r="X73" s="247">
        <f t="shared" si="26"/>
        <v>1</v>
      </c>
      <c r="Y73" s="247">
        <f t="shared" si="27"/>
        <v>5.1700000000000003E-2</v>
      </c>
      <c r="Z73" s="247">
        <f t="shared" si="28"/>
        <v>23.319500000000001</v>
      </c>
      <c r="AA73" s="247">
        <f t="shared" si="8"/>
        <v>23.267800000000001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9"/>
        <v>159</v>
      </c>
      <c r="AE73" s="235" t="str">
        <f t="shared" si="1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73" s="234" t="str">
        <f t="shared" si="11"/>
        <v>"C:\Program Files (x86)\AstroGrep\AstroGrep.exe" /e /r /s /spath="%USERPROFILE%\AppData\Local\Temp\OnboardLogs" /stypes="app*4062*20171206*" /stext=" 18:.+((SYSTEM_STATE.+slice.+state.+changed )|(ment ac)|(multiple cpu faults)|(system.+state.+changed )|(\[timeout)|(PRM\|1\|D)|(kpr)|(kdp)|(train st.+moving)|(\|lc)|(penalty))"</v>
      </c>
      <c r="AG73" s="244" t="str">
        <f t="shared" si="12"/>
        <v>EC</v>
      </c>
      <c r="AH73" s="236" t="str">
        <f t="shared" si="18"/>
        <v>"%USERPROFILE%\Documents\GitHub\eaglep3\Utilities\RefineRTDCRunTimes.py" --tripid 159-06 --locoid 4062 --swversion DE.1.0.9.0 --startMP 204:517 --initTime 2017-12-06T10:54:02 --startdatetime 2017-12-06T11:00:13 --delay 53 --endMP 204:233195 --enddatetime 2017-12-06T11:35:43 --enforcementcount 0 &gt;&gt;%USERPROFILE%\Documents\GitHub\eaglep3-reporting\EC\2017-12-06-refined-times.txt</v>
      </c>
      <c r="AI73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{"issue":{"subject":"","project_id":79,"tracker_id":40,"status_id":1,"priority_id":2,"assigned_to_id":338,"start_date":"2017-12-06","description":"","custom_fields":[{"id":1,"name":"Subdivision","value":"EC"},{"id":4,"name":"Milepost","value":"23.3195"},{"id":17,"name":"Train ID","value":"159-06"},{"id":16,"name":"Locomotive ID","value":"4062"},{"id":130,"name":"Impact","value":""},{"id":150,"name":"Time of Event (Mountain Time)","value":"11:35:43"},{"id":151,"name":"Denver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0"/>
        <v>start /low /b %USERPROFILE%\Documents\GitHub\eaglep3\Utilities\DownloadLogsFromS3.py --loco 4062 --day 2017-12-06</v>
      </c>
      <c r="AN73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2"/>
        <v>https://d0f6bd738d7f1b3e5a7ca70fe4ff75f0.us-east-1.aws.found.io/app/kibana#/discover/Steve-Slow-Train-Analysis-(2080s-and-2083s)?_g=(refreshInterval:(display:Off,pause:!f,section:0,value:0),time:(from:'2017-12-06T09:54:02-0700',mode:absolute,to:'2017-12-06T12:35:43-0700'))&amp;_a=(columns:!('Message%20ID',Summary),filters:!(),index:'emp_*',interval:auto,query:(query_string:(analyze_wildcard:!t,query:'%22rtdc.l.rtdc.4062%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756</v>
      </c>
      <c r="B74" s="225">
        <v>4061</v>
      </c>
      <c r="C74" s="227" t="s">
        <v>192</v>
      </c>
      <c r="D74" s="227" t="s">
        <v>606</v>
      </c>
      <c r="E74" s="226">
        <v>43075.484409722223</v>
      </c>
      <c r="F74" s="226">
        <v>43075.498090277775</v>
      </c>
      <c r="G74" s="225">
        <v>48</v>
      </c>
      <c r="H74" s="227" t="s">
        <v>886</v>
      </c>
      <c r="I74" s="226">
        <v>43075.523969907408</v>
      </c>
      <c r="J74" s="225">
        <v>0</v>
      </c>
      <c r="K74" s="237" t="str">
        <f t="shared" si="0"/>
        <v>4061/4062</v>
      </c>
      <c r="L74" s="245" t="str">
        <f>VLOOKUP(A74,'Trips&amp;Operators'!$C$1:$G$99911,5,FALSE)</f>
        <v>FORTUNATO FRANK</v>
      </c>
      <c r="M74" s="224">
        <f t="shared" si="1"/>
        <v>2.587962963298196E-2</v>
      </c>
      <c r="N74" s="225">
        <f t="shared" si="29"/>
        <v>37.266666671494022</v>
      </c>
      <c r="O74" s="225"/>
      <c r="P74" s="225"/>
      <c r="Q74" s="228"/>
      <c r="R74" s="242"/>
      <c r="S74" s="249">
        <f t="shared" si="30"/>
        <v>1</v>
      </c>
      <c r="T74" s="242" t="str">
        <f t="shared" si="3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-06T10:37:33-0700',mode:absolute,to:'2017-12-06T13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247" t="str">
        <f>IF(AA74&lt;VLOOKUP(AG74,Variables!$AC$3:$AD$8,2,FALSE),"Y","N")</f>
        <v>N</v>
      </c>
      <c r="X74" s="247">
        <f t="shared" si="26"/>
        <v>1</v>
      </c>
      <c r="Y74" s="247">
        <f t="shared" si="27"/>
        <v>23.2879</v>
      </c>
      <c r="Z74" s="247">
        <f t="shared" si="28"/>
        <v>2.2499999999999999E-2</v>
      </c>
      <c r="AA74" s="247">
        <f t="shared" si="8"/>
        <v>23.2654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9"/>
        <v>160</v>
      </c>
      <c r="AE74" s="235" t="str">
        <f t="shared" si="1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74" s="234" t="str">
        <f t="shared" si="11"/>
        <v>"C:\Program Files (x86)\AstroGrep\AstroGrep.exe" /e /r /s /spath="%USERPROFILE%\AppData\Local\Temp\OnboardLogs" /stypes="app*4061*20171206*" /stext=" 19:.+((SYSTEM_STATE.+slice.+state.+changed )|(ment ac)|(multiple cpu faults)|(system.+state.+changed )|(\[timeout)|(PRM\|1\|D)|(kpr)|(kdp)|(train st.+moving)|(\|lc)|(penalty))"</v>
      </c>
      <c r="AG74" s="244" t="str">
        <f t="shared" si="12"/>
        <v>EC</v>
      </c>
      <c r="AH74" s="236" t="str">
        <f t="shared" si="18"/>
        <v>"%USERPROFILE%\Documents\GitHub\eaglep3\Utilities\RefineRTDCRunTimes.py" --tripid 160-06 --locoid 4061 --swversion DE.1.0.9.0 --startMP 204:232879 --initTime 2017-12-06T11:37:33 --startdatetime 2017-12-06T11:57:15 --delay 48 --endMP 204:225 --enddatetime 2017-12-06T12:34:31 --enforcementcount 0 &gt;&gt;%USERPROFILE%\Documents\GitHub\eaglep3-reporting\EC\2017-12-06-refined-times.txt</v>
      </c>
      <c r="AI74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{"issue":{"subject":"","project_id":79,"tracker_id":40,"status_id":1,"priority_id":2,"assigned_to_id":338,"start_date":"2017-12-06","description":"","custom_fields":[{"id":1,"name":"Subdivision","value":"EC"},{"id":4,"name":"Milepost","value":"0.0225"},{"id":17,"name":"Train ID","value":"160-06"},{"id":16,"name":"Locomotive ID","value":"4061"},{"id":130,"name":"Impact","value":""},{"id":150,"name":"Time of Event (Mountain Time)","value":"12:34:31"},{"id":151,"name":"Denver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0"/>
        <v>start /low /b %USERPROFILE%\Documents\GitHub\eaglep3\Utilities\DownloadLogsFromS3.py --loco 4061 --day 2017-12-06</v>
      </c>
      <c r="AN74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2"/>
        <v>https://d0f6bd738d7f1b3e5a7ca70fe4ff75f0.us-east-1.aws.found.io/app/kibana#/discover/Steve-Slow-Train-Analysis-(2080s-and-2083s)?_g=(refreshInterval:(display:Off,pause:!f,section:0,value:0),time:(from:'2017-12-06T10:37:33-0700',mode:absolute,to:'2017-12-06T13:34:31-0700'))&amp;_a=(columns:!('Message%20ID',Summary),filters:!(),index:'emp_*',interval:auto,query:(query_string:(analyze_wildcard:!t,query:'%22rtdc.l.rtdc.4061%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752</v>
      </c>
      <c r="B75" s="225">
        <v>4032</v>
      </c>
      <c r="C75" s="227" t="s">
        <v>192</v>
      </c>
      <c r="D75" s="227" t="s">
        <v>942</v>
      </c>
      <c r="E75" s="226">
        <v>43075.465520833335</v>
      </c>
      <c r="F75" s="226">
        <v>43075.468912037039</v>
      </c>
      <c r="G75" s="225">
        <v>127</v>
      </c>
      <c r="H75" s="227" t="s">
        <v>921</v>
      </c>
      <c r="I75" s="226">
        <v>43075.493067129632</v>
      </c>
      <c r="J75" s="225">
        <v>0</v>
      </c>
      <c r="K75" s="237" t="str">
        <f t="shared" si="0"/>
        <v>4031/4032</v>
      </c>
      <c r="L75" s="245" t="str">
        <f>VLOOKUP(A75,'Trips&amp;Operators'!$C$1:$G$99911,5,FALSE)</f>
        <v>BRUDER RICHARD</v>
      </c>
      <c r="M75" s="224">
        <f t="shared" si="1"/>
        <v>2.4155092592991423E-2</v>
      </c>
      <c r="N75" s="225">
        <f t="shared" si="29"/>
        <v>34.783333333907649</v>
      </c>
      <c r="O75" s="225"/>
      <c r="P75" s="225"/>
      <c r="Q75" s="228"/>
      <c r="R75" s="242"/>
      <c r="S75" s="249">
        <f t="shared" si="30"/>
        <v>1</v>
      </c>
      <c r="T75" s="242" t="str">
        <f t="shared" si="3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-06T10:10:21-0700',mode:absolute,to:'2017-12-06T12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47" t="str">
        <f>IF(AA75&lt;VLOOKUP(AG75,Variables!$AC$3:$AD$8,2,FALSE),"Y","N")</f>
        <v>N</v>
      </c>
      <c r="X75" s="247">
        <f t="shared" si="26"/>
        <v>1</v>
      </c>
      <c r="Y75" s="247">
        <f t="shared" si="27"/>
        <v>4.4900000000000002E-2</v>
      </c>
      <c r="Z75" s="247">
        <f t="shared" si="28"/>
        <v>23.321100000000001</v>
      </c>
      <c r="AA75" s="247">
        <f t="shared" si="8"/>
        <v>23.276200000000003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9"/>
        <v>161</v>
      </c>
      <c r="AE75" s="235" t="str">
        <f t="shared" si="1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75" s="234" t="str">
        <f t="shared" si="11"/>
        <v>"C:\Program Files (x86)\AstroGrep\AstroGrep.exe" /e /r /s /spath="%USERPROFILE%\AppData\Local\Temp\OnboardLogs" /stypes="app*4032*20171206*" /stext=" 18:.+((SYSTEM_STATE.+slice.+state.+changed )|(ment ac)|(multiple cpu faults)|(system.+state.+changed )|(\[timeout)|(PRM\|1\|D)|(kpr)|(kdp)|(train st.+moving)|(\|lc)|(penalty))"</v>
      </c>
      <c r="AG75" s="244" t="str">
        <f t="shared" si="12"/>
        <v>EC</v>
      </c>
      <c r="AH75" s="236" t="str">
        <f t="shared" si="18"/>
        <v>"%USERPROFILE%\Documents\GitHub\eaglep3\Utilities\RefineRTDCRunTimes.py" --tripid 161-06 --locoid 4032 --swversion DE.1.0.9.0 --startMP 204:449 --initTime 2017-12-06T11:10:21 --startdatetime 2017-12-06T11:15:14 --delay 127 --endMP 204:233211 --enddatetime 2017-12-06T11:50:01 --enforcementcount 0 &gt;&gt;%USERPROFILE%\Documents\GitHub\eaglep3-reporting\EC\2017-12-06-refined-times.txt</v>
      </c>
      <c r="AI75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{"issue":{"subject":"","project_id":79,"tracker_id":40,"status_id":1,"priority_id":2,"assigned_to_id":338,"start_date":"2017-12-06","description":"","custom_fields":[{"id":1,"name":"Subdivision","value":"EC"},{"id":4,"name":"Milepost","value":"23.3211"},{"id":17,"name":"Train ID","value":"161-06"},{"id":16,"name":"Locomotive ID","value":"4032"},{"id":130,"name":"Impact","value":""},{"id":150,"name":"Time of Event (Mountain Time)","value":"11:50:01"},{"id":151,"name":"Denver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0"/>
        <v>start /low /b %USERPROFILE%\Documents\GitHub\eaglep3\Utilities\DownloadLogsFromS3.py --loco 4032 --day 2017-12-06</v>
      </c>
      <c r="AN75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2"/>
        <v>https://d0f6bd738d7f1b3e5a7ca70fe4ff75f0.us-east-1.aws.found.io/app/kibana#/discover/Steve-Slow-Train-Analysis-(2080s-and-2083s)?_g=(refreshInterval:(display:Off,pause:!f,section:0,value:0),time:(from:'2017-12-06T10:10:21-0700',mode:absolute,to:'2017-12-06T12:50:01-0700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649</v>
      </c>
      <c r="B76" s="225">
        <v>4031</v>
      </c>
      <c r="C76" s="227" t="s">
        <v>192</v>
      </c>
      <c r="D76" s="227" t="s">
        <v>943</v>
      </c>
      <c r="E76" s="226">
        <v>43075.505254629628</v>
      </c>
      <c r="F76" s="226">
        <v>43075.508530092593</v>
      </c>
      <c r="G76" s="225">
        <v>117</v>
      </c>
      <c r="H76" s="227" t="s">
        <v>886</v>
      </c>
      <c r="I76" s="226">
        <v>43075.537152777775</v>
      </c>
      <c r="J76" s="225">
        <v>0</v>
      </c>
      <c r="K76" s="237" t="str">
        <f t="shared" si="0"/>
        <v>4031/4032</v>
      </c>
      <c r="L76" s="245" t="str">
        <f>VLOOKUP(A76,'Trips&amp;Operators'!$C$1:$G$99911,5,FALSE)</f>
        <v>BRUDER RICHARD</v>
      </c>
      <c r="M76" s="224">
        <f t="shared" si="1"/>
        <v>2.8622685182199348E-2</v>
      </c>
      <c r="N76" s="225">
        <f t="shared" si="29"/>
        <v>41.216666662367061</v>
      </c>
      <c r="O76" s="225"/>
      <c r="P76" s="225"/>
      <c r="Q76" s="228"/>
      <c r="R76" s="242"/>
      <c r="S76" s="249">
        <f t="shared" si="30"/>
        <v>1</v>
      </c>
      <c r="T76" s="242" t="str">
        <f t="shared" si="3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-06T11:07:34-0700',mode:absolute,to:'2017-12-06T13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47" t="str">
        <f>IF(AA76&lt;VLOOKUP(AG76,Variables!$AC$3:$AD$8,2,FALSE),"Y","N")</f>
        <v>N</v>
      </c>
      <c r="X76" s="247">
        <f t="shared" si="26"/>
        <v>1</v>
      </c>
      <c r="Y76" s="247">
        <f t="shared" si="27"/>
        <v>23.287700000000001</v>
      </c>
      <c r="Z76" s="247">
        <f t="shared" si="28"/>
        <v>2.2499999999999999E-2</v>
      </c>
      <c r="AA76" s="247">
        <f t="shared" si="8"/>
        <v>23.2652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9"/>
        <v>162</v>
      </c>
      <c r="AE76" s="235" t="str">
        <f t="shared" si="1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76" s="234" t="str">
        <f t="shared" si="11"/>
        <v>"C:\Program Files (x86)\AstroGrep\AstroGrep.exe" /e /r /s /spath="%USERPROFILE%\AppData\Local\Temp\OnboardLogs" /stypes="app*4031*20171206*" /stext=" 19:.+((SYSTEM_STATE.+slice.+state.+changed )|(ment ac)|(multiple cpu faults)|(system.+state.+changed )|(\[timeout)|(PRM\|1\|D)|(kpr)|(kdp)|(train st.+moving)|(\|lc)|(penalty))"</v>
      </c>
      <c r="AG76" s="244" t="str">
        <f t="shared" si="12"/>
        <v>EC</v>
      </c>
      <c r="AH76" s="236" t="str">
        <f t="shared" si="18"/>
        <v>"%USERPROFILE%\Documents\GitHub\eaglep3\Utilities\RefineRTDCRunTimes.py" --tripid 162-06 --locoid 4031 --swversion DE.1.0.9.0 --startMP 204:232877 --initTime 2017-12-06T12:07:34 --startdatetime 2017-12-06T12:12:17 --delay 117 --endMP 204:225 --enddatetime 2017-12-06T12:53:30 --enforcementcount 0 &gt;&gt;%USERPROFILE%\Documents\GitHub\eaglep3-reporting\EC\2017-12-06-refined-times.txt</v>
      </c>
      <c r="AI76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{"issue":{"subject":"","project_id":79,"tracker_id":40,"status_id":1,"priority_id":2,"assigned_to_id":338,"start_date":"2017-12-06","description":"","custom_fields":[{"id":1,"name":"Subdivision","value":"EC"},{"id":4,"name":"Milepost","value":"0.0225"},{"id":17,"name":"Train ID","value":"162-06"},{"id":16,"name":"Locomotive ID","value":"4031"},{"id":130,"name":"Impact","value":""},{"id":150,"name":"Time of Event (Mountain Time)","value":"12:53:30"},{"id":151,"name":"Denver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0"/>
        <v>start /low /b %USERPROFILE%\Documents\GitHub\eaglep3\Utilities\DownloadLogsFromS3.py --loco 4031 --day 2017-12-06</v>
      </c>
      <c r="AN76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2"/>
        <v>https://d0f6bd738d7f1b3e5a7ca70fe4ff75f0.us-east-1.aws.found.io/app/kibana#/discover/Steve-Slow-Train-Analysis-(2080s-and-2083s)?_g=(refreshInterval:(display:Off,pause:!f,section:0,value:0),time:(from:'2017-12-06T11:07:34-0700',mode:absolute,to:'2017-12-06T13:53:30-0700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753</v>
      </c>
      <c r="B77" s="225">
        <v>4064</v>
      </c>
      <c r="C77" s="227" t="s">
        <v>192</v>
      </c>
      <c r="D77" s="227" t="s">
        <v>467</v>
      </c>
      <c r="E77" s="226">
        <v>43075.473749999997</v>
      </c>
      <c r="F77" s="226">
        <v>43075.479386574072</v>
      </c>
      <c r="G77" s="225">
        <v>97</v>
      </c>
      <c r="H77" s="227" t="s">
        <v>944</v>
      </c>
      <c r="I77" s="226">
        <v>43075.504652777781</v>
      </c>
      <c r="J77" s="225">
        <v>0</v>
      </c>
      <c r="K77" s="237" t="str">
        <f t="shared" ref="K77:K140" si="31">IF(ISEVEN(B77),(B77-1)&amp;"/"&amp;B77,B77&amp;"/"&amp;(B77+1))</f>
        <v>4063/4064</v>
      </c>
      <c r="L77" s="245" t="str">
        <f>VLOOKUP(A77,'Trips&amp;Operators'!$C$1:$G$99911,5,FALSE)</f>
        <v>STEWART MICHAEL</v>
      </c>
      <c r="M77" s="224">
        <f t="shared" ref="M77:M140" si="32">I77-F77</f>
        <v>2.5266203709179536E-2</v>
      </c>
      <c r="N77" s="225">
        <f t="shared" si="29"/>
        <v>36.383333341218531</v>
      </c>
      <c r="O77" s="225"/>
      <c r="P77" s="225"/>
      <c r="Q77" s="228"/>
      <c r="R77" s="242"/>
      <c r="S77" s="249">
        <f t="shared" si="30"/>
        <v>1</v>
      </c>
      <c r="T77" s="242" t="str">
        <f t="shared" ref="T77:T140" si="33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-06T10:22:12-0700',mode:absolute,to:'2017-12-06T13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7" s="247" t="str">
        <f>IF(AA77&lt;VLOOKUP(AG77,Variables!$AC$3:$AD$8,2,FALSE),"Y","N")</f>
        <v>N</v>
      </c>
      <c r="X77" s="247">
        <f t="shared" ref="X77:X108" si="35">VALUE(LEFT(AD77,4))-VALUE(LEFT(AD76,4))</f>
        <v>1</v>
      </c>
      <c r="Y77" s="247">
        <f t="shared" ref="Y77:Y108" si="36">RIGHT(D77,LEN(D77)-4)/10000</f>
        <v>4.8399999999999999E-2</v>
      </c>
      <c r="Z77" s="247">
        <f t="shared" ref="Z77:Z108" si="37">RIGHT(H77,LEN(H77)-4)/10000</f>
        <v>23.321000000000002</v>
      </c>
      <c r="AA77" s="247">
        <f t="shared" ref="AA77:AA140" si="38">ABS(Z77-Y77)</f>
        <v>23.272600000000001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9">VALUE(LEFT(A77,LEN(A77)-3))</f>
        <v>163</v>
      </c>
      <c r="AE77" s="23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77" s="23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/stypes="app*4064*20171206*"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2">DetSubdiv(A77)</f>
        <v>EC</v>
      </c>
      <c r="AH77" s="236" t="str">
        <f t="shared" si="18"/>
        <v>"%USERPROFILE%\Documents\GitHub\eaglep3\Utilities\RefineRTDCRunTimes.py" --tripid 163-06 --locoid 4064 --swversion DE.1.0.9.0 --startMP 204:484 --initTime 2017-12-06T11:22:12 --startdatetime 2017-12-06T11:30:19 --delay 97 --endMP 204:233210 --enddatetime 2017-12-06T12:06:42 --enforcementcount 0 &gt;&gt;%USERPROFILE%\Documents\GitHub\eaglep3-reporting\EC\2017-12-06-refined-times.txt</v>
      </c>
      <c r="AI77" s="238" t="str">
        <f t="shared" si="19"/>
        <v>echo {"issue":{"subject":"","project_id":79,"tracker_id":40,"status_id":1,"priority_id":2,"assigned_to_id":338,"start_date":"2017-12-06","description":"","custom_fields":[{"id":1,"name":"Subdivision","value":"EC"},{"id":4,"name":"Milepost","value":"23.321"},{"id":17,"name":"Train ID","value":"163-06"},{"id":16,"name":"Locomotive ID","value":"4064"},{"id":130,"name":"Impact","value":""},{"id":150,"name":"Time of Event (Mountain Time)","value":"12:06:42"},{"id":151,"name":"Denver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0"/>
        <v>start /low /b %USERPROFILE%\Documents\GitHub\eaglep3\Utilities\DownloadLogsFromS3.py --loco 4064 --day 2017-12-06</v>
      </c>
      <c r="AN77" s="241" t="str">
        <f t="shared" si="21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2"/>
        <v>https://d0f6bd738d7f1b3e5a7ca70fe4ff75f0.us-east-1.aws.found.io/app/kibana#/discover/Steve-Slow-Train-Analysis-(2080s-and-2083s)?_g=(refreshInterval:(display:Off,pause:!f,section:0,value:0),time:(from:'2017-12-06T10:22:12-0700',mode:absolute,to:'2017-12-06T13:06:42-0700'))&amp;_a=(columns:!('Message%20ID',Summary),filters:!(),index:'emp_*',interval:auto,query:(query_string:(analyze_wildcard:!t,query:'%22rtdc.l.rtdc.4064%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761</v>
      </c>
      <c r="B78" s="225">
        <v>4063</v>
      </c>
      <c r="C78" s="227" t="s">
        <v>192</v>
      </c>
      <c r="D78" s="227" t="s">
        <v>945</v>
      </c>
      <c r="E78" s="226">
        <v>43075.515601851854</v>
      </c>
      <c r="F78" s="226">
        <v>43075.51898148148</v>
      </c>
      <c r="G78" s="225">
        <v>79</v>
      </c>
      <c r="H78" s="227" t="s">
        <v>931</v>
      </c>
      <c r="I78" s="226">
        <v>43075.54488425926</v>
      </c>
      <c r="J78" s="225">
        <v>0</v>
      </c>
      <c r="K78" s="237" t="str">
        <f t="shared" si="31"/>
        <v>4063/4064</v>
      </c>
      <c r="L78" s="245" t="str">
        <f>VLOOKUP(A78,'Trips&amp;Operators'!$C$1:$G$99911,5,FALSE)</f>
        <v>STEWART MICHAEL</v>
      </c>
      <c r="M78" s="224">
        <f t="shared" si="32"/>
        <v>2.5902777779265307E-2</v>
      </c>
      <c r="N78" s="225">
        <f t="shared" si="29"/>
        <v>37.300000002142042</v>
      </c>
      <c r="O78" s="225"/>
      <c r="P78" s="225"/>
      <c r="Q78" s="228"/>
      <c r="R78" s="242"/>
      <c r="S78" s="249">
        <f t="shared" si="30"/>
        <v>1</v>
      </c>
      <c r="T78" s="242" t="str">
        <f t="shared" si="33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4"/>
        <v>https://d0f6bd738d7f1b3e5a7ca70fe4ff75f0.us-east-1.aws.found.io/app/kibana#/discover/Steve-Slow-Train-Analysis-(2080s-and-2083s)?_g=(refreshInterval:(display:Off,pause:!f,section:0,value:0),time:(from:'2017-12-06T11:22:28-0700',mode:absolute,to:'2017-12-06T14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8" s="247" t="str">
        <f>IF(AA78&lt;VLOOKUP(AG78,Variables!$AC$3:$AD$8,2,FALSE),"Y","N")</f>
        <v>N</v>
      </c>
      <c r="X78" s="247">
        <f t="shared" si="35"/>
        <v>1</v>
      </c>
      <c r="Y78" s="247">
        <f t="shared" si="36"/>
        <v>23.288900000000002</v>
      </c>
      <c r="Z78" s="247">
        <f t="shared" si="37"/>
        <v>2.1100000000000001E-2</v>
      </c>
      <c r="AA78" s="247">
        <f t="shared" si="38"/>
        <v>23.267800000000001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9"/>
        <v>164</v>
      </c>
      <c r="AE78" s="235" t="str">
        <f t="shared" si="4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78" s="234" t="str">
        <f t="shared" si="41"/>
        <v>"C:\Program Files (x86)\AstroGrep\AstroGrep.exe" /e /r /s /spath="%USERPROFILE%\AppData\Local\Temp\OnboardLogs" /stypes="app*4063*20171206*" /stext=" 20:.+((SYSTEM_STATE.+slice.+state.+changed )|(ment ac)|(multiple cpu faults)|(system.+state.+changed )|(\[timeout)|(PRM\|1\|D)|(kpr)|(kdp)|(train st.+moving)|(\|lc)|(penalty))"</v>
      </c>
      <c r="AG78" s="244" t="str">
        <f t="shared" si="42"/>
        <v>EC</v>
      </c>
      <c r="AH78" s="236" t="str">
        <f t="shared" ref="AH78:AH140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164-06 --locoid 4063 --swversion DE.1.0.9.0 --startMP 204:232889 --initTime 2017-12-06T12:22:28 --startdatetime 2017-12-06T12:27:20 --delay 79 --endMP 204:211 --enddatetime 2017-12-06T13:04:38 --enforcementcount 0 &gt;&gt;%USERPROFILE%\Documents\GitHub\eaglep3-reporting\EC\2017-12-06-refined-times.txt</v>
      </c>
      <c r="AI78" s="238" t="str">
        <f t="shared" ref="AI78:AI140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{"issue":{"subject":"","project_id":79,"tracker_id":40,"status_id":1,"priority_id":2,"assigned_to_id":338,"start_date":"2017-12-06","description":"","custom_fields":[{"id":1,"name":"Subdivision","value":"EC"},{"id":4,"name":"Milepost","value":"0.0211"},{"id":17,"name":"Train ID","value":"164-06"},{"id":16,"name":"Locomotive ID","value":"4063"},{"id":130,"name":"Impact","value":""},{"id":150,"name":"Time of Event (Mountain Time)","value":"13:04:38"},{"id":151,"name":"Denver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0" si="45">"start /low /b "&amp;dls3logs&amp;" --loco "&amp;B78&amp;" --day "&amp;TEXT(F78,"YYYY-MM-DD")</f>
        <v>start /low /b %USERPROFILE%\Documents\GitHub\eaglep3\Utilities\DownloadLogsFromS3.py --loco 4063 --day 2017-12-06</v>
      </c>
      <c r="AN78" s="241" t="str">
        <f t="shared" ref="AN78:AN140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0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-06T11:22:28-0700',mode:absolute,to:'2017-12-06T14:04:38-0700'))&amp;_a=(columns:!('Message%20ID',Summary),filters:!(),index:'emp_*',interval:auto,query:(query_string:(analyze_wildcard:!t,query:'%22rtdc.l.rtdc.4063%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755</v>
      </c>
      <c r="B79" s="225">
        <v>4042</v>
      </c>
      <c r="C79" s="227" t="s">
        <v>192</v>
      </c>
      <c r="D79" s="227" t="s">
        <v>526</v>
      </c>
      <c r="E79" s="226">
        <v>43075.483935185184</v>
      </c>
      <c r="F79" s="226">
        <v>43075.489756944444</v>
      </c>
      <c r="G79" s="225">
        <v>75</v>
      </c>
      <c r="H79" s="227" t="s">
        <v>946</v>
      </c>
      <c r="I79" s="226">
        <v>43075.514386574076</v>
      </c>
      <c r="J79" s="225">
        <v>0</v>
      </c>
      <c r="K79" s="237" t="str">
        <f t="shared" si="31"/>
        <v>4041/4042</v>
      </c>
      <c r="L79" s="245" t="str">
        <f>VLOOKUP(A79,'Trips&amp;Operators'!$C$1:$G$99911,5,FALSE)</f>
        <v>LORI SANTOS</v>
      </c>
      <c r="M79" s="224">
        <f t="shared" si="32"/>
        <v>2.4629629631817807E-2</v>
      </c>
      <c r="N79" s="225">
        <f t="shared" si="29"/>
        <v>35.466666669817641</v>
      </c>
      <c r="O79" s="225"/>
      <c r="P79" s="225"/>
      <c r="Q79" s="228"/>
      <c r="R79" s="242"/>
      <c r="S79" s="249">
        <f t="shared" si="30"/>
        <v>1</v>
      </c>
      <c r="T79" s="242" t="str">
        <f t="shared" si="33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4"/>
        <v>https://d0f6bd738d7f1b3e5a7ca70fe4ff75f0.us-east-1.aws.found.io/app/kibana#/discover/Steve-Slow-Train-Analysis-(2080s-and-2083s)?_g=(refreshInterval:(display:Off,pause:!f,section:0,value:0),time:(from:'2017-12-06T10:36:52-0700',mode:absolute,to:'2017-12-06T13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47" t="str">
        <f>IF(AA79&lt;VLOOKUP(AG79,Variables!$AC$3:$AD$8,2,FALSE),"Y","N")</f>
        <v>N</v>
      </c>
      <c r="X79" s="247">
        <f t="shared" si="35"/>
        <v>1</v>
      </c>
      <c r="Y79" s="247">
        <f t="shared" si="36"/>
        <v>4.8800000000000003E-2</v>
      </c>
      <c r="Z79" s="247">
        <f t="shared" si="37"/>
        <v>23.316500000000001</v>
      </c>
      <c r="AA79" s="247">
        <f t="shared" si="38"/>
        <v>23.267700000000001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9"/>
        <v>165</v>
      </c>
      <c r="AE79" s="235" t="str">
        <f t="shared" si="4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79" s="234" t="str">
        <f t="shared" si="41"/>
        <v>"C:\Program Files (x86)\AstroGrep\AstroGrep.exe" /e /r /s /spath="%USERPROFILE%\AppData\Local\Temp\OnboardLogs" /stypes="app*4042*20171206*" /stext=" 19:.+((SYSTEM_STATE.+slice.+state.+changed )|(ment ac)|(multiple cpu faults)|(system.+state.+changed )|(\[timeout)|(PRM\|1\|D)|(kpr)|(kdp)|(train st.+moving)|(\|lc)|(penalty))"</v>
      </c>
      <c r="AG79" s="244" t="str">
        <f t="shared" si="42"/>
        <v>EC</v>
      </c>
      <c r="AH79" s="236" t="str">
        <f t="shared" si="43"/>
        <v>"%USERPROFILE%\Documents\GitHub\eaglep3\Utilities\RefineRTDCRunTimes.py" --tripid 165-06 --locoid 4042 --swversion DE.1.0.9.0 --startMP 204:488 --initTime 2017-12-06T11:36:52 --startdatetime 2017-12-06T11:45:15 --delay 75 --endMP 204:233165 --enddatetime 2017-12-06T12:20:43 --enforcementcount 0 &gt;&gt;%USERPROFILE%\Documents\GitHub\eaglep3-reporting\EC\2017-12-06-refined-times.txt</v>
      </c>
      <c r="AI7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{"issue":{"subject":"","project_id":79,"tracker_id":40,"status_id":1,"priority_id":2,"assigned_to_id":338,"start_date":"2017-12-06","description":"","custom_fields":[{"id":1,"name":"Subdivision","value":"EC"},{"id":4,"name":"Milepost","value":"23.3165"},{"id":17,"name":"Train ID","value":"165-06"},{"id":16,"name":"Locomotive ID","value":"4042"},{"id":130,"name":"Impact","value":""},{"id":150,"name":"Time of Event (Mountain Time)","value":"12:20:43"},{"id":151,"name":"Denver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5"/>
        <v>start /low /b %USERPROFILE%\Documents\GitHub\eaglep3\Utilities\DownloadLogsFromS3.py --loco 4042 --day 2017-12-06</v>
      </c>
      <c r="AN79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7"/>
        <v>https://d0f6bd738d7f1b3e5a7ca70fe4ff75f0.us-east-1.aws.found.io/app/kibana#/discover/Steve-Slow-Train-Analysis-(2080s-and-2083s)?_g=(refreshInterval:(display:Off,pause:!f,section:0,value:0),time:(from:'2017-12-06T10:36:52-0700',mode:absolute,to:'2017-12-06T13:20:43-0700'))&amp;_a=(columns:!('Message%20ID',Summary),filters:!(),index:'emp_*',interval:auto,query:(query_string:(analyze_wildcard:!t,query:'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762</v>
      </c>
      <c r="B80" s="225">
        <v>4041</v>
      </c>
      <c r="C80" s="227" t="s">
        <v>192</v>
      </c>
      <c r="D80" s="227" t="s">
        <v>947</v>
      </c>
      <c r="E80" s="226">
        <v>43075.515868055554</v>
      </c>
      <c r="F80" s="226">
        <v>43075.529351851852</v>
      </c>
      <c r="G80" s="225">
        <v>87</v>
      </c>
      <c r="H80" s="227" t="s">
        <v>948</v>
      </c>
      <c r="I80" s="226">
        <v>43075.555625000001</v>
      </c>
      <c r="J80" s="225">
        <v>0</v>
      </c>
      <c r="K80" s="237" t="str">
        <f t="shared" si="31"/>
        <v>4041/4042</v>
      </c>
      <c r="L80" s="245" t="str">
        <f>VLOOKUP(A80,'Trips&amp;Operators'!$C$1:$G$99911,5,FALSE)</f>
        <v>LORI SANTOS</v>
      </c>
      <c r="M80" s="224">
        <f t="shared" si="32"/>
        <v>2.6273148148902692E-2</v>
      </c>
      <c r="N80" s="225">
        <f t="shared" si="29"/>
        <v>37.833333334419876</v>
      </c>
      <c r="O80" s="225"/>
      <c r="P80" s="225"/>
      <c r="Q80" s="228"/>
      <c r="R80" s="242"/>
      <c r="S80" s="249">
        <f t="shared" si="30"/>
        <v>1</v>
      </c>
      <c r="T80" s="242" t="str">
        <f t="shared" si="33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4"/>
        <v>https://d0f6bd738d7f1b3e5a7ca70fe4ff75f0.us-east-1.aws.found.io/app/kibana#/discover/Steve-Slow-Train-Analysis-(2080s-and-2083s)?_g=(refreshInterval:(display:Off,pause:!f,section:0,value:0),time:(from:'2017-12-06T11:22:51-0700',mode:absolute,to:'2017-12-06T14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47" t="str">
        <f>IF(AA80&lt;VLOOKUP(AG80,Variables!$AC$3:$AD$8,2,FALSE),"Y","N")</f>
        <v>N</v>
      </c>
      <c r="X80" s="247">
        <f t="shared" si="35"/>
        <v>1</v>
      </c>
      <c r="Y80" s="247">
        <f t="shared" si="36"/>
        <v>23.284600000000001</v>
      </c>
      <c r="Z80" s="247">
        <f t="shared" si="37"/>
        <v>2.93E-2</v>
      </c>
      <c r="AA80" s="247">
        <f t="shared" si="38"/>
        <v>23.255300000000002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9"/>
        <v>166</v>
      </c>
      <c r="AE80" s="235" t="str">
        <f t="shared" si="4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80" s="234" t="str">
        <f t="shared" si="41"/>
        <v>"C:\Program Files (x86)\AstroGrep\AstroGrep.exe" /e /r /s /spath="%USERPROFILE%\AppData\Local\Temp\OnboardLogs" /stypes="app*4041*20171206*" /stext=" 20:.+((SYSTEM_STATE.+slice.+state.+changed )|(ment ac)|(multiple cpu faults)|(system.+state.+changed )|(\[timeout)|(PRM\|1\|D)|(kpr)|(kdp)|(train st.+moving)|(\|lc)|(penalty))"</v>
      </c>
      <c r="AG80" s="244" t="str">
        <f t="shared" si="42"/>
        <v>EC</v>
      </c>
      <c r="AH80" s="236" t="str">
        <f t="shared" si="43"/>
        <v>"%USERPROFILE%\Documents\GitHub\eaglep3\Utilities\RefineRTDCRunTimes.py" --tripid 166-06 --locoid 4041 --swversion DE.1.0.9.0 --startMP 204:232846 --initTime 2017-12-06T12:22:51 --startdatetime 2017-12-06T12:42:16 --delay 87 --endMP 204:293 --enddatetime 2017-12-06T13:20:06 --enforcementcount 0 &gt;&gt;%USERPROFILE%\Documents\GitHub\eaglep3-reporting\EC\2017-12-06-refined-times.txt</v>
      </c>
      <c r="AI8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{"issue":{"subject":"","project_id":79,"tracker_id":40,"status_id":1,"priority_id":2,"assigned_to_id":338,"start_date":"2017-12-06","description":"","custom_fields":[{"id":1,"name":"Subdivision","value":"EC"},{"id":4,"name":"Milepost","value":"0.0293"},{"id":17,"name":"Train ID","value":"166-06"},{"id":16,"name":"Locomotive ID","value":"4041"},{"id":130,"name":"Impact","value":""},{"id":150,"name":"Time of Event (Mountain Time)","value":"13:20:06"},{"id":151,"name":"Denver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5"/>
        <v>start /low /b %USERPROFILE%\Documents\GitHub\eaglep3\Utilities\DownloadLogsFromS3.py --loco 4041 --day 2017-12-06</v>
      </c>
      <c r="AN80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7"/>
        <v>https://d0f6bd738d7f1b3e5a7ca70fe4ff75f0.us-east-1.aws.found.io/app/kibana#/discover/Steve-Slow-Train-Analysis-(2080s-and-2083s)?_g=(refreshInterval:(display:Off,pause:!f,section:0,value:0),time:(from:'2017-12-06T11:22:51-0700',mode:absolute,to:'2017-12-06T14:20:06-0700'))&amp;_a=(columns:!('Message%20ID',Summary),filters:!(),index:'emp_*',interval:auto,query:(query_string:(analyze_wildcard:!t,query:'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758</v>
      </c>
      <c r="B81" s="225">
        <v>4008</v>
      </c>
      <c r="C81" s="227" t="s">
        <v>192</v>
      </c>
      <c r="D81" s="227" t="s">
        <v>526</v>
      </c>
      <c r="E81" s="226">
        <v>43075.495000000003</v>
      </c>
      <c r="F81" s="226">
        <v>43075.500185185185</v>
      </c>
      <c r="G81" s="225">
        <v>95</v>
      </c>
      <c r="H81" s="227" t="s">
        <v>916</v>
      </c>
      <c r="I81" s="226">
        <v>43075.524733796294</v>
      </c>
      <c r="J81" s="225">
        <v>0</v>
      </c>
      <c r="K81" s="237" t="str">
        <f t="shared" si="31"/>
        <v>4007/4008</v>
      </c>
      <c r="L81" s="245" t="str">
        <f>VLOOKUP(A81,'Trips&amp;Operators'!$C$1:$G$99911,5,FALSE)</f>
        <v>LEVIN SCOTT</v>
      </c>
      <c r="M81" s="224">
        <f t="shared" si="32"/>
        <v>2.4548611108912155E-2</v>
      </c>
      <c r="N81" s="225">
        <f t="shared" si="29"/>
        <v>35.349999996833503</v>
      </c>
      <c r="O81" s="225"/>
      <c r="P81" s="225"/>
      <c r="Q81" s="228"/>
      <c r="R81" s="242"/>
      <c r="S81" s="249">
        <f t="shared" si="30"/>
        <v>1</v>
      </c>
      <c r="T81" s="242" t="str">
        <f t="shared" si="33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4"/>
        <v>https://d0f6bd738d7f1b3e5a7ca70fe4ff75f0.us-east-1.aws.found.io/app/kibana#/discover/Steve-Slow-Train-Analysis-(2080s-and-2083s)?_g=(refreshInterval:(display:Off,pause:!f,section:0,value:0),time:(from:'2017-12-06T10:52:48-0700',mode:absolute,to:'2017-12-06T13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247" t="str">
        <f>IF(AA81&lt;VLOOKUP(AG81,Variables!$AC$3:$AD$8,2,FALSE),"Y","N")</f>
        <v>N</v>
      </c>
      <c r="X81" s="247">
        <f t="shared" si="35"/>
        <v>1</v>
      </c>
      <c r="Y81" s="247">
        <f t="shared" si="36"/>
        <v>4.8800000000000003E-2</v>
      </c>
      <c r="Z81" s="247">
        <f t="shared" si="37"/>
        <v>23.331</v>
      </c>
      <c r="AA81" s="247">
        <f t="shared" si="38"/>
        <v>23.2822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9"/>
        <v>167</v>
      </c>
      <c r="AE81" s="235" t="str">
        <f t="shared" si="4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81" s="234" t="str">
        <f t="shared" si="41"/>
        <v>"C:\Program Files (x86)\AstroGrep\AstroGrep.exe" /e /r /s /spath="%USERPROFILE%\AppData\Local\Temp\OnboardLogs" /stypes="app*4008*20171206*" /stext=" 19:.+((SYSTEM_STATE.+slice.+state.+changed )|(ment ac)|(multiple cpu faults)|(system.+state.+changed )|(\[timeout)|(PRM\|1\|D)|(kpr)|(kdp)|(train st.+moving)|(\|lc)|(penalty))"</v>
      </c>
      <c r="AG81" s="244" t="str">
        <f t="shared" si="42"/>
        <v>EC</v>
      </c>
      <c r="AH81" s="236" t="str">
        <f t="shared" si="43"/>
        <v>"%USERPROFILE%\Documents\GitHub\eaglep3\Utilities\RefineRTDCRunTimes.py" --tripid 167-06 --locoid 4008 --swversion DE.1.0.9.0 --startMP 204:488 --initTime 2017-12-06T11:52:48 --startdatetime 2017-12-06T12:00:16 --delay 95 --endMP 204:233310 --enddatetime 2017-12-06T12:35:37 --enforcementcount 0 &gt;&gt;%USERPROFILE%\Documents\GitHub\eaglep3-reporting\EC\2017-12-06-refined-times.txt</v>
      </c>
      <c r="AI8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{"issue":{"subject":"","project_id":79,"tracker_id":40,"status_id":1,"priority_id":2,"assigned_to_id":338,"start_date":"2017-12-06","description":"","custom_fields":[{"id":1,"name":"Subdivision","value":"EC"},{"id":4,"name":"Milepost","value":"23.331"},{"id":17,"name":"Train ID","value":"167-06"},{"id":16,"name":"Locomotive ID","value":"4008"},{"id":130,"name":"Impact","value":""},{"id":150,"name":"Time of Event (Mountain Time)","value":"12:35:37"},{"id":151,"name":"Denver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5"/>
        <v>start /low /b %USERPROFILE%\Documents\GitHub\eaglep3\Utilities\DownloadLogsFromS3.py --loco 4008 --day 2017-12-06</v>
      </c>
      <c r="AN81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7"/>
        <v>https://d0f6bd738d7f1b3e5a7ca70fe4ff75f0.us-east-1.aws.found.io/app/kibana#/discover/Steve-Slow-Train-Analysis-(2080s-and-2083s)?_g=(refreshInterval:(display:Off,pause:!f,section:0,value:0),time:(from:'2017-12-06T10:52:48-0700',mode:absolute,to:'2017-12-06T13:35:37-0700'))&amp;_a=(columns:!('Message%20ID',Summary),filters:!(),index:'emp_*',interval:auto,query:(query_string:(analyze_wildcard:!t,query:'%22rtdc.l.rtdc.4008%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767</v>
      </c>
      <c r="B82" s="225">
        <v>4007</v>
      </c>
      <c r="C82" s="227" t="s">
        <v>192</v>
      </c>
      <c r="D82" s="227" t="s">
        <v>949</v>
      </c>
      <c r="E82" s="226">
        <v>43075.531817129631</v>
      </c>
      <c r="F82" s="226">
        <v>43075.539768518516</v>
      </c>
      <c r="G82" s="225">
        <v>67</v>
      </c>
      <c r="H82" s="227" t="s">
        <v>950</v>
      </c>
      <c r="I82" s="226">
        <v>43075.565497685187</v>
      </c>
      <c r="J82" s="225">
        <v>0</v>
      </c>
      <c r="K82" s="237" t="str">
        <f t="shared" si="31"/>
        <v>4007/4008</v>
      </c>
      <c r="L82" s="245" t="str">
        <f>VLOOKUP(A82,'Trips&amp;Operators'!$C$1:$G$99911,5,FALSE)</f>
        <v>LEVIN SCOTT</v>
      </c>
      <c r="M82" s="224">
        <f t="shared" si="32"/>
        <v>2.5729166671226267E-2</v>
      </c>
      <c r="N82" s="225">
        <f t="shared" si="29"/>
        <v>37.050000006565824</v>
      </c>
      <c r="O82" s="225"/>
      <c r="P82" s="225"/>
      <c r="Q82" s="228"/>
      <c r="R82" s="242"/>
      <c r="S82" s="249">
        <f t="shared" si="30"/>
        <v>1</v>
      </c>
      <c r="T82" s="242" t="str">
        <f t="shared" si="33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4"/>
        <v>https://d0f6bd738d7f1b3e5a7ca70fe4ff75f0.us-east-1.aws.found.io/app/kibana#/discover/Steve-Slow-Train-Analysis-(2080s-and-2083s)?_g=(refreshInterval:(display:Off,pause:!f,section:0,value:0),time:(from:'2017-12-06T11:45:49-0700',mode:absolute,to:'2017-12-06T14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247" t="str">
        <f>IF(AA82&lt;VLOOKUP(AG82,Variables!$AC$3:$AD$8,2,FALSE),"Y","N")</f>
        <v>N</v>
      </c>
      <c r="X82" s="247">
        <f t="shared" si="35"/>
        <v>1</v>
      </c>
      <c r="Y82" s="247">
        <f t="shared" si="36"/>
        <v>23.3002</v>
      </c>
      <c r="Z82" s="247">
        <f t="shared" si="37"/>
        <v>1.2999999999999999E-2</v>
      </c>
      <c r="AA82" s="247">
        <f t="shared" si="38"/>
        <v>23.287199999999999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9"/>
        <v>168</v>
      </c>
      <c r="AE82" s="235" t="str">
        <f t="shared" si="4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82" s="234" t="str">
        <f t="shared" si="41"/>
        <v>"C:\Program Files (x86)\AstroGrep\AstroGrep.exe" /e /r /s /spath="%USERPROFILE%\AppData\Local\Temp\OnboardLogs" /stypes="app*4007*20171206*" /stext=" 20:.+((SYSTEM_STATE.+slice.+state.+changed )|(ment ac)|(multiple cpu faults)|(system.+state.+changed )|(\[timeout)|(PRM\|1\|D)|(kpr)|(kdp)|(train st.+moving)|(\|lc)|(penalty))"</v>
      </c>
      <c r="AG82" s="244" t="str">
        <f t="shared" si="42"/>
        <v>EC</v>
      </c>
      <c r="AH82" s="236" t="str">
        <f t="shared" si="43"/>
        <v>"%USERPROFILE%\Documents\GitHub\eaglep3\Utilities\RefineRTDCRunTimes.py" --tripid 168-06 --locoid 4007 --swversion DE.1.0.9.0 --startMP 204:233002 --initTime 2017-12-06T12:45:49 --startdatetime 2017-12-06T12:57:16 --delay 67 --endMP 204:130 --enddatetime 2017-12-06T13:34:19 --enforcementcount 0 &gt;&gt;%USERPROFILE%\Documents\GitHub\eaglep3-reporting\EC\2017-12-06-refined-times.txt</v>
      </c>
      <c r="AI8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{"issue":{"subject":"","project_id":79,"tracker_id":40,"status_id":1,"priority_id":2,"assigned_to_id":338,"start_date":"2017-12-06","description":"","custom_fields":[{"id":1,"name":"Subdivision","value":"EC"},{"id":4,"name":"Milepost","value":"0.013"},{"id":17,"name":"Train ID","value":"168-06"},{"id":16,"name":"Locomotive ID","value":"4007"},{"id":130,"name":"Impact","value":""},{"id":150,"name":"Time of Event (Mountain Time)","value":"13:34:19"},{"id":151,"name":"Denver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5"/>
        <v>start /low /b %USERPROFILE%\Documents\GitHub\eaglep3\Utilities\DownloadLogsFromS3.py --loco 4007 --day 2017-12-06</v>
      </c>
      <c r="AN82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7"/>
        <v>https://d0f6bd738d7f1b3e5a7ca70fe4ff75f0.us-east-1.aws.found.io/app/kibana#/discover/Steve-Slow-Train-Analysis-(2080s-and-2083s)?_g=(refreshInterval:(display:Off,pause:!f,section:0,value:0),time:(from:'2017-12-06T11:45:49-0700',mode:absolute,to:'2017-12-06T14:34:19-0700'))&amp;_a=(columns:!('Message%20ID',Summary),filters:!(),index:'emp_*',interval:auto,query:(query_string:(analyze_wildcard:!t,query:'%22rtdc.l.rtdc.4007%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760</v>
      </c>
      <c r="B83" s="225">
        <v>4034</v>
      </c>
      <c r="C83" s="227" t="s">
        <v>192</v>
      </c>
      <c r="D83" s="227" t="s">
        <v>951</v>
      </c>
      <c r="E83" s="226">
        <v>43075.504664351851</v>
      </c>
      <c r="F83" s="226">
        <v>43075.510671296295</v>
      </c>
      <c r="G83" s="225">
        <v>108</v>
      </c>
      <c r="H83" s="227" t="s">
        <v>952</v>
      </c>
      <c r="I83" s="226">
        <v>43075.535000000003</v>
      </c>
      <c r="J83" s="225">
        <v>0</v>
      </c>
      <c r="K83" s="237" t="str">
        <f t="shared" si="31"/>
        <v>4033/4034</v>
      </c>
      <c r="L83" s="245" t="str">
        <f>VLOOKUP(A83,'Trips&amp;Operators'!$C$1:$G$99911,5,FALSE)</f>
        <v>DE LA ROSA ALEX</v>
      </c>
      <c r="M83" s="224">
        <f t="shared" si="32"/>
        <v>2.4328703708306421E-2</v>
      </c>
      <c r="N83" s="225">
        <f t="shared" si="29"/>
        <v>35.033333339961246</v>
      </c>
      <c r="O83" s="225"/>
      <c r="P83" s="225"/>
      <c r="Q83" s="228"/>
      <c r="R83" s="242"/>
      <c r="S83" s="249">
        <f t="shared" si="30"/>
        <v>1</v>
      </c>
      <c r="T83" s="242" t="str">
        <f t="shared" si="33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4"/>
        <v>https://d0f6bd738d7f1b3e5a7ca70fe4ff75f0.us-east-1.aws.found.io/app/kibana#/discover/Steve-Slow-Train-Analysis-(2080s-and-2083s)?_g=(refreshInterval:(display:Off,pause:!f,section:0,value:0),time:(from:'2017-12-06T11:06:43-0700',mode:absolute,to:'2017-12-06T13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3" s="247" t="str">
        <f>IF(AA83&lt;VLOOKUP(AG83,Variables!$AC$3:$AD$8,2,FALSE),"Y","N")</f>
        <v>N</v>
      </c>
      <c r="X83" s="247">
        <f t="shared" si="35"/>
        <v>1</v>
      </c>
      <c r="Y83" s="247">
        <f t="shared" si="36"/>
        <v>4.6199999999999998E-2</v>
      </c>
      <c r="Z83" s="247">
        <f t="shared" si="37"/>
        <v>23.326799999999999</v>
      </c>
      <c r="AA83" s="247">
        <f t="shared" si="38"/>
        <v>23.2806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9"/>
        <v>169</v>
      </c>
      <c r="AE83" s="235" t="str">
        <f t="shared" si="4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83" s="234" t="str">
        <f t="shared" si="41"/>
        <v>"C:\Program Files (x86)\AstroGrep\AstroGrep.exe" /e /r /s /spath="%USERPROFILE%\AppData\Local\Temp\OnboardLogs" /stypes="app*4034*20171206*" /stext=" 19:.+((SYSTEM_STATE.+slice.+state.+changed )|(ment ac)|(multiple cpu faults)|(system.+state.+changed )|(\[timeout)|(PRM\|1\|D)|(kpr)|(kdp)|(train st.+moving)|(\|lc)|(penalty))"</v>
      </c>
      <c r="AG83" s="244" t="str">
        <f t="shared" si="42"/>
        <v>EC</v>
      </c>
      <c r="AH83" s="236" t="str">
        <f t="shared" si="43"/>
        <v>"%USERPROFILE%\Documents\GitHub\eaglep3\Utilities\RefineRTDCRunTimes.py" --tripid 169-06 --locoid 4034 --swversion DE.1.0.9.0 --startMP 204:462 --initTime 2017-12-06T12:06:43 --startdatetime 2017-12-06T12:15:22 --delay 108 --endMP 204:233268 --enddatetime 2017-12-06T12:50:24 --enforcementcount 0 &gt;&gt;%USERPROFILE%\Documents\GitHub\eaglep3-reporting\EC\2017-12-06-refined-times.txt</v>
      </c>
      <c r="AI8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{"issue":{"subject":"","project_id":79,"tracker_id":40,"status_id":1,"priority_id":2,"assigned_to_id":338,"start_date":"2017-12-06","description":"","custom_fields":[{"id":1,"name":"Subdivision","value":"EC"},{"id":4,"name":"Milepost","value":"23.3268"},{"id":17,"name":"Train ID","value":"169-06"},{"id":16,"name":"Locomotive ID","value":"4034"},{"id":130,"name":"Impact","value":""},{"id":150,"name":"Time of Event (Mountain Time)","value":"12:50:24"},{"id":151,"name":"Denver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5"/>
        <v>start /low /b %USERPROFILE%\Documents\GitHub\eaglep3\Utilities\DownloadLogsFromS3.py --loco 4034 --day 2017-12-06</v>
      </c>
      <c r="AN83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7"/>
        <v>https://d0f6bd738d7f1b3e5a7ca70fe4ff75f0.us-east-1.aws.found.io/app/kibana#/discover/Steve-Slow-Train-Analysis-(2080s-and-2083s)?_g=(refreshInterval:(display:Off,pause:!f,section:0,value:0),time:(from:'2017-12-06T11:06:43-0700',mode:absolute,to:'2017-12-06T13:50:24-0700'))&amp;_a=(columns:!('Message%20ID',Summary),filters:!(),index:'emp_*',interval:auto,query:(query_string:(analyze_wildcard:!t,query:'%22rtdc.l.rtdc.4034%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773</v>
      </c>
      <c r="B84" s="225">
        <v>4033</v>
      </c>
      <c r="C84" s="227" t="s">
        <v>192</v>
      </c>
      <c r="D84" s="227" t="s">
        <v>470</v>
      </c>
      <c r="E84" s="226">
        <v>43075.547905092593</v>
      </c>
      <c r="F84" s="226">
        <v>43075.550509259258</v>
      </c>
      <c r="G84" s="225">
        <v>67</v>
      </c>
      <c r="H84" s="227" t="s">
        <v>953</v>
      </c>
      <c r="I84" s="226">
        <v>43075.576296296298</v>
      </c>
      <c r="J84" s="225">
        <v>0</v>
      </c>
      <c r="K84" s="237" t="str">
        <f t="shared" si="31"/>
        <v>4033/4034</v>
      </c>
      <c r="L84" s="245" t="str">
        <f>VLOOKUP(A84,'Trips&amp;Operators'!$C$1:$G$99911,5,FALSE)</f>
        <v>DE LA ROSA ALEX</v>
      </c>
      <c r="M84" s="224">
        <f t="shared" si="32"/>
        <v>2.5787037040572613E-2</v>
      </c>
      <c r="N84" s="225">
        <f t="shared" si="29"/>
        <v>37.133333338424563</v>
      </c>
      <c r="O84" s="225"/>
      <c r="P84" s="225"/>
      <c r="Q84" s="228"/>
      <c r="R84" s="242"/>
      <c r="S84" s="249">
        <f t="shared" si="30"/>
        <v>1</v>
      </c>
      <c r="T84" s="242" t="str">
        <f t="shared" si="33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4"/>
        <v>https://d0f6bd738d7f1b3e5a7ca70fe4ff75f0.us-east-1.aws.found.io/app/kibana#/discover/Steve-Slow-Train-Analysis-(2080s-and-2083s)?_g=(refreshInterval:(display:Off,pause:!f,section:0,value:0),time:(from:'2017-12-06T12:08:59-0700',mode:absolute,to:'2017-12-06T14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4" s="247" t="str">
        <f>IF(AA84&lt;VLOOKUP(AG84,Variables!$AC$3:$AD$8,2,FALSE),"Y","N")</f>
        <v>N</v>
      </c>
      <c r="X84" s="247">
        <f t="shared" si="35"/>
        <v>1</v>
      </c>
      <c r="Y84" s="247">
        <f t="shared" si="36"/>
        <v>23.296500000000002</v>
      </c>
      <c r="Z84" s="247">
        <f t="shared" si="37"/>
        <v>1.67E-2</v>
      </c>
      <c r="AA84" s="247">
        <f t="shared" si="38"/>
        <v>23.279800000000002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9"/>
        <v>170</v>
      </c>
      <c r="AE84" s="235" t="str">
        <f t="shared" si="4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84" s="234" t="str">
        <f t="shared" si="41"/>
        <v>"C:\Program Files (x86)\AstroGrep\AstroGrep.exe" /e /r /s /spath="%USERPROFILE%\AppData\Local\Temp\OnboardLogs" /stypes="app*4033*20171206*" /stext=" 20:.+((SYSTEM_STATE.+slice.+state.+changed )|(ment ac)|(multiple cpu faults)|(system.+state.+changed )|(\[timeout)|(PRM\|1\|D)|(kpr)|(kdp)|(train st.+moving)|(\|lc)|(penalty))"</v>
      </c>
      <c r="AG84" s="244" t="str">
        <f t="shared" si="42"/>
        <v>EC</v>
      </c>
      <c r="AH84" s="236" t="str">
        <f t="shared" si="43"/>
        <v>"%USERPROFILE%\Documents\GitHub\eaglep3\Utilities\RefineRTDCRunTimes.py" --tripid 170-06 --locoid 4033 --swversion DE.1.0.9.0 --startMP 204:232965 --initTime 2017-12-06T13:08:59 --startdatetime 2017-12-06T13:12:44 --delay 67 --endMP 204:167 --enddatetime 2017-12-06T13:49:52 --enforcementcount 0 &gt;&gt;%USERPROFILE%\Documents\GitHub\eaglep3-reporting\EC\2017-12-06-refined-times.txt</v>
      </c>
      <c r="AI8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{"issue":{"subject":"","project_id":79,"tracker_id":40,"status_id":1,"priority_id":2,"assigned_to_id":338,"start_date":"2017-12-06","description":"","custom_fields":[{"id":1,"name":"Subdivision","value":"EC"},{"id":4,"name":"Milepost","value":"0.0167"},{"id":17,"name":"Train ID","value":"170-06"},{"id":16,"name":"Locomotive ID","value":"4033"},{"id":130,"name":"Impact","value":""},{"id":150,"name":"Time of Event (Mountain Time)","value":"13:49:52"},{"id":151,"name":"Denver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5"/>
        <v>start /low /b %USERPROFILE%\Documents\GitHub\eaglep3\Utilities\DownloadLogsFromS3.py --loco 4033 --day 2017-12-06</v>
      </c>
      <c r="AN84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7"/>
        <v>https://d0f6bd738d7f1b3e5a7ca70fe4ff75f0.us-east-1.aws.found.io/app/kibana#/discover/Steve-Slow-Train-Analysis-(2080s-and-2083s)?_g=(refreshInterval:(display:Off,pause:!f,section:0,value:0),time:(from:'2017-12-06T12:08:59-0700',mode:absolute,to:'2017-12-06T14:49:52-0700'))&amp;_a=(columns:!('Message%20ID',Summary),filters:!(),index:'emp_*',interval:auto,query:(query_string:(analyze_wildcard:!t,query:'%22rtdc.l.rtdc.4033%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764</v>
      </c>
      <c r="B85" s="225">
        <v>4010</v>
      </c>
      <c r="C85" s="227" t="s">
        <v>192</v>
      </c>
      <c r="D85" s="227" t="s">
        <v>534</v>
      </c>
      <c r="E85" s="226">
        <v>43075.518854166665</v>
      </c>
      <c r="F85" s="226">
        <v>43075.521238425928</v>
      </c>
      <c r="G85" s="225">
        <v>66</v>
      </c>
      <c r="H85" s="227" t="s">
        <v>939</v>
      </c>
      <c r="I85" s="226">
        <v>43075.546840277777</v>
      </c>
      <c r="J85" s="225">
        <v>0</v>
      </c>
      <c r="K85" s="237" t="str">
        <f t="shared" si="31"/>
        <v>4009/4010</v>
      </c>
      <c r="L85" s="245" t="str">
        <f>VLOOKUP(A85,'Trips&amp;Operators'!$C$1:$G$99911,5,FALSE)</f>
        <v>DAVIS MICHAEL</v>
      </c>
      <c r="M85" s="224">
        <f t="shared" si="32"/>
        <v>2.5601851848477963E-2</v>
      </c>
      <c r="N85" s="225">
        <f t="shared" si="29"/>
        <v>36.866666661808267</v>
      </c>
      <c r="O85" s="225"/>
      <c r="P85" s="225"/>
      <c r="Q85" s="228"/>
      <c r="R85" s="242"/>
      <c r="S85" s="249">
        <f t="shared" si="30"/>
        <v>1</v>
      </c>
      <c r="T85" s="242" t="str">
        <f t="shared" si="33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4"/>
        <v>https://d0f6bd738d7f1b3e5a7ca70fe4ff75f0.us-east-1.aws.found.io/app/kibana#/discover/Steve-Slow-Train-Analysis-(2080s-and-2083s)?_g=(refreshInterval:(display:Off,pause:!f,section:0,value:0),time:(from:'2017-12-06T11:27:09-0700',mode:absolute,to:'2017-12-06T14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247" t="str">
        <f>IF(AA85&lt;VLOOKUP(AG85,Variables!$AC$3:$AD$8,2,FALSE),"Y","N")</f>
        <v>N</v>
      </c>
      <c r="X85" s="247">
        <f t="shared" si="35"/>
        <v>1</v>
      </c>
      <c r="Y85" s="247">
        <f t="shared" si="36"/>
        <v>5.3100000000000001E-2</v>
      </c>
      <c r="Z85" s="247">
        <f t="shared" si="37"/>
        <v>23.3323</v>
      </c>
      <c r="AA85" s="247">
        <f t="shared" si="38"/>
        <v>23.279199999999999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9"/>
        <v>171</v>
      </c>
      <c r="AE85" s="235" t="str">
        <f t="shared" si="4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85" s="234" t="str">
        <f t="shared" si="41"/>
        <v>"C:\Program Files (x86)\AstroGrep\AstroGrep.exe" /e /r /s /spath="%USERPROFILE%\AppData\Local\Temp\OnboardLogs" /stypes="app*4010*20171206*" /stext=" 20:.+((SYSTEM_STATE.+slice.+state.+changed )|(ment ac)|(multiple cpu faults)|(system.+state.+changed )|(\[timeout)|(PRM\|1\|D)|(kpr)|(kdp)|(train st.+moving)|(\|lc)|(penalty))"</v>
      </c>
      <c r="AG85" s="244" t="str">
        <f t="shared" si="42"/>
        <v>EC</v>
      </c>
      <c r="AH85" s="236" t="str">
        <f t="shared" si="43"/>
        <v>"%USERPROFILE%\Documents\GitHub\eaglep3\Utilities\RefineRTDCRunTimes.py" --tripid 171-06 --locoid 4010 --swversion DE.1.0.9.0 --startMP 204:531 --initTime 2017-12-06T12:27:09 --startdatetime 2017-12-06T12:30:35 --delay 66 --endMP 204:233323 --enddatetime 2017-12-06T13:07:27 --enforcementcount 0 &gt;&gt;%USERPROFILE%\Documents\GitHub\eaglep3-reporting\EC\2017-12-06-refined-times.txt</v>
      </c>
      <c r="AI8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{"issue":{"subject":"","project_id":79,"tracker_id":40,"status_id":1,"priority_id":2,"assigned_to_id":338,"start_date":"2017-12-06","description":"","custom_fields":[{"id":1,"name":"Subdivision","value":"EC"},{"id":4,"name":"Milepost","value":"23.3323"},{"id":17,"name":"Train ID","value":"171-06"},{"id":16,"name":"Locomotive ID","value":"4010"},{"id":130,"name":"Impact","value":""},{"id":150,"name":"Time of Event (Mountain Time)","value":"13:07:27"},{"id":151,"name":"Denver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5"/>
        <v>start /low /b %USERPROFILE%\Documents\GitHub\eaglep3\Utilities\DownloadLogsFromS3.py --loco 4010 --day 2017-12-06</v>
      </c>
      <c r="AN85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7"/>
        <v>https://d0f6bd738d7f1b3e5a7ca70fe4ff75f0.us-east-1.aws.found.io/app/kibana#/discover/Steve-Slow-Train-Analysis-(2080s-and-2083s)?_g=(refreshInterval:(display:Off,pause:!f,section:0,value:0),time:(from:'2017-12-06T11:27:09-0700',mode:absolute,to:'2017-12-06T14:07:27-0700'))&amp;_a=(columns:!('Message%20ID',Summary),filters:!(),index:'emp_*',interval:auto,query:(query_string:(analyze_wildcard:!t,query:'%22rtdc.l.rtdc.4010%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775</v>
      </c>
      <c r="B86" s="225">
        <v>4009</v>
      </c>
      <c r="C86" s="227" t="s">
        <v>192</v>
      </c>
      <c r="D86" s="227" t="s">
        <v>588</v>
      </c>
      <c r="E86" s="226">
        <v>43075.558715277781</v>
      </c>
      <c r="F86" s="226">
        <v>43075.560914351852</v>
      </c>
      <c r="G86" s="225">
        <v>78</v>
      </c>
      <c r="H86" s="227" t="s">
        <v>573</v>
      </c>
      <c r="I86" s="226">
        <v>43075.587858796294</v>
      </c>
      <c r="J86" s="225">
        <v>0</v>
      </c>
      <c r="K86" s="237" t="str">
        <f t="shared" si="31"/>
        <v>4009/4010</v>
      </c>
      <c r="L86" s="245" t="str">
        <f>VLOOKUP(A86,'Trips&amp;Operators'!$C$1:$G$99911,5,FALSE)</f>
        <v>DAVIS MICHAEL</v>
      </c>
      <c r="M86" s="224">
        <f t="shared" si="32"/>
        <v>2.6944444442051463E-2</v>
      </c>
      <c r="N86" s="225">
        <f t="shared" si="29"/>
        <v>38.799999996554106</v>
      </c>
      <c r="O86" s="225"/>
      <c r="P86" s="225"/>
      <c r="Q86" s="228"/>
      <c r="R86" s="242"/>
      <c r="S86" s="249">
        <f t="shared" si="30"/>
        <v>1</v>
      </c>
      <c r="T86" s="242" t="str">
        <f t="shared" si="33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4"/>
        <v>https://d0f6bd738d7f1b3e5a7ca70fe4ff75f0.us-east-1.aws.found.io/app/kibana#/discover/Steve-Slow-Train-Analysis-(2080s-and-2083s)?_g=(refreshInterval:(display:Off,pause:!f,section:0,value:0),time:(from:'2017-12-06T12:24:33-0700',mode:absolute,to:'2017-12-06T15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247" t="str">
        <f>IF(AA86&lt;VLOOKUP(AG86,Variables!$AC$3:$AD$8,2,FALSE),"Y","N")</f>
        <v>N</v>
      </c>
      <c r="X86" s="247">
        <f t="shared" si="35"/>
        <v>1</v>
      </c>
      <c r="Y86" s="247">
        <f t="shared" si="36"/>
        <v>23.299399999999999</v>
      </c>
      <c r="Z86" s="247">
        <f t="shared" si="37"/>
        <v>2.1999999999999999E-2</v>
      </c>
      <c r="AA86" s="247">
        <f t="shared" si="38"/>
        <v>23.2774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9"/>
        <v>172</v>
      </c>
      <c r="AE86" s="235" t="str">
        <f t="shared" si="4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86" s="234" t="str">
        <f t="shared" si="41"/>
        <v>"C:\Program Files (x86)\AstroGrep\AstroGrep.exe" /e /r /s /spath="%USERPROFILE%\AppData\Local\Temp\OnboardLogs" /stypes="app*4009*20171206*" /stext=" 21:.+((SYSTEM_STATE.+slice.+state.+changed )|(ment ac)|(multiple cpu faults)|(system.+state.+changed )|(\[timeout)|(PRM\|1\|D)|(kpr)|(kdp)|(train st.+moving)|(\|lc)|(penalty))"</v>
      </c>
      <c r="AG86" s="244" t="str">
        <f t="shared" si="42"/>
        <v>EC</v>
      </c>
      <c r="AH86" s="236" t="str">
        <f t="shared" si="43"/>
        <v>"%USERPROFILE%\Documents\GitHub\eaglep3\Utilities\RefineRTDCRunTimes.py" --tripid 172-06 --locoid 4009 --swversion DE.1.0.9.0 --startMP 204:232994 --initTime 2017-12-06T13:24:33 --startdatetime 2017-12-06T13:27:43 --delay 78 --endMP 204:220 --enddatetime 2017-12-06T14:06:31 --enforcementcount 0 &gt;&gt;%USERPROFILE%\Documents\GitHub\eaglep3-reporting\EC\2017-12-06-refined-times.txt</v>
      </c>
      <c r="AI8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{"issue":{"subject":"","project_id":79,"tracker_id":40,"status_id":1,"priority_id":2,"assigned_to_id":338,"start_date":"2017-12-06","description":"","custom_fields":[{"id":1,"name":"Subdivision","value":"EC"},{"id":4,"name":"Milepost","value":"0.022"},{"id":17,"name":"Train ID","value":"172-06"},{"id":16,"name":"Locomotive ID","value":"4009"},{"id":130,"name":"Impact","value":""},{"id":150,"name":"Time of Event (Mountain Time)","value":"14:06:31"},{"id":151,"name":"Denver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5"/>
        <v>start /low /b %USERPROFILE%\Documents\GitHub\eaglep3\Utilities\DownloadLogsFromS3.py --loco 4009 --day 2017-12-06</v>
      </c>
      <c r="AN86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7"/>
        <v>https://d0f6bd738d7f1b3e5a7ca70fe4ff75f0.us-east-1.aws.found.io/app/kibana#/discover/Steve-Slow-Train-Analysis-(2080s-and-2083s)?_g=(refreshInterval:(display:Off,pause:!f,section:0,value:0),time:(from:'2017-12-06T12:24:33-0700',mode:absolute,to:'2017-12-06T15:06:31-0700'))&amp;_a=(columns:!('Message%20ID',Summary),filters:!(),index:'emp_*',interval:auto,query:(query_string:(analyze_wildcard:!t,query:'%22rtdc.l.rtdc.4009%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765</v>
      </c>
      <c r="B87" s="225">
        <v>4062</v>
      </c>
      <c r="C87" s="227" t="s">
        <v>192</v>
      </c>
      <c r="D87" s="227" t="s">
        <v>489</v>
      </c>
      <c r="E87" s="226">
        <v>43075.526064814818</v>
      </c>
      <c r="F87" s="226">
        <v>43075.531446759262</v>
      </c>
      <c r="G87" s="225">
        <v>225</v>
      </c>
      <c r="H87" s="227" t="s">
        <v>486</v>
      </c>
      <c r="I87" s="226">
        <v>43075.556122685186</v>
      </c>
      <c r="J87" s="225">
        <v>0</v>
      </c>
      <c r="K87" s="237" t="str">
        <f t="shared" si="31"/>
        <v>4061/4062</v>
      </c>
      <c r="L87" s="245" t="str">
        <f>VLOOKUP(A87,'Trips&amp;Operators'!$C$1:$G$99911,5,FALSE)</f>
        <v>KILLION DAVID</v>
      </c>
      <c r="M87" s="224">
        <f t="shared" si="32"/>
        <v>2.4675925924384501E-2</v>
      </c>
      <c r="N87" s="225">
        <f t="shared" si="29"/>
        <v>35.533333331113681</v>
      </c>
      <c r="O87" s="225"/>
      <c r="P87" s="225"/>
      <c r="Q87" s="228"/>
      <c r="R87" s="242"/>
      <c r="S87" s="249">
        <f t="shared" si="30"/>
        <v>1</v>
      </c>
      <c r="T87" s="242" t="str">
        <f t="shared" si="33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4"/>
        <v>https://d0f6bd738d7f1b3e5a7ca70fe4ff75f0.us-east-1.aws.found.io/app/kibana#/discover/Steve-Slow-Train-Analysis-(2080s-and-2083s)?_g=(refreshInterval:(display:Off,pause:!f,section:0,value:0),time:(from:'2017-12-06T11:37:32-0700',mode:absolute,to:'2017-12-06T14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247" t="str">
        <f>IF(AA87&lt;VLOOKUP(AG87,Variables!$AC$3:$AD$8,2,FALSE),"Y","N")</f>
        <v>N</v>
      </c>
      <c r="X87" s="247">
        <f t="shared" si="35"/>
        <v>1</v>
      </c>
      <c r="Y87" s="247">
        <f t="shared" si="36"/>
        <v>5.1299999999999998E-2</v>
      </c>
      <c r="Z87" s="247">
        <f t="shared" si="37"/>
        <v>23.3291</v>
      </c>
      <c r="AA87" s="247">
        <f t="shared" si="38"/>
        <v>23.277799999999999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9"/>
        <v>173</v>
      </c>
      <c r="AE87" s="235" t="str">
        <f t="shared" si="4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87" s="234" t="str">
        <f t="shared" si="41"/>
        <v>"C:\Program Files (x86)\AstroGrep\AstroGrep.exe" /e /r /s /spath="%USERPROFILE%\AppData\Local\Temp\OnboardLogs" /stypes="app*4062*20171206*" /stext=" 20:.+((SYSTEM_STATE.+slice.+state.+changed )|(ment ac)|(multiple cpu faults)|(system.+state.+changed )|(\[timeout)|(PRM\|1\|D)|(kpr)|(kdp)|(train st.+moving)|(\|lc)|(penalty))"</v>
      </c>
      <c r="AG87" s="244" t="str">
        <f t="shared" si="42"/>
        <v>EC</v>
      </c>
      <c r="AH87" s="236" t="str">
        <f t="shared" si="43"/>
        <v>"%USERPROFILE%\Documents\GitHub\eaglep3\Utilities\RefineRTDCRunTimes.py" --tripid 173-06 --locoid 4062 --swversion DE.1.0.9.0 --startMP 204:513 --initTime 2017-12-06T12:37:32 --startdatetime 2017-12-06T12:45:17 --delay 225 --endMP 204:233291 --enddatetime 2017-12-06T13:20:49 --enforcementcount 0 &gt;&gt;%USERPROFILE%\Documents\GitHub\eaglep3-reporting\EC\2017-12-06-refined-times.txt</v>
      </c>
      <c r="AI8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{"issue":{"subject":"","project_id":79,"tracker_id":40,"status_id":1,"priority_id":2,"assigned_to_id":338,"start_date":"2017-12-06","description":"","custom_fields":[{"id":1,"name":"Subdivision","value":"EC"},{"id":4,"name":"Milepost","value":"23.3291"},{"id":17,"name":"Train ID","value":"173-06"},{"id":16,"name":"Locomotive ID","value":"4062"},{"id":130,"name":"Impact","value":""},{"id":150,"name":"Time of Event (Mountain Time)","value":"13:20:49"},{"id":151,"name":"Denver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5"/>
        <v>start /low /b %USERPROFILE%\Documents\GitHub\eaglep3\Utilities\DownloadLogsFromS3.py --loco 4062 --day 2017-12-06</v>
      </c>
      <c r="AN87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7"/>
        <v>https://d0f6bd738d7f1b3e5a7ca70fe4ff75f0.us-east-1.aws.found.io/app/kibana#/discover/Steve-Slow-Train-Analysis-(2080s-and-2083s)?_g=(refreshInterval:(display:Off,pause:!f,section:0,value:0),time:(from:'2017-12-06T11:37:32-0700',mode:absolute,to:'2017-12-06T14:20:49-0700'))&amp;_a=(columns:!('Message%20ID',Summary),filters:!(),index:'emp_*',interval:auto,query:(query_string:(analyze_wildcard:!t,query:'%22rtdc.l.rtdc.4062%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650</v>
      </c>
      <c r="B88" s="225">
        <v>4061</v>
      </c>
      <c r="C88" s="227" t="s">
        <v>192</v>
      </c>
      <c r="D88" s="227" t="s">
        <v>470</v>
      </c>
      <c r="E88" s="226">
        <v>43075.56077546296</v>
      </c>
      <c r="F88" s="226">
        <v>43075.571134259262</v>
      </c>
      <c r="G88" s="225">
        <v>75</v>
      </c>
      <c r="H88" s="227" t="s">
        <v>900</v>
      </c>
      <c r="I88" s="226">
        <v>43075.59784722222</v>
      </c>
      <c r="J88" s="225">
        <v>0</v>
      </c>
      <c r="K88" s="237" t="str">
        <f t="shared" si="31"/>
        <v>4061/4062</v>
      </c>
      <c r="L88" s="245" t="str">
        <f>VLOOKUP(A88,'Trips&amp;Operators'!$C$1:$G$99911,5,FALSE)</f>
        <v>KILLION DAVID</v>
      </c>
      <c r="M88" s="224">
        <f t="shared" si="32"/>
        <v>2.6712962957390118E-2</v>
      </c>
      <c r="N88" s="225">
        <f t="shared" si="29"/>
        <v>38.46666665864177</v>
      </c>
      <c r="O88" s="225"/>
      <c r="P88" s="225"/>
      <c r="Q88" s="228"/>
      <c r="R88" s="242"/>
      <c r="S88" s="249">
        <f t="shared" si="30"/>
        <v>1</v>
      </c>
      <c r="T88" s="242" t="str">
        <f t="shared" si="33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4"/>
        <v>https://d0f6bd738d7f1b3e5a7ca70fe4ff75f0.us-east-1.aws.found.io/app/kibana#/discover/Steve-Slow-Train-Analysis-(2080s-and-2083s)?_g=(refreshInterval:(display:Off,pause:!f,section:0,value:0),time:(from:'2017-12-06T12:27:31-0700',mode:absolute,to:'2017-12-06T15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247" t="str">
        <f>IF(AA88&lt;VLOOKUP(AG88,Variables!$AC$3:$AD$8,2,FALSE),"Y","N")</f>
        <v>N</v>
      </c>
      <c r="X88" s="247">
        <f t="shared" si="35"/>
        <v>1</v>
      </c>
      <c r="Y88" s="247">
        <f t="shared" si="36"/>
        <v>23.296500000000002</v>
      </c>
      <c r="Z88" s="247">
        <f t="shared" si="37"/>
        <v>2.0500000000000001E-2</v>
      </c>
      <c r="AA88" s="247">
        <f t="shared" si="38"/>
        <v>23.276000000000003</v>
      </c>
      <c r="AB88" s="233" t="str">
        <f>VLOOKUP(A88,Enforcements!$C$7:$K$9,8,0)</f>
        <v>Bulletin (2)</v>
      </c>
      <c r="AC88" s="232" t="str">
        <f>VLOOKUP(A88,Enforcements!$C$7:$E$9,3,0)</f>
        <v>GRADE CROSSING</v>
      </c>
      <c r="AD88" s="243">
        <f t="shared" si="39"/>
        <v>174</v>
      </c>
      <c r="AE88" s="235" t="str">
        <f t="shared" si="4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88" s="234" t="str">
        <f t="shared" si="41"/>
        <v>"C:\Program Files (x86)\AstroGrep\AstroGrep.exe" /e /r /s /spath="%USERPROFILE%\AppData\Local\Temp\OnboardLogs" /stypes="app*4061*20171206*" /stext=" 21:.+((SYSTEM_STATE.+slice.+state.+changed )|(ment ac)|(multiple cpu faults)|(system.+state.+changed )|(\[timeout)|(PRM\|1\|D)|(kpr)|(kdp)|(train st.+moving)|(\|lc)|(penalty))"</v>
      </c>
      <c r="AG88" s="244" t="str">
        <f t="shared" si="42"/>
        <v>EC</v>
      </c>
      <c r="AH88" s="236" t="str">
        <f t="shared" si="43"/>
        <v>"%USERPROFILE%\Documents\GitHub\eaglep3\Utilities\RefineRTDCRunTimes.py" --tripid 174-06 --locoid 4061 --swversion DE.1.0.9.0 --startMP 204:232965 --initTime 2017-12-06T13:27:31 --startdatetime 2017-12-06T13:42:26 --delay 75 --endMP 204:205 --enddatetime 2017-12-06T14:20:54 --enforcementcount 0 &gt;&gt;%USERPROFILE%\Documents\GitHub\eaglep3-reporting\EC\2017-12-06-refined-times.txt</v>
      </c>
      <c r="AI8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{"issue":{"subject":"","project_id":79,"tracker_id":40,"status_id":1,"priority_id":2,"assigned_to_id":338,"start_date":"2017-12-06","description":"","custom_fields":[{"id":1,"name":"Subdivision","value":"EC"},{"id":4,"name":"Milepost","value":"0.0205"},{"id":17,"name":"Train ID","value":"174-06"},{"id":16,"name":"Locomotive ID","value":"4061"},{"id":130,"name":"Impact","value":""},{"id":150,"name":"Time of Event (Mountain Time)","value":"14:20:54"},{"id":151,"name":"Denver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5"/>
        <v>start /low /b %USERPROFILE%\Documents\GitHub\eaglep3\Utilities\DownloadLogsFromS3.py --loco 4061 --day 2017-12-06</v>
      </c>
      <c r="AN88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7"/>
        <v>https://d0f6bd738d7f1b3e5a7ca70fe4ff75f0.us-east-1.aws.found.io/app/kibana#/discover/Steve-Slow-Train-Analysis-(2080s-and-2083s)?_g=(refreshInterval:(display:Off,pause:!f,section:0,value:0),time:(from:'2017-12-06T12:27:31-0700',mode:absolute,to:'2017-12-06T15:20:54-0700'))&amp;_a=(columns:!('Message%20ID',Summary),filters:!(),index:'emp_*',interval:auto,query:(query_string:(analyze_wildcard:!t,query:'%22rtdc.l.rtdc.4061%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768</v>
      </c>
      <c r="B89" s="225">
        <v>4032</v>
      </c>
      <c r="C89" s="227" t="s">
        <v>192</v>
      </c>
      <c r="D89" s="227" t="s">
        <v>489</v>
      </c>
      <c r="E89" s="226">
        <v>43075.538541666669</v>
      </c>
      <c r="F89" s="226">
        <v>43075.541851851849</v>
      </c>
      <c r="G89" s="225">
        <v>69</v>
      </c>
      <c r="H89" s="227" t="s">
        <v>954</v>
      </c>
      <c r="I89" s="226">
        <v>43075.567106481481</v>
      </c>
      <c r="J89" s="225">
        <v>0</v>
      </c>
      <c r="K89" s="237" t="str">
        <f t="shared" si="31"/>
        <v>4031/4032</v>
      </c>
      <c r="L89" s="245" t="str">
        <f>VLOOKUP(A89,'Trips&amp;Operators'!$C$1:$G$99911,5,FALSE)</f>
        <v>BRUDER RICHARD</v>
      </c>
      <c r="M89" s="224">
        <f t="shared" si="32"/>
        <v>2.5254629632399883E-2</v>
      </c>
      <c r="N89" s="225">
        <f t="shared" si="29"/>
        <v>36.366666670655832</v>
      </c>
      <c r="O89" s="225"/>
      <c r="P89" s="225"/>
      <c r="Q89" s="228"/>
      <c r="R89" s="242"/>
      <c r="S89" s="249">
        <f t="shared" si="30"/>
        <v>1</v>
      </c>
      <c r="T89" s="242" t="str">
        <f t="shared" si="33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4"/>
        <v>https://d0f6bd738d7f1b3e5a7ca70fe4ff75f0.us-east-1.aws.found.io/app/kibana#/discover/Steve-Slow-Train-Analysis-(2080s-and-2083s)?_g=(refreshInterval:(display:Off,pause:!f,section:0,value:0),time:(from:'2017-12-06T11:55:30-0700',mode:absolute,to:'2017-12-06T14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247" t="str">
        <f>IF(AA89&lt;VLOOKUP(AG89,Variables!$AC$3:$AD$8,2,FALSE),"Y","N")</f>
        <v>N</v>
      </c>
      <c r="X89" s="247">
        <f t="shared" si="35"/>
        <v>1</v>
      </c>
      <c r="Y89" s="247">
        <f t="shared" si="36"/>
        <v>5.1299999999999998E-2</v>
      </c>
      <c r="Z89" s="247">
        <f t="shared" si="37"/>
        <v>23.320799999999998</v>
      </c>
      <c r="AA89" s="247">
        <f t="shared" si="38"/>
        <v>23.269499999999997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9"/>
        <v>175</v>
      </c>
      <c r="AE89" s="235" t="str">
        <f t="shared" si="4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89" s="234" t="str">
        <f t="shared" si="41"/>
        <v>"C:\Program Files (x86)\AstroGrep\AstroGrep.exe" /e /r /s /spath="%USERPROFILE%\AppData\Local\Temp\OnboardLogs" /stypes="app*4032*20171206*" /stext=" 20:.+((SYSTEM_STATE.+slice.+state.+changed )|(ment ac)|(multiple cpu faults)|(system.+state.+changed )|(\[timeout)|(PRM\|1\|D)|(kpr)|(kdp)|(train st.+moving)|(\|lc)|(penalty))"</v>
      </c>
      <c r="AG89" s="244" t="str">
        <f t="shared" si="42"/>
        <v>EC</v>
      </c>
      <c r="AH89" s="236" t="str">
        <f t="shared" si="43"/>
        <v>"%USERPROFILE%\Documents\GitHub\eaglep3\Utilities\RefineRTDCRunTimes.py" --tripid 175-06 --locoid 4032 --swversion DE.1.0.9.0 --startMP 204:513 --initTime 2017-12-06T12:55:30 --startdatetime 2017-12-06T13:00:16 --delay 69 --endMP 204:233208 --enddatetime 2017-12-06T13:36:38 --enforcementcount 0 &gt;&gt;%USERPROFILE%\Documents\GitHub\eaglep3-reporting\EC\2017-12-06-refined-times.txt</v>
      </c>
      <c r="AI8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{"issue":{"subject":"","project_id":79,"tracker_id":40,"status_id":1,"priority_id":2,"assigned_to_id":338,"start_date":"2017-12-06","description":"","custom_fields":[{"id":1,"name":"Subdivision","value":"EC"},{"id":4,"name":"Milepost","value":"23.3208"},{"id":17,"name":"Train ID","value":"175-06"},{"id":16,"name":"Locomotive ID","value":"4032"},{"id":130,"name":"Impact","value":""},{"id":150,"name":"Time of Event (Mountain Time)","value":"13:36:38"},{"id":151,"name":"Denver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5"/>
        <v>start /low /b %USERPROFILE%\Documents\GitHub\eaglep3\Utilities\DownloadLogsFromS3.py --loco 4032 --day 2017-12-06</v>
      </c>
      <c r="AN89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7"/>
        <v>https://d0f6bd738d7f1b3e5a7ca70fe4ff75f0.us-east-1.aws.found.io/app/kibana#/discover/Steve-Slow-Train-Analysis-(2080s-and-2083s)?_g=(refreshInterval:(display:Off,pause:!f,section:0,value:0),time:(from:'2017-12-06T11:55:30-0700',mode:absolute,to:'2017-12-06T14:36:38-0700'))&amp;_a=(columns:!('Message%20ID',Summary),filters:!(),index:'emp_*',interval:auto,query:(query_string:(analyze_wildcard:!t,query:'%22rtdc.l.rtdc.4032%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779</v>
      </c>
      <c r="B90" s="225">
        <v>4031</v>
      </c>
      <c r="C90" s="227" t="s">
        <v>192</v>
      </c>
      <c r="D90" s="227" t="s">
        <v>955</v>
      </c>
      <c r="E90" s="226">
        <v>43075.577893518515</v>
      </c>
      <c r="F90" s="226">
        <v>43075.581423611111</v>
      </c>
      <c r="G90" s="225">
        <v>55</v>
      </c>
      <c r="H90" s="227" t="s">
        <v>527</v>
      </c>
      <c r="I90" s="226">
        <v>43075.606886574074</v>
      </c>
      <c r="J90" s="225">
        <v>0</v>
      </c>
      <c r="K90" s="237" t="str">
        <f t="shared" si="31"/>
        <v>4031/4032</v>
      </c>
      <c r="L90" s="245" t="str">
        <f>VLOOKUP(A90,'Trips&amp;Operators'!$C$1:$G$99911,5,FALSE)</f>
        <v>BRUDER RICHARD</v>
      </c>
      <c r="M90" s="224">
        <f t="shared" si="32"/>
        <v>2.5462962963501923E-2</v>
      </c>
      <c r="N90" s="225">
        <f t="shared" si="29"/>
        <v>36.666666667442769</v>
      </c>
      <c r="O90" s="225"/>
      <c r="P90" s="225"/>
      <c r="Q90" s="228"/>
      <c r="R90" s="242"/>
      <c r="S90" s="249">
        <f t="shared" si="30"/>
        <v>1</v>
      </c>
      <c r="T90" s="242" t="str">
        <f t="shared" si="33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4"/>
        <v>https://d0f6bd738d7f1b3e5a7ca70fe4ff75f0.us-east-1.aws.found.io/app/kibana#/discover/Steve-Slow-Train-Analysis-(2080s-and-2083s)?_g=(refreshInterval:(display:Off,pause:!f,section:0,value:0),time:(from:'2017-12-06T12:52:10-0700',mode:absolute,to:'2017-12-06T15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247" t="str">
        <f>IF(AA90&lt;VLOOKUP(AG90,Variables!$AC$3:$AD$8,2,FALSE),"Y","N")</f>
        <v>N</v>
      </c>
      <c r="X90" s="247">
        <f t="shared" si="35"/>
        <v>1</v>
      </c>
      <c r="Y90" s="247">
        <f t="shared" si="36"/>
        <v>23.289200000000001</v>
      </c>
      <c r="Z90" s="247">
        <f t="shared" si="37"/>
        <v>2.29E-2</v>
      </c>
      <c r="AA90" s="247">
        <f t="shared" si="38"/>
        <v>23.266300000000001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9"/>
        <v>176</v>
      </c>
      <c r="AE90" s="235" t="str">
        <f t="shared" si="4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90" s="234" t="str">
        <f t="shared" si="41"/>
        <v>"C:\Program Files (x86)\AstroGrep\AstroGrep.exe" /e /r /s /spath="%USERPROFILE%\AppData\Local\Temp\OnboardLogs" /stypes="app*4031*20171206*" /stext=" 21:.+((SYSTEM_STATE.+slice.+state.+changed )|(ment ac)|(multiple cpu faults)|(system.+state.+changed )|(\[timeout)|(PRM\|1\|D)|(kpr)|(kdp)|(train st.+moving)|(\|lc)|(penalty))"</v>
      </c>
      <c r="AG90" s="244" t="str">
        <f t="shared" si="42"/>
        <v>EC</v>
      </c>
      <c r="AH90" s="236" t="str">
        <f t="shared" si="43"/>
        <v>"%USERPROFILE%\Documents\GitHub\eaglep3\Utilities\RefineRTDCRunTimes.py" --tripid 176-06 --locoid 4031 --swversion DE.1.0.9.0 --startMP 204:232892 --initTime 2017-12-06T13:52:10 --startdatetime 2017-12-06T13:57:15 --delay 55 --endMP 204:229 --enddatetime 2017-12-06T14:33:55 --enforcementcount 0 &gt;&gt;%USERPROFILE%\Documents\GitHub\eaglep3-reporting\EC\2017-12-06-refined-times.txt</v>
      </c>
      <c r="AI9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{"issue":{"subject":"","project_id":79,"tracker_id":40,"status_id":1,"priority_id":2,"assigned_to_id":338,"start_date":"2017-12-06","description":"","custom_fields":[{"id":1,"name":"Subdivision","value":"EC"},{"id":4,"name":"Milepost","value":"0.0229"},{"id":17,"name":"Train ID","value":"176-06"},{"id":16,"name":"Locomotive ID","value":"4031"},{"id":130,"name":"Impact","value":""},{"id":150,"name":"Time of Event (Mountain Time)","value":"14:33:55"},{"id":151,"name":"Denver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5"/>
        <v>start /low /b %USERPROFILE%\Documents\GitHub\eaglep3\Utilities\DownloadLogsFromS3.py --loco 4031 --day 2017-12-06</v>
      </c>
      <c r="AN90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7"/>
        <v>https://d0f6bd738d7f1b3e5a7ca70fe4ff75f0.us-east-1.aws.found.io/app/kibana#/discover/Steve-Slow-Train-Analysis-(2080s-and-2083s)?_g=(refreshInterval:(display:Off,pause:!f,section:0,value:0),time:(from:'2017-12-06T12:52:10-0700',mode:absolute,to:'2017-12-06T15:33:55-0700'))&amp;_a=(columns:!('Message%20ID',Summary),filters:!(),index:'emp_*',interval:auto,query:(query_string:(analyze_wildcard:!t,query:'%22rtdc.l.rtdc.4031%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772</v>
      </c>
      <c r="B91" s="225">
        <v>4064</v>
      </c>
      <c r="C91" s="227" t="s">
        <v>192</v>
      </c>
      <c r="D91" s="227" t="s">
        <v>956</v>
      </c>
      <c r="E91" s="226">
        <v>43075.547418981485</v>
      </c>
      <c r="F91" s="226">
        <v>43075.552453703705</v>
      </c>
      <c r="G91" s="225">
        <v>52</v>
      </c>
      <c r="H91" s="227" t="s">
        <v>595</v>
      </c>
      <c r="I91" s="226">
        <v>43075.576863425929</v>
      </c>
      <c r="J91" s="225">
        <v>0</v>
      </c>
      <c r="K91" s="237" t="str">
        <f t="shared" si="31"/>
        <v>4063/4064</v>
      </c>
      <c r="L91" s="245" t="str">
        <f>VLOOKUP(A91,'Trips&amp;Operators'!$C$1:$G$99911,5,FALSE)</f>
        <v>STEWART MICHAEL</v>
      </c>
      <c r="M91" s="224">
        <f t="shared" si="32"/>
        <v>2.4409722223936114E-2</v>
      </c>
      <c r="N91" s="225">
        <f t="shared" si="29"/>
        <v>35.150000002468005</v>
      </c>
      <c r="O91" s="225"/>
      <c r="P91" s="225"/>
      <c r="Q91" s="228"/>
      <c r="R91" s="242"/>
      <c r="S91" s="249">
        <f t="shared" si="30"/>
        <v>1</v>
      </c>
      <c r="T91" s="242" t="str">
        <f t="shared" si="33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4"/>
        <v>https://d0f6bd738d7f1b3e5a7ca70fe4ff75f0.us-east-1.aws.found.io/app/kibana#/discover/Steve-Slow-Train-Analysis-(2080s-and-2083s)?_g=(refreshInterval:(display:Off,pause:!f,section:0,value:0),time:(from:'2017-12-06T12:08:17-0700',mode:absolute,to:'2017-12-06T14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1" s="247" t="str">
        <f>IF(AA91&lt;VLOOKUP(AG91,Variables!$AC$3:$AD$8,2,FALSE),"Y","N")</f>
        <v>N</v>
      </c>
      <c r="X91" s="247">
        <f t="shared" si="35"/>
        <v>1</v>
      </c>
      <c r="Y91" s="247">
        <f t="shared" si="36"/>
        <v>5.2900000000000003E-2</v>
      </c>
      <c r="Z91" s="247">
        <f t="shared" si="37"/>
        <v>23.325700000000001</v>
      </c>
      <c r="AA91" s="247">
        <f t="shared" si="38"/>
        <v>23.2728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9"/>
        <v>177</v>
      </c>
      <c r="AE91" s="235" t="str">
        <f t="shared" si="4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91" s="234" t="str">
        <f t="shared" si="41"/>
        <v>"C:\Program Files (x86)\AstroGrep\AstroGrep.exe" /e /r /s /spath="%USERPROFILE%\AppData\Local\Temp\OnboardLogs" /stypes="app*4064*20171206*" /stext=" 20:.+((SYSTEM_STATE.+slice.+state.+changed )|(ment ac)|(multiple cpu faults)|(system.+state.+changed )|(\[timeout)|(PRM\|1\|D)|(kpr)|(kdp)|(train st.+moving)|(\|lc)|(penalty))"</v>
      </c>
      <c r="AG91" s="244" t="str">
        <f t="shared" si="42"/>
        <v>EC</v>
      </c>
      <c r="AH91" s="236" t="str">
        <f t="shared" si="43"/>
        <v>"%USERPROFILE%\Documents\GitHub\eaglep3\Utilities\RefineRTDCRunTimes.py" --tripid 177-06 --locoid 4064 --swversion DE.1.0.9.0 --startMP 204:529 --initTime 2017-12-06T13:08:17 --startdatetime 2017-12-06T13:15:32 --delay 52 --endMP 204:233257 --enddatetime 2017-12-06T13:50:41 --enforcementcount 0 &gt;&gt;%USERPROFILE%\Documents\GitHub\eaglep3-reporting\EC\2017-12-06-refined-times.txt</v>
      </c>
      <c r="AI9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{"issue":{"subject":"","project_id":79,"tracker_id":40,"status_id":1,"priority_id":2,"assigned_to_id":338,"start_date":"2017-12-06","description":"","custom_fields":[{"id":1,"name":"Subdivision","value":"EC"},{"id":4,"name":"Milepost","value":"23.3257"},{"id":17,"name":"Train ID","value":"177-06"},{"id":16,"name":"Locomotive ID","value":"4064"},{"id":130,"name":"Impact","value":""},{"id":150,"name":"Time of Event (Mountain Time)","value":"13:50:41"},{"id":151,"name":"Denver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5"/>
        <v>start /low /b %USERPROFILE%\Documents\GitHub\eaglep3\Utilities\DownloadLogsFromS3.py --loco 4064 --day 2017-12-06</v>
      </c>
      <c r="AN91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7"/>
        <v>https://d0f6bd738d7f1b3e5a7ca70fe4ff75f0.us-east-1.aws.found.io/app/kibana#/discover/Steve-Slow-Train-Analysis-(2080s-and-2083s)?_g=(refreshInterval:(display:Off,pause:!f,section:0,value:0),time:(from:'2017-12-06T12:08:17-0700',mode:absolute,to:'2017-12-06T14:50:41-0700'))&amp;_a=(columns:!('Message%20ID',Summary),filters:!(),index:'emp_*',interval:auto,query:(query_string:(analyze_wildcard:!t,query:'%22rtdc.l.rtdc.4064%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782</v>
      </c>
      <c r="B92" s="225">
        <v>4063</v>
      </c>
      <c r="C92" s="227" t="s">
        <v>192</v>
      </c>
      <c r="D92" s="227" t="s">
        <v>957</v>
      </c>
      <c r="E92" s="226">
        <v>43075.586226851854</v>
      </c>
      <c r="F92" s="226">
        <v>43075.591851851852</v>
      </c>
      <c r="G92" s="225">
        <v>76</v>
      </c>
      <c r="H92" s="227" t="s">
        <v>958</v>
      </c>
      <c r="I92" s="226">
        <v>43075.617719907408</v>
      </c>
      <c r="J92" s="225">
        <v>0</v>
      </c>
      <c r="K92" s="237" t="str">
        <f t="shared" si="31"/>
        <v>4063/4064</v>
      </c>
      <c r="L92" s="245" t="str">
        <f>VLOOKUP(A92,'Trips&amp;Operators'!$C$1:$G$99911,5,FALSE)</f>
        <v>STEWART MICHAEL</v>
      </c>
      <c r="M92" s="224">
        <f t="shared" si="32"/>
        <v>2.5868055556202307E-2</v>
      </c>
      <c r="N92" s="225">
        <f t="shared" ref="N92:N123" si="48">24*60*SUM($M92:$M92)</f>
        <v>37.250000000931323</v>
      </c>
      <c r="O92" s="225"/>
      <c r="P92" s="225"/>
      <c r="Q92" s="228"/>
      <c r="R92" s="242"/>
      <c r="S92" s="249">
        <f t="shared" ref="S92:S123" si="49">1/IF(AG92="EC",12,1)*SUM(U92:U92)</f>
        <v>1</v>
      </c>
      <c r="T92" s="242" t="str">
        <f t="shared" si="33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4"/>
        <v>https://d0f6bd738d7f1b3e5a7ca70fe4ff75f0.us-east-1.aws.found.io/app/kibana#/discover/Steve-Slow-Train-Analysis-(2080s-and-2083s)?_g=(refreshInterval:(display:Off,pause:!f,section:0,value:0),time:(from:'2017-12-06T13:04:10-0700',mode:absolute,to:'2017-12-06T15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2" s="247" t="str">
        <f>IF(AA92&lt;VLOOKUP(AG92,Variables!$AC$3:$AD$8,2,FALSE),"Y","N")</f>
        <v>N</v>
      </c>
      <c r="X92" s="247">
        <f t="shared" si="35"/>
        <v>1</v>
      </c>
      <c r="Y92" s="247">
        <f t="shared" si="36"/>
        <v>23.292100000000001</v>
      </c>
      <c r="Z92" s="247">
        <f t="shared" si="37"/>
        <v>2.1399999999999999E-2</v>
      </c>
      <c r="AA92" s="247">
        <f t="shared" si="38"/>
        <v>23.270700000000001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9"/>
        <v>178</v>
      </c>
      <c r="AE92" s="235" t="str">
        <f t="shared" si="4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92" s="234" t="str">
        <f t="shared" si="41"/>
        <v>"C:\Program Files (x86)\AstroGrep\AstroGrep.exe" /e /r /s /spath="%USERPROFILE%\AppData\Local\Temp\OnboardLogs" /stypes="app*4063*20171206*" /stext=" 21:.+((SYSTEM_STATE.+slice.+state.+changed )|(ment ac)|(multiple cpu faults)|(system.+state.+changed )|(\[timeout)|(PRM\|1\|D)|(kpr)|(kdp)|(train st.+moving)|(\|lc)|(penalty))"</v>
      </c>
      <c r="AG92" s="244" t="str">
        <f t="shared" si="42"/>
        <v>EC</v>
      </c>
      <c r="AH92" s="236" t="str">
        <f t="shared" si="43"/>
        <v>"%USERPROFILE%\Documents\GitHub\eaglep3\Utilities\RefineRTDCRunTimes.py" --tripid 178-06 --locoid 4063 --swversion DE.1.0.9.0 --startMP 204:232921 --initTime 2017-12-06T14:04:10 --startdatetime 2017-12-06T14:12:16 --delay 76 --endMP 204:214 --enddatetime 2017-12-06T14:49:31 --enforcementcount 0 &gt;&gt;%USERPROFILE%\Documents\GitHub\eaglep3-reporting\EC\2017-12-06-refined-times.txt</v>
      </c>
      <c r="AI9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{"issue":{"subject":"","project_id":79,"tracker_id":40,"status_id":1,"priority_id":2,"assigned_to_id":338,"start_date":"2017-12-06","description":"","custom_fields":[{"id":1,"name":"Subdivision","value":"EC"},{"id":4,"name":"Milepost","value":"0.0214"},{"id":17,"name":"Train ID","value":"178-06"},{"id":16,"name":"Locomotive ID","value":"4063"},{"id":130,"name":"Impact","value":""},{"id":150,"name":"Time of Event (Mountain Time)","value":"14:49:31"},{"id":151,"name":"Denver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5"/>
        <v>start /low /b %USERPROFILE%\Documents\GitHub\eaglep3\Utilities\DownloadLogsFromS3.py --loco 4063 --day 2017-12-06</v>
      </c>
      <c r="AN92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7"/>
        <v>https://d0f6bd738d7f1b3e5a7ca70fe4ff75f0.us-east-1.aws.found.io/app/kibana#/discover/Steve-Slow-Train-Analysis-(2080s-and-2083s)?_g=(refreshInterval:(display:Off,pause:!f,section:0,value:0),time:(from:'2017-12-06T13:04:10-0700',mode:absolute,to:'2017-12-06T15:49:31-0700'))&amp;_a=(columns:!('Message%20ID',Summary),filters:!(),index:'emp_*',interval:auto,query:(query_string:(analyze_wildcard:!t,query:'%22rtdc.l.rtdc.4063%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774</v>
      </c>
      <c r="B93" s="225">
        <v>4042</v>
      </c>
      <c r="C93" s="227" t="s">
        <v>192</v>
      </c>
      <c r="D93" s="227" t="s">
        <v>959</v>
      </c>
      <c r="E93" s="226">
        <v>43075.55741898148</v>
      </c>
      <c r="F93" s="226">
        <v>43075.562847222223</v>
      </c>
      <c r="G93" s="225">
        <v>58</v>
      </c>
      <c r="H93" s="227" t="s">
        <v>595</v>
      </c>
      <c r="I93" s="226">
        <v>43075.587835648148</v>
      </c>
      <c r="J93" s="225">
        <v>0</v>
      </c>
      <c r="K93" s="237" t="str">
        <f t="shared" si="31"/>
        <v>4041/4042</v>
      </c>
      <c r="L93" s="245" t="str">
        <f>VLOOKUP(A93,'Trips&amp;Operators'!$C$1:$G$99911,5,FALSE)</f>
        <v>LORI SANTOS</v>
      </c>
      <c r="M93" s="224">
        <f t="shared" si="32"/>
        <v>2.4988425924675539E-2</v>
      </c>
      <c r="N93" s="225">
        <f t="shared" si="48"/>
        <v>35.983333331532776</v>
      </c>
      <c r="O93" s="225"/>
      <c r="P93" s="225"/>
      <c r="Q93" s="228"/>
      <c r="R93" s="242"/>
      <c r="S93" s="249">
        <f t="shared" si="49"/>
        <v>1</v>
      </c>
      <c r="T93" s="242" t="str">
        <f t="shared" si="33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4"/>
        <v>https://d0f6bd738d7f1b3e5a7ca70fe4ff75f0.us-east-1.aws.found.io/app/kibana#/discover/Steve-Slow-Train-Analysis-(2080s-and-2083s)?_g=(refreshInterval:(display:Off,pause:!f,section:0,value:0),time:(from:'2017-12-06T12:22:41-0700',mode:absolute,to:'2017-12-06T15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47" t="str">
        <f>IF(AA93&lt;VLOOKUP(AG93,Variables!$AC$3:$AD$8,2,FALSE),"Y","N")</f>
        <v>N</v>
      </c>
      <c r="X93" s="247">
        <f t="shared" si="35"/>
        <v>1</v>
      </c>
      <c r="Y93" s="247">
        <f t="shared" si="36"/>
        <v>5.9900000000000002E-2</v>
      </c>
      <c r="Z93" s="247">
        <f t="shared" si="37"/>
        <v>23.325700000000001</v>
      </c>
      <c r="AA93" s="247">
        <f t="shared" si="38"/>
        <v>23.265800000000002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9"/>
        <v>179</v>
      </c>
      <c r="AE93" s="235" t="str">
        <f t="shared" si="4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93" s="234" t="str">
        <f t="shared" si="41"/>
        <v>"C:\Program Files (x86)\AstroGrep\AstroGrep.exe" /e /r /s /spath="%USERPROFILE%\AppData\Local\Temp\OnboardLogs" /stypes="app*4042*20171206*" /stext=" 21:.+((SYSTEM_STATE.+slice.+state.+changed )|(ment ac)|(multiple cpu faults)|(system.+state.+changed )|(\[timeout)|(PRM\|1\|D)|(kpr)|(kdp)|(train st.+moving)|(\|lc)|(penalty))"</v>
      </c>
      <c r="AG93" s="244" t="str">
        <f t="shared" si="42"/>
        <v>EC</v>
      </c>
      <c r="AH93" s="236" t="str">
        <f t="shared" si="43"/>
        <v>"%USERPROFILE%\Documents\GitHub\eaglep3\Utilities\RefineRTDCRunTimes.py" --tripid 179-06 --locoid 4042 --swversion DE.1.0.9.0 --startMP 204:599 --initTime 2017-12-06T13:22:41 --startdatetime 2017-12-06T13:30:30 --delay 58 --endMP 204:233257 --enddatetime 2017-12-06T14:06:29 --enforcementcount 0 &gt;&gt;%USERPROFILE%\Documents\GitHub\eaglep3-reporting\EC\2017-12-06-refined-times.txt</v>
      </c>
      <c r="AI9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{"issue":{"subject":"","project_id":79,"tracker_id":40,"status_id":1,"priority_id":2,"assigned_to_id":338,"start_date":"2017-12-06","description":"","custom_fields":[{"id":1,"name":"Subdivision","value":"EC"},{"id":4,"name":"Milepost","value":"23.3257"},{"id":17,"name":"Train ID","value":"179-06"},{"id":16,"name":"Locomotive ID","value":"4042"},{"id":130,"name":"Impact","value":""},{"id":150,"name":"Time of Event (Mountain Time)","value":"14:06:29"},{"id":151,"name":"Denver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5"/>
        <v>start /low /b %USERPROFILE%\Documents\GitHub\eaglep3\Utilities\DownloadLogsFromS3.py --loco 4042 --day 2017-12-06</v>
      </c>
      <c r="AN93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7"/>
        <v>https://d0f6bd738d7f1b3e5a7ca70fe4ff75f0.us-east-1.aws.found.io/app/kibana#/discover/Steve-Slow-Train-Analysis-(2080s-and-2083s)?_g=(refreshInterval:(display:Off,pause:!f,section:0,value:0),time:(from:'2017-12-06T12:22:41-0700',mode:absolute,to:'2017-12-06T15:06:29-0700'))&amp;_a=(columns:!('Message%20ID',Summary),filters:!(),index:'emp_*',interval:auto,query:(query_string:(analyze_wildcard:!t,query:'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783</v>
      </c>
      <c r="B94" s="225">
        <v>4041</v>
      </c>
      <c r="C94" s="227" t="s">
        <v>192</v>
      </c>
      <c r="D94" s="227" t="s">
        <v>416</v>
      </c>
      <c r="E94" s="226">
        <v>43075.59002314815</v>
      </c>
      <c r="F94" s="226">
        <v>43075.602453703701</v>
      </c>
      <c r="G94" s="225">
        <v>60</v>
      </c>
      <c r="H94" s="227" t="s">
        <v>960</v>
      </c>
      <c r="I94" s="226">
        <v>43075.628229166665</v>
      </c>
      <c r="J94" s="225">
        <v>0</v>
      </c>
      <c r="K94" s="237" t="str">
        <f t="shared" si="31"/>
        <v>4041/4042</v>
      </c>
      <c r="L94" s="245" t="str">
        <f>VLOOKUP(A94,'Trips&amp;Operators'!$C$1:$G$99911,5,FALSE)</f>
        <v>LORI SANTOS</v>
      </c>
      <c r="M94" s="224">
        <f t="shared" si="32"/>
        <v>2.5775462963792961E-2</v>
      </c>
      <c r="N94" s="225">
        <f t="shared" si="48"/>
        <v>37.116666667861864</v>
      </c>
      <c r="O94" s="225"/>
      <c r="P94" s="225"/>
      <c r="Q94" s="228"/>
      <c r="R94" s="242"/>
      <c r="S94" s="249">
        <f t="shared" si="49"/>
        <v>1</v>
      </c>
      <c r="T94" s="242" t="str">
        <f t="shared" si="33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4"/>
        <v>https://d0f6bd738d7f1b3e5a7ca70fe4ff75f0.us-east-1.aws.found.io/app/kibana#/discover/Steve-Slow-Train-Analysis-(2080s-and-2083s)?_g=(refreshInterval:(display:Off,pause:!f,section:0,value:0),time:(from:'2017-12-06T13:09:38-0700',mode:absolute,to:'2017-12-06T16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47" t="str">
        <f>IF(AA94&lt;VLOOKUP(AG94,Variables!$AC$3:$AD$8,2,FALSE),"Y","N")</f>
        <v>N</v>
      </c>
      <c r="X94" s="247">
        <f t="shared" si="35"/>
        <v>1</v>
      </c>
      <c r="Y94" s="247">
        <f t="shared" si="36"/>
        <v>23.293199999999999</v>
      </c>
      <c r="Z94" s="247">
        <f t="shared" si="37"/>
        <v>2.58E-2</v>
      </c>
      <c r="AA94" s="247">
        <f t="shared" si="38"/>
        <v>23.267399999999999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9"/>
        <v>180</v>
      </c>
      <c r="AE94" s="235" t="str">
        <f t="shared" si="4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94" s="234" t="str">
        <f t="shared" si="41"/>
        <v>"C:\Program Files (x86)\AstroGrep\AstroGrep.exe" /e /r /s /spath="%USERPROFILE%\AppData\Local\Temp\OnboardLogs" /stypes="app*4041*20171206*" /stext=" 22:.+((SYSTEM_STATE.+slice.+state.+changed )|(ment ac)|(multiple cpu faults)|(system.+state.+changed )|(\[timeout)|(PRM\|1\|D)|(kpr)|(kdp)|(train st.+moving)|(\|lc)|(penalty))"</v>
      </c>
      <c r="AG94" s="244" t="str">
        <f t="shared" si="42"/>
        <v>EC</v>
      </c>
      <c r="AH94" s="236" t="str">
        <f t="shared" si="43"/>
        <v>"%USERPROFILE%\Documents\GitHub\eaglep3\Utilities\RefineRTDCRunTimes.py" --tripid 180-06 --locoid 4041 --swversion DE.1.0.9.0 --startMP 204:232932 --initTime 2017-12-06T14:09:38 --startdatetime 2017-12-06T14:27:32 --delay 60 --endMP 204:258 --enddatetime 2017-12-06T15:04:39 --enforcementcount 0 &gt;&gt;%USERPROFILE%\Documents\GitHub\eaglep3-reporting\EC\2017-12-06-refined-times.txt</v>
      </c>
      <c r="AI9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{"issue":{"subject":"","project_id":79,"tracker_id":40,"status_id":1,"priority_id":2,"assigned_to_id":338,"start_date":"2017-12-06","description":"","custom_fields":[{"id":1,"name":"Subdivision","value":"EC"},{"id":4,"name":"Milepost","value":"0.0258"},{"id":17,"name":"Train ID","value":"180-06"},{"id":16,"name":"Locomotive ID","value":"4041"},{"id":130,"name":"Impact","value":""},{"id":150,"name":"Time of Event (Mountain Time)","value":"15:04:39"},{"id":151,"name":"Denver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5"/>
        <v>start /low /b %USERPROFILE%\Documents\GitHub\eaglep3\Utilities\DownloadLogsFromS3.py --loco 4041 --day 2017-12-06</v>
      </c>
      <c r="AN94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7"/>
        <v>https://d0f6bd738d7f1b3e5a7ca70fe4ff75f0.us-east-1.aws.found.io/app/kibana#/discover/Steve-Slow-Train-Analysis-(2080s-and-2083s)?_g=(refreshInterval:(display:Off,pause:!f,section:0,value:0),time:(from:'2017-12-06T13:09:38-0700',mode:absolute,to:'2017-12-06T16:04:39-0700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778</v>
      </c>
      <c r="B95" s="225">
        <v>4008</v>
      </c>
      <c r="C95" s="227" t="s">
        <v>192</v>
      </c>
      <c r="D95" s="227" t="s">
        <v>446</v>
      </c>
      <c r="E95" s="226">
        <v>43075.570324074077</v>
      </c>
      <c r="F95" s="226">
        <v>43075.573171296295</v>
      </c>
      <c r="G95" s="225">
        <v>79</v>
      </c>
      <c r="H95" s="227" t="s">
        <v>961</v>
      </c>
      <c r="I95" s="226">
        <v>43075.598090277781</v>
      </c>
      <c r="J95" s="225">
        <v>0</v>
      </c>
      <c r="K95" s="237" t="str">
        <f t="shared" si="31"/>
        <v>4007/4008</v>
      </c>
      <c r="L95" s="245" t="str">
        <f>VLOOKUP(A95,'Trips&amp;Operators'!$C$1:$G$99911,5,FALSE)</f>
        <v>LEVIN SCOTT</v>
      </c>
      <c r="M95" s="224">
        <f t="shared" si="32"/>
        <v>2.4918981485825498E-2</v>
      </c>
      <c r="N95" s="225">
        <f t="shared" si="48"/>
        <v>35.883333339588717</v>
      </c>
      <c r="O95" s="225"/>
      <c r="P95" s="225"/>
      <c r="Q95" s="228"/>
      <c r="R95" s="242"/>
      <c r="S95" s="249">
        <f t="shared" si="49"/>
        <v>1</v>
      </c>
      <c r="T95" s="242" t="str">
        <f t="shared" si="33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4"/>
        <v>https://d0f6bd738d7f1b3e5a7ca70fe4ff75f0.us-east-1.aws.found.io/app/kibana#/discover/Steve-Slow-Train-Analysis-(2080s-and-2083s)?_g=(refreshInterval:(display:Off,pause:!f,section:0,value:0),time:(from:'2017-12-06T12:41:16-0700',mode:absolute,to:'2017-12-06T15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247" t="str">
        <f>IF(AA95&lt;VLOOKUP(AG95,Variables!$AC$3:$AD$8,2,FALSE),"Y","N")</f>
        <v>N</v>
      </c>
      <c r="X95" s="247">
        <f t="shared" si="35"/>
        <v>1</v>
      </c>
      <c r="Y95" s="247">
        <f t="shared" si="36"/>
        <v>4.4600000000000001E-2</v>
      </c>
      <c r="Z95" s="247">
        <f t="shared" si="37"/>
        <v>23.331800000000001</v>
      </c>
      <c r="AA95" s="247">
        <f t="shared" si="38"/>
        <v>23.287200000000002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9"/>
        <v>181</v>
      </c>
      <c r="AE95" s="235" t="str">
        <f t="shared" si="4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95" s="234" t="str">
        <f t="shared" si="41"/>
        <v>"C:\Program Files (x86)\AstroGrep\AstroGrep.exe" /e /r /s /spath="%USERPROFILE%\AppData\Local\Temp\OnboardLogs" /stypes="app*4008*20171206*" /stext=" 21:.+((SYSTEM_STATE.+slice.+state.+changed )|(ment ac)|(multiple cpu faults)|(system.+state.+changed )|(\[timeout)|(PRM\|1\|D)|(kpr)|(kdp)|(train st.+moving)|(\|lc)|(penalty))"</v>
      </c>
      <c r="AG95" s="244" t="str">
        <f t="shared" si="42"/>
        <v>EC</v>
      </c>
      <c r="AH95" s="236" t="str">
        <f t="shared" si="43"/>
        <v>"%USERPROFILE%\Documents\GitHub\eaglep3\Utilities\RefineRTDCRunTimes.py" --tripid 181-06 --locoid 4008 --swversion DE.1.0.9.0 --startMP 204:446 --initTime 2017-12-06T13:41:16 --startdatetime 2017-12-06T13:45:22 --delay 79 --endMP 204:233318 --enddatetime 2017-12-06T14:21:15 --enforcementcount 0 &gt;&gt;%USERPROFILE%\Documents\GitHub\eaglep3-reporting\EC\2017-12-06-refined-times.txt</v>
      </c>
      <c r="AI9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{"issue":{"subject":"","project_id":79,"tracker_id":40,"status_id":1,"priority_id":2,"assigned_to_id":338,"start_date":"2017-12-06","description":"","custom_fields":[{"id":1,"name":"Subdivision","value":"EC"},{"id":4,"name":"Milepost","value":"23.3318"},{"id":17,"name":"Train ID","value":"181-06"},{"id":16,"name":"Locomotive ID","value":"4008"},{"id":130,"name":"Impact","value":""},{"id":150,"name":"Time of Event (Mountain Time)","value":"14:21:15"},{"id":151,"name":"Denver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5"/>
        <v>start /low /b %USERPROFILE%\Documents\GitHub\eaglep3\Utilities\DownloadLogsFromS3.py --loco 4008 --day 2017-12-06</v>
      </c>
      <c r="AN95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7"/>
        <v>https://d0f6bd738d7f1b3e5a7ca70fe4ff75f0.us-east-1.aws.found.io/app/kibana#/discover/Steve-Slow-Train-Analysis-(2080s-and-2083s)?_g=(refreshInterval:(display:Off,pause:!f,section:0,value:0),time:(from:'2017-12-06T12:41:16-0700',mode:absolute,to:'2017-12-06T15:21:15-0700'))&amp;_a=(columns:!('Message%20ID',Summary),filters:!(),index:'emp_*',interval:auto,query:(query_string:(analyze_wildcard:!t,query:'%22rtdc.l.rtdc.4008%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787</v>
      </c>
      <c r="B96" s="225">
        <v>4007</v>
      </c>
      <c r="C96" s="227" t="s">
        <v>192</v>
      </c>
      <c r="D96" s="227" t="s">
        <v>587</v>
      </c>
      <c r="E96" s="226">
        <v>43075.609942129631</v>
      </c>
      <c r="F96" s="226">
        <v>43075.612662037034</v>
      </c>
      <c r="G96" s="225">
        <v>57</v>
      </c>
      <c r="H96" s="227" t="s">
        <v>962</v>
      </c>
      <c r="I96" s="226">
        <v>43075.63857638889</v>
      </c>
      <c r="J96" s="225">
        <v>0</v>
      </c>
      <c r="K96" s="237" t="str">
        <f t="shared" si="31"/>
        <v>4007/4008</v>
      </c>
      <c r="L96" s="245" t="str">
        <f>VLOOKUP(A96,'Trips&amp;Operators'!$C$1:$G$99911,5,FALSE)</f>
        <v>LEVIN SCOTT</v>
      </c>
      <c r="M96" s="224">
        <f t="shared" si="32"/>
        <v>2.5914351856044959E-2</v>
      </c>
      <c r="N96" s="225">
        <f t="shared" si="48"/>
        <v>37.316666672704741</v>
      </c>
      <c r="O96" s="225"/>
      <c r="P96" s="225"/>
      <c r="Q96" s="228"/>
      <c r="R96" s="242"/>
      <c r="S96" s="249">
        <f t="shared" si="49"/>
        <v>1</v>
      </c>
      <c r="T96" s="242" t="str">
        <f t="shared" si="33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4"/>
        <v>https://d0f6bd738d7f1b3e5a7ca70fe4ff75f0.us-east-1.aws.found.io/app/kibana#/discover/Steve-Slow-Train-Analysis-(2080s-and-2083s)?_g=(refreshInterval:(display:Off,pause:!f,section:0,value:0),time:(from:'2017-12-06T13:38:19-0700',mode:absolute,to:'2017-12-06T16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247" t="str">
        <f>IF(AA96&lt;VLOOKUP(AG96,Variables!$AC$3:$AD$8,2,FALSE),"Y","N")</f>
        <v>N</v>
      </c>
      <c r="X96" s="247">
        <f t="shared" si="35"/>
        <v>1</v>
      </c>
      <c r="Y96" s="247">
        <f t="shared" si="36"/>
        <v>23.301300000000001</v>
      </c>
      <c r="Z96" s="247">
        <f t="shared" si="37"/>
        <v>1.43E-2</v>
      </c>
      <c r="AA96" s="247">
        <f t="shared" si="38"/>
        <v>23.287000000000003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9"/>
        <v>182</v>
      </c>
      <c r="AE96" s="235" t="str">
        <f t="shared" si="4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96" s="234" t="str">
        <f t="shared" si="41"/>
        <v>"C:\Program Files (x86)\AstroGrep\AstroGrep.exe" /e /r /s /spath="%USERPROFILE%\AppData\Local\Temp\OnboardLogs" /stypes="app*4007*20171206*" /stext=" 22:.+((SYSTEM_STATE.+slice.+state.+changed )|(ment ac)|(multiple cpu faults)|(system.+state.+changed )|(\[timeout)|(PRM\|1\|D)|(kpr)|(kdp)|(train st.+moving)|(\|lc)|(penalty))"</v>
      </c>
      <c r="AG96" s="244" t="str">
        <f t="shared" si="42"/>
        <v>EC</v>
      </c>
      <c r="AH96" s="236" t="str">
        <f t="shared" si="43"/>
        <v>"%USERPROFILE%\Documents\GitHub\eaglep3\Utilities\RefineRTDCRunTimes.py" --tripid 182-06 --locoid 4007 --swversion DE.1.0.9.0 --startMP 204:233013 --initTime 2017-12-06T14:38:19 --startdatetime 2017-12-06T14:42:14 --delay 57 --endMP 204:143 --enddatetime 2017-12-06T15:19:33 --enforcementcount 0 &gt;&gt;%USERPROFILE%\Documents\GitHub\eaglep3-reporting\EC\2017-12-06-refined-times.txt</v>
      </c>
      <c r="AI9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{"issue":{"subject":"","project_id":79,"tracker_id":40,"status_id":1,"priority_id":2,"assigned_to_id":338,"start_date":"2017-12-06","description":"","custom_fields":[{"id":1,"name":"Subdivision","value":"EC"},{"id":4,"name":"Milepost","value":"0.0143"},{"id":17,"name":"Train ID","value":"182-06"},{"id":16,"name":"Locomotive ID","value":"4007"},{"id":130,"name":"Impact","value":""},{"id":150,"name":"Time of Event (Mountain Time)","value":"15:19:33"},{"id":151,"name":"Denver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5"/>
        <v>start /low /b %USERPROFILE%\Documents\GitHub\eaglep3\Utilities\DownloadLogsFromS3.py --loco 4007 --day 2017-12-06</v>
      </c>
      <c r="AN96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7"/>
        <v>https://d0f6bd738d7f1b3e5a7ca70fe4ff75f0.us-east-1.aws.found.io/app/kibana#/discover/Steve-Slow-Train-Analysis-(2080s-and-2083s)?_g=(refreshInterval:(display:Off,pause:!f,section:0,value:0),time:(from:'2017-12-06T13:38:19-0700',mode:absolute,to:'2017-12-06T16:19:33-0700'))&amp;_a=(columns:!('Message%20ID',Summary),filters:!(),index:'emp_*',interval:auto,query:(query_string:(analyze_wildcard:!t,query:'%22rtdc.l.rtdc.4007%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780</v>
      </c>
      <c r="B97" s="225">
        <v>4034</v>
      </c>
      <c r="C97" s="227" t="s">
        <v>192</v>
      </c>
      <c r="D97" s="227" t="s">
        <v>500</v>
      </c>
      <c r="E97" s="226">
        <v>43075.580150462964</v>
      </c>
      <c r="F97" s="226">
        <v>43075.58353009259</v>
      </c>
      <c r="G97" s="225">
        <v>78</v>
      </c>
      <c r="H97" s="227" t="s">
        <v>906</v>
      </c>
      <c r="I97" s="226">
        <v>43075.607951388891</v>
      </c>
      <c r="J97" s="225">
        <v>0</v>
      </c>
      <c r="K97" s="237" t="str">
        <f t="shared" si="31"/>
        <v>4033/4034</v>
      </c>
      <c r="L97" s="245" t="str">
        <f>VLOOKUP(A97,'Trips&amp;Operators'!$C$1:$G$99911,5,FALSE)</f>
        <v>DE LA ROSA ALEX</v>
      </c>
      <c r="M97" s="224">
        <f t="shared" si="32"/>
        <v>2.4421296300715767E-2</v>
      </c>
      <c r="N97" s="225">
        <f t="shared" si="48"/>
        <v>35.166666673030704</v>
      </c>
      <c r="O97" s="225"/>
      <c r="P97" s="225"/>
      <c r="Q97" s="228"/>
      <c r="R97" s="242"/>
      <c r="S97" s="249">
        <f t="shared" si="49"/>
        <v>1</v>
      </c>
      <c r="T97" s="242" t="str">
        <f t="shared" si="33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4"/>
        <v>https://d0f6bd738d7f1b3e5a7ca70fe4ff75f0.us-east-1.aws.found.io/app/kibana#/discover/Steve-Slow-Train-Analysis-(2080s-and-2083s)?_g=(refreshInterval:(display:Off,pause:!f,section:0,value:0),time:(from:'2017-12-06T12:55:25-0700',mode:absolute,to:'2017-12-06T15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7" s="247" t="str">
        <f>IF(AA97&lt;VLOOKUP(AG97,Variables!$AC$3:$AD$8,2,FALSE),"Y","N")</f>
        <v>N</v>
      </c>
      <c r="X97" s="247">
        <f t="shared" si="35"/>
        <v>1</v>
      </c>
      <c r="Y97" s="247">
        <f t="shared" si="36"/>
        <v>4.6600000000000003E-2</v>
      </c>
      <c r="Z97" s="247">
        <f t="shared" si="37"/>
        <v>23.330200000000001</v>
      </c>
      <c r="AA97" s="247">
        <f t="shared" si="38"/>
        <v>23.2836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9"/>
        <v>183</v>
      </c>
      <c r="AE97" s="235" t="str">
        <f t="shared" si="4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97" s="234" t="str">
        <f t="shared" si="41"/>
        <v>"C:\Program Files (x86)\AstroGrep\AstroGrep.exe" /e /r /s /spath="%USERPROFILE%\AppData\Local\Temp\OnboardLogs" /stypes="app*4034*20171206*" /stext=" 21:.+((SYSTEM_STATE.+slice.+state.+changed )|(ment ac)|(multiple cpu faults)|(system.+state.+changed )|(\[timeout)|(PRM\|1\|D)|(kpr)|(kdp)|(train st.+moving)|(\|lc)|(penalty))"</v>
      </c>
      <c r="AG97" s="244" t="str">
        <f t="shared" si="42"/>
        <v>EC</v>
      </c>
      <c r="AH97" s="236" t="str">
        <f t="shared" si="43"/>
        <v>"%USERPROFILE%\Documents\GitHub\eaglep3\Utilities\RefineRTDCRunTimes.py" --tripid 183-06 --locoid 4034 --swversion DE.1.0.9.0 --startMP 204:466 --initTime 2017-12-06T13:55:25 --startdatetime 2017-12-06T14:00:17 --delay 78 --endMP 204:233302 --enddatetime 2017-12-06T14:35:27 --enforcementcount 0 &gt;&gt;%USERPROFILE%\Documents\GitHub\eaglep3-reporting\EC\2017-12-06-refined-times.txt</v>
      </c>
      <c r="AI9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{"issue":{"subject":"","project_id":79,"tracker_id":40,"status_id":1,"priority_id":2,"assigned_to_id":338,"start_date":"2017-12-06","description":"","custom_fields":[{"id":1,"name":"Subdivision","value":"EC"},{"id":4,"name":"Milepost","value":"23.3302"},{"id":17,"name":"Train ID","value":"183-06"},{"id":16,"name":"Locomotive ID","value":"4034"},{"id":130,"name":"Impact","value":""},{"id":150,"name":"Time of Event (Mountain Time)","value":"14:35:27"},{"id":151,"name":"Denver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5"/>
        <v>start /low /b %USERPROFILE%\Documents\GitHub\eaglep3\Utilities\DownloadLogsFromS3.py --loco 4034 --day 2017-12-06</v>
      </c>
      <c r="AN97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7"/>
        <v>https://d0f6bd738d7f1b3e5a7ca70fe4ff75f0.us-east-1.aws.found.io/app/kibana#/discover/Steve-Slow-Train-Analysis-(2080s-and-2083s)?_g=(refreshInterval:(display:Off,pause:!f,section:0,value:0),time:(from:'2017-12-06T12:55:25-0700',mode:absolute,to:'2017-12-06T15:35:27-0700'))&amp;_a=(columns:!('Message%20ID',Summary),filters:!(),index:'emp_*',interval:auto,query:(query_string:(analyze_wildcard:!t,query:'%22rtdc.l.rtdc.4034%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789</v>
      </c>
      <c r="B98" s="225">
        <v>4033</v>
      </c>
      <c r="C98" s="227" t="s">
        <v>192</v>
      </c>
      <c r="D98" s="227" t="s">
        <v>963</v>
      </c>
      <c r="E98" s="226">
        <v>43075.619953703703</v>
      </c>
      <c r="F98" s="226">
        <v>43075.623159722221</v>
      </c>
      <c r="G98" s="225">
        <v>69</v>
      </c>
      <c r="H98" s="227" t="s">
        <v>452</v>
      </c>
      <c r="I98" s="226">
        <v>43075.648900462962</v>
      </c>
      <c r="J98" s="225">
        <v>0</v>
      </c>
      <c r="K98" s="237" t="str">
        <f t="shared" si="31"/>
        <v>4033/4034</v>
      </c>
      <c r="L98" s="245" t="str">
        <f>VLOOKUP(A98,'Trips&amp;Operators'!$C$1:$G$99911,5,FALSE)</f>
        <v>DE LA ROSA ALEX</v>
      </c>
      <c r="M98" s="224">
        <f t="shared" si="32"/>
        <v>2.5740740740729962E-2</v>
      </c>
      <c r="N98" s="225">
        <f t="shared" si="48"/>
        <v>37.066666666651145</v>
      </c>
      <c r="O98" s="225"/>
      <c r="P98" s="225"/>
      <c r="Q98" s="228"/>
      <c r="R98" s="242"/>
      <c r="S98" s="249">
        <f t="shared" si="49"/>
        <v>1</v>
      </c>
      <c r="T98" s="242" t="str">
        <f t="shared" si="33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4"/>
        <v>https://d0f6bd738d7f1b3e5a7ca70fe4ff75f0.us-east-1.aws.found.io/app/kibana#/discover/Steve-Slow-Train-Analysis-(2080s-and-2083s)?_g=(refreshInterval:(display:Off,pause:!f,section:0,value:0),time:(from:'2017-12-06T13:52:44-0700',mode:absolute,to:'2017-12-06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8" s="247" t="str">
        <f>IF(AA98&lt;VLOOKUP(AG98,Variables!$AC$3:$AD$8,2,FALSE),"Y","N")</f>
        <v>N</v>
      </c>
      <c r="X98" s="247">
        <f t="shared" si="35"/>
        <v>1</v>
      </c>
      <c r="Y98" s="247">
        <f t="shared" si="36"/>
        <v>23.298500000000001</v>
      </c>
      <c r="Z98" s="247">
        <f t="shared" si="37"/>
        <v>1.5800000000000002E-2</v>
      </c>
      <c r="AA98" s="247">
        <f t="shared" si="38"/>
        <v>23.282700000000002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9"/>
        <v>184</v>
      </c>
      <c r="AE98" s="235" t="str">
        <f t="shared" si="4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98" s="234" t="str">
        <f t="shared" si="41"/>
        <v>"C:\Program Files (x86)\AstroGrep\AstroGrep.exe" /e /r /s /spath="%USERPROFILE%\AppData\Local\Temp\OnboardLogs" /stypes="app*4033*20171206*" /stext=" 22:.+((SYSTEM_STATE.+slice.+state.+changed )|(ment ac)|(multiple cpu faults)|(system.+state.+changed )|(\[timeout)|(PRM\|1\|D)|(kpr)|(kdp)|(train st.+moving)|(\|lc)|(penalty))"</v>
      </c>
      <c r="AG98" s="244" t="str">
        <f t="shared" si="42"/>
        <v>EC</v>
      </c>
      <c r="AH98" s="236" t="str">
        <f t="shared" si="43"/>
        <v>"%USERPROFILE%\Documents\GitHub\eaglep3\Utilities\RefineRTDCRunTimes.py" --tripid 184-06 --locoid 4033 --swversion DE.1.0.9.0 --startMP 204:232985 --initTime 2017-12-06T14:52:44 --startdatetime 2017-12-06T14:57:21 --delay 69 --endMP 204:158 --enddatetime 2017-12-06T15:34:25 --enforcementcount 0 &gt;&gt;%USERPROFILE%\Documents\GitHub\eaglep3-reporting\EC\2017-12-06-refined-times.txt</v>
      </c>
      <c r="AI9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{"issue":{"subject":"","project_id":79,"tracker_id":40,"status_id":1,"priority_id":2,"assigned_to_id":338,"start_date":"2017-12-06","description":"","custom_fields":[{"id":1,"name":"Subdivision","value":"EC"},{"id":4,"name":"Milepost","value":"0.0158"},{"id":17,"name":"Train ID","value":"184-06"},{"id":16,"name":"Locomotive ID","value":"4033"},{"id":130,"name":"Impact","value":""},{"id":150,"name":"Time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5"/>
        <v>start /low /b %USERPROFILE%\Documents\GitHub\eaglep3\Utilities\DownloadLogsFromS3.py --loco 4033 --day 2017-12-06</v>
      </c>
      <c r="AN98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7"/>
        <v>https://d0f6bd738d7f1b3e5a7ca70fe4ff75f0.us-east-1.aws.found.io/app/kibana#/discover/Steve-Slow-Train-Analysis-(2080s-and-2083s)?_g=(refreshInterval:(display:Off,pause:!f,section:0,value:0),time:(from:'2017-12-06T13:52:44-0700',mode:absolute,to:'2017-12-06T16:34:25-0700'))&amp;_a=(columns:!('Message%20ID',Summary),filters:!(),index:'emp_*',interval:auto,query:(query_string:(analyze_wildcard:!t,query:'%22rtdc.l.rtdc.4033%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784</v>
      </c>
      <c r="B99" s="225">
        <v>4010</v>
      </c>
      <c r="C99" s="227" t="s">
        <v>192</v>
      </c>
      <c r="D99" s="227" t="s">
        <v>494</v>
      </c>
      <c r="E99" s="226">
        <v>43075.590601851851</v>
      </c>
      <c r="F99" s="226">
        <v>43075.594074074077</v>
      </c>
      <c r="G99" s="225">
        <v>70</v>
      </c>
      <c r="H99" s="227" t="s">
        <v>964</v>
      </c>
      <c r="I99" s="226">
        <v>43075.620821759258</v>
      </c>
      <c r="J99" s="225">
        <v>0</v>
      </c>
      <c r="K99" s="237" t="str">
        <f t="shared" si="31"/>
        <v>4009/4010</v>
      </c>
      <c r="L99" s="245" t="str">
        <f>VLOOKUP(A99,'Trips&amp;Operators'!$C$1:$G$99911,5,FALSE)</f>
        <v>DAVIS MICHAEL</v>
      </c>
      <c r="M99" s="224">
        <f t="shared" si="32"/>
        <v>2.6747685180453118E-2</v>
      </c>
      <c r="N99" s="225">
        <f t="shared" si="48"/>
        <v>38.51666665985249</v>
      </c>
      <c r="O99" s="225"/>
      <c r="P99" s="225"/>
      <c r="Q99" s="228"/>
      <c r="R99" s="242"/>
      <c r="S99" s="249">
        <f t="shared" si="49"/>
        <v>1</v>
      </c>
      <c r="T99" s="242" t="str">
        <f t="shared" si="33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4"/>
        <v>https://d0f6bd738d7f1b3e5a7ca70fe4ff75f0.us-east-1.aws.found.io/app/kibana#/discover/Steve-Slow-Train-Analysis-(2080s-and-2083s)?_g=(refreshInterval:(display:Off,pause:!f,section:0,value:0),time:(from:'2017-12-06T13:10:28-0700',mode:absolute,to:'2017-12-06T15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247" t="str">
        <f>IF(AA99&lt;VLOOKUP(AG99,Variables!$AC$3:$AD$8,2,FALSE),"Y","N")</f>
        <v>N</v>
      </c>
      <c r="X99" s="247">
        <f t="shared" si="35"/>
        <v>1</v>
      </c>
      <c r="Y99" s="247">
        <f t="shared" si="36"/>
        <v>5.2400000000000002E-2</v>
      </c>
      <c r="Z99" s="247">
        <f t="shared" si="37"/>
        <v>23.3322</v>
      </c>
      <c r="AA99" s="247">
        <f t="shared" si="38"/>
        <v>23.279800000000002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9"/>
        <v>185</v>
      </c>
      <c r="AE99" s="235" t="str">
        <f t="shared" si="4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99" s="234" t="str">
        <f t="shared" si="41"/>
        <v>"C:\Program Files (x86)\AstroGrep\AstroGrep.exe" /e /r /s /spath="%USERPROFILE%\AppData\Local\Temp\OnboardLogs" /stypes="app*4010*20171206*" /stext=" 21:.+((SYSTEM_STATE.+slice.+state.+changed )|(ment ac)|(multiple cpu faults)|(system.+state.+changed )|(\[timeout)|(PRM\|1\|D)|(kpr)|(kdp)|(train st.+moving)|(\|lc)|(penalty))"</v>
      </c>
      <c r="AG99" s="244" t="str">
        <f t="shared" si="42"/>
        <v>EC</v>
      </c>
      <c r="AH99" s="236" t="str">
        <f t="shared" si="43"/>
        <v>"%USERPROFILE%\Documents\GitHub\eaglep3\Utilities\RefineRTDCRunTimes.py" --tripid 185-06 --locoid 4010 --swversion DE.1.0.9.0 --startMP 204:524 --initTime 2017-12-06T14:10:28 --startdatetime 2017-12-06T14:15:28 --delay 70 --endMP 204:233322 --enddatetime 2017-12-06T14:53:59 --enforcementcount 0 &gt;&gt;%USERPROFILE%\Documents\GitHub\eaglep3-reporting\EC\2017-12-06-refined-times.txt</v>
      </c>
      <c r="AI9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{"issue":{"subject":"","project_id":79,"tracker_id":40,"status_id":1,"priority_id":2,"assigned_to_id":338,"start_date":"2017-12-06","description":"","custom_fields":[{"id":1,"name":"Subdivision","value":"EC"},{"id":4,"name":"Milepost","value":"23.3322"},{"id":17,"name":"Train ID","value":"185-06"},{"id":16,"name":"Locomotive ID","value":"4010"},{"id":130,"name":"Impact","value":""},{"id":150,"name":"Time of Event (Mountain Time)","value":"14:53:59"},{"id":151,"name":"Denver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5"/>
        <v>start /low /b %USERPROFILE%\Documents\GitHub\eaglep3\Utilities\DownloadLogsFromS3.py --loco 4010 --day 2017-12-06</v>
      </c>
      <c r="AN99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7"/>
        <v>https://d0f6bd738d7f1b3e5a7ca70fe4ff75f0.us-east-1.aws.found.io/app/kibana#/discover/Steve-Slow-Train-Analysis-(2080s-and-2083s)?_g=(refreshInterval:(display:Off,pause:!f,section:0,value:0),time:(from:'2017-12-06T13:10:28-0700',mode:absolute,to:'2017-12-06T15:53:59-0700'))&amp;_a=(columns:!('Message%20ID',Summary),filters:!(),index:'emp_*',interval:auto,query:(query_string:(analyze_wildcard:!t,query:'%22rtdc.l.rtdc.4010%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793</v>
      </c>
      <c r="B100" s="225">
        <v>4009</v>
      </c>
      <c r="C100" s="227" t="s">
        <v>192</v>
      </c>
      <c r="D100" s="227" t="s">
        <v>965</v>
      </c>
      <c r="E100" s="226">
        <v>43075.63208333333</v>
      </c>
      <c r="F100" s="226">
        <v>43075.633668981478</v>
      </c>
      <c r="G100" s="225">
        <v>70</v>
      </c>
      <c r="H100" s="227" t="s">
        <v>886</v>
      </c>
      <c r="I100" s="226">
        <v>43075.66128472222</v>
      </c>
      <c r="J100" s="225">
        <v>0</v>
      </c>
      <c r="K100" s="237" t="str">
        <f t="shared" si="31"/>
        <v>4009/4010</v>
      </c>
      <c r="L100" s="245" t="str">
        <f>VLOOKUP(A100,'Trips&amp;Operators'!$C$1:$G$99911,5,FALSE)</f>
        <v>DAVIS MICHAEL</v>
      </c>
      <c r="M100" s="224">
        <f t="shared" si="32"/>
        <v>2.7615740742476191E-2</v>
      </c>
      <c r="N100" s="225">
        <f t="shared" si="48"/>
        <v>39.766666669165716</v>
      </c>
      <c r="O100" s="225"/>
      <c r="P100" s="225"/>
      <c r="Q100" s="228"/>
      <c r="R100" s="242"/>
      <c r="S100" s="249">
        <f t="shared" si="49"/>
        <v>1</v>
      </c>
      <c r="T100" s="242" t="str">
        <f t="shared" si="33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4"/>
        <v>https://d0f6bd738d7f1b3e5a7ca70fe4ff75f0.us-east-1.aws.found.io/app/kibana#/discover/Steve-Slow-Train-Analysis-(2080s-and-2083s)?_g=(refreshInterval:(display:Off,pause:!f,section:0,value:0),time:(from:'2017-12-06T14:10:12-0700',mode:absolute,to:'2017-12-06T16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247" t="str">
        <f>IF(AA100&lt;VLOOKUP(AG100,Variables!$AC$3:$AD$8,2,FALSE),"Y","N")</f>
        <v>N</v>
      </c>
      <c r="X100" s="247">
        <f t="shared" si="35"/>
        <v>1</v>
      </c>
      <c r="Y100" s="247">
        <f t="shared" si="36"/>
        <v>23.298200000000001</v>
      </c>
      <c r="Z100" s="247">
        <f t="shared" si="37"/>
        <v>2.2499999999999999E-2</v>
      </c>
      <c r="AA100" s="247">
        <f t="shared" si="38"/>
        <v>23.275700000000001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9"/>
        <v>186</v>
      </c>
      <c r="AE100" s="235" t="str">
        <f t="shared" si="4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00" s="234" t="str">
        <f t="shared" si="41"/>
        <v>"C:\Program Files (x86)\AstroGrep\AstroGrep.exe" /e /r /s /spath="%USERPROFILE%\AppData\Local\Temp\OnboardLogs" /stypes="app*4009*20171206*" /stext=" 22:.+((SYSTEM_STATE.+slice.+state.+changed )|(ment ac)|(multiple cpu faults)|(system.+state.+changed )|(\[timeout)|(PRM\|1\|D)|(kpr)|(kdp)|(train st.+moving)|(\|lc)|(penalty))"</v>
      </c>
      <c r="AG100" s="244" t="str">
        <f t="shared" si="42"/>
        <v>EC</v>
      </c>
      <c r="AH100" s="236" t="str">
        <f t="shared" si="43"/>
        <v>"%USERPROFILE%\Documents\GitHub\eaglep3\Utilities\RefineRTDCRunTimes.py" --tripid 186-06 --locoid 4009 --swversion DE.1.0.9.0 --startMP 204:232982 --initTime 2017-12-06T15:10:12 --startdatetime 2017-12-06T15:12:29 --delay 70 --endMP 204:225 --enddatetime 2017-12-06T15:52:15 --enforcementcount 0 &gt;&gt;%USERPROFILE%\Documents\GitHub\eaglep3-reporting\EC\2017-12-06-refined-times.txt</v>
      </c>
      <c r="AI10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{"issue":{"subject":"","project_id":79,"tracker_id":40,"status_id":1,"priority_id":2,"assigned_to_id":338,"start_date":"2017-12-06","description":"","custom_fields":[{"id":1,"name":"Subdivision","value":"EC"},{"id":4,"name":"Milepost","value":"0.0225"},{"id":17,"name":"Train ID","value":"186-06"},{"id":16,"name":"Locomotive ID","value":"4009"},{"id":130,"name":"Impact","value":""},{"id":150,"name":"Time of Event (Mountain Time)","value":"15:52:15"},{"id":151,"name":"Denver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5"/>
        <v>start /low /b %USERPROFILE%\Documents\GitHub\eaglep3\Utilities\DownloadLogsFromS3.py --loco 4009 --day 2017-12-06</v>
      </c>
      <c r="AN100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7"/>
        <v>https://d0f6bd738d7f1b3e5a7ca70fe4ff75f0.us-east-1.aws.found.io/app/kibana#/discover/Steve-Slow-Train-Analysis-(2080s-and-2083s)?_g=(refreshInterval:(display:Off,pause:!f,section:0,value:0),time:(from:'2017-12-06T14:10:12-0700',mode:absolute,to:'2017-12-06T16:52:15-0700'))&amp;_a=(columns:!('Message%20ID',Summary),filters:!(),index:'emp_*',interval:auto,query:(query_string:(analyze_wildcard:!t,query:'%22rtdc.l.rtdc.4009%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785</v>
      </c>
      <c r="B101" s="225">
        <v>4062</v>
      </c>
      <c r="C101" s="227" t="s">
        <v>192</v>
      </c>
      <c r="D101" s="227" t="s">
        <v>966</v>
      </c>
      <c r="E101" s="226">
        <v>43075.599942129629</v>
      </c>
      <c r="F101" s="226">
        <v>43075.604467592595</v>
      </c>
      <c r="G101" s="225">
        <v>64</v>
      </c>
      <c r="H101" s="227" t="s">
        <v>1116</v>
      </c>
      <c r="I101" s="226">
        <v>43075.629907407405</v>
      </c>
      <c r="J101" s="225">
        <v>0</v>
      </c>
      <c r="K101" s="237" t="str">
        <f t="shared" si="31"/>
        <v>4061/4062</v>
      </c>
      <c r="L101" s="245" t="str">
        <f>VLOOKUP(A101,'Trips&amp;Operators'!$C$1:$G$99911,5,FALSE)</f>
        <v>KILLION DAVID</v>
      </c>
      <c r="M101" s="224">
        <f t="shared" si="32"/>
        <v>2.5439814809942618E-2</v>
      </c>
      <c r="N101" s="225">
        <f t="shared" si="48"/>
        <v>36.63333332631737</v>
      </c>
      <c r="O101" s="225"/>
      <c r="P101" s="225"/>
      <c r="Q101" s="228"/>
      <c r="R101" s="242"/>
      <c r="S101" s="249">
        <f t="shared" si="49"/>
        <v>1</v>
      </c>
      <c r="T101" s="242" t="str">
        <f t="shared" si="33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4"/>
        <v>https://d0f6bd738d7f1b3e5a7ca70fe4ff75f0.us-east-1.aws.found.io/app/kibana#/discover/Steve-Slow-Train-Analysis-(2080s-and-2083s)?_g=(refreshInterval:(display:Off,pause:!f,section:0,value:0),time:(from:'2017-12-06T13:23:55-0700',mode:absolute,to:'2017-12-06T16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247" t="str">
        <f>IF(AA101&lt;VLOOKUP(AG101,Variables!$AC$3:$AD$8,2,FALSE),"Y","N")</f>
        <v>N</v>
      </c>
      <c r="X101" s="247">
        <f t="shared" si="35"/>
        <v>1</v>
      </c>
      <c r="Y101" s="247">
        <f t="shared" si="36"/>
        <v>5.1499999999999997E-2</v>
      </c>
      <c r="Z101" s="247">
        <f t="shared" si="37"/>
        <v>23.328299999999999</v>
      </c>
      <c r="AA101" s="247">
        <f t="shared" si="38"/>
        <v>23.276799999999998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9"/>
        <v>187</v>
      </c>
      <c r="AE101" s="235" t="str">
        <f t="shared" si="4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101" s="234" t="str">
        <f t="shared" si="41"/>
        <v>"C:\Program Files (x86)\AstroGrep\AstroGrep.exe" /e /r /s /spath="%USERPROFILE%\AppData\Local\Temp\OnboardLogs" /stypes="app*4062*20171206*" /stext=" 22:.+((SYSTEM_STATE.+slice.+state.+changed )|(ment ac)|(multiple cpu faults)|(system.+state.+changed )|(\[timeout)|(PRM\|1\|D)|(kpr)|(kdp)|(train st.+moving)|(\|lc)|(penalty))"</v>
      </c>
      <c r="AG101" s="244" t="str">
        <f t="shared" si="42"/>
        <v>EC</v>
      </c>
      <c r="AH101" s="236" t="str">
        <f t="shared" si="43"/>
        <v>"%USERPROFILE%\Documents\GitHub\eaglep3\Utilities\RefineRTDCRunTimes.py" --tripid 187-06 --locoid 4062 --swversion DE.1.0.9.0 --startMP 204:515 --initTime 2017-12-06T14:23:55 --startdatetime 2017-12-06T14:30:26 --delay 64 --endMP 204:233283 --enddatetime 2017-12-06T15:07:04 --enforcementcount 0 &gt;&gt;%USERPROFILE%\Documents\GitHub\eaglep3-reporting\EC\2017-12-06-refined-times.txt</v>
      </c>
      <c r="AI10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{"issue":{"subject":"","project_id":79,"tracker_id":40,"status_id":1,"priority_id":2,"assigned_to_id":338,"start_date":"2017-12-06","description":"","custom_fields":[{"id":1,"name":"Subdivision","value":"EC"},{"id":4,"name":"Milepost","value":"23.3283"},{"id":17,"name":"Train ID","value":"187-06"},{"id":16,"name":"Locomotive ID","value":"4062"},{"id":130,"name":"Impact","value":""},{"id":150,"name":"Time of Event (Mountain Time)","value":"15:07:04"},{"id":151,"name":"Denver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5"/>
        <v>start /low /b %USERPROFILE%\Documents\GitHub\eaglep3\Utilities\DownloadLogsFromS3.py --loco 4062 --day 2017-12-06</v>
      </c>
      <c r="AN101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7"/>
        <v>https://d0f6bd738d7f1b3e5a7ca70fe4ff75f0.us-east-1.aws.found.io/app/kibana#/discover/Steve-Slow-Train-Analysis-(2080s-and-2083s)?_g=(refreshInterval:(display:Off,pause:!f,section:0,value:0),time:(from:'2017-12-06T13:23:55-0700',mode:absolute,to:'2017-12-06T16:07:04-0700'))&amp;_a=(columns:!('Message%20ID',Summary),filters:!(),index:'emp_*',interval:auto,query:(query_string:(analyze_wildcard:!t,query:'%22rtdc.l.rtdc.4062%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652</v>
      </c>
      <c r="B102" s="225">
        <v>4061</v>
      </c>
      <c r="C102" s="227" t="s">
        <v>192</v>
      </c>
      <c r="D102" s="227" t="s">
        <v>591</v>
      </c>
      <c r="E102" s="226">
        <v>43075.636770833335</v>
      </c>
      <c r="F102" s="226">
        <v>43075.643935185188</v>
      </c>
      <c r="G102" s="225">
        <v>69</v>
      </c>
      <c r="H102" s="227" t="s">
        <v>452</v>
      </c>
      <c r="I102" s="226">
        <v>43075.67083333333</v>
      </c>
      <c r="J102" s="225">
        <v>0</v>
      </c>
      <c r="K102" s="237" t="str">
        <f t="shared" si="31"/>
        <v>4061/4062</v>
      </c>
      <c r="L102" s="245" t="str">
        <f>VLOOKUP(A102,'Trips&amp;Operators'!$C$1:$G$99911,5,FALSE)</f>
        <v>KILLION DAVID</v>
      </c>
      <c r="M102" s="224">
        <f t="shared" si="32"/>
        <v>2.6898148142208811E-2</v>
      </c>
      <c r="N102" s="225">
        <f t="shared" si="48"/>
        <v>38.733333324780688</v>
      </c>
      <c r="O102" s="225"/>
      <c r="P102" s="225"/>
      <c r="Q102" s="228"/>
      <c r="R102" s="242"/>
      <c r="S102" s="249">
        <f t="shared" si="49"/>
        <v>1</v>
      </c>
      <c r="T102" s="242" t="str">
        <f t="shared" si="33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4"/>
        <v>https://d0f6bd738d7f1b3e5a7ca70fe4ff75f0.us-east-1.aws.found.io/app/kibana#/discover/Steve-Slow-Train-Analysis-(2080s-and-2083s)?_g=(refreshInterval:(display:Off,pause:!f,section:0,value:0),time:(from:'2017-12-06T14:16:57-0700',mode:absolute,to:'2017-12-06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247" t="str">
        <f>IF(AA102&lt;VLOOKUP(AG102,Variables!$AC$3:$AD$8,2,FALSE),"Y","N")</f>
        <v>N</v>
      </c>
      <c r="X102" s="247">
        <f t="shared" si="35"/>
        <v>1</v>
      </c>
      <c r="Y102" s="247">
        <f t="shared" si="36"/>
        <v>23.2943</v>
      </c>
      <c r="Z102" s="247">
        <f t="shared" si="37"/>
        <v>1.5800000000000002E-2</v>
      </c>
      <c r="AA102" s="247">
        <f t="shared" si="38"/>
        <v>23.278500000000001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9"/>
        <v>188</v>
      </c>
      <c r="AE102" s="235" t="str">
        <f t="shared" si="4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102" s="234" t="str">
        <f t="shared" si="41"/>
        <v>"C:\Program Files (x86)\AstroGrep\AstroGrep.exe" /e /r /s /spath="%USERPROFILE%\AppData\Local\Temp\OnboardLogs" /stypes="app*4061*20171206*" /stext=" 23:.+((SYSTEM_STATE.+slice.+state.+changed )|(ment ac)|(multiple cpu faults)|(system.+state.+changed )|(\[timeout)|(PRM\|1\|D)|(kpr)|(kdp)|(train st.+moving)|(\|lc)|(penalty))"</v>
      </c>
      <c r="AG102" s="244" t="str">
        <f t="shared" si="42"/>
        <v>EC</v>
      </c>
      <c r="AH102" s="236" t="str">
        <f t="shared" si="43"/>
        <v>"%USERPROFILE%\Documents\GitHub\eaglep3\Utilities\RefineRTDCRunTimes.py" --tripid 188-06 --locoid 4061 --swversion DE.1.0.9.0 --startMP 204:232943 --initTime 2017-12-06T15:16:57 --startdatetime 2017-12-06T15:27:16 --delay 69 --endMP 204:158 --enddatetime 2017-12-06T16:06:00 --enforcementcount 0 &gt;&gt;%USERPROFILE%\Documents\GitHub\eaglep3-reporting\EC\2017-12-06-refined-times.txt</v>
      </c>
      <c r="AI10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{"issue":{"subject":"","project_id":79,"tracker_id":40,"status_id":1,"priority_id":2,"assigned_to_id":338,"start_date":"2017-12-06","description":"","custom_fields":[{"id":1,"name":"Subdivision","value":"EC"},{"id":4,"name":"Milepost","value":"0.0158"},{"id":17,"name":"Train ID","value":"188-06"},{"id":16,"name":"Locomotive ID","value":"4061"},{"id":130,"name":"Impact","value":""},{"id":150,"name":"Time of Event (Mountain Time)","value":"16:06:00"},{"id":151,"name":"Denver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5"/>
        <v>start /low /b %USERPROFILE%\Documents\GitHub\eaglep3\Utilities\DownloadLogsFromS3.py --loco 4061 --day 2017-12-06</v>
      </c>
      <c r="AN102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7"/>
        <v>https://d0f6bd738d7f1b3e5a7ca70fe4ff75f0.us-east-1.aws.found.io/app/kibana#/discover/Steve-Slow-Train-Analysis-(2080s-and-2083s)?_g=(refreshInterval:(display:Off,pause:!f,section:0,value:0),time:(from:'2017-12-06T14:16:57-0700',mode:absolute,to:'2017-12-06T17:06:00-0700'))&amp;_a=(columns:!('Message%20ID',Summary),filters:!(),index:'emp_*',interval:auto,query:(query_string:(analyze_wildcard:!t,query:'%22rtdc.l.rtdc.4061%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788</v>
      </c>
      <c r="B103" s="225">
        <v>4032</v>
      </c>
      <c r="C103" s="227" t="s">
        <v>192</v>
      </c>
      <c r="D103" s="227" t="s">
        <v>417</v>
      </c>
      <c r="E103" s="226">
        <v>43075.611296296294</v>
      </c>
      <c r="F103" s="226">
        <v>43075.614791666667</v>
      </c>
      <c r="G103" s="225">
        <v>59</v>
      </c>
      <c r="H103" s="227" t="s">
        <v>967</v>
      </c>
      <c r="I103" s="226">
        <v>43075.639652777776</v>
      </c>
      <c r="J103" s="225">
        <v>0</v>
      </c>
      <c r="K103" s="237" t="str">
        <f t="shared" si="31"/>
        <v>4031/4032</v>
      </c>
      <c r="L103" s="245" t="str">
        <f>VLOOKUP(A103,'Trips&amp;Operators'!$C$1:$G$99911,5,FALSE)</f>
        <v>BRUDER RICHARD</v>
      </c>
      <c r="M103" s="224">
        <f t="shared" si="32"/>
        <v>2.4861111109203193E-2</v>
      </c>
      <c r="N103" s="225">
        <f t="shared" si="48"/>
        <v>35.799999997252598</v>
      </c>
      <c r="O103" s="225"/>
      <c r="P103" s="225"/>
      <c r="Q103" s="228"/>
      <c r="R103" s="242"/>
      <c r="S103" s="249">
        <f t="shared" si="49"/>
        <v>1</v>
      </c>
      <c r="T103" s="242" t="str">
        <f t="shared" si="33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4"/>
        <v>https://d0f6bd738d7f1b3e5a7ca70fe4ff75f0.us-east-1.aws.found.io/app/kibana#/discover/Steve-Slow-Train-Analysis-(2080s-and-2083s)?_g=(refreshInterval:(display:Off,pause:!f,section:0,value:0),time:(from:'2017-12-06T13:40:16-0700',mode:absolute,to:'2017-12-06T16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47" t="str">
        <f>IF(AA103&lt;VLOOKUP(AG103,Variables!$AC$3:$AD$8,2,FALSE),"Y","N")</f>
        <v>N</v>
      </c>
      <c r="X103" s="247">
        <f t="shared" si="35"/>
        <v>1</v>
      </c>
      <c r="Y103" s="247">
        <f t="shared" si="36"/>
        <v>5.3999999999999999E-2</v>
      </c>
      <c r="Z103" s="247">
        <f t="shared" si="37"/>
        <v>23.319900000000001</v>
      </c>
      <c r="AA103" s="247">
        <f t="shared" si="38"/>
        <v>23.265900000000002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9"/>
        <v>189</v>
      </c>
      <c r="AE103" s="235" t="str">
        <f t="shared" si="4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03" s="234" t="str">
        <f t="shared" si="41"/>
        <v>"C:\Program Files (x86)\AstroGrep\AstroGrep.exe" /e /r /s /spath="%USERPROFILE%\AppData\Local\Temp\OnboardLogs" /stypes="app*4032*20171206*" /stext=" 22:.+((SYSTEM_STATE.+slice.+state.+changed )|(ment ac)|(multiple cpu faults)|(system.+state.+changed )|(\[timeout)|(PRM\|1\|D)|(kpr)|(kdp)|(train st.+moving)|(\|lc)|(penalty))"</v>
      </c>
      <c r="AG103" s="244" t="str">
        <f t="shared" si="42"/>
        <v>EC</v>
      </c>
      <c r="AH103" s="236" t="str">
        <f t="shared" si="43"/>
        <v>"%USERPROFILE%\Documents\GitHub\eaglep3\Utilities\RefineRTDCRunTimes.py" --tripid 189-06 --locoid 4032 --swversion DE.1.0.9.0 --startMP 204:540 --initTime 2017-12-06T14:40:16 --startdatetime 2017-12-06T14:45:18 --delay 59 --endMP 204:233199 --enddatetime 2017-12-06T15:21:06 --enforcementcount 0 &gt;&gt;%USERPROFILE%\Documents\GitHub\eaglep3-reporting\EC\2017-12-06-refined-times.txt</v>
      </c>
      <c r="AI10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{"issue":{"subject":"","project_id":79,"tracker_id":40,"status_id":1,"priority_id":2,"assigned_to_id":338,"start_date":"2017-12-06","description":"","custom_fields":[{"id":1,"name":"Subdivision","value":"EC"},{"id":4,"name":"Milepost","value":"23.3199"},{"id":17,"name":"Train ID","value":"189-06"},{"id":16,"name":"Locomotive ID","value":"4032"},{"id":130,"name":"Impact","value":""},{"id":150,"name":"Time of Event (Mountain Time)","value":"15:21:06"},{"id":151,"name":"Denver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5"/>
        <v>start /low /b %USERPROFILE%\Documents\GitHub\eaglep3\Utilities\DownloadLogsFromS3.py --loco 4032 --day 2017-12-06</v>
      </c>
      <c r="AN103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7"/>
        <v>https://d0f6bd738d7f1b3e5a7ca70fe4ff75f0.us-east-1.aws.found.io/app/kibana#/discover/Steve-Slow-Train-Analysis-(2080s-and-2083s)?_g=(refreshInterval:(display:Off,pause:!f,section:0,value:0),time:(from:'2017-12-06T13:40:16-0700',mode:absolute,to:'2017-12-06T16:21:06-0700'))&amp;_a=(columns:!('Message%20ID',Summary),filters:!(),index:'emp_*',interval:auto,query:(query_string:(analyze_wildcard:!t,query:'%22rtdc.l.rtdc.4032%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798</v>
      </c>
      <c r="B104" s="225">
        <v>4031</v>
      </c>
      <c r="C104" s="227" t="s">
        <v>192</v>
      </c>
      <c r="D104" s="227" t="s">
        <v>597</v>
      </c>
      <c r="E104" s="226">
        <v>43075.650833333333</v>
      </c>
      <c r="F104" s="226">
        <v>43075.654351851852</v>
      </c>
      <c r="G104" s="225">
        <v>54</v>
      </c>
      <c r="H104" s="227" t="s">
        <v>527</v>
      </c>
      <c r="I104" s="226">
        <v>43075.680023148147</v>
      </c>
      <c r="J104" s="225">
        <v>0</v>
      </c>
      <c r="K104" s="237" t="str">
        <f t="shared" si="31"/>
        <v>4031/4032</v>
      </c>
      <c r="L104" s="245" t="str">
        <f>VLOOKUP(A104,'Trips&amp;Operators'!$C$1:$G$99911,5,FALSE)</f>
        <v>BRUDER RICHARD</v>
      </c>
      <c r="M104" s="224">
        <f t="shared" si="32"/>
        <v>2.5671296294603962E-2</v>
      </c>
      <c r="N104" s="225">
        <f t="shared" si="48"/>
        <v>36.966666664229706</v>
      </c>
      <c r="O104" s="225"/>
      <c r="P104" s="225"/>
      <c r="Q104" s="228"/>
      <c r="R104" s="242"/>
      <c r="S104" s="249">
        <f t="shared" si="49"/>
        <v>1</v>
      </c>
      <c r="T104" s="242" t="str">
        <f t="shared" si="33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4"/>
        <v>https://d0f6bd738d7f1b3e5a7ca70fe4ff75f0.us-east-1.aws.found.io/app/kibana#/discover/Steve-Slow-Train-Analysis-(2080s-and-2083s)?_g=(refreshInterval:(display:Off,pause:!f,section:0,value:0),time:(from:'2017-12-06T14:37:12-0700',mode:absolute,to:'2017-12-06T17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47" t="str">
        <f>IF(AA104&lt;VLOOKUP(AG104,Variables!$AC$3:$AD$8,2,FALSE),"Y","N")</f>
        <v>N</v>
      </c>
      <c r="X104" s="247">
        <f t="shared" si="35"/>
        <v>1</v>
      </c>
      <c r="Y104" s="247">
        <f t="shared" si="36"/>
        <v>23.288599999999999</v>
      </c>
      <c r="Z104" s="247">
        <f t="shared" si="37"/>
        <v>2.29E-2</v>
      </c>
      <c r="AA104" s="247">
        <f t="shared" si="38"/>
        <v>23.265699999999999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9"/>
        <v>190</v>
      </c>
      <c r="AE104" s="235" t="str">
        <f t="shared" si="4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04" s="234" t="str">
        <f t="shared" si="41"/>
        <v>"C:\Program Files (x86)\AstroGrep\AstroGrep.exe" /e /r /s /spath="%USERPROFILE%\AppData\Local\Temp\OnboardLogs" /stypes="app*4031*20171206*" /stext=" 23:.+((SYSTEM_STATE.+slice.+state.+changed )|(ment ac)|(multiple cpu faults)|(system.+state.+changed )|(\[timeout)|(PRM\|1\|D)|(kpr)|(kdp)|(train st.+moving)|(\|lc)|(penalty))"</v>
      </c>
      <c r="AG104" s="244" t="str">
        <f t="shared" si="42"/>
        <v>EC</v>
      </c>
      <c r="AH104" s="236" t="str">
        <f t="shared" si="43"/>
        <v>"%USERPROFILE%\Documents\GitHub\eaglep3\Utilities\RefineRTDCRunTimes.py" --tripid 190-06 --locoid 4031 --swversion DE.1.0.9.0 --startMP 204:232886 --initTime 2017-12-06T15:37:12 --startdatetime 2017-12-06T15:42:16 --delay 54 --endMP 204:229 --enddatetime 2017-12-06T16:19:14 --enforcementcount 0 &gt;&gt;%USERPROFILE%\Documents\GitHub\eaglep3-reporting\EC\2017-12-06-refined-times.txt</v>
      </c>
      <c r="AI10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{"issue":{"subject":"","project_id":79,"tracker_id":40,"status_id":1,"priority_id":2,"assigned_to_id":338,"start_date":"2017-12-06","description":"","custom_fields":[{"id":1,"name":"Subdivision","value":"EC"},{"id":4,"name":"Milepost","value":"0.0229"},{"id":17,"name":"Train ID","value":"190-06"},{"id":16,"name":"Locomotive ID","value":"4031"},{"id":130,"name":"Impact","value":""},{"id":150,"name":"Time of Event (Mountain Time)","value":"16:19:14"},{"id":151,"name":"Denver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5"/>
        <v>start /low /b %USERPROFILE%\Documents\GitHub\eaglep3\Utilities\DownloadLogsFromS3.py --loco 4031 --day 2017-12-06</v>
      </c>
      <c r="AN104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7"/>
        <v>https://d0f6bd738d7f1b3e5a7ca70fe4ff75f0.us-east-1.aws.found.io/app/kibana#/discover/Steve-Slow-Train-Analysis-(2080s-and-2083s)?_g=(refreshInterval:(display:Off,pause:!f,section:0,value:0),time:(from:'2017-12-06T14:37:12-0700',mode:absolute,to:'2017-12-06T17:19:14-0700'))&amp;_a=(columns:!('Message%20ID',Summary),filters:!(),index:'emp_*',interval:auto,query:(query_string:(analyze_wildcard:!t,query:'%22rtdc.l.rtdc.4031%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790</v>
      </c>
      <c r="B105" s="225">
        <v>4064</v>
      </c>
      <c r="C105" s="227" t="s">
        <v>192</v>
      </c>
      <c r="D105" s="227" t="s">
        <v>956</v>
      </c>
      <c r="E105" s="226">
        <v>43075.620289351849</v>
      </c>
      <c r="F105" s="226">
        <v>43075.6252662037</v>
      </c>
      <c r="G105" s="225">
        <v>62</v>
      </c>
      <c r="H105" s="227" t="s">
        <v>589</v>
      </c>
      <c r="I105" s="226">
        <v>43075.649988425925</v>
      </c>
      <c r="J105" s="225">
        <v>0</v>
      </c>
      <c r="K105" s="237" t="str">
        <f t="shared" si="31"/>
        <v>4063/4064</v>
      </c>
      <c r="L105" s="245" t="str">
        <f>VLOOKUP(A105,'Trips&amp;Operators'!$C$1:$G$99911,5,FALSE)</f>
        <v>STEWART MICHAEL</v>
      </c>
      <c r="M105" s="224">
        <f t="shared" si="32"/>
        <v>2.4722222224227153E-2</v>
      </c>
      <c r="N105" s="225">
        <f t="shared" si="48"/>
        <v>35.6000000028871</v>
      </c>
      <c r="O105" s="225"/>
      <c r="P105" s="225"/>
      <c r="Q105" s="228"/>
      <c r="R105" s="242"/>
      <c r="S105" s="249">
        <f t="shared" si="49"/>
        <v>1</v>
      </c>
      <c r="T105" s="242" t="str">
        <f t="shared" si="33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4"/>
        <v>https://d0f6bd738d7f1b3e5a7ca70fe4ff75f0.us-east-1.aws.found.io/app/kibana#/discover/Steve-Slow-Train-Analysis-(2080s-and-2083s)?_g=(refreshInterval:(display:Off,pause:!f,section:0,value:0),time:(from:'2017-12-06T13:53:13-0700',mode:absolute,to:'2017-12-06T16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5" s="247" t="str">
        <f>IF(AA105&lt;VLOOKUP(AG105,Variables!$AC$3:$AD$8,2,FALSE),"Y","N")</f>
        <v>N</v>
      </c>
      <c r="X105" s="247">
        <f t="shared" si="35"/>
        <v>1</v>
      </c>
      <c r="Y105" s="247">
        <f t="shared" si="36"/>
        <v>5.2900000000000003E-2</v>
      </c>
      <c r="Z105" s="247">
        <f t="shared" si="37"/>
        <v>23.322299999999998</v>
      </c>
      <c r="AA105" s="247">
        <f t="shared" si="38"/>
        <v>23.269399999999997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9"/>
        <v>191</v>
      </c>
      <c r="AE105" s="235" t="str">
        <f t="shared" si="4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105" s="234" t="str">
        <f t="shared" si="41"/>
        <v>"C:\Program Files (x86)\AstroGrep\AstroGrep.exe" /e /r /s /spath="%USERPROFILE%\AppData\Local\Temp\OnboardLogs" /stypes="app*4064*20171206*" /stext=" 22:.+((SYSTEM_STATE.+slice.+state.+changed )|(ment ac)|(multiple cpu faults)|(system.+state.+changed )|(\[timeout)|(PRM\|1\|D)|(kpr)|(kdp)|(train st.+moving)|(\|lc)|(penalty))"</v>
      </c>
      <c r="AG105" s="244" t="str">
        <f t="shared" si="42"/>
        <v>EC</v>
      </c>
      <c r="AH105" s="236" t="str">
        <f t="shared" si="43"/>
        <v>"%USERPROFILE%\Documents\GitHub\eaglep3\Utilities\RefineRTDCRunTimes.py" --tripid 191-06 --locoid 4064 --swversion DE.1.0.9.0 --startMP 204:529 --initTime 2017-12-06T14:53:13 --startdatetime 2017-12-06T15:00:23 --delay 62 --endMP 204:233223 --enddatetime 2017-12-06T15:35:59 --enforcementcount 0 &gt;&gt;%USERPROFILE%\Documents\GitHub\eaglep3-reporting\EC\2017-12-06-refined-times.txt</v>
      </c>
      <c r="AI10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{"issue":{"subject":"","project_id":79,"tracker_id":40,"status_id":1,"priority_id":2,"assigned_to_id":338,"start_date":"2017-12-06","description":"","custom_fields":[{"id":1,"name":"Subdivision","value":"EC"},{"id":4,"name":"Milepost","value":"23.3223"},{"id":17,"name":"Train ID","value":"191-06"},{"id":16,"name":"Locomotive ID","value":"4064"},{"id":130,"name":"Impact","value":""},{"id":150,"name":"Time of Event (Mountain Time)","value":"15:35:59"},{"id":151,"name":"Denver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5"/>
        <v>start /low /b %USERPROFILE%\Documents\GitHub\eaglep3\Utilities\DownloadLogsFromS3.py --loco 4064 --day 2017-12-06</v>
      </c>
      <c r="AN105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7"/>
        <v>https://d0f6bd738d7f1b3e5a7ca70fe4ff75f0.us-east-1.aws.found.io/app/kibana#/discover/Steve-Slow-Train-Analysis-(2080s-and-2083s)?_g=(refreshInterval:(display:Off,pause:!f,section:0,value:0),time:(from:'2017-12-06T13:53:13-0700',mode:absolute,to:'2017-12-06T16:35:59-0700'))&amp;_a=(columns:!('Message%20ID',Summary),filters:!(),index:'emp_*',interval:auto,query:(query_string:(analyze_wildcard:!t,query:'%22rtdc.l.rtdc.4064%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799</v>
      </c>
      <c r="B106" s="225">
        <v>4063</v>
      </c>
      <c r="C106" s="227" t="s">
        <v>192</v>
      </c>
      <c r="D106" s="227" t="s">
        <v>968</v>
      </c>
      <c r="E106" s="226">
        <v>43075.660138888888</v>
      </c>
      <c r="F106" s="226">
        <v>43075.664803240739</v>
      </c>
      <c r="G106" s="225">
        <v>70</v>
      </c>
      <c r="H106" s="227" t="s">
        <v>451</v>
      </c>
      <c r="I106" s="226">
        <v>43075.691261574073</v>
      </c>
      <c r="J106" s="225">
        <v>0</v>
      </c>
      <c r="K106" s="237" t="str">
        <f t="shared" si="31"/>
        <v>4063/4064</v>
      </c>
      <c r="L106" s="245" t="str">
        <f>VLOOKUP(A106,'Trips&amp;Operators'!$C$1:$G$99911,5,FALSE)</f>
        <v>STEWART MICHAEL</v>
      </c>
      <c r="M106" s="224">
        <f t="shared" si="32"/>
        <v>2.6458333333721384E-2</v>
      </c>
      <c r="N106" s="225">
        <f t="shared" si="48"/>
        <v>38.100000000558794</v>
      </c>
      <c r="O106" s="225"/>
      <c r="P106" s="225"/>
      <c r="Q106" s="228"/>
      <c r="R106" s="242"/>
      <c r="S106" s="249">
        <f t="shared" si="49"/>
        <v>1</v>
      </c>
      <c r="T106" s="242" t="str">
        <f t="shared" si="33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4"/>
        <v>https://d0f6bd738d7f1b3e5a7ca70fe4ff75f0.us-east-1.aws.found.io/app/kibana#/discover/Steve-Slow-Train-Analysis-(2080s-and-2083s)?_g=(refreshInterval:(display:Off,pause:!f,section:0,value:0),time:(from:'2017-12-06T14:50:36-0700',mode:absolute,to:'2017-12-06T17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6" s="247" t="str">
        <f>IF(AA106&lt;VLOOKUP(AG106,Variables!$AC$3:$AD$8,2,FALSE),"Y","N")</f>
        <v>N</v>
      </c>
      <c r="X106" s="247">
        <f t="shared" si="35"/>
        <v>1</v>
      </c>
      <c r="Y106" s="247">
        <f t="shared" si="36"/>
        <v>23.290199999999999</v>
      </c>
      <c r="Z106" s="247">
        <f t="shared" si="37"/>
        <v>2.1600000000000001E-2</v>
      </c>
      <c r="AA106" s="247">
        <f t="shared" si="38"/>
        <v>23.268599999999999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9"/>
        <v>192</v>
      </c>
      <c r="AE106" s="235" t="str">
        <f t="shared" si="4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106" s="234" t="str">
        <f t="shared" si="41"/>
        <v>"C:\Program Files (x86)\AstroGrep\AstroGrep.exe" /e /r /s /spath="%USERPROFILE%\AppData\Local\Temp\OnboardLogs" /stypes="app*4063*20171206*" /stext=" 23:.+((SYSTEM_STATE.+slice.+state.+changed )|(ment ac)|(multiple cpu faults)|(system.+state.+changed )|(\[timeout)|(PRM\|1\|D)|(kpr)|(kdp)|(train st.+moving)|(\|lc)|(penalty))"</v>
      </c>
      <c r="AG106" s="244" t="str">
        <f t="shared" si="42"/>
        <v>EC</v>
      </c>
      <c r="AH106" s="236" t="str">
        <f t="shared" si="43"/>
        <v>"%USERPROFILE%\Documents\GitHub\eaglep3\Utilities\RefineRTDCRunTimes.py" --tripid 192-06 --locoid 4063 --swversion DE.1.0.9.0 --startMP 204:232902 --initTime 2017-12-06T15:50:36 --startdatetime 2017-12-06T15:57:19 --delay 70 --endMP 204:216 --enddatetime 2017-12-06T16:35:25 --enforcementcount 0 &gt;&gt;%USERPROFILE%\Documents\GitHub\eaglep3-reporting\EC\2017-12-06-refined-times.txt</v>
      </c>
      <c r="AI10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{"issue":{"subject":"","project_id":79,"tracker_id":40,"status_id":1,"priority_id":2,"assigned_to_id":338,"start_date":"2017-12-06","description":"","custom_fields":[{"id":1,"name":"Subdivision","value":"EC"},{"id":4,"name":"Milepost","value":"0.0216"},{"id":17,"name":"Train ID","value":"192-06"},{"id":16,"name":"Locomotive ID","value":"4063"},{"id":130,"name":"Impact","value":""},{"id":150,"name":"Time of Event (Mountain Time)","value":"16:35:25"},{"id":151,"name":"Denver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5"/>
        <v>start /low /b %USERPROFILE%\Documents\GitHub\eaglep3\Utilities\DownloadLogsFromS3.py --loco 4063 --day 2017-12-06</v>
      </c>
      <c r="AN106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7"/>
        <v>https://d0f6bd738d7f1b3e5a7ca70fe4ff75f0.us-east-1.aws.found.io/app/kibana#/discover/Steve-Slow-Train-Analysis-(2080s-and-2083s)?_g=(refreshInterval:(display:Off,pause:!f,section:0,value:0),time:(from:'2017-12-06T14:50:36-0700',mode:absolute,to:'2017-12-06T17:35:25-0700'))&amp;_a=(columns:!('Message%20ID',Summary),filters:!(),index:'emp_*',interval:auto,query:(query_string:(analyze_wildcard:!t,query:'%22rtdc.l.rtdc.4063%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792</v>
      </c>
      <c r="B107" s="225">
        <v>4042</v>
      </c>
      <c r="C107" s="227" t="s">
        <v>192</v>
      </c>
      <c r="D107" s="227" t="s">
        <v>592</v>
      </c>
      <c r="E107" s="226">
        <v>43075.630069444444</v>
      </c>
      <c r="F107" s="226">
        <v>43075.635625000003</v>
      </c>
      <c r="G107" s="225">
        <v>55</v>
      </c>
      <c r="H107" s="227" t="s">
        <v>969</v>
      </c>
      <c r="I107" s="226">
        <v>43075.661157407405</v>
      </c>
      <c r="J107" s="225">
        <v>0</v>
      </c>
      <c r="K107" s="237" t="str">
        <f t="shared" si="31"/>
        <v>4041/4042</v>
      </c>
      <c r="L107" s="245" t="str">
        <f>VLOOKUP(A107,'Trips&amp;Operators'!$C$1:$G$99911,5,FALSE)</f>
        <v>LORI SANTOS</v>
      </c>
      <c r="M107" s="224">
        <f t="shared" si="32"/>
        <v>2.5532407402351964E-2</v>
      </c>
      <c r="N107" s="225">
        <f t="shared" si="48"/>
        <v>36.766666659386829</v>
      </c>
      <c r="O107" s="225"/>
      <c r="P107" s="225"/>
      <c r="Q107" s="228"/>
      <c r="R107" s="242"/>
      <c r="S107" s="249">
        <f t="shared" si="49"/>
        <v>1</v>
      </c>
      <c r="T107" s="242" t="str">
        <f t="shared" si="33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4"/>
        <v>https://d0f6bd738d7f1b3e5a7ca70fe4ff75f0.us-east-1.aws.found.io/app/kibana#/discover/Steve-Slow-Train-Analysis-(2080s-and-2083s)?_g=(refreshInterval:(display:Off,pause:!f,section:0,value:0),time:(from:'2017-12-06T14:07:18-0700',mode:absolute,to:'2017-12-06T16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47" t="str">
        <f>IF(AA107&lt;VLOOKUP(AG107,Variables!$AC$3:$AD$8,2,FALSE),"Y","N")</f>
        <v>N</v>
      </c>
      <c r="X107" s="247">
        <f t="shared" si="35"/>
        <v>1</v>
      </c>
      <c r="Y107" s="247">
        <f t="shared" si="36"/>
        <v>5.4899999999999997E-2</v>
      </c>
      <c r="Z107" s="247">
        <f t="shared" si="37"/>
        <v>23.320499999999999</v>
      </c>
      <c r="AA107" s="247">
        <f t="shared" si="38"/>
        <v>23.265599999999999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9"/>
        <v>193</v>
      </c>
      <c r="AE107" s="235" t="str">
        <f t="shared" si="4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107" s="234" t="str">
        <f t="shared" si="41"/>
        <v>"C:\Program Files (x86)\AstroGrep\AstroGrep.exe" /e /r /s /spath="%USERPROFILE%\AppData\Local\Temp\OnboardLogs" /stypes="app*4042*20171206*" /stext=" 22:.+((SYSTEM_STATE.+slice.+state.+changed )|(ment ac)|(multiple cpu faults)|(system.+state.+changed )|(\[timeout)|(PRM\|1\|D)|(kpr)|(kdp)|(train st.+moving)|(\|lc)|(penalty))"</v>
      </c>
      <c r="AG107" s="244" t="str">
        <f t="shared" si="42"/>
        <v>EC</v>
      </c>
      <c r="AH107" s="236" t="str">
        <f t="shared" si="43"/>
        <v>"%USERPROFILE%\Documents\GitHub\eaglep3\Utilities\RefineRTDCRunTimes.py" --tripid 193-06 --locoid 4042 --swversion DE.1.0.9.0 --startMP 204:549 --initTime 2017-12-06T15:07:18 --startdatetime 2017-12-06T15:15:18 --delay 55 --endMP 204:233205 --enddatetime 2017-12-06T15:52:04 --enforcementcount 0 &gt;&gt;%USERPROFILE%\Documents\GitHub\eaglep3-reporting\EC\2017-12-06-refined-times.txt</v>
      </c>
      <c r="AI10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{"issue":{"subject":"","project_id":79,"tracker_id":40,"status_id":1,"priority_id":2,"assigned_to_id":338,"start_date":"2017-12-06","description":"","custom_fields":[{"id":1,"name":"Subdivision","value":"EC"},{"id":4,"name":"Milepost","value":"23.3205"},{"id":17,"name":"Train ID","value":"193-06"},{"id":16,"name":"Locomotive ID","value":"4042"},{"id":130,"name":"Impact","value":""},{"id":150,"name":"Time of Event (Mountain Time)","value":"15:52:04"},{"id":151,"name":"Denver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5"/>
        <v>start /low /b %USERPROFILE%\Documents\GitHub\eaglep3\Utilities\DownloadLogsFromS3.py --loco 4042 --day 2017-12-06</v>
      </c>
      <c r="AN107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7"/>
        <v>https://d0f6bd738d7f1b3e5a7ca70fe4ff75f0.us-east-1.aws.found.io/app/kibana#/discover/Steve-Slow-Train-Analysis-(2080s-and-2083s)?_g=(refreshInterval:(display:Off,pause:!f,section:0,value:0),time:(from:'2017-12-06T14:07:18-0700',mode:absolute,to:'2017-12-06T16:52:04-0700'))&amp;_a=(columns:!('Message%20ID',Summary),filters:!(),index:'emp_*',interval:auto,query:(query_string:(analyze_wildcard:!t,query:'%22rtdc.l.rtdc.4042%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801</v>
      </c>
      <c r="B108" s="225">
        <v>4041</v>
      </c>
      <c r="C108" s="227" t="s">
        <v>192</v>
      </c>
      <c r="D108" s="227" t="s">
        <v>955</v>
      </c>
      <c r="E108" s="226">
        <v>43075.665208333332</v>
      </c>
      <c r="F108" s="226">
        <v>43075.675451388888</v>
      </c>
      <c r="G108" s="225">
        <v>57</v>
      </c>
      <c r="H108" s="227" t="s">
        <v>948</v>
      </c>
      <c r="I108" s="226">
        <v>43075.702557870369</v>
      </c>
      <c r="J108" s="225">
        <v>0</v>
      </c>
      <c r="K108" s="237" t="str">
        <f t="shared" si="31"/>
        <v>4041/4042</v>
      </c>
      <c r="L108" s="245" t="str">
        <f>VLOOKUP(A108,'Trips&amp;Operators'!$C$1:$G$99911,5,FALSE)</f>
        <v>LORI SANTOS</v>
      </c>
      <c r="M108" s="224">
        <f t="shared" si="32"/>
        <v>2.7106481480586808E-2</v>
      </c>
      <c r="N108" s="225">
        <f t="shared" si="48"/>
        <v>39.033333332045004</v>
      </c>
      <c r="O108" s="225"/>
      <c r="P108" s="225"/>
      <c r="Q108" s="228"/>
      <c r="R108" s="242"/>
      <c r="S108" s="249">
        <f t="shared" si="49"/>
        <v>1</v>
      </c>
      <c r="T108" s="242" t="str">
        <f t="shared" si="33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4"/>
        <v>https://d0f6bd738d7f1b3e5a7ca70fe4ff75f0.us-east-1.aws.found.io/app/kibana#/discover/Steve-Slow-Train-Analysis-(2080s-and-2083s)?_g=(refreshInterval:(display:Off,pause:!f,section:0,value:0),time:(from:'2017-12-06T14:57:54-0700',mode:absolute,to:'2017-12-06T17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47" t="str">
        <f>IF(AA108&lt;VLOOKUP(AG108,Variables!$AC$3:$AD$8,2,FALSE),"Y","N")</f>
        <v>N</v>
      </c>
      <c r="X108" s="247">
        <f t="shared" si="35"/>
        <v>1</v>
      </c>
      <c r="Y108" s="247">
        <f t="shared" si="36"/>
        <v>23.289200000000001</v>
      </c>
      <c r="Z108" s="247">
        <f t="shared" si="37"/>
        <v>2.93E-2</v>
      </c>
      <c r="AA108" s="247">
        <f t="shared" si="38"/>
        <v>23.259900000000002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9"/>
        <v>194</v>
      </c>
      <c r="AE108" s="235" t="str">
        <f t="shared" si="4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108" s="234" t="str">
        <f t="shared" si="41"/>
        <v>"C:\Program Files (x86)\AstroGrep\AstroGrep.exe" /e /r /s /spath="%USERPROFILE%\AppData\Local\Temp\OnboardLogs" /stypes="app*4041*20171206*" /stext=" 23:.+((SYSTEM_STATE.+slice.+state.+changed )|(ment ac)|(multiple cpu faults)|(system.+state.+changed )|(\[timeout)|(PRM\|1\|D)|(kpr)|(kdp)|(train st.+moving)|(\|lc)|(penalty))"</v>
      </c>
      <c r="AG108" s="244" t="str">
        <f t="shared" si="42"/>
        <v>EC</v>
      </c>
      <c r="AH108" s="236" t="str">
        <f t="shared" si="43"/>
        <v>"%USERPROFILE%\Documents\GitHub\eaglep3\Utilities\RefineRTDCRunTimes.py" --tripid 194-06 --locoid 4041 --swversion DE.1.0.9.0 --startMP 204:232892 --initTime 2017-12-06T15:57:54 --startdatetime 2017-12-06T16:12:39 --delay 57 --endMP 204:293 --enddatetime 2017-12-06T16:51:41 --enforcementcount 0 &gt;&gt;%USERPROFILE%\Documents\GitHub\eaglep3-reporting\EC\2017-12-06-refined-times.txt</v>
      </c>
      <c r="AI10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{"issue":{"subject":"","project_id":79,"tracker_id":40,"status_id":1,"priority_id":2,"assigned_to_id":338,"start_date":"2017-12-06","description":"","custom_fields":[{"id":1,"name":"Subdivision","value":"EC"},{"id":4,"name":"Milepost","value":"0.0293"},{"id":17,"name":"Train ID","value":"194-06"},{"id":16,"name":"Locomotive ID","value":"4041"},{"id":130,"name":"Impact","value":""},{"id":150,"name":"Time of Event (Mountain Time)","value":"16:51:41"},{"id":151,"name":"Denver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5"/>
        <v>start /low /b %USERPROFILE%\Documents\GitHub\eaglep3\Utilities\DownloadLogsFromS3.py --loco 4041 --day 2017-12-06</v>
      </c>
      <c r="AN108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7"/>
        <v>https://d0f6bd738d7f1b3e5a7ca70fe4ff75f0.us-east-1.aws.found.io/app/kibana#/discover/Steve-Slow-Train-Analysis-(2080s-and-2083s)?_g=(refreshInterval:(display:Off,pause:!f,section:0,value:0),time:(from:'2017-12-06T14:57:54-0700',mode:absolute,to:'2017-12-06T17:51:41-0700'))&amp;_a=(columns:!('Message%20ID',Summary),filters:!(),index:'emp_*',interval:auto,query:(query_string:(analyze_wildcard:!t,query:'%22rtdc.l.rtdc.4041%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795</v>
      </c>
      <c r="B109" s="225">
        <v>4008</v>
      </c>
      <c r="C109" s="227" t="s">
        <v>192</v>
      </c>
      <c r="D109" s="227" t="s">
        <v>575</v>
      </c>
      <c r="E109" s="226">
        <v>43075.643252314818</v>
      </c>
      <c r="F109" s="226">
        <v>43075.646006944444</v>
      </c>
      <c r="G109" s="225">
        <v>78</v>
      </c>
      <c r="H109" s="227" t="s">
        <v>487</v>
      </c>
      <c r="I109" s="226">
        <v>43075.670914351853</v>
      </c>
      <c r="J109" s="225">
        <v>0</v>
      </c>
      <c r="K109" s="237" t="str">
        <f t="shared" si="31"/>
        <v>4007/4008</v>
      </c>
      <c r="L109" s="245" t="str">
        <f>VLOOKUP(A109,'Trips&amp;Operators'!$C$1:$G$99911,5,FALSE)</f>
        <v>LEVIN SCOTT</v>
      </c>
      <c r="M109" s="224">
        <f t="shared" si="32"/>
        <v>2.4907407409045845E-2</v>
      </c>
      <c r="N109" s="225">
        <f t="shared" si="48"/>
        <v>35.866666669026017</v>
      </c>
      <c r="O109" s="225"/>
      <c r="P109" s="225"/>
      <c r="Q109" s="228"/>
      <c r="R109" s="242"/>
      <c r="S109" s="249">
        <f t="shared" si="49"/>
        <v>1</v>
      </c>
      <c r="T109" s="242" t="str">
        <f t="shared" si="33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4"/>
        <v>https://d0f6bd738d7f1b3e5a7ca70fe4ff75f0.us-east-1.aws.found.io/app/kibana#/discover/Steve-Slow-Train-Analysis-(2080s-and-2083s)?_g=(refreshInterval:(display:Off,pause:!f,section:0,value:0),time:(from:'2017-12-06T14:26:17-0700',mode:absolute,to:'2017-12-06T17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247" t="str">
        <f>IF(AA109&lt;VLOOKUP(AG109,Variables!$AC$3:$AD$8,2,FALSE),"Y","N")</f>
        <v>N</v>
      </c>
      <c r="X109" s="247">
        <f t="shared" ref="X109:X133" si="50">VALUE(LEFT(AD109,4))-VALUE(LEFT(AD108,4))</f>
        <v>1</v>
      </c>
      <c r="Y109" s="247">
        <f t="shared" ref="Y109:Y140" si="51">RIGHT(D109,LEN(D109)-4)/10000</f>
        <v>4.58E-2</v>
      </c>
      <c r="Z109" s="247">
        <f t="shared" ref="Z109:Z140" si="52">RIGHT(H109,LEN(H109)-4)/10000</f>
        <v>23.331199999999999</v>
      </c>
      <c r="AA109" s="247">
        <f t="shared" si="38"/>
        <v>23.285399999999999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9"/>
        <v>195</v>
      </c>
      <c r="AE109" s="235" t="str">
        <f t="shared" si="4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09" s="234" t="str">
        <f t="shared" si="41"/>
        <v>"C:\Program Files (x86)\AstroGrep\AstroGrep.exe" /e /r /s /spath="%USERPROFILE%\AppData\Local\Temp\OnboardLogs" /stypes="app*4008*20171206*" /stext=" 23:.+((SYSTEM_STATE.+slice.+state.+changed )|(ment ac)|(multiple cpu faults)|(system.+state.+changed )|(\[timeout)|(PRM\|1\|D)|(kpr)|(kdp)|(train st.+moving)|(\|lc)|(penalty))"</v>
      </c>
      <c r="AG109" s="244" t="str">
        <f t="shared" si="42"/>
        <v>EC</v>
      </c>
      <c r="AH109" s="236" t="str">
        <f t="shared" si="43"/>
        <v>"%USERPROFILE%\Documents\GitHub\eaglep3\Utilities\RefineRTDCRunTimes.py" --tripid 195-06 --locoid 4008 --swversion DE.1.0.9.0 --startMP 204:458 --initTime 2017-12-06T15:26:17 --startdatetime 2017-12-06T15:30:15 --delay 78 --endMP 204:233312 --enddatetime 2017-12-06T16:06:07 --enforcementcount 0 &gt;&gt;%USERPROFILE%\Documents\GitHub\eaglep3-reporting\EC\2017-12-06-refined-times.txt</v>
      </c>
      <c r="AI10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{"issue":{"subject":"","project_id":79,"tracker_id":40,"status_id":1,"priority_id":2,"assigned_to_id":338,"start_date":"2017-12-06","description":"","custom_fields":[{"id":1,"name":"Subdivision","value":"EC"},{"id":4,"name":"Milepost","value":"23.3312"},{"id":17,"name":"Train ID","value":"195-06"},{"id":16,"name":"Locomotive ID","value":"4008"},{"id":130,"name":"Impact","value":""},{"id":150,"name":"Time of Event (Mountain Time)","value":"16:06:07"},{"id":151,"name":"Denver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5"/>
        <v>start /low /b %USERPROFILE%\Documents\GitHub\eaglep3\Utilities\DownloadLogsFromS3.py --loco 4008 --day 2017-12-06</v>
      </c>
      <c r="AN109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7"/>
        <v>https://d0f6bd738d7f1b3e5a7ca70fe4ff75f0.us-east-1.aws.found.io/app/kibana#/discover/Steve-Slow-Train-Analysis-(2080s-and-2083s)?_g=(refreshInterval:(display:Off,pause:!f,section:0,value:0),time:(from:'2017-12-06T14:26:17-0700',mode:absolute,to:'2017-12-06T17:06:07-0700'))&amp;_a=(columns:!('Message%20ID',Summary),filters:!(),index:'emp_*',interval:auto,query:(query_string:(analyze_wildcard:!t,query:'%22rtdc.l.rtdc.4008%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229" t="s">
        <v>805</v>
      </c>
      <c r="B110" s="225">
        <v>4007</v>
      </c>
      <c r="C110" s="227" t="s">
        <v>192</v>
      </c>
      <c r="D110" s="227" t="s">
        <v>588</v>
      </c>
      <c r="E110" s="226">
        <v>43075.675046296295</v>
      </c>
      <c r="F110" s="226">
        <v>43075.685624999998</v>
      </c>
      <c r="G110" s="225">
        <v>61</v>
      </c>
      <c r="H110" s="227" t="s">
        <v>970</v>
      </c>
      <c r="I110" s="226">
        <v>43075.711770833332</v>
      </c>
      <c r="J110" s="225">
        <v>0</v>
      </c>
      <c r="K110" s="237" t="str">
        <f t="shared" si="31"/>
        <v>4007/4008</v>
      </c>
      <c r="L110" s="245" t="str">
        <f>VLOOKUP(A110,'Trips&amp;Operators'!$C$1:$G$99911,5,FALSE)</f>
        <v>LEVIN SCOTT</v>
      </c>
      <c r="M110" s="224">
        <f t="shared" si="32"/>
        <v>2.6145833333430346E-2</v>
      </c>
      <c r="N110" s="225">
        <f t="shared" si="48"/>
        <v>37.650000000139698</v>
      </c>
      <c r="O110" s="225"/>
      <c r="P110" s="225"/>
      <c r="Q110" s="228"/>
      <c r="R110" s="242"/>
      <c r="S110" s="249">
        <f t="shared" si="49"/>
        <v>1</v>
      </c>
      <c r="T110" s="242" t="str">
        <f t="shared" si="33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4"/>
        <v>https://d0f6bd738d7f1b3e5a7ca70fe4ff75f0.us-east-1.aws.found.io/app/kibana#/discover/Steve-Slow-Train-Analysis-(2080s-and-2083s)?_g=(refreshInterval:(display:Off,pause:!f,section:0,value:0),time:(from:'2017-12-06T15:12:04-0700',mode:absolute,to:'2017-12-06T18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247" t="str">
        <f>IF(AA110&lt;VLOOKUP(AG110,Variables!$AC$3:$AD$8,2,FALSE),"Y","N")</f>
        <v>N</v>
      </c>
      <c r="X110" s="247">
        <f t="shared" si="50"/>
        <v>1</v>
      </c>
      <c r="Y110" s="247">
        <f t="shared" si="51"/>
        <v>23.299399999999999</v>
      </c>
      <c r="Z110" s="247">
        <f t="shared" si="52"/>
        <v>1.47E-2</v>
      </c>
      <c r="AA110" s="247">
        <f t="shared" si="38"/>
        <v>23.284699999999997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9"/>
        <v>196</v>
      </c>
      <c r="AE110" s="235" t="str">
        <f t="shared" si="4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10" s="234" t="str">
        <f t="shared" si="41"/>
        <v>"C:\Program Files (x86)\AstroGrep\AstroGrep.exe" /e /r /s /spath="%USERPROFILE%\AppData\Local\Temp\OnboardLogs" /stypes="app*4007*20171207*" /stext=" 00:.+((SYSTEM_STATE.+slice.+state.+changed )|(ment ac)|(multiple cpu faults)|(system.+state.+changed )|(\[timeout)|(PRM\|1\|D)|(kpr)|(kdp)|(train st.+moving)|(\|lc)|(penalty))"</v>
      </c>
      <c r="AG110" s="244" t="str">
        <f t="shared" si="42"/>
        <v>EC</v>
      </c>
      <c r="AH110" s="236" t="str">
        <f t="shared" si="43"/>
        <v>"%USERPROFILE%\Documents\GitHub\eaglep3\Utilities\RefineRTDCRunTimes.py" --tripid 196-06 --locoid 4007 --swversion DE.1.0.9.0 --startMP 204:232994 --initTime 2017-12-06T16:12:04 --startdatetime 2017-12-06T16:27:18 --delay 61 --endMP 204:147 --enddatetime 2017-12-06T17:04:57 --enforcementcount 0 &gt;&gt;%USERPROFILE%\Documents\GitHub\eaglep3-reporting\EC\2017-12-06-refined-times.txt</v>
      </c>
      <c r="AI11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{"issue":{"subject":"","project_id":79,"tracker_id":40,"status_id":1,"priority_id":2,"assigned_to_id":338,"start_date":"2017-12-06","description":"","custom_fields":[{"id":1,"name":"Subdivision","value":"EC"},{"id":4,"name":"Milepost","value":"0.0147"},{"id":17,"name":"Train ID","value":"196-06"},{"id":16,"name":"Locomotive ID","value":"4007"},{"id":130,"name":"Impact","value":""},{"id":150,"name":"Time of Event (Mountain Time)","value":"17:04:57"},{"id":151,"name":"Denver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5"/>
        <v>start /low /b %USERPROFILE%\Documents\GitHub\eaglep3\Utilities\DownloadLogsFromS3.py --loco 4007 --day 2017-12-06</v>
      </c>
      <c r="AN110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7"/>
        <v>https://d0f6bd738d7f1b3e5a7ca70fe4ff75f0.us-east-1.aws.found.io/app/kibana#/discover/Steve-Slow-Train-Analysis-(2080s-and-2083s)?_g=(refreshInterval:(display:Off,pause:!f,section:0,value:0),time:(from:'2017-12-06T15:12:04-0700',mode:absolute,to:'2017-12-06T18:04:57-0700'))&amp;_a=(columns:!('Message%20ID',Summary),filters:!(),index:'emp_*',interval:auto,query:(query_string:(analyze_wildcard:!t,query:'%22rtdc.l.rtdc.4007%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229" t="s">
        <v>654</v>
      </c>
      <c r="B111" s="225">
        <v>4034</v>
      </c>
      <c r="C111" s="227" t="s">
        <v>192</v>
      </c>
      <c r="D111" s="227" t="s">
        <v>887</v>
      </c>
      <c r="E111" s="226">
        <v>43075.652175925927</v>
      </c>
      <c r="F111" s="226">
        <v>43075.656481481485</v>
      </c>
      <c r="G111" s="225">
        <v>75</v>
      </c>
      <c r="H111" s="227" t="s">
        <v>490</v>
      </c>
      <c r="I111" s="226">
        <v>43075.683680555558</v>
      </c>
      <c r="J111" s="225">
        <v>0</v>
      </c>
      <c r="K111" s="237" t="str">
        <f t="shared" si="31"/>
        <v>4033/4034</v>
      </c>
      <c r="L111" s="245" t="str">
        <f>VLOOKUP(A111,'Trips&amp;Operators'!$C$1:$G$99911,5,FALSE)</f>
        <v>AUSTIN THOMPSON</v>
      </c>
      <c r="M111" s="224">
        <f t="shared" si="32"/>
        <v>2.7199074072996154E-2</v>
      </c>
      <c r="N111" s="225">
        <f t="shared" si="48"/>
        <v>39.166666665114462</v>
      </c>
      <c r="O111" s="225"/>
      <c r="P111" s="225"/>
      <c r="Q111" s="228"/>
      <c r="R111" s="242"/>
      <c r="S111" s="249">
        <f t="shared" si="49"/>
        <v>1</v>
      </c>
      <c r="T111" s="242" t="str">
        <f t="shared" si="33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4"/>
        <v>https://d0f6bd738d7f1b3e5a7ca70fe4ff75f0.us-east-1.aws.found.io/app/kibana#/discover/Steve-Slow-Train-Analysis-(2080s-and-2083s)?_g=(refreshInterval:(display:Off,pause:!f,section:0,value:0),time:(from:'2017-12-06T14:39:08-0700',mode:absolute,to:'2017-12-06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1" s="247" t="str">
        <f>IF(AA111&lt;VLOOKUP(AG111,Variables!$AC$3:$AD$8,2,FALSE),"Y","N")</f>
        <v>N</v>
      </c>
      <c r="X111" s="247">
        <f t="shared" si="50"/>
        <v>1</v>
      </c>
      <c r="Y111" s="247">
        <f t="shared" si="51"/>
        <v>4.5999999999999999E-2</v>
      </c>
      <c r="Z111" s="247">
        <f t="shared" si="52"/>
        <v>23.325500000000002</v>
      </c>
      <c r="AA111" s="247">
        <f t="shared" si="38"/>
        <v>23.279500000000002</v>
      </c>
      <c r="AB111" s="233" t="str">
        <f>VLOOKUP(A111,Enforcements!$C$7:$K$9,8,0)</f>
        <v>Bulletin (2)</v>
      </c>
      <c r="AC111" s="232" t="str">
        <f>VLOOKUP(A111,Enforcements!$C$7:$E$9,3,0)</f>
        <v>GRADE CROSSING</v>
      </c>
      <c r="AD111" s="243">
        <f t="shared" si="39"/>
        <v>197</v>
      </c>
      <c r="AE111" s="235" t="str">
        <f t="shared" si="4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111" s="234" t="str">
        <f t="shared" si="41"/>
        <v>"C:\Program Files (x86)\AstroGrep\AstroGrep.exe" /e /r /s /spath="%USERPROFILE%\AppData\Local\Temp\OnboardLogs" /stypes="app*4034*20171206*" /stext=" 23:.+((SYSTEM_STATE.+slice.+state.+changed )|(ment ac)|(multiple cpu faults)|(system.+state.+changed )|(\[timeout)|(PRM\|1\|D)|(kpr)|(kdp)|(train st.+moving)|(\|lc)|(penalty))"</v>
      </c>
      <c r="AG111" s="244" t="str">
        <f t="shared" si="42"/>
        <v>EC</v>
      </c>
      <c r="AH111" s="236" t="str">
        <f t="shared" si="43"/>
        <v>"%USERPROFILE%\Documents\GitHub\eaglep3\Utilities\RefineRTDCRunTimes.py" --tripid 197-06 --locoid 4034 --swversion DE.1.0.9.0 --startMP 204:460 --initTime 2017-12-06T15:39:08 --startdatetime 2017-12-06T15:45:20 --delay 75 --endMP 204:233255 --enddatetime 2017-12-06T16:24:30 --enforcementcount 0 &gt;&gt;%USERPROFILE%\Documents\GitHub\eaglep3-reporting\EC\2017-12-06-refined-times.txt</v>
      </c>
      <c r="AI11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{"issue":{"subject":"","project_id":79,"tracker_id":40,"status_id":1,"priority_id":2,"assigned_to_id":338,"start_date":"2017-12-06","description":"","custom_fields":[{"id":1,"name":"Subdivision","value":"EC"},{"id":4,"name":"Milepost","value":"23.3255"},{"id":17,"name":"Train ID","value":"197-06"},{"id":16,"name":"Locomotive ID","value":"4034"},{"id":130,"name":"Impact","value":""},{"id":150,"name":"Time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5"/>
        <v>start /low /b %USERPROFILE%\Documents\GitHub\eaglep3\Utilities\DownloadLogsFromS3.py --loco 4034 --day 2017-12-06</v>
      </c>
      <c r="AN111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7"/>
        <v>https://d0f6bd738d7f1b3e5a7ca70fe4ff75f0.us-east-1.aws.found.io/app/kibana#/discover/Steve-Slow-Train-Analysis-(2080s-and-2083s)?_g=(refreshInterval:(display:Off,pause:!f,section:0,value:0),time:(from:'2017-12-06T14:39:08-0700',mode:absolute,to:'2017-12-06T17:24:30-0700'))&amp;_a=(columns:!('Message%20ID',Summary),filters:!(),index:'emp_*',interval:auto,query:(query_string:(analyze_wildcard:!t,query:'%22rtdc.l.rtdc.4034%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812</v>
      </c>
      <c r="B112" s="225">
        <v>4033</v>
      </c>
      <c r="C112" s="227" t="s">
        <v>192</v>
      </c>
      <c r="D112" s="227" t="s">
        <v>528</v>
      </c>
      <c r="E112" s="226">
        <v>43075.691064814811</v>
      </c>
      <c r="F112" s="226">
        <v>43075.696018518516</v>
      </c>
      <c r="G112" s="225">
        <v>206</v>
      </c>
      <c r="H112" s="227" t="s">
        <v>971</v>
      </c>
      <c r="I112" s="226">
        <v>43075.722349537034</v>
      </c>
      <c r="J112" s="225">
        <v>0</v>
      </c>
      <c r="K112" s="237" t="str">
        <f t="shared" si="31"/>
        <v>4033/4034</v>
      </c>
      <c r="L112" s="245" t="str">
        <f>VLOOKUP(A112,'Trips&amp;Operators'!$C$1:$G$99911,5,FALSE)</f>
        <v>AUSTIN THOMPSON</v>
      </c>
      <c r="M112" s="224">
        <f t="shared" si="32"/>
        <v>2.6331018518249039E-2</v>
      </c>
      <c r="N112" s="225">
        <f t="shared" si="48"/>
        <v>37.916666666278616</v>
      </c>
      <c r="O112" s="225"/>
      <c r="P112" s="225"/>
      <c r="Q112" s="228"/>
      <c r="R112" s="242"/>
      <c r="S112" s="249">
        <f t="shared" si="49"/>
        <v>1</v>
      </c>
      <c r="T112" s="242" t="str">
        <f t="shared" si="33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4"/>
        <v>https://d0f6bd738d7f1b3e5a7ca70fe4ff75f0.us-east-1.aws.found.io/app/kibana#/discover/Steve-Slow-Train-Analysis-(2080s-and-2083s)?_g=(refreshInterval:(display:Off,pause:!f,section:0,value:0),time:(from:'2017-12-06T15:35:08-0700',mode:absolute,to:'2017-12-06T18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2" s="247" t="str">
        <f>IF(AA112&lt;VLOOKUP(AG112,Variables!$AC$3:$AD$8,2,FALSE),"Y","N")</f>
        <v>N</v>
      </c>
      <c r="X112" s="247">
        <f t="shared" si="50"/>
        <v>1</v>
      </c>
      <c r="Y112" s="247">
        <f t="shared" si="51"/>
        <v>23.293399999999998</v>
      </c>
      <c r="Z112" s="247">
        <f t="shared" si="52"/>
        <v>2.7400000000000001E-2</v>
      </c>
      <c r="AA112" s="247">
        <f t="shared" si="38"/>
        <v>23.265999999999998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9"/>
        <v>198</v>
      </c>
      <c r="AE112" s="235" t="str">
        <f t="shared" si="4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112" s="234" t="str">
        <f t="shared" si="41"/>
        <v>"C:\Program Files (x86)\AstroGrep\AstroGrep.exe" /e /r /s /spath="%USERPROFILE%\AppData\Local\Temp\OnboardLogs" /stypes="app*4033*20171207*" /stext=" 00:.+((SYSTEM_STATE.+slice.+state.+changed )|(ment ac)|(multiple cpu faults)|(system.+state.+changed )|(\[timeout)|(PRM\|1\|D)|(kpr)|(kdp)|(train st.+moving)|(\|lc)|(penalty))"</v>
      </c>
      <c r="AG112" s="244" t="str">
        <f t="shared" si="42"/>
        <v>EC</v>
      </c>
      <c r="AH112" s="236" t="str">
        <f t="shared" si="43"/>
        <v>"%USERPROFILE%\Documents\GitHub\eaglep3\Utilities\RefineRTDCRunTimes.py" --tripid 198-06 --locoid 4033 --swversion DE.1.0.9.0 --startMP 204:232934 --initTime 2017-12-06T16:35:08 --startdatetime 2017-12-06T16:42:16 --delay 206 --endMP 204:274 --enddatetime 2017-12-06T17:20:11 --enforcementcount 0 &gt;&gt;%USERPROFILE%\Documents\GitHub\eaglep3-reporting\EC\2017-12-06-refined-times.txt</v>
      </c>
      <c r="AI11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{"issue":{"subject":"","project_id":79,"tracker_id":40,"status_id":1,"priority_id":2,"assigned_to_id":338,"start_date":"2017-12-06","description":"","custom_fields":[{"id":1,"name":"Subdivision","value":"EC"},{"id":4,"name":"Milepost","value":"0.0274"},{"id":17,"name":"Train ID","value":"198-06"},{"id":16,"name":"Locomotive ID","value":"4033"},{"id":130,"name":"Impact","value":""},{"id":150,"name":"Time of Event (Mountain Time)","value":"17:20:11"},{"id":151,"name":"Denver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5"/>
        <v>start /low /b %USERPROFILE%\Documents\GitHub\eaglep3\Utilities\DownloadLogsFromS3.py --loco 4033 --day 2017-12-06</v>
      </c>
      <c r="AN112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7"/>
        <v>https://d0f6bd738d7f1b3e5a7ca70fe4ff75f0.us-east-1.aws.found.io/app/kibana#/discover/Steve-Slow-Train-Analysis-(2080s-and-2083s)?_g=(refreshInterval:(display:Off,pause:!f,section:0,value:0),time:(from:'2017-12-06T15:35:08-0700',mode:absolute,to:'2017-12-06T18:20:11-0700'))&amp;_a=(columns:!('Message%20ID',Summary),filters:!(),index:'emp_*',interval:auto,query:(query_string:(analyze_wildcard:!t,query:'%22rtdc.l.rtdc.4033%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25">
      <c r="A113" s="229" t="s">
        <v>802</v>
      </c>
      <c r="B113" s="225">
        <v>4010</v>
      </c>
      <c r="C113" s="227" t="s">
        <v>192</v>
      </c>
      <c r="D113" s="227" t="s">
        <v>476</v>
      </c>
      <c r="E113" s="226">
        <v>43075.665497685186</v>
      </c>
      <c r="F113" s="226">
        <v>43075.667129629626</v>
      </c>
      <c r="G113" s="225">
        <v>52</v>
      </c>
      <c r="H113" s="227" t="s">
        <v>906</v>
      </c>
      <c r="I113" s="226">
        <v>43075.692962962959</v>
      </c>
      <c r="J113" s="225">
        <v>0</v>
      </c>
      <c r="K113" s="237" t="str">
        <f t="shared" si="31"/>
        <v>4009/4010</v>
      </c>
      <c r="L113" s="245" t="str">
        <f>VLOOKUP(A113,'Trips&amp;Operators'!$C$1:$G$99911,5,FALSE)</f>
        <v>DAVIS MICHAEL</v>
      </c>
      <c r="M113" s="224">
        <f t="shared" si="32"/>
        <v>2.5833333333139308E-2</v>
      </c>
      <c r="N113" s="225">
        <f t="shared" si="48"/>
        <v>37.199999999720603</v>
      </c>
      <c r="O113" s="225"/>
      <c r="P113" s="225"/>
      <c r="Q113" s="228"/>
      <c r="R113" s="242"/>
      <c r="S113" s="249">
        <f t="shared" si="49"/>
        <v>1</v>
      </c>
      <c r="T113" s="242" t="str">
        <f t="shared" si="33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4"/>
        <v>https://d0f6bd738d7f1b3e5a7ca70fe4ff75f0.us-east-1.aws.found.io/app/kibana#/discover/Steve-Slow-Train-Analysis-(2080s-and-2083s)?_g=(refreshInterval:(display:Off,pause:!f,section:0,value:0),time:(from:'2017-12-06T14:58:19-0700',mode:absolute,to:'2017-12-06T17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247" t="str">
        <f>IF(AA113&lt;VLOOKUP(AG113,Variables!$AC$3:$AD$8,2,FALSE),"Y","N")</f>
        <v>N</v>
      </c>
      <c r="X113" s="247">
        <f t="shared" si="50"/>
        <v>1</v>
      </c>
      <c r="Y113" s="247">
        <f t="shared" si="51"/>
        <v>5.0599999999999999E-2</v>
      </c>
      <c r="Z113" s="247">
        <f t="shared" si="52"/>
        <v>23.330200000000001</v>
      </c>
      <c r="AA113" s="247">
        <f t="shared" si="38"/>
        <v>23.279600000000002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9"/>
        <v>199</v>
      </c>
      <c r="AE113" s="235" t="str">
        <f t="shared" si="4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13" s="234" t="str">
        <f t="shared" si="41"/>
        <v>"C:\Program Files (x86)\AstroGrep\AstroGrep.exe" /e /r /s /spath="%USERPROFILE%\AppData\Local\Temp\OnboardLogs" /stypes="app*4010*20171206*" /stext=" 23:.+((SYSTEM_STATE.+slice.+state.+changed )|(ment ac)|(multiple cpu faults)|(system.+state.+changed )|(\[timeout)|(PRM\|1\|D)|(kpr)|(kdp)|(train st.+moving)|(\|lc)|(penalty))"</v>
      </c>
      <c r="AG113" s="244" t="str">
        <f t="shared" si="42"/>
        <v>EC</v>
      </c>
      <c r="AH113" s="236" t="str">
        <f t="shared" si="43"/>
        <v>"%USERPROFILE%\Documents\GitHub\eaglep3\Utilities\RefineRTDCRunTimes.py" --tripid 199-06 --locoid 4010 --swversion DE.1.0.9.0 --startMP 204:506 --initTime 2017-12-06T15:58:19 --startdatetime 2017-12-06T16:00:40 --delay 52 --endMP 204:233302 --enddatetime 2017-12-06T16:37:52 --enforcementcount 0 &gt;&gt;%USERPROFILE%\Documents\GitHub\eaglep3-reporting\EC\2017-12-06-refined-times.txt</v>
      </c>
      <c r="AI11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{"issue":{"subject":"","project_id":79,"tracker_id":40,"status_id":1,"priority_id":2,"assigned_to_id":338,"start_date":"2017-12-06","description":"","custom_fields":[{"id":1,"name":"Subdivision","value":"EC"},{"id":4,"name":"Milepost","value":"23.3302"},{"id":17,"name":"Train ID","value":"199-06"},{"id":16,"name":"Locomotive ID","value":"4010"},{"id":130,"name":"Impact","value":""},{"id":150,"name":"Time of Event (Mountain Time)","value":"16:37:52"},{"id":151,"name":"Denver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45"/>
        <v>start /low /b %USERPROFILE%\Documents\GitHub\eaglep3\Utilities\DownloadLogsFromS3.py --loco 4010 --day 2017-12-06</v>
      </c>
      <c r="AN113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7"/>
        <v>https://d0f6bd738d7f1b3e5a7ca70fe4ff75f0.us-east-1.aws.found.io/app/kibana#/discover/Steve-Slow-Train-Analysis-(2080s-and-2083s)?_g=(refreshInterval:(display:Off,pause:!f,section:0,value:0),time:(from:'2017-12-06T14:58:19-0700',mode:absolute,to:'2017-12-06T17:37:52-0700'))&amp;_a=(columns:!('Message%20ID',Summary),filters:!(),index:'emp_*',interval:auto,query:(query_string:(analyze_wildcard:!t,query:'%22rtdc.l.rtdc.4010%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816</v>
      </c>
      <c r="B114" s="225">
        <v>4009</v>
      </c>
      <c r="C114" s="227" t="s">
        <v>192</v>
      </c>
      <c r="D114" s="227" t="s">
        <v>972</v>
      </c>
      <c r="E114" s="226">
        <v>43075.704282407409</v>
      </c>
      <c r="F114" s="226">
        <v>43075.706689814811</v>
      </c>
      <c r="G114" s="225">
        <v>71</v>
      </c>
      <c r="H114" s="227" t="s">
        <v>463</v>
      </c>
      <c r="I114" s="226">
        <v>43075.734791666669</v>
      </c>
      <c r="J114" s="225">
        <v>0</v>
      </c>
      <c r="K114" s="237" t="str">
        <f t="shared" si="31"/>
        <v>4009/4010</v>
      </c>
      <c r="L114" s="245" t="str">
        <f>VLOOKUP(A114,'Trips&amp;Operators'!$C$1:$G$99911,5,FALSE)</f>
        <v>DAVIS MICHAEL</v>
      </c>
      <c r="M114" s="224">
        <f t="shared" si="32"/>
        <v>2.8101851858082227E-2</v>
      </c>
      <c r="N114" s="225">
        <f t="shared" si="48"/>
        <v>40.466666675638407</v>
      </c>
      <c r="O114" s="225"/>
      <c r="P114" s="225"/>
      <c r="Q114" s="228"/>
      <c r="R114" s="242"/>
      <c r="S114" s="249">
        <f t="shared" si="49"/>
        <v>1</v>
      </c>
      <c r="T114" s="242" t="str">
        <f t="shared" si="33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4"/>
        <v>https://d0f6bd738d7f1b3e5a7ca70fe4ff75f0.us-east-1.aws.found.io/app/kibana#/discover/Steve-Slow-Train-Analysis-(2080s-and-2083s)?_g=(refreshInterval:(display:Off,pause:!f,section:0,value:0),time:(from:'2017-12-06T15:54:10-0700',mode:absolute,to:'2017-12-06T18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247" t="str">
        <f>IF(AA114&lt;VLOOKUP(AG114,Variables!$AC$3:$AD$8,2,FALSE),"Y","N")</f>
        <v>N</v>
      </c>
      <c r="X114" s="247">
        <f t="shared" si="50"/>
        <v>1</v>
      </c>
      <c r="Y114" s="247">
        <f t="shared" si="51"/>
        <v>23.298100000000002</v>
      </c>
      <c r="Z114" s="247">
        <f t="shared" si="52"/>
        <v>2.0899999999999998E-2</v>
      </c>
      <c r="AA114" s="247">
        <f t="shared" si="38"/>
        <v>23.277200000000001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9"/>
        <v>200</v>
      </c>
      <c r="AE114" s="235" t="str">
        <f t="shared" si="4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14" s="234" t="str">
        <f t="shared" si="41"/>
        <v>"C:\Program Files (x86)\AstroGrep\AstroGrep.exe" /e /r /s /spath="%USERPROFILE%\AppData\Local\Temp\OnboardLogs" /stypes="app*4009*20171207*" /stext=" 00:.+((SYSTEM_STATE.+slice.+state.+changed )|(ment ac)|(multiple cpu faults)|(system.+state.+changed )|(\[timeout)|(PRM\|1\|D)|(kpr)|(kdp)|(train st.+moving)|(\|lc)|(penalty))"</v>
      </c>
      <c r="AG114" s="244" t="str">
        <f t="shared" si="42"/>
        <v>EC</v>
      </c>
      <c r="AH114" s="236" t="str">
        <f t="shared" si="43"/>
        <v>"%USERPROFILE%\Documents\GitHub\eaglep3\Utilities\RefineRTDCRunTimes.py" --tripid 200-06 --locoid 4009 --swversion DE.1.0.9.0 --startMP 204:232981 --initTime 2017-12-06T16:54:10 --startdatetime 2017-12-06T16:57:38 --delay 71 --endMP 204:209 --enddatetime 2017-12-06T17:38:06 --enforcementcount 0 &gt;&gt;%USERPROFILE%\Documents\GitHub\eaglep3-reporting\EC\2017-12-06-refined-times.txt</v>
      </c>
      <c r="AI11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{"issue":{"subject":"","project_id":79,"tracker_id":40,"status_id":1,"priority_id":2,"assigned_to_id":338,"start_date":"2017-12-06","description":"","custom_fields":[{"id":1,"name":"Subdivision","value":"EC"},{"id":4,"name":"Milepost","value":"0.0209"},{"id":17,"name":"Train ID","value":"200-06"},{"id":16,"name":"Locomotive ID","value":"4009"},{"id":130,"name":"Impact","value":""},{"id":150,"name":"Time of Event (Mountain Time)","value":"17:38:06"},{"id":151,"name":"Denver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5"/>
        <v>start /low /b %USERPROFILE%\Documents\GitHub\eaglep3\Utilities\DownloadLogsFromS3.py --loco 4009 --day 2017-12-06</v>
      </c>
      <c r="AN114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7"/>
        <v>https://d0f6bd738d7f1b3e5a7ca70fe4ff75f0.us-east-1.aws.found.io/app/kibana#/discover/Steve-Slow-Train-Analysis-(2080s-and-2083s)?_g=(refreshInterval:(display:Off,pause:!f,section:0,value:0),time:(from:'2017-12-06T15:54:10-0700',mode:absolute,to:'2017-12-06T18:38:06-0700'))&amp;_a=(columns:!('Message%20ID',Summary),filters:!(),index:'emp_*',interval:auto,query:(query_string:(analyze_wildcard:!t,query:'%22rtdc.l.rtdc.4009%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804</v>
      </c>
      <c r="B115" s="225">
        <v>4062</v>
      </c>
      <c r="C115" s="227" t="s">
        <v>192</v>
      </c>
      <c r="D115" s="227" t="s">
        <v>500</v>
      </c>
      <c r="E115" s="226">
        <v>43075.674988425926</v>
      </c>
      <c r="F115" s="226">
        <v>43075.677754629629</v>
      </c>
      <c r="G115" s="225">
        <v>57</v>
      </c>
      <c r="H115" s="227" t="s">
        <v>898</v>
      </c>
      <c r="I115" s="226">
        <v>43075.703599537039</v>
      </c>
      <c r="J115" s="225">
        <v>0</v>
      </c>
      <c r="K115" s="237" t="str">
        <f t="shared" si="31"/>
        <v>4061/4062</v>
      </c>
      <c r="L115" s="245" t="str">
        <f>VLOOKUP(A115,'Trips&amp;Operators'!$C$1:$G$99911,5,FALSE)</f>
        <v>KILLION DAVID</v>
      </c>
      <c r="M115" s="224">
        <f t="shared" si="32"/>
        <v>2.584490740991896E-2</v>
      </c>
      <c r="N115" s="225">
        <f t="shared" si="48"/>
        <v>37.216666670283303</v>
      </c>
      <c r="O115" s="225"/>
      <c r="P115" s="225"/>
      <c r="Q115" s="228"/>
      <c r="R115" s="242"/>
      <c r="S115" s="249">
        <f t="shared" si="49"/>
        <v>1</v>
      </c>
      <c r="T115" s="242" t="str">
        <f t="shared" si="33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4"/>
        <v>https://d0f6bd738d7f1b3e5a7ca70fe4ff75f0.us-east-1.aws.found.io/app/kibana#/discover/Steve-Slow-Train-Analysis-(2080s-and-2083s)?_g=(refreshInterval:(display:Off,pause:!f,section:0,value:0),time:(from:'2017-12-06T15:11:59-0700',mode:absolute,to:'2017-12-06T17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5" s="247" t="str">
        <f>IF(AA115&lt;VLOOKUP(AG115,Variables!$AC$3:$AD$8,2,FALSE),"Y","N")</f>
        <v>N</v>
      </c>
      <c r="X115" s="247">
        <f t="shared" si="50"/>
        <v>1</v>
      </c>
      <c r="Y115" s="247">
        <f t="shared" si="51"/>
        <v>4.6600000000000003E-2</v>
      </c>
      <c r="Z115" s="247">
        <f t="shared" si="52"/>
        <v>23.3278</v>
      </c>
      <c r="AA115" s="247">
        <f t="shared" si="38"/>
        <v>23.281199999999998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9"/>
        <v>201</v>
      </c>
      <c r="AE115" s="235" t="str">
        <f t="shared" si="4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115" s="234" t="str">
        <f t="shared" si="41"/>
        <v>"C:\Program Files (x86)\AstroGrep\AstroGrep.exe" /e /r /s /spath="%USERPROFILE%\AppData\Local\Temp\OnboardLogs" /stypes="app*4062*20171206*" /stext=" 23:.+((SYSTEM_STATE.+slice.+state.+changed )|(ment ac)|(multiple cpu faults)|(system.+state.+changed )|(\[timeout)|(PRM\|1\|D)|(kpr)|(kdp)|(train st.+moving)|(\|lc)|(penalty))"</v>
      </c>
      <c r="AG115" s="244" t="str">
        <f t="shared" si="42"/>
        <v>EC</v>
      </c>
      <c r="AH115" s="236" t="str">
        <f t="shared" si="43"/>
        <v>"%USERPROFILE%\Documents\GitHub\eaglep3\Utilities\RefineRTDCRunTimes.py" --tripid 201-06 --locoid 4062 --swversion DE.1.0.9.0 --startMP 204:466 --initTime 2017-12-06T16:11:59 --startdatetime 2017-12-06T16:15:58 --delay 57 --endMP 204:233278 --enddatetime 2017-12-06T16:53:11 --enforcementcount 0 &gt;&gt;%USERPROFILE%\Documents\GitHub\eaglep3-reporting\EC\2017-12-06-refined-times.txt</v>
      </c>
      <c r="AI11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{"issue":{"subject":"","project_id":79,"tracker_id":40,"status_id":1,"priority_id":2,"assigned_to_id":338,"start_date":"2017-12-06","description":"","custom_fields":[{"id":1,"name":"Subdivision","value":"EC"},{"id":4,"name":"Milepost","value":"23.3278"},{"id":17,"name":"Train ID","value":"201-06"},{"id":16,"name":"Locomotive ID","value":"4062"},{"id":130,"name":"Impact","value":""},{"id":150,"name":"Time of Event (Mountain Time)","value":"16:53:11"},{"id":151,"name":"Denver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5"/>
        <v>start /low /b %USERPROFILE%\Documents\GitHub\eaglep3\Utilities\DownloadLogsFromS3.py --loco 4062 --day 2017-12-06</v>
      </c>
      <c r="AN115" s="241" t="str">
        <f t="shared" si="4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7"/>
        <v>https://d0f6bd738d7f1b3e5a7ca70fe4ff75f0.us-east-1.aws.found.io/app/kibana#/discover/Steve-Slow-Train-Analysis-(2080s-and-2083s)?_g=(refreshInterval:(display:Off,pause:!f,section:0,value:0),time:(from:'2017-12-06T15:11:59-0700',mode:absolute,to:'2017-12-06T17:53:11-0700'))&amp;_a=(columns:!('Message%20ID',Summary),filters:!(),index:'emp_*',interval:auto,query:(query_string:(analyze_wildcard:!t,query:'%22rtdc.l.rtdc.4062%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820</v>
      </c>
      <c r="B116" s="225">
        <v>4061</v>
      </c>
      <c r="C116" s="227" t="s">
        <v>192</v>
      </c>
      <c r="D116" s="227" t="s">
        <v>574</v>
      </c>
      <c r="E116" s="226">
        <v>43075.709907407407</v>
      </c>
      <c r="F116" s="226">
        <v>43075.716944444444</v>
      </c>
      <c r="G116" s="225">
        <v>63</v>
      </c>
      <c r="H116" s="227" t="s">
        <v>584</v>
      </c>
      <c r="I116" s="226">
        <v>43075.743564814817</v>
      </c>
      <c r="J116" s="225">
        <v>0</v>
      </c>
      <c r="K116" s="237" t="str">
        <f t="shared" si="31"/>
        <v>4061/4062</v>
      </c>
      <c r="L116" s="245" t="str">
        <f>VLOOKUP(A116,'Trips&amp;Operators'!$C$1:$G$99911,5,FALSE)</f>
        <v>KILLION DAVID</v>
      </c>
      <c r="M116" s="224">
        <f t="shared" si="32"/>
        <v>2.662037037225673E-2</v>
      </c>
      <c r="N116" s="225">
        <f t="shared" si="48"/>
        <v>38.333333336049691</v>
      </c>
      <c r="O116" s="225"/>
      <c r="P116" s="225"/>
      <c r="Q116" s="228"/>
      <c r="R116" s="242"/>
      <c r="S116" s="249">
        <f t="shared" si="49"/>
        <v>1</v>
      </c>
      <c r="T116" s="242" t="str">
        <f t="shared" si="33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4"/>
        <v>https://d0f6bd738d7f1b3e5a7ca70fe4ff75f0.us-east-1.aws.found.io/app/kibana#/discover/Steve-Slow-Train-Analysis-(2080s-and-2083s)?_g=(refreshInterval:(display:Off,pause:!f,section:0,value:0),time:(from:'2017-12-06T16:02:16-0700',mode:absolute,to:'2017-12-06T18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6" s="247" t="str">
        <f>IF(AA116&lt;VLOOKUP(AG116,Variables!$AC$3:$AD$8,2,FALSE),"Y","N")</f>
        <v>N</v>
      </c>
      <c r="X116" s="247">
        <f t="shared" si="50"/>
        <v>1</v>
      </c>
      <c r="Y116" s="247">
        <f t="shared" si="51"/>
        <v>23.294599999999999</v>
      </c>
      <c r="Z116" s="247">
        <f t="shared" si="52"/>
        <v>1.83E-2</v>
      </c>
      <c r="AA116" s="247">
        <f t="shared" si="38"/>
        <v>23.276299999999999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9"/>
        <v>202</v>
      </c>
      <c r="AE116" s="235" t="str">
        <f t="shared" si="4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116" s="234" t="str">
        <f t="shared" si="41"/>
        <v>"C:\Program Files (x86)\AstroGrep\AstroGrep.exe" /e /r /s /spath="%USERPROFILE%\AppData\Local\Temp\OnboardLogs" /stypes="app*4061*20171207*" /stext=" 00:.+((SYSTEM_STATE.+slice.+state.+changed )|(ment ac)|(multiple cpu faults)|(system.+state.+changed )|(\[timeout)|(PRM\|1\|D)|(kpr)|(kdp)|(train st.+moving)|(\|lc)|(penalty))"</v>
      </c>
      <c r="AG116" s="244" t="str">
        <f t="shared" si="42"/>
        <v>EC</v>
      </c>
      <c r="AH116" s="236" t="str">
        <f t="shared" si="43"/>
        <v>"%USERPROFILE%\Documents\GitHub\eaglep3\Utilities\RefineRTDCRunTimes.py" --tripid 202-06 --locoid 4061 --swversion DE.1.0.9.0 --startMP 204:232946 --initTime 2017-12-06T17:02:16 --startdatetime 2017-12-06T17:12:24 --delay 63 --endMP 204:183 --enddatetime 2017-12-06T17:50:44 --enforcementcount 0 &gt;&gt;%USERPROFILE%\Documents\GitHub\eaglep3-reporting\EC\2017-12-06-refined-times.txt</v>
      </c>
      <c r="AI11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{"issue":{"subject":"","project_id":79,"tracker_id":40,"status_id":1,"priority_id":2,"assigned_to_id":338,"start_date":"2017-12-06","description":"","custom_fields":[{"id":1,"name":"Subdivision","value":"EC"},{"id":4,"name":"Milepost","value":"0.0183"},{"id":17,"name":"Train ID","value":"202-06"},{"id":16,"name":"Locomotive ID","value":"4061"},{"id":130,"name":"Impact","value":""},{"id":150,"name":"Time of Event (Mountain Time)","value":"17:50:44"},{"id":151,"name":"Denver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5"/>
        <v>start /low /b %USERPROFILE%\Documents\GitHub\eaglep3\Utilities\DownloadLogsFromS3.py --loco 4061 --day 2017-12-06</v>
      </c>
      <c r="AN116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7"/>
        <v>https://d0f6bd738d7f1b3e5a7ca70fe4ff75f0.us-east-1.aws.found.io/app/kibana#/discover/Steve-Slow-Train-Analysis-(2080s-and-2083s)?_g=(refreshInterval:(display:Off,pause:!f,section:0,value:0),time:(from:'2017-12-06T16:02:16-0700',mode:absolute,to:'2017-12-06T18:50:44-0700'))&amp;_a=(columns:!('Message%20ID',Summary),filters:!(),index:'emp_*',interval:auto,query:(query_string:(analyze_wildcard:!t,query:'%22rtdc.l.rtdc.4061%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806</v>
      </c>
      <c r="B117" s="225">
        <v>4032</v>
      </c>
      <c r="C117" s="227" t="s">
        <v>192</v>
      </c>
      <c r="D117" s="227" t="s">
        <v>505</v>
      </c>
      <c r="E117" s="226">
        <v>43075.684108796297</v>
      </c>
      <c r="F117" s="226">
        <v>43075.687696759262</v>
      </c>
      <c r="G117" s="225">
        <v>63</v>
      </c>
      <c r="H117" s="227" t="s">
        <v>533</v>
      </c>
      <c r="I117" s="226">
        <v>43075.712592592594</v>
      </c>
      <c r="J117" s="225">
        <v>0</v>
      </c>
      <c r="K117" s="237" t="str">
        <f t="shared" si="31"/>
        <v>4031/4032</v>
      </c>
      <c r="L117" s="245" t="str">
        <f>VLOOKUP(A117,'Trips&amp;Operators'!$C$1:$G$99911,5,FALSE)</f>
        <v>BRUDER RICHARD</v>
      </c>
      <c r="M117" s="224">
        <f t="shared" si="32"/>
        <v>2.4895833332266193E-2</v>
      </c>
      <c r="N117" s="225">
        <f t="shared" si="48"/>
        <v>35.849999998463318</v>
      </c>
      <c r="O117" s="225"/>
      <c r="P117" s="225"/>
      <c r="Q117" s="228"/>
      <c r="R117" s="242"/>
      <c r="S117" s="249">
        <f t="shared" si="49"/>
        <v>1</v>
      </c>
      <c r="T117" s="242" t="str">
        <f t="shared" si="33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4"/>
        <v>https://d0f6bd738d7f1b3e5a7ca70fe4ff75f0.us-east-1.aws.found.io/app/kibana#/discover/Steve-Slow-Train-Analysis-(2080s-and-2083s)?_g=(refreshInterval:(display:Off,pause:!f,section:0,value:0),time:(from:'2017-12-06T15:25:07-0700',mode:absolute,to:'2017-12-06T18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247" t="str">
        <f>IF(AA117&lt;VLOOKUP(AG117,Variables!$AC$3:$AD$8,2,FALSE),"Y","N")</f>
        <v>N</v>
      </c>
      <c r="X117" s="247">
        <f t="shared" si="50"/>
        <v>1</v>
      </c>
      <c r="Y117" s="247">
        <f t="shared" si="51"/>
        <v>5.28E-2</v>
      </c>
      <c r="Z117" s="247">
        <f t="shared" si="52"/>
        <v>23.3215</v>
      </c>
      <c r="AA117" s="247">
        <f t="shared" si="38"/>
        <v>23.268699999999999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9"/>
        <v>203</v>
      </c>
      <c r="AE117" s="235" t="str">
        <f t="shared" si="4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17" s="234" t="str">
        <f t="shared" si="41"/>
        <v>"C:\Program Files (x86)\AstroGrep\AstroGrep.exe" /e /r /s /spath="%USERPROFILE%\AppData\Local\Temp\OnboardLogs" /stypes="app*4032*20171207*" /stext=" 00:.+((SYSTEM_STATE.+slice.+state.+changed )|(ment ac)|(multiple cpu faults)|(system.+state.+changed )|(\[timeout)|(PRM\|1\|D)|(kpr)|(kdp)|(train st.+moving)|(\|lc)|(penalty))"</v>
      </c>
      <c r="AG117" s="244" t="str">
        <f t="shared" si="42"/>
        <v>EC</v>
      </c>
      <c r="AH117" s="236" t="str">
        <f t="shared" si="43"/>
        <v>"%USERPROFILE%\Documents\GitHub\eaglep3\Utilities\RefineRTDCRunTimes.py" --tripid 203-06 --locoid 4032 --swversion DE.1.0.9.0 --startMP 204:528 --initTime 2017-12-06T16:25:07 --startdatetime 2017-12-06T16:30:17 --delay 63 --endMP 204:233215 --enddatetime 2017-12-06T17:06:08 --enforcementcount 0 &gt;&gt;%USERPROFILE%\Documents\GitHub\eaglep3-reporting\EC\2017-12-06-refined-times.txt</v>
      </c>
      <c r="AI11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{"issue":{"subject":"","project_id":79,"tracker_id":40,"status_id":1,"priority_id":2,"assigned_to_id":338,"start_date":"2017-12-06","description":"","custom_fields":[{"id":1,"name":"Subdivision","value":"EC"},{"id":4,"name":"Milepost","value":"23.3215"},{"id":17,"name":"Train ID","value":"203-06"},{"id":16,"name":"Locomotive ID","value":"4032"},{"id":130,"name":"Impact","value":""},{"id":150,"name":"Time of Event (Mountain Time)","value":"17:06:08"},{"id":151,"name":"Denver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45"/>
        <v>start /low /b %USERPROFILE%\Documents\GitHub\eaglep3\Utilities\DownloadLogsFromS3.py --loco 4032 --day 2017-12-06</v>
      </c>
      <c r="AN117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7"/>
        <v>https://d0f6bd738d7f1b3e5a7ca70fe4ff75f0.us-east-1.aws.found.io/app/kibana#/discover/Steve-Slow-Train-Analysis-(2080s-and-2083s)?_g=(refreshInterval:(display:Off,pause:!f,section:0,value:0),time:(from:'2017-12-06T15:25:07-0700',mode:absolute,to:'2017-12-06T18:06:08-0700'))&amp;_a=(columns:!('Message%20ID',Summary),filters:!(),index:'emp_*',interval:auto,query:(query_string:(analyze_wildcard:!t,query:'%22rtdc.l.rtdc.4032%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823</v>
      </c>
      <c r="B118" s="225">
        <v>4031</v>
      </c>
      <c r="C118" s="227" t="s">
        <v>192</v>
      </c>
      <c r="D118" s="227" t="s">
        <v>955</v>
      </c>
      <c r="E118" s="226">
        <v>43075.724097222221</v>
      </c>
      <c r="F118" s="226">
        <v>43075.727303240739</v>
      </c>
      <c r="G118" s="225">
        <v>52</v>
      </c>
      <c r="H118" s="227" t="s">
        <v>973</v>
      </c>
      <c r="I118" s="226">
        <v>43075.753819444442</v>
      </c>
      <c r="J118" s="225">
        <v>0</v>
      </c>
      <c r="K118" s="237" t="str">
        <f t="shared" si="31"/>
        <v>4031/4032</v>
      </c>
      <c r="L118" s="245" t="str">
        <f>VLOOKUP(A118,'Trips&amp;Operators'!$C$1:$G$99911,5,FALSE)</f>
        <v>BRUDER RICHARD</v>
      </c>
      <c r="M118" s="224">
        <f t="shared" si="32"/>
        <v>2.6516203703067731E-2</v>
      </c>
      <c r="N118" s="225">
        <f t="shared" si="48"/>
        <v>38.183333332417533</v>
      </c>
      <c r="O118" s="225"/>
      <c r="P118" s="225"/>
      <c r="Q118" s="228"/>
      <c r="R118" s="242"/>
      <c r="S118" s="249">
        <f t="shared" si="49"/>
        <v>1</v>
      </c>
      <c r="T118" s="242" t="str">
        <f t="shared" si="33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4"/>
        <v>https://d0f6bd738d7f1b3e5a7ca70fe4ff75f0.us-east-1.aws.found.io/app/kibana#/discover/Steve-Slow-Train-Analysis-(2080s-and-2083s)?_g=(refreshInterval:(display:Off,pause:!f,section:0,value:0),time:(from:'2017-12-06T16:22:42-0700',mode:absolute,to:'2017-12-06T19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247" t="str">
        <f>IF(AA118&lt;VLOOKUP(AG118,Variables!$AC$3:$AD$8,2,FALSE),"Y","N")</f>
        <v>N</v>
      </c>
      <c r="X118" s="247">
        <f t="shared" si="50"/>
        <v>1</v>
      </c>
      <c r="Y118" s="247">
        <f t="shared" si="51"/>
        <v>23.289200000000001</v>
      </c>
      <c r="Z118" s="247">
        <f t="shared" si="52"/>
        <v>2.3199999999999998E-2</v>
      </c>
      <c r="AA118" s="247">
        <f t="shared" si="38"/>
        <v>23.266000000000002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9"/>
        <v>204</v>
      </c>
      <c r="AE118" s="235" t="str">
        <f t="shared" si="4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18" s="234" t="str">
        <f t="shared" si="41"/>
        <v>"C:\Program Files (x86)\AstroGrep\AstroGrep.exe" /e /r /s /spath="%USERPROFILE%\AppData\Local\Temp\OnboardLogs" /stypes="app*4031*20171207*" /stext=" 01:.+((SYSTEM_STATE.+slice.+state.+changed )|(ment ac)|(multiple cpu faults)|(system.+state.+changed )|(\[timeout)|(PRM\|1\|D)|(kpr)|(kdp)|(train st.+moving)|(\|lc)|(penalty))"</v>
      </c>
      <c r="AG118" s="244" t="str">
        <f t="shared" si="42"/>
        <v>EC</v>
      </c>
      <c r="AH118" s="236" t="str">
        <f t="shared" si="43"/>
        <v>"%USERPROFILE%\Documents\GitHub\eaglep3\Utilities\RefineRTDCRunTimes.py" --tripid 204-06 --locoid 4031 --swversion DE.1.0.9.0 --startMP 204:232892 --initTime 2017-12-06T17:22:42 --startdatetime 2017-12-06T17:27:19 --delay 52 --endMP 204:232 --enddatetime 2017-12-06T18:05:30 --enforcementcount 0 &gt;&gt;%USERPROFILE%\Documents\GitHub\eaglep3-reporting\EC\2017-12-06-refined-times.txt</v>
      </c>
      <c r="AI11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{"issue":{"subject":"","project_id":79,"tracker_id":40,"status_id":1,"priority_id":2,"assigned_to_id":338,"start_date":"2017-12-06","description":"","custom_fields":[{"id":1,"name":"Subdivision","value":"EC"},{"id":4,"name":"Milepost","value":"0.0232"},{"id":17,"name":"Train ID","value":"204-06"},{"id":16,"name":"Locomotive ID","value":"4031"},{"id":130,"name":"Impact","value":""},{"id":150,"name":"Time of Event (Mountain Time)","value":"18:05:30"},{"id":151,"name":"Denver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5"/>
        <v>start /low /b %USERPROFILE%\Documents\GitHub\eaglep3\Utilities\DownloadLogsFromS3.py --loco 4031 --day 2017-12-06</v>
      </c>
      <c r="AN118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7"/>
        <v>https://d0f6bd738d7f1b3e5a7ca70fe4ff75f0.us-east-1.aws.found.io/app/kibana#/discover/Steve-Slow-Train-Analysis-(2080s-and-2083s)?_g=(refreshInterval:(display:Off,pause:!f,section:0,value:0),time:(from:'2017-12-06T16:22:42-0700',mode:absolute,to:'2017-12-06T19:05:30-0700'))&amp;_a=(columns:!('Message%20ID',Summary),filters:!(),index:'emp_*',interval:auto,query:(query_string:(analyze_wildcard:!t,query:'%22rtdc.l.rtdc.4031%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813</v>
      </c>
      <c r="B119" s="225">
        <v>4064</v>
      </c>
      <c r="C119" s="227" t="s">
        <v>192</v>
      </c>
      <c r="D119" s="227" t="s">
        <v>505</v>
      </c>
      <c r="E119" s="226">
        <v>43075.693912037037</v>
      </c>
      <c r="F119" s="226">
        <v>43075.698136574072</v>
      </c>
      <c r="G119" s="225">
        <v>60</v>
      </c>
      <c r="H119" s="227" t="s">
        <v>596</v>
      </c>
      <c r="I119" s="226">
        <v>43075.723634259259</v>
      </c>
      <c r="J119" s="225">
        <v>0</v>
      </c>
      <c r="K119" s="237" t="str">
        <f t="shared" si="31"/>
        <v>4063/4064</v>
      </c>
      <c r="L119" s="245" t="str">
        <f>VLOOKUP(A119,'Trips&amp;Operators'!$C$1:$G$99911,5,FALSE)</f>
        <v>STEWART MICHAEL</v>
      </c>
      <c r="M119" s="224">
        <f t="shared" si="32"/>
        <v>2.5497685186564922E-2</v>
      </c>
      <c r="N119" s="225">
        <f t="shared" si="48"/>
        <v>36.716666668653488</v>
      </c>
      <c r="O119" s="225"/>
      <c r="P119" s="225"/>
      <c r="Q119" s="228"/>
      <c r="R119" s="242"/>
      <c r="S119" s="249">
        <f t="shared" si="49"/>
        <v>1</v>
      </c>
      <c r="T119" s="242" t="str">
        <f t="shared" si="33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4"/>
        <v>https://d0f6bd738d7f1b3e5a7ca70fe4ff75f0.us-east-1.aws.found.io/app/kibana#/discover/Steve-Slow-Train-Analysis-(2080s-and-2083s)?_g=(refreshInterval:(display:Off,pause:!f,section:0,value:0),time:(from:'2017-12-06T15:39:14-0700',mode:absolute,to:'2017-12-06T18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9" s="247" t="str">
        <f>IF(AA119&lt;VLOOKUP(AG119,Variables!$AC$3:$AD$8,2,FALSE),"Y","N")</f>
        <v>N</v>
      </c>
      <c r="X119" s="247">
        <f t="shared" si="50"/>
        <v>1</v>
      </c>
      <c r="Y119" s="247">
        <f t="shared" si="51"/>
        <v>5.28E-2</v>
      </c>
      <c r="Z119" s="247">
        <f t="shared" si="52"/>
        <v>23.322600000000001</v>
      </c>
      <c r="AA119" s="247">
        <f t="shared" si="38"/>
        <v>23.2698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9"/>
        <v>205</v>
      </c>
      <c r="AE119" s="235" t="str">
        <f t="shared" si="4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119" s="234" t="str">
        <f t="shared" si="41"/>
        <v>"C:\Program Files (x86)\AstroGrep\AstroGrep.exe" /e /r /s /spath="%USERPROFILE%\AppData\Local\Temp\OnboardLogs" /stypes="app*4064*20171207*" /stext=" 00:.+((SYSTEM_STATE.+slice.+state.+changed )|(ment ac)|(multiple cpu faults)|(system.+state.+changed )|(\[timeout)|(PRM\|1\|D)|(kpr)|(kdp)|(train st.+moving)|(\|lc)|(penalty))"</v>
      </c>
      <c r="AG119" s="244" t="str">
        <f t="shared" si="42"/>
        <v>EC</v>
      </c>
      <c r="AH119" s="236" t="str">
        <f t="shared" si="43"/>
        <v>"%USERPROFILE%\Documents\GitHub\eaglep3\Utilities\RefineRTDCRunTimes.py" --tripid 205-06 --locoid 4064 --swversion DE.1.0.9.0 --startMP 204:528 --initTime 2017-12-06T16:39:14 --startdatetime 2017-12-06T16:45:19 --delay 60 --endMP 204:233226 --enddatetime 2017-12-06T17:22:02 --enforcementcount 0 &gt;&gt;%USERPROFILE%\Documents\GitHub\eaglep3-reporting\EC\2017-12-06-refined-times.txt</v>
      </c>
      <c r="AI11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{"issue":{"subject":"","project_id":79,"tracker_id":40,"status_id":1,"priority_id":2,"assigned_to_id":338,"start_date":"2017-12-06","description":"","custom_fields":[{"id":1,"name":"Subdivision","value":"EC"},{"id":4,"name":"Milepost","value":"23.3226"},{"id":17,"name":"Train ID","value":"205-06"},{"id":16,"name":"Locomotive ID","value":"4064"},{"id":130,"name":"Impact","value":""},{"id":150,"name":"Time of Event (Mountain Time)","value":"17:22:02"},{"id":151,"name":"Denver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5"/>
        <v>start /low /b %USERPROFILE%\Documents\GitHub\eaglep3\Utilities\DownloadLogsFromS3.py --loco 4064 --day 2017-12-06</v>
      </c>
      <c r="AN119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7"/>
        <v>https://d0f6bd738d7f1b3e5a7ca70fe4ff75f0.us-east-1.aws.found.io/app/kibana#/discover/Steve-Slow-Train-Analysis-(2080s-and-2083s)?_g=(refreshInterval:(display:Off,pause:!f,section:0,value:0),time:(from:'2017-12-06T15:39:14-0700',mode:absolute,to:'2017-12-06T18:22:02-0700'))&amp;_a=(columns:!('Message%20ID',Summary),filters:!(),index:'emp_*',interval:auto,query:(query_string:(analyze_wildcard:!t,query:'%22rtdc.l.rtdc.4064%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828</v>
      </c>
      <c r="B120" s="225">
        <v>4063</v>
      </c>
      <c r="C120" s="227" t="s">
        <v>192</v>
      </c>
      <c r="D120" s="227" t="s">
        <v>974</v>
      </c>
      <c r="E120" s="226">
        <v>43075.732754629629</v>
      </c>
      <c r="F120" s="226">
        <v>43075.737719907411</v>
      </c>
      <c r="G120" s="225">
        <v>58</v>
      </c>
      <c r="H120" s="227" t="s">
        <v>577</v>
      </c>
      <c r="I120" s="226">
        <v>43075.76390046296</v>
      </c>
      <c r="J120" s="225">
        <v>0</v>
      </c>
      <c r="K120" s="237" t="str">
        <f t="shared" si="31"/>
        <v>4063/4064</v>
      </c>
      <c r="L120" s="245" t="str">
        <f>VLOOKUP(A120,'Trips&amp;Operators'!$C$1:$G$99911,5,FALSE)</f>
        <v>STEWART MICHAEL</v>
      </c>
      <c r="M120" s="224">
        <f t="shared" si="32"/>
        <v>2.6180555549217388E-2</v>
      </c>
      <c r="N120" s="225">
        <f t="shared" si="48"/>
        <v>37.699999990873039</v>
      </c>
      <c r="O120" s="225"/>
      <c r="P120" s="225"/>
      <c r="Q120" s="228"/>
      <c r="R120" s="242"/>
      <c r="S120" s="249">
        <f t="shared" si="49"/>
        <v>1</v>
      </c>
      <c r="T120" s="242" t="str">
        <f t="shared" si="33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4"/>
        <v>https://d0f6bd738d7f1b3e5a7ca70fe4ff75f0.us-east-1.aws.found.io/app/kibana#/discover/Steve-Slow-Train-Analysis-(2080s-and-2083s)?_g=(refreshInterval:(display:Off,pause:!f,section:0,value:0),time:(from:'2017-12-06T16:35:10-0700',mode:absolute,to:'2017-12-06T19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0" s="247" t="str">
        <f>IF(AA120&lt;VLOOKUP(AG120,Variables!$AC$3:$AD$8,2,FALSE),"Y","N")</f>
        <v>N</v>
      </c>
      <c r="X120" s="247">
        <f t="shared" si="50"/>
        <v>1</v>
      </c>
      <c r="Y120" s="247">
        <f t="shared" si="51"/>
        <v>23.290400000000002</v>
      </c>
      <c r="Z120" s="247">
        <f t="shared" si="52"/>
        <v>2.23E-2</v>
      </c>
      <c r="AA120" s="247">
        <f t="shared" si="38"/>
        <v>23.2681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9"/>
        <v>206</v>
      </c>
      <c r="AE120" s="235" t="str">
        <f t="shared" si="4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120" s="234" t="str">
        <f t="shared" si="41"/>
        <v>"C:\Program Files (x86)\AstroGrep\AstroGrep.exe" /e /r /s /spath="%USERPROFILE%\AppData\Local\Temp\OnboardLogs" /stypes="app*4063*20171207*" /stext=" 01:.+((SYSTEM_STATE.+slice.+state.+changed )|(ment ac)|(multiple cpu faults)|(system.+state.+changed )|(\[timeout)|(PRM\|1\|D)|(kpr)|(kdp)|(train st.+moving)|(\|lc)|(penalty))"</v>
      </c>
      <c r="AG120" s="244" t="str">
        <f t="shared" si="42"/>
        <v>EC</v>
      </c>
      <c r="AH120" s="236" t="str">
        <f t="shared" si="43"/>
        <v>"%USERPROFILE%\Documents\GitHub\eaglep3\Utilities\RefineRTDCRunTimes.py" --tripid 206-06 --locoid 4063 --swversion DE.1.0.9.0 --startMP 204:232904 --initTime 2017-12-06T17:35:10 --startdatetime 2017-12-06T17:42:19 --delay 58 --endMP 204:223 --enddatetime 2017-12-06T18:20:01 --enforcementcount 0 &gt;&gt;%USERPROFILE%\Documents\GitHub\eaglep3-reporting\EC\2017-12-06-refined-times.txt</v>
      </c>
      <c r="AI12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{"issue":{"subject":"","project_id":79,"tracker_id":40,"status_id":1,"priority_id":2,"assigned_to_id":338,"start_date":"2017-12-06","description":"","custom_fields":[{"id":1,"name":"Subdivision","value":"EC"},{"id":4,"name":"Milepost","value":"0.0223"},{"id":17,"name":"Train ID","value":"206-06"},{"id":16,"name":"Locomotive ID","value":"4063"},{"id":130,"name":"Impact","value":""},{"id":150,"name":"Time of Event (Mountain Time)","value":"18:20:01"},{"id":151,"name":"Denver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5"/>
        <v>start /low /b %USERPROFILE%\Documents\GitHub\eaglep3\Utilities\DownloadLogsFromS3.py --loco 4063 --day 2017-12-06</v>
      </c>
      <c r="AN120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7"/>
        <v>https://d0f6bd738d7f1b3e5a7ca70fe4ff75f0.us-east-1.aws.found.io/app/kibana#/discover/Steve-Slow-Train-Analysis-(2080s-and-2083s)?_g=(refreshInterval:(display:Off,pause:!f,section:0,value:0),time:(from:'2017-12-06T16:35:10-0700',mode:absolute,to:'2017-12-06T19:20:01-0700'))&amp;_a=(columns:!('Message%20ID',Summary),filters:!(),index:'emp_*',interval:auto,query:(query_string:(analyze_wildcard:!t,query:'%22rtdc.l.rtdc.4063%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656</v>
      </c>
      <c r="B121" s="225">
        <v>4042</v>
      </c>
      <c r="C121" s="227" t="s">
        <v>192</v>
      </c>
      <c r="D121" s="227" t="s">
        <v>975</v>
      </c>
      <c r="E121" s="226">
        <v>43075.704826388886</v>
      </c>
      <c r="F121" s="226">
        <v>43075.708634259259</v>
      </c>
      <c r="G121" s="225">
        <v>62</v>
      </c>
      <c r="H121" s="227" t="s">
        <v>589</v>
      </c>
      <c r="I121" s="226">
        <v>43075.7346412037</v>
      </c>
      <c r="J121" s="225">
        <v>0</v>
      </c>
      <c r="K121" s="237" t="str">
        <f t="shared" si="31"/>
        <v>4041/4042</v>
      </c>
      <c r="L121" s="245" t="str">
        <f>VLOOKUP(A121,'Trips&amp;Operators'!$C$1:$G$99911,5,FALSE)</f>
        <v>LORI SANTOS</v>
      </c>
      <c r="M121" s="224">
        <f t="shared" si="32"/>
        <v>2.6006944441178348E-2</v>
      </c>
      <c r="N121" s="225">
        <f t="shared" si="48"/>
        <v>37.449999995296821</v>
      </c>
      <c r="O121" s="225"/>
      <c r="P121" s="225"/>
      <c r="Q121" s="228"/>
      <c r="R121" s="242"/>
      <c r="S121" s="249">
        <f t="shared" si="49"/>
        <v>1</v>
      </c>
      <c r="T121" s="242" t="str">
        <f t="shared" si="33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4"/>
        <v>https://d0f6bd738d7f1b3e5a7ca70fe4ff75f0.us-east-1.aws.found.io/app/kibana#/discover/Steve-Slow-Train-Analysis-(2080s-and-2083s)?_g=(refreshInterval:(display:Off,pause:!f,section:0,value:0),time:(from:'2017-12-06T15:54:57-0700',mode:absolute,to:'2017-12-06T18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47" t="str">
        <f>IF(AA121&lt;VLOOKUP(AG121,Variables!$AC$3:$AD$8,2,FALSE),"Y","N")</f>
        <v>N</v>
      </c>
      <c r="X121" s="247">
        <f t="shared" si="50"/>
        <v>1</v>
      </c>
      <c r="Y121" s="247">
        <f t="shared" si="51"/>
        <v>6.0199999999999997E-2</v>
      </c>
      <c r="Z121" s="247">
        <f t="shared" si="52"/>
        <v>23.322299999999998</v>
      </c>
      <c r="AA121" s="247">
        <f t="shared" si="38"/>
        <v>23.2621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9"/>
        <v>207</v>
      </c>
      <c r="AE121" s="235" t="str">
        <f t="shared" si="40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121" s="234" t="str">
        <f t="shared" si="41"/>
        <v>"C:\Program Files (x86)\AstroGrep\AstroGrep.exe" /e /r /s /spath="%USERPROFILE%\AppData\Local\Temp\OnboardLogs" /stypes="app*4042*20171207*" /stext=" 00:.+((SYSTEM_STATE.+slice.+state.+changed )|(ment ac)|(multiple cpu faults)|(system.+state.+changed )|(\[timeout)|(PRM\|1\|D)|(kpr)|(kdp)|(train st.+moving)|(\|lc)|(penalty))"</v>
      </c>
      <c r="AG121" s="244" t="str">
        <f t="shared" si="42"/>
        <v>EC</v>
      </c>
      <c r="AH121" s="236" t="str">
        <f t="shared" si="43"/>
        <v>"%USERPROFILE%\Documents\GitHub\eaglep3\Utilities\RefineRTDCRunTimes.py" --tripid 207-06 --locoid 4042 --swversion DE.1.0.9.0 --startMP 204:602 --initTime 2017-12-06T16:54:57 --startdatetime 2017-12-06T17:00:26 --delay 62 --endMP 204:233223 --enddatetime 2017-12-06T17:37:53 --enforcementcount 0 &gt;&gt;%USERPROFILE%\Documents\GitHub\eaglep3-reporting\EC\2017-12-06-refined-times.txt</v>
      </c>
      <c r="AI12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{"issue":{"subject":"","project_id":79,"tracker_id":40,"status_id":1,"priority_id":2,"assigned_to_id":338,"start_date":"2017-12-06","description":"","custom_fields":[{"id":1,"name":"Subdivision","value":"EC"},{"id":4,"name":"Milepost","value":"23.3223"},{"id":17,"name":"Train ID","value":"207-06"},{"id":16,"name":"Locomotive ID","value":"4042"},{"id":130,"name":"Impact","value":""},{"id":150,"name":"Time of Event (Mountain Time)","value":"17:37:53"},{"id":151,"name":"Denver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5"/>
        <v>start /low /b %USERPROFILE%\Documents\GitHub\eaglep3\Utilities\DownloadLogsFromS3.py --loco 4042 --day 2017-12-06</v>
      </c>
      <c r="AN121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7"/>
        <v>https://d0f6bd738d7f1b3e5a7ca70fe4ff75f0.us-east-1.aws.found.io/app/kibana#/discover/Steve-Slow-Train-Analysis-(2080s-and-2083s)?_g=(refreshInterval:(display:Off,pause:!f,section:0,value:0),time:(from:'2017-12-06T15:54:57-0700',mode:absolute,to:'2017-12-06T18:37:53-0700'))&amp;_a=(columns:!('Message%20ID',Summary),filters:!(),index:'emp_*',interval:auto,query:(query_string:(analyze_wildcard:!t,query:'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829</v>
      </c>
      <c r="B122" s="225">
        <v>4041</v>
      </c>
      <c r="C122" s="227" t="s">
        <v>192</v>
      </c>
      <c r="D122" s="227" t="s">
        <v>502</v>
      </c>
      <c r="E122" s="226">
        <v>43075.73636574074</v>
      </c>
      <c r="F122" s="226">
        <v>43075.748101851852</v>
      </c>
      <c r="G122" s="225">
        <v>60</v>
      </c>
      <c r="H122" s="227" t="s">
        <v>960</v>
      </c>
      <c r="I122" s="226">
        <v>43075.774293981478</v>
      </c>
      <c r="J122" s="225">
        <v>0</v>
      </c>
      <c r="K122" s="237" t="str">
        <f t="shared" si="31"/>
        <v>4041/4042</v>
      </c>
      <c r="L122" s="245" t="str">
        <f>VLOOKUP(A122,'Trips&amp;Operators'!$C$1:$G$99911,5,FALSE)</f>
        <v>LORI SANTOS</v>
      </c>
      <c r="M122" s="224">
        <f t="shared" si="32"/>
        <v>2.619212962599704E-2</v>
      </c>
      <c r="N122" s="225">
        <f t="shared" si="48"/>
        <v>37.716666661435738</v>
      </c>
      <c r="O122" s="225"/>
      <c r="P122" s="225"/>
      <c r="Q122" s="228"/>
      <c r="R122" s="242"/>
      <c r="S122" s="249">
        <f t="shared" si="49"/>
        <v>1</v>
      </c>
      <c r="T122" s="242" t="str">
        <f t="shared" si="33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4"/>
        <v>https://d0f6bd738d7f1b3e5a7ca70fe4ff75f0.us-east-1.aws.found.io/app/kibana#/discover/Steve-Slow-Train-Analysis-(2080s-and-2083s)?_g=(refreshInterval:(display:Off,pause:!f,section:0,value:0),time:(from:'2017-12-06T16:40:22-0700',mode:absolute,to:'2017-12-06T19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47" t="str">
        <f>IF(AA122&lt;VLOOKUP(AG122,Variables!$AC$3:$AD$8,2,FALSE),"Y","N")</f>
        <v>N</v>
      </c>
      <c r="X122" s="247">
        <f t="shared" si="50"/>
        <v>1</v>
      </c>
      <c r="Y122" s="247">
        <f t="shared" si="51"/>
        <v>23.290600000000001</v>
      </c>
      <c r="Z122" s="247">
        <f t="shared" si="52"/>
        <v>2.58E-2</v>
      </c>
      <c r="AA122" s="247">
        <f t="shared" si="38"/>
        <v>23.264800000000001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9"/>
        <v>208</v>
      </c>
      <c r="AE122" s="235" t="str">
        <f t="shared" si="40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122" s="234" t="str">
        <f t="shared" si="41"/>
        <v>"C:\Program Files (x86)\AstroGrep\AstroGrep.exe" /e /r /s /spath="%USERPROFILE%\AppData\Local\Temp\OnboardLogs" /stypes="app*4041*20171207*" /stext=" 01:.+((SYSTEM_STATE.+slice.+state.+changed )|(ment ac)|(multiple cpu faults)|(system.+state.+changed )|(\[timeout)|(PRM\|1\|D)|(kpr)|(kdp)|(train st.+moving)|(\|lc)|(penalty))"</v>
      </c>
      <c r="AG122" s="244" t="str">
        <f t="shared" si="42"/>
        <v>EC</v>
      </c>
      <c r="AH122" s="236" t="str">
        <f t="shared" si="43"/>
        <v>"%USERPROFILE%\Documents\GitHub\eaglep3\Utilities\RefineRTDCRunTimes.py" --tripid 208-06 --locoid 4041 --swversion DE.1.0.9.0 --startMP 204:232906 --initTime 2017-12-06T17:40:22 --startdatetime 2017-12-06T17:57:16 --delay 60 --endMP 204:258 --enddatetime 2017-12-06T18:34:59 --enforcementcount 0 &gt;&gt;%USERPROFILE%\Documents\GitHub\eaglep3-reporting\EC\2017-12-06-refined-times.txt</v>
      </c>
      <c r="AI12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{"issue":{"subject":"","project_id":79,"tracker_id":40,"status_id":1,"priority_id":2,"assigned_to_id":338,"start_date":"2017-12-06","description":"","custom_fields":[{"id":1,"name":"Subdivision","value":"EC"},{"id":4,"name":"Milepost","value":"0.0258"},{"id":17,"name":"Train ID","value":"208-06"},{"id":16,"name":"Locomotive ID","value":"4041"},{"id":130,"name":"Impact","value":""},{"id":150,"name":"Time of Event (Mountain Time)","value":"18:34:59"},{"id":151,"name":"Denver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45"/>
        <v>start /low /b %USERPROFILE%\Documents\GitHub\eaglep3\Utilities\DownloadLogsFromS3.py --loco 4041 --day 2017-12-06</v>
      </c>
      <c r="AN122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7"/>
        <v>https://d0f6bd738d7f1b3e5a7ca70fe4ff75f0.us-east-1.aws.found.io/app/kibana#/discover/Steve-Slow-Train-Analysis-(2080s-and-2083s)?_g=(refreshInterval:(display:Off,pause:!f,section:0,value:0),time:(from:'2017-12-06T16:40:22-0700',mode:absolute,to:'2017-12-06T19:34:59-0700'))&amp;_a=(columns:!('Message%20ID',Summary),filters:!(),index:'emp_*',interval:auto,query:(query_string:(analyze_wildcard:!t,query:'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822</v>
      </c>
      <c r="B123" s="225">
        <v>4008</v>
      </c>
      <c r="C123" s="227" t="s">
        <v>192</v>
      </c>
      <c r="D123" s="227" t="s">
        <v>524</v>
      </c>
      <c r="E123" s="226">
        <v>43075.71570601852</v>
      </c>
      <c r="F123" s="226">
        <v>43075.719097222223</v>
      </c>
      <c r="G123" s="225">
        <v>72</v>
      </c>
      <c r="H123" s="227" t="s">
        <v>598</v>
      </c>
      <c r="I123" s="226">
        <v>43075.744560185187</v>
      </c>
      <c r="J123" s="225">
        <v>0</v>
      </c>
      <c r="K123" s="237" t="str">
        <f t="shared" si="31"/>
        <v>4007/4008</v>
      </c>
      <c r="L123" s="245" t="str">
        <f>VLOOKUP(A123,'Trips&amp;Operators'!$C$1:$G$99911,5,FALSE)</f>
        <v>LEVIN SCOTT</v>
      </c>
      <c r="M123" s="224">
        <f t="shared" si="32"/>
        <v>2.5462962963501923E-2</v>
      </c>
      <c r="N123" s="225">
        <f t="shared" si="48"/>
        <v>36.666666667442769</v>
      </c>
      <c r="O123" s="225"/>
      <c r="P123" s="225"/>
      <c r="Q123" s="228"/>
      <c r="R123" s="242"/>
      <c r="S123" s="249">
        <f t="shared" si="49"/>
        <v>1</v>
      </c>
      <c r="T123" s="242" t="str">
        <f t="shared" si="33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4"/>
        <v>https://d0f6bd738d7f1b3e5a7ca70fe4ff75f0.us-east-1.aws.found.io/app/kibana#/discover/Steve-Slow-Train-Analysis-(2080s-and-2083s)?_g=(refreshInterval:(display:Off,pause:!f,section:0,value:0),time:(from:'2017-12-06T16:10:37-0700',mode:absolute,to:'2017-12-06T18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247" t="str">
        <f>IF(AA123&lt;VLOOKUP(AG123,Variables!$AC$3:$AD$8,2,FALSE),"Y","N")</f>
        <v>N</v>
      </c>
      <c r="X123" s="247">
        <f t="shared" si="50"/>
        <v>1</v>
      </c>
      <c r="Y123" s="247">
        <f t="shared" si="51"/>
        <v>4.6399999999999997E-2</v>
      </c>
      <c r="Z123" s="247">
        <f t="shared" si="52"/>
        <v>23.3309</v>
      </c>
      <c r="AA123" s="247">
        <f t="shared" si="38"/>
        <v>23.284500000000001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9"/>
        <v>209</v>
      </c>
      <c r="AE123" s="235" t="str">
        <f t="shared" si="4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23" s="234" t="str">
        <f t="shared" si="41"/>
        <v>"C:\Program Files (x86)\AstroGrep\AstroGrep.exe" /e /r /s /spath="%USERPROFILE%\AppData\Local\Temp\OnboardLogs" /stypes="app*4008*20171207*" /stext=" 00:.+((SYSTEM_STATE.+slice.+state.+changed )|(ment ac)|(multiple cpu faults)|(system.+state.+changed )|(\[timeout)|(PRM\|1\|D)|(kpr)|(kdp)|(train st.+moving)|(\|lc)|(penalty))"</v>
      </c>
      <c r="AG123" s="244" t="str">
        <f t="shared" si="42"/>
        <v>EC</v>
      </c>
      <c r="AH123" s="236" t="str">
        <f t="shared" si="43"/>
        <v>"%USERPROFILE%\Documents\GitHub\eaglep3\Utilities\RefineRTDCRunTimes.py" --tripid 209-06 --locoid 4008 --swversion DE.1.0.9.0 --startMP 204:464 --initTime 2017-12-06T17:10:37 --startdatetime 2017-12-06T17:15:30 --delay 72 --endMP 204:233309 --enddatetime 2017-12-06T17:52:10 --enforcementcount 0 &gt;&gt;%USERPROFILE%\Documents\GitHub\eaglep3-reporting\EC\2017-12-06-refined-times.txt</v>
      </c>
      <c r="AI12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{"issue":{"subject":"","project_id":79,"tracker_id":40,"status_id":1,"priority_id":2,"assigned_to_id":338,"start_date":"2017-12-06","description":"","custom_fields":[{"id":1,"name":"Subdivision","value":"EC"},{"id":4,"name":"Milepost","value":"23.3309"},{"id":17,"name":"Train ID","value":"209-06"},{"id":16,"name":"Locomotive ID","value":"4008"},{"id":130,"name":"Impact","value":""},{"id":150,"name":"Time of Event (Mountain Time)","value":"17:52:10"},{"id":151,"name":"Denver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5"/>
        <v>start /low /b %USERPROFILE%\Documents\GitHub\eaglep3\Utilities\DownloadLogsFromS3.py --loco 4008 --day 2017-12-06</v>
      </c>
      <c r="AN123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7"/>
        <v>https://d0f6bd738d7f1b3e5a7ca70fe4ff75f0.us-east-1.aws.found.io/app/kibana#/discover/Steve-Slow-Train-Analysis-(2080s-and-2083s)?_g=(refreshInterval:(display:Off,pause:!f,section:0,value:0),time:(from:'2017-12-06T16:10:37-0700',mode:absolute,to:'2017-12-06T18:52:10-0700'))&amp;_a=(columns:!('Message%20ID',Summary),filters:!(),index:'emp_*',interval:auto,query:(query_string:(analyze_wildcard:!t,query:'%22rtdc.l.rtdc.4008%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833</v>
      </c>
      <c r="B124" s="225">
        <v>4007</v>
      </c>
      <c r="C124" s="227" t="s">
        <v>192</v>
      </c>
      <c r="D124" s="227" t="s">
        <v>938</v>
      </c>
      <c r="E124" s="226">
        <v>43075.749178240738</v>
      </c>
      <c r="F124" s="226">
        <v>43075.758518518516</v>
      </c>
      <c r="G124" s="225">
        <v>72</v>
      </c>
      <c r="H124" s="227" t="s">
        <v>452</v>
      </c>
      <c r="I124" s="226">
        <v>43075.784571759257</v>
      </c>
      <c r="J124" s="225">
        <v>0</v>
      </c>
      <c r="K124" s="237" t="str">
        <f t="shared" si="31"/>
        <v>4007/4008</v>
      </c>
      <c r="L124" s="245" t="str">
        <f>VLOOKUP(A124,'Trips&amp;Operators'!$C$1:$G$99911,5,FALSE)</f>
        <v>LEVIN SCOTT</v>
      </c>
      <c r="M124" s="224">
        <f t="shared" si="32"/>
        <v>2.6053240741021E-2</v>
      </c>
      <c r="N124" s="225">
        <f t="shared" ref="N124:N155" si="53">24*60*SUM($M124:$M124)</f>
        <v>37.51666666707024</v>
      </c>
      <c r="O124" s="225"/>
      <c r="P124" s="225"/>
      <c r="Q124" s="228"/>
      <c r="R124" s="242"/>
      <c r="S124" s="249">
        <f t="shared" ref="S124:S155" si="54">1/IF(AG124="EC",12,1)*SUM(U124:U124)</f>
        <v>1</v>
      </c>
      <c r="T124" s="242" t="str">
        <f t="shared" si="33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4"/>
        <v>https://d0f6bd738d7f1b3e5a7ca70fe4ff75f0.us-east-1.aws.found.io/app/kibana#/discover/Steve-Slow-Train-Analysis-(2080s-and-2083s)?_g=(refreshInterval:(display:Off,pause:!f,section:0,value:0),time:(from:'2017-12-06T16:58:49-0700',mode:absolute,to:'2017-12-06T19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247" t="str">
        <f>IF(AA124&lt;VLOOKUP(AG124,Variables!$AC$3:$AD$8,2,FALSE),"Y","N")</f>
        <v>N</v>
      </c>
      <c r="X124" s="247">
        <f t="shared" si="50"/>
        <v>1</v>
      </c>
      <c r="Y124" s="247">
        <f t="shared" si="51"/>
        <v>23.3001</v>
      </c>
      <c r="Z124" s="247">
        <f t="shared" si="52"/>
        <v>1.5800000000000002E-2</v>
      </c>
      <c r="AA124" s="247">
        <f t="shared" si="38"/>
        <v>23.284300000000002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9"/>
        <v>210</v>
      </c>
      <c r="AE124" s="235" t="str">
        <f t="shared" si="4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24" s="234" t="str">
        <f t="shared" si="41"/>
        <v>"C:\Program Files (x86)\AstroGrep\AstroGrep.exe" /e /r /s /spath="%USERPROFILE%\AppData\Local\Temp\OnboardLogs" /stypes="app*4007*20171207*" /stext=" 01:.+((SYSTEM_STATE.+slice.+state.+changed )|(ment ac)|(multiple cpu faults)|(system.+state.+changed )|(\[timeout)|(PRM\|1\|D)|(kpr)|(kdp)|(train st.+moving)|(\|lc)|(penalty))"</v>
      </c>
      <c r="AG124" s="244" t="str">
        <f t="shared" si="42"/>
        <v>EC</v>
      </c>
      <c r="AH124" s="236" t="str">
        <f t="shared" si="43"/>
        <v>"%USERPROFILE%\Documents\GitHub\eaglep3\Utilities\RefineRTDCRunTimes.py" --tripid 210-06 --locoid 4007 --swversion DE.1.0.9.0 --startMP 204:233001 --initTime 2017-12-06T17:58:49 --startdatetime 2017-12-06T18:12:16 --delay 72 --endMP 204:158 --enddatetime 2017-12-06T18:49:47 --enforcementcount 0 &gt;&gt;%USERPROFILE%\Documents\GitHub\eaglep3-reporting\EC\2017-12-06-refined-times.txt</v>
      </c>
      <c r="AI12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{"issue":{"subject":"","project_id":79,"tracker_id":40,"status_id":1,"priority_id":2,"assigned_to_id":338,"start_date":"2017-12-06","description":"","custom_fields":[{"id":1,"name":"Subdivision","value":"EC"},{"id":4,"name":"Milepost","value":"0.0158"},{"id":17,"name":"Train ID","value":"210-06"},{"id":16,"name":"Locomotive ID","value":"4007"},{"id":130,"name":"Impact","value":""},{"id":150,"name":"Time of Event (Mountain Time)","value":"18:49:47"},{"id":151,"name":"Denver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5"/>
        <v>start /low /b %USERPROFILE%\Documents\GitHub\eaglep3\Utilities\DownloadLogsFromS3.py --loco 4007 --day 2017-12-06</v>
      </c>
      <c r="AN124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7"/>
        <v>https://d0f6bd738d7f1b3e5a7ca70fe4ff75f0.us-east-1.aws.found.io/app/kibana#/discover/Steve-Slow-Train-Analysis-(2080s-and-2083s)?_g=(refreshInterval:(display:Off,pause:!f,section:0,value:0),time:(from:'2017-12-06T16:58:49-0700',mode:absolute,to:'2017-12-06T19:49:47-0700'))&amp;_a=(columns:!('Message%20ID',Summary),filters:!(),index:'emp_*',interval:auto,query:(query_string:(analyze_wildcard:!t,query:'%22rtdc.l.rtdc.4007%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825</v>
      </c>
      <c r="B125" s="225">
        <v>4034</v>
      </c>
      <c r="C125" s="227" t="s">
        <v>192</v>
      </c>
      <c r="D125" s="227" t="s">
        <v>976</v>
      </c>
      <c r="E125" s="226">
        <v>43075.725219907406</v>
      </c>
      <c r="F125" s="226">
        <v>43075.729560185187</v>
      </c>
      <c r="G125" s="225">
        <v>116</v>
      </c>
      <c r="H125" s="227" t="s">
        <v>935</v>
      </c>
      <c r="I125" s="226">
        <v>43075.754155092596</v>
      </c>
      <c r="J125" s="225">
        <v>0</v>
      </c>
      <c r="K125" s="237" t="str">
        <f t="shared" si="31"/>
        <v>4033/4034</v>
      </c>
      <c r="L125" s="245" t="str">
        <f>VLOOKUP(A125,'Trips&amp;Operators'!$C$1:$G$99911,5,FALSE)</f>
        <v>DE LA ROSA ALEX</v>
      </c>
      <c r="M125" s="224">
        <f t="shared" si="32"/>
        <v>2.4594907408754807E-2</v>
      </c>
      <c r="N125" s="225">
        <f t="shared" si="53"/>
        <v>35.416666668606922</v>
      </c>
      <c r="O125" s="225"/>
      <c r="P125" s="225"/>
      <c r="Q125" s="228"/>
      <c r="R125" s="242"/>
      <c r="S125" s="249">
        <f t="shared" si="54"/>
        <v>1</v>
      </c>
      <c r="T125" s="242" t="str">
        <f t="shared" si="33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4"/>
        <v>https://d0f6bd738d7f1b3e5a7ca70fe4ff75f0.us-east-1.aws.found.io/app/kibana#/discover/Steve-Slow-Train-Analysis-(2080s-and-2083s)?_g=(refreshInterval:(display:Off,pause:!f,section:0,value:0),time:(from:'2017-12-06T16:24:19-0700',mode:absolute,to:'2017-12-06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5" s="247" t="str">
        <f>IF(AA125&lt;VLOOKUP(AG125,Variables!$AC$3:$AD$8,2,FALSE),"Y","N")</f>
        <v>N</v>
      </c>
      <c r="X125" s="247">
        <f t="shared" si="50"/>
        <v>1</v>
      </c>
      <c r="Y125" s="247">
        <f t="shared" si="51"/>
        <v>5.8400000000000001E-2</v>
      </c>
      <c r="Z125" s="247">
        <f t="shared" si="52"/>
        <v>23.330400000000001</v>
      </c>
      <c r="AA125" s="247">
        <f t="shared" si="38"/>
        <v>23.272000000000002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9"/>
        <v>211</v>
      </c>
      <c r="AE125" s="235" t="str">
        <f t="shared" si="40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125" s="234" t="str">
        <f t="shared" si="41"/>
        <v>"C:\Program Files (x86)\AstroGrep\AstroGrep.exe" /e /r /s /spath="%USERPROFILE%\AppData\Local\Temp\OnboardLogs" /stypes="app*4034*20171207*" /stext=" 01:.+((SYSTEM_STATE.+slice.+state.+changed )|(ment ac)|(multiple cpu faults)|(system.+state.+changed )|(\[timeout)|(PRM\|1\|D)|(kpr)|(kdp)|(train st.+moving)|(\|lc)|(penalty))"</v>
      </c>
      <c r="AG125" s="244" t="str">
        <f t="shared" si="42"/>
        <v>EC</v>
      </c>
      <c r="AH125" s="236" t="str">
        <f t="shared" si="43"/>
        <v>"%USERPROFILE%\Documents\GitHub\eaglep3\Utilities\RefineRTDCRunTimes.py" --tripid 211-06 --locoid 4034 --swversion DE.1.0.9.0 --startMP 204:584 --initTime 2017-12-06T17:24:19 --startdatetime 2017-12-06T17:30:34 --delay 116 --endMP 204:233304 --enddatetime 2017-12-06T18:05:59 --enforcementcount 0 &gt;&gt;%USERPROFILE%\Documents\GitHub\eaglep3-reporting\EC\2017-12-06-refined-times.txt</v>
      </c>
      <c r="AI12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{"issue":{"subject":"","project_id":79,"tracker_id":40,"status_id":1,"priority_id":2,"assigned_to_id":338,"start_date":"2017-12-06","description":"","custom_fields":[{"id":1,"name":"Subdivision","value":"EC"},{"id":4,"name":"Milepost","value":"23.3304"},{"id":17,"name":"Train ID","value":"211-06"},{"id":16,"name":"Locomotive ID","value":"4034"},{"id":130,"name":"Impact","value":""},{"id":150,"name":"Time of Event (Mountain Time)","value":"18:05:59"},{"id":151,"name":"Denver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5"/>
        <v>start /low /b %USERPROFILE%\Documents\GitHub\eaglep3\Utilities\DownloadLogsFromS3.py --loco 4034 --day 2017-12-06</v>
      </c>
      <c r="AN125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7"/>
        <v>https://d0f6bd738d7f1b3e5a7ca70fe4ff75f0.us-east-1.aws.found.io/app/kibana#/discover/Steve-Slow-Train-Analysis-(2080s-and-2083s)?_g=(refreshInterval:(display:Off,pause:!f,section:0,value:0),time:(from:'2017-12-06T16:24:19-0700',mode:absolute,to:'2017-12-06T19:05:59-0700'))&amp;_a=(columns:!('Message%20ID',Summary),filters:!(),index:'emp_*',interval:auto,query:(query_string:(analyze_wildcard:!t,query:'%22rtdc.l.rtdc.4034%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836</v>
      </c>
      <c r="B126" s="225">
        <v>4033</v>
      </c>
      <c r="C126" s="227" t="s">
        <v>192</v>
      </c>
      <c r="D126" s="227" t="s">
        <v>977</v>
      </c>
      <c r="E126" s="226">
        <v>43075.764178240737</v>
      </c>
      <c r="F126" s="226">
        <v>43075.76898148148</v>
      </c>
      <c r="G126" s="225">
        <v>79</v>
      </c>
      <c r="H126" s="227" t="s">
        <v>453</v>
      </c>
      <c r="I126" s="226">
        <v>43075.794108796297</v>
      </c>
      <c r="J126" s="225">
        <v>0</v>
      </c>
      <c r="K126" s="237" t="str">
        <f t="shared" si="31"/>
        <v>4033/4034</v>
      </c>
      <c r="L126" s="245" t="str">
        <f>VLOOKUP(A126,'Trips&amp;Operators'!$C$1:$G$99911,5,FALSE)</f>
        <v>DE LA ROSA ALEX</v>
      </c>
      <c r="M126" s="224">
        <f t="shared" si="32"/>
        <v>2.5127314816927537E-2</v>
      </c>
      <c r="N126" s="225">
        <f t="shared" si="53"/>
        <v>36.183333336375654</v>
      </c>
      <c r="O126" s="225"/>
      <c r="P126" s="225"/>
      <c r="Q126" s="228"/>
      <c r="R126" s="242"/>
      <c r="S126" s="249">
        <f t="shared" si="54"/>
        <v>1</v>
      </c>
      <c r="T126" s="242" t="str">
        <f t="shared" si="33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4"/>
        <v>https://d0f6bd738d7f1b3e5a7ca70fe4ff75f0.us-east-1.aws.found.io/app/kibana#/discover/Steve-Slow-Train-Analysis-(2080s-and-2083s)?_g=(refreshInterval:(display:Off,pause:!f,section:0,value:0),time:(from:'2017-12-06T17:20:25-0700',mode:absolute,to:'2017-12-06T20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6" s="247" t="str">
        <f>IF(AA126&lt;VLOOKUP(AG126,Variables!$AC$3:$AD$8,2,FALSE),"Y","N")</f>
        <v>N</v>
      </c>
      <c r="X126" s="247">
        <f t="shared" si="50"/>
        <v>1</v>
      </c>
      <c r="Y126" s="247">
        <f t="shared" si="51"/>
        <v>23.298300000000001</v>
      </c>
      <c r="Z126" s="247">
        <f t="shared" si="52"/>
        <v>0.02</v>
      </c>
      <c r="AA126" s="247">
        <f t="shared" si="38"/>
        <v>23.278300000000002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9"/>
        <v>212</v>
      </c>
      <c r="AE126" s="235" t="str">
        <f t="shared" si="40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126" s="234" t="str">
        <f t="shared" si="41"/>
        <v>"C:\Program Files (x86)\AstroGrep\AstroGrep.exe" /e /r /s /spath="%USERPROFILE%\AppData\Local\Temp\OnboardLogs" /stypes="app*4033*20171207*" /stext=" 02:.+((SYSTEM_STATE.+slice.+state.+changed )|(ment ac)|(multiple cpu faults)|(system.+state.+changed )|(\[timeout)|(PRM\|1\|D)|(kpr)|(kdp)|(train st.+moving)|(\|lc)|(penalty))"</v>
      </c>
      <c r="AG126" s="244" t="str">
        <f t="shared" si="42"/>
        <v>EC</v>
      </c>
      <c r="AH126" s="236" t="str">
        <f t="shared" si="43"/>
        <v>"%USERPROFILE%\Documents\GitHub\eaglep3\Utilities\RefineRTDCRunTimes.py" --tripid 212-06 --locoid 4033 --swversion DE.1.0.9.0 --startMP 204:232983 --initTime 2017-12-06T18:20:25 --startdatetime 2017-12-06T18:27:20 --delay 79 --endMP 204:200 --enddatetime 2017-12-06T19:03:31 --enforcementcount 0 &gt;&gt;%USERPROFILE%\Documents\GitHub\eaglep3-reporting\EC\2017-12-06-refined-times.txt</v>
      </c>
      <c r="AI12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{"issue":{"subject":"","project_id":79,"tracker_id":40,"status_id":1,"priority_id":2,"assigned_to_id":338,"start_date":"2017-12-06","description":"","custom_fields":[{"id":1,"name":"Subdivision","value":"EC"},{"id":4,"name":"Milepost","value":"0.02"},{"id":17,"name":"Train ID","value":"212-06"},{"id":16,"name":"Locomotive ID","value":"4033"},{"id":130,"name":"Impact","value":""},{"id":150,"name":"Time of Event (Mountain Time)","value":"19:03:31"},{"id":151,"name":"Denver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5"/>
        <v>start /low /b %USERPROFILE%\Documents\GitHub\eaglep3\Utilities\DownloadLogsFromS3.py --loco 4033 --day 2017-12-06</v>
      </c>
      <c r="AN126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7"/>
        <v>https://d0f6bd738d7f1b3e5a7ca70fe4ff75f0.us-east-1.aws.found.io/app/kibana#/discover/Steve-Slow-Train-Analysis-(2080s-and-2083s)?_g=(refreshInterval:(display:Off,pause:!f,section:0,value:0),time:(from:'2017-12-06T17:20:25-0700',mode:absolute,to:'2017-12-06T20:03:31-0700'))&amp;_a=(columns:!('Message%20ID',Summary),filters:!(),index:'emp_*',interval:auto,query:(query_string:(analyze_wildcard:!t,query:'%22rtdc.l.rtdc.4033%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830</v>
      </c>
      <c r="B127" s="225">
        <v>4010</v>
      </c>
      <c r="C127" s="227" t="s">
        <v>192</v>
      </c>
      <c r="D127" s="227" t="s">
        <v>454</v>
      </c>
      <c r="E127" s="226">
        <v>43075.736759259256</v>
      </c>
      <c r="F127" s="226">
        <v>43075.739803240744</v>
      </c>
      <c r="G127" s="225">
        <v>74</v>
      </c>
      <c r="H127" s="227" t="s">
        <v>978</v>
      </c>
      <c r="I127" s="226">
        <v>43075.765821759262</v>
      </c>
      <c r="J127" s="225">
        <v>0</v>
      </c>
      <c r="K127" s="237" t="str">
        <f t="shared" si="31"/>
        <v>4009/4010</v>
      </c>
      <c r="L127" s="245" t="str">
        <f>VLOOKUP(A127,'Trips&amp;Operators'!$C$1:$G$99911,5,FALSE)</f>
        <v>RESPASS AARON</v>
      </c>
      <c r="M127" s="224">
        <f t="shared" si="32"/>
        <v>2.6018518517958E-2</v>
      </c>
      <c r="N127" s="225">
        <f t="shared" si="53"/>
        <v>37.46666666585952</v>
      </c>
      <c r="O127" s="225"/>
      <c r="P127" s="225"/>
      <c r="Q127" s="228"/>
      <c r="R127" s="242"/>
      <c r="S127" s="249">
        <f t="shared" si="54"/>
        <v>1</v>
      </c>
      <c r="T127" s="242" t="str">
        <f t="shared" si="33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4"/>
        <v>https://d0f6bd738d7f1b3e5a7ca70fe4ff75f0.us-east-1.aws.found.io/app/kibana#/discover/Steve-Slow-Train-Analysis-(2080s-and-2083s)?_g=(refreshInterval:(display:Off,pause:!f,section:0,value:0),time:(from:'2017-12-06T16:40:56-0700',mode:absolute,to:'2017-12-06T19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247" t="str">
        <f>IF(AA127&lt;VLOOKUP(AG127,Variables!$AC$3:$AD$8,2,FALSE),"Y","N")</f>
        <v>N</v>
      </c>
      <c r="X127" s="247">
        <f t="shared" si="50"/>
        <v>1</v>
      </c>
      <c r="Y127" s="247">
        <f t="shared" si="51"/>
        <v>5.1999999999999998E-2</v>
      </c>
      <c r="Z127" s="247">
        <f t="shared" si="52"/>
        <v>23.328199999999999</v>
      </c>
      <c r="AA127" s="247">
        <f t="shared" si="38"/>
        <v>23.276199999999999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9"/>
        <v>213</v>
      </c>
      <c r="AE127" s="235" t="str">
        <f t="shared" si="4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27" s="234" t="str">
        <f t="shared" si="41"/>
        <v>"C:\Program Files (x86)\AstroGrep\AstroGrep.exe" /e /r /s /spath="%USERPROFILE%\AppData\Local\Temp\OnboardLogs" /stypes="app*4010*20171207*" /stext=" 01:.+((SYSTEM_STATE.+slice.+state.+changed )|(ment ac)|(multiple cpu faults)|(system.+state.+changed )|(\[timeout)|(PRM\|1\|D)|(kpr)|(kdp)|(train st.+moving)|(\|lc)|(penalty))"</v>
      </c>
      <c r="AG127" s="244" t="str">
        <f t="shared" si="42"/>
        <v>EC</v>
      </c>
      <c r="AH127" s="236" t="str">
        <f t="shared" si="43"/>
        <v>"%USERPROFILE%\Documents\GitHub\eaglep3\Utilities\RefineRTDCRunTimes.py" --tripid 213-06 --locoid 4010 --swversion DE.1.0.9.0 --startMP 204:520 --initTime 2017-12-06T17:40:56 --startdatetime 2017-12-06T17:45:19 --delay 74 --endMP 204:233282 --enddatetime 2017-12-06T18:22:47 --enforcementcount 0 &gt;&gt;%USERPROFILE%\Documents\GitHub\eaglep3-reporting\EC\2017-12-06-refined-times.txt</v>
      </c>
      <c r="AI12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{"issue":{"subject":"","project_id":79,"tracker_id":40,"status_id":1,"priority_id":2,"assigned_to_id":338,"start_date":"2017-12-06","description":"","custom_fields":[{"id":1,"name":"Subdivision","value":"EC"},{"id":4,"name":"Milepost","value":"23.3282"},{"id":17,"name":"Train ID","value":"213-06"},{"id":16,"name":"Locomotive ID","value":"4010"},{"id":130,"name":"Impact","value":""},{"id":150,"name":"Time of Event (Mountain Time)","value":"18:22:47"},{"id":151,"name":"Denver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5"/>
        <v>start /low /b %USERPROFILE%\Documents\GitHub\eaglep3\Utilities\DownloadLogsFromS3.py --loco 4010 --day 2017-12-06</v>
      </c>
      <c r="AN127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7"/>
        <v>https://d0f6bd738d7f1b3e5a7ca70fe4ff75f0.us-east-1.aws.found.io/app/kibana#/discover/Steve-Slow-Train-Analysis-(2080s-and-2083s)?_g=(refreshInterval:(display:Off,pause:!f,section:0,value:0),time:(from:'2017-12-06T16:40:56-0700',mode:absolute,to:'2017-12-06T19:22:47-0700'))&amp;_a=(columns:!('Message%20ID',Summary),filters:!(),index:'emp_*',interval:auto,query:(query_string:(analyze_wildcard:!t,query:'%22rtdc.l.rtdc.4010%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840</v>
      </c>
      <c r="B128" s="225">
        <v>4009</v>
      </c>
      <c r="C128" s="227" t="s">
        <v>192</v>
      </c>
      <c r="D128" s="227" t="s">
        <v>578</v>
      </c>
      <c r="E128" s="226">
        <v>43075.775671296295</v>
      </c>
      <c r="F128" s="226">
        <v>43075.779317129629</v>
      </c>
      <c r="G128" s="225">
        <v>87</v>
      </c>
      <c r="H128" s="227" t="s">
        <v>979</v>
      </c>
      <c r="I128" s="226">
        <v>43075.804259259261</v>
      </c>
      <c r="J128" s="225">
        <v>0</v>
      </c>
      <c r="K128" s="237" t="str">
        <f t="shared" si="31"/>
        <v>4009/4010</v>
      </c>
      <c r="L128" s="245" t="str">
        <f>VLOOKUP(A128,'Trips&amp;Operators'!$C$1:$G$99911,5,FALSE)</f>
        <v>RESPASS AARON</v>
      </c>
      <c r="M128" s="224">
        <f t="shared" si="32"/>
        <v>2.4942129632108845E-2</v>
      </c>
      <c r="N128" s="225">
        <f t="shared" si="53"/>
        <v>35.916666670236737</v>
      </c>
      <c r="O128" s="225"/>
      <c r="P128" s="225"/>
      <c r="Q128" s="228"/>
      <c r="R128" s="242"/>
      <c r="S128" s="249">
        <f t="shared" si="54"/>
        <v>1</v>
      </c>
      <c r="T128" s="242" t="str">
        <f t="shared" si="33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4"/>
        <v>https://d0f6bd738d7f1b3e5a7ca70fe4ff75f0.us-east-1.aws.found.io/app/kibana#/discover/Steve-Slow-Train-Analysis-(2080s-and-2083s)?_g=(refreshInterval:(display:Off,pause:!f,section:0,value:0),time:(from:'2017-12-06T17:36:58-0700',mode:absolute,to:'2017-12-06T20:18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247" t="str">
        <f>IF(AA128&lt;VLOOKUP(AG128,Variables!$AC$3:$AD$8,2,FALSE),"Y","N")</f>
        <v>N</v>
      </c>
      <c r="X128" s="247">
        <f t="shared" si="50"/>
        <v>1</v>
      </c>
      <c r="Y128" s="247">
        <f t="shared" si="51"/>
        <v>23.297699999999999</v>
      </c>
      <c r="Z128" s="247">
        <f t="shared" si="52"/>
        <v>2.63E-2</v>
      </c>
      <c r="AA128" s="247">
        <f t="shared" si="38"/>
        <v>23.2714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9"/>
        <v>214</v>
      </c>
      <c r="AE128" s="235" t="str">
        <f t="shared" si="4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28" s="234" t="str">
        <f t="shared" si="41"/>
        <v>"C:\Program Files (x86)\AstroGrep\AstroGrep.exe" /e /r /s /spath="%USERPROFILE%\AppData\Local\Temp\OnboardLogs" /stypes="app*4009*20171207*" /stext=" 02:.+((SYSTEM_STATE.+slice.+state.+changed )|(ment ac)|(multiple cpu faults)|(system.+state.+changed )|(\[timeout)|(PRM\|1\|D)|(kpr)|(kdp)|(train st.+moving)|(\|lc)|(penalty))"</v>
      </c>
      <c r="AG128" s="244" t="str">
        <f t="shared" si="42"/>
        <v>EC</v>
      </c>
      <c r="AH128" s="236" t="str">
        <f t="shared" si="43"/>
        <v>"%USERPROFILE%\Documents\GitHub\eaglep3\Utilities\RefineRTDCRunTimes.py" --tripid 214-06 --locoid 4009 --swversion DE.1.0.9.0 --startMP 204:232977 --initTime 2017-12-06T18:36:58 --startdatetime 2017-12-06T18:42:13 --delay 87 --endMP 204:263 --enddatetime 2017-12-06T19:18:08 --enforcementcount 0 &gt;&gt;%USERPROFILE%\Documents\GitHub\eaglep3-reporting\EC\2017-12-06-refined-times.txt</v>
      </c>
      <c r="AI12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{"issue":{"subject":"","project_id":79,"tracker_id":40,"status_id":1,"priority_id":2,"assigned_to_id":338,"start_date":"2017-12-06","description":"","custom_fields":[{"id":1,"name":"Subdivision","value":"EC"},{"id":4,"name":"Milepost","value":"0.0263"},{"id":17,"name":"Train ID","value":"214-06"},{"id":16,"name":"Locomotive ID","value":"4009"},{"id":130,"name":"Impact","value":""},{"id":150,"name":"Time of Event (Mountain Time)","value":"19:18:08"},{"id":151,"name":"Denver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5"/>
        <v>start /low /b %USERPROFILE%\Documents\GitHub\eaglep3\Utilities\DownloadLogsFromS3.py --loco 4009 --day 2017-12-06</v>
      </c>
      <c r="AN128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02:18:08"},{"id":29,"name":"Sharepoint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7"/>
        <v>https://d0f6bd738d7f1b3e5a7ca70fe4ff75f0.us-east-1.aws.found.io/app/kibana#/discover/Steve-Slow-Train-Analysis-(2080s-and-2083s)?_g=(refreshInterval:(display:Off,pause:!f,section:0,value:0),time:(from:'2017-12-06T17:36:58-0700',mode:absolute,to:'2017-12-06T20:18:08-0700'))&amp;_a=(columns:!('Message%20ID',Summary),filters:!(),index:'emp_*',interval:auto,query:(query_string:(analyze_wildcard:!t,query:'%22rtdc.l.rtdc.4009%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831</v>
      </c>
      <c r="B129" s="225">
        <v>4062</v>
      </c>
      <c r="C129" s="227" t="s">
        <v>192</v>
      </c>
      <c r="D129" s="227" t="s">
        <v>473</v>
      </c>
      <c r="E129" s="226">
        <v>43075.745011574072</v>
      </c>
      <c r="F129" s="226">
        <v>43075.750243055554</v>
      </c>
      <c r="G129" s="225">
        <v>64</v>
      </c>
      <c r="H129" s="227" t="s">
        <v>888</v>
      </c>
      <c r="I129" s="226">
        <v>43075.775358796294</v>
      </c>
      <c r="J129" s="225">
        <v>0</v>
      </c>
      <c r="K129" s="237" t="str">
        <f t="shared" si="31"/>
        <v>4061/4062</v>
      </c>
      <c r="L129" s="245" t="str">
        <f>VLOOKUP(A129,'Trips&amp;Operators'!$C$1:$G$99911,5,FALSE)</f>
        <v>KILLION DAVID</v>
      </c>
      <c r="M129" s="224">
        <f t="shared" si="32"/>
        <v>2.5115740740147885E-2</v>
      </c>
      <c r="N129" s="225">
        <f t="shared" si="53"/>
        <v>36.166666665812954</v>
      </c>
      <c r="O129" s="225"/>
      <c r="P129" s="225"/>
      <c r="Q129" s="228"/>
      <c r="R129" s="242"/>
      <c r="S129" s="249">
        <f t="shared" si="54"/>
        <v>1</v>
      </c>
      <c r="T129" s="242" t="str">
        <f t="shared" si="33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4"/>
        <v>https://d0f6bd738d7f1b3e5a7ca70fe4ff75f0.us-east-1.aws.found.io/app/kibana#/discover/Steve-Slow-Train-Analysis-(2080s-and-2083s)?_g=(refreshInterval:(display:Off,pause:!f,section:0,value:0),time:(from:'2017-12-06T16:52:49-0700',mode:absolute,to:'2017-12-06T19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47" t="str">
        <f>IF(AA129&lt;VLOOKUP(AG129,Variables!$AC$3:$AD$8,2,FALSE),"Y","N")</f>
        <v>N</v>
      </c>
      <c r="X129" s="247">
        <f t="shared" si="50"/>
        <v>1</v>
      </c>
      <c r="Y129" s="247">
        <f t="shared" si="51"/>
        <v>4.5699999999999998E-2</v>
      </c>
      <c r="Z129" s="247">
        <f t="shared" si="52"/>
        <v>23.329499999999999</v>
      </c>
      <c r="AA129" s="247">
        <f t="shared" si="38"/>
        <v>23.283799999999999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9"/>
        <v>215</v>
      </c>
      <c r="AE129" s="235" t="str">
        <f t="shared" si="40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129" s="234" t="str">
        <f t="shared" si="41"/>
        <v>"C:\Program Files (x86)\AstroGrep\AstroGrep.exe" /e /r /s /spath="%USERPROFILE%\AppData\Local\Temp\OnboardLogs" /stypes="app*4062*20171207*" /stext=" 01:.+((SYSTEM_STATE.+slice.+state.+changed )|(ment ac)|(multiple cpu faults)|(system.+state.+changed )|(\[timeout)|(PRM\|1\|D)|(kpr)|(kdp)|(train st.+moving)|(\|lc)|(penalty))"</v>
      </c>
      <c r="AG129" s="244" t="str">
        <f t="shared" si="42"/>
        <v>EC</v>
      </c>
      <c r="AH129" s="236" t="str">
        <f t="shared" si="43"/>
        <v>"%USERPROFILE%\Documents\GitHub\eaglep3\Utilities\RefineRTDCRunTimes.py" --tripid 215-06 --locoid 4062 --swversion DE.1.0.9.0 --startMP 204:457 --initTime 2017-12-06T17:52:49 --startdatetime 2017-12-06T18:00:21 --delay 64 --endMP 204:233295 --enddatetime 2017-12-06T18:36:31 --enforcementcount 0 &gt;&gt;%USERPROFILE%\Documents\GitHub\eaglep3-reporting\EC\2017-12-06-refined-times.txt</v>
      </c>
      <c r="AI12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{"issue":{"subject":"","project_id":79,"tracker_id":40,"status_id":1,"priority_id":2,"assigned_to_id":338,"start_date":"2017-12-06","description":"","custom_fields":[{"id":1,"name":"Subdivision","value":"EC"},{"id":4,"name":"Milepost","value":"23.3295"},{"id":17,"name":"Train ID","value":"215-06"},{"id":16,"name":"Locomotive ID","value":"4062"},{"id":130,"name":"Impact","value":""},{"id":150,"name":"Time of Event (Mountain Time)","value":"18:36:31"},{"id":151,"name":"Denver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5"/>
        <v>start /low /b %USERPROFILE%\Documents\GitHub\eaglep3\Utilities\DownloadLogsFromS3.py --loco 4062 --day 2017-12-06</v>
      </c>
      <c r="AN129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7"/>
        <v>https://d0f6bd738d7f1b3e5a7ca70fe4ff75f0.us-east-1.aws.found.io/app/kibana#/discover/Steve-Slow-Train-Analysis-(2080s-and-2083s)?_g=(refreshInterval:(display:Off,pause:!f,section:0,value:0),time:(from:'2017-12-06T16:52:49-0700',mode:absolute,to:'2017-12-06T19:36:31-0700'))&amp;_a=(columns:!('Message%20ID',Summary),filters:!(),index:'emp_*',interval:auto,query:(query_string:(analyze_wildcard:!t,query:'%22rtdc.l.rtdc.4062%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841</v>
      </c>
      <c r="B130" s="225">
        <v>4061</v>
      </c>
      <c r="C130" s="227" t="s">
        <v>192</v>
      </c>
      <c r="D130" s="227" t="s">
        <v>496</v>
      </c>
      <c r="E130" s="226">
        <v>43075.780405092592</v>
      </c>
      <c r="F130" s="226">
        <v>43075.789768518516</v>
      </c>
      <c r="G130" s="225">
        <v>57</v>
      </c>
      <c r="H130" s="227" t="s">
        <v>488</v>
      </c>
      <c r="I130" s="226">
        <v>43075.815937500003</v>
      </c>
      <c r="J130" s="225">
        <v>0</v>
      </c>
      <c r="K130" s="237" t="str">
        <f t="shared" si="31"/>
        <v>4061/4062</v>
      </c>
      <c r="L130" s="245" t="str">
        <f>VLOOKUP(A130,'Trips&amp;Operators'!$C$1:$G$99911,5,FALSE)</f>
        <v>KILLION DAVID</v>
      </c>
      <c r="M130" s="224">
        <f t="shared" si="32"/>
        <v>2.6168981486989651E-2</v>
      </c>
      <c r="N130" s="225">
        <f t="shared" si="53"/>
        <v>37.683333341265097</v>
      </c>
      <c r="O130" s="225"/>
      <c r="P130" s="225"/>
      <c r="Q130" s="228"/>
      <c r="R130" s="242"/>
      <c r="S130" s="249">
        <f t="shared" si="54"/>
        <v>1</v>
      </c>
      <c r="T130" s="242" t="str">
        <f t="shared" si="33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4"/>
        <v>https://d0f6bd738d7f1b3e5a7ca70fe4ff75f0.us-east-1.aws.found.io/app/kibana#/discover/Steve-Slow-Train-Analysis-(2080s-and-2083s)?_g=(refreshInterval:(display:Off,pause:!f,section:0,value:0),time:(from:'2017-12-06T17:43:47-0700',mode:absolute,to:'2017-12-06T20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47" t="str">
        <f>IF(AA130&lt;VLOOKUP(AG130,Variables!$AC$3:$AD$8,2,FALSE),"Y","N")</f>
        <v>N</v>
      </c>
      <c r="X130" s="247">
        <f t="shared" si="50"/>
        <v>1</v>
      </c>
      <c r="Y130" s="247">
        <f t="shared" si="51"/>
        <v>23.296600000000002</v>
      </c>
      <c r="Z130" s="247">
        <f t="shared" si="52"/>
        <v>1.7000000000000001E-2</v>
      </c>
      <c r="AA130" s="247">
        <f t="shared" si="38"/>
        <v>23.279600000000002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9"/>
        <v>216</v>
      </c>
      <c r="AE130" s="235" t="str">
        <f t="shared" si="40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130" s="234" t="str">
        <f t="shared" si="41"/>
        <v>"C:\Program Files (x86)\AstroGrep\AstroGrep.exe" /e /r /s /spath="%USERPROFILE%\AppData\Local\Temp\OnboardLogs" /stypes="app*4061*20171207*" /stext=" 02:.+((SYSTEM_STATE.+slice.+state.+changed )|(ment ac)|(multiple cpu faults)|(system.+state.+changed )|(\[timeout)|(PRM\|1\|D)|(kpr)|(kdp)|(train st.+moving)|(\|lc)|(penalty))"</v>
      </c>
      <c r="AG130" s="244" t="str">
        <f t="shared" si="42"/>
        <v>EC</v>
      </c>
      <c r="AH130" s="236" t="str">
        <f t="shared" si="43"/>
        <v>"%USERPROFILE%\Documents\GitHub\eaglep3\Utilities\RefineRTDCRunTimes.py" --tripid 216-06 --locoid 4061 --swversion DE.1.0.9.0 --startMP 204:232966 --initTime 2017-12-06T18:43:47 --startdatetime 2017-12-06T18:57:16 --delay 57 --endMP 204:170 --enddatetime 2017-12-06T19:34:57 --enforcementcount 0 &gt;&gt;%USERPROFILE%\Documents\GitHub\eaglep3-reporting\EC\2017-12-06-refined-times.txt</v>
      </c>
      <c r="AI13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{"issue":{"subject":"","project_id":79,"tracker_id":40,"status_id":1,"priority_id":2,"assigned_to_id":338,"start_date":"2017-12-06","description":"","custom_fields":[{"id":1,"name":"Subdivision","value":"EC"},{"id":4,"name":"Milepost","value":"0.017"},{"id":17,"name":"Train ID","value":"216-06"},{"id":16,"name":"Locomotive ID","value":"4061"},{"id":130,"name":"Impact","value":""},{"id":150,"name":"Time of Event (Mountain Time)","value":"19:34:57"},{"id":151,"name":"Denver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5"/>
        <v>start /low /b %USERPROFILE%\Documents\GitHub\eaglep3\Utilities\DownloadLogsFromS3.py --loco 4061 --day 2017-12-06</v>
      </c>
      <c r="AN130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7"/>
        <v>https://d0f6bd738d7f1b3e5a7ca70fe4ff75f0.us-east-1.aws.found.io/app/kibana#/discover/Steve-Slow-Train-Analysis-(2080s-and-2083s)?_g=(refreshInterval:(display:Off,pause:!f,section:0,value:0),time:(from:'2017-12-06T17:43:47-0700',mode:absolute,to:'2017-12-06T20:34:57-0700'))&amp;_a=(columns:!('Message%20ID',Summary),filters:!(),index:'emp_*',interval:auto,query:(query_string:(analyze_wildcard:!t,query:'%22rtdc.l.rtdc.4061%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835</v>
      </c>
      <c r="B131" s="225">
        <v>4032</v>
      </c>
      <c r="C131" s="227" t="s">
        <v>192</v>
      </c>
      <c r="D131" s="227" t="s">
        <v>536</v>
      </c>
      <c r="E131" s="226">
        <v>43075.758194444446</v>
      </c>
      <c r="F131" s="226">
        <v>43075.760787037034</v>
      </c>
      <c r="G131" s="225">
        <v>112</v>
      </c>
      <c r="H131" s="227" t="s">
        <v>582</v>
      </c>
      <c r="I131" s="226">
        <v>43075.785462962966</v>
      </c>
      <c r="J131" s="225">
        <v>0</v>
      </c>
      <c r="K131" s="237" t="str">
        <f t="shared" si="31"/>
        <v>4031/4032</v>
      </c>
      <c r="L131" s="245" t="str">
        <f>VLOOKUP(A131,'Trips&amp;Operators'!$C$1:$G$99911,5,FALSE)</f>
        <v>LOZA FIDEL</v>
      </c>
      <c r="M131" s="224">
        <f t="shared" si="32"/>
        <v>2.4675925931660458E-2</v>
      </c>
      <c r="N131" s="225">
        <f t="shared" si="53"/>
        <v>35.53333334159106</v>
      </c>
      <c r="O131" s="225"/>
      <c r="P131" s="225"/>
      <c r="Q131" s="228"/>
      <c r="R131" s="242"/>
      <c r="S131" s="249">
        <f t="shared" si="54"/>
        <v>1</v>
      </c>
      <c r="T131" s="242" t="str">
        <f t="shared" si="33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4"/>
        <v>https://d0f6bd738d7f1b3e5a7ca70fe4ff75f0.us-east-1.aws.found.io/app/kibana#/discover/Steve-Slow-Train-Analysis-(2080s-and-2083s)?_g=(refreshInterval:(display:Off,pause:!f,section:0,value:0),time:(from:'2017-12-06T17:11:48-0700',mode:absolute,to:'2017-12-06T19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247" t="str">
        <f>IF(AA131&lt;VLOOKUP(AG131,Variables!$AC$3:$AD$8,2,FALSE),"Y","N")</f>
        <v>N</v>
      </c>
      <c r="X131" s="247">
        <f t="shared" si="50"/>
        <v>1</v>
      </c>
      <c r="Y131" s="247">
        <f t="shared" si="51"/>
        <v>5.5899999999999998E-2</v>
      </c>
      <c r="Z131" s="247">
        <f t="shared" si="52"/>
        <v>23.333600000000001</v>
      </c>
      <c r="AA131" s="247">
        <f t="shared" si="38"/>
        <v>23.277699999999999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9"/>
        <v>217</v>
      </c>
      <c r="AE131" s="235" t="str">
        <f t="shared" si="4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31" s="234" t="str">
        <f t="shared" si="41"/>
        <v>"C:\Program Files (x86)\AstroGrep\AstroGrep.exe" /e /r /s /spath="%USERPROFILE%\AppData\Local\Temp\OnboardLogs" /stypes="app*4032*20171207*" /stext=" 01:.+((SYSTEM_STATE.+slice.+state.+changed )|(ment ac)|(multiple cpu faults)|(system.+state.+changed )|(\[timeout)|(PRM\|1\|D)|(kpr)|(kdp)|(train st.+moving)|(\|lc)|(penalty))"</v>
      </c>
      <c r="AG131" s="244" t="str">
        <f t="shared" si="42"/>
        <v>EC</v>
      </c>
      <c r="AH131" s="236" t="str">
        <f t="shared" si="43"/>
        <v>"%USERPROFILE%\Documents\GitHub\eaglep3\Utilities\RefineRTDCRunTimes.py" --tripid 217-06 --locoid 4032 --swversion DE.1.0.9.0 --startMP 204:559 --initTime 2017-12-06T18:11:48 --startdatetime 2017-12-06T18:15:32 --delay 112 --endMP 204:233336 --enddatetime 2017-12-06T18:51:04 --enforcementcount 0 &gt;&gt;%USERPROFILE%\Documents\GitHub\eaglep3-reporting\EC\2017-12-06-refined-times.txt</v>
      </c>
      <c r="AI131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{"issue":{"subject":"","project_id":79,"tracker_id":40,"status_id":1,"priority_id":2,"assigned_to_id":338,"start_date":"2017-12-06","description":"","custom_fields":[{"id":1,"name":"Subdivision","value":"EC"},{"id":4,"name":"Milepost","value":"23.3336"},{"id":17,"name":"Train ID","value":"217-06"},{"id":16,"name":"Locomotive ID","value":"4032"},{"id":130,"name":"Impact","value":""},{"id":150,"name":"Time of Event (Mountain Time)","value":"18:51:04"},{"id":151,"name":"Denver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5"/>
        <v>start /low /b %USERPROFILE%\Documents\GitHub\eaglep3\Utilities\DownloadLogsFromS3.py --loco 4032 --day 2017-12-06</v>
      </c>
      <c r="AN131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7"/>
        <v>https://d0f6bd738d7f1b3e5a7ca70fe4ff75f0.us-east-1.aws.found.io/app/kibana#/discover/Steve-Slow-Train-Analysis-(2080s-and-2083s)?_g=(refreshInterval:(display:Off,pause:!f,section:0,value:0),time:(from:'2017-12-06T17:11:48-0700',mode:absolute,to:'2017-12-06T19:51:04-0700'))&amp;_a=(columns:!('Message%20ID',Summary),filters:!(),index:'emp_*',interval:auto,query:(query_string:(analyze_wildcard:!t,query:'%22rtdc.l.rtdc.4032%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846</v>
      </c>
      <c r="B132" s="225">
        <v>4031</v>
      </c>
      <c r="C132" s="227" t="s">
        <v>192</v>
      </c>
      <c r="D132" s="227" t="s">
        <v>493</v>
      </c>
      <c r="E132" s="226">
        <v>43075.795983796299</v>
      </c>
      <c r="F132" s="226">
        <v>43075.800185185188</v>
      </c>
      <c r="G132" s="225">
        <v>107</v>
      </c>
      <c r="H132" s="227" t="s">
        <v>933</v>
      </c>
      <c r="I132" s="226">
        <v>43075.825520833336</v>
      </c>
      <c r="J132" s="225">
        <v>0</v>
      </c>
      <c r="K132" s="237" t="str">
        <f t="shared" si="31"/>
        <v>4031/4032</v>
      </c>
      <c r="L132" s="245" t="str">
        <f>VLOOKUP(A132,'Trips&amp;Operators'!$C$1:$G$99911,5,FALSE)</f>
        <v>LOZA FIDEL</v>
      </c>
      <c r="M132" s="224">
        <f t="shared" si="32"/>
        <v>2.5335648148029577E-2</v>
      </c>
      <c r="N132" s="225">
        <f t="shared" si="53"/>
        <v>36.483333333162591</v>
      </c>
      <c r="O132" s="225"/>
      <c r="P132" s="225"/>
      <c r="Q132" s="228"/>
      <c r="R132" s="242"/>
      <c r="S132" s="249">
        <f t="shared" si="54"/>
        <v>1</v>
      </c>
      <c r="T132" s="242" t="str">
        <f t="shared" si="33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4"/>
        <v>https://d0f6bd738d7f1b3e5a7ca70fe4ff75f0.us-east-1.aws.found.io/app/kibana#/discover/Steve-Slow-Train-Analysis-(2080s-and-2083s)?_g=(refreshInterval:(display:Off,pause:!f,section:0,value:0),time:(from:'2017-12-06T18:06:13-0700',mode:absolute,to:'2017-12-06T20:48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247" t="str">
        <f>IF(AA132&lt;VLOOKUP(AG132,Variables!$AC$3:$AD$8,2,FALSE),"Y","N")</f>
        <v>N</v>
      </c>
      <c r="X132" s="247">
        <f t="shared" si="50"/>
        <v>1</v>
      </c>
      <c r="Y132" s="247">
        <f t="shared" si="51"/>
        <v>23.296900000000001</v>
      </c>
      <c r="Z132" s="247">
        <f t="shared" si="52"/>
        <v>1.8499999999999999E-2</v>
      </c>
      <c r="AA132" s="247">
        <f t="shared" si="38"/>
        <v>23.278400000000001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9"/>
        <v>218</v>
      </c>
      <c r="AE132" s="235" t="str">
        <f t="shared" si="4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32" s="234" t="str">
        <f t="shared" si="41"/>
        <v>"C:\Program Files (x86)\AstroGrep\AstroGrep.exe" /e /r /s /spath="%USERPROFILE%\AppData\Local\Temp\OnboardLogs" /stypes="app*4031*20171207*" /stext=" 02:.+((SYSTEM_STATE.+slice.+state.+changed )|(ment ac)|(multiple cpu faults)|(system.+state.+changed )|(\[timeout)|(PRM\|1\|D)|(kpr)|(kdp)|(train st.+moving)|(\|lc)|(penalty))"</v>
      </c>
      <c r="AG132" s="244" t="str">
        <f t="shared" si="42"/>
        <v>EC</v>
      </c>
      <c r="AH132" s="236" t="str">
        <f t="shared" si="43"/>
        <v>"%USERPROFILE%\Documents\GitHub\eaglep3\Utilities\RefineRTDCRunTimes.py" --tripid 218-06 --locoid 4031 --swversion DE.1.0.9.0 --startMP 204:232969 --initTime 2017-12-06T19:06:13 --startdatetime 2017-12-06T19:12:16 --delay 107 --endMP 204:185 --enddatetime 2017-12-06T19:48:45 --enforcementcount 0 &gt;&gt;%USERPROFILE%\Documents\GitHub\eaglep3-reporting\EC\2017-12-06-refined-times.txt</v>
      </c>
      <c r="AI132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{"issue":{"subject":"","project_id":79,"tracker_id":40,"status_id":1,"priority_id":2,"assigned_to_id":338,"start_date":"2017-12-06","description":"","custom_fields":[{"id":1,"name":"Subdivision","value":"EC"},{"id":4,"name":"Milepost","value":"0.0185"},{"id":17,"name":"Train ID","value":"218-06"},{"id":16,"name":"Locomotive ID","value":"4031"},{"id":130,"name":"Impact","value":""},{"id":150,"name":"Time of Event (Mountain Time)","value":"19:48:45"},{"id":151,"name":"Denver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5"/>
        <v>start /low /b %USERPROFILE%\Documents\GitHub\eaglep3\Utilities\DownloadLogsFromS3.py --loco 4031 --day 2017-12-06</v>
      </c>
      <c r="AN132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7"/>
        <v>https://d0f6bd738d7f1b3e5a7ca70fe4ff75f0.us-east-1.aws.found.io/app/kibana#/discover/Steve-Slow-Train-Analysis-(2080s-and-2083s)?_g=(refreshInterval:(display:Off,pause:!f,section:0,value:0),time:(from:'2017-12-06T18:06:13-0700',mode:absolute,to:'2017-12-06T20:48:45-0700'))&amp;_a=(columns:!('Message%20ID',Summary),filters:!(),index:'emp_*',interval:auto,query:(query_string:(analyze_wildcard:!t,query:'%22rtdc.l.rtdc.4031%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837</v>
      </c>
      <c r="B133" s="225">
        <v>4064</v>
      </c>
      <c r="C133" s="227" t="s">
        <v>192</v>
      </c>
      <c r="D133" s="227" t="s">
        <v>980</v>
      </c>
      <c r="E133" s="226">
        <v>43075.769328703704</v>
      </c>
      <c r="F133" s="226">
        <v>43075.771134259259</v>
      </c>
      <c r="G133" s="225">
        <v>50</v>
      </c>
      <c r="H133" s="227" t="s">
        <v>582</v>
      </c>
      <c r="I133" s="226">
        <v>43075.796134259261</v>
      </c>
      <c r="J133" s="225">
        <v>0</v>
      </c>
      <c r="K133" s="237" t="str">
        <f t="shared" si="31"/>
        <v>4063/4064</v>
      </c>
      <c r="L133" s="245" t="str">
        <f>VLOOKUP(A133,'Trips&amp;Operators'!$C$1:$G$99911,5,FALSE)</f>
        <v>ANDERS STEVEN</v>
      </c>
      <c r="M133" s="224">
        <f t="shared" si="32"/>
        <v>2.5000000001455192E-2</v>
      </c>
      <c r="N133" s="225">
        <f t="shared" si="53"/>
        <v>36.000000002095476</v>
      </c>
      <c r="O133" s="225"/>
      <c r="P133" s="225"/>
      <c r="Q133" s="228"/>
      <c r="R133" s="242"/>
      <c r="S133" s="249">
        <f t="shared" si="54"/>
        <v>1</v>
      </c>
      <c r="T133" s="242" t="str">
        <f t="shared" si="33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4"/>
        <v>https://d0f6bd738d7f1b3e5a7ca70fe4ff75f0.us-east-1.aws.found.io/app/kibana#/discover/Steve-Slow-Train-Analysis-(2080s-and-2083s)?_g=(refreshInterval:(display:Off,pause:!f,section:0,value:0),time:(from:'2017-12-06T17:27:50-0700',mode:absolute,to:'2017-12-06T20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3" s="247" t="str">
        <f>IF(AA133&lt;VLOOKUP(AG133,Variables!$AC$3:$AD$8,2,FALSE),"Y","N")</f>
        <v>N</v>
      </c>
      <c r="X133" s="247">
        <f t="shared" si="50"/>
        <v>1</v>
      </c>
      <c r="Y133" s="247">
        <f t="shared" si="51"/>
        <v>6.2799999999999995E-2</v>
      </c>
      <c r="Z133" s="247">
        <f t="shared" si="52"/>
        <v>23.333600000000001</v>
      </c>
      <c r="AA133" s="247">
        <f t="shared" si="38"/>
        <v>23.270800000000001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9"/>
        <v>219</v>
      </c>
      <c r="AE133" s="235" t="str">
        <f t="shared" si="40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133" s="234" t="str">
        <f t="shared" si="41"/>
        <v>"C:\Program Files (x86)\AstroGrep\AstroGrep.exe" /e /r /s /spath="%USERPROFILE%\AppData\Local\Temp\OnboardLogs" /stypes="app*4064*20171207*" /stext=" 02:.+((SYSTEM_STATE.+slice.+state.+changed )|(ment ac)|(multiple cpu faults)|(system.+state.+changed )|(\[timeout)|(PRM\|1\|D)|(kpr)|(kdp)|(train st.+moving)|(\|lc)|(penalty))"</v>
      </c>
      <c r="AG133" s="244" t="str">
        <f t="shared" si="42"/>
        <v>EC</v>
      </c>
      <c r="AH133" s="236" t="str">
        <f t="shared" si="43"/>
        <v>"%USERPROFILE%\Documents\GitHub\eaglep3\Utilities\RefineRTDCRunTimes.py" --tripid 219-06 --locoid 4064 --swversion DE.1.0.9.0 --startMP 204:628 --initTime 2017-12-06T18:27:50 --startdatetime 2017-12-06T18:30:26 --delay 50 --endMP 204:233336 --enddatetime 2017-12-06T19:06:26 --enforcementcount 0 &gt;&gt;%USERPROFILE%\Documents\GitHub\eaglep3-reporting\EC\2017-12-06-refined-times.txt</v>
      </c>
      <c r="AI133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{"issue":{"subject":"","project_id":79,"tracker_id":40,"status_id":1,"priority_id":2,"assigned_to_id":338,"start_date":"2017-12-06","description":"","custom_fields":[{"id":1,"name":"Subdivision","value":"EC"},{"id":4,"name":"Milepost","value":"23.3336"},{"id":17,"name":"Train ID","value":"219-06"},{"id":16,"name":"Locomotive ID","value":"4064"},{"id":130,"name":"Impact","value":""},{"id":150,"name":"Time of Event (Mountain Time)","value":"19:06:26"},{"id":151,"name":"Denver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5"/>
        <v>start /low /b %USERPROFILE%\Documents\GitHub\eaglep3\Utilities\DownloadLogsFromS3.py --loco 4064 --day 2017-12-06</v>
      </c>
      <c r="AN133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7"/>
        <v>https://d0f6bd738d7f1b3e5a7ca70fe4ff75f0.us-east-1.aws.found.io/app/kibana#/discover/Steve-Slow-Train-Analysis-(2080s-and-2083s)?_g=(refreshInterval:(display:Off,pause:!f,section:0,value:0),time:(from:'2017-12-06T17:27:50-0700',mode:absolute,to:'2017-12-06T20:06:26-0700'))&amp;_a=(columns:!('Message%20ID',Summary),filters:!(),index:'emp_*',interval:auto,query:(query_string:(analyze_wildcard:!t,query:'%22rtdc.l.rtdc.4064%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25">
      <c r="A134" s="229" t="s">
        <v>848</v>
      </c>
      <c r="B134" s="225">
        <v>4063</v>
      </c>
      <c r="C134" s="227" t="s">
        <v>192</v>
      </c>
      <c r="D134" s="227" t="s">
        <v>572</v>
      </c>
      <c r="E134" s="226">
        <v>43075.807743055557</v>
      </c>
      <c r="F134" s="226">
        <v>43075.810972222222</v>
      </c>
      <c r="G134" s="225">
        <v>62</v>
      </c>
      <c r="H134" s="227" t="s">
        <v>527</v>
      </c>
      <c r="I134" s="226">
        <v>43075.836504629631</v>
      </c>
      <c r="J134" s="225">
        <v>0</v>
      </c>
      <c r="K134" s="237" t="str">
        <f t="shared" si="31"/>
        <v>4063/4064</v>
      </c>
      <c r="L134" s="245" t="str">
        <f>VLOOKUP(A134,'Trips&amp;Operators'!$C$1:$G$99911,5,FALSE)</f>
        <v>ANDERS STEVEN</v>
      </c>
      <c r="M134" s="224">
        <f t="shared" si="32"/>
        <v>2.5532407409627922E-2</v>
      </c>
      <c r="N134" s="225">
        <f t="shared" si="53"/>
        <v>36.766666669864208</v>
      </c>
      <c r="O134" s="225"/>
      <c r="P134" s="225"/>
      <c r="Q134" s="228"/>
      <c r="R134" s="242"/>
      <c r="S134" s="249">
        <f t="shared" si="54"/>
        <v>1</v>
      </c>
      <c r="T134" s="242" t="str">
        <f t="shared" si="33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4"/>
        <v>https://d0f6bd738d7f1b3e5a7ca70fe4ff75f0.us-east-1.aws.found.io/app/kibana#/discover/Steve-Slow-Train-Analysis-(2080s-and-2083s)?_g=(refreshInterval:(display:Off,pause:!f,section:0,value:0),time:(from:'2017-12-06T18:23:09-0700',mode:absolute,to:'2017-12-06T21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4" s="247" t="str">
        <f>IF(AA134&lt;VLOOKUP(AG134,Variables!$AC$3:$AD$8,2,FALSE),"Y","N")</f>
        <v>N</v>
      </c>
      <c r="X134" s="247">
        <f t="shared" ref="X134:X137" si="55">VALUE(LEFT(AD134,4))-VALUE(LEFT(AD133,4))</f>
        <v>1</v>
      </c>
      <c r="Y134" s="247">
        <f t="shared" si="51"/>
        <v>23.297899999999998</v>
      </c>
      <c r="Z134" s="247">
        <f t="shared" si="52"/>
        <v>2.29E-2</v>
      </c>
      <c r="AA134" s="247">
        <f t="shared" si="38"/>
        <v>23.274999999999999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9"/>
        <v>220</v>
      </c>
      <c r="AE134" s="235" t="str">
        <f t="shared" si="40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134" s="234" t="str">
        <f t="shared" si="41"/>
        <v>"C:\Program Files (x86)\AstroGrep\AstroGrep.exe" /e /r /s /spath="%USERPROFILE%\AppData\Local\Temp\OnboardLogs" /stypes="app*4063*20171207*" /stext=" 03:.+((SYSTEM_STATE.+slice.+state.+changed )|(ment ac)|(multiple cpu faults)|(system.+state.+changed )|(\[timeout)|(PRM\|1\|D)|(kpr)|(kdp)|(train st.+moving)|(\|lc)|(penalty))"</v>
      </c>
      <c r="AG134" s="244" t="str">
        <f t="shared" si="42"/>
        <v>EC</v>
      </c>
      <c r="AH134" s="236" t="str">
        <f t="shared" si="43"/>
        <v>"%USERPROFILE%\Documents\GitHub\eaglep3\Utilities\RefineRTDCRunTimes.py" --tripid 220-06 --locoid 4063 --swversion DE.1.0.9.0 --startMP 204:232979 --initTime 2017-12-06T19:23:09 --startdatetime 2017-12-06T19:27:48 --delay 62 --endMP 204:229 --enddatetime 2017-12-06T20:04:34 --enforcementcount 0 &gt;&gt;%USERPROFILE%\Documents\GitHub\eaglep3-reporting\EC\2017-12-06-refined-times.txt</v>
      </c>
      <c r="AI134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{"issue":{"subject":"","project_id":79,"tracker_id":40,"status_id":1,"priority_id":2,"assigned_to_id":338,"start_date":"2017-12-06","description":"","custom_fields":[{"id":1,"name":"Subdivision","value":"EC"},{"id":4,"name":"Milepost","value":"0.0229"},{"id":17,"name":"Train ID","value":"220-06"},{"id":16,"name":"Locomotive ID","value":"4063"},{"id":130,"name":"Impact","value":""},{"id":150,"name":"Time of Event (Mountain Time)","value":"20:04:34"},{"id":151,"name":"Denver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45"/>
        <v>start /low /b %USERPROFILE%\Documents\GitHub\eaglep3\Utilities\DownloadLogsFromS3.py --loco 4063 --day 2017-12-06</v>
      </c>
      <c r="AN134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7"/>
        <v>https://d0f6bd738d7f1b3e5a7ca70fe4ff75f0.us-east-1.aws.found.io/app/kibana#/discover/Steve-Slow-Train-Analysis-(2080s-and-2083s)?_g=(refreshInterval:(display:Off,pause:!f,section:0,value:0),time:(from:'2017-12-06T18:23:09-0700',mode:absolute,to:'2017-12-06T21:04:34-0700'))&amp;_a=(columns:!('Message%20ID',Summary),filters:!(),index:'emp_*',interval:auto,query:(query_string:(analyze_wildcard:!t,query:'%22rtdc.l.rtdc.4063%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843</v>
      </c>
      <c r="B135" s="225">
        <v>4008</v>
      </c>
      <c r="C135" s="227" t="s">
        <v>192</v>
      </c>
      <c r="D135" s="227" t="s">
        <v>575</v>
      </c>
      <c r="E135" s="226">
        <v>43075.787835648145</v>
      </c>
      <c r="F135" s="226">
        <v>43075.791898148149</v>
      </c>
      <c r="G135" s="225">
        <v>69</v>
      </c>
      <c r="H135" s="227" t="s">
        <v>605</v>
      </c>
      <c r="I135" s="226">
        <v>43075.817002314812</v>
      </c>
      <c r="J135" s="225">
        <v>0</v>
      </c>
      <c r="K135" s="237" t="str">
        <f t="shared" si="31"/>
        <v>4007/4008</v>
      </c>
      <c r="L135" s="245" t="str">
        <f>VLOOKUP(A135,'Trips&amp;Operators'!$C$1:$G$99911,5,FALSE)</f>
        <v>MOSES BRADLEY</v>
      </c>
      <c r="M135" s="224">
        <f t="shared" si="32"/>
        <v>2.5104166663368233E-2</v>
      </c>
      <c r="N135" s="225">
        <f t="shared" si="53"/>
        <v>36.149999995250255</v>
      </c>
      <c r="O135" s="225"/>
      <c r="P135" s="225"/>
      <c r="Q135" s="228"/>
      <c r="R135" s="242"/>
      <c r="S135" s="249">
        <f t="shared" si="54"/>
        <v>1</v>
      </c>
      <c r="T135" s="242" t="str">
        <f t="shared" si="33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4"/>
        <v>https://d0f6bd738d7f1b3e5a7ca70fe4ff75f0.us-east-1.aws.found.io/app/kibana#/discover/Steve-Slow-Train-Analysis-(2080s-and-2083s)?_g=(refreshInterval:(display:Off,pause:!f,section:0,value:0),time:(from:'2017-12-06T17:54:29-0700',mode:absolute,to:'2017-12-06T20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247" t="str">
        <f>IF(AA135&lt;VLOOKUP(AG135,Variables!$AC$3:$AD$8,2,FALSE),"Y","N")</f>
        <v>N</v>
      </c>
      <c r="X135" s="247">
        <f t="shared" si="55"/>
        <v>1</v>
      </c>
      <c r="Y135" s="247">
        <f t="shared" si="51"/>
        <v>4.58E-2</v>
      </c>
      <c r="Z135" s="247">
        <f t="shared" si="52"/>
        <v>23.3261</v>
      </c>
      <c r="AA135" s="247">
        <f t="shared" si="38"/>
        <v>23.2803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9"/>
        <v>221</v>
      </c>
      <c r="AE135" s="235" t="str">
        <f t="shared" si="40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35" s="234" t="str">
        <f t="shared" si="41"/>
        <v>"C:\Program Files (x86)\AstroGrep\AstroGrep.exe" /e /r /s /spath="%USERPROFILE%\AppData\Local\Temp\OnboardLogs" /stypes="app*4008*20171207*" /stext=" 02:.+((SYSTEM_STATE.+slice.+state.+changed )|(ment ac)|(multiple cpu faults)|(system.+state.+changed )|(\[timeout)|(PRM\|1\|D)|(kpr)|(kdp)|(train st.+moving)|(\|lc)|(penalty))"</v>
      </c>
      <c r="AG135" s="244" t="str">
        <f t="shared" si="42"/>
        <v>EC</v>
      </c>
      <c r="AH135" s="236" t="str">
        <f t="shared" si="43"/>
        <v>"%USERPROFILE%\Documents\GitHub\eaglep3\Utilities\RefineRTDCRunTimes.py" --tripid 221-06 --locoid 4008 --swversion DE.1.0.9.0 --startMP 204:458 --initTime 2017-12-06T18:54:29 --startdatetime 2017-12-06T19:00:20 --delay 69 --endMP 204:233261 --enddatetime 2017-12-06T19:36:29 --enforcementcount 0 &gt;&gt;%USERPROFILE%\Documents\GitHub\eaglep3-reporting\EC\2017-12-06-refined-times.txt</v>
      </c>
      <c r="AI135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{"issue":{"subject":"","project_id":79,"tracker_id":40,"status_id":1,"priority_id":2,"assigned_to_id":338,"start_date":"2017-12-06","description":"","custom_fields":[{"id":1,"name":"Subdivision","value":"EC"},{"id":4,"name":"Milepost","value":"23.3261"},{"id":17,"name":"Train ID","value":"221-06"},{"id":16,"name":"Locomotive ID","value":"4008"},{"id":130,"name":"Impact","value":""},{"id":150,"name":"Time of Event (Mountain Time)","value":"19:36:29"},{"id":151,"name":"Denver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5"/>
        <v>start /low /b %USERPROFILE%\Documents\GitHub\eaglep3\Utilities\DownloadLogsFromS3.py --loco 4008 --day 2017-12-06</v>
      </c>
      <c r="AN135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7"/>
        <v>https://d0f6bd738d7f1b3e5a7ca70fe4ff75f0.us-east-1.aws.found.io/app/kibana#/discover/Steve-Slow-Train-Analysis-(2080s-and-2083s)?_g=(refreshInterval:(display:Off,pause:!f,section:0,value:0),time:(from:'2017-12-06T17:54:29-0700',mode:absolute,to:'2017-12-06T20:36:29-0700'))&amp;_a=(columns:!('Message%20ID',Summary),filters:!(),index:'emp_*',interval:auto,query:(query_string:(analyze_wildcard:!t,query:'%22rtdc.l.rtdc.4008%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851</v>
      </c>
      <c r="B136" s="225">
        <v>4007</v>
      </c>
      <c r="C136" s="227" t="s">
        <v>192</v>
      </c>
      <c r="D136" s="227" t="s">
        <v>981</v>
      </c>
      <c r="E136" s="226">
        <v>43075.828518518516</v>
      </c>
      <c r="F136" s="226">
        <v>43075.831620370373</v>
      </c>
      <c r="G136" s="225">
        <v>81</v>
      </c>
      <c r="H136" s="227" t="s">
        <v>982</v>
      </c>
      <c r="I136" s="226">
        <v>43075.857094907406</v>
      </c>
      <c r="J136" s="225">
        <v>0</v>
      </c>
      <c r="K136" s="237" t="str">
        <f t="shared" si="31"/>
        <v>4007/4008</v>
      </c>
      <c r="L136" s="245" t="str">
        <f>VLOOKUP(A136,'Trips&amp;Operators'!$C$1:$G$99911,5,FALSE)</f>
        <v>MOSES BRADLEY</v>
      </c>
      <c r="M136" s="224">
        <f t="shared" si="32"/>
        <v>2.5474537033005618E-2</v>
      </c>
      <c r="N136" s="225">
        <f t="shared" si="53"/>
        <v>36.683333327528089</v>
      </c>
      <c r="O136" s="225"/>
      <c r="P136" s="225"/>
      <c r="Q136" s="228"/>
      <c r="R136" s="242"/>
      <c r="S136" s="249">
        <f t="shared" si="54"/>
        <v>1</v>
      </c>
      <c r="T136" s="242" t="str">
        <f t="shared" si="33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4"/>
        <v>https://d0f6bd738d7f1b3e5a7ca70fe4ff75f0.us-east-1.aws.found.io/app/kibana#/discover/Steve-Slow-Train-Analysis-(2080s-and-2083s)?_g=(refreshInterval:(display:Off,pause:!f,section:0,value:0),time:(from:'2017-12-06T18:53:04-0700',mode:absolute,to:'2017-12-06T21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247" t="str">
        <f>IF(AA136&lt;VLOOKUP(AG136,Variables!$AC$3:$AD$8,2,FALSE),"Y","N")</f>
        <v>N</v>
      </c>
      <c r="X136" s="247">
        <f t="shared" si="55"/>
        <v>1</v>
      </c>
      <c r="Y136" s="247">
        <f t="shared" si="51"/>
        <v>23.295300000000001</v>
      </c>
      <c r="Z136" s="247">
        <f t="shared" si="52"/>
        <v>1.61E-2</v>
      </c>
      <c r="AA136" s="247">
        <f t="shared" si="38"/>
        <v>23.279199999999999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9"/>
        <v>222</v>
      </c>
      <c r="AE136" s="235" t="str">
        <f t="shared" si="40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36" s="234" t="str">
        <f t="shared" si="41"/>
        <v>"C:\Program Files (x86)\AstroGrep\AstroGrep.exe" /e /r /s /spath="%USERPROFILE%\AppData\Local\Temp\OnboardLogs" /stypes="app*4007*20171207*" /stext=" 03:.+((SYSTEM_STATE.+slice.+state.+changed )|(ment ac)|(multiple cpu faults)|(system.+state.+changed )|(\[timeout)|(PRM\|1\|D)|(kpr)|(kdp)|(train st.+moving)|(\|lc)|(penalty))"</v>
      </c>
      <c r="AG136" s="244" t="str">
        <f t="shared" si="42"/>
        <v>EC</v>
      </c>
      <c r="AH136" s="236" t="str">
        <f t="shared" si="43"/>
        <v>"%USERPROFILE%\Documents\GitHub\eaglep3\Utilities\RefineRTDCRunTimes.py" --tripid 222-06 --locoid 4007 --swversion DE.1.0.9.0 --startMP 204:232953 --initTime 2017-12-06T19:53:04 --startdatetime 2017-12-06T19:57:32 --delay 81 --endMP 204:161 --enddatetime 2017-12-06T20:34:13 --enforcementcount 0 &gt;&gt;%USERPROFILE%\Documents\GitHub\eaglep3-reporting\EC\2017-12-06-refined-times.txt</v>
      </c>
      <c r="AI136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{"issue":{"subject":"","project_id":79,"tracker_id":40,"status_id":1,"priority_id":2,"assigned_to_id":338,"start_date":"2017-12-06","description":"","custom_fields":[{"id":1,"name":"Subdivision","value":"EC"},{"id":4,"name":"Milepost","value":"0.0161"},{"id":17,"name":"Train ID","value":"222-06"},{"id":16,"name":"Locomotive ID","value":"4007"},{"id":130,"name":"Impact","value":""},{"id":150,"name":"Time of Event (Mountain Time)","value":"20:34:13"},{"id":151,"name":"Denver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5"/>
        <v>start /low /b %USERPROFILE%\Documents\GitHub\eaglep3\Utilities\DownloadLogsFromS3.py --loco 4007 --day 2017-12-06</v>
      </c>
      <c r="AN136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7"/>
        <v>https://d0f6bd738d7f1b3e5a7ca70fe4ff75f0.us-east-1.aws.found.io/app/kibana#/discover/Steve-Slow-Train-Analysis-(2080s-and-2083s)?_g=(refreshInterval:(display:Off,pause:!f,section:0,value:0),time:(from:'2017-12-06T18:53:04-0700',mode:absolute,to:'2017-12-06T21:34:13-0700'))&amp;_a=(columns:!('Message%20ID',Summary),filters:!(),index:'emp_*',interval:auto,query:(query_string:(analyze_wildcard:!t,query:'%22rtdc.l.rtdc.4007%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847</v>
      </c>
      <c r="B137" s="225">
        <v>4010</v>
      </c>
      <c r="C137" s="227" t="s">
        <v>192</v>
      </c>
      <c r="D137" s="227" t="s">
        <v>532</v>
      </c>
      <c r="E137" s="226">
        <v>43075.806712962964</v>
      </c>
      <c r="F137" s="226">
        <v>43075.8128125</v>
      </c>
      <c r="G137" s="225">
        <v>77</v>
      </c>
      <c r="H137" s="227" t="s">
        <v>607</v>
      </c>
      <c r="I137" s="226">
        <v>43075.837604166663</v>
      </c>
      <c r="J137" s="225">
        <v>0</v>
      </c>
      <c r="K137" s="237" t="str">
        <f t="shared" si="31"/>
        <v>4009/4010</v>
      </c>
      <c r="L137" s="245" t="str">
        <f>VLOOKUP(A137,'Trips&amp;Operators'!$C$1:$G$99911,5,FALSE)</f>
        <v>RESPASS AARON</v>
      </c>
      <c r="M137" s="224">
        <f t="shared" si="32"/>
        <v>2.4791666663077194E-2</v>
      </c>
      <c r="N137" s="225">
        <f t="shared" si="53"/>
        <v>35.69999999483116</v>
      </c>
      <c r="O137" s="225"/>
      <c r="P137" s="225"/>
      <c r="Q137" s="228"/>
      <c r="R137" s="242"/>
      <c r="S137" s="249">
        <f t="shared" si="54"/>
        <v>1</v>
      </c>
      <c r="T137" s="242" t="str">
        <f t="shared" si="33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4"/>
        <v>https://d0f6bd738d7f1b3e5a7ca70fe4ff75f0.us-east-1.aws.found.io/app/kibana#/discover/Steve-Slow-Train-Analysis-(2080s-and-2083s)?_g=(refreshInterval:(display:Off,pause:!f,section:0,value:0),time:(from:'2017-12-06T18:21:40-0700',mode:absolute,to:'2017-12-06T21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47" t="str">
        <f>IF(AA137&lt;VLOOKUP(AG137,Variables!$AC$3:$AD$8,2,FALSE),"Y","N")</f>
        <v>N</v>
      </c>
      <c r="X137" s="247">
        <f t="shared" si="55"/>
        <v>1</v>
      </c>
      <c r="Y137" s="247">
        <f t="shared" si="51"/>
        <v>5.5100000000000003E-2</v>
      </c>
      <c r="Z137" s="247">
        <f t="shared" si="52"/>
        <v>23.325099999999999</v>
      </c>
      <c r="AA137" s="247">
        <f t="shared" si="38"/>
        <v>23.27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9"/>
        <v>223</v>
      </c>
      <c r="AE137" s="235" t="str">
        <f t="shared" si="40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37" s="234" t="str">
        <f t="shared" si="41"/>
        <v>"C:\Program Files (x86)\AstroGrep\AstroGrep.exe" /e /r /s /spath="%USERPROFILE%\AppData\Local\Temp\OnboardLogs" /stypes="app*4010*20171207*" /stext=" 03:.+((SYSTEM_STATE.+slice.+state.+changed )|(ment ac)|(multiple cpu faults)|(system.+state.+changed )|(\[timeout)|(PRM\|1\|D)|(kpr)|(kdp)|(train st.+moving)|(\|lc)|(penalty))"</v>
      </c>
      <c r="AG137" s="244" t="str">
        <f t="shared" si="42"/>
        <v>EC</v>
      </c>
      <c r="AH137" s="236" t="str">
        <f t="shared" si="43"/>
        <v>"%USERPROFILE%\Documents\GitHub\eaglep3\Utilities\RefineRTDCRunTimes.py" --tripid 223-06 --locoid 4010 --swversion DE.1.0.9.0 --startMP 204:551 --initTime 2017-12-06T19:21:40 --startdatetime 2017-12-06T19:30:27 --delay 77 --endMP 204:233251 --enddatetime 2017-12-06T20:06:09 --enforcementcount 0 &gt;&gt;%USERPROFILE%\Documents\GitHub\eaglep3-reporting\EC\2017-12-06-refined-times.txt</v>
      </c>
      <c r="AI137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{"issue":{"subject":"","project_id":79,"tracker_id":40,"status_id":1,"priority_id":2,"assigned_to_id":338,"start_date":"2017-12-06","description":"","custom_fields":[{"id":1,"name":"Subdivision","value":"EC"},{"id":4,"name":"Milepost","value":"23.3251"},{"id":17,"name":"Train ID","value":"223-06"},{"id":16,"name":"Locomotive ID","value":"4010"},{"id":130,"name":"Impact","value":""},{"id":150,"name":"Time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5"/>
        <v>start /low /b %USERPROFILE%\Documents\GitHub\eaglep3\Utilities\DownloadLogsFromS3.py --loco 4010 --day 2017-12-06</v>
      </c>
      <c r="AN137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7"/>
        <v>https://d0f6bd738d7f1b3e5a7ca70fe4ff75f0.us-east-1.aws.found.io/app/kibana#/discover/Steve-Slow-Train-Analysis-(2080s-and-2083s)?_g=(refreshInterval:(display:Off,pause:!f,section:0,value:0),time:(from:'2017-12-06T18:21:40-0700',mode:absolute,to:'2017-12-06T21:06:09-0700'))&amp;_a=(columns:!('Message%20ID',Summary),filters:!(),index:'emp_*',interval:auto,query:(query_string:(analyze_wildcard:!t,query:'%22rtdc.l.rtdc.4010%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855</v>
      </c>
      <c r="B138" s="225">
        <v>4009</v>
      </c>
      <c r="C138" s="227" t="s">
        <v>192</v>
      </c>
      <c r="D138" s="227" t="s">
        <v>913</v>
      </c>
      <c r="E138" s="226">
        <v>43075.845648148148</v>
      </c>
      <c r="F138" s="226">
        <v>43075.852442129632</v>
      </c>
      <c r="G138" s="225">
        <v>70</v>
      </c>
      <c r="H138" s="227" t="s">
        <v>983</v>
      </c>
      <c r="I138" s="226">
        <v>43075.878750000003</v>
      </c>
      <c r="J138" s="225">
        <v>0</v>
      </c>
      <c r="K138" s="237" t="str">
        <f t="shared" si="31"/>
        <v>4009/4010</v>
      </c>
      <c r="L138" s="245" t="str">
        <f>VLOOKUP(A138,'Trips&amp;Operators'!$C$1:$G$99911,5,FALSE)</f>
        <v>RESPASS AARON</v>
      </c>
      <c r="M138" s="224">
        <f t="shared" si="32"/>
        <v>2.6307870371965691E-2</v>
      </c>
      <c r="N138" s="225">
        <f t="shared" si="53"/>
        <v>37.883333335630596</v>
      </c>
      <c r="O138" s="225"/>
      <c r="P138" s="225"/>
      <c r="Q138" s="228"/>
      <c r="R138" s="242"/>
      <c r="S138" s="249">
        <f t="shared" si="54"/>
        <v>1</v>
      </c>
      <c r="T138" s="242" t="str">
        <f t="shared" si="33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4"/>
        <v>https://d0f6bd738d7f1b3e5a7ca70fe4ff75f0.us-east-1.aws.found.io/app/kibana#/discover/Steve-Slow-Train-Analysis-(2080s-and-2083s)?_g=(refreshInterval:(display:Off,pause:!f,section:0,value:0),time:(from:'2017-12-06T19:17:44-0700',mode:absolute,to:'2017-12-06T22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 t="shared" si="51"/>
        <v>23.294</v>
      </c>
      <c r="Z138" s="247">
        <f t="shared" si="52"/>
        <v>2.5100000000000001E-2</v>
      </c>
      <c r="AA138" s="247">
        <f t="shared" si="38"/>
        <v>23.268900000000002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9"/>
        <v>224</v>
      </c>
      <c r="AE138" s="235" t="str">
        <f t="shared" si="40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38" s="234" t="str">
        <f t="shared" si="41"/>
        <v>"C:\Program Files (x86)\AstroGrep\AstroGrep.exe" /e /r /s /spath="%USERPROFILE%\AppData\Local\Temp\OnboardLogs" /stypes="app*4009*20171207*" /stext=" 04:.+((SYSTEM_STATE.+slice.+state.+changed )|(ment ac)|(multiple cpu faults)|(system.+state.+changed )|(\[timeout)|(PRM\|1\|D)|(kpr)|(kdp)|(train st.+moving)|(\|lc)|(penalty))"</v>
      </c>
      <c r="AG138" s="244" t="str">
        <f t="shared" si="42"/>
        <v>EC</v>
      </c>
      <c r="AH138" s="236" t="str">
        <f t="shared" si="43"/>
        <v>"%USERPROFILE%\Documents\GitHub\eaglep3\Utilities\RefineRTDCRunTimes.py" --tripid 224-06 --locoid 4009 --swversion DE.1.0.9.0 --startMP 204:232940 --initTime 2017-12-06T20:17:44 --startdatetime 2017-12-06T20:27:31 --delay 70 --endMP 204:251 --enddatetime 2017-12-06T21:05:24 --enforcementcount 0 &gt;&gt;%USERPROFILE%\Documents\GitHub\eaglep3-reporting\EC\2017-12-06-refined-times.txt</v>
      </c>
      <c r="AI138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{"issue":{"subject":"","project_id":79,"tracker_id":40,"status_id":1,"priority_id":2,"assigned_to_id":338,"start_date":"2017-12-06","description":"","custom_fields":[{"id":1,"name":"Subdivision","value":"EC"},{"id":4,"name":"Milepost","value":"0.0251"},{"id":17,"name":"Train ID","value":"224-06"},{"id":16,"name":"Locomotive ID","value":"4009"},{"id":130,"name":"Impact","value":""},{"id":150,"name":"Time of Event (Mountain Time)","value":"21:05:24"},{"id":151,"name":"Denver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5"/>
        <v>start /low /b %USERPROFILE%\Documents\GitHub\eaglep3\Utilities\DownloadLogsFromS3.py --loco 4009 --day 2017-12-06</v>
      </c>
      <c r="AN138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7"/>
        <v>https://d0f6bd738d7f1b3e5a7ca70fe4ff75f0.us-east-1.aws.found.io/app/kibana#/discover/Steve-Slow-Train-Analysis-(2080s-and-2083s)?_g=(refreshInterval:(display:Off,pause:!f,section:0,value:0),time:(from:'2017-12-06T19:17:44-0700',mode:absolute,to:'2017-12-06T22:05:24-0700'))&amp;_a=(columns:!('Message%20ID',Summary),filters:!(),index:'emp_*',interval:auto,query:(query_string:(analyze_wildcard:!t,query:'%22rtdc.l.rtdc.4009%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852</v>
      </c>
      <c r="B139" s="225">
        <v>4032</v>
      </c>
      <c r="C139" s="227" t="s">
        <v>192</v>
      </c>
      <c r="D139" s="227" t="s">
        <v>492</v>
      </c>
      <c r="E139" s="226">
        <v>43075.829953703702</v>
      </c>
      <c r="F139" s="226">
        <v>43075.833541666667</v>
      </c>
      <c r="G139" s="225">
        <v>99</v>
      </c>
      <c r="H139" s="227" t="s">
        <v>504</v>
      </c>
      <c r="I139" s="226">
        <v>43075.859212962961</v>
      </c>
      <c r="J139" s="225">
        <v>0</v>
      </c>
      <c r="K139" s="237" t="str">
        <f t="shared" si="31"/>
        <v>4031/4032</v>
      </c>
      <c r="L139" s="245" t="str">
        <f>VLOOKUP(A139,'Trips&amp;Operators'!$C$1:$G$99911,5,FALSE)</f>
        <v>LONG FULLER</v>
      </c>
      <c r="M139" s="224">
        <f t="shared" si="32"/>
        <v>2.5671296294603962E-2</v>
      </c>
      <c r="N139" s="225">
        <f t="shared" si="53"/>
        <v>36.966666664229706</v>
      </c>
      <c r="O139" s="225"/>
      <c r="P139" s="225"/>
      <c r="Q139" s="228"/>
      <c r="R139" s="242"/>
      <c r="S139" s="249">
        <f t="shared" si="54"/>
        <v>1</v>
      </c>
      <c r="T139" s="242" t="str">
        <f t="shared" si="33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4"/>
        <v>https://d0f6bd738d7f1b3e5a7ca70fe4ff75f0.us-east-1.aws.found.io/app/kibana#/discover/Steve-Slow-Train-Analysis-(2080s-and-2083s)?_g=(refreshInterval:(display:Off,pause:!f,section:0,value:0),time:(from:'2017-12-06T18:55:08-0700',mode:absolute,to:'2017-12-06T21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 t="shared" si="51"/>
        <v>4.82E-2</v>
      </c>
      <c r="Z139" s="247">
        <f t="shared" si="52"/>
        <v>23.3264</v>
      </c>
      <c r="AA139" s="247">
        <f t="shared" si="38"/>
        <v>23.278199999999998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9"/>
        <v>225</v>
      </c>
      <c r="AE139" s="235" t="str">
        <f t="shared" si="40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39" s="234" t="str">
        <f t="shared" si="41"/>
        <v>"C:\Program Files (x86)\AstroGrep\AstroGrep.exe" /e /r /s /spath="%USERPROFILE%\AppData\Local\Temp\OnboardLogs" /stypes="app*4032*20171207*" /stext=" 03:.+((SYSTEM_STATE.+slice.+state.+changed )|(ment ac)|(multiple cpu faults)|(system.+state.+changed )|(\[timeout)|(PRM\|1\|D)|(kpr)|(kdp)|(train st.+moving)|(\|lc)|(penalty))"</v>
      </c>
      <c r="AG139" s="244" t="str">
        <f t="shared" si="42"/>
        <v>EC</v>
      </c>
      <c r="AH139" s="236" t="str">
        <f t="shared" si="43"/>
        <v>"%USERPROFILE%\Documents\GitHub\eaglep3\Utilities\RefineRTDCRunTimes.py" --tripid 225-06 --locoid 4032 --swversion DE.1.0.9.0 --startMP 204:482 --initTime 2017-12-06T19:55:08 --startdatetime 2017-12-06T20:00:18 --delay 99 --endMP 204:233264 --enddatetime 2017-12-06T20:37:16 --enforcementcount 0 &gt;&gt;%USERPROFILE%\Documents\GitHub\eaglep3-reporting\EC\2017-12-06-refined-times.txt</v>
      </c>
      <c r="AI139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{"issue":{"subject":"","project_id":79,"tracker_id":40,"status_id":1,"priority_id":2,"assigned_to_id":338,"start_date":"2017-12-06","description":"","custom_fields":[{"id":1,"name":"Subdivision","value":"EC"},{"id":4,"name":"Milepost","value":"23.3264"},{"id":17,"name":"Train ID","value":"225-06"},{"id":16,"name":"Locomotive ID","value":"4032"},{"id":130,"name":"Impact","value":""},{"id":150,"name":"Time of Event (Mountain Time)","value":"20:37:16"},{"id":151,"name":"Denver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5"/>
        <v>start /low /b %USERPROFILE%\Documents\GitHub\eaglep3\Utilities\DownloadLogsFromS3.py --loco 4032 --day 2017-12-06</v>
      </c>
      <c r="AN139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7"/>
        <v>https://d0f6bd738d7f1b3e5a7ca70fe4ff75f0.us-east-1.aws.found.io/app/kibana#/discover/Steve-Slow-Train-Analysis-(2080s-and-2083s)?_g=(refreshInterval:(display:Off,pause:!f,section:0,value:0),time:(from:'2017-12-06T18:55:08-0700',mode:absolute,to:'2017-12-06T21:37:16-0700'))&amp;_a=(columns:!('Message%20ID',Summary),filters:!(),index:'emp_*',interval:auto,query:(query_string:(analyze_wildcard:!t,query:'%22rtdc.l.rtdc.4032%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659</v>
      </c>
      <c r="B140" s="225">
        <v>4031</v>
      </c>
      <c r="C140" s="227" t="s">
        <v>192</v>
      </c>
      <c r="D140" s="227" t="s">
        <v>984</v>
      </c>
      <c r="E140" s="226">
        <v>43075.868750000001</v>
      </c>
      <c r="F140" s="226">
        <v>43075.873124999998</v>
      </c>
      <c r="G140" s="225">
        <v>84</v>
      </c>
      <c r="H140" s="227" t="s">
        <v>412</v>
      </c>
      <c r="I140" s="226">
        <v>43075.901782407411</v>
      </c>
      <c r="J140" s="225">
        <v>0</v>
      </c>
      <c r="K140" s="237" t="str">
        <f t="shared" si="31"/>
        <v>4031/4032</v>
      </c>
      <c r="L140" s="245" t="str">
        <f>VLOOKUP(A140,'Trips&amp;Operators'!$C$1:$G$99911,5,FALSE)</f>
        <v>LONG FULLER</v>
      </c>
      <c r="M140" s="224">
        <f t="shared" si="32"/>
        <v>2.8657407412538305E-2</v>
      </c>
      <c r="N140" s="225">
        <f t="shared" si="53"/>
        <v>41.266666674055159</v>
      </c>
      <c r="O140" s="225"/>
      <c r="P140" s="225"/>
      <c r="Q140" s="228"/>
      <c r="R140" s="242"/>
      <c r="S140" s="249">
        <f t="shared" si="54"/>
        <v>1</v>
      </c>
      <c r="T140" s="242" t="str">
        <f t="shared" si="33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4"/>
        <v>https://d0f6bd738d7f1b3e5a7ca70fe4ff75f0.us-east-1.aws.found.io/app/kibana#/discover/Steve-Slow-Train-Analysis-(2080s-and-2083s)?_g=(refreshInterval:(display:Off,pause:!f,section:0,value:0),time:(from:'2017-12-06T19:51:00-0700',mode:absolute,to:'2017-12-06T22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 t="shared" si="51"/>
        <v>23.294899999999998</v>
      </c>
      <c r="Z140" s="247">
        <f t="shared" si="52"/>
        <v>2.12E-2</v>
      </c>
      <c r="AA140" s="247">
        <f t="shared" si="38"/>
        <v>23.273699999999998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9"/>
        <v>226</v>
      </c>
      <c r="AE140" s="235" t="str">
        <f t="shared" si="40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40" s="234" t="str">
        <f t="shared" si="41"/>
        <v>"C:\Program Files (x86)\AstroGrep\AstroGrep.exe" /e /r /s /spath="%USERPROFILE%\AppData\Local\Temp\OnboardLogs" /stypes="app*4031*20171207*" /stext=" 04:.+((SYSTEM_STATE.+slice.+state.+changed )|(ment ac)|(multiple cpu faults)|(system.+state.+changed )|(\[timeout)|(PRM\|1\|D)|(kpr)|(kdp)|(train st.+moving)|(\|lc)|(penalty))"</v>
      </c>
      <c r="AG140" s="244" t="str">
        <f t="shared" si="42"/>
        <v>EC</v>
      </c>
      <c r="AH140" s="236" t="str">
        <f t="shared" si="43"/>
        <v>"%USERPROFILE%\Documents\GitHub\eaglep3\Utilities\RefineRTDCRunTimes.py" --tripid 226-06 --locoid 4031 --swversion DE.1.0.9.0 --startMP 204:232949 --initTime 2017-12-06T20:51:00 --startdatetime 2017-12-06T20:57:18 --delay 84 --endMP 204:212 --enddatetime 2017-12-06T21:38:34 --enforcementcount 0 &gt;&gt;%USERPROFILE%\Documents\GitHub\eaglep3-reporting\EC\2017-12-06-refined-times.txt</v>
      </c>
      <c r="AI140" s="238" t="str">
        <f t="shared" si="44"/>
        <v>echo {"issue":{"subject":"","project_id":79,"tracker_id":40,"status_id":1,"priority_id":2,"assigned_to_id":338,"start_date":"2017-12-06","description":"","custom_fields":[{"id":1,"name":"Subdivision","value":"EC"},{"id":4,"name":"Milepost","value":"0.0212"},{"id":17,"name":"Train ID","value":"226-06"},{"id":16,"name":"Locomotive ID","value":"4031"},{"id":130,"name":"Impact","value":""},{"id":150,"name":"Time of Event (Mountain Time)","value":"21:38:34"},{"id":151,"name":"Denver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45"/>
        <v>start /low /b %USERPROFILE%\Documents\GitHub\eaglep3\Utilities\DownloadLogsFromS3.py --loco 4031 --day 2017-12-06</v>
      </c>
      <c r="AN140" s="241" t="str">
        <f t="shared" si="4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7"/>
        <v>https://d0f6bd738d7f1b3e5a7ca70fe4ff75f0.us-east-1.aws.found.io/app/kibana#/discover/Steve-Slow-Train-Analysis-(2080s-and-2083s)?_g=(refreshInterval:(display:Off,pause:!f,section:0,value:0),time:(from:'2017-12-06T19:51:00-0700',mode:absolute,to:'2017-12-06T22:38:34-0700'))&amp;_a=(columns:!('Message%20ID',Summary),filters:!(),index:'emp_*',interval:auto,query:(query_string:(analyze_wildcard:!t,query:'%22rtdc.l.rtdc.4031%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854</v>
      </c>
      <c r="B141" s="225">
        <v>4064</v>
      </c>
      <c r="C141" s="227" t="s">
        <v>192</v>
      </c>
      <c r="D141" s="227" t="s">
        <v>984</v>
      </c>
      <c r="E141" s="226">
        <v>43075.868750000001</v>
      </c>
      <c r="F141" s="226">
        <v>43075.854525462964</v>
      </c>
      <c r="G141" s="225">
        <v>84</v>
      </c>
      <c r="H141" s="227" t="s">
        <v>412</v>
      </c>
      <c r="I141" s="226">
        <v>43075.880219907405</v>
      </c>
      <c r="J141" s="225">
        <v>0</v>
      </c>
      <c r="K141" s="237" t="str">
        <f t="shared" ref="K141:K204" si="56">IF(ISEVEN(B141),(B141-1)&amp;"/"&amp;B141,B141&amp;"/"&amp;(B141+1))</f>
        <v>4063/4064</v>
      </c>
      <c r="L141" s="245" t="str">
        <f>VLOOKUP(A141,'Trips&amp;Operators'!$C$1:$G$99911,5,FALSE)</f>
        <v>ANDERS STEVEN</v>
      </c>
      <c r="M141" s="224">
        <f t="shared" ref="M141:M204" si="57">I141-F141</f>
        <v>2.569444444088731E-2</v>
      </c>
      <c r="N141" s="225">
        <f t="shared" si="53"/>
        <v>36.999999994877726</v>
      </c>
      <c r="O141" s="225"/>
      <c r="P141" s="225"/>
      <c r="Q141" s="228"/>
      <c r="R141" s="242"/>
      <c r="S141" s="249">
        <f t="shared" si="54"/>
        <v>1</v>
      </c>
      <c r="T141" s="242" t="str">
        <f t="shared" ref="T141:T204" si="58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-06T19:51:00-0700',mode:absolute,to:'2017-12-06T22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1" s="247" t="str">
        <f>IF(AA141&lt;VLOOKUP(AG141,Variables!$AC$3:$AD$8,2,FALSE),"Y","N")</f>
        <v>N</v>
      </c>
      <c r="X141" s="247">
        <f t="shared" ref="X141:X146" si="60">VALUE(LEFT(AD141,4))-VALUE(LEFT(AD140,4))</f>
        <v>1</v>
      </c>
      <c r="Y141" s="247">
        <v>4.82E-2</v>
      </c>
      <c r="Z141" s="247">
        <v>23.3264</v>
      </c>
      <c r="AA141" s="247">
        <f t="shared" ref="AA141:AA204" si="61">ABS(Z141-Y141)</f>
        <v>23.278199999999998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2">VALUE(LEFT(A141,LEN(A141)-3))</f>
        <v>227</v>
      </c>
      <c r="AE141" s="235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141" s="234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/stypes="app*4064*20171207*"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5">DetSubdiv(A141)</f>
        <v>EC</v>
      </c>
      <c r="AH141" s="236" t="str">
        <f t="shared" ref="AH141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227-06 --locoid 4064 --swversion DE.1.0.9.0 --startMP 204:232949 --initTime 2017-12-06T20:51:00 --startdatetime 2017-12-06T20:30:31 --delay 84 --endMP 204:212 --enddatetime 2017-12-06T21:07:31 --enforcementcount 0 &gt;&gt;%USERPROFILE%\Documents\GitHub\eaglep3-reporting\EC\2017-12-06-refined-times.txt</v>
      </c>
      <c r="AI141" s="238" t="str">
        <f t="shared" ref="AI141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{"issue":{"subject":"","project_id":79,"tracker_id":40,"status_id":1,"priority_id":2,"assigned_to_id":338,"start_date":"2017-12-06","description":"","custom_fields":[{"id":1,"name":"Subdivision","value":"EC"},{"id":4,"name":"Milepost","value":"23.3264"},{"id":17,"name":"Train ID","value":"227-06"},{"id":16,"name":"Locomotive ID","value":"4064"},{"id":130,"name":"Impact","value":""},{"id":150,"name":"Time of Event (Mountain Time)","value":"21:07:31"},{"id":151,"name":"Denver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ref="AM141" si="68">"start /low /b "&amp;dls3logs&amp;" --loco "&amp;B141&amp;" --day "&amp;TEXT(F141,"YYYY-MM-DD")</f>
        <v>start /low /b %USERPROFILE%\Documents\GitHub\eaglep3\Utilities\DownloadLogsFromS3.py --loco 4064 --day 2017-12-06</v>
      </c>
      <c r="AN141" s="241" t="str">
        <f t="shared" ref="AN141" si="6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ref="AO141" si="7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-06T19:51:00-0700',mode:absolute,to:'2017-12-06T22:07:31-0700'))&amp;_a=(columns:!('Message%20ID',Summary),filters:!(),index:'emp_*',interval:auto,query:(query_string:(analyze_wildcard:!t,query:'%22rtdc.l.rtdc.4064%22')),sort:!(Time.ISO8601,asc))</v>
      </c>
    </row>
    <row r="142" spans="1:91" s="20" customFormat="1" x14ac:dyDescent="0.25">
      <c r="A142" s="229" t="s">
        <v>660</v>
      </c>
      <c r="B142" s="225">
        <v>4063</v>
      </c>
      <c r="C142" s="227" t="s">
        <v>192</v>
      </c>
      <c r="D142" s="227" t="s">
        <v>913</v>
      </c>
      <c r="E142" s="226">
        <v>43075.891967592594</v>
      </c>
      <c r="F142" s="226">
        <v>43075.89398148148</v>
      </c>
      <c r="G142" s="225">
        <v>51</v>
      </c>
      <c r="H142" s="227" t="s">
        <v>900</v>
      </c>
      <c r="I142" s="226">
        <v>43075.921319444446</v>
      </c>
      <c r="J142" s="225">
        <v>0</v>
      </c>
      <c r="K142" s="237" t="str">
        <f t="shared" si="56"/>
        <v>4063/4064</v>
      </c>
      <c r="L142" s="245" t="str">
        <f>VLOOKUP(A142,'Trips&amp;Operators'!$C$1:$G$99911,5,FALSE)</f>
        <v>ANDERS STEVEN</v>
      </c>
      <c r="M142" s="224">
        <f t="shared" si="57"/>
        <v>2.7337962965248153E-2</v>
      </c>
      <c r="N142" s="225">
        <f t="shared" si="53"/>
        <v>39.36666666995734</v>
      </c>
      <c r="O142" s="225"/>
      <c r="P142" s="225"/>
      <c r="Q142" s="228"/>
      <c r="R142" s="242"/>
      <c r="S142" s="249">
        <f t="shared" si="54"/>
        <v>1</v>
      </c>
      <c r="T142" s="242" t="str">
        <f t="shared" si="58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59"/>
        <v>https://d0f6bd738d7f1b3e5a7ca70fe4ff75f0.us-east-1.aws.found.io/app/kibana#/discover/Steve-Slow-Train-Analysis-(2080s-and-2083s)?_g=(refreshInterval:(display:Off,pause:!f,section:0,value:0),time:(from:'2017-12-06T20:24:26-0700',mode:absolute,to:'2017-12-06T23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2" s="247" t="str">
        <f>IF(AA142&lt;VLOOKUP(AG142,Variables!$AC$3:$AD$8,2,FALSE),"Y","N")</f>
        <v>N</v>
      </c>
      <c r="X142" s="247">
        <f t="shared" si="60"/>
        <v>1</v>
      </c>
      <c r="Y142" s="247">
        <f t="shared" ref="Y142:Y156" si="71">RIGHT(D142,LEN(D142)-4)/10000</f>
        <v>23.294</v>
      </c>
      <c r="Z142" s="247">
        <f t="shared" ref="Z142:Z156" si="72">RIGHT(H142,LEN(H142)-4)/10000</f>
        <v>2.0500000000000001E-2</v>
      </c>
      <c r="AA142" s="247">
        <f t="shared" si="61"/>
        <v>23.273500000000002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2"/>
        <v>228</v>
      </c>
      <c r="AE142" s="235" t="str">
        <f t="shared" si="63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142" s="234" t="str">
        <f t="shared" si="64"/>
        <v>"C:\Program Files (x86)\AstroGrep\AstroGrep.exe" /e /r /s /spath="%USERPROFILE%\AppData\Local\Temp\OnboardLogs" /stypes="app*4063*20171207*" /stext=" 05:.+((SYSTEM_STATE.+slice.+state.+changed )|(ment ac)|(multiple cpu faults)|(system.+state.+changed )|(\[timeout)|(PRM\|1\|D)|(kpr)|(kdp)|(train st.+moving)|(\|lc)|(penalty))"</v>
      </c>
      <c r="AG142" s="244" t="str">
        <f t="shared" si="65"/>
        <v>EC</v>
      </c>
      <c r="AH142" s="236" t="str">
        <f t="shared" ref="AH142:AH210" si="7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228-06 --locoid 4063 --swversion DE.1.0.9.0 --startMP 204:232940 --initTime 2017-12-06T21:24:26 --startdatetime 2017-12-06T21:27:20 --delay 51 --endMP 204:205 --enddatetime 2017-12-06T22:06:42 --enforcementcount 0 &gt;&gt;%USERPROFILE%\Documents\GitHub\eaglep3-reporting\EC\2017-12-06-refined-times.txt</v>
      </c>
      <c r="AI142" s="238" t="str">
        <f t="shared" ref="AI142:AI210" si="7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{"issue":{"subject":"","project_id":79,"tracker_id":40,"status_id":1,"priority_id":2,"assigned_to_id":338,"start_date":"2017-12-06","description":"","custom_fields":[{"id":1,"name":"Subdivision","value":"EC"},{"id":4,"name":"Milepost","value":"0.0205"},{"id":17,"name":"Train ID","value":"228-06"},{"id":16,"name":"Locomotive ID","value":"4063"},{"id":130,"name":"Impact","value":""},{"id":150,"name":"Time of Event (Mountain Time)","value":"22:06:42"},{"id":151,"name":"Denver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ref="AM142:AM210" si="75">"start /low /b "&amp;dls3logs&amp;" --loco "&amp;B142&amp;" --day "&amp;TEXT(F142,"YYYY-MM-DD")</f>
        <v>start /low /b %USERPROFILE%\Documents\GitHub\eaglep3\Utilities\DownloadLogsFromS3.py --loco 4063 --day 2017-12-06</v>
      </c>
      <c r="AN142" s="241" t="str">
        <f t="shared" ref="AN142:AN210" si="7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10" si="7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-06T20:24:26-0700',mode:absolute,to:'2017-12-06T23:06:42-0700'))&amp;_a=(columns:!('Message%20ID',Summary),filters:!(),index:'emp_*',interval:auto,query:(query_string:(analyze_wildcard:!t,query:'%22rtdc.l.rtdc.4063%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857</v>
      </c>
      <c r="B143" s="225">
        <v>4008</v>
      </c>
      <c r="C143" s="227" t="s">
        <v>192</v>
      </c>
      <c r="D143" s="227" t="s">
        <v>506</v>
      </c>
      <c r="E143" s="226">
        <v>43075.867337962962</v>
      </c>
      <c r="F143" s="226">
        <v>43075.875254629631</v>
      </c>
      <c r="G143" s="225">
        <v>64</v>
      </c>
      <c r="H143" s="227" t="s">
        <v>537</v>
      </c>
      <c r="I143" s="226">
        <v>43075.899918981479</v>
      </c>
      <c r="J143" s="225">
        <v>0</v>
      </c>
      <c r="K143" s="237" t="str">
        <f t="shared" si="56"/>
        <v>4007/4008</v>
      </c>
      <c r="L143" s="245" t="str">
        <f>VLOOKUP(A143,'Trips&amp;Operators'!$C$1:$G$99911,5,FALSE)</f>
        <v>MOSES BRADLEY</v>
      </c>
      <c r="M143" s="224">
        <f t="shared" si="57"/>
        <v>2.4664351847604848E-2</v>
      </c>
      <c r="N143" s="225">
        <f t="shared" si="53"/>
        <v>35.516666660550982</v>
      </c>
      <c r="O143" s="225"/>
      <c r="P143" s="225"/>
      <c r="Q143" s="228"/>
      <c r="R143" s="242"/>
      <c r="S143" s="249">
        <f t="shared" si="54"/>
        <v>1</v>
      </c>
      <c r="T143" s="242" t="str">
        <f t="shared" si="58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59"/>
        <v>https://d0f6bd738d7f1b3e5a7ca70fe4ff75f0.us-east-1.aws.found.io/app/kibana#/discover/Steve-Slow-Train-Analysis-(2080s-and-2083s)?_g=(refreshInterval:(display:Off,pause:!f,section:0,value:0),time:(from:'2017-12-06T19:48:58-0700',mode:absolute,to:'2017-12-06T22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247" t="str">
        <f>IF(AA143&lt;VLOOKUP(AG143,Variables!$AC$3:$AD$8,2,FALSE),"Y","N")</f>
        <v>N</v>
      </c>
      <c r="X143" s="247">
        <f t="shared" si="60"/>
        <v>1</v>
      </c>
      <c r="Y143" s="247">
        <f t="shared" si="71"/>
        <v>4.7100000000000003E-2</v>
      </c>
      <c r="Z143" s="247">
        <f t="shared" si="72"/>
        <v>23.325900000000001</v>
      </c>
      <c r="AA143" s="247">
        <f t="shared" si="61"/>
        <v>23.2788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2"/>
        <v>229</v>
      </c>
      <c r="AE143" s="235" t="str">
        <f t="shared" si="63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43" s="234" t="str">
        <f t="shared" si="64"/>
        <v>"C:\Program Files (x86)\AstroGrep\AstroGrep.exe" /e /r /s /spath="%USERPROFILE%\AppData\Local\Temp\OnboardLogs" /stypes="app*4008*20171207*" /stext=" 04:.+((SYSTEM_STATE.+slice.+state.+changed )|(ment ac)|(multiple cpu faults)|(system.+state.+changed )|(\[timeout)|(PRM\|1\|D)|(kpr)|(kdp)|(train st.+moving)|(\|lc)|(penalty))"</v>
      </c>
      <c r="AG143" s="244" t="str">
        <f t="shared" si="65"/>
        <v>EC</v>
      </c>
      <c r="AH143" s="236" t="str">
        <f t="shared" si="73"/>
        <v>"%USERPROFILE%\Documents\GitHub\eaglep3\Utilities\RefineRTDCRunTimes.py" --tripid 229-06 --locoid 4008 --swversion DE.1.0.9.0 --startMP 204:471 --initTime 2017-12-06T20:48:58 --startdatetime 2017-12-06T21:00:22 --delay 64 --endMP 204:233259 --enddatetime 2017-12-06T21:35:53 --enforcementcount 0 &gt;&gt;%USERPROFILE%\Documents\GitHub\eaglep3-reporting\EC\2017-12-06-refined-times.txt</v>
      </c>
      <c r="AI143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{"issue":{"subject":"","project_id":79,"tracker_id":40,"status_id":1,"priority_id":2,"assigned_to_id":338,"start_date":"2017-12-06","description":"","custom_fields":[{"id":1,"name":"Subdivision","value":"EC"},{"id":4,"name":"Milepost","value":"23.3259"},{"id":17,"name":"Train ID","value":"229-06"},{"id":16,"name":"Locomotive ID","value":"4008"},{"id":130,"name":"Impact","value":""},{"id":150,"name":"Time of Event (Mountain Time)","value":"21:35:53"},{"id":151,"name":"Denver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75"/>
        <v>start /low /b %USERPROFILE%\Documents\GitHub\eaglep3\Utilities\DownloadLogsFromS3.py --loco 4008 --day 2017-12-06</v>
      </c>
      <c r="AN143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77"/>
        <v>https://d0f6bd738d7f1b3e5a7ca70fe4ff75f0.us-east-1.aws.found.io/app/kibana#/discover/Steve-Slow-Train-Analysis-(2080s-and-2083s)?_g=(refreshInterval:(display:Off,pause:!f,section:0,value:0),time:(from:'2017-12-06T19:48:58-0700',mode:absolute,to:'2017-12-06T22:35:53-0700'))&amp;_a=(columns:!('Message%20ID',Summary),filters:!(),index:'emp_*',interval:auto,query:(query_string:(analyze_wildcard:!t,query:'%22rtdc.l.rtdc.4008%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860</v>
      </c>
      <c r="B144" s="225">
        <v>4007</v>
      </c>
      <c r="C144" s="227" t="s">
        <v>192</v>
      </c>
      <c r="D144" s="227" t="s">
        <v>913</v>
      </c>
      <c r="E144" s="226">
        <v>43075.912442129629</v>
      </c>
      <c r="F144" s="226">
        <v>43075.914976851855</v>
      </c>
      <c r="G144" s="225">
        <v>59</v>
      </c>
      <c r="H144" s="227" t="s">
        <v>576</v>
      </c>
      <c r="I144" s="226">
        <v>43075.942037037035</v>
      </c>
      <c r="J144" s="225">
        <v>0</v>
      </c>
      <c r="K144" s="237" t="str">
        <f t="shared" si="56"/>
        <v>4007/4008</v>
      </c>
      <c r="L144" s="245" t="str">
        <f>VLOOKUP(A144,'Trips&amp;Operators'!$C$1:$G$99911,5,FALSE)</f>
        <v>MOSES BRADLEY</v>
      </c>
      <c r="M144" s="224">
        <f t="shared" si="57"/>
        <v>2.7060185180744156E-2</v>
      </c>
      <c r="N144" s="225">
        <f t="shared" si="53"/>
        <v>38.966666660271585</v>
      </c>
      <c r="O144" s="225"/>
      <c r="P144" s="225"/>
      <c r="Q144" s="228"/>
      <c r="R144" s="242"/>
      <c r="S144" s="249">
        <f t="shared" si="54"/>
        <v>1</v>
      </c>
      <c r="T144" s="242" t="str">
        <f t="shared" si="58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59"/>
        <v>https://d0f6bd738d7f1b3e5a7ca70fe4ff75f0.us-east-1.aws.found.io/app/kibana#/discover/Steve-Slow-Train-Analysis-(2080s-and-2083s)?_g=(refreshInterval:(display:Off,pause:!f,section:0,value:0),time:(from:'2017-12-06T20:53:55-0700',mode:absolute,to:'2017-12-06T23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247" t="str">
        <f>IF(AA144&lt;VLOOKUP(AG144,Variables!$AC$3:$AD$8,2,FALSE),"Y","N")</f>
        <v>N</v>
      </c>
      <c r="X144" s="247">
        <f t="shared" si="60"/>
        <v>1</v>
      </c>
      <c r="Y144" s="247">
        <f t="shared" si="71"/>
        <v>23.294</v>
      </c>
      <c r="Z144" s="247">
        <f t="shared" si="72"/>
        <v>1.8700000000000001E-2</v>
      </c>
      <c r="AA144" s="247">
        <f t="shared" si="61"/>
        <v>23.275300000000001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2"/>
        <v>230</v>
      </c>
      <c r="AE144" s="235" t="str">
        <f t="shared" si="63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44" s="234" t="str">
        <f t="shared" si="64"/>
        <v>"C:\Program Files (x86)\AstroGrep\AstroGrep.exe" /e /r /s /spath="%USERPROFILE%\AppData\Local\Temp\OnboardLogs" /stypes="app*4007*20171207*" /stext=" 05:.+((SYSTEM_STATE.+slice.+state.+changed )|(ment ac)|(multiple cpu faults)|(system.+state.+changed )|(\[timeout)|(PRM\|1\|D)|(kpr)|(kdp)|(train st.+moving)|(\|lc)|(penalty))"</v>
      </c>
      <c r="AG144" s="244" t="str">
        <f t="shared" si="65"/>
        <v>EC</v>
      </c>
      <c r="AH144" s="236" t="str">
        <f t="shared" si="73"/>
        <v>"%USERPROFILE%\Documents\GitHub\eaglep3\Utilities\RefineRTDCRunTimes.py" --tripid 230-06 --locoid 4007 --swversion DE.1.0.9.0 --startMP 204:232940 --initTime 2017-12-06T21:53:55 --startdatetime 2017-12-06T21:57:34 --delay 59 --endMP 204:187 --enddatetime 2017-12-06T22:36:32 --enforcementcount 0 &gt;&gt;%USERPROFILE%\Documents\GitHub\eaglep3-reporting\EC\2017-12-06-refined-times.txt</v>
      </c>
      <c r="AI144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{"issue":{"subject":"","project_id":79,"tracker_id":40,"status_id":1,"priority_id":2,"assigned_to_id":338,"start_date":"2017-12-06","description":"","custom_fields":[{"id":1,"name":"Subdivision","value":"EC"},{"id":4,"name":"Milepost","value":"0.0187"},{"id":17,"name":"Train ID","value":"230-06"},{"id":16,"name":"Locomotive ID","value":"4007"},{"id":130,"name":"Impact","value":""},{"id":150,"name":"Time of Event (Mountain Time)","value":"22:36:32"},{"id":151,"name":"Denver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75"/>
        <v>start /low /b %USERPROFILE%\Documents\GitHub\eaglep3\Utilities\DownloadLogsFromS3.py --loco 4007 --day 2017-12-06</v>
      </c>
      <c r="AN144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7"/>
        <v>https://d0f6bd738d7f1b3e5a7ca70fe4ff75f0.us-east-1.aws.found.io/app/kibana#/discover/Steve-Slow-Train-Analysis-(2080s-and-2083s)?_g=(refreshInterval:(display:Off,pause:!f,section:0,value:0),time:(from:'2017-12-06T20:53:55-0700',mode:absolute,to:'2017-12-06T23:36:32-0700'))&amp;_a=(columns:!('Message%20ID',Summary),filters:!(),index:'emp_*',interval:auto,query:(query_string:(analyze_wildcard:!t,query:'%22rtdc.l.rtdc.4007%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858</v>
      </c>
      <c r="B145" s="225">
        <v>4010</v>
      </c>
      <c r="C145" s="227" t="s">
        <v>192</v>
      </c>
      <c r="D145" s="227" t="s">
        <v>600</v>
      </c>
      <c r="E145" s="226">
        <v>43075.881388888891</v>
      </c>
      <c r="F145" s="226">
        <v>43075.896018518521</v>
      </c>
      <c r="G145" s="225">
        <v>61</v>
      </c>
      <c r="H145" s="227" t="s">
        <v>491</v>
      </c>
      <c r="I145" s="226">
        <v>43075.922523148147</v>
      </c>
      <c r="J145" s="225">
        <v>0</v>
      </c>
      <c r="K145" s="237" t="str">
        <f t="shared" si="56"/>
        <v>4009/4010</v>
      </c>
      <c r="L145" s="245" t="str">
        <f>VLOOKUP(A145,'Trips&amp;Operators'!$C$1:$G$99911,5,FALSE)</f>
        <v>RESPASS AARON</v>
      </c>
      <c r="M145" s="224">
        <f t="shared" si="57"/>
        <v>2.6504629626288079E-2</v>
      </c>
      <c r="N145" s="225">
        <f t="shared" si="53"/>
        <v>38.166666661854833</v>
      </c>
      <c r="O145" s="225"/>
      <c r="P145" s="225"/>
      <c r="Q145" s="228"/>
      <c r="R145" s="242"/>
      <c r="S145" s="249">
        <f t="shared" si="54"/>
        <v>1</v>
      </c>
      <c r="T145" s="242" t="str">
        <f t="shared" si="58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59"/>
        <v>https://d0f6bd738d7f1b3e5a7ca70fe4ff75f0.us-east-1.aws.found.io/app/kibana#/discover/Steve-Slow-Train-Analysis-(2080s-and-2083s)?_g=(refreshInterval:(display:Off,pause:!f,section:0,value:0),time:(from:'2017-12-06T20:09:12-0700',mode:absolute,to:'2017-12-06T23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47" t="str">
        <f>IF(AA145&lt;VLOOKUP(AG145,Variables!$AC$3:$AD$8,2,FALSE),"Y","N")</f>
        <v>N</v>
      </c>
      <c r="X145" s="247">
        <f t="shared" si="60"/>
        <v>1</v>
      </c>
      <c r="Y145" s="247">
        <f t="shared" si="71"/>
        <v>5.6000000000000001E-2</v>
      </c>
      <c r="Z145" s="247">
        <f t="shared" si="72"/>
        <v>23.3232</v>
      </c>
      <c r="AA145" s="247">
        <f t="shared" si="61"/>
        <v>23.267199999999999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2"/>
        <v>231</v>
      </c>
      <c r="AE145" s="235" t="str">
        <f t="shared" si="63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45" s="234" t="str">
        <f t="shared" si="64"/>
        <v>"C:\Program Files (x86)\AstroGrep\AstroGrep.exe" /e /r /s /spath="%USERPROFILE%\AppData\Local\Temp\OnboardLogs" /stypes="app*4010*20171207*" /stext=" 05:.+((SYSTEM_STATE.+slice.+state.+changed )|(ment ac)|(multiple cpu faults)|(system.+state.+changed )|(\[timeout)|(PRM\|1\|D)|(kpr)|(kdp)|(train st.+moving)|(\|lc)|(penalty))"</v>
      </c>
      <c r="AG145" s="244" t="str">
        <f t="shared" si="65"/>
        <v>EC</v>
      </c>
      <c r="AH145" s="236" t="str">
        <f t="shared" si="73"/>
        <v>"%USERPROFILE%\Documents\GitHub\eaglep3\Utilities\RefineRTDCRunTimes.py" --tripid 231-06 --locoid 4010 --swversion DE.1.0.9.0 --startMP 204:560 --initTime 2017-12-06T21:09:12 --startdatetime 2017-12-06T21:30:16 --delay 61 --endMP 204:233232 --enddatetime 2017-12-06T22:08:26 --enforcementcount 0 &gt;&gt;%USERPROFILE%\Documents\GitHub\eaglep3-reporting\EC\2017-12-06-refined-times.txt</v>
      </c>
      <c r="AI145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{"issue":{"subject":"","project_id":79,"tracker_id":40,"status_id":1,"priority_id":2,"assigned_to_id":338,"start_date":"2017-12-06","description":"","custom_fields":[{"id":1,"name":"Subdivision","value":"EC"},{"id":4,"name":"Milepost","value":"23.3232"},{"id":17,"name":"Train ID","value":"231-06"},{"id":16,"name":"Locomotive ID","value":"4010"},{"id":130,"name":"Impact","value":""},{"id":150,"name":"Time of Event (Mountain Time)","value":"22:08:26"},{"id":151,"name":"Denver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75"/>
        <v>start /low /b %USERPROFILE%\Documents\GitHub\eaglep3\Utilities\DownloadLogsFromS3.py --loco 4010 --day 2017-12-06</v>
      </c>
      <c r="AN145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7"/>
        <v>https://d0f6bd738d7f1b3e5a7ca70fe4ff75f0.us-east-1.aws.found.io/app/kibana#/discover/Steve-Slow-Train-Analysis-(2080s-and-2083s)?_g=(refreshInterval:(display:Off,pause:!f,section:0,value:0),time:(from:'2017-12-06T20:09:12-0700',mode:absolute,to:'2017-12-06T23:08:26-0700'))&amp;_a=(columns:!('Message%20ID',Summary),filters:!(),index:'emp_*',interval:auto,query:(query_string:(analyze_wildcard:!t,query:'%22rtdc.l.rtdc.4010%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864</v>
      </c>
      <c r="B146" s="225">
        <v>4009</v>
      </c>
      <c r="C146" s="227" t="s">
        <v>192</v>
      </c>
      <c r="D146" s="227" t="s">
        <v>466</v>
      </c>
      <c r="E146" s="226">
        <v>43075.929016203707</v>
      </c>
      <c r="F146" s="226">
        <v>43075.935555555552</v>
      </c>
      <c r="G146" s="225">
        <v>62</v>
      </c>
      <c r="H146" s="227" t="s">
        <v>603</v>
      </c>
      <c r="I146" s="226">
        <v>43075.960578703707</v>
      </c>
      <c r="J146" s="225">
        <v>0</v>
      </c>
      <c r="K146" s="237" t="str">
        <f t="shared" si="56"/>
        <v>4009/4010</v>
      </c>
      <c r="L146" s="245" t="str">
        <f>VLOOKUP(A146,'Trips&amp;Operators'!$C$1:$G$99911,5,FALSE)</f>
        <v>RESPASS AARON</v>
      </c>
      <c r="M146" s="224">
        <f t="shared" si="57"/>
        <v>2.5023148155014496E-2</v>
      </c>
      <c r="N146" s="225">
        <f t="shared" si="53"/>
        <v>36.033333343220875</v>
      </c>
      <c r="O146" s="225"/>
      <c r="P146" s="225"/>
      <c r="Q146" s="228"/>
      <c r="R146" s="242"/>
      <c r="S146" s="249">
        <f t="shared" si="54"/>
        <v>1</v>
      </c>
      <c r="T146" s="242" t="str">
        <f t="shared" si="58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59"/>
        <v>https://d0f6bd738d7f1b3e5a7ca70fe4ff75f0.us-east-1.aws.found.io/app/kibana#/discover/Steve-Slow-Train-Analysis-(2080s-and-2083s)?_g=(refreshInterval:(display:Off,pause:!f,section:0,value:0),time:(from:'2017-12-06T21:17:47-0700',mode:absolute,to:'2017-12-07T00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47" t="str">
        <f>IF(AA146&lt;VLOOKUP(AG146,Variables!$AC$3:$AD$8,2,FALSE),"Y","N")</f>
        <v>N</v>
      </c>
      <c r="X146" s="247">
        <f t="shared" si="60"/>
        <v>1</v>
      </c>
      <c r="Y146" s="247">
        <f t="shared" si="71"/>
        <v>23.292999999999999</v>
      </c>
      <c r="Z146" s="247">
        <f t="shared" si="72"/>
        <v>2.76E-2</v>
      </c>
      <c r="AA146" s="247">
        <f t="shared" si="61"/>
        <v>23.2654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2"/>
        <v>232</v>
      </c>
      <c r="AE146" s="235" t="str">
        <f t="shared" si="63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146" s="234" t="str">
        <f t="shared" si="64"/>
        <v>"C:\Program Files (x86)\AstroGrep\AstroGrep.exe" /e /r /s /spath="%USERPROFILE%\AppData\Local\Temp\OnboardLogs" /stypes="app*4009*20171207*" /stext=" 06:.+((SYSTEM_STATE.+slice.+state.+changed )|(ment ac)|(multiple cpu faults)|(system.+state.+changed )|(\[timeout)|(PRM\|1\|D)|(kpr)|(kdp)|(train st.+moving)|(\|lc)|(penalty))"</v>
      </c>
      <c r="AG146" s="244" t="str">
        <f t="shared" si="65"/>
        <v>EC</v>
      </c>
      <c r="AH146" s="236" t="str">
        <f t="shared" si="73"/>
        <v>"%USERPROFILE%\Documents\GitHub\eaglep3\Utilities\RefineRTDCRunTimes.py" --tripid 232-06 --locoid 4009 --swversion DE.1.0.9.0 --startMP 204:232930 --initTime 2017-12-06T22:17:47 --startdatetime 2017-12-06T22:27:12 --delay 62 --endMP 204:276 --enddatetime 2017-12-06T23:03:14 --enforcementcount 0 &gt;&gt;%USERPROFILE%\Documents\GitHub\eaglep3-reporting\EC\2017-12-06-refined-times.txt</v>
      </c>
      <c r="AI146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{"issue":{"subject":"","project_id":79,"tracker_id":40,"status_id":1,"priority_id":2,"assigned_to_id":338,"start_date":"2017-12-06","description":"","custom_fields":[{"id":1,"name":"Subdivision","value":"EC"},{"id":4,"name":"Milepost","value":"0.0276"},{"id":17,"name":"Train ID","value":"232-06"},{"id":16,"name":"Locomotive ID","value":"4009"},{"id":130,"name":"Impact","value":""},{"id":150,"name":"Time of Event (Mountain Time)","value":"23:03:14"},{"id":151,"name":"Denver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75"/>
        <v>start /low /b %USERPROFILE%\Documents\GitHub\eaglep3\Utilities\DownloadLogsFromS3.py --loco 4009 --day 2017-12-06</v>
      </c>
      <c r="AN146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7"/>
        <v>https://d0f6bd738d7f1b3e5a7ca70fe4ff75f0.us-east-1.aws.found.io/app/kibana#/discover/Steve-Slow-Train-Analysis-(2080s-and-2083s)?_g=(refreshInterval:(display:Off,pause:!f,section:0,value:0),time:(from:'2017-12-06T21:17:47-0700',mode:absolute,to:'2017-12-07T00:03:14-0700'))&amp;_a=(columns:!('Message%20ID',Summary),filters:!(),index:'emp_*',interval:auto,query:(query_string:(analyze_wildcard:!t,query:'%22rtdc.l.rtdc.4009%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861</v>
      </c>
      <c r="B147" s="225">
        <v>4032</v>
      </c>
      <c r="C147" s="227" t="s">
        <v>192</v>
      </c>
      <c r="D147" s="227" t="s">
        <v>956</v>
      </c>
      <c r="E147" s="226">
        <v>43075.914525462962</v>
      </c>
      <c r="F147" s="226">
        <v>43075.917083333334</v>
      </c>
      <c r="G147" s="225">
        <v>102</v>
      </c>
      <c r="H147" s="227" t="s">
        <v>461</v>
      </c>
      <c r="I147" s="226">
        <v>43075.940810185188</v>
      </c>
      <c r="J147" s="225">
        <v>0</v>
      </c>
      <c r="K147" s="237" t="str">
        <f t="shared" si="56"/>
        <v>4031/4032</v>
      </c>
      <c r="L147" s="245" t="str">
        <f>VLOOKUP(A147,'Trips&amp;Operators'!$C$1:$G$99911,5,FALSE)</f>
        <v>LOZA FIDEL</v>
      </c>
      <c r="M147" s="224">
        <f t="shared" si="57"/>
        <v>2.3726851854007691E-2</v>
      </c>
      <c r="N147" s="225">
        <f t="shared" si="53"/>
        <v>34.166666669771075</v>
      </c>
      <c r="O147" s="225"/>
      <c r="P147" s="225"/>
      <c r="Q147" s="228"/>
      <c r="R147" s="242"/>
      <c r="S147" s="249">
        <f t="shared" si="54"/>
        <v>1</v>
      </c>
      <c r="T147" s="242" t="str">
        <f t="shared" si="58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59"/>
        <v>https://d0f6bd738d7f1b3e5a7ca70fe4ff75f0.us-east-1.aws.found.io/app/kibana#/discover/Steve-Slow-Train-Analysis-(2080s-and-2083s)?_g=(refreshInterval:(display:Off,pause:!f,section:0,value:0),time:(from:'2017-12-06T20:56:55-0700',mode:absolute,to:'2017-12-06T23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47" t="str">
        <f>IF(AA147&lt;VLOOKUP(AG147,Variables!$AC$3:$AD$8,2,FALSE),"Y","N")</f>
        <v>N</v>
      </c>
      <c r="X147" s="247">
        <f t="shared" ref="X147:X157" si="78">VALUE(LEFT(AD147,4))-VALUE(LEFT(AD146,4))</f>
        <v>1</v>
      </c>
      <c r="Y147" s="247">
        <f t="shared" si="71"/>
        <v>5.2900000000000003E-2</v>
      </c>
      <c r="Z147" s="247">
        <f t="shared" si="72"/>
        <v>23.323</v>
      </c>
      <c r="AA147" s="247">
        <f t="shared" si="61"/>
        <v>23.270099999999999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2"/>
        <v>233</v>
      </c>
      <c r="AE147" s="235" t="str">
        <f t="shared" si="63"/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AF147" s="234" t="str">
        <f t="shared" si="64"/>
        <v>"C:\Program Files (x86)\AstroGrep\AstroGrep.exe" /e /r /s /spath="%USERPROFILE%\AppData\Local\Temp\OnboardLogs" /stypes="app*4032*20171207*" /stext=" 05:.+((SYSTEM_STATE.+slice.+state.+changed )|(ment ac)|(multiple cpu faults)|(system.+state.+changed )|(\[timeout)|(PRM\|1\|D)|(kpr)|(kdp)|(train st.+moving)|(\|lc)|(penalty))"</v>
      </c>
      <c r="AG147" s="244" t="str">
        <f t="shared" si="65"/>
        <v>EC</v>
      </c>
      <c r="AH147" s="236" t="str">
        <f t="shared" si="73"/>
        <v>"%USERPROFILE%\Documents\GitHub\eaglep3\Utilities\RefineRTDCRunTimes.py" --tripid 233-06 --locoid 4032 --swversion DE.1.0.9.0 --startMP 204:529 --initTime 2017-12-06T21:56:55 --startdatetime 2017-12-06T22:00:36 --delay 102 --endMP 204:233230 --enddatetime 2017-12-06T22:34:46 --enforcementcount 0 &gt;&gt;%USERPROFILE%\Documents\GitHub\eaglep3-reporting\EC\2017-12-06-refined-times.txt</v>
      </c>
      <c r="AI147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{"issue":{"subject":"","project_id":79,"tracker_id":40,"status_id":1,"priority_id":2,"assigned_to_id":338,"start_date":"2017-12-06","description":"","custom_fields":[{"id":1,"name":"Subdivision","value":"EC"},{"id":4,"name":"Milepost","value":"23.323"},{"id":17,"name":"Train ID","value":"233-06"},{"id":16,"name":"Locomotive ID","value":"4032"},{"id":130,"name":"Impact","value":""},{"id":150,"name":"Time of Event (Mountain Time)","value":"22:34:46"},{"id":151,"name":"Denver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75"/>
        <v>start /low /b %USERPROFILE%\Documents\GitHub\eaglep3\Utilities\DownloadLogsFromS3.py --loco 4032 --day 2017-12-06</v>
      </c>
      <c r="AN147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7"/>
        <v>https://d0f6bd738d7f1b3e5a7ca70fe4ff75f0.us-east-1.aws.found.io/app/kibana#/discover/Steve-Slow-Train-Analysis-(2080s-and-2083s)?_g=(refreshInterval:(display:Off,pause:!f,section:0,value:0),time:(from:'2017-12-06T20:56:55-0700',mode:absolute,to:'2017-12-06T23:34:46-0700'))&amp;_a=(columns:!('Message%20ID',Summary),filters:!(),index:'emp_*',interval:auto,query:(query_string:(analyze_wildcard:!t,query:'%22rtdc.l.rtdc.4032%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866</v>
      </c>
      <c r="B148" s="225">
        <v>4031</v>
      </c>
      <c r="C148" s="227" t="s">
        <v>192</v>
      </c>
      <c r="D148" s="227" t="s">
        <v>985</v>
      </c>
      <c r="E148" s="226">
        <v>43075.951539351852</v>
      </c>
      <c r="F148" s="226">
        <v>43075.956817129627</v>
      </c>
      <c r="G148" s="225">
        <v>88</v>
      </c>
      <c r="H148" s="227" t="s">
        <v>986</v>
      </c>
      <c r="I148" s="226">
        <v>43075.983912037038</v>
      </c>
      <c r="J148" s="225">
        <v>0</v>
      </c>
      <c r="K148" s="237" t="str">
        <f t="shared" si="56"/>
        <v>4031/4032</v>
      </c>
      <c r="L148" s="245" t="str">
        <f>VLOOKUP(A148,'Trips&amp;Operators'!$C$1:$G$99911,5,FALSE)</f>
        <v>LONG FULLER</v>
      </c>
      <c r="M148" s="224">
        <f t="shared" si="57"/>
        <v>2.7094907411083113E-2</v>
      </c>
      <c r="N148" s="225">
        <f t="shared" si="53"/>
        <v>39.016666671959683</v>
      </c>
      <c r="O148" s="225"/>
      <c r="P148" s="225"/>
      <c r="Q148" s="228"/>
      <c r="R148" s="242"/>
      <c r="S148" s="249">
        <f t="shared" si="54"/>
        <v>1</v>
      </c>
      <c r="T148" s="242" t="str">
        <f t="shared" si="58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59"/>
        <v>https://d0f6bd738d7f1b3e5a7ca70fe4ff75f0.us-east-1.aws.found.io/app/kibana#/discover/Steve-Slow-Train-Analysis-(2080s-and-2083s)?_g=(refreshInterval:(display:Off,pause:!f,section:0,value:0),time:(from:'2017-12-06T21:50:13-0700',mode:absolute,to:'2017-12-07T00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47" t="str">
        <f>IF(AA148&lt;VLOOKUP(AG148,Variables!$AC$3:$AD$8,2,FALSE),"Y","N")</f>
        <v>N</v>
      </c>
      <c r="X148" s="247">
        <f t="shared" si="78"/>
        <v>1</v>
      </c>
      <c r="Y148" s="247">
        <f t="shared" si="71"/>
        <v>23.2944</v>
      </c>
      <c r="Z148" s="247">
        <f t="shared" si="72"/>
        <v>2.4E-2</v>
      </c>
      <c r="AA148" s="247">
        <f t="shared" si="61"/>
        <v>23.270399999999999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2"/>
        <v>234</v>
      </c>
      <c r="AE148" s="235" t="str">
        <f t="shared" si="63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148" s="234" t="str">
        <f t="shared" si="64"/>
        <v>"C:\Program Files (x86)\AstroGrep\AstroGrep.exe" /e /r /s /spath="%USERPROFILE%\AppData\Local\Temp\OnboardLogs" /stypes="app*4031*20171207*" /stext=" 06:.+((SYSTEM_STATE.+slice.+state.+changed )|(ment ac)|(multiple cpu faults)|(system.+state.+changed )|(\[timeout)|(PRM\|1\|D)|(kpr)|(kdp)|(train st.+moving)|(\|lc)|(penalty))"</v>
      </c>
      <c r="AG148" s="244" t="str">
        <f t="shared" si="65"/>
        <v>EC</v>
      </c>
      <c r="AH148" s="236" t="str">
        <f t="shared" si="73"/>
        <v>"%USERPROFILE%\Documents\GitHub\eaglep3\Utilities\RefineRTDCRunTimes.py" --tripid 234-06 --locoid 4031 --swversion DE.1.0.9.0 --startMP 204:232944 --initTime 2017-12-06T22:50:13 --startdatetime 2017-12-06T22:57:49 --delay 88 --endMP 204:240 --enddatetime 2017-12-06T23:36:50 --enforcementcount 0 &gt;&gt;%USERPROFILE%\Documents\GitHub\eaglep3-reporting\EC\2017-12-06-refined-times.txt</v>
      </c>
      <c r="AI148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{"issue":{"subject":"","project_id":79,"tracker_id":40,"status_id":1,"priority_id":2,"assigned_to_id":338,"start_date":"2017-12-06","description":"","custom_fields":[{"id":1,"name":"Subdivision","value":"EC"},{"id":4,"name":"Milepost","value":"0.024"},{"id":17,"name":"Train ID","value":"234-06"},{"id":16,"name":"Locomotive ID","value":"4031"},{"id":130,"name":"Impact","value":""},{"id":150,"name":"Time of Event (Mountain Time)","value":"23:36:50"},{"id":151,"name":"Denver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75"/>
        <v>start /low /b %USERPROFILE%\Documents\GitHub\eaglep3\Utilities\DownloadLogsFromS3.py --loco 4031 --day 2017-12-06</v>
      </c>
      <c r="AN148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77"/>
        <v>https://d0f6bd738d7f1b3e5a7ca70fe4ff75f0.us-east-1.aws.found.io/app/kibana#/discover/Steve-Slow-Train-Analysis-(2080s-and-2083s)?_g=(refreshInterval:(display:Off,pause:!f,section:0,value:0),time:(from:'2017-12-06T21:50:13-0700',mode:absolute,to:'2017-12-07T00:36:50-0700'))&amp;_a=(columns:!('Message%20ID',Summary),filters:!(),index:'emp_*',interval:auto,query:(query_string:(analyze_wildcard:!t,query:'%22rtdc.l.rtdc.4031%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863</v>
      </c>
      <c r="B149" s="225">
        <v>4064</v>
      </c>
      <c r="C149" s="227" t="s">
        <v>192</v>
      </c>
      <c r="D149" s="227" t="s">
        <v>478</v>
      </c>
      <c r="E149" s="226">
        <v>43075.92328703704</v>
      </c>
      <c r="F149" s="226">
        <v>43075.937719907408</v>
      </c>
      <c r="G149" s="225">
        <v>61</v>
      </c>
      <c r="H149" s="227" t="s">
        <v>422</v>
      </c>
      <c r="I149" s="226">
        <v>43075.963078703702</v>
      </c>
      <c r="J149" s="225">
        <v>0</v>
      </c>
      <c r="K149" s="237" t="str">
        <f t="shared" si="56"/>
        <v>4063/4064</v>
      </c>
      <c r="L149" s="245" t="str">
        <f>VLOOKUP(A149,'Trips&amp;Operators'!$C$1:$G$99911,5,FALSE)</f>
        <v>ANDERS STEVEN</v>
      </c>
      <c r="M149" s="224">
        <f t="shared" si="57"/>
        <v>2.5358796294312924E-2</v>
      </c>
      <c r="N149" s="225">
        <f t="shared" si="53"/>
        <v>36.516666663810611</v>
      </c>
      <c r="O149" s="225"/>
      <c r="P149" s="225"/>
      <c r="Q149" s="228"/>
      <c r="R149" s="242"/>
      <c r="S149" s="249">
        <f t="shared" si="54"/>
        <v>1</v>
      </c>
      <c r="T149" s="242" t="str">
        <f t="shared" si="58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59"/>
        <v>https://d0f6bd738d7f1b3e5a7ca70fe4ff75f0.us-east-1.aws.found.io/app/kibana#/discover/Steve-Slow-Train-Analysis-(2080s-and-2083s)?_g=(refreshInterval:(display:Off,pause:!f,section:0,value:0),time:(from:'2017-12-06T21:09:32-0700',mode:absolute,to:'2017-12-07T00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247" t="str">
        <f>IF(AA149&lt;VLOOKUP(AG149,Variables!$AC$3:$AD$8,2,FALSE),"Y","N")</f>
        <v>N</v>
      </c>
      <c r="X149" s="247">
        <f t="shared" si="78"/>
        <v>1</v>
      </c>
      <c r="Y149" s="247">
        <f t="shared" si="71"/>
        <v>5.0200000000000002E-2</v>
      </c>
      <c r="Z149" s="247">
        <f t="shared" si="72"/>
        <v>23.329899999999999</v>
      </c>
      <c r="AA149" s="247">
        <f t="shared" si="61"/>
        <v>23.279699999999998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2"/>
        <v>235</v>
      </c>
      <c r="AE149" s="235" t="str">
        <f t="shared" si="63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149" s="234" t="str">
        <f t="shared" si="64"/>
        <v>"C:\Program Files (x86)\AstroGrep\AstroGrep.exe" /e /r /s /spath="%USERPROFILE%\AppData\Local\Temp\OnboardLogs" /stypes="app*4064*20171207*" /stext=" 06:.+((SYSTEM_STATE.+slice.+state.+changed )|(ment ac)|(multiple cpu faults)|(system.+state.+changed )|(\[timeout)|(PRM\|1\|D)|(kpr)|(kdp)|(train st.+moving)|(\|lc)|(penalty))"</v>
      </c>
      <c r="AG149" s="244" t="str">
        <f t="shared" si="65"/>
        <v>EC</v>
      </c>
      <c r="AH149" s="236" t="str">
        <f t="shared" si="73"/>
        <v>"%USERPROFILE%\Documents\GitHub\eaglep3\Utilities\RefineRTDCRunTimes.py" --tripid 235-06 --locoid 4064 --swversion DE.1.0.9.0 --startMP 204:502 --initTime 2017-12-06T22:09:32 --startdatetime 2017-12-06T22:30:19 --delay 61 --endMP 204:233299 --enddatetime 2017-12-06T23:06:50 --enforcementcount 0 &gt;&gt;%USERPROFILE%\Documents\GitHub\eaglep3-reporting\EC\2017-12-06-refined-times.txt</v>
      </c>
      <c r="AI149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{"issue":{"subject":"","project_id":79,"tracker_id":40,"status_id":1,"priority_id":2,"assigned_to_id":338,"start_date":"2017-12-06","description":"","custom_fields":[{"id":1,"name":"Subdivision","value":"EC"},{"id":4,"name":"Milepost","value":"23.3299"},{"id":17,"name":"Train ID","value":"235-06"},{"id":16,"name":"Locomotive ID","value":"4064"},{"id":130,"name":"Impact","value":""},{"id":150,"name":"Time of Event (Mountain Time)","value":"23:06:50"},{"id":151,"name":"Denver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5"/>
        <v>start /low /b %USERPROFILE%\Documents\GitHub\eaglep3\Utilities\DownloadLogsFromS3.py --loco 4064 --day 2017-12-06</v>
      </c>
      <c r="AN149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7"/>
        <v>https://d0f6bd738d7f1b3e5a7ca70fe4ff75f0.us-east-1.aws.found.io/app/kibana#/discover/Steve-Slow-Train-Analysis-(2080s-and-2083s)?_g=(refreshInterval:(display:Off,pause:!f,section:0,value:0),time:(from:'2017-12-06T21:09:32-0700',mode:absolute,to:'2017-12-07T00:06:50-0700'))&amp;_a=(columns:!('Message%20ID',Summary),filters:!(),index:'emp_*',interval:auto,query:(query_string:(analyze_wildcard:!t,query:'%22rtdc.l.rtdc.4064%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661</v>
      </c>
      <c r="B150" s="225">
        <v>4063</v>
      </c>
      <c r="C150" s="227" t="s">
        <v>192</v>
      </c>
      <c r="D150" s="227" t="s">
        <v>987</v>
      </c>
      <c r="E150" s="226">
        <v>43075.966053240743</v>
      </c>
      <c r="F150" s="226">
        <v>43075.977337962962</v>
      </c>
      <c r="G150" s="225">
        <v>81</v>
      </c>
      <c r="H150" s="227" t="s">
        <v>602</v>
      </c>
      <c r="I150" s="226">
        <v>43076.004999999997</v>
      </c>
      <c r="J150" s="225">
        <v>0</v>
      </c>
      <c r="K150" s="237" t="str">
        <f t="shared" si="56"/>
        <v>4063/4064</v>
      </c>
      <c r="L150" s="245" t="str">
        <f>VLOOKUP(A150,'Trips&amp;Operators'!$C$1:$G$99911,5,FALSE)</f>
        <v>ANDERS STEVEN</v>
      </c>
      <c r="M150" s="224">
        <f t="shared" si="57"/>
        <v>2.7662037035042886E-2</v>
      </c>
      <c r="N150" s="225">
        <f t="shared" si="53"/>
        <v>39.833333330461755</v>
      </c>
      <c r="O150" s="225"/>
      <c r="P150" s="225"/>
      <c r="Q150" s="228"/>
      <c r="R150" s="242"/>
      <c r="S150" s="249">
        <f t="shared" si="54"/>
        <v>1</v>
      </c>
      <c r="T150" s="242" t="str">
        <f t="shared" si="58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59"/>
        <v>https://d0f6bd738d7f1b3e5a7ca70fe4ff75f0.us-east-1.aws.found.io/app/kibana#/discover/Steve-Slow-Train-Analysis-(2080s-and-2083s)?_g=(refreshInterval:(display:Off,pause:!f,section:0,value:0),time:(from:'2017-12-06T22:11:07-0700',mode:absolute,to:'2017-12-07T01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247" t="str">
        <f>IF(AA150&lt;VLOOKUP(AG150,Variables!$AC$3:$AD$8,2,FALSE),"Y","N")</f>
        <v>N</v>
      </c>
      <c r="X150" s="247">
        <f t="shared" si="78"/>
        <v>1</v>
      </c>
      <c r="Y150" s="247">
        <f t="shared" si="71"/>
        <v>23.295500000000001</v>
      </c>
      <c r="Z150" s="247">
        <f t="shared" si="72"/>
        <v>2.4299999999999999E-2</v>
      </c>
      <c r="AA150" s="247">
        <f t="shared" si="61"/>
        <v>23.2712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2"/>
        <v>236</v>
      </c>
      <c r="AE150" s="235" t="str">
        <f t="shared" si="63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150" s="234" t="str">
        <f t="shared" si="64"/>
        <v>"C:\Program Files (x86)\AstroGrep\AstroGrep.exe" /e /r /s /spath="%USERPROFILE%\AppData\Local\Temp\OnboardLogs" /stypes="app*4063*20171207*" /stext=" 07:.+((SYSTEM_STATE.+slice.+state.+changed )|(ment ac)|(multiple cpu faults)|(system.+state.+changed )|(\[timeout)|(PRM\|1\|D)|(kpr)|(kdp)|(train st.+moving)|(\|lc)|(penalty))"</v>
      </c>
      <c r="AG150" s="244" t="str">
        <f t="shared" si="65"/>
        <v>EC</v>
      </c>
      <c r="AH150" s="236" t="str">
        <f t="shared" si="73"/>
        <v>"%USERPROFILE%\Documents\GitHub\eaglep3\Utilities\RefineRTDCRunTimes.py" --tripid 236-06 --locoid 4063 --swversion DE.1.0.9.0 --startMP 204:232955 --initTime 2017-12-06T23:11:07 --startdatetime 2017-12-06T23:27:22 --delay 81 --endMP 204:243 --enddatetime 2017-12-07T00:07:12 --enforcementcount 0 &gt;&gt;%USERPROFILE%\Documents\GitHub\eaglep3-reporting\EC\2017-12-06-refined-times.txt</v>
      </c>
      <c r="AI150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{"issue":{"subject":"","project_id":79,"tracker_id":40,"status_id":1,"priority_id":2,"assigned_to_id":338,"start_date":"2017-12-07","description":"","custom_fields":[{"id":1,"name":"Subdivision","value":"EC"},{"id":4,"name":"Milepost","value":"0.0243"},{"id":17,"name":"Train ID","value":"236-06"},{"id":16,"name":"Locomotive ID","value":"4063"},{"id":130,"name":"Impact","value":""},{"id":150,"name":"Time of Event (Mountain Time)","value":"00:07:12"},{"id":151,"name":"Denver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75"/>
        <v>start /low /b %USERPROFILE%\Documents\GitHub\eaglep3\Utilities\DownloadLogsFromS3.py --loco 4063 --day 2017-12-06</v>
      </c>
      <c r="AN150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07:07:12"},{"id":29,"name":"Sharepoint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7"/>
        <v>https://d0f6bd738d7f1b3e5a7ca70fe4ff75f0.us-east-1.aws.found.io/app/kibana#/discover/Steve-Slow-Train-Analysis-(2080s-and-2083s)?_g=(refreshInterval:(display:Off,pause:!f,section:0,value:0),time:(from:'2017-12-06T22:11:07-0700',mode:absolute,to:'2017-12-07T01:07:12-0700'))&amp;_a=(columns:!('Message%20ID',Summary),filters:!(),index:'emp_*',interval:auto,query:(query_string:(analyze_wildcard:!t,query:'%22rtdc.l.rtdc.4063%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867</v>
      </c>
      <c r="B151" s="225">
        <v>4008</v>
      </c>
      <c r="C151" s="227" t="s">
        <v>192</v>
      </c>
      <c r="D151" s="227" t="s">
        <v>988</v>
      </c>
      <c r="E151" s="226">
        <v>43075.956493055557</v>
      </c>
      <c r="F151" s="226">
        <v>43075.958564814813</v>
      </c>
      <c r="G151" s="225">
        <v>60</v>
      </c>
      <c r="H151" s="227" t="s">
        <v>608</v>
      </c>
      <c r="I151" s="226">
        <v>43075.98233796296</v>
      </c>
      <c r="J151" s="225">
        <v>0</v>
      </c>
      <c r="K151" s="237" t="str">
        <f t="shared" si="56"/>
        <v>4007/4008</v>
      </c>
      <c r="L151" s="245" t="str">
        <f>VLOOKUP(A151,'Trips&amp;Operators'!$C$1:$G$99911,5,FALSE)</f>
        <v>MOSES BRADLEY</v>
      </c>
      <c r="M151" s="224">
        <f t="shared" si="57"/>
        <v>2.3773148146574385E-2</v>
      </c>
      <c r="N151" s="225">
        <f t="shared" si="53"/>
        <v>34.233333331067115</v>
      </c>
      <c r="O151" s="225"/>
      <c r="P151" s="225"/>
      <c r="Q151" s="228"/>
      <c r="R151" s="242"/>
      <c r="S151" s="249">
        <f t="shared" si="54"/>
        <v>1</v>
      </c>
      <c r="T151" s="242" t="str">
        <f t="shared" si="58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59"/>
        <v>https://d0f6bd738d7f1b3e5a7ca70fe4ff75f0.us-east-1.aws.found.io/app/kibana#/discover/Steve-Slow-Train-Analysis-(2080s-and-2083s)?_g=(refreshInterval:(display:Off,pause:!f,section:0,value:0),time:(from:'2017-12-06T21:57:21-0700',mode:absolute,to:'2017-12-07T00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247" t="str">
        <f>IF(AA151&lt;VLOOKUP(AG151,Variables!$AC$3:$AD$8,2,FALSE),"Y","N")</f>
        <v>N</v>
      </c>
      <c r="X151" s="247">
        <f t="shared" si="78"/>
        <v>1</v>
      </c>
      <c r="Y151" s="247">
        <f t="shared" si="71"/>
        <v>4.9500000000000002E-2</v>
      </c>
      <c r="Z151" s="247">
        <f t="shared" si="72"/>
        <v>23.3216</v>
      </c>
      <c r="AA151" s="247">
        <f t="shared" si="61"/>
        <v>23.272100000000002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2"/>
        <v>237</v>
      </c>
      <c r="AE151" s="235" t="str">
        <f t="shared" si="63"/>
        <v>aws s3 cp s3://rtdc.mdm.uploadarchive.raw/RTDC4008/ "%USERPROFILE%\AppData\Local\Temp\OnboardLogs"\RTDC4008\2017-12-06 --exclude "*" --recursive --include "*20171206*" &amp; "%USERPROFILE%\Documents\GitHub\mrs-test-scripts\Headless Mode &amp; Sideloading\WalkAndUnGZ.bat" "%USERPROFILE%\AppData\Local\Temp\OnboardLogs"\RTDC4008\2017-12-06 &amp; 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</v>
      </c>
      <c r="AF151" s="234" t="str">
        <f t="shared" si="64"/>
        <v>"C:\Program Files (x86)\AstroGrep\AstroGrep.exe" /e /r /s /spath="%USERPROFILE%\AppData\Local\Temp\OnboardLogs" /stypes="app*4008*20171207*" /stext=" 06:.+((SYSTEM_STATE.+slice.+state.+changed )|(ment ac)|(multiple cpu faults)|(system.+state.+changed )|(\[timeout)|(PRM\|1\|D)|(kpr)|(kdp)|(train st.+moving)|(\|lc)|(penalty))"</v>
      </c>
      <c r="AG151" s="244" t="str">
        <f t="shared" si="65"/>
        <v>EC</v>
      </c>
      <c r="AH151" s="236" t="str">
        <f t="shared" si="73"/>
        <v>"%USERPROFILE%\Documents\GitHub\eaglep3\Utilities\RefineRTDCRunTimes.py" --tripid 237-06 --locoid 4008 --swversion DE.1.0.9.0 --startMP 204:495 --initTime 2017-12-06T22:57:21 --startdatetime 2017-12-06T23:00:20 --delay 60 --endMP 204:233216 --enddatetime 2017-12-06T23:34:34 --enforcementcount 0 &gt;&gt;%USERPROFILE%\Documents\GitHub\eaglep3-reporting\EC\2017-12-06-refined-times.txt</v>
      </c>
      <c r="AI151" s="238" t="str">
        <f t="shared" si="74"/>
        <v>echo {"issue":{"subject":"","project_id":79,"tracker_id":40,"status_id":1,"priority_id":2,"assigned_to_id":338,"start_date":"2017-12-06","description":"","custom_fields":[{"id":1,"name":"Subdivision","value":"EC"},{"id":4,"name":"Milepost","value":"23.3216"},{"id":17,"name":"Train ID","value":"237-06"},{"id":16,"name":"Locomotive ID","value":"4008"},{"id":130,"name":"Impact","value":""},{"id":150,"name":"Time of Event (Mountain Time)","value":"23:34:34"},{"id":151,"name":"Denver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5"/>
        <v>start /low /b %USERPROFILE%\Documents\GitHub\eaglep3\Utilities\DownloadLogsFromS3.py --loco 4008 --day 2017-12-06</v>
      </c>
      <c r="AN151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7"/>
        <v>https://d0f6bd738d7f1b3e5a7ca70fe4ff75f0.us-east-1.aws.found.io/app/kibana#/discover/Steve-Slow-Train-Analysis-(2080s-and-2083s)?_g=(refreshInterval:(display:Off,pause:!f,section:0,value:0),time:(from:'2017-12-06T21:57:21-0700',mode:absolute,to:'2017-12-07T00:34:34-0700'))&amp;_a=(columns:!('Message%20ID',Summary),filters:!(),index:'emp_*',interval:auto,query:(query_string:(analyze_wildcard:!t,query:'%22rtdc.l.rtdc.4008%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871</v>
      </c>
      <c r="B152" s="225">
        <v>4007</v>
      </c>
      <c r="C152" s="227" t="s">
        <v>192</v>
      </c>
      <c r="D152" s="227" t="s">
        <v>989</v>
      </c>
      <c r="E152" s="226">
        <v>43075.983634259261</v>
      </c>
      <c r="F152" s="226">
        <v>43075.998206018521</v>
      </c>
      <c r="G152" s="225">
        <v>51</v>
      </c>
      <c r="H152" s="227" t="s">
        <v>958</v>
      </c>
      <c r="I152" s="226">
        <v>43076.024155092593</v>
      </c>
      <c r="J152" s="225">
        <v>0</v>
      </c>
      <c r="K152" s="237" t="str">
        <f t="shared" si="56"/>
        <v>4007/4008</v>
      </c>
      <c r="L152" s="245" t="str">
        <f>VLOOKUP(A152,'Trips&amp;Operators'!$C$1:$G$99911,5,FALSE)</f>
        <v>MOSES BRADLEY</v>
      </c>
      <c r="M152" s="224">
        <f t="shared" si="57"/>
        <v>2.5949074071832001E-2</v>
      </c>
      <c r="N152" s="225">
        <f t="shared" si="53"/>
        <v>37.366666663438082</v>
      </c>
      <c r="O152" s="225"/>
      <c r="P152" s="225"/>
      <c r="Q152" s="228"/>
      <c r="R152" s="242"/>
      <c r="S152" s="249">
        <f t="shared" si="54"/>
        <v>1</v>
      </c>
      <c r="T152" s="242" t="str">
        <f t="shared" si="58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59"/>
        <v>https://d0f6bd738d7f1b3e5a7ca70fe4ff75f0.us-east-1.aws.found.io/app/kibana#/discover/Steve-Slow-Train-Analysis-(2080s-and-2083s)?_g=(refreshInterval:(display:Off,pause:!f,section:0,value:0),time:(from:'2017-12-06T22:36:26-0700',mode:absolute,to:'2017-12-07T01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247" t="str">
        <f>IF(AA152&lt;VLOOKUP(AG152,Variables!$AC$3:$AD$8,2,FALSE),"Y","N")</f>
        <v>N</v>
      </c>
      <c r="X152" s="247">
        <f t="shared" si="78"/>
        <v>1</v>
      </c>
      <c r="Y152" s="247">
        <f t="shared" si="71"/>
        <v>23.2896</v>
      </c>
      <c r="Z152" s="247">
        <f t="shared" si="72"/>
        <v>2.1399999999999999E-2</v>
      </c>
      <c r="AA152" s="247">
        <f t="shared" si="61"/>
        <v>23.2682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2"/>
        <v>238</v>
      </c>
      <c r="AE152" s="235" t="str">
        <f t="shared" si="63"/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AF152" s="234" t="str">
        <f t="shared" si="64"/>
        <v>"C:\Program Files (x86)\AstroGrep\AstroGrep.exe" /e /r /s /spath="%USERPROFILE%\AppData\Local\Temp\OnboardLogs" /stypes="app*4007*20171207*" /stext=" 07:.+((SYSTEM_STATE.+slice.+state.+changed )|(ment ac)|(multiple cpu faults)|(system.+state.+changed )|(\[timeout)|(PRM\|1\|D)|(kpr)|(kdp)|(train st.+moving)|(\|lc)|(penalty))"</v>
      </c>
      <c r="AG152" s="244" t="str">
        <f t="shared" si="65"/>
        <v>EC</v>
      </c>
      <c r="AH152" s="236" t="str">
        <f t="shared" si="73"/>
        <v>"%USERPROFILE%\Documents\GitHub\eaglep3\Utilities\RefineRTDCRunTimes.py" --tripid 238-06 --locoid 4007 --swversion DE.1.0.9.0 --startMP 204:232896 --initTime 2017-12-06T23:36:26 --startdatetime 2017-12-06T23:57:25 --delay 51 --endMP 204:214 --enddatetime 2017-12-07T00:34:47 --enforcementcount 0 &gt;&gt;%USERPROFILE%\Documents\GitHub\eaglep3-reporting\EC\2017-12-06-refined-times.txt</v>
      </c>
      <c r="AI152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{"issue":{"subject":"","project_id":79,"tracker_id":40,"status_id":1,"priority_id":2,"assigned_to_id":338,"start_date":"2017-12-07","description":"","custom_fields":[{"id":1,"name":"Subdivision","value":"EC"},{"id":4,"name":"Milepost","value":"0.0214"},{"id":17,"name":"Train ID","value":"238-06"},{"id":16,"name":"Locomotive ID","value":"4007"},{"id":130,"name":"Impact","value":""},{"id":150,"name":"Time of Event (Mountain Time)","value":"00:34:47"},{"id":151,"name":"Denver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75"/>
        <v>start /low /b %USERPROFILE%\Documents\GitHub\eaglep3\Utilities\DownloadLogsFromS3.py --loco 4007 --day 2017-12-06</v>
      </c>
      <c r="AN152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7"/>
        <v>https://d0f6bd738d7f1b3e5a7ca70fe4ff75f0.us-east-1.aws.found.io/app/kibana#/discover/Steve-Slow-Train-Analysis-(2080s-and-2083s)?_g=(refreshInterval:(display:Off,pause:!f,section:0,value:0),time:(from:'2017-12-06T22:36:26-0700',mode:absolute,to:'2017-12-07T01:34:47-0700'))&amp;_a=(columns:!('Message%20ID',Summary),filters:!(),index:'emp_*',interval:auto,query:(query_string:(analyze_wildcard:!t,query:'%22rtdc.l.rtdc.4007%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869</v>
      </c>
      <c r="B153" s="225">
        <v>4010</v>
      </c>
      <c r="C153" s="227" t="s">
        <v>192</v>
      </c>
      <c r="D153" s="227" t="s">
        <v>536</v>
      </c>
      <c r="E153" s="226">
        <v>43075.974039351851</v>
      </c>
      <c r="F153" s="226">
        <v>43075.97934027778</v>
      </c>
      <c r="G153" s="225">
        <v>62</v>
      </c>
      <c r="H153" s="227" t="s">
        <v>990</v>
      </c>
      <c r="I153" s="226">
        <v>43076.003101851849</v>
      </c>
      <c r="J153" s="225">
        <v>0</v>
      </c>
      <c r="K153" s="237" t="str">
        <f t="shared" si="56"/>
        <v>4009/4010</v>
      </c>
      <c r="L153" s="245" t="str">
        <f>VLOOKUP(A153,'Trips&amp;Operators'!$C$1:$G$99911,5,FALSE)</f>
        <v>RESPASS AARON</v>
      </c>
      <c r="M153" s="224">
        <f t="shared" si="57"/>
        <v>2.3761574069794733E-2</v>
      </c>
      <c r="N153" s="225">
        <f t="shared" si="53"/>
        <v>34.216666660504416</v>
      </c>
      <c r="O153" s="225"/>
      <c r="P153" s="225"/>
      <c r="Q153" s="228"/>
      <c r="R153" s="242"/>
      <c r="S153" s="249">
        <f t="shared" si="54"/>
        <v>1</v>
      </c>
      <c r="T153" s="242" t="str">
        <f t="shared" si="58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59"/>
        <v>https://d0f6bd738d7f1b3e5a7ca70fe4ff75f0.us-east-1.aws.found.io/app/kibana#/discover/Steve-Slow-Train-Analysis-(2080s-and-2083s)?_g=(refreshInterval:(display:Off,pause:!f,section:0,value:0),time:(from:'2017-12-06T22:22:37-0700',mode:absolute,to:'2017-12-07T01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247" t="str">
        <f>IF(AA153&lt;VLOOKUP(AG153,Variables!$AC$3:$AD$8,2,FALSE),"Y","N")</f>
        <v>N</v>
      </c>
      <c r="X153" s="247">
        <f t="shared" si="78"/>
        <v>1</v>
      </c>
      <c r="Y153" s="247">
        <f t="shared" si="71"/>
        <v>5.5899999999999998E-2</v>
      </c>
      <c r="Z153" s="247">
        <f t="shared" si="72"/>
        <v>23.3245</v>
      </c>
      <c r="AA153" s="247">
        <f t="shared" si="61"/>
        <v>23.268599999999999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2"/>
        <v>239</v>
      </c>
      <c r="AE153" s="235" t="str">
        <f t="shared" si="63"/>
        <v>aws s3 cp s3://rtdc.mdm.uploadarchive.raw/RTDC4010/ "%USERPROFILE%\AppData\Local\Temp\OnboardLogs"\RTDC4010\2017-12-06 --exclude "*" --recursive --include "*20171206*" &amp; "%USERPROFILE%\Documents\GitHub\mrs-test-scripts\Headless Mode &amp; Sideloading\WalkAndUnGZ.bat" "%USERPROFILE%\AppData\Local\Temp\OnboardLogs"\RTDC4010\2017-12-06 &amp; 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</v>
      </c>
      <c r="AF153" s="234" t="str">
        <f t="shared" si="64"/>
        <v>"C:\Program Files (x86)\AstroGrep\AstroGrep.exe" /e /r /s /spath="%USERPROFILE%\AppData\Local\Temp\OnboardLogs" /stypes="app*4010*20171207*" /stext=" 07:.+((SYSTEM_STATE.+slice.+state.+changed )|(ment ac)|(multiple cpu faults)|(system.+state.+changed )|(\[timeout)|(PRM\|1\|D)|(kpr)|(kdp)|(train st.+moving)|(\|lc)|(penalty))"</v>
      </c>
      <c r="AG153" s="244" t="str">
        <f t="shared" si="65"/>
        <v>EC</v>
      </c>
      <c r="AH153" s="236" t="str">
        <f t="shared" si="73"/>
        <v>"%USERPROFILE%\Documents\GitHub\eaglep3\Utilities\RefineRTDCRunTimes.py" --tripid 239-06 --locoid 4010 --swversion DE.1.0.9.0 --startMP 204:559 --initTime 2017-12-06T23:22:37 --startdatetime 2017-12-06T23:30:15 --delay 62 --endMP 204:233245 --enddatetime 2017-12-07T00:04:28 --enforcementcount 0 &gt;&gt;%USERPROFILE%\Documents\GitHub\eaglep3-reporting\EC\2017-12-06-refined-times.txt</v>
      </c>
      <c r="AI153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{"issue":{"subject":"","project_id":79,"tracker_id":40,"status_id":1,"priority_id":2,"assigned_to_id":338,"start_date":"2017-12-07","description":"","custom_fields":[{"id":1,"name":"Subdivision","value":"EC"},{"id":4,"name":"Milepost","value":"23.3245"},{"id":17,"name":"Train ID","value":"239-06"},{"id":16,"name":"Locomotive ID","value":"4010"},{"id":130,"name":"Impact","value":""},{"id":150,"name":"Time of Event (Mountain Time)","value":"00:04:28"},{"id":151,"name":"Denver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75"/>
        <v>start /low /b %USERPROFILE%\Documents\GitHub\eaglep3\Utilities\DownloadLogsFromS3.py --loco 4010 --day 2017-12-06</v>
      </c>
      <c r="AN153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07:04:28"},{"id":29,"name":"Sharepoint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7"/>
        <v>https://d0f6bd738d7f1b3e5a7ca70fe4ff75f0.us-east-1.aws.found.io/app/kibana#/discover/Steve-Slow-Train-Analysis-(2080s-and-2083s)?_g=(refreshInterval:(display:Off,pause:!f,section:0,value:0),time:(from:'2017-12-06T22:22:37-0700',mode:absolute,to:'2017-12-07T01:04:28-0700'))&amp;_a=(columns:!('Message%20ID',Summary),filters:!(),index:'emp_*',interval:auto,query:(query_string:(analyze_wildcard:!t,query:'%22rtdc.l.rtdc.4010%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874</v>
      </c>
      <c r="B154" s="225">
        <v>4009</v>
      </c>
      <c r="C154" s="227" t="s">
        <v>192</v>
      </c>
      <c r="D154" s="227" t="s">
        <v>593</v>
      </c>
      <c r="E154" s="226">
        <v>43076.015208333331</v>
      </c>
      <c r="F154" s="226">
        <v>43076.019085648149</v>
      </c>
      <c r="G154" s="225">
        <v>63</v>
      </c>
      <c r="H154" s="227" t="s">
        <v>983</v>
      </c>
      <c r="I154" s="226">
        <v>43076.044039351851</v>
      </c>
      <c r="J154" s="225">
        <v>0</v>
      </c>
      <c r="K154" s="237" t="str">
        <f t="shared" si="56"/>
        <v>4009/4010</v>
      </c>
      <c r="L154" s="245" t="str">
        <f>VLOOKUP(A154,'Trips&amp;Operators'!$C$1:$G$99911,5,FALSE)</f>
        <v>RESPASS AARON</v>
      </c>
      <c r="M154" s="224">
        <f t="shared" si="57"/>
        <v>2.495370370161254E-2</v>
      </c>
      <c r="N154" s="225">
        <f t="shared" si="53"/>
        <v>35.933333330322057</v>
      </c>
      <c r="O154" s="225"/>
      <c r="P154" s="225"/>
      <c r="Q154" s="228"/>
      <c r="R154" s="242"/>
      <c r="S154" s="249">
        <f t="shared" si="54"/>
        <v>1</v>
      </c>
      <c r="T154" s="242" t="str">
        <f t="shared" si="58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59"/>
        <v>https://d0f6bd738d7f1b3e5a7ca70fe4ff75f0.us-east-1.aws.found.io/app/kibana#/discover/Steve-Slow-Train-Analysis-(2080s-and-2083s)?_g=(refreshInterval:(display:Off,pause:!f,section:0,value:0),time:(from:'2017-12-06T23:21:54-0700',mode:absolute,to:'2017-12-07T02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247" t="str">
        <f>IF(AA154&lt;VLOOKUP(AG154,Variables!$AC$3:$AD$8,2,FALSE),"Y","N")</f>
        <v>N</v>
      </c>
      <c r="X154" s="247">
        <f t="shared" si="78"/>
        <v>1</v>
      </c>
      <c r="Y154" s="247">
        <f t="shared" si="71"/>
        <v>23.291699999999999</v>
      </c>
      <c r="Z154" s="247">
        <f t="shared" si="72"/>
        <v>2.5100000000000001E-2</v>
      </c>
      <c r="AA154" s="247">
        <f t="shared" si="61"/>
        <v>23.2666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2"/>
        <v>240</v>
      </c>
      <c r="AE154" s="235" t="str">
        <f t="shared" si="63"/>
        <v>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 &amp; 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</v>
      </c>
      <c r="AF154" s="234" t="str">
        <f t="shared" si="64"/>
        <v>"C:\Program Files (x86)\AstroGrep\AstroGrep.exe" /e /r /s /spath="%USERPROFILE%\AppData\Local\Temp\OnboardLogs" /stypes="app*4009*20171207*" /stext=" 08:.+((SYSTEM_STATE.+slice.+state.+changed )|(ment ac)|(multiple cpu faults)|(system.+state.+changed )|(\[timeout)|(PRM\|1\|D)|(kpr)|(kdp)|(train st.+moving)|(\|lc)|(penalty))"</v>
      </c>
      <c r="AG154" s="244" t="str">
        <f t="shared" si="65"/>
        <v>EC</v>
      </c>
      <c r="AH154" s="236" t="str">
        <f t="shared" si="73"/>
        <v>"%USERPROFILE%\Documents\GitHub\eaglep3\Utilities\RefineRTDCRunTimes.py" --tripid 240-06 --locoid 4009 --swversion DE.1.0.9.0 --startMP 204:232917 --initTime 2017-12-07T00:21:54 --startdatetime 2017-12-07T00:27:29 --delay 63 --endMP 204:251 --enddatetime 2017-12-07T01:03:25 --enforcementcount 0 &gt;&gt;%USERPROFILE%\Documents\GitHub\eaglep3-reporting\EC\2017-12-06-refined-times.txt</v>
      </c>
      <c r="AI154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{"issue":{"subject":"","project_id":79,"tracker_id":40,"status_id":1,"priority_id":2,"assigned_to_id":338,"start_date":"2017-12-07","description":"","custom_fields":[{"id":1,"name":"Subdivision","value":"EC"},{"id":4,"name":"Milepost","value":"0.0251"},{"id":17,"name":"Train ID","value":"240-06"},{"id":16,"name":"Locomotive ID","value":"4009"},{"id":130,"name":"Impact","value":""},{"id":150,"name":"Time of Event (Mountain Time)","value":"01:03:25"},{"id":151,"name":"Denver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5"/>
        <v>start /low /b %USERPROFILE%\Documents\GitHub\eaglep3\Utilities\DownloadLogsFromS3.py --loco 4009 --day 2017-12-07</v>
      </c>
      <c r="AN154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08:03:25"},{"id":29,"name":"Sharepoint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7"/>
        <v>https://d0f6bd738d7f1b3e5a7ca70fe4ff75f0.us-east-1.aws.found.io/app/kibana#/discover/Steve-Slow-Train-Analysis-(2080s-and-2083s)?_g=(refreshInterval:(display:Off,pause:!f,section:0,value:0),time:(from:'2017-12-06T23:21:54-0700',mode:absolute,to:'2017-12-07T02:03:25-0700'))&amp;_a=(columns:!('Message%20ID',Summary),filters:!(),index:'emp_*',interval:auto,query:(query_string:(analyze_wildcard:!t,query:'%22rtdc.l.rtdc.4009%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872</v>
      </c>
      <c r="B155" s="225">
        <v>4032</v>
      </c>
      <c r="C155" s="227" t="s">
        <v>192</v>
      </c>
      <c r="D155" s="227" t="s">
        <v>991</v>
      </c>
      <c r="E155" s="226">
        <v>43075.986203703702</v>
      </c>
      <c r="F155" s="226">
        <v>43076.000196759262</v>
      </c>
      <c r="G155" s="225">
        <v>92</v>
      </c>
      <c r="H155" s="227" t="s">
        <v>490</v>
      </c>
      <c r="I155" s="226">
        <v>43076.023842592593</v>
      </c>
      <c r="J155" s="225">
        <v>0</v>
      </c>
      <c r="K155" s="237" t="str">
        <f t="shared" si="56"/>
        <v>4031/4032</v>
      </c>
      <c r="L155" s="245" t="str">
        <f>VLOOKUP(A155,'Trips&amp;Operators'!$C$1:$G$99911,5,FALSE)</f>
        <v>LOZA FIDEL</v>
      </c>
      <c r="M155" s="224">
        <f t="shared" si="57"/>
        <v>2.364583333110204E-2</v>
      </c>
      <c r="N155" s="225">
        <f t="shared" si="53"/>
        <v>34.049999996786937</v>
      </c>
      <c r="O155" s="225"/>
      <c r="P155" s="225"/>
      <c r="Q155" s="228"/>
      <c r="R155" s="242"/>
      <c r="S155" s="249">
        <f t="shared" si="54"/>
        <v>1</v>
      </c>
      <c r="T155" s="242" t="str">
        <f t="shared" si="58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59"/>
        <v>https://d0f6bd738d7f1b3e5a7ca70fe4ff75f0.us-east-1.aws.found.io/app/kibana#/discover/Steve-Slow-Train-Analysis-(2080s-and-2083s)?_g=(refreshInterval:(display:Off,pause:!f,section:0,value:0),time:(from:'2017-12-06T22:40:08-0700',mode:absolute,to:'2017-12-07T01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47" t="str">
        <f>IF(AA155&lt;VLOOKUP(AG155,Variables!$AC$3:$AD$8,2,FALSE),"Y","N")</f>
        <v>N</v>
      </c>
      <c r="X155" s="247">
        <f t="shared" si="78"/>
        <v>1</v>
      </c>
      <c r="Y155" s="247">
        <f t="shared" si="71"/>
        <v>5.3900000000000003E-2</v>
      </c>
      <c r="Z155" s="247">
        <f t="shared" si="72"/>
        <v>23.325500000000002</v>
      </c>
      <c r="AA155" s="247">
        <f t="shared" si="61"/>
        <v>23.271600000000003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2"/>
        <v>241</v>
      </c>
      <c r="AE155" s="235" t="str">
        <f t="shared" si="63"/>
        <v>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 &amp; 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</v>
      </c>
      <c r="AF155" s="234" t="str">
        <f t="shared" si="64"/>
        <v>"C:\Program Files (x86)\AstroGrep\AstroGrep.exe" /e /r /s /spath="%USERPROFILE%\AppData\Local\Temp\OnboardLogs" /stypes="app*4032*20171207*" /stext=" 07:.+((SYSTEM_STATE.+slice.+state.+changed )|(ment ac)|(multiple cpu faults)|(system.+state.+changed )|(\[timeout)|(PRM\|1\|D)|(kpr)|(kdp)|(train st.+moving)|(\|lc)|(penalty))"</v>
      </c>
      <c r="AG155" s="244" t="str">
        <f t="shared" si="65"/>
        <v>EC</v>
      </c>
      <c r="AH155" s="236" t="str">
        <f t="shared" si="73"/>
        <v>"%USERPROFILE%\Documents\GitHub\eaglep3\Utilities\RefineRTDCRunTimes.py" --tripid 241-06 --locoid 4032 --swversion DE.1.0.9.0 --startMP 204:539 --initTime 2017-12-06T23:40:08 --startdatetime 2017-12-07T00:00:17 --delay 92 --endMP 204:233255 --enddatetime 2017-12-07T00:34:20 --enforcementcount 0 &gt;&gt;%USERPROFILE%\Documents\GitHub\eaglep3-reporting\EC\2017-12-06-refined-times.txt</v>
      </c>
      <c r="AI155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{"issue":{"subject":"","project_id":79,"tracker_id":40,"status_id":1,"priority_id":2,"assigned_to_id":338,"start_date":"2017-12-07","description":"","custom_fields":[{"id":1,"name":"Subdivision","value":"EC"},{"id":4,"name":"Milepost","value":"23.3255"},{"id":17,"name":"Train ID","value":"241-06"},{"id":16,"name":"Locomotive ID","value":"4032"},{"id":130,"name":"Impact","value":""},{"id":150,"name":"Time of Event (Mountain Time)","value":"00:34:20"},{"id":151,"name":"Denver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75"/>
        <v>start /low /b %USERPROFILE%\Documents\GitHub\eaglep3\Utilities\DownloadLogsFromS3.py --loco 4032 --day 2017-12-07</v>
      </c>
      <c r="AN155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07:34:20"},{"id":29,"name":"Sharepoint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7"/>
        <v>https://d0f6bd738d7f1b3e5a7ca70fe4ff75f0.us-east-1.aws.found.io/app/kibana#/discover/Steve-Slow-Train-Analysis-(2080s-and-2083s)?_g=(refreshInterval:(display:Off,pause:!f,section:0,value:0),time:(from:'2017-12-06T22:40:08-0700',mode:absolute,to:'2017-12-07T01:34:20-0700'))&amp;_a=(columns:!('Message%20ID',Summary),filters:!(),index:'emp_*',interval:auto,query:(query_string:(analyze_wildcard:!t,query:'%22rtdc.l.rtdc.4032%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876</v>
      </c>
      <c r="B156" s="225">
        <v>4031</v>
      </c>
      <c r="C156" s="227" t="s">
        <v>192</v>
      </c>
      <c r="D156" s="227" t="s">
        <v>501</v>
      </c>
      <c r="E156" s="226">
        <v>43076.033171296294</v>
      </c>
      <c r="F156" s="226">
        <v>43076.03979166667</v>
      </c>
      <c r="G156" s="225">
        <v>89</v>
      </c>
      <c r="H156" s="227" t="s">
        <v>531</v>
      </c>
      <c r="I156" s="226">
        <v>43076.067013888889</v>
      </c>
      <c r="J156" s="225">
        <v>0</v>
      </c>
      <c r="K156" s="237" t="str">
        <f t="shared" si="56"/>
        <v>4031/4032</v>
      </c>
      <c r="L156" s="245" t="str">
        <f>VLOOKUP(A156,'Trips&amp;Operators'!$C$1:$G$99911,5,FALSE)</f>
        <v>LONG FULLER</v>
      </c>
      <c r="M156" s="224">
        <f t="shared" si="57"/>
        <v>2.7222222219279502E-2</v>
      </c>
      <c r="N156" s="225">
        <f t="shared" ref="N156:P187" si="79">24*60*SUM($M156:$M156)</f>
        <v>39.199999995762482</v>
      </c>
      <c r="O156" s="225"/>
      <c r="P156" s="225"/>
      <c r="Q156" s="228"/>
      <c r="R156" s="242"/>
      <c r="S156" s="249">
        <f t="shared" ref="S156:S187" si="80">1/IF(AG156="EC",12,1)*SUM(U156:U156)</f>
        <v>1</v>
      </c>
      <c r="T156" s="242" t="str">
        <f t="shared" si="58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59"/>
        <v>https://d0f6bd738d7f1b3e5a7ca70fe4ff75f0.us-east-1.aws.found.io/app/kibana#/discover/Steve-Slow-Train-Analysis-(2080s-and-2083s)?_g=(refreshInterval:(display:Off,pause:!f,section:0,value:0),time:(from:'2017-12-06T23:47:46-0700',mode:absolute,to:'2017-12-07T02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47" t="str">
        <f>IF(AA156&lt;VLOOKUP(AG156,Variables!$AC$3:$AD$8,2,FALSE),"Y","N")</f>
        <v>N</v>
      </c>
      <c r="X156" s="247">
        <f t="shared" si="78"/>
        <v>1</v>
      </c>
      <c r="Y156" s="247">
        <f t="shared" si="71"/>
        <v>23.2942</v>
      </c>
      <c r="Z156" s="247">
        <f t="shared" si="72"/>
        <v>2.6700000000000002E-2</v>
      </c>
      <c r="AA156" s="247">
        <f t="shared" si="61"/>
        <v>23.267499999999998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2"/>
        <v>242</v>
      </c>
      <c r="AE156" s="235" t="str">
        <f t="shared" si="63"/>
        <v>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 &amp; 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</v>
      </c>
      <c r="AF156" s="234" t="str">
        <f t="shared" si="64"/>
        <v>"C:\Program Files (x86)\AstroGrep\AstroGrep.exe" /e /r /s /spath="%USERPROFILE%\AppData\Local\Temp\OnboardLogs" /stypes="app*4031*20171207*" /stext=" 08:.+((SYSTEM_STATE.+slice.+state.+changed )|(ment ac)|(multiple cpu faults)|(system.+state.+changed )|(\[timeout)|(PRM\|1\|D)|(kpr)|(kdp)|(train st.+moving)|(\|lc)|(penalty))"</v>
      </c>
      <c r="AG156" s="244" t="str">
        <f t="shared" si="65"/>
        <v>EC</v>
      </c>
      <c r="AH156" s="236" t="str">
        <f t="shared" si="73"/>
        <v>"%USERPROFILE%\Documents\GitHub\eaglep3\Utilities\RefineRTDCRunTimes.py" --tripid 242-06 --locoid 4031 --swversion DE.1.0.9.0 --startMP 204:232942 --initTime 2017-12-07T00:47:46 --startdatetime 2017-12-07T00:57:18 --delay 89 --endMP 204:267 --enddatetime 2017-12-07T01:36:30 --enforcementcount 0 &gt;&gt;%USERPROFILE%\Documents\GitHub\eaglep3-reporting\EC\2017-12-06-refined-times.txt</v>
      </c>
      <c r="AI156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{"issue":{"subject":"","project_id":79,"tracker_id":40,"status_id":1,"priority_id":2,"assigned_to_id":338,"start_date":"2017-12-07","description":"","custom_fields":[{"id":1,"name":"Subdivision","value":"EC"},{"id":4,"name":"Milepost","value":"0.0267"},{"id":17,"name":"Train ID","value":"242-06"},{"id":16,"name":"Locomotive ID","value":"4031"},{"id":130,"name":"Impact","value":""},{"id":150,"name":"Time of Event (Mountain Time)","value":"01:36:30"},{"id":151,"name":"Denver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75"/>
        <v>start /low /b %USERPROFILE%\Documents\GitHub\eaglep3\Utilities\DownloadLogsFromS3.py --loco 4031 --day 2017-12-07</v>
      </c>
      <c r="AN156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08:36:30"},{"id":29,"name":"Sharepoint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77"/>
        <v>https://d0f6bd738d7f1b3e5a7ca70fe4ff75f0.us-east-1.aws.found.io/app/kibana#/discover/Steve-Slow-Train-Analysis-(2080s-and-2083s)?_g=(refreshInterval:(display:Off,pause:!f,section:0,value:0),time:(from:'2017-12-06T23:47:46-0700',mode:absolute,to:'2017-12-07T02:36:30-0700'))&amp;_a=(columns:!('Message%20ID',Summary),filters:!(),index:'emp_*',interval:auto,query:(query_string:(analyze_wildcard:!t,query:'%22rtdc.l.rtdc.4031%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873</v>
      </c>
      <c r="B157" s="225">
        <v>4064</v>
      </c>
      <c r="C157" s="227" t="s">
        <v>192</v>
      </c>
      <c r="D157" s="227" t="s">
        <v>501</v>
      </c>
      <c r="E157" s="226">
        <v>43076.033171296294</v>
      </c>
      <c r="F157" s="226">
        <v>43076.021192129629</v>
      </c>
      <c r="G157" s="225">
        <v>89</v>
      </c>
      <c r="H157" s="227" t="s">
        <v>531</v>
      </c>
      <c r="I157" s="226">
        <v>43076.046886574077</v>
      </c>
      <c r="J157" s="225">
        <v>0</v>
      </c>
      <c r="K157" s="237" t="str">
        <f t="shared" si="56"/>
        <v>4063/4064</v>
      </c>
      <c r="L157" s="245" t="str">
        <f>VLOOKUP(A157,'Trips&amp;Operators'!$C$1:$G$99911,5,FALSE)</f>
        <v>ANDERS STEVEN</v>
      </c>
      <c r="M157" s="224">
        <f t="shared" si="57"/>
        <v>2.5694444448163267E-2</v>
      </c>
      <c r="N157" s="225">
        <f t="shared" si="79"/>
        <v>37.000000005355105</v>
      </c>
      <c r="O157" s="225"/>
      <c r="P157" s="225"/>
      <c r="Q157" s="228"/>
      <c r="R157" s="242"/>
      <c r="S157" s="249">
        <f t="shared" si="80"/>
        <v>1</v>
      </c>
      <c r="T157" s="242" t="str">
        <f t="shared" si="58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59"/>
        <v>https://d0f6bd738d7f1b3e5a7ca70fe4ff75f0.us-east-1.aws.found.io/app/kibana#/discover/Steve-Slow-Train-Analysis-(2080s-and-2083s)?_g=(refreshInterval:(display:Off,pause:!f,section:0,value:0),time:(from:'2017-12-06T23:47:46-0700',mode:absolute,to:'2017-12-07T02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7" s="247" t="str">
        <f>IF(AA157&lt;VLOOKUP(AG157,Variables!$AC$3:$AD$8,2,FALSE),"Y","N")</f>
        <v>N</v>
      </c>
      <c r="X157" s="247">
        <f t="shared" si="78"/>
        <v>1</v>
      </c>
      <c r="Y157" s="247">
        <v>5.3900000000000003E-2</v>
      </c>
      <c r="Z157" s="247">
        <v>23.325500000000002</v>
      </c>
      <c r="AA157" s="247">
        <f t="shared" si="61"/>
        <v>23.271600000000003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2"/>
        <v>243</v>
      </c>
      <c r="AE157" s="235" t="str">
        <f t="shared" si="63"/>
        <v>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 &amp; 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</v>
      </c>
      <c r="AF157" s="234" t="str">
        <f t="shared" si="64"/>
        <v>"C:\Program Files (x86)\AstroGrep\AstroGrep.exe" /e /r /s /spath="%USERPROFILE%\AppData\Local\Temp\OnboardLogs" /stypes="app*4064*20171207*" /stext=" 08:.+((SYSTEM_STATE.+slice.+state.+changed )|(ment ac)|(multiple cpu faults)|(system.+state.+changed )|(\[timeout)|(PRM\|1\|D)|(kpr)|(kdp)|(train st.+moving)|(\|lc)|(penalty))"</v>
      </c>
      <c r="AG157" s="244" t="str">
        <f t="shared" si="65"/>
        <v>EC</v>
      </c>
      <c r="AH157" s="236" t="str">
        <f t="shared" ref="AH157" si="81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243-06 --locoid 4064 --swversion DE.1.0.9.0 --startMP 204:232942 --initTime 2017-12-07T00:47:46 --startdatetime 2017-12-07T00:30:31 --delay 89 --endMP 204:267 --enddatetime 2017-12-07T01:07:31 --enforcementcount 0 &gt;&gt;%USERPROFILE%\Documents\GitHub\eaglep3-reporting\EC\2017-12-06-refined-times.txt</v>
      </c>
      <c r="AI157" s="238" t="str">
        <f t="shared" ref="AI157" si="82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{"issue":{"subject":"","project_id":79,"tracker_id":40,"status_id":1,"priority_id":2,"assigned_to_id":338,"start_date":"2017-12-07","description":"","custom_fields":[{"id":1,"name":"Subdivision","value":"EC"},{"id":4,"name":"Milepost","value":"23.3255"},{"id":17,"name":"Train ID","value":"243-06"},{"id":16,"name":"Locomotive ID","value":"4064"},{"id":130,"name":"Impact","value":""},{"id":150,"name":"Time of Event (Mountain Time)","value":"01:07:31"},{"id":151,"name":"Denver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83">"start /low /b "&amp;dls3logs&amp;" --loco "&amp;B157&amp;" --day "&amp;TEXT(F157,"YYYY-MM-DD")</f>
        <v>start /low /b %USERPROFILE%\Documents\GitHub\eaglep3\Utilities\DownloadLogsFromS3.py --loco 4064 --day 2017-12-07</v>
      </c>
      <c r="AN157" s="241" t="str">
        <f t="shared" ref="AN157" si="84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08:07:31"},{"id":29,"name":"Sharepoint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85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-06T23:47:46-0700',mode:absolute,to:'2017-12-07T02:07:31-0700'))&amp;_a=(columns:!('Message%20ID',Summary),filters:!(),index:'emp_*',interval:auto,query:(query_string:(analyze_wildcard:!t,query:'%22rtdc.l.rtdc.4064%22')),sort:!(Time.ISO8601,asc))</v>
      </c>
    </row>
    <row r="158" spans="1:91" s="223" customFormat="1" x14ac:dyDescent="0.25">
      <c r="A158" s="229" t="s">
        <v>878</v>
      </c>
      <c r="B158" s="225">
        <v>4063</v>
      </c>
      <c r="C158" s="227" t="s">
        <v>192</v>
      </c>
      <c r="D158" s="227" t="s">
        <v>599</v>
      </c>
      <c r="E158" s="226">
        <v>43076.050787037035</v>
      </c>
      <c r="F158" s="226">
        <v>43076.060810185183</v>
      </c>
      <c r="G158" s="225">
        <v>62</v>
      </c>
      <c r="H158" s="227" t="s">
        <v>577</v>
      </c>
      <c r="I158" s="226">
        <v>43076.087361111109</v>
      </c>
      <c r="J158" s="225">
        <v>0</v>
      </c>
      <c r="K158" s="237" t="str">
        <f t="shared" si="56"/>
        <v>4063/4064</v>
      </c>
      <c r="L158" s="245" t="str">
        <f>VLOOKUP(A158,'Trips&amp;Operators'!$C$1:$G$99911,5,FALSE)</f>
        <v>ANDERS STEVEN</v>
      </c>
      <c r="M158" s="224">
        <f t="shared" si="57"/>
        <v>2.6550925926130731E-2</v>
      </c>
      <c r="N158" s="225">
        <f t="shared" si="79"/>
        <v>38.233333333628252</v>
      </c>
      <c r="O158" s="225"/>
      <c r="P158" s="225"/>
      <c r="Q158" s="228"/>
      <c r="R158" s="242"/>
      <c r="S158" s="249">
        <f t="shared" si="80"/>
        <v>1</v>
      </c>
      <c r="T158" s="242" t="str">
        <f t="shared" si="58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59"/>
        <v>https://d0f6bd738d7f1b3e5a7ca70fe4ff75f0.us-east-1.aws.found.io/app/kibana#/discover/Steve-Slow-Train-Analysis-(2080s-and-2083s)?_g=(refreshInterval:(display:Off,pause:!f,section:0,value:0),time:(from:'2017-12-07T00:13:08-0700',mode:absolute,to:'2017-12-07T03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8" s="247" t="str">
        <f>IF(AA158&lt;VLOOKUP(AG158,Variables!$AC$3:$AD$8,2,FALSE),"Y","N")</f>
        <v>N</v>
      </c>
      <c r="X158" s="247">
        <f t="shared" ref="X158:X160" si="86">VALUE(LEFT(AD158,4))-VALUE(LEFT(AD157,4))</f>
        <v>1</v>
      </c>
      <c r="Y158" s="247">
        <f t="shared" ref="Y158:Y167" si="87">RIGHT(D158,LEN(D158)-4)/10000</f>
        <v>23.296700000000001</v>
      </c>
      <c r="Z158" s="247">
        <f t="shared" ref="Z158:Z167" si="88">RIGHT(H158,LEN(H158)-4)/10000</f>
        <v>2.23E-2</v>
      </c>
      <c r="AA158" s="247">
        <f t="shared" si="61"/>
        <v>23.2744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2"/>
        <v>244</v>
      </c>
      <c r="AE158" s="235" t="str">
        <f t="shared" si="63"/>
        <v>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 &amp; 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</v>
      </c>
      <c r="AF158" s="234" t="str">
        <f t="shared" si="64"/>
        <v>"C:\Program Files (x86)\AstroGrep\AstroGrep.exe" /e /r /s /spath="%USERPROFILE%\AppData\Local\Temp\OnboardLogs" /stypes="app*4063*20171207*" /stext=" 09:.+((SYSTEM_STATE.+slice.+state.+changed )|(ment ac)|(multiple cpu faults)|(system.+state.+changed )|(\[timeout)|(PRM\|1\|D)|(kpr)|(kdp)|(train st.+moving)|(\|lc)|(penalty))"</v>
      </c>
      <c r="AG158" s="244" t="str">
        <f t="shared" si="65"/>
        <v>EC</v>
      </c>
      <c r="AH158" s="236" t="str">
        <f t="shared" si="73"/>
        <v>"%USERPROFILE%\Documents\GitHub\eaglep3\Utilities\RefineRTDCRunTimes.py" --tripid 244-06 --locoid 4063 --swversion DE.1.0.9.0 --startMP 204:232967 --initTime 2017-12-07T01:13:08 --startdatetime 2017-12-07T01:27:34 --delay 62 --endMP 204:223 --enddatetime 2017-12-07T02:05:48 --enforcementcount 0 &gt;&gt;%USERPROFILE%\Documents\GitHub\eaglep3-reporting\EC\2017-12-06-refined-times.txt</v>
      </c>
      <c r="AI158" s="238" t="str">
        <f t="shared" si="74"/>
        <v>echo {"issue":{"subject":"","project_id":79,"tracker_id":40,"status_id":1,"priority_id":2,"assigned_to_id":338,"start_date":"2017-12-07","description":"","custom_fields":[{"id":1,"name":"Subdivision","value":"EC"},{"id":4,"name":"Milepost","value":"0.0223"},{"id":17,"name":"Train ID","value":"244-06"},{"id":16,"name":"Locomotive ID","value":"4063"},{"id":130,"name":"Impact","value":""},{"id":150,"name":"Time of Event (Mountain Time)","value":"02:05:48"},{"id":151,"name":"Denver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75"/>
        <v>start /low /b %USERPROFILE%\Documents\GitHub\eaglep3\Utilities\DownloadLogsFromS3.py --loco 4063 --day 2017-12-07</v>
      </c>
      <c r="AN158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09:05:48"},{"id":29,"name":"Sharepoint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7"/>
        <v>https://d0f6bd738d7f1b3e5a7ca70fe4ff75f0.us-east-1.aws.found.io/app/kibana#/discover/Steve-Slow-Train-Analysis-(2080s-and-2083s)?_g=(refreshInterval:(display:Off,pause:!f,section:0,value:0),time:(from:'2017-12-07T00:13:08-0700',mode:absolute,to:'2017-12-07T03:05:48-0700'))&amp;_a=(columns:!('Message%20ID',Summary),filters:!(),index:'emp_*',interval:auto,query:(query_string:(analyze_wildcard:!t,query:'%22rtdc.l.rtdc.4063%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682</v>
      </c>
      <c r="B159" s="225">
        <v>4057</v>
      </c>
      <c r="C159" s="227" t="s">
        <v>192</v>
      </c>
      <c r="D159" s="227" t="s">
        <v>1049</v>
      </c>
      <c r="E159" s="226">
        <v>43075.211805555555</v>
      </c>
      <c r="F159" s="226">
        <v>43075.213275462964</v>
      </c>
      <c r="G159" s="225">
        <v>61</v>
      </c>
      <c r="H159" s="227" t="s">
        <v>1050</v>
      </c>
      <c r="I159" s="226">
        <v>43075.226030092592</v>
      </c>
      <c r="J159" s="225">
        <v>0</v>
      </c>
      <c r="K159" s="237" t="str">
        <f t="shared" si="56"/>
        <v>4057/4058</v>
      </c>
      <c r="L159" s="245" t="str">
        <f>VLOOKUP(A159,'Trips&amp;Operators'!$C$1:$G$99911,5,FALSE)</f>
        <v>LAMAR NEKESHA</v>
      </c>
      <c r="M159" s="224">
        <f t="shared" si="57"/>
        <v>1.2754629628034309E-2</v>
      </c>
      <c r="N159" s="225">
        <f t="shared" si="79"/>
        <v>18.366666664369404</v>
      </c>
      <c r="O159" s="225"/>
      <c r="P159" s="225"/>
      <c r="Q159" s="228"/>
      <c r="R159" s="242"/>
      <c r="S159" s="249">
        <f t="shared" si="80"/>
        <v>1</v>
      </c>
      <c r="T159" s="242" t="str">
        <f t="shared" si="58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59"/>
        <v>https://d0f6bd738d7f1b3e5a7ca70fe4ff75f0.us-east-1.aws.found.io/app/kibana#/discover/Steve-Slow-Train-Analysis-(2080s-and-2083s)?_g=(refreshInterval:(display:Off,pause:!f,section:0,value:0),time:(from:'2017-12-06T04:05:00-0700',mode:absolute,to:'2017-12-06T06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247" t="str">
        <f>IF(AA159&lt;VLOOKUP(AG159,Variables!$AC$3:$AD$8,2,FALSE),"Y","N")</f>
        <v>N</v>
      </c>
      <c r="X159" s="247">
        <f t="shared" si="86"/>
        <v>556</v>
      </c>
      <c r="Y159" s="247">
        <f t="shared" si="87"/>
        <v>5.8677000000000001</v>
      </c>
      <c r="Z159" s="247">
        <f t="shared" si="88"/>
        <v>1.6400000000000001E-2</v>
      </c>
      <c r="AA159" s="247">
        <f t="shared" si="61"/>
        <v>5.8513000000000002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2"/>
        <v>800</v>
      </c>
      <c r="AE159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59" s="234" t="str">
        <f t="shared" si="64"/>
        <v>"C:\Program Files (x86)\AstroGrep\AstroGrep.exe" /e /r /s /spath="%USERPROFILE%\AppData\Local\Temp\OnboardLogs" /stypes="app*4057*20171206*" /stext=" 12:.+((SYSTEM_STATE.+slice.+state.+changed )|(ment ac)|(multiple cpu faults)|(system.+state.+changed )|(\[timeout)|(PRM\|1\|D)|(kpr)|(kdp)|(train st.+moving)|(\|lc)|(penalty))"</v>
      </c>
      <c r="AG159" s="244" t="str">
        <f t="shared" si="65"/>
        <v>NW</v>
      </c>
      <c r="AH159" s="236" t="str">
        <f t="shared" si="73"/>
        <v>"%USERPROFILE%\Documents\GitHub\eaglep3\Utilities\RefineRTDCRunTimes.py" --tripid 800-06 --locoid 4057 --swversion DE.1.0.9.0 --startMP 300:58677 --initTime 2017-12-06T05:05:00 --startdatetime 2017-12-06T05:07:07 --delay 61 --endMP 204:164 --enddatetime 2017-12-06T05:25:29 --enforcementcount 0 &gt;&gt;%USERPROFILE%\Documents\GitHub\eaglep3-reporting\EC\2017-12-06-refined-times.txt</v>
      </c>
      <c r="AI159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{"issue":{"subject":"","project_id":79,"tracker_id":40,"status_id":1,"priority_id":2,"assigned_to_id":338,"start_date":"2017-12-06","description":"","custom_fields":[{"id":1,"name":"Subdivision","value":"NW"},{"id":4,"name":"Milepost","value":"0.0164"},{"id":17,"name":"Train ID","value":"800-06"},{"id":16,"name":"Locomotive ID","value":"4057"},{"id":130,"name":"Impact","value":""},{"id":150,"name":"Time of Event (Mountain Time)","value":"05:25:29"},{"id":151,"name":"Denver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75"/>
        <v>start /low /b %USERPROFILE%\Documents\GitHub\eaglep3\Utilities\DownloadLogsFromS3.py --loco 4057 --day 2017-12-06</v>
      </c>
      <c r="AN159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7"/>
        <v>https://d0f6bd738d7f1b3e5a7ca70fe4ff75f0.us-east-1.aws.found.io/app/kibana#/discover/Steve-Slow-Train-Analysis-(2080s-and-2083s)?_g=(refreshInterval:(display:Off,pause:!f,section:0,value:0),time:(from:'2017-12-06T04:05:00-0700',mode:absolute,to:'2017-12-06T06:25:29-0700'))&amp;_a=(columns:!('Message%20ID',Summary),filters:!(),index:'emp_*',interval:auto,query:(query_string:(analyze_wildcard:!t,query:'%22rtdc.l.rtdc.4057%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685</v>
      </c>
      <c r="B160" s="225">
        <v>4058</v>
      </c>
      <c r="C160" s="227" t="s">
        <v>192</v>
      </c>
      <c r="D160" s="227" t="s">
        <v>1051</v>
      </c>
      <c r="E160" s="226">
        <v>43075.228564814817</v>
      </c>
      <c r="F160" s="226">
        <v>43075.235729166663</v>
      </c>
      <c r="G160" s="225">
        <v>47</v>
      </c>
      <c r="H160" s="227" t="s">
        <v>1052</v>
      </c>
      <c r="I160" s="226">
        <v>43075.244803240741</v>
      </c>
      <c r="J160" s="225">
        <v>0</v>
      </c>
      <c r="K160" s="237" t="str">
        <f t="shared" si="56"/>
        <v>4057/4058</v>
      </c>
      <c r="L160" s="245" t="str">
        <f>VLOOKUP(A160,'Trips&amp;Operators'!$C$1:$G$99911,5,FALSE)</f>
        <v>LAMAR NEKESHA</v>
      </c>
      <c r="M160" s="224">
        <f t="shared" si="57"/>
        <v>9.0740740779438056E-3</v>
      </c>
      <c r="N160" s="225">
        <f t="shared" si="79"/>
        <v>13.06666667223908</v>
      </c>
      <c r="O160" s="225"/>
      <c r="P160" s="225"/>
      <c r="Q160" s="228"/>
      <c r="R160" s="242"/>
      <c r="S160" s="249">
        <f t="shared" si="80"/>
        <v>1</v>
      </c>
      <c r="T160" s="242" t="str">
        <f t="shared" si="58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59"/>
        <v>https://d0f6bd738d7f1b3e5a7ca70fe4ff75f0.us-east-1.aws.found.io/app/kibana#/discover/Steve-Slow-Train-Analysis-(2080s-and-2083s)?_g=(refreshInterval:(display:Off,pause:!f,section:0,value:0),time:(from:'2017-12-06T04:29:08-0700',mode:absolute,to:'2017-12-06T06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0" s="247" t="str">
        <f>IF(AA160&lt;VLOOKUP(AG160,Variables!$AC$3:$AD$8,2,FALSE),"Y","N")</f>
        <v>N</v>
      </c>
      <c r="X160" s="247">
        <f t="shared" si="86"/>
        <v>1</v>
      </c>
      <c r="Y160" s="247">
        <f t="shared" si="87"/>
        <v>4.7E-2</v>
      </c>
      <c r="Z160" s="247">
        <f t="shared" si="88"/>
        <v>5.8983999999999996</v>
      </c>
      <c r="AA160" s="247">
        <f t="shared" si="61"/>
        <v>5.8513999999999999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2"/>
        <v>801</v>
      </c>
      <c r="AE160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60" s="234" t="str">
        <f t="shared" si="64"/>
        <v>"C:\Program Files (x86)\AstroGrep\AstroGrep.exe" /e /r /s /spath="%USERPROFILE%\AppData\Local\Temp\OnboardLogs" /stypes="app*4058*20171206*" /stext=" 12:.+((SYSTEM_STATE.+slice.+state.+changed )|(ment ac)|(multiple cpu faults)|(system.+state.+changed )|(\[timeout)|(PRM\|1\|D)|(kpr)|(kdp)|(train st.+moving)|(\|lc)|(penalty))"</v>
      </c>
      <c r="AG160" s="244" t="str">
        <f t="shared" si="65"/>
        <v>NW</v>
      </c>
      <c r="AH160" s="236" t="str">
        <f t="shared" si="73"/>
        <v>"%USERPROFILE%\Documents\GitHub\eaglep3\Utilities\RefineRTDCRunTimes.py" --tripid 801-06 --locoid 4058 --swversion DE.1.0.9.0 --startMP 204:470 --initTime 2017-12-06T05:29:08 --startdatetime 2017-12-06T05:39:27 --delay 47 --endMP 300:58984 --enddatetime 2017-12-06T05:52:31 --enforcementcount 0 &gt;&gt;%USERPROFILE%\Documents\GitHub\eaglep3-reporting\EC\2017-12-06-refined-times.txt</v>
      </c>
      <c r="AI160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{"issue":{"subject":"","project_id":79,"tracker_id":40,"status_id":1,"priority_id":2,"assigned_to_id":338,"start_date":"2017-12-06","description":"","custom_fields":[{"id":1,"name":"Subdivision","value":"NW"},{"id":4,"name":"Milepost","value":"5.8984"},{"id":17,"name":"Train ID","value":"801-06"},{"id":16,"name":"Locomotive ID","value":"4058"},{"id":130,"name":"Impact","value":""},{"id":150,"name":"Time of Event (Mountain Time)","value":"05:52:31"},{"id":151,"name":"Denver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75"/>
        <v>start /low /b %USERPROFILE%\Documents\GitHub\eaglep3\Utilities\DownloadLogsFromS3.py --loco 4058 --day 2017-12-06</v>
      </c>
      <c r="AN160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7"/>
        <v>https://d0f6bd738d7f1b3e5a7ca70fe4ff75f0.us-east-1.aws.found.io/app/kibana#/discover/Steve-Slow-Train-Analysis-(2080s-and-2083s)?_g=(refreshInterval:(display:Off,pause:!f,section:0,value:0),time:(from:'2017-12-06T04:29:08-0700',mode:absolute,to:'2017-12-06T06:52:31-0700'))&amp;_a=(columns:!('Message%20ID',Summary),filters:!(),index:'emp_*',interval:auto,query:(query_string:(analyze_wildcard:!t,query:'%22rtdc.l.rtdc.4058%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692</v>
      </c>
      <c r="B161" s="225">
        <v>4057</v>
      </c>
      <c r="C161" s="227" t="s">
        <v>192</v>
      </c>
      <c r="D161" s="227" t="s">
        <v>1053</v>
      </c>
      <c r="E161" s="226">
        <v>43075.247060185182</v>
      </c>
      <c r="F161" s="226">
        <v>43075.258333333331</v>
      </c>
      <c r="G161" s="225">
        <v>54</v>
      </c>
      <c r="H161" s="227" t="s">
        <v>1054</v>
      </c>
      <c r="I161" s="226">
        <v>43075.267256944448</v>
      </c>
      <c r="J161" s="225">
        <v>0</v>
      </c>
      <c r="K161" s="237" t="str">
        <f t="shared" si="56"/>
        <v>4057/4058</v>
      </c>
      <c r="L161" s="245" t="str">
        <f>VLOOKUP(A161,'Trips&amp;Operators'!$C$1:$G$99911,5,FALSE)</f>
        <v>LAMAR NEKESHA</v>
      </c>
      <c r="M161" s="224">
        <f t="shared" si="57"/>
        <v>8.9236111161881126E-3</v>
      </c>
      <c r="N161" s="225">
        <f t="shared" si="79"/>
        <v>12.850000007310882</v>
      </c>
      <c r="O161" s="225"/>
      <c r="P161" s="225"/>
      <c r="Q161" s="228"/>
      <c r="R161" s="242"/>
      <c r="S161" s="249">
        <f t="shared" si="80"/>
        <v>1</v>
      </c>
      <c r="T161" s="242" t="str">
        <f t="shared" si="58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59"/>
        <v>https://d0f6bd738d7f1b3e5a7ca70fe4ff75f0.us-east-1.aws.found.io/app/kibana#/discover/Steve-Slow-Train-Analysis-(2080s-and-2083s)?_g=(refreshInterval:(display:Off,pause:!f,section:0,value:0),time:(from:'2017-12-06T04:55:46-0700',mode:absolute,to:'2017-12-06T07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247" t="str">
        <f>IF(AA161&lt;VLOOKUP(AG161,Variables!$AC$3:$AD$8,2,FALSE),"Y","N")</f>
        <v>N</v>
      </c>
      <c r="X161" s="247">
        <f t="shared" ref="X161:X173" si="89">VALUE(LEFT(AD161,4))-VALUE(LEFT(AD160,4))</f>
        <v>1</v>
      </c>
      <c r="Y161" s="247">
        <f t="shared" si="87"/>
        <v>5.8674999999999997</v>
      </c>
      <c r="Z161" s="247">
        <f t="shared" si="88"/>
        <v>1.66E-2</v>
      </c>
      <c r="AA161" s="247">
        <f t="shared" si="61"/>
        <v>5.8508999999999993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2"/>
        <v>802</v>
      </c>
      <c r="AE161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61" s="234" t="str">
        <f t="shared" si="64"/>
        <v>"C:\Program Files (x86)\AstroGrep\AstroGrep.exe" /e /r /s /spath="%USERPROFILE%\AppData\Local\Temp\OnboardLogs" /stypes="app*4057*20171206*" /stext=" 13:.+((SYSTEM_STATE.+slice.+state.+changed )|(ment ac)|(multiple cpu faults)|(system.+state.+changed )|(\[timeout)|(PRM\|1\|D)|(kpr)|(kdp)|(train st.+moving)|(\|lc)|(penalty))"</v>
      </c>
      <c r="AG161" s="244" t="str">
        <f t="shared" si="65"/>
        <v>NW</v>
      </c>
      <c r="AH161" s="236" t="str">
        <f t="shared" si="73"/>
        <v>"%USERPROFILE%\Documents\GitHub\eaglep3\Utilities\RefineRTDCRunTimes.py" --tripid 802-06 --locoid 4057 --swversion DE.1.0.9.0 --startMP 300:58675 --initTime 2017-12-06T05:55:46 --startdatetime 2017-12-06T06:12:00 --delay 54 --endMP 204:166 --enddatetime 2017-12-06T06:24:51 --enforcementcount 0 &gt;&gt;%USERPROFILE%\Documents\GitHub\eaglep3-reporting\EC\2017-12-06-refined-times.txt</v>
      </c>
      <c r="AI161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{"issue":{"subject":"","project_id":79,"tracker_id":40,"status_id":1,"priority_id":2,"assigned_to_id":338,"start_date":"2017-12-06","description":"","custom_fields":[{"id":1,"name":"Subdivision","value":"NW"},{"id":4,"name":"Milepost","value":"0.0166"},{"id":17,"name":"Train ID","value":"802-06"},{"id":16,"name":"Locomotive ID","value":"4057"},{"id":130,"name":"Impact","value":""},{"id":150,"name":"Time of Event (Mountain Time)","value":"06:24:51"},{"id":151,"name":"Denver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75"/>
        <v>start /low /b %USERPROFILE%\Documents\GitHub\eaglep3\Utilities\DownloadLogsFromS3.py --loco 4057 --day 2017-12-06</v>
      </c>
      <c r="AN161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7"/>
        <v>https://d0f6bd738d7f1b3e5a7ca70fe4ff75f0.us-east-1.aws.found.io/app/kibana#/discover/Steve-Slow-Train-Analysis-(2080s-and-2083s)?_g=(refreshInterval:(display:Off,pause:!f,section:0,value:0),time:(from:'2017-12-06T04:55:46-0700',mode:absolute,to:'2017-12-06T07:24:51-0700'))&amp;_a=(columns:!('Message%20ID',Summary),filters:!(),index:'emp_*',interval:auto,query:(query_string:(analyze_wildcard:!t,query:'%22rtdc.l.rtdc.4057%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9" t="s">
        <v>694</v>
      </c>
      <c r="B162" s="225">
        <v>4050</v>
      </c>
      <c r="C162" s="227" t="s">
        <v>192</v>
      </c>
      <c r="D162" s="227" t="s">
        <v>1055</v>
      </c>
      <c r="E162" s="226">
        <v>43075.25440972222</v>
      </c>
      <c r="F162" s="226">
        <v>43075.256481481483</v>
      </c>
      <c r="G162" s="225">
        <v>60</v>
      </c>
      <c r="H162" s="227" t="s">
        <v>499</v>
      </c>
      <c r="I162" s="226">
        <v>43075.266053240739</v>
      </c>
      <c r="J162" s="225">
        <v>0</v>
      </c>
      <c r="K162" s="237" t="str">
        <f t="shared" si="56"/>
        <v>4049/4050</v>
      </c>
      <c r="L162" s="245" t="str">
        <f>VLOOKUP(A162,'Trips&amp;Operators'!$C$1:$G$99911,5,FALSE)</f>
        <v>ROCHA YAOTL</v>
      </c>
      <c r="M162" s="224">
        <f t="shared" si="57"/>
        <v>9.5717592557775788E-3</v>
      </c>
      <c r="N162" s="225">
        <f t="shared" si="79"/>
        <v>13.783333328319713</v>
      </c>
      <c r="O162" s="225"/>
      <c r="P162" s="225"/>
      <c r="Q162" s="228"/>
      <c r="R162" s="242"/>
      <c r="S162" s="249">
        <f t="shared" si="80"/>
        <v>1</v>
      </c>
      <c r="T162" s="242" t="str">
        <f t="shared" si="58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59"/>
        <v>https://d0f6bd738d7f1b3e5a7ca70fe4ff75f0.us-east-1.aws.found.io/app/kibana#/discover/Steve-Slow-Train-Analysis-(2080s-and-2083s)?_g=(refreshInterval:(display:Off,pause:!f,section:0,value:0),time:(from:'2017-12-06T05:06:21-0700',mode:absolute,to:'2017-12-06T07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247" t="str">
        <f>IF(AA162&lt;VLOOKUP(AG162,Variables!$AC$3:$AD$8,2,FALSE),"Y","N")</f>
        <v>N</v>
      </c>
      <c r="X162" s="247">
        <f t="shared" si="89"/>
        <v>1</v>
      </c>
      <c r="Y162" s="247">
        <f t="shared" si="87"/>
        <v>3.6799999999999999E-2</v>
      </c>
      <c r="Z162" s="247">
        <f t="shared" si="88"/>
        <v>5.8925999999999998</v>
      </c>
      <c r="AA162" s="247">
        <f t="shared" si="61"/>
        <v>5.8557999999999995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2"/>
        <v>803</v>
      </c>
      <c r="AE162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62" s="234" t="str">
        <f t="shared" si="64"/>
        <v>"C:\Program Files (x86)\AstroGrep\AstroGrep.exe" /e /r /s /spath="%USERPROFILE%\AppData\Local\Temp\OnboardLogs" /stypes="app*4050*20171206*" /stext=" 13:.+((SYSTEM_STATE.+slice.+state.+changed )|(ment ac)|(multiple cpu faults)|(system.+state.+changed )|(\[timeout)|(PRM\|1\|D)|(kpr)|(kdp)|(train st.+moving)|(\|lc)|(penalty))"</v>
      </c>
      <c r="AG162" s="244" t="str">
        <f t="shared" si="65"/>
        <v>NW</v>
      </c>
      <c r="AH162" s="236" t="str">
        <f t="shared" si="73"/>
        <v>"%USERPROFILE%\Documents\GitHub\eaglep3\Utilities\RefineRTDCRunTimes.py" --tripid 803-06 --locoid 4050 --swversion DE.1.0.9.0 --startMP 204:368 --initTime 2017-12-06T06:06:21 --startdatetime 2017-12-06T06:09:20 --delay 60 --endMP 300:58926 --enddatetime 2017-12-06T06:23:07 --enforcementcount 0 &gt;&gt;%USERPROFILE%\Documents\GitHub\eaglep3-reporting\EC\2017-12-06-refined-times.txt</v>
      </c>
      <c r="AI162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{"issue":{"subject":"","project_id":79,"tracker_id":40,"status_id":1,"priority_id":2,"assigned_to_id":338,"start_date":"2017-12-06","description":"","custom_fields":[{"id":1,"name":"Subdivision","value":"NW"},{"id":4,"name":"Milepost","value":"5.8926"},{"id":17,"name":"Train ID","value":"803-06"},{"id":16,"name":"Locomotive ID","value":"4050"},{"id":130,"name":"Impact","value":""},{"id":150,"name":"Time of Event (Mountain Time)","value":"06:23:07"},{"id":151,"name":"Denver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75"/>
        <v>start /low /b %USERPROFILE%\Documents\GitHub\eaglep3\Utilities\DownloadLogsFromS3.py --loco 4050 --day 2017-12-06</v>
      </c>
      <c r="AN162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7"/>
        <v>https://d0f6bd738d7f1b3e5a7ca70fe4ff75f0.us-east-1.aws.found.io/app/kibana#/discover/Steve-Slow-Train-Analysis-(2080s-and-2083s)?_g=(refreshInterval:(display:Off,pause:!f,section:0,value:0),time:(from:'2017-12-06T05:06:21-0700',mode:absolute,to:'2017-12-06T07:23:07-0700'))&amp;_a=(columns:!('Message%20ID',Summary),filters:!(),index:'emp_*',interval:auto,query:(query_string:(analyze_wildcard:!t,query:'%22rtdc.l.rtdc.4050%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699</v>
      </c>
      <c r="B163" s="225">
        <v>4049</v>
      </c>
      <c r="C163" s="227" t="s">
        <v>192</v>
      </c>
      <c r="D163" s="227" t="s">
        <v>1056</v>
      </c>
      <c r="E163" s="226">
        <v>43075.267430555556</v>
      </c>
      <c r="F163" s="226">
        <v>43075.279166666667</v>
      </c>
      <c r="G163" s="225">
        <v>51</v>
      </c>
      <c r="H163" s="227" t="s">
        <v>1057</v>
      </c>
      <c r="I163" s="226">
        <v>43075.288495370369</v>
      </c>
      <c r="J163" s="225">
        <v>0</v>
      </c>
      <c r="K163" s="237" t="str">
        <f t="shared" si="56"/>
        <v>4049/4050</v>
      </c>
      <c r="L163" s="245" t="str">
        <f>VLOOKUP(A163,'Trips&amp;Operators'!$C$1:$G$99911,5,FALSE)</f>
        <v>ROCHA YAOTL</v>
      </c>
      <c r="M163" s="224">
        <f t="shared" si="57"/>
        <v>9.3287037016125396E-3</v>
      </c>
      <c r="N163" s="225">
        <f t="shared" si="79"/>
        <v>13.433333330322057</v>
      </c>
      <c r="O163" s="225"/>
      <c r="P163" s="225"/>
      <c r="Q163" s="228"/>
      <c r="R163" s="242"/>
      <c r="S163" s="249">
        <f t="shared" si="80"/>
        <v>1</v>
      </c>
      <c r="T163" s="242" t="str">
        <f t="shared" si="58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59"/>
        <v>https://d0f6bd738d7f1b3e5a7ca70fe4ff75f0.us-east-1.aws.found.io/app/kibana#/discover/Steve-Slow-Train-Analysis-(2080s-and-2083s)?_g=(refreshInterval:(display:Off,pause:!f,section:0,value:0),time:(from:'2017-12-06T05:25:06-0700',mode:absolute,to:'2017-12-06T07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247" t="str">
        <f>IF(AA163&lt;VLOOKUP(AG163,Variables!$AC$3:$AD$8,2,FALSE),"Y","N")</f>
        <v>N</v>
      </c>
      <c r="X163" s="247">
        <f t="shared" si="89"/>
        <v>1</v>
      </c>
      <c r="Y163" s="247">
        <f t="shared" si="87"/>
        <v>5.8608000000000002</v>
      </c>
      <c r="Z163" s="247">
        <f t="shared" si="88"/>
        <v>9.4999999999999998E-3</v>
      </c>
      <c r="AA163" s="247">
        <f t="shared" si="61"/>
        <v>5.8513000000000002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2"/>
        <v>804</v>
      </c>
      <c r="AE163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63" s="234" t="str">
        <f t="shared" si="64"/>
        <v>"C:\Program Files (x86)\AstroGrep\AstroGrep.exe" /e /r /s /spath="%USERPROFILE%\AppData\Local\Temp\OnboardLogs" /stypes="app*4049*20171206*" /stext=" 13:.+((SYSTEM_STATE.+slice.+state.+changed )|(ment ac)|(multiple cpu faults)|(system.+state.+changed )|(\[timeout)|(PRM\|1\|D)|(kpr)|(kdp)|(train st.+moving)|(\|lc)|(penalty))"</v>
      </c>
      <c r="AG163" s="244" t="str">
        <f t="shared" si="65"/>
        <v>NW</v>
      </c>
      <c r="AH163" s="236" t="str">
        <f t="shared" si="73"/>
        <v>"%USERPROFILE%\Documents\GitHub\eaglep3\Utilities\RefineRTDCRunTimes.py" --tripid 804-06 --locoid 4049 --swversion DE.1.0.9.0 --startMP 300:58608 --initTime 2017-12-06T06:25:06 --startdatetime 2017-12-06T06:42:00 --delay 51 --endMP 204:95 --enddatetime 2017-12-06T06:55:26 --enforcementcount 0 &gt;&gt;%USERPROFILE%\Documents\GitHub\eaglep3-reporting\EC\2017-12-06-refined-times.txt</v>
      </c>
      <c r="AI163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{"issue":{"subject":"","project_id":79,"tracker_id":40,"status_id":1,"priority_id":2,"assigned_to_id":338,"start_date":"2017-12-06","description":"","custom_fields":[{"id":1,"name":"Subdivision","value":"NW"},{"id":4,"name":"Milepost","value":"0.0095"},{"id":17,"name":"Train ID","value":"804-06"},{"id":16,"name":"Locomotive ID","value":"4049"},{"id":130,"name":"Impact","value":""},{"id":150,"name":"Time of Event (Mountain Time)","value":"06:55:26"},{"id":151,"name":"Denver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75"/>
        <v>start /low /b %USERPROFILE%\Documents\GitHub\eaglep3\Utilities\DownloadLogsFromS3.py --loco 4049 --day 2017-12-06</v>
      </c>
      <c r="AN163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7"/>
        <v>https://d0f6bd738d7f1b3e5a7ca70fe4ff75f0.us-east-1.aws.found.io/app/kibana#/discover/Steve-Slow-Train-Analysis-(2080s-and-2083s)?_g=(refreshInterval:(display:Off,pause:!f,section:0,value:0),time:(from:'2017-12-06T05:25:06-0700',mode:absolute,to:'2017-12-06T07:55:26-0700'))&amp;_a=(columns:!('Message%20ID',Summary),filters:!(),index:'emp_*',interval:auto,query:(query_string:(analyze_wildcard:!t,query:'%22rtdc.l.rtdc.4049%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701</v>
      </c>
      <c r="B164" s="225">
        <v>4058</v>
      </c>
      <c r="C164" s="227" t="s">
        <v>192</v>
      </c>
      <c r="D164" s="227" t="s">
        <v>624</v>
      </c>
      <c r="E164" s="226">
        <v>43075.276331018518</v>
      </c>
      <c r="F164" s="226">
        <v>43075.277395833335</v>
      </c>
      <c r="G164" s="225">
        <v>48</v>
      </c>
      <c r="H164" s="227" t="s">
        <v>616</v>
      </c>
      <c r="I164" s="226">
        <v>43075.287094907406</v>
      </c>
      <c r="J164" s="225">
        <v>0</v>
      </c>
      <c r="K164" s="237" t="str">
        <f t="shared" si="56"/>
        <v>4057/4058</v>
      </c>
      <c r="L164" s="245" t="str">
        <f>VLOOKUP(A164,'Trips&amp;Operators'!$C$1:$G$99911,5,FALSE)</f>
        <v>LAMAR NEKESHA</v>
      </c>
      <c r="M164" s="224">
        <f t="shared" si="57"/>
        <v>9.6990740712499246E-3</v>
      </c>
      <c r="N164" s="225">
        <f t="shared" si="79"/>
        <v>13.966666662599891</v>
      </c>
      <c r="O164" s="225"/>
      <c r="P164" s="225"/>
      <c r="Q164" s="228"/>
      <c r="R164" s="242"/>
      <c r="S164" s="249">
        <f t="shared" si="80"/>
        <v>1</v>
      </c>
      <c r="T164" s="242" t="str">
        <f t="shared" si="58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59"/>
        <v>https://d0f6bd738d7f1b3e5a7ca70fe4ff75f0.us-east-1.aws.found.io/app/kibana#/discover/Steve-Slow-Train-Analysis-(2080s-and-2083s)?_g=(refreshInterval:(display:Off,pause:!f,section:0,value:0),time:(from:'2017-12-06T05:37:55-0700',mode:absolute,to:'2017-12-06T07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4" s="247" t="str">
        <f>IF(AA164&lt;VLOOKUP(AG164,Variables!$AC$3:$AD$8,2,FALSE),"Y","N")</f>
        <v>N</v>
      </c>
      <c r="X164" s="247">
        <f t="shared" si="89"/>
        <v>1</v>
      </c>
      <c r="Y164" s="247">
        <f t="shared" si="87"/>
        <v>4.6800000000000001E-2</v>
      </c>
      <c r="Z164" s="247">
        <f t="shared" si="88"/>
        <v>5.8978000000000002</v>
      </c>
      <c r="AA164" s="247">
        <f t="shared" si="61"/>
        <v>5.851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2"/>
        <v>805</v>
      </c>
      <c r="AE164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64" s="234" t="str">
        <f t="shared" si="64"/>
        <v>"C:\Program Files (x86)\AstroGrep\AstroGrep.exe" /e /r /s /spath="%USERPROFILE%\AppData\Local\Temp\OnboardLogs" /stypes="app*4058*20171206*" /stext=" 13:.+((SYSTEM_STATE.+slice.+state.+changed )|(ment ac)|(multiple cpu faults)|(system.+state.+changed )|(\[timeout)|(PRM\|1\|D)|(kpr)|(kdp)|(train st.+moving)|(\|lc)|(penalty))"</v>
      </c>
      <c r="AG164" s="244" t="str">
        <f t="shared" si="65"/>
        <v>NW</v>
      </c>
      <c r="AH164" s="236" t="str">
        <f t="shared" si="73"/>
        <v>"%USERPROFILE%\Documents\GitHub\eaglep3\Utilities\RefineRTDCRunTimes.py" --tripid 805-06 --locoid 4058 --swversion DE.1.0.9.0 --startMP 204:468 --initTime 2017-12-06T06:37:55 --startdatetime 2017-12-06T06:39:27 --delay 48 --endMP 300:58978 --enddatetime 2017-12-06T06:53:25 --enforcementcount 0 &gt;&gt;%USERPROFILE%\Documents\GitHub\eaglep3-reporting\EC\2017-12-06-refined-times.txt</v>
      </c>
      <c r="AI164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{"issue":{"subject":"","project_id":79,"tracker_id":40,"status_id":1,"priority_id":2,"assigned_to_id":338,"start_date":"2017-12-06","description":"","custom_fields":[{"id":1,"name":"Subdivision","value":"NW"},{"id":4,"name":"Milepost","value":"5.8978"},{"id":17,"name":"Train ID","value":"805-06"},{"id":16,"name":"Locomotive ID","value":"4058"},{"id":130,"name":"Impact","value":""},{"id":150,"name":"Time of Event (Mountain Time)","value":"06:53:25"},{"id":151,"name":"Denver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75"/>
        <v>start /low /b %USERPROFILE%\Documents\GitHub\eaglep3\Utilities\DownloadLogsFromS3.py --loco 4058 --day 2017-12-06</v>
      </c>
      <c r="AN164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7"/>
        <v>https://d0f6bd738d7f1b3e5a7ca70fe4ff75f0.us-east-1.aws.found.io/app/kibana#/discover/Steve-Slow-Train-Analysis-(2080s-and-2083s)?_g=(refreshInterval:(display:Off,pause:!f,section:0,value:0),time:(from:'2017-12-06T05:37:55-0700',mode:absolute,to:'2017-12-06T07:53:25-0700'))&amp;_a=(columns:!('Message%20ID',Summary),filters:!(),index:'emp_*',interval:auto,query:(query_string:(analyze_wildcard:!t,query:'%22rtdc.l.rtdc.4058%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25">
      <c r="A165" s="229" t="s">
        <v>704</v>
      </c>
      <c r="B165" s="225">
        <v>4057</v>
      </c>
      <c r="C165" s="227" t="s">
        <v>192</v>
      </c>
      <c r="D165" s="227" t="s">
        <v>1058</v>
      </c>
      <c r="E165" s="226">
        <v>43075.289166666669</v>
      </c>
      <c r="F165" s="226">
        <v>43075.3</v>
      </c>
      <c r="G165" s="225">
        <v>51</v>
      </c>
      <c r="H165" s="227" t="s">
        <v>1050</v>
      </c>
      <c r="I165" s="226">
        <v>43075.30908564815</v>
      </c>
      <c r="J165" s="225">
        <v>0</v>
      </c>
      <c r="K165" s="237" t="str">
        <f t="shared" si="56"/>
        <v>4057/4058</v>
      </c>
      <c r="L165" s="245" t="str">
        <f>VLOOKUP(A165,'Trips&amp;Operators'!$C$1:$G$99911,5,FALSE)</f>
        <v>LAMAR NEKESHA</v>
      </c>
      <c r="M165" s="224">
        <f t="shared" si="57"/>
        <v>9.0856481474475004E-3</v>
      </c>
      <c r="N165" s="225">
        <f t="shared" si="79"/>
        <v>13.083333332324401</v>
      </c>
      <c r="O165" s="225"/>
      <c r="P165" s="225"/>
      <c r="Q165" s="228"/>
      <c r="R165" s="242"/>
      <c r="S165" s="249">
        <f t="shared" si="80"/>
        <v>1</v>
      </c>
      <c r="T165" s="242" t="str">
        <f t="shared" si="58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59"/>
        <v>https://d0f6bd738d7f1b3e5a7ca70fe4ff75f0.us-east-1.aws.found.io/app/kibana#/discover/Steve-Slow-Train-Analysis-(2080s-and-2083s)?_g=(refreshInterval:(display:Off,pause:!f,section:0,value:0),time:(from:'2017-12-06T05:56:24-0700',mode:absolute,to:'2017-12-06T08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5" s="247" t="str">
        <f>IF(AA165&lt;VLOOKUP(AG165,Variables!$AC$3:$AD$8,2,FALSE),"Y","N")</f>
        <v>N</v>
      </c>
      <c r="X165" s="247">
        <f t="shared" si="89"/>
        <v>1</v>
      </c>
      <c r="Y165" s="247">
        <f t="shared" si="87"/>
        <v>5.8672000000000004</v>
      </c>
      <c r="Z165" s="247">
        <f t="shared" si="88"/>
        <v>1.6400000000000001E-2</v>
      </c>
      <c r="AA165" s="247">
        <f t="shared" si="61"/>
        <v>5.8508000000000004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2"/>
        <v>806</v>
      </c>
      <c r="AE165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65" s="234" t="str">
        <f t="shared" si="64"/>
        <v>"C:\Program Files (x86)\AstroGrep\AstroGrep.exe" /e /r /s /spath="%USERPROFILE%\AppData\Local\Temp\OnboardLogs" /stypes="app*4057*20171206*" /stext=" 14:.+((SYSTEM_STATE.+slice.+state.+changed )|(ment ac)|(multiple cpu faults)|(system.+state.+changed )|(\[timeout)|(PRM\|1\|D)|(kpr)|(kdp)|(train st.+moving)|(\|lc)|(penalty))"</v>
      </c>
      <c r="AG165" s="244" t="str">
        <f t="shared" si="65"/>
        <v>NW</v>
      </c>
      <c r="AH165" s="236" t="str">
        <f t="shared" si="73"/>
        <v>"%USERPROFILE%\Documents\GitHub\eaglep3\Utilities\RefineRTDCRunTimes.py" --tripid 806-06 --locoid 4057 --swversion DE.1.0.9.0 --startMP 300:58672 --initTime 2017-12-06T06:56:24 --startdatetime 2017-12-06T07:12:00 --delay 51 --endMP 204:164 --enddatetime 2017-12-06T07:25:05 --enforcementcount 0 &gt;&gt;%USERPROFILE%\Documents\GitHub\eaglep3-reporting\EC\2017-12-06-refined-times.txt</v>
      </c>
      <c r="AI165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{"issue":{"subject":"","project_id":79,"tracker_id":40,"status_id":1,"priority_id":2,"assigned_to_id":338,"start_date":"2017-12-06","description":"","custom_fields":[{"id":1,"name":"Subdivision","value":"NW"},{"id":4,"name":"Milepost","value":"0.0164"},{"id":17,"name":"Train ID","value":"806-06"},{"id":16,"name":"Locomotive ID","value":"4057"},{"id":130,"name":"Impact","value":""},{"id":150,"name":"Time of Event (Mountain Time)","value":"07:25:05"},{"id":151,"name":"Denver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75"/>
        <v>start /low /b %USERPROFILE%\Documents\GitHub\eaglep3\Utilities\DownloadLogsFromS3.py --loco 4057 --day 2017-12-06</v>
      </c>
      <c r="AN165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7"/>
        <v>https://d0f6bd738d7f1b3e5a7ca70fe4ff75f0.us-east-1.aws.found.io/app/kibana#/discover/Steve-Slow-Train-Analysis-(2080s-and-2083s)?_g=(refreshInterval:(display:Off,pause:!f,section:0,value:0),time:(from:'2017-12-06T05:56:24-0700',mode:absolute,to:'2017-12-06T08:25:05-0700'))&amp;_a=(columns:!('Message%20ID',Summary),filters:!(),index:'emp_*',interval:auto,query:(query_string:(analyze_wildcard:!t,query:'%22rtdc.l.rtdc.4057%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705</v>
      </c>
      <c r="B166" s="225">
        <v>4050</v>
      </c>
      <c r="C166" s="227" t="s">
        <v>192</v>
      </c>
      <c r="D166" s="227" t="s">
        <v>1059</v>
      </c>
      <c r="E166" s="226">
        <v>43075.295486111114</v>
      </c>
      <c r="F166" s="226">
        <v>43075.299259259256</v>
      </c>
      <c r="G166" s="225">
        <v>68</v>
      </c>
      <c r="H166" s="227" t="s">
        <v>1060</v>
      </c>
      <c r="I166" s="226">
        <v>43075.30841435185</v>
      </c>
      <c r="J166" s="225">
        <v>0</v>
      </c>
      <c r="K166" s="237" t="str">
        <f t="shared" si="56"/>
        <v>4049/4050</v>
      </c>
      <c r="L166" s="245" t="str">
        <f>VLOOKUP(A166,'Trips&amp;Operators'!$C$1:$G$99911,5,FALSE)</f>
        <v>ROCHA YAOTL</v>
      </c>
      <c r="M166" s="224">
        <f t="shared" si="57"/>
        <v>9.1550925935734995E-3</v>
      </c>
      <c r="N166" s="225">
        <f t="shared" si="79"/>
        <v>13.183333334745839</v>
      </c>
      <c r="O166" s="225"/>
      <c r="P166" s="225"/>
      <c r="Q166" s="228"/>
      <c r="R166" s="242"/>
      <c r="S166" s="249">
        <f t="shared" si="80"/>
        <v>1</v>
      </c>
      <c r="T166" s="242" t="str">
        <f t="shared" si="58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59"/>
        <v>https://d0f6bd738d7f1b3e5a7ca70fe4ff75f0.us-east-1.aws.found.io/app/kibana#/discover/Steve-Slow-Train-Analysis-(2080s-and-2083s)?_g=(refreshInterval:(display:Off,pause:!f,section:0,value:0),time:(from:'2017-12-06T06:05:30-0700',mode:absolute,to:'2017-12-06T08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6" s="247" t="str">
        <f>IF(AA166&lt;VLOOKUP(AG166,Variables!$AC$3:$AD$8,2,FALSE),"Y","N")</f>
        <v>N</v>
      </c>
      <c r="X166" s="247">
        <f t="shared" si="89"/>
        <v>1</v>
      </c>
      <c r="Y166" s="247">
        <f t="shared" si="87"/>
        <v>3.9199999999999999E-2</v>
      </c>
      <c r="Z166" s="247">
        <f t="shared" si="88"/>
        <v>5.8935000000000004</v>
      </c>
      <c r="AA166" s="247">
        <f t="shared" si="61"/>
        <v>5.8543000000000003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2"/>
        <v>807</v>
      </c>
      <c r="AE166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66" s="234" t="str">
        <f t="shared" si="64"/>
        <v>"C:\Program Files (x86)\AstroGrep\AstroGrep.exe" /e /r /s /spath="%USERPROFILE%\AppData\Local\Temp\OnboardLogs" /stypes="app*4050*20171206*" /stext=" 14:.+((SYSTEM_STATE.+slice.+state.+changed )|(ment ac)|(multiple cpu faults)|(system.+state.+changed )|(\[timeout)|(PRM\|1\|D)|(kpr)|(kdp)|(train st.+moving)|(\|lc)|(penalty))"</v>
      </c>
      <c r="AG166" s="244" t="str">
        <f t="shared" si="65"/>
        <v>NW</v>
      </c>
      <c r="AH166" s="236" t="str">
        <f t="shared" si="73"/>
        <v>"%USERPROFILE%\Documents\GitHub\eaglep3\Utilities\RefineRTDCRunTimes.py" --tripid 807-06 --locoid 4050 --swversion DE.1.0.9.0 --startMP 204:392 --initTime 2017-12-06T07:05:30 --startdatetime 2017-12-06T07:10:56 --delay 68 --endMP 300:58935 --enddatetime 2017-12-06T07:24:07 --enforcementcount 0 &gt;&gt;%USERPROFILE%\Documents\GitHub\eaglep3-reporting\EC\2017-12-06-refined-times.txt</v>
      </c>
      <c r="AI166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{"issue":{"subject":"","project_id":79,"tracker_id":40,"status_id":1,"priority_id":2,"assigned_to_id":338,"start_date":"2017-12-06","description":"","custom_fields":[{"id":1,"name":"Subdivision","value":"NW"},{"id":4,"name":"Milepost","value":"5.8935"},{"id":17,"name":"Train ID","value":"807-06"},{"id":16,"name":"Locomotive ID","value":"4050"},{"id":130,"name":"Impact","value":""},{"id":150,"name":"Time of Event (Mountain Time)","value":"07:24:07"},{"id":151,"name":"Denver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75"/>
        <v>start /low /b %USERPROFILE%\Documents\GitHub\eaglep3\Utilities\DownloadLogsFromS3.py --loco 4050 --day 2017-12-06</v>
      </c>
      <c r="AN166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7"/>
        <v>https://d0f6bd738d7f1b3e5a7ca70fe4ff75f0.us-east-1.aws.found.io/app/kibana#/discover/Steve-Slow-Train-Analysis-(2080s-and-2083s)?_g=(refreshInterval:(display:Off,pause:!f,section:0,value:0),time:(from:'2017-12-06T06:05:30-0700',mode:absolute,to:'2017-12-06T08:24:07-0700'))&amp;_a=(columns:!('Message%20ID',Summary),filters:!(),index:'emp_*',interval:auto,query:(query_string:(analyze_wildcard:!t,query:'%22rtdc.l.rtdc.4050%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709</v>
      </c>
      <c r="B167" s="225">
        <v>4049</v>
      </c>
      <c r="C167" s="227" t="s">
        <v>192</v>
      </c>
      <c r="D167" s="227" t="s">
        <v>541</v>
      </c>
      <c r="E167" s="226">
        <v>43075.30940972222</v>
      </c>
      <c r="F167" s="226">
        <v>43075.320833333331</v>
      </c>
      <c r="G167" s="225">
        <v>45</v>
      </c>
      <c r="H167" s="227" t="s">
        <v>1057</v>
      </c>
      <c r="I167" s="226">
        <v>43075.33017361111</v>
      </c>
      <c r="J167" s="225">
        <v>0</v>
      </c>
      <c r="K167" s="237" t="str">
        <f t="shared" si="56"/>
        <v>4049/4050</v>
      </c>
      <c r="L167" s="245" t="str">
        <f>VLOOKUP(A167,'Trips&amp;Operators'!$C$1:$G$99911,5,FALSE)</f>
        <v>ROCHA YAOTL</v>
      </c>
      <c r="M167" s="224">
        <f t="shared" si="57"/>
        <v>9.340277778392192E-3</v>
      </c>
      <c r="N167" s="225">
        <f t="shared" si="79"/>
        <v>13.450000000884756</v>
      </c>
      <c r="O167" s="225"/>
      <c r="P167" s="225"/>
      <c r="Q167" s="228"/>
      <c r="R167" s="242"/>
      <c r="S167" s="249">
        <f t="shared" si="80"/>
        <v>1</v>
      </c>
      <c r="T167" s="242" t="str">
        <f t="shared" si="58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59"/>
        <v>https://d0f6bd738d7f1b3e5a7ca70fe4ff75f0.us-east-1.aws.found.io/app/kibana#/discover/Steve-Slow-Train-Analysis-(2080s-and-2083s)?_g=(refreshInterval:(display:Off,pause:!f,section:0,value:0),time:(from:'2017-12-06T06:25:33-0700',mode:absolute,to:'2017-12-06T08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7" s="247" t="str">
        <f>IF(AA167&lt;VLOOKUP(AG167,Variables!$AC$3:$AD$8,2,FALSE),"Y","N")</f>
        <v>N</v>
      </c>
      <c r="X167" s="247">
        <f t="shared" si="89"/>
        <v>1</v>
      </c>
      <c r="Y167" s="247">
        <f t="shared" si="87"/>
        <v>5.8609</v>
      </c>
      <c r="Z167" s="247">
        <f t="shared" si="88"/>
        <v>9.4999999999999998E-3</v>
      </c>
      <c r="AA167" s="247">
        <f t="shared" si="61"/>
        <v>5.8513999999999999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2"/>
        <v>808</v>
      </c>
      <c r="AE167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67" s="234" t="str">
        <f t="shared" si="64"/>
        <v>"C:\Program Files (x86)\AstroGrep\AstroGrep.exe" /e /r /s /spath="%USERPROFILE%\AppData\Local\Temp\OnboardLogs" /stypes="app*4049*20171206*" /stext=" 14:.+((SYSTEM_STATE.+slice.+state.+changed )|(ment ac)|(multiple cpu faults)|(system.+state.+changed )|(\[timeout)|(PRM\|1\|D)|(kpr)|(kdp)|(train st.+moving)|(\|lc)|(penalty))"</v>
      </c>
      <c r="AG167" s="244" t="str">
        <f t="shared" si="65"/>
        <v>NW</v>
      </c>
      <c r="AH167" s="236" t="str">
        <f t="shared" si="73"/>
        <v>"%USERPROFILE%\Documents\GitHub\eaglep3\Utilities\RefineRTDCRunTimes.py" --tripid 808-06 --locoid 4049 --swversion DE.1.0.9.0 --startMP 300:58609 --initTime 2017-12-06T07:25:33 --startdatetime 2017-12-06T07:42:00 --delay 45 --endMP 204:95 --enddatetime 2017-12-06T07:55:27 --enforcementcount 0 &gt;&gt;%USERPROFILE%\Documents\GitHub\eaglep3-reporting\EC\2017-12-06-refined-times.txt</v>
      </c>
      <c r="AI167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{"issue":{"subject":"","project_id":79,"tracker_id":40,"status_id":1,"priority_id":2,"assigned_to_id":338,"start_date":"2017-12-06","description":"","custom_fields":[{"id":1,"name":"Subdivision","value":"NW"},{"id":4,"name":"Milepost","value":"0.0095"},{"id":17,"name":"Train ID","value":"808-06"},{"id":16,"name":"Locomotive ID","value":"4049"},{"id":130,"name":"Impact","value":""},{"id":150,"name":"Time of Event (Mountain Time)","value":"07:55:27"},{"id":151,"name":"Denver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75"/>
        <v>start /low /b %USERPROFILE%\Documents\GitHub\eaglep3\Utilities\DownloadLogsFromS3.py --loco 4049 --day 2017-12-06</v>
      </c>
      <c r="AN167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7"/>
        <v>https://d0f6bd738d7f1b3e5a7ca70fe4ff75f0.us-east-1.aws.found.io/app/kibana#/discover/Steve-Slow-Train-Analysis-(2080s-and-2083s)?_g=(refreshInterval:(display:Off,pause:!f,section:0,value:0),time:(from:'2017-12-06T06:25:33-0700',mode:absolute,to:'2017-12-06T08:55:27-0700'))&amp;_a=(columns:!('Message%20ID',Summary),filters:!(),index:'emp_*',interval:auto,query:(query_string:(analyze_wildcard:!t,query:'%22rtdc.l.rtdc.4049%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636</v>
      </c>
      <c r="B168" s="225">
        <v>4058</v>
      </c>
      <c r="C168" s="227" t="s">
        <v>192</v>
      </c>
      <c r="D168" s="227" t="s">
        <v>541</v>
      </c>
      <c r="E168" s="226">
        <v>43075.30940972222</v>
      </c>
      <c r="F168" s="226">
        <v>43075.319062499999</v>
      </c>
      <c r="G168" s="225">
        <v>45</v>
      </c>
      <c r="H168" s="227" t="s">
        <v>1057</v>
      </c>
      <c r="I168" s="226">
        <v>43075.328969907408</v>
      </c>
      <c r="J168" s="225">
        <v>0</v>
      </c>
      <c r="K168" s="237" t="str">
        <f t="shared" si="56"/>
        <v>4057/4058</v>
      </c>
      <c r="L168" s="245" t="str">
        <f>VLOOKUP(A168,'Trips&amp;Operators'!$C$1:$G$99911,5,FALSE)</f>
        <v>LAMAR NEKESHA</v>
      </c>
      <c r="M168" s="224">
        <f t="shared" si="57"/>
        <v>9.9074074096279219E-3</v>
      </c>
      <c r="N168" s="225">
        <f t="shared" si="79"/>
        <v>14.266666669864208</v>
      </c>
      <c r="O168" s="225"/>
      <c r="P168" s="225"/>
      <c r="Q168" s="228"/>
      <c r="R168" s="242"/>
      <c r="S168" s="249">
        <f t="shared" si="80"/>
        <v>1</v>
      </c>
      <c r="T168" s="242" t="str">
        <f t="shared" si="58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59"/>
        <v>https://d0f6bd738d7f1b3e5a7ca70fe4ff75f0.us-east-1.aws.found.io/app/kibana#/discover/Steve-Slow-Train-Analysis-(2080s-and-2083s)?_g=(refreshInterval:(display:Off,pause:!f,section:0,value:0),time:(from:'2017-12-06T06:25:33-0700',mode:absolute,to:'2017-12-06T08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8" s="247" t="str">
        <f>IF(AA168&lt;VLOOKUP(AG168,Variables!$AC$3:$AD$8,2,FALSE),"Y","N")</f>
        <v>N</v>
      </c>
      <c r="X168" s="247">
        <f t="shared" si="89"/>
        <v>1</v>
      </c>
      <c r="Y168" s="247">
        <v>3.9199999999999999E-2</v>
      </c>
      <c r="Z168" s="247">
        <v>5.8935000000000004</v>
      </c>
      <c r="AA168" s="247">
        <f t="shared" si="61"/>
        <v>5.8543000000000003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2"/>
        <v>809</v>
      </c>
      <c r="AE168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68" s="234" t="str">
        <f t="shared" si="64"/>
        <v>"C:\Program Files (x86)\AstroGrep\AstroGrep.exe" /e /r /s /spath="%USERPROFILE%\AppData\Local\Temp\OnboardLogs" /stypes="app*4058*20171206*" /stext=" 14:.+((SYSTEM_STATE.+slice.+state.+changed )|(ment ac)|(multiple cpu faults)|(system.+state.+changed )|(\[timeout)|(PRM\|1\|D)|(kpr)|(kdp)|(train st.+moving)|(\|lc)|(penalty))"</v>
      </c>
      <c r="AG168" s="244" t="str">
        <f t="shared" si="65"/>
        <v>NW</v>
      </c>
      <c r="AH168" s="236" t="str">
        <f t="shared" ref="AH168" si="90"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809-06 --locoid 4058 --swversion DE.1.0.9.0 --startMP 300:58609 --initTime 2017-12-06T07:25:33 --startdatetime 2017-12-06T07:39:27 --delay 45 --endMP 204:95 --enddatetime 2017-12-06T07:53:43 --enforcementcount 0 &gt;&gt;%USERPROFILE%\Documents\GitHub\eaglep3-reporting\EC\2017-12-06-refined-times.txt</v>
      </c>
      <c r="AI168" s="238" t="str">
        <f t="shared" ref="AI168" si="91"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{"issue":{"subject":"","project_id":79,"tracker_id":40,"status_id":1,"priority_id":2,"assigned_to_id":338,"start_date":"2017-12-06","description":"","custom_fields":[{"id":1,"name":"Subdivision","value":"NW"},{"id":4,"name":"Milepost","value":"5.8935"},{"id":17,"name":"Train ID","value":"809-06"},{"id":16,"name":"Locomotive ID","value":"4058"},{"id":130,"name":"Impact","value":""},{"id":150,"name":"Time of Event (Mountain Time)","value":"07:53:43"},{"id":151,"name":"Denver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ref="AM168" si="92">"start /low /b "&amp;dls3logs&amp;" --loco "&amp;B168&amp;" --day "&amp;TEXT(F168,"YYYY-MM-DD")</f>
        <v>start /low /b %USERPROFILE%\Documents\GitHub\eaglep3\Utilities\DownloadLogsFromS3.py --loco 4058 --day 2017-12-06</v>
      </c>
      <c r="AN168" s="241" t="str">
        <f t="shared" ref="AN168" si="93"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ref="AO168" si="94"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Message%20ID',Summary),filters:!(),index:'emp_*',interval:auto,query:"&amp;"(query_string:(analyze_wildcard:!t,query:'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-06T06:25:33-0700',mode:absolute,to:'2017-12-06T08:53:43-0700'))&amp;_a=(columns:!('Message%20ID',Summary),filters:!(),index:'emp_*',interval:auto,query:(query_string:(analyze_wildcard:!t,query:'%22rtdc.l.rtdc.4058%22')),sort:!(Time.ISO8601,asc))</v>
      </c>
    </row>
    <row r="169" spans="1:91" s="223" customFormat="1" x14ac:dyDescent="0.25">
      <c r="A169" s="229" t="s">
        <v>713</v>
      </c>
      <c r="B169" s="225">
        <v>4057</v>
      </c>
      <c r="C169" s="227" t="s">
        <v>192</v>
      </c>
      <c r="D169" s="227" t="s">
        <v>1063</v>
      </c>
      <c r="E169" s="226">
        <v>43075.330937500003</v>
      </c>
      <c r="F169" s="226">
        <v>43075.341666666667</v>
      </c>
      <c r="G169" s="225">
        <v>59</v>
      </c>
      <c r="H169" s="227" t="s">
        <v>619</v>
      </c>
      <c r="I169" s="226">
        <v>43075.350613425922</v>
      </c>
      <c r="J169" s="225">
        <v>0</v>
      </c>
      <c r="K169" s="237" t="str">
        <f t="shared" si="56"/>
        <v>4057/4058</v>
      </c>
      <c r="L169" s="245" t="str">
        <f>VLOOKUP(A169,'Trips&amp;Operators'!$C$1:$G$99911,5,FALSE)</f>
        <v>LAMAR NEKESHA</v>
      </c>
      <c r="M169" s="224">
        <f t="shared" si="57"/>
        <v>8.9467592551955022E-3</v>
      </c>
      <c r="N169" s="225">
        <f t="shared" si="79"/>
        <v>12.883333327481523</v>
      </c>
      <c r="O169" s="225"/>
      <c r="P169" s="225"/>
      <c r="Q169" s="228"/>
      <c r="R169" s="242"/>
      <c r="S169" s="249">
        <f t="shared" si="80"/>
        <v>1</v>
      </c>
      <c r="T169" s="242" t="str">
        <f t="shared" si="58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59"/>
        <v>https://d0f6bd738d7f1b3e5a7ca70fe4ff75f0.us-east-1.aws.found.io/app/kibana#/discover/Steve-Slow-Train-Analysis-(2080s-and-2083s)?_g=(refreshInterval:(display:Off,pause:!f,section:0,value:0),time:(from:'2017-12-06T06:56:33-0700',mode:absolute,to:'2017-12-06T09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9" s="247" t="str">
        <f>IF(AA169&lt;VLOOKUP(AG169,Variables!$AC$3:$AD$8,2,FALSE),"Y","N")</f>
        <v>N</v>
      </c>
      <c r="X169" s="247">
        <f t="shared" si="89"/>
        <v>1</v>
      </c>
      <c r="Y169" s="247">
        <f>RIGHT(D169,LEN(D169)-4)/10000</f>
        <v>5.8625999999999996</v>
      </c>
      <c r="Z169" s="247">
        <f>RIGHT(H169,LEN(H169)-4)/10000</f>
        <v>1.6199999999999999E-2</v>
      </c>
      <c r="AA169" s="247">
        <f t="shared" si="61"/>
        <v>5.8463999999999992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2"/>
        <v>810</v>
      </c>
      <c r="AE169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69" s="234" t="str">
        <f t="shared" si="64"/>
        <v>"C:\Program Files (x86)\AstroGrep\AstroGrep.exe" /e /r /s /spath="%USERPROFILE%\AppData\Local\Temp\OnboardLogs" /stypes="app*4057*20171206*" /stext=" 15:.+((SYSTEM_STATE.+slice.+state.+changed )|(ment ac)|(multiple cpu faults)|(system.+state.+changed )|(\[timeout)|(PRM\|1\|D)|(kpr)|(kdp)|(train st.+moving)|(\|lc)|(penalty))"</v>
      </c>
      <c r="AG169" s="244" t="str">
        <f t="shared" si="65"/>
        <v>NW</v>
      </c>
      <c r="AH169" s="236" t="str">
        <f t="shared" si="73"/>
        <v>"%USERPROFILE%\Documents\GitHub\eaglep3\Utilities\RefineRTDCRunTimes.py" --tripid 810-06 --locoid 4057 --swversion DE.1.0.9.0 --startMP 300:58626 --initTime 2017-12-06T07:56:33 --startdatetime 2017-12-06T08:12:00 --delay 59 --endMP 204:162 --enddatetime 2017-12-06T08:24:53 --enforcementcount 0 &gt;&gt;%USERPROFILE%\Documents\GitHub\eaglep3-reporting\EC\2017-12-06-refined-times.txt</v>
      </c>
      <c r="AI169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{"issue":{"subject":"","project_id":79,"tracker_id":40,"status_id":1,"priority_id":2,"assigned_to_id":338,"start_date":"2017-12-06","description":"","custom_fields":[{"id":1,"name":"Subdivision","value":"NW"},{"id":4,"name":"Milepost","value":"0.0162"},{"id":17,"name":"Train ID","value":"810-06"},{"id":16,"name":"Locomotive ID","value":"4057"},{"id":130,"name":"Impact","value":""},{"id":150,"name":"Time of Event (Mountain Time)","value":"08:24:53"},{"id":151,"name":"Denver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5"/>
        <v>start /low /b %USERPROFILE%\Documents\GitHub\eaglep3\Utilities\DownloadLogsFromS3.py --loco 4057 --day 2017-12-06</v>
      </c>
      <c r="AN169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7"/>
        <v>https://d0f6bd738d7f1b3e5a7ca70fe4ff75f0.us-east-1.aws.found.io/app/kibana#/discover/Steve-Slow-Train-Analysis-(2080s-and-2083s)?_g=(refreshInterval:(display:Off,pause:!f,section:0,value:0),time:(from:'2017-12-06T06:56:33-0700',mode:absolute,to:'2017-12-06T09:24:53-0700'))&amp;_a=(columns:!('Message%20ID',Summary),filters:!(),index:'emp_*',interval:auto,query:(query_string:(analyze_wildcard:!t,query:'%22rtdc.l.rtdc.4057%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714</v>
      </c>
      <c r="B170" s="225">
        <v>4050</v>
      </c>
      <c r="C170" s="227" t="s">
        <v>192</v>
      </c>
      <c r="D170" s="227" t="s">
        <v>1064</v>
      </c>
      <c r="E170" s="226">
        <v>43075.331689814811</v>
      </c>
      <c r="F170" s="226">
        <v>43075.339745370373</v>
      </c>
      <c r="G170" s="225">
        <v>69</v>
      </c>
      <c r="H170" s="227" t="s">
        <v>1065</v>
      </c>
      <c r="I170" s="226">
        <v>43075.349756944444</v>
      </c>
      <c r="J170" s="225">
        <v>0</v>
      </c>
      <c r="K170" s="237" t="str">
        <f t="shared" si="56"/>
        <v>4049/4050</v>
      </c>
      <c r="L170" s="245" t="str">
        <f>VLOOKUP(A170,'Trips&amp;Operators'!$C$1:$G$99911,5,FALSE)</f>
        <v>ROCHA YAOTL</v>
      </c>
      <c r="M170" s="224">
        <f t="shared" si="57"/>
        <v>1.0011574071540963E-2</v>
      </c>
      <c r="N170" s="225">
        <f t="shared" si="79"/>
        <v>14.416666663018987</v>
      </c>
      <c r="O170" s="225"/>
      <c r="P170" s="225"/>
      <c r="Q170" s="228"/>
      <c r="R170" s="242"/>
      <c r="S170" s="249">
        <f t="shared" si="80"/>
        <v>1</v>
      </c>
      <c r="T170" s="242" t="str">
        <f t="shared" si="58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59"/>
        <v>https://d0f6bd738d7f1b3e5a7ca70fe4ff75f0.us-east-1.aws.found.io/app/kibana#/discover/Steve-Slow-Train-Analysis-(2080s-and-2083s)?_g=(refreshInterval:(display:Off,pause:!f,section:0,value:0),time:(from:'2017-12-06T06:57:38-0700',mode:absolute,to:'2017-12-06T09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0" s="247" t="str">
        <f>IF(AA170&lt;VLOOKUP(AG170,Variables!$AC$3:$AD$8,2,FALSE),"Y","N")</f>
        <v>N</v>
      </c>
      <c r="X170" s="247">
        <f t="shared" si="89"/>
        <v>1</v>
      </c>
      <c r="Y170" s="247">
        <f>RIGHT(D170,LEN(D170)-4)/10000</f>
        <v>3.95E-2</v>
      </c>
      <c r="Z170" s="247">
        <f>RIGHT(H170,LEN(H170)-4)/10000</f>
        <v>5.8939000000000004</v>
      </c>
      <c r="AA170" s="247">
        <f t="shared" si="61"/>
        <v>5.8544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2"/>
        <v>811</v>
      </c>
      <c r="AE170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70" s="234" t="str">
        <f t="shared" si="64"/>
        <v>"C:\Program Files (x86)\AstroGrep\AstroGrep.exe" /e /r /s /spath="%USERPROFILE%\AppData\Local\Temp\OnboardLogs" /stypes="app*4050*20171206*" /stext=" 15:.+((SYSTEM_STATE.+slice.+state.+changed )|(ment ac)|(multiple cpu faults)|(system.+state.+changed )|(\[timeout)|(PRM\|1\|D)|(kpr)|(kdp)|(train st.+moving)|(\|lc)|(penalty))"</v>
      </c>
      <c r="AG170" s="244" t="str">
        <f t="shared" si="65"/>
        <v>NW</v>
      </c>
      <c r="AH170" s="236" t="str">
        <f t="shared" si="73"/>
        <v>"%USERPROFILE%\Documents\GitHub\eaglep3\Utilities\RefineRTDCRunTimes.py" --tripid 811-06 --locoid 4050 --swversion DE.1.0.9.0 --startMP 204:395 --initTime 2017-12-06T07:57:38 --startdatetime 2017-12-06T08:09:14 --delay 69 --endMP 300:58939 --enddatetime 2017-12-06T08:23:39 --enforcementcount 0 &gt;&gt;%USERPROFILE%\Documents\GitHub\eaglep3-reporting\EC\2017-12-06-refined-times.txt</v>
      </c>
      <c r="AI170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{"issue":{"subject":"","project_id":79,"tracker_id":40,"status_id":1,"priority_id":2,"assigned_to_id":338,"start_date":"2017-12-06","description":"","custom_fields":[{"id":1,"name":"Subdivision","value":"NW"},{"id":4,"name":"Milepost","value":"5.8939"},{"id":17,"name":"Train ID","value":"811-06"},{"id":16,"name":"Locomotive ID","value":"4050"},{"id":130,"name":"Impact","value":""},{"id":150,"name":"Time of Event (Mountain Time)","value":"08:23:39"},{"id":151,"name":"Denver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75"/>
        <v>start /low /b %USERPROFILE%\Documents\GitHub\eaglep3\Utilities\DownloadLogsFromS3.py --loco 4050 --day 2017-12-06</v>
      </c>
      <c r="AN170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7"/>
        <v>https://d0f6bd738d7f1b3e5a7ca70fe4ff75f0.us-east-1.aws.found.io/app/kibana#/discover/Steve-Slow-Train-Analysis-(2080s-and-2083s)?_g=(refreshInterval:(display:Off,pause:!f,section:0,value:0),time:(from:'2017-12-06T06:57:38-0700',mode:absolute,to:'2017-12-06T09:23:39-0700'))&amp;_a=(columns:!('Message%20ID',Summary),filters:!(),index:'emp_*',interval:auto,query:(query_string:(analyze_wildcard:!t,query:'%22rtdc.l.rtdc.4050%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720</v>
      </c>
      <c r="B171" s="225">
        <v>4049</v>
      </c>
      <c r="C171" s="227" t="s">
        <v>192</v>
      </c>
      <c r="D171" s="227" t="s">
        <v>1066</v>
      </c>
      <c r="E171" s="226">
        <v>43075.351168981484</v>
      </c>
      <c r="F171" s="226">
        <v>43075.362500000003</v>
      </c>
      <c r="G171" s="225">
        <v>49</v>
      </c>
      <c r="H171" s="227" t="s">
        <v>1067</v>
      </c>
      <c r="I171" s="226">
        <v>43075.371712962966</v>
      </c>
      <c r="J171" s="225">
        <v>0</v>
      </c>
      <c r="K171" s="237" t="str">
        <f t="shared" si="56"/>
        <v>4049/4050</v>
      </c>
      <c r="L171" s="245" t="str">
        <f>VLOOKUP(A171,'Trips&amp;Operators'!$C$1:$G$99911,5,FALSE)</f>
        <v>ROCHA YAOTL</v>
      </c>
      <c r="M171" s="224">
        <f t="shared" si="57"/>
        <v>9.2129629629198462E-3</v>
      </c>
      <c r="N171" s="225">
        <f t="shared" si="79"/>
        <v>13.266666666604578</v>
      </c>
      <c r="O171" s="225"/>
      <c r="P171" s="225"/>
      <c r="Q171" s="228"/>
      <c r="R171" s="242"/>
      <c r="S171" s="249">
        <f t="shared" si="80"/>
        <v>1</v>
      </c>
      <c r="T171" s="242" t="str">
        <f t="shared" si="58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59"/>
        <v>https://d0f6bd738d7f1b3e5a7ca70fe4ff75f0.us-east-1.aws.found.io/app/kibana#/discover/Steve-Slow-Train-Analysis-(2080s-and-2083s)?_g=(refreshInterval:(display:Off,pause:!f,section:0,value:0),time:(from:'2017-12-06T07:25:41-0700',mode:absolute,to:'2017-12-06T09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1" s="247" t="str">
        <f>IF(AA171&lt;VLOOKUP(AG171,Variables!$AC$3:$AD$8,2,FALSE),"Y","N")</f>
        <v>N</v>
      </c>
      <c r="X171" s="247">
        <f t="shared" si="89"/>
        <v>1</v>
      </c>
      <c r="Y171" s="247">
        <f>RIGHT(D171,LEN(D171)-4)/10000</f>
        <v>5.8623000000000003</v>
      </c>
      <c r="Z171" s="247">
        <f>RIGHT(H171,LEN(H171)-4)/10000</f>
        <v>7.3000000000000001E-3</v>
      </c>
      <c r="AA171" s="247">
        <f t="shared" si="61"/>
        <v>5.8550000000000004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2"/>
        <v>812</v>
      </c>
      <c r="AE171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71" s="234" t="str">
        <f t="shared" si="64"/>
        <v>"C:\Program Files (x86)\AstroGrep\AstroGrep.exe" /e /r /s /spath="%USERPROFILE%\AppData\Local\Temp\OnboardLogs" /stypes="app*4049*20171206*" /stext=" 15:.+((SYSTEM_STATE.+slice.+state.+changed )|(ment ac)|(multiple cpu faults)|(system.+state.+changed )|(\[timeout)|(PRM\|1\|D)|(kpr)|(kdp)|(train st.+moving)|(\|lc)|(penalty))"</v>
      </c>
      <c r="AG171" s="244" t="str">
        <f t="shared" si="65"/>
        <v>NW</v>
      </c>
      <c r="AH171" s="236" t="str">
        <f t="shared" si="73"/>
        <v>"%USERPROFILE%\Documents\GitHub\eaglep3\Utilities\RefineRTDCRunTimes.py" --tripid 812-06 --locoid 4049 --swversion DE.1.0.9.0 --startMP 300:58623 --initTime 2017-12-06T08:25:41 --startdatetime 2017-12-06T08:42:00 --delay 49 --endMP 204:73 --enddatetime 2017-12-06T08:55:16 --enforcementcount 0 &gt;&gt;%USERPROFILE%\Documents\GitHub\eaglep3-reporting\EC\2017-12-06-refined-times.txt</v>
      </c>
      <c r="AI171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{"issue":{"subject":"","project_id":79,"tracker_id":40,"status_id":1,"priority_id":2,"assigned_to_id":338,"start_date":"2017-12-06","description":"","custom_fields":[{"id":1,"name":"Subdivision","value":"NW"},{"id":4,"name":"Milepost","value":"0.0073"},{"id":17,"name":"Train ID","value":"812-06"},{"id":16,"name":"Locomotive ID","value":"4049"},{"id":130,"name":"Impact","value":""},{"id":150,"name":"Time of Event (Mountain Time)","value":"08:55:16"},{"id":151,"name":"Denver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75"/>
        <v>start /low /b %USERPROFILE%\Documents\GitHub\eaglep3\Utilities\DownloadLogsFromS3.py --loco 4049 --day 2017-12-06</v>
      </c>
      <c r="AN171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7"/>
        <v>https://d0f6bd738d7f1b3e5a7ca70fe4ff75f0.us-east-1.aws.found.io/app/kibana#/discover/Steve-Slow-Train-Analysis-(2080s-and-2083s)?_g=(refreshInterval:(display:Off,pause:!f,section:0,value:0),time:(from:'2017-12-06T07:25:41-0700',mode:absolute,to:'2017-12-06T09:55:16-0700'))&amp;_a=(columns:!('Message%20ID',Summary),filters:!(),index:'emp_*',interval:auto,query:(query_string:(analyze_wildcard:!t,query:'%22rtdc.l.rtdc.4049%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9" t="s">
        <v>641</v>
      </c>
      <c r="B172" s="225">
        <v>4050</v>
      </c>
      <c r="C172" s="227" t="s">
        <v>192</v>
      </c>
      <c r="D172" s="227" t="s">
        <v>1068</v>
      </c>
      <c r="E172" s="226">
        <v>43075.37296296296</v>
      </c>
      <c r="F172" s="226">
        <v>43075.381863425922</v>
      </c>
      <c r="G172" s="225">
        <v>52</v>
      </c>
      <c r="H172" s="227" t="s">
        <v>1069</v>
      </c>
      <c r="I172" s="226">
        <v>43075.385613425926</v>
      </c>
      <c r="J172" s="225">
        <v>0</v>
      </c>
      <c r="K172" s="237" t="str">
        <f t="shared" si="56"/>
        <v>4049/4050</v>
      </c>
      <c r="L172" s="245" t="str">
        <f>VLOOKUP(A172,'Trips&amp;Operators'!$C$1:$G$99911,5,FALSE)</f>
        <v>ROCHA YAOTL</v>
      </c>
      <c r="M172" s="224">
        <f t="shared" si="57"/>
        <v>3.7500000034924597E-3</v>
      </c>
      <c r="N172" s="225"/>
      <c r="O172" s="225"/>
      <c r="P172" s="225">
        <f t="shared" si="79"/>
        <v>5.4000000050291419</v>
      </c>
      <c r="Q172" s="228"/>
      <c r="R172" s="242" t="s">
        <v>447</v>
      </c>
      <c r="S172" s="249">
        <f t="shared" si="80"/>
        <v>1</v>
      </c>
      <c r="T172" s="242" t="str">
        <f t="shared" si="58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59"/>
        <v>https://d0f6bd738d7f1b3e5a7ca70fe4ff75f0.us-east-1.aws.found.io/app/kibana#/discover/Steve-Slow-Train-Analysis-(2080s-and-2083s)?_g=(refreshInterval:(display:Off,pause:!f,section:0,value:0),time:(from:'2017-12-06T07:57:04-0700',mode:absolute,to:'2017-12-06T10:15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2" s="247" t="str">
        <f>IF(AA172&lt;VLOOKUP(AG172,Variables!$AC$3:$AD$8,2,FALSE),"Y","N")</f>
        <v>Y</v>
      </c>
      <c r="X172" s="247">
        <f t="shared" si="89"/>
        <v>1</v>
      </c>
      <c r="Y172" s="247">
        <f>RIGHT(D172,LEN(D172)-4)/10000</f>
        <v>3.7499999999999999E-2</v>
      </c>
      <c r="Z172" s="247">
        <f>RIGHT(H172,LEN(H172)-4)/10000</f>
        <v>2.2858999999999998</v>
      </c>
      <c r="AA172" s="247">
        <f t="shared" si="61"/>
        <v>2.2483999999999997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2"/>
        <v>813</v>
      </c>
      <c r="AE172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72" s="234" t="str">
        <f t="shared" si="64"/>
        <v>"C:\Program Files (x86)\AstroGrep\AstroGrep.exe" /e /r /s /spath="%USERPROFILE%\AppData\Local\Temp\OnboardLogs" /stypes="app*4050*20171206*" /stext=" 16:.+((SYSTEM_STATE.+slice.+state.+changed )|(ment ac)|(multiple cpu faults)|(system.+state.+changed )|(\[timeout)|(PRM\|1\|D)|(kpr)|(kdp)|(train st.+moving)|(\|lc)|(penalty))"</v>
      </c>
      <c r="AG172" s="244" t="str">
        <f t="shared" si="65"/>
        <v>NW</v>
      </c>
      <c r="AH172" s="236" t="str">
        <f t="shared" si="73"/>
        <v>"%USERPROFILE%\Documents\GitHub\eaglep3\Utilities\RefineRTDCRunTimes.py" --tripid 813-06 --locoid 4050 --swversion DE.1.0.9.0 --startMP 204:375 --initTime 2017-12-06T08:57:04 --startdatetime 2017-12-06T09:09:53 --delay 52 --endMP 300:22859 --enddatetime 2017-12-06T09:15:17 --enforcementcount 0 &gt;&gt;%USERPROFILE%\Documents\GitHub\eaglep3-reporting\EC\2017-12-06-refined-times.txt</v>
      </c>
      <c r="AI172" s="238" t="str">
        <f t="shared" si="74"/>
        <v>echo {"issue":{"subject":"Wi-MAX data drop","project_id":79,"tracker_id":40,"status_id":1,"priority_id":2,"assigned_to_id":338,"start_date":"2017-12-06","description":"","custom_fields":[{"id":1,"name":"Subdivision","value":"NW"},{"id":4,"name":"Milepost","value":"2.2859"},{"id":17,"name":"Train ID","value":"813-06"},{"id":16,"name":"Locomotive ID","value":"4050"},{"id":130,"name":"Impact","value":""},{"id":150,"name":"Time of Event (Mountain Time)","value":"09:15:17"},{"id":151,"name":"Denver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75"/>
        <v>start /low /b %USERPROFILE%\Documents\GitHub\eaglep3\Utilities\DownloadLogsFromS3.py --loco 4050 --day 2017-12-06</v>
      </c>
      <c r="AN172" s="241" t="str">
        <f t="shared" si="76"/>
        <v>echo {"issue":{"subject":"Wi-MAX data drop","project_id":30,"tracker_id":4,"status_id":1,"priority_id":1,"assigned_to_id":10,"start_date":"2017-12-06","description":"","custom_fields":[{"id":30,"name":"Category","value":"Issue"},{"id":3,"name":"Functional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16:15:17"},{"id":29,"name":"Sharepoint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7"/>
        <v>https://d0f6bd738d7f1b3e5a7ca70fe4ff75f0.us-east-1.aws.found.io/app/kibana#/discover/Steve-Slow-Train-Analysis-(2080s-and-2083s)?_g=(refreshInterval:(display:Off,pause:!f,section:0,value:0),time:(from:'2017-12-06T07:57:04-0700',mode:absolute,to:'2017-12-06T10:15:17-0700'))&amp;_a=(columns:!('Message%20ID',Summary),filters:!(),index:'emp_*',interval:auto,query:(query_string:(analyze_wildcard:!t,query:'%22rtdc.l.rtdc.4050%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734</v>
      </c>
      <c r="B173" s="225">
        <v>4049</v>
      </c>
      <c r="C173" s="227" t="s">
        <v>192</v>
      </c>
      <c r="D173" s="227" t="s">
        <v>1068</v>
      </c>
      <c r="E173" s="226">
        <v>43075.37296296296</v>
      </c>
      <c r="F173" s="226">
        <v>43075.404895833337</v>
      </c>
      <c r="G173" s="225">
        <v>52</v>
      </c>
      <c r="H173" s="227" t="s">
        <v>1069</v>
      </c>
      <c r="I173" s="226">
        <v>43075.412951388891</v>
      </c>
      <c r="J173" s="225">
        <v>0</v>
      </c>
      <c r="K173" s="237" t="str">
        <f t="shared" si="56"/>
        <v>4049/4050</v>
      </c>
      <c r="L173" s="245" t="str">
        <f>VLOOKUP(A173,'Trips&amp;Operators'!$C$1:$G$99911,5,FALSE)</f>
        <v>ROCHA YAOTL</v>
      </c>
      <c r="M173" s="224">
        <f t="shared" si="57"/>
        <v>8.0555555541650392E-3</v>
      </c>
      <c r="N173" s="225">
        <f t="shared" si="79"/>
        <v>11.599999997997656</v>
      </c>
      <c r="O173" s="225"/>
      <c r="P173" s="225"/>
      <c r="Q173" s="228"/>
      <c r="R173" s="242"/>
      <c r="S173" s="249">
        <f t="shared" si="80"/>
        <v>1</v>
      </c>
      <c r="T173" s="242" t="str">
        <f t="shared" si="58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59"/>
        <v>https://d0f6bd738d7f1b3e5a7ca70fe4ff75f0.us-east-1.aws.found.io/app/kibana#/discover/Steve-Slow-Train-Analysis-(2080s-and-2083s)?_g=(refreshInterval:(display:Off,pause:!f,section:0,value:0),time:(from:'2017-12-06T07:57:04-0700',mode:absolute,to:'2017-12-06T10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3" s="247" t="str">
        <f>IF(AA173&lt;VLOOKUP(AG173,Variables!$AC$3:$AD$8,2,FALSE),"Y","N")</f>
        <v>N</v>
      </c>
      <c r="X173" s="247">
        <f t="shared" si="89"/>
        <v>1</v>
      </c>
      <c r="Y173" s="247">
        <v>5.8625999999999996</v>
      </c>
      <c r="Z173" s="247">
        <v>1.6199999999999999E-2</v>
      </c>
      <c r="AA173" s="247">
        <f t="shared" si="61"/>
        <v>5.8463999999999992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2"/>
        <v>814</v>
      </c>
      <c r="AE173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73" s="234" t="str">
        <f t="shared" si="64"/>
        <v>"C:\Program Files (x86)\AstroGrep\AstroGrep.exe" /e /r /s /spath="%USERPROFILE%\AppData\Local\Temp\OnboardLogs" /stypes="app*4049*20171206*" /stext=" 16:.+((SYSTEM_STATE.+slice.+state.+changed )|(ment ac)|(multiple cpu faults)|(system.+state.+changed )|(\[timeout)|(PRM\|1\|D)|(kpr)|(kdp)|(train st.+moving)|(\|lc)|(penalty))"</v>
      </c>
      <c r="AG173" s="244" t="str">
        <f t="shared" si="65"/>
        <v>NW</v>
      </c>
      <c r="AH173" s="236" t="str">
        <f t="shared" ref="AH173" si="95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814-06 --locoid 4049 --swversion DE.1.0.9.0 --startMP 204:375 --initTime 2017-12-06T08:57:04 --startdatetime 2017-12-06T09:43:03 --delay 52 --endMP 300:22859 --enddatetime 2017-12-06T09:54:39 --enforcementcount 0 &gt;&gt;%USERPROFILE%\Documents\GitHub\eaglep3-reporting\EC\2017-12-06-refined-times.txt</v>
      </c>
      <c r="AI173" s="238" t="str">
        <f t="shared" ref="AI173" si="96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{"issue":{"subject":"","project_id":79,"tracker_id":40,"status_id":1,"priority_id":2,"assigned_to_id":338,"start_date":"2017-12-06","description":"","custom_fields":[{"id":1,"name":"Subdivision","value":"NW"},{"id":4,"name":"Milepost","value":"0.0162"},{"id":17,"name":"Train ID","value":"814-06"},{"id":16,"name":"Locomotive ID","value":"4049"},{"id":130,"name":"Impact","value":""},{"id":150,"name":"Time of Event (Mountain Time)","value":"09:54:39"},{"id":151,"name":"Denver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ref="AM173" si="97">"start /low /b "&amp;dls3logs&amp;" --loco "&amp;B173&amp;" --day "&amp;TEXT(F173,"YYYY-MM-DD")</f>
        <v>start /low /b %USERPROFILE%\Documents\GitHub\eaglep3\Utilities\DownloadLogsFromS3.py --loco 4049 --day 2017-12-06</v>
      </c>
      <c r="AN173" s="241" t="str">
        <f t="shared" ref="AN173" si="98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ref="AO173" si="99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-06T07:57:04-0700',mode:absolute,to:'2017-12-06T10:54:39-0700'))&amp;_a=(columns:!('Message%20ID',Summary),filters:!(),index:'emp_*',interval:auto,query:(query_string:(analyze_wildcard:!t,query:'%22rtdc.l.rtdc.4049%22')),sort:!(Time.ISO8601,asc))</v>
      </c>
    </row>
    <row r="174" spans="1:91" s="223" customFormat="1" x14ac:dyDescent="0.25">
      <c r="A174" s="229" t="s">
        <v>739</v>
      </c>
      <c r="B174" s="225">
        <v>4050</v>
      </c>
      <c r="C174" s="227" t="s">
        <v>192</v>
      </c>
      <c r="D174" s="227" t="s">
        <v>1070</v>
      </c>
      <c r="E174" s="226">
        <v>43075.416701388887</v>
      </c>
      <c r="F174" s="226">
        <v>43075.423148148147</v>
      </c>
      <c r="G174" s="225">
        <v>57</v>
      </c>
      <c r="H174" s="227" t="s">
        <v>545</v>
      </c>
      <c r="I174" s="226">
        <v>43075.432800925926</v>
      </c>
      <c r="J174" s="225">
        <v>0</v>
      </c>
      <c r="K174" s="237" t="str">
        <f t="shared" si="56"/>
        <v>4049/4050</v>
      </c>
      <c r="L174" s="245" t="str">
        <f>VLOOKUP(A174,'Trips&amp;Operators'!$C$1:$G$99911,5,FALSE)</f>
        <v>HUFFSMITH MONTY</v>
      </c>
      <c r="M174" s="224">
        <f t="shared" si="57"/>
        <v>9.6527777786832303E-3</v>
      </c>
      <c r="N174" s="225">
        <f t="shared" si="79"/>
        <v>13.900000001303852</v>
      </c>
      <c r="O174" s="225"/>
      <c r="P174" s="225"/>
      <c r="Q174" s="228"/>
      <c r="R174" s="242"/>
      <c r="S174" s="249">
        <f t="shared" si="80"/>
        <v>1</v>
      </c>
      <c r="T174" s="242" t="str">
        <f t="shared" si="58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59"/>
        <v>https://d0f6bd738d7f1b3e5a7ca70fe4ff75f0.us-east-1.aws.found.io/app/kibana#/discover/Steve-Slow-Train-Analysis-(2080s-and-2083s)?_g=(refreshInterval:(display:Off,pause:!f,section:0,value:0),time:(from:'2017-12-06T09:00:03-0700',mode:absolute,to:'2017-12-06T11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4" s="247" t="str">
        <f>IF(AA174&lt;VLOOKUP(AG174,Variables!$AC$3:$AD$8,2,FALSE),"Y","N")</f>
        <v>N</v>
      </c>
      <c r="X174" s="247">
        <f t="shared" ref="X174:X175" si="100">VALUE(LEFT(AD174,4))-VALUE(LEFT(AD173,4))</f>
        <v>1</v>
      </c>
      <c r="Y174" s="247">
        <f t="shared" ref="Y174:Y197" si="101">RIGHT(D174,LEN(D174)-4)/10000</f>
        <v>3.8300000000000001E-2</v>
      </c>
      <c r="Z174" s="247">
        <f t="shared" ref="Z174:Z197" si="102">RIGHT(H174,LEN(H174)-4)/10000</f>
        <v>5.8982000000000001</v>
      </c>
      <c r="AA174" s="247">
        <f t="shared" si="61"/>
        <v>5.8598999999999997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2"/>
        <v>815</v>
      </c>
      <c r="AE174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74" s="234" t="str">
        <f t="shared" si="64"/>
        <v>"C:\Program Files (x86)\AstroGrep\AstroGrep.exe" /e /r /s /spath="%USERPROFILE%\AppData\Local\Temp\OnboardLogs" /stypes="app*4050*20171206*" /stext=" 17:.+((SYSTEM_STATE.+slice.+state.+changed )|(ment ac)|(multiple cpu faults)|(system.+state.+changed )|(\[timeout)|(PRM\|1\|D)|(kpr)|(kdp)|(train st.+moving)|(\|lc)|(penalty))"</v>
      </c>
      <c r="AG174" s="244" t="str">
        <f t="shared" si="65"/>
        <v>NW</v>
      </c>
      <c r="AH174" s="236" t="str">
        <f t="shared" si="73"/>
        <v>"%USERPROFILE%\Documents\GitHub\eaglep3\Utilities\RefineRTDCRunTimes.py" --tripid 815-06 --locoid 4050 --swversion DE.1.0.9.0 --startMP 204:383 --initTime 2017-12-06T10:00:03 --startdatetime 2017-12-06T10:09:20 --delay 57 --endMP 300:58982 --enddatetime 2017-12-06T10:23:14 --enforcementcount 0 &gt;&gt;%USERPROFILE%\Documents\GitHub\eaglep3-reporting\EC\2017-12-06-refined-times.txt</v>
      </c>
      <c r="AI174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{"issue":{"subject":"","project_id":79,"tracker_id":40,"status_id":1,"priority_id":2,"assigned_to_id":338,"start_date":"2017-12-06","description":"","custom_fields":[{"id":1,"name":"Subdivision","value":"NW"},{"id":4,"name":"Milepost","value":"5.8982"},{"id":17,"name":"Train ID","value":"815-06"},{"id":16,"name":"Locomotive ID","value":"4050"},{"id":130,"name":"Impact","value":""},{"id":150,"name":"Time of Event (Mountain Time)","value":"10:23:14"},{"id":151,"name":"Denver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75"/>
        <v>start /low /b %USERPROFILE%\Documents\GitHub\eaglep3\Utilities\DownloadLogsFromS3.py --loco 4050 --day 2017-12-06</v>
      </c>
      <c r="AN174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7"/>
        <v>https://d0f6bd738d7f1b3e5a7ca70fe4ff75f0.us-east-1.aws.found.io/app/kibana#/discover/Steve-Slow-Train-Analysis-(2080s-and-2083s)?_g=(refreshInterval:(display:Off,pause:!f,section:0,value:0),time:(from:'2017-12-06T09:00:03-0700',mode:absolute,to:'2017-12-06T11:23:14-0700'))&amp;_a=(columns:!('Message%20ID',Summary),filters:!(),index:'emp_*',interval:auto,query:(query_string:(analyze_wildcard:!t,query:'%22rtdc.l.rtdc.4050%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744</v>
      </c>
      <c r="B175" s="225">
        <v>4049</v>
      </c>
      <c r="C175" s="227" t="s">
        <v>192</v>
      </c>
      <c r="D175" s="227" t="s">
        <v>1071</v>
      </c>
      <c r="E175" s="226">
        <v>43075.434270833335</v>
      </c>
      <c r="F175" s="226">
        <v>43075.445833333331</v>
      </c>
      <c r="G175" s="225">
        <v>56</v>
      </c>
      <c r="H175" s="227" t="s">
        <v>1072</v>
      </c>
      <c r="I175" s="226">
        <v>43075.455208333333</v>
      </c>
      <c r="J175" s="225">
        <v>0</v>
      </c>
      <c r="K175" s="237" t="str">
        <f t="shared" si="56"/>
        <v>4049/4050</v>
      </c>
      <c r="L175" s="245" t="str">
        <f>VLOOKUP(A175,'Trips&amp;Operators'!$C$1:$G$99911,5,FALSE)</f>
        <v>HUFFSMITH MONTY</v>
      </c>
      <c r="M175" s="224">
        <f t="shared" si="57"/>
        <v>9.3750000014551915E-3</v>
      </c>
      <c r="N175" s="225">
        <f t="shared" si="79"/>
        <v>13.500000002095476</v>
      </c>
      <c r="O175" s="225"/>
      <c r="P175" s="225"/>
      <c r="Q175" s="228"/>
      <c r="R175" s="242"/>
      <c r="S175" s="249">
        <f t="shared" si="80"/>
        <v>1</v>
      </c>
      <c r="T175" s="242" t="str">
        <f t="shared" si="58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59"/>
        <v>https://d0f6bd738d7f1b3e5a7ca70fe4ff75f0.us-east-1.aws.found.io/app/kibana#/discover/Steve-Slow-Train-Analysis-(2080s-and-2083s)?_g=(refreshInterval:(display:Off,pause:!f,section:0,value:0),time:(from:'2017-12-06T09:25:21-0700',mode:absolute,to:'2017-12-06T11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5" s="247" t="str">
        <f>IF(AA175&lt;VLOOKUP(AG175,Variables!$AC$3:$AD$8,2,FALSE),"Y","N")</f>
        <v>N</v>
      </c>
      <c r="X175" s="247">
        <f t="shared" si="100"/>
        <v>1</v>
      </c>
      <c r="Y175" s="247">
        <f t="shared" si="101"/>
        <v>5.8666</v>
      </c>
      <c r="Z175" s="247">
        <f t="shared" si="102"/>
        <v>1.24E-2</v>
      </c>
      <c r="AA175" s="247">
        <f t="shared" si="61"/>
        <v>5.8541999999999996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2"/>
        <v>816</v>
      </c>
      <c r="AE175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75" s="234" t="str">
        <f t="shared" si="64"/>
        <v>"C:\Program Files (x86)\AstroGrep\AstroGrep.exe" /e /r /s /spath="%USERPROFILE%\AppData\Local\Temp\OnboardLogs" /stypes="app*4049*20171206*" /stext=" 17:.+((SYSTEM_STATE.+slice.+state.+changed )|(ment ac)|(multiple cpu faults)|(system.+state.+changed )|(\[timeout)|(PRM\|1\|D)|(kpr)|(kdp)|(train st.+moving)|(\|lc)|(penalty))"</v>
      </c>
      <c r="AG175" s="244" t="str">
        <f t="shared" si="65"/>
        <v>NW</v>
      </c>
      <c r="AH175" s="236" t="str">
        <f t="shared" si="73"/>
        <v>"%USERPROFILE%\Documents\GitHub\eaglep3\Utilities\RefineRTDCRunTimes.py" --tripid 816-06 --locoid 4049 --swversion DE.1.0.9.0 --startMP 300:58666 --initTime 2017-12-06T10:25:21 --startdatetime 2017-12-06T10:42:00 --delay 56 --endMP 204:124 --enddatetime 2017-12-06T10:55:30 --enforcementcount 0 &gt;&gt;%USERPROFILE%\Documents\GitHub\eaglep3-reporting\EC\2017-12-06-refined-times.txt</v>
      </c>
      <c r="AI175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{"issue":{"subject":"","project_id":79,"tracker_id":40,"status_id":1,"priority_id":2,"assigned_to_id":338,"start_date":"2017-12-06","description":"","custom_fields":[{"id":1,"name":"Subdivision","value":"NW"},{"id":4,"name":"Milepost","value":"0.0124"},{"id":17,"name":"Train ID","value":"816-06"},{"id":16,"name":"Locomotive ID","value":"4049"},{"id":130,"name":"Impact","value":""},{"id":150,"name":"Time of Event (Mountain Time)","value":"10:55:30"},{"id":151,"name":"Denver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75"/>
        <v>start /low /b %USERPROFILE%\Documents\GitHub\eaglep3\Utilities\DownloadLogsFromS3.py --loco 4049 --day 2017-12-06</v>
      </c>
      <c r="AN175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7"/>
        <v>https://d0f6bd738d7f1b3e5a7ca70fe4ff75f0.us-east-1.aws.found.io/app/kibana#/discover/Steve-Slow-Train-Analysis-(2080s-and-2083s)?_g=(refreshInterval:(display:Off,pause:!f,section:0,value:0),time:(from:'2017-12-06T09:25:21-0700',mode:absolute,to:'2017-12-06T11:55:30-0700'))&amp;_a=(columns:!('Message%20ID',Summary),filters:!(),index:'emp_*',interval:auto,query:(query_string:(analyze_wildcard:!t,query:'%22rtdc.l.rtdc.4049%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749</v>
      </c>
      <c r="B176" s="225">
        <v>4050</v>
      </c>
      <c r="C176" s="227" t="s">
        <v>192</v>
      </c>
      <c r="D176" s="227" t="s">
        <v>1073</v>
      </c>
      <c r="E176" s="226">
        <v>43075.45722222222</v>
      </c>
      <c r="F176" s="226">
        <v>43075.464803240742</v>
      </c>
      <c r="G176" s="225">
        <v>48</v>
      </c>
      <c r="H176" s="227" t="s">
        <v>616</v>
      </c>
      <c r="I176" s="226">
        <v>43075.474872685183</v>
      </c>
      <c r="J176" s="225">
        <v>0</v>
      </c>
      <c r="K176" s="237" t="str">
        <f t="shared" si="56"/>
        <v>4049/4050</v>
      </c>
      <c r="L176" s="245" t="str">
        <f>VLOOKUP(A176,'Trips&amp;Operators'!$C$1:$G$99911,5,FALSE)</f>
        <v>HUFFSMITH MONTY</v>
      </c>
      <c r="M176" s="224">
        <f t="shared" si="57"/>
        <v>1.006944444088731E-2</v>
      </c>
      <c r="N176" s="225">
        <f t="shared" si="79"/>
        <v>14.499999994877726</v>
      </c>
      <c r="O176" s="225"/>
      <c r="P176" s="225"/>
      <c r="Q176" s="228"/>
      <c r="R176" s="242"/>
      <c r="S176" s="249">
        <f t="shared" si="80"/>
        <v>1</v>
      </c>
      <c r="T176" s="242" t="str">
        <f t="shared" si="58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59"/>
        <v>https://d0f6bd738d7f1b3e5a7ca70fe4ff75f0.us-east-1.aws.found.io/app/kibana#/discover/Steve-Slow-Train-Analysis-(2080s-and-2083s)?_g=(refreshInterval:(display:Off,pause:!f,section:0,value:0),time:(from:'2017-12-06T09:58:24-0700',mode:absolute,to:'2017-12-06T12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6" s="247" t="str">
        <f>IF(AA176&lt;VLOOKUP(AG176,Variables!$AC$3:$AD$8,2,FALSE),"Y","N")</f>
        <v>N</v>
      </c>
      <c r="X176" s="247">
        <f t="shared" ref="X176:X196" si="103">VALUE(LEFT(AD176,4))-VALUE(LEFT(AD175,4))</f>
        <v>1</v>
      </c>
      <c r="Y176" s="247">
        <f t="shared" si="101"/>
        <v>4.24E-2</v>
      </c>
      <c r="Z176" s="247">
        <f t="shared" si="102"/>
        <v>5.8978000000000002</v>
      </c>
      <c r="AA176" s="247">
        <f t="shared" si="61"/>
        <v>5.8554000000000004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2"/>
        <v>817</v>
      </c>
      <c r="AE176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76" s="234" t="str">
        <f t="shared" si="64"/>
        <v>"C:\Program Files (x86)\AstroGrep\AstroGrep.exe" /e /r /s /spath="%USERPROFILE%\AppData\Local\Temp\OnboardLogs" /stypes="app*4050*20171206*" /stext=" 18:.+((SYSTEM_STATE.+slice.+state.+changed )|(ment ac)|(multiple cpu faults)|(system.+state.+changed )|(\[timeout)|(PRM\|1\|D)|(kpr)|(kdp)|(train st.+moving)|(\|lc)|(penalty))"</v>
      </c>
      <c r="AG176" s="244" t="str">
        <f t="shared" si="65"/>
        <v>NW</v>
      </c>
      <c r="AH176" s="236" t="str">
        <f t="shared" si="73"/>
        <v>"%USERPROFILE%\Documents\GitHub\eaglep3\Utilities\RefineRTDCRunTimes.py" --tripid 817-06 --locoid 4050 --swversion DE.1.0.9.0 --startMP 204:424 --initTime 2017-12-06T10:58:24 --startdatetime 2017-12-06T11:09:19 --delay 48 --endMP 300:58978 --enddatetime 2017-12-06T11:23:49 --enforcementcount 0 &gt;&gt;%USERPROFILE%\Documents\GitHub\eaglep3-reporting\EC\2017-12-06-refined-times.txt</v>
      </c>
      <c r="AI176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{"issue":{"subject":"","project_id":79,"tracker_id":40,"status_id":1,"priority_id":2,"assigned_to_id":338,"start_date":"2017-12-06","description":"","custom_fields":[{"id":1,"name":"Subdivision","value":"NW"},{"id":4,"name":"Milepost","value":"5.8978"},{"id":17,"name":"Train ID","value":"817-06"},{"id":16,"name":"Locomotive ID","value":"4050"},{"id":130,"name":"Impact","value":""},{"id":150,"name":"Time of Event (Mountain Time)","value":"11:23:49"},{"id":151,"name":"Denver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75"/>
        <v>start /low /b %USERPROFILE%\Documents\GitHub\eaglep3\Utilities\DownloadLogsFromS3.py --loco 4050 --day 2017-12-06</v>
      </c>
      <c r="AN176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7"/>
        <v>https://d0f6bd738d7f1b3e5a7ca70fe4ff75f0.us-east-1.aws.found.io/app/kibana#/discover/Steve-Slow-Train-Analysis-(2080s-and-2083s)?_g=(refreshInterval:(display:Off,pause:!f,section:0,value:0),time:(from:'2017-12-06T09:58:24-0700',mode:absolute,to:'2017-12-06T12:23:49-0700'))&amp;_a=(columns:!('Message%20ID',Summary),filters:!(),index:'emp_*',interval:auto,query:(query_string:(analyze_wildcard:!t,query:'%22rtdc.l.rtdc.4050%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754</v>
      </c>
      <c r="B177" s="225">
        <v>4049</v>
      </c>
      <c r="C177" s="227" t="s">
        <v>192</v>
      </c>
      <c r="D177" s="227" t="s">
        <v>1074</v>
      </c>
      <c r="E177" s="226">
        <v>43075.476145833331</v>
      </c>
      <c r="F177" s="226">
        <v>43075.487500000003</v>
      </c>
      <c r="G177" s="225">
        <v>51</v>
      </c>
      <c r="H177" s="227" t="s">
        <v>621</v>
      </c>
      <c r="I177" s="226">
        <v>43075.497349537036</v>
      </c>
      <c r="J177" s="225">
        <v>0</v>
      </c>
      <c r="K177" s="237" t="str">
        <f t="shared" si="56"/>
        <v>4049/4050</v>
      </c>
      <c r="L177" s="245" t="str">
        <f>VLOOKUP(A177,'Trips&amp;Operators'!$C$1:$G$99911,5,FALSE)</f>
        <v>HUFFSMITH MONTY</v>
      </c>
      <c r="M177" s="224">
        <f t="shared" si="57"/>
        <v>9.8495370330056176E-3</v>
      </c>
      <c r="N177" s="225">
        <f t="shared" si="79"/>
        <v>14.183333327528089</v>
      </c>
      <c r="O177" s="225"/>
      <c r="P177" s="225"/>
      <c r="Q177" s="228"/>
      <c r="R177" s="242"/>
      <c r="S177" s="249">
        <f t="shared" si="80"/>
        <v>1</v>
      </c>
      <c r="T177" s="242" t="str">
        <f t="shared" si="58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59"/>
        <v>https://d0f6bd738d7f1b3e5a7ca70fe4ff75f0.us-east-1.aws.found.io/app/kibana#/discover/Steve-Slow-Train-Analysis-(2080s-and-2083s)?_g=(refreshInterval:(display:Off,pause:!f,section:0,value:0),time:(from:'2017-12-06T10:25:39-0700',mode:absolute,to:'2017-12-06T12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7" s="247" t="str">
        <f>IF(AA177&lt;VLOOKUP(AG177,Variables!$AC$3:$AD$8,2,FALSE),"Y","N")</f>
        <v>N</v>
      </c>
      <c r="X177" s="247">
        <f t="shared" si="103"/>
        <v>1</v>
      </c>
      <c r="Y177" s="247">
        <f t="shared" si="101"/>
        <v>5.8654999999999999</v>
      </c>
      <c r="Z177" s="247">
        <f t="shared" si="102"/>
        <v>1.37E-2</v>
      </c>
      <c r="AA177" s="247">
        <f t="shared" si="61"/>
        <v>5.8517999999999999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2"/>
        <v>818</v>
      </c>
      <c r="AE177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77" s="234" t="str">
        <f t="shared" si="64"/>
        <v>"C:\Program Files (x86)\AstroGrep\AstroGrep.exe" /e /r /s /spath="%USERPROFILE%\AppData\Local\Temp\OnboardLogs" /stypes="app*4049*20171206*" /stext=" 18:.+((SYSTEM_STATE.+slice.+state.+changed )|(ment ac)|(multiple cpu faults)|(system.+state.+changed )|(\[timeout)|(PRM\|1\|D)|(kpr)|(kdp)|(train st.+moving)|(\|lc)|(penalty))"</v>
      </c>
      <c r="AG177" s="244" t="str">
        <f t="shared" si="65"/>
        <v>NW</v>
      </c>
      <c r="AH177" s="236" t="str">
        <f t="shared" si="73"/>
        <v>"%USERPROFILE%\Documents\GitHub\eaglep3\Utilities\RefineRTDCRunTimes.py" --tripid 818-06 --locoid 4049 --swversion DE.1.0.9.0 --startMP 300:58655 --initTime 2017-12-06T11:25:39 --startdatetime 2017-12-06T11:42:00 --delay 51 --endMP 204:137 --enddatetime 2017-12-06T11:56:11 --enforcementcount 0 &gt;&gt;%USERPROFILE%\Documents\GitHub\eaglep3-reporting\EC\2017-12-06-refined-times.txt</v>
      </c>
      <c r="AI177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{"issue":{"subject":"","project_id":79,"tracker_id":40,"status_id":1,"priority_id":2,"assigned_to_id":338,"start_date":"2017-12-06","description":"","custom_fields":[{"id":1,"name":"Subdivision","value":"NW"},{"id":4,"name":"Milepost","value":"0.0137"},{"id":17,"name":"Train ID","value":"818-06"},{"id":16,"name":"Locomotive ID","value":"4049"},{"id":130,"name":"Impact","value":""},{"id":150,"name":"Time of Event (Mountain Time)","value":"11:56:11"},{"id":151,"name":"Denver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75"/>
        <v>start /low /b %USERPROFILE%\Documents\GitHub\eaglep3\Utilities\DownloadLogsFromS3.py --loco 4049 --day 2017-12-06</v>
      </c>
      <c r="AN177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7"/>
        <v>https://d0f6bd738d7f1b3e5a7ca70fe4ff75f0.us-east-1.aws.found.io/app/kibana#/discover/Steve-Slow-Train-Analysis-(2080s-and-2083s)?_g=(refreshInterval:(display:Off,pause:!f,section:0,value:0),time:(from:'2017-12-06T10:25:39-0700',mode:absolute,to:'2017-12-06T12:56:11-0700'))&amp;_a=(columns:!('Message%20ID',Summary),filters:!(),index:'emp_*',interval:auto,query:(query_string:(analyze_wildcard:!t,query:'%22rtdc.l.rtdc.4049%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25">
      <c r="A178" s="229" t="s">
        <v>759</v>
      </c>
      <c r="B178" s="225">
        <v>4050</v>
      </c>
      <c r="C178" s="227" t="s">
        <v>192</v>
      </c>
      <c r="D178" s="227" t="s">
        <v>1075</v>
      </c>
      <c r="E178" s="226">
        <v>43075.500092592592</v>
      </c>
      <c r="F178" s="226">
        <v>43075.506493055553</v>
      </c>
      <c r="G178" s="225">
        <v>45</v>
      </c>
      <c r="H178" s="227" t="s">
        <v>1052</v>
      </c>
      <c r="I178" s="226">
        <v>43075.516284722224</v>
      </c>
      <c r="J178" s="225">
        <v>0</v>
      </c>
      <c r="K178" s="237" t="str">
        <f t="shared" si="56"/>
        <v>4049/4050</v>
      </c>
      <c r="L178" s="245" t="str">
        <f>VLOOKUP(A178,'Trips&amp;Operators'!$C$1:$G$99911,5,FALSE)</f>
        <v>HUFFSMITH MONTY</v>
      </c>
      <c r="M178" s="224">
        <f t="shared" si="57"/>
        <v>9.7916666709352285E-3</v>
      </c>
      <c r="N178" s="225">
        <f t="shared" si="79"/>
        <v>14.100000006146729</v>
      </c>
      <c r="O178" s="225"/>
      <c r="P178" s="225"/>
      <c r="Q178" s="228"/>
      <c r="R178" s="242"/>
      <c r="S178" s="249">
        <f t="shared" si="80"/>
        <v>1</v>
      </c>
      <c r="T178" s="242" t="str">
        <f t="shared" si="58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59"/>
        <v>https://d0f6bd738d7f1b3e5a7ca70fe4ff75f0.us-east-1.aws.found.io/app/kibana#/discover/Steve-Slow-Train-Analysis-(2080s-and-2083s)?_g=(refreshInterval:(display:Off,pause:!f,section:0,value:0),time:(from:'2017-12-06T11:00:08-0700',mode:absolute,to:'2017-12-06T13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8" s="247" t="str">
        <f>IF(AA178&lt;VLOOKUP(AG178,Variables!$AC$3:$AD$8,2,FALSE),"Y","N")</f>
        <v>N</v>
      </c>
      <c r="X178" s="247">
        <f t="shared" si="103"/>
        <v>1</v>
      </c>
      <c r="Y178" s="247">
        <f t="shared" si="101"/>
        <v>4.3299999999999998E-2</v>
      </c>
      <c r="Z178" s="247">
        <f t="shared" si="102"/>
        <v>5.8983999999999996</v>
      </c>
      <c r="AA178" s="247">
        <f t="shared" si="61"/>
        <v>5.8550999999999993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2"/>
        <v>819</v>
      </c>
      <c r="AE178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78" s="234" t="str">
        <f t="shared" si="64"/>
        <v>"C:\Program Files (x86)\AstroGrep\AstroGrep.exe" /e /r /s /spath="%USERPROFILE%\AppData\Local\Temp\OnboardLogs" /stypes="app*4050*20171206*" /stext=" 19:.+((SYSTEM_STATE.+slice.+state.+changed )|(ment ac)|(multiple cpu faults)|(system.+state.+changed )|(\[timeout)|(PRM\|1\|D)|(kpr)|(kdp)|(train st.+moving)|(\|lc)|(penalty))"</v>
      </c>
      <c r="AG178" s="244" t="str">
        <f t="shared" si="65"/>
        <v>NW</v>
      </c>
      <c r="AH178" s="236" t="str">
        <f t="shared" si="73"/>
        <v>"%USERPROFILE%\Documents\GitHub\eaglep3\Utilities\RefineRTDCRunTimes.py" --tripid 819-06 --locoid 4050 --swversion DE.1.0.9.0 --startMP 204:433 --initTime 2017-12-06T12:00:08 --startdatetime 2017-12-06T12:09:21 --delay 45 --endMP 300:58984 --enddatetime 2017-12-06T12:23:27 --enforcementcount 0 &gt;&gt;%USERPROFILE%\Documents\GitHub\eaglep3-reporting\EC\2017-12-06-refined-times.txt</v>
      </c>
      <c r="AI178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{"issue":{"subject":"","project_id":79,"tracker_id":40,"status_id":1,"priority_id":2,"assigned_to_id":338,"start_date":"2017-12-06","description":"","custom_fields":[{"id":1,"name":"Subdivision","value":"NW"},{"id":4,"name":"Milepost","value":"5.8984"},{"id":17,"name":"Train ID","value":"819-06"},{"id":16,"name":"Locomotive ID","value":"4050"},{"id":130,"name":"Impact","value":""},{"id":150,"name":"Time of Event (Mountain Time)","value":"12:23:27"},{"id":151,"name":"Denver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75"/>
        <v>start /low /b %USERPROFILE%\Documents\GitHub\eaglep3\Utilities\DownloadLogsFromS3.py --loco 4050 --day 2017-12-06</v>
      </c>
      <c r="AN178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7"/>
        <v>https://d0f6bd738d7f1b3e5a7ca70fe4ff75f0.us-east-1.aws.found.io/app/kibana#/discover/Steve-Slow-Train-Analysis-(2080s-and-2083s)?_g=(refreshInterval:(display:Off,pause:!f,section:0,value:0),time:(from:'2017-12-06T11:00:08-0700',mode:absolute,to:'2017-12-06T13:23:27-0700'))&amp;_a=(columns:!('Message%20ID',Summary),filters:!(),index:'emp_*',interval:auto,query:(query_string:(analyze_wildcard:!t,query:'%22rtdc.l.rtdc.4050%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763</v>
      </c>
      <c r="B179" s="225">
        <v>4049</v>
      </c>
      <c r="C179" s="227" t="s">
        <v>192</v>
      </c>
      <c r="D179" s="227" t="s">
        <v>614</v>
      </c>
      <c r="E179" s="226">
        <v>43075.517465277779</v>
      </c>
      <c r="F179" s="226">
        <v>43075.529166666667</v>
      </c>
      <c r="G179" s="225">
        <v>48</v>
      </c>
      <c r="H179" s="227" t="s">
        <v>611</v>
      </c>
      <c r="I179" s="226">
        <v>43075.538425925923</v>
      </c>
      <c r="J179" s="225">
        <v>0</v>
      </c>
      <c r="K179" s="237" t="str">
        <f t="shared" si="56"/>
        <v>4049/4050</v>
      </c>
      <c r="L179" s="245" t="str">
        <f>VLOOKUP(A179,'Trips&amp;Operators'!$C$1:$G$99911,5,FALSE)</f>
        <v>HUFFSMITH MONTY</v>
      </c>
      <c r="M179" s="224">
        <f t="shared" si="57"/>
        <v>9.2592592554865405E-3</v>
      </c>
      <c r="N179" s="225">
        <f t="shared" si="79"/>
        <v>13.333333327900618</v>
      </c>
      <c r="O179" s="225"/>
      <c r="P179" s="225"/>
      <c r="Q179" s="228"/>
      <c r="R179" s="242"/>
      <c r="S179" s="249">
        <f t="shared" si="80"/>
        <v>1</v>
      </c>
      <c r="T179" s="242" t="str">
        <f t="shared" si="58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59"/>
        <v>https://d0f6bd738d7f1b3e5a7ca70fe4ff75f0.us-east-1.aws.found.io/app/kibana#/discover/Steve-Slow-Train-Analysis-(2080s-and-2083s)?_g=(refreshInterval:(display:Off,pause:!f,section:0,value:0),time:(from:'2017-12-06T11:25:09-0700',mode:absolute,to:'2017-12-06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9" s="247" t="str">
        <f>IF(AA179&lt;VLOOKUP(AG179,Variables!$AC$3:$AD$8,2,FALSE),"Y","N")</f>
        <v>N</v>
      </c>
      <c r="X179" s="247">
        <f t="shared" si="103"/>
        <v>1</v>
      </c>
      <c r="Y179" s="247">
        <f t="shared" si="101"/>
        <v>5.8673000000000002</v>
      </c>
      <c r="Z179" s="247">
        <f t="shared" si="102"/>
        <v>1.1900000000000001E-2</v>
      </c>
      <c r="AA179" s="247">
        <f t="shared" si="61"/>
        <v>5.8554000000000004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2"/>
        <v>820</v>
      </c>
      <c r="AE179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79" s="234" t="str">
        <f t="shared" si="64"/>
        <v>"C:\Program Files (x86)\AstroGrep\AstroGrep.exe" /e /r /s /spath="%USERPROFILE%\AppData\Local\Temp\OnboardLogs" /stypes="app*4049*20171206*" /stext=" 19:.+((SYSTEM_STATE.+slice.+state.+changed )|(ment ac)|(multiple cpu faults)|(system.+state.+changed )|(\[timeout)|(PRM\|1\|D)|(kpr)|(kdp)|(train st.+moving)|(\|lc)|(penalty))"</v>
      </c>
      <c r="AG179" s="244" t="str">
        <f t="shared" si="65"/>
        <v>NW</v>
      </c>
      <c r="AH179" s="236" t="str">
        <f t="shared" si="73"/>
        <v>"%USERPROFILE%\Documents\GitHub\eaglep3\Utilities\RefineRTDCRunTimes.py" --tripid 820-06 --locoid 4049 --swversion DE.1.0.9.0 --startMP 300:58673 --initTime 2017-12-06T12:25:09 --startdatetime 2017-12-06T12:42:00 --delay 48 --endMP 204:119 --enddatetime 2017-12-06T12:55:20 --enforcementcount 0 &gt;&gt;%USERPROFILE%\Documents\GitHub\eaglep3-reporting\EC\2017-12-06-refined-times.txt</v>
      </c>
      <c r="AI179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{"issue":{"subject":"","project_id":79,"tracker_id":40,"status_id":1,"priority_id":2,"assigned_to_id":338,"start_date":"2017-12-06","description":"","custom_fields":[{"id":1,"name":"Subdivision","value":"NW"},{"id":4,"name":"Milepost","value":"0.0119"},{"id":17,"name":"Train ID","value":"820-06"},{"id":16,"name":"Locomotive ID","value":"4049"},{"id":130,"name":"Impact","value":""},{"id":150,"name":"Time of Event (Mountain Time)","value":"12:55:20"},{"id":151,"name":"Denver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75"/>
        <v>start /low /b %USERPROFILE%\Documents\GitHub\eaglep3\Utilities\DownloadLogsFromS3.py --loco 4049 --day 2017-12-06</v>
      </c>
      <c r="AN179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7"/>
        <v>https://d0f6bd738d7f1b3e5a7ca70fe4ff75f0.us-east-1.aws.found.io/app/kibana#/discover/Steve-Slow-Train-Analysis-(2080s-and-2083s)?_g=(refreshInterval:(display:Off,pause:!f,section:0,value:0),time:(from:'2017-12-06T11:25:09-0700',mode:absolute,to:'2017-12-06T13:55:20-0700'))&amp;_a=(columns:!('Message%20ID',Summary),filters:!(),index:'emp_*',interval:auto,query:(query_string:(analyze_wildcard:!t,query:'%22rtdc.l.rtdc.4049%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769</v>
      </c>
      <c r="B180" s="225">
        <v>4050</v>
      </c>
      <c r="C180" s="227" t="s">
        <v>192</v>
      </c>
      <c r="D180" s="227" t="s">
        <v>523</v>
      </c>
      <c r="E180" s="226">
        <v>43075.542187500003</v>
      </c>
      <c r="F180" s="226">
        <v>43075.548101851855</v>
      </c>
      <c r="G180" s="225">
        <v>70</v>
      </c>
      <c r="H180" s="227" t="s">
        <v>543</v>
      </c>
      <c r="I180" s="226">
        <v>43075.558344907404</v>
      </c>
      <c r="J180" s="225">
        <v>0</v>
      </c>
      <c r="K180" s="237" t="str">
        <f t="shared" si="56"/>
        <v>4049/4050</v>
      </c>
      <c r="L180" s="245" t="str">
        <f>VLOOKUP(A180,'Trips&amp;Operators'!$C$1:$G$99911,5,FALSE)</f>
        <v>LEVERE CRAIG</v>
      </c>
      <c r="M180" s="224">
        <f t="shared" si="57"/>
        <v>1.024305554892635E-2</v>
      </c>
      <c r="N180" s="225">
        <f t="shared" si="79"/>
        <v>14.749999990453944</v>
      </c>
      <c r="O180" s="225"/>
      <c r="P180" s="225"/>
      <c r="Q180" s="228"/>
      <c r="R180" s="242"/>
      <c r="S180" s="249">
        <f t="shared" si="80"/>
        <v>1</v>
      </c>
      <c r="T180" s="242" t="str">
        <f t="shared" si="58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59"/>
        <v>https://d0f6bd738d7f1b3e5a7ca70fe4ff75f0.us-east-1.aws.found.io/app/kibana#/discover/Steve-Slow-Train-Analysis-(2080s-and-2083s)?_g=(refreshInterval:(display:Off,pause:!f,section:0,value:0),time:(from:'2017-12-06T12:00:45-0700',mode:absolute,to:'2017-12-06T14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0" s="247" t="str">
        <f>IF(AA180&lt;VLOOKUP(AG180,Variables!$AC$3:$AD$8,2,FALSE),"Y","N")</f>
        <v>N</v>
      </c>
      <c r="X180" s="247">
        <f t="shared" si="103"/>
        <v>1</v>
      </c>
      <c r="Y180" s="247">
        <f t="shared" si="101"/>
        <v>4.3499999999999997E-2</v>
      </c>
      <c r="Z180" s="247">
        <f t="shared" si="102"/>
        <v>5.8945999999999996</v>
      </c>
      <c r="AA180" s="247">
        <f t="shared" si="61"/>
        <v>5.8510999999999997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2"/>
        <v>821</v>
      </c>
      <c r="AE180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80" s="234" t="str">
        <f t="shared" si="64"/>
        <v>"C:\Program Files (x86)\AstroGrep\AstroGrep.exe" /e /r /s /spath="%USERPROFILE%\AppData\Local\Temp\OnboardLogs" /stypes="app*4050*20171206*" /stext=" 20:.+((SYSTEM_STATE.+slice.+state.+changed )|(ment ac)|(multiple cpu faults)|(system.+state.+changed )|(\[timeout)|(PRM\|1\|D)|(kpr)|(kdp)|(train st.+moving)|(\|lc)|(penalty))"</v>
      </c>
      <c r="AG180" s="244" t="str">
        <f t="shared" si="65"/>
        <v>NW</v>
      </c>
      <c r="AH180" s="236" t="str">
        <f t="shared" si="73"/>
        <v>"%USERPROFILE%\Documents\GitHub\eaglep3\Utilities\RefineRTDCRunTimes.py" --tripid 821-06 --locoid 4050 --swversion DE.1.0.9.0 --startMP 204:435 --initTime 2017-12-06T13:00:45 --startdatetime 2017-12-06T13:09:16 --delay 70 --endMP 300:58946 --enddatetime 2017-12-06T13:24:01 --enforcementcount 0 &gt;&gt;%USERPROFILE%\Documents\GitHub\eaglep3-reporting\EC\2017-12-06-refined-times.txt</v>
      </c>
      <c r="AI180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{"issue":{"subject":"","project_id":79,"tracker_id":40,"status_id":1,"priority_id":2,"assigned_to_id":338,"start_date":"2017-12-06","description":"","custom_fields":[{"id":1,"name":"Subdivision","value":"NW"},{"id":4,"name":"Milepost","value":"5.8946"},{"id":17,"name":"Train ID","value":"821-06"},{"id":16,"name":"Locomotive ID","value":"4050"},{"id":130,"name":"Impact","value":""},{"id":150,"name":"Time of Event (Mountain Time)","value":"13:24:01"},{"id":151,"name":"Denver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75"/>
        <v>start /low /b %USERPROFILE%\Documents\GitHub\eaglep3\Utilities\DownloadLogsFromS3.py --loco 4050 --day 2017-12-06</v>
      </c>
      <c r="AN180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7"/>
        <v>https://d0f6bd738d7f1b3e5a7ca70fe4ff75f0.us-east-1.aws.found.io/app/kibana#/discover/Steve-Slow-Train-Analysis-(2080s-and-2083s)?_g=(refreshInterval:(display:Off,pause:!f,section:0,value:0),time:(from:'2017-12-06T12:00:45-0700',mode:absolute,to:'2017-12-06T14:24:01-0700'))&amp;_a=(columns:!('Message%20ID',Summary),filters:!(),index:'emp_*',interval:auto,query:(query_string:(analyze_wildcard:!t,query:'%22rtdc.l.rtdc.4050%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776</v>
      </c>
      <c r="B181" s="225">
        <v>4049</v>
      </c>
      <c r="C181" s="227" t="s">
        <v>192</v>
      </c>
      <c r="D181" s="227" t="s">
        <v>623</v>
      </c>
      <c r="E181" s="226">
        <v>43075.562037037038</v>
      </c>
      <c r="F181" s="226">
        <v>43075.570833333331</v>
      </c>
      <c r="G181" s="225">
        <v>73</v>
      </c>
      <c r="H181" s="227" t="s">
        <v>1076</v>
      </c>
      <c r="I181" s="226">
        <v>43075.580196759256</v>
      </c>
      <c r="J181" s="225">
        <v>0</v>
      </c>
      <c r="K181" s="237" t="str">
        <f t="shared" si="56"/>
        <v>4049/4050</v>
      </c>
      <c r="L181" s="245" t="str">
        <f>VLOOKUP(A181,'Trips&amp;Operators'!$C$1:$G$99911,5,FALSE)</f>
        <v>LEVERE CRAIG</v>
      </c>
      <c r="M181" s="224">
        <f t="shared" si="57"/>
        <v>9.3634259246755391E-3</v>
      </c>
      <c r="N181" s="225">
        <f t="shared" si="79"/>
        <v>13.483333331532776</v>
      </c>
      <c r="O181" s="225"/>
      <c r="P181" s="225"/>
      <c r="Q181" s="228"/>
      <c r="R181" s="242"/>
      <c r="S181" s="249">
        <f t="shared" si="80"/>
        <v>1</v>
      </c>
      <c r="T181" s="242" t="str">
        <f t="shared" si="58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59"/>
        <v>https://d0f6bd738d7f1b3e5a7ca70fe4ff75f0.us-east-1.aws.found.io/app/kibana#/discover/Steve-Slow-Train-Analysis-(2080s-and-2083s)?_g=(refreshInterval:(display:Off,pause:!f,section:0,value:0),time:(from:'2017-12-06T12:29:20-0700',mode:absolute,to:'2017-12-06T14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1" s="247" t="str">
        <f>IF(AA181&lt;VLOOKUP(AG181,Variables!$AC$3:$AD$8,2,FALSE),"Y","N")</f>
        <v>N</v>
      </c>
      <c r="X181" s="247">
        <f t="shared" si="103"/>
        <v>1</v>
      </c>
      <c r="Y181" s="247">
        <f t="shared" si="101"/>
        <v>5.8632</v>
      </c>
      <c r="Z181" s="247">
        <f t="shared" si="102"/>
        <v>1.2E-2</v>
      </c>
      <c r="AA181" s="247">
        <f t="shared" si="61"/>
        <v>5.8512000000000004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2"/>
        <v>822</v>
      </c>
      <c r="AE181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81" s="234" t="str">
        <f t="shared" si="64"/>
        <v>"C:\Program Files (x86)\AstroGrep\AstroGrep.exe" /e /r /s /spath="%USERPROFILE%\AppData\Local\Temp\OnboardLogs" /stypes="app*4049*20171206*" /stext=" 20:.+((SYSTEM_STATE.+slice.+state.+changed )|(ment ac)|(multiple cpu faults)|(system.+state.+changed )|(\[timeout)|(PRM\|1\|D)|(kpr)|(kdp)|(train st.+moving)|(\|lc)|(penalty))"</v>
      </c>
      <c r="AG181" s="244" t="str">
        <f t="shared" si="65"/>
        <v>NW</v>
      </c>
      <c r="AH181" s="236" t="str">
        <f t="shared" si="73"/>
        <v>"%USERPROFILE%\Documents\GitHub\eaglep3\Utilities\RefineRTDCRunTimes.py" --tripid 822-06 --locoid 4049 --swversion DE.1.0.9.0 --startMP 300:58632 --initTime 2017-12-06T13:29:20 --startdatetime 2017-12-06T13:42:00 --delay 73 --endMP 204:120 --enddatetime 2017-12-06T13:55:29 --enforcementcount 0 &gt;&gt;%USERPROFILE%\Documents\GitHub\eaglep3-reporting\EC\2017-12-06-refined-times.txt</v>
      </c>
      <c r="AI181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{"issue":{"subject":"","project_id":79,"tracker_id":40,"status_id":1,"priority_id":2,"assigned_to_id":338,"start_date":"2017-12-06","description":"","custom_fields":[{"id":1,"name":"Subdivision","value":"NW"},{"id":4,"name":"Milepost","value":"0.012"},{"id":17,"name":"Train ID","value":"822-06"},{"id":16,"name":"Locomotive ID","value":"4049"},{"id":130,"name":"Impact","value":""},{"id":150,"name":"Time of Event (Mountain Time)","value":"13:55:29"},{"id":151,"name":"Denver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75"/>
        <v>start /low /b %USERPROFILE%\Documents\GitHub\eaglep3\Utilities\DownloadLogsFromS3.py --loco 4049 --day 2017-12-06</v>
      </c>
      <c r="AN181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7"/>
        <v>https://d0f6bd738d7f1b3e5a7ca70fe4ff75f0.us-east-1.aws.found.io/app/kibana#/discover/Steve-Slow-Train-Analysis-(2080s-and-2083s)?_g=(refreshInterval:(display:Off,pause:!f,section:0,value:0),time:(from:'2017-12-06T12:29:20-0700',mode:absolute,to:'2017-12-06T14:55:29-0700'))&amp;_a=(columns:!('Message%20ID',Summary),filters:!(),index:'emp_*',interval:auto,query:(query_string:(analyze_wildcard:!t,query:'%22rtdc.l.rtdc.4049%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781</v>
      </c>
      <c r="B182" s="225">
        <v>4050</v>
      </c>
      <c r="C182" s="227" t="s">
        <v>192</v>
      </c>
      <c r="D182" s="227" t="s">
        <v>1077</v>
      </c>
      <c r="E182" s="226">
        <v>43075.585925925923</v>
      </c>
      <c r="F182" s="226">
        <v>43075.589768518519</v>
      </c>
      <c r="G182" s="225">
        <v>65</v>
      </c>
      <c r="H182" s="227" t="s">
        <v>546</v>
      </c>
      <c r="I182" s="226">
        <v>43075.599745370368</v>
      </c>
      <c r="J182" s="225">
        <v>0</v>
      </c>
      <c r="K182" s="237" t="str">
        <f t="shared" si="56"/>
        <v>4049/4050</v>
      </c>
      <c r="L182" s="245" t="str">
        <f>VLOOKUP(A182,'Trips&amp;Operators'!$C$1:$G$99911,5,FALSE)</f>
        <v>LEVERE CRAIG</v>
      </c>
      <c r="M182" s="224">
        <f t="shared" si="57"/>
        <v>9.9768518484779634E-3</v>
      </c>
      <c r="N182" s="225">
        <f t="shared" si="79"/>
        <v>14.366666661808267</v>
      </c>
      <c r="O182" s="225"/>
      <c r="P182" s="225"/>
      <c r="Q182" s="228"/>
      <c r="R182" s="242"/>
      <c r="S182" s="249">
        <f t="shared" si="80"/>
        <v>1</v>
      </c>
      <c r="T182" s="242" t="str">
        <f t="shared" si="58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59"/>
        <v>https://d0f6bd738d7f1b3e5a7ca70fe4ff75f0.us-east-1.aws.found.io/app/kibana#/discover/Steve-Slow-Train-Analysis-(2080s-and-2083s)?_g=(refreshInterval:(display:Off,pause:!f,section:0,value:0),time:(from:'2017-12-06T13:03:44-0700',mode:absolute,to:'2017-12-06T15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2" s="247" t="str">
        <f>IF(AA182&lt;VLOOKUP(AG182,Variables!$AC$3:$AD$8,2,FALSE),"Y","N")</f>
        <v>N</v>
      </c>
      <c r="X182" s="247">
        <f t="shared" si="103"/>
        <v>1</v>
      </c>
      <c r="Y182" s="247">
        <f t="shared" si="101"/>
        <v>4.2299999999999997E-2</v>
      </c>
      <c r="Z182" s="247">
        <f t="shared" si="102"/>
        <v>5.8948</v>
      </c>
      <c r="AA182" s="247">
        <f t="shared" si="61"/>
        <v>5.8525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2"/>
        <v>823</v>
      </c>
      <c r="AE182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82" s="234" t="str">
        <f t="shared" si="64"/>
        <v>"C:\Program Files (x86)\AstroGrep\AstroGrep.exe" /e /r /s /spath="%USERPROFILE%\AppData\Local\Temp\OnboardLogs" /stypes="app*4050*20171206*" /stext=" 21:.+((SYSTEM_STATE.+slice.+state.+changed )|(ment ac)|(multiple cpu faults)|(system.+state.+changed )|(\[timeout)|(PRM\|1\|D)|(kpr)|(kdp)|(train st.+moving)|(\|lc)|(penalty))"</v>
      </c>
      <c r="AG182" s="244" t="str">
        <f t="shared" si="65"/>
        <v>NW</v>
      </c>
      <c r="AH182" s="236" t="str">
        <f t="shared" si="73"/>
        <v>"%USERPROFILE%\Documents\GitHub\eaglep3\Utilities\RefineRTDCRunTimes.py" --tripid 823-06 --locoid 4050 --swversion DE.1.0.9.0 --startMP 204:423 --initTime 2017-12-06T14:03:44 --startdatetime 2017-12-06T14:09:16 --delay 65 --endMP 300:58948 --enddatetime 2017-12-06T14:23:38 --enforcementcount 0 &gt;&gt;%USERPROFILE%\Documents\GitHub\eaglep3-reporting\EC\2017-12-06-refined-times.txt</v>
      </c>
      <c r="AI182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{"issue":{"subject":"","project_id":79,"tracker_id":40,"status_id":1,"priority_id":2,"assigned_to_id":338,"start_date":"2017-12-06","description":"","custom_fields":[{"id":1,"name":"Subdivision","value":"NW"},{"id":4,"name":"Milepost","value":"5.8948"},{"id":17,"name":"Train ID","value":"823-06"},{"id":16,"name":"Locomotive ID","value":"4050"},{"id":130,"name":"Impact","value":""},{"id":150,"name":"Time of Event (Mountain Time)","value":"14:23:38"},{"id":151,"name":"Denver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75"/>
        <v>start /low /b %USERPROFILE%\Documents\GitHub\eaglep3\Utilities\DownloadLogsFromS3.py --loco 4050 --day 2017-12-06</v>
      </c>
      <c r="AN182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7"/>
        <v>https://d0f6bd738d7f1b3e5a7ca70fe4ff75f0.us-east-1.aws.found.io/app/kibana#/discover/Steve-Slow-Train-Analysis-(2080s-and-2083s)?_g=(refreshInterval:(display:Off,pause:!f,section:0,value:0),time:(from:'2017-12-06T13:03:44-0700',mode:absolute,to:'2017-12-06T15:23:38-0700'))&amp;_a=(columns:!('Message%20ID',Summary),filters:!(),index:'emp_*',interval:auto,query:(query_string:(analyze_wildcard:!t,query:'%22rtdc.l.rtdc.4050%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786</v>
      </c>
      <c r="B183" s="225">
        <v>4049</v>
      </c>
      <c r="C183" s="227" t="s">
        <v>192</v>
      </c>
      <c r="D183" s="227" t="s">
        <v>1078</v>
      </c>
      <c r="E183" s="226">
        <v>43075.602083333331</v>
      </c>
      <c r="F183" s="226">
        <v>43075.612500000003</v>
      </c>
      <c r="G183" s="225">
        <v>64</v>
      </c>
      <c r="H183" s="227" t="s">
        <v>622</v>
      </c>
      <c r="I183" s="226">
        <v>43075.621782407405</v>
      </c>
      <c r="J183" s="225">
        <v>0</v>
      </c>
      <c r="K183" s="237" t="str">
        <f t="shared" si="56"/>
        <v>4049/4050</v>
      </c>
      <c r="L183" s="245" t="str">
        <f>VLOOKUP(A183,'Trips&amp;Operators'!$C$1:$G$99911,5,FALSE)</f>
        <v>LEVERE CRAIG</v>
      </c>
      <c r="M183" s="224">
        <f t="shared" si="57"/>
        <v>9.2824074017698877E-3</v>
      </c>
      <c r="N183" s="225">
        <f t="shared" si="79"/>
        <v>13.366666658548638</v>
      </c>
      <c r="O183" s="225"/>
      <c r="P183" s="225"/>
      <c r="Q183" s="228"/>
      <c r="R183" s="242"/>
      <c r="S183" s="249">
        <f t="shared" si="80"/>
        <v>1</v>
      </c>
      <c r="T183" s="242" t="str">
        <f t="shared" si="58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59"/>
        <v>https://d0f6bd738d7f1b3e5a7ca70fe4ff75f0.us-east-1.aws.found.io/app/kibana#/discover/Steve-Slow-Train-Analysis-(2080s-and-2083s)?_g=(refreshInterval:(display:Off,pause:!f,section:0,value:0),time:(from:'2017-12-06T13:27:00-0700',mode:absolute,to:'2017-12-06T15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3" s="247" t="str">
        <f>IF(AA183&lt;VLOOKUP(AG183,Variables!$AC$3:$AD$8,2,FALSE),"Y","N")</f>
        <v>N</v>
      </c>
      <c r="X183" s="247">
        <f t="shared" si="103"/>
        <v>1</v>
      </c>
      <c r="Y183" s="247">
        <f t="shared" si="101"/>
        <v>5.8640999999999996</v>
      </c>
      <c r="Z183" s="247">
        <f t="shared" si="102"/>
        <v>1.5299999999999999E-2</v>
      </c>
      <c r="AA183" s="247">
        <f t="shared" si="61"/>
        <v>5.8487999999999998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2"/>
        <v>824</v>
      </c>
      <c r="AE183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83" s="234" t="str">
        <f t="shared" si="64"/>
        <v>"C:\Program Files (x86)\AstroGrep\AstroGrep.exe" /e /r /s /spath="%USERPROFILE%\AppData\Local\Temp\OnboardLogs" /stypes="app*4049*20171206*" /stext=" 21:.+((SYSTEM_STATE.+slice.+state.+changed )|(ment ac)|(multiple cpu faults)|(system.+state.+changed )|(\[timeout)|(PRM\|1\|D)|(kpr)|(kdp)|(train st.+moving)|(\|lc)|(penalty))"</v>
      </c>
      <c r="AG183" s="244" t="str">
        <f t="shared" si="65"/>
        <v>NW</v>
      </c>
      <c r="AH183" s="236" t="str">
        <f t="shared" si="73"/>
        <v>"%USERPROFILE%\Documents\GitHub\eaglep3\Utilities\RefineRTDCRunTimes.py" --tripid 824-06 --locoid 4049 --swversion DE.1.0.9.0 --startMP 300:58641 --initTime 2017-12-06T14:27:00 --startdatetime 2017-12-06T14:42:00 --delay 64 --endMP 204:153 --enddatetime 2017-12-06T14:55:22 --enforcementcount 0 &gt;&gt;%USERPROFILE%\Documents\GitHub\eaglep3-reporting\EC\2017-12-06-refined-times.txt</v>
      </c>
      <c r="AI183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{"issue":{"subject":"","project_id":79,"tracker_id":40,"status_id":1,"priority_id":2,"assigned_to_id":338,"start_date":"2017-12-06","description":"","custom_fields":[{"id":1,"name":"Subdivision","value":"NW"},{"id":4,"name":"Milepost","value":"0.0153"},{"id":17,"name":"Train ID","value":"824-06"},{"id":16,"name":"Locomotive ID","value":"4049"},{"id":130,"name":"Impact","value":""},{"id":150,"name":"Time of Event (Mountain Time)","value":"14:55:22"},{"id":151,"name":"Denver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5"/>
        <v>start /low /b %USERPROFILE%\Documents\GitHub\eaglep3\Utilities\DownloadLogsFromS3.py --loco 4049 --day 2017-12-06</v>
      </c>
      <c r="AN183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7"/>
        <v>https://d0f6bd738d7f1b3e5a7ca70fe4ff75f0.us-east-1.aws.found.io/app/kibana#/discover/Steve-Slow-Train-Analysis-(2080s-and-2083s)?_g=(refreshInterval:(display:Off,pause:!f,section:0,value:0),time:(from:'2017-12-06T13:27:00-0700',mode:absolute,to:'2017-12-06T15:55:22-0700'))&amp;_a=(columns:!('Message%20ID',Summary),filters:!(),index:'emp_*',interval:auto,query:(query_string:(analyze_wildcard:!t,query:'%22rtdc.l.rtdc.4049%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791</v>
      </c>
      <c r="B184" s="225">
        <v>4050</v>
      </c>
      <c r="C184" s="227" t="s">
        <v>192</v>
      </c>
      <c r="D184" s="227" t="s">
        <v>615</v>
      </c>
      <c r="E184" s="226">
        <v>43075.625671296293</v>
      </c>
      <c r="F184" s="226">
        <v>43075.63144675926</v>
      </c>
      <c r="G184" s="225">
        <v>78</v>
      </c>
      <c r="H184" s="227" t="s">
        <v>546</v>
      </c>
      <c r="I184" s="226">
        <v>43075.642175925925</v>
      </c>
      <c r="J184" s="225">
        <v>0</v>
      </c>
      <c r="K184" s="237" t="str">
        <f t="shared" si="56"/>
        <v>4049/4050</v>
      </c>
      <c r="L184" s="245" t="str">
        <f>VLOOKUP(A184,'Trips&amp;Operators'!$C$1:$G$99911,5,FALSE)</f>
        <v>LEVERE CRAIG</v>
      </c>
      <c r="M184" s="224">
        <f t="shared" si="57"/>
        <v>1.0729166664532386E-2</v>
      </c>
      <c r="N184" s="225">
        <f t="shared" si="79"/>
        <v>15.449999996926636</v>
      </c>
      <c r="O184" s="225"/>
      <c r="P184" s="225"/>
      <c r="Q184" s="228"/>
      <c r="R184" s="242"/>
      <c r="S184" s="249">
        <f t="shared" si="80"/>
        <v>1</v>
      </c>
      <c r="T184" s="242" t="str">
        <f t="shared" si="58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59"/>
        <v>https://d0f6bd738d7f1b3e5a7ca70fe4ff75f0.us-east-1.aws.found.io/app/kibana#/discover/Steve-Slow-Train-Analysis-(2080s-and-2083s)?_g=(refreshInterval:(display:Off,pause:!f,section:0,value:0),time:(from:'2017-12-06T14:00:58-0700',mode:absolute,to:'2017-12-06T16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4" s="247" t="str">
        <f>IF(AA184&lt;VLOOKUP(AG184,Variables!$AC$3:$AD$8,2,FALSE),"Y","N")</f>
        <v>N</v>
      </c>
      <c r="X184" s="247">
        <f t="shared" si="103"/>
        <v>1</v>
      </c>
      <c r="Y184" s="247">
        <f t="shared" si="101"/>
        <v>4.7500000000000001E-2</v>
      </c>
      <c r="Z184" s="247">
        <f t="shared" si="102"/>
        <v>5.8948</v>
      </c>
      <c r="AA184" s="247">
        <f t="shared" si="61"/>
        <v>5.8472999999999997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2"/>
        <v>825</v>
      </c>
      <c r="AE184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84" s="234" t="str">
        <f t="shared" si="64"/>
        <v>"C:\Program Files (x86)\AstroGrep\AstroGrep.exe" /e /r /s /spath="%USERPROFILE%\AppData\Local\Temp\OnboardLogs" /stypes="app*4050*20171206*" /stext=" 22:.+((SYSTEM_STATE.+slice.+state.+changed )|(ment ac)|(multiple cpu faults)|(system.+state.+changed )|(\[timeout)|(PRM\|1\|D)|(kpr)|(kdp)|(train st.+moving)|(\|lc)|(penalty))"</v>
      </c>
      <c r="AG184" s="244" t="str">
        <f t="shared" si="65"/>
        <v>NW</v>
      </c>
      <c r="AH184" s="236" t="str">
        <f t="shared" si="73"/>
        <v>"%USERPROFILE%\Documents\GitHub\eaglep3\Utilities\RefineRTDCRunTimes.py" --tripid 825-06 --locoid 4050 --swversion DE.1.0.9.0 --startMP 204:475 --initTime 2017-12-06T15:00:58 --startdatetime 2017-12-06T15:09:17 --delay 78 --endMP 300:58948 --enddatetime 2017-12-06T15:24:44 --enforcementcount 0 &gt;&gt;%USERPROFILE%\Documents\GitHub\eaglep3-reporting\EC\2017-12-06-refined-times.txt</v>
      </c>
      <c r="AI184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{"issue":{"subject":"","project_id":79,"tracker_id":40,"status_id":1,"priority_id":2,"assigned_to_id":338,"start_date":"2017-12-06","description":"","custom_fields":[{"id":1,"name":"Subdivision","value":"NW"},{"id":4,"name":"Milepost","value":"5.8948"},{"id":17,"name":"Train ID","value":"825-06"},{"id":16,"name":"Locomotive ID","value":"4050"},{"id":130,"name":"Impact","value":""},{"id":150,"name":"Time of Event (Mountain Time)","value":"15:24:44"},{"id":151,"name":"Denver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75"/>
        <v>start /low /b %USERPROFILE%\Documents\GitHub\eaglep3\Utilities\DownloadLogsFromS3.py --loco 4050 --day 2017-12-06</v>
      </c>
      <c r="AN184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7"/>
        <v>https://d0f6bd738d7f1b3e5a7ca70fe4ff75f0.us-east-1.aws.found.io/app/kibana#/discover/Steve-Slow-Train-Analysis-(2080s-and-2083s)?_g=(refreshInterval:(display:Off,pause:!f,section:0,value:0),time:(from:'2017-12-06T14:00:58-0700',mode:absolute,to:'2017-12-06T16:24:44-0700'))&amp;_a=(columns:!('Message%20ID',Summary),filters:!(),index:'emp_*',interval:auto,query:(query_string:(analyze_wildcard:!t,query:'%22rtdc.l.rtdc.4050%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25">
      <c r="A185" s="229" t="s">
        <v>796</v>
      </c>
      <c r="B185" s="225">
        <v>4049</v>
      </c>
      <c r="C185" s="227" t="s">
        <v>192</v>
      </c>
      <c r="D185" s="227" t="s">
        <v>1079</v>
      </c>
      <c r="E185" s="226">
        <v>43075.643449074072</v>
      </c>
      <c r="F185" s="226">
        <v>43075.654166666667</v>
      </c>
      <c r="G185" s="225">
        <v>74</v>
      </c>
      <c r="H185" s="227" t="s">
        <v>625</v>
      </c>
      <c r="I185" s="226">
        <v>43075.663807870369</v>
      </c>
      <c r="J185" s="225">
        <v>0</v>
      </c>
      <c r="K185" s="237" t="str">
        <f t="shared" si="56"/>
        <v>4049/4050</v>
      </c>
      <c r="L185" s="245" t="str">
        <f>VLOOKUP(A185,'Trips&amp;Operators'!$C$1:$G$99911,5,FALSE)</f>
        <v>LEVERE CRAIG</v>
      </c>
      <c r="M185" s="224">
        <f t="shared" si="57"/>
        <v>9.6412037019035779E-3</v>
      </c>
      <c r="N185" s="225">
        <f t="shared" si="79"/>
        <v>13.883333330741152</v>
      </c>
      <c r="O185" s="225"/>
      <c r="P185" s="225"/>
      <c r="Q185" s="228"/>
      <c r="R185" s="242"/>
      <c r="S185" s="249">
        <f t="shared" si="80"/>
        <v>1</v>
      </c>
      <c r="T185" s="242" t="str">
        <f t="shared" si="58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59"/>
        <v>https://d0f6bd738d7f1b3e5a7ca70fe4ff75f0.us-east-1.aws.found.io/app/kibana#/discover/Steve-Slow-Train-Analysis-(2080s-and-2083s)?_g=(refreshInterval:(display:Off,pause:!f,section:0,value:0),time:(from:'2017-12-06T14:26:34-0700',mode:absolute,to:'2017-12-06T16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5" s="247" t="str">
        <f>IF(AA185&lt;VLOOKUP(AG185,Variables!$AC$3:$AD$8,2,FALSE),"Y","N")</f>
        <v>N</v>
      </c>
      <c r="X185" s="247">
        <f t="shared" si="103"/>
        <v>1</v>
      </c>
      <c r="Y185" s="247">
        <f t="shared" si="101"/>
        <v>5.8630000000000004</v>
      </c>
      <c r="Z185" s="247">
        <f t="shared" si="102"/>
        <v>1.5100000000000001E-2</v>
      </c>
      <c r="AA185" s="247">
        <f t="shared" si="61"/>
        <v>5.8479000000000001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2"/>
        <v>826</v>
      </c>
      <c r="AE185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85" s="234" t="str">
        <f t="shared" si="64"/>
        <v>"C:\Program Files (x86)\AstroGrep\AstroGrep.exe" /e /r /s /spath="%USERPROFILE%\AppData\Local\Temp\OnboardLogs" /stypes="app*4049*20171206*" /stext=" 22:.+((SYSTEM_STATE.+slice.+state.+changed )|(ment ac)|(multiple cpu faults)|(system.+state.+changed )|(\[timeout)|(PRM\|1\|D)|(kpr)|(kdp)|(train st.+moving)|(\|lc)|(penalty))"</v>
      </c>
      <c r="AG185" s="244" t="str">
        <f t="shared" si="65"/>
        <v>NW</v>
      </c>
      <c r="AH185" s="236" t="str">
        <f t="shared" si="73"/>
        <v>"%USERPROFILE%\Documents\GitHub\eaglep3\Utilities\RefineRTDCRunTimes.py" --tripid 826-06 --locoid 4049 --swversion DE.1.0.9.0 --startMP 300:58630 --initTime 2017-12-06T15:26:34 --startdatetime 2017-12-06T15:42:00 --delay 74 --endMP 204:151 --enddatetime 2017-12-06T15:55:53 --enforcementcount 0 &gt;&gt;%USERPROFILE%\Documents\GitHub\eaglep3-reporting\EC\2017-12-06-refined-times.txt</v>
      </c>
      <c r="AI185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{"issue":{"subject":"","project_id":79,"tracker_id":40,"status_id":1,"priority_id":2,"assigned_to_id":338,"start_date":"2017-12-06","description":"","custom_fields":[{"id":1,"name":"Subdivision","value":"NW"},{"id":4,"name":"Milepost","value":"0.0151"},{"id":17,"name":"Train ID","value":"826-06"},{"id":16,"name":"Locomotive ID","value":"4049"},{"id":130,"name":"Impact","value":""},{"id":150,"name":"Time of Event (Mountain Time)","value":"15:55:53"},{"id":151,"name":"Denver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75"/>
        <v>start /low /b %USERPROFILE%\Documents\GitHub\eaglep3\Utilities\DownloadLogsFromS3.py --loco 4049 --day 2017-12-06</v>
      </c>
      <c r="AN185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7"/>
        <v>https://d0f6bd738d7f1b3e5a7ca70fe4ff75f0.us-east-1.aws.found.io/app/kibana#/discover/Steve-Slow-Train-Analysis-(2080s-and-2083s)?_g=(refreshInterval:(display:Off,pause:!f,section:0,value:0),time:(from:'2017-12-06T14:26:34-0700',mode:absolute,to:'2017-12-06T16:55:53-0700'))&amp;_a=(columns:!('Message%20ID',Summary),filters:!(),index:'emp_*',interval:auto,query:(query_string:(analyze_wildcard:!t,query:'%22rtdc.l.rtdc.4049%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25">
      <c r="A186" s="229" t="s">
        <v>797</v>
      </c>
      <c r="B186" s="225">
        <v>4058</v>
      </c>
      <c r="C186" s="227" t="s">
        <v>192</v>
      </c>
      <c r="D186" s="227" t="s">
        <v>1080</v>
      </c>
      <c r="E186" s="226">
        <v>43075.64875</v>
      </c>
      <c r="F186" s="226">
        <v>43075.652418981481</v>
      </c>
      <c r="G186" s="225">
        <v>70</v>
      </c>
      <c r="H186" s="227" t="s">
        <v>612</v>
      </c>
      <c r="I186" s="226">
        <v>43075.662835648145</v>
      </c>
      <c r="J186" s="225">
        <v>0</v>
      </c>
      <c r="K186" s="237" t="str">
        <f t="shared" si="56"/>
        <v>4057/4058</v>
      </c>
      <c r="L186" s="245" t="str">
        <f>VLOOKUP(A186,'Trips&amp;Operators'!$C$1:$G$99911,5,FALSE)</f>
        <v>STAMBAUGH JAMES</v>
      </c>
      <c r="M186" s="224">
        <f t="shared" si="57"/>
        <v>1.0416666664241347E-2</v>
      </c>
      <c r="N186" s="225">
        <f t="shared" si="79"/>
        <v>14.99999999650754</v>
      </c>
      <c r="O186" s="225"/>
      <c r="P186" s="225"/>
      <c r="Q186" s="228"/>
      <c r="R186" s="242"/>
      <c r="S186" s="249">
        <f t="shared" si="80"/>
        <v>1</v>
      </c>
      <c r="T186" s="242" t="str">
        <f t="shared" si="58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59"/>
        <v>https://d0f6bd738d7f1b3e5a7ca70fe4ff75f0.us-east-1.aws.found.io/app/kibana#/discover/Steve-Slow-Train-Analysis-(2080s-and-2083s)?_g=(refreshInterval:(display:Off,pause:!f,section:0,value:0),time:(from:'2017-12-06T14:34:12-0700',mode:absolute,to:'2017-12-06T16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6" s="247" t="str">
        <f>IF(AA186&lt;VLOOKUP(AG186,Variables!$AC$3:$AD$8,2,FALSE),"Y","N")</f>
        <v>N</v>
      </c>
      <c r="X186" s="247">
        <f t="shared" si="103"/>
        <v>1</v>
      </c>
      <c r="Y186" s="247">
        <f t="shared" si="101"/>
        <v>4.3200000000000002E-2</v>
      </c>
      <c r="Z186" s="247">
        <f t="shared" si="102"/>
        <v>5.8930999999999996</v>
      </c>
      <c r="AA186" s="247">
        <f t="shared" si="61"/>
        <v>5.8498999999999999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2"/>
        <v>827</v>
      </c>
      <c r="AE186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86" s="234" t="str">
        <f t="shared" si="64"/>
        <v>"C:\Program Files (x86)\AstroGrep\AstroGrep.exe" /e /r /s /spath="%USERPROFILE%\AppData\Local\Temp\OnboardLogs" /stypes="app*4058*20171206*" /stext=" 22:.+((SYSTEM_STATE.+slice.+state.+changed )|(ment ac)|(multiple cpu faults)|(system.+state.+changed )|(\[timeout)|(PRM\|1\|D)|(kpr)|(kdp)|(train st.+moving)|(\|lc)|(penalty))"</v>
      </c>
      <c r="AG186" s="244" t="str">
        <f t="shared" si="65"/>
        <v>NW</v>
      </c>
      <c r="AH186" s="236" t="str">
        <f t="shared" si="73"/>
        <v>"%USERPROFILE%\Documents\GitHub\eaglep3\Utilities\RefineRTDCRunTimes.py" --tripid 827-06 --locoid 4058 --swversion DE.1.0.9.0 --startMP 204:432 --initTime 2017-12-06T15:34:12 --startdatetime 2017-12-06T15:39:29 --delay 70 --endMP 300:58931 --enddatetime 2017-12-06T15:54:29 --enforcementcount 0 &gt;&gt;%USERPROFILE%\Documents\GitHub\eaglep3-reporting\EC\2017-12-06-refined-times.txt</v>
      </c>
      <c r="AI186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{"issue":{"subject":"","project_id":79,"tracker_id":40,"status_id":1,"priority_id":2,"assigned_to_id":338,"start_date":"2017-12-06","description":"","custom_fields":[{"id":1,"name":"Subdivision","value":"NW"},{"id":4,"name":"Milepost","value":"5.8931"},{"id":17,"name":"Train ID","value":"827-06"},{"id":16,"name":"Locomotive ID","value":"4058"},{"id":130,"name":"Impact","value":""},{"id":150,"name":"Time of Event (Mountain Time)","value":"15:54:29"},{"id":151,"name":"Denver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75"/>
        <v>start /low /b %USERPROFILE%\Documents\GitHub\eaglep3\Utilities\DownloadLogsFromS3.py --loco 4058 --day 2017-12-06</v>
      </c>
      <c r="AN186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7"/>
        <v>https://d0f6bd738d7f1b3e5a7ca70fe4ff75f0.us-east-1.aws.found.io/app/kibana#/discover/Steve-Slow-Train-Analysis-(2080s-and-2083s)?_g=(refreshInterval:(display:Off,pause:!f,section:0,value:0),time:(from:'2017-12-06T14:34:12-0700',mode:absolute,to:'2017-12-06T16:54:29-0700'))&amp;_a=(columns:!('Message%20ID',Summary),filters:!(),index:'emp_*',interval:auto,query:(query_string:(analyze_wildcard:!t,query:'%22rtdc.l.rtdc.4058%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800</v>
      </c>
      <c r="B187" s="225">
        <v>4057</v>
      </c>
      <c r="C187" s="227" t="s">
        <v>192</v>
      </c>
      <c r="D187" s="227" t="s">
        <v>1081</v>
      </c>
      <c r="E187" s="226">
        <v>43075.663865740738</v>
      </c>
      <c r="F187" s="226">
        <v>43075.675000000003</v>
      </c>
      <c r="G187" s="225">
        <v>63</v>
      </c>
      <c r="H187" s="227" t="s">
        <v>620</v>
      </c>
      <c r="I187" s="226">
        <v>43075.683668981481</v>
      </c>
      <c r="J187" s="225">
        <v>0</v>
      </c>
      <c r="K187" s="237" t="str">
        <f t="shared" si="56"/>
        <v>4057/4058</v>
      </c>
      <c r="L187" s="245" t="str">
        <f>VLOOKUP(A187,'Trips&amp;Operators'!$C$1:$G$99911,5,FALSE)</f>
        <v>STAMBAUGH JAMES</v>
      </c>
      <c r="M187" s="224">
        <f t="shared" si="57"/>
        <v>8.6689814779674634E-3</v>
      </c>
      <c r="N187" s="225">
        <f t="shared" si="79"/>
        <v>12.483333328273147</v>
      </c>
      <c r="O187" s="225"/>
      <c r="P187" s="225"/>
      <c r="Q187" s="228"/>
      <c r="R187" s="242"/>
      <c r="S187" s="249">
        <f t="shared" si="80"/>
        <v>1</v>
      </c>
      <c r="T187" s="242" t="str">
        <f t="shared" si="58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59"/>
        <v>https://d0f6bd738d7f1b3e5a7ca70fe4ff75f0.us-east-1.aws.found.io/app/kibana#/discover/Steve-Slow-Train-Analysis-(2080s-and-2083s)?_g=(refreshInterval:(display:Off,pause:!f,section:0,value:0),time:(from:'2017-12-06T14:55:58-0700',mode:absolute,to:'2017-12-06T17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7" s="247" t="str">
        <f>IF(AA187&lt;VLOOKUP(AG187,Variables!$AC$3:$AD$8,2,FALSE),"Y","N")</f>
        <v>N</v>
      </c>
      <c r="X187" s="247">
        <f t="shared" si="103"/>
        <v>1</v>
      </c>
      <c r="Y187" s="247">
        <f t="shared" si="101"/>
        <v>5.8624000000000001</v>
      </c>
      <c r="Z187" s="247">
        <f t="shared" si="102"/>
        <v>1.3299999999999999E-2</v>
      </c>
      <c r="AA187" s="247">
        <f t="shared" si="61"/>
        <v>5.8491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2"/>
        <v>828</v>
      </c>
      <c r="AE187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87" s="234" t="str">
        <f t="shared" si="64"/>
        <v>"C:\Program Files (x86)\AstroGrep\AstroGrep.exe" /e /r /s /spath="%USERPROFILE%\AppData\Local\Temp\OnboardLogs" /stypes="app*4057*20171206*" /stext=" 23:.+((SYSTEM_STATE.+slice.+state.+changed )|(ment ac)|(multiple cpu faults)|(system.+state.+changed )|(\[timeout)|(PRM\|1\|D)|(kpr)|(kdp)|(train st.+moving)|(\|lc)|(penalty))"</v>
      </c>
      <c r="AG187" s="244" t="str">
        <f t="shared" si="65"/>
        <v>NW</v>
      </c>
      <c r="AH187" s="236" t="str">
        <f t="shared" si="73"/>
        <v>"%USERPROFILE%\Documents\GitHub\eaglep3\Utilities\RefineRTDCRunTimes.py" --tripid 828-06 --locoid 4057 --swversion DE.1.0.9.0 --startMP 300:58624 --initTime 2017-12-06T15:55:58 --startdatetime 2017-12-06T16:12:00 --delay 63 --endMP 204:133 --enddatetime 2017-12-06T16:24:29 --enforcementcount 0 &gt;&gt;%USERPROFILE%\Documents\GitHub\eaglep3-reporting\EC\2017-12-06-refined-times.txt</v>
      </c>
      <c r="AI187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{"issue":{"subject":"","project_id":79,"tracker_id":40,"status_id":1,"priority_id":2,"assigned_to_id":338,"start_date":"2017-12-06","description":"","custom_fields":[{"id":1,"name":"Subdivision","value":"NW"},{"id":4,"name":"Milepost","value":"0.0133"},{"id":17,"name":"Train ID","value":"828-06"},{"id":16,"name":"Locomotive ID","value":"4057"},{"id":130,"name":"Impact","value":""},{"id":150,"name":"Time of Event (Mountain Time)","value":"16:24:29"},{"id":151,"name":"Denver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5"/>
        <v>start /low /b %USERPROFILE%\Documents\GitHub\eaglep3\Utilities\DownloadLogsFromS3.py --loco 4057 --day 2017-12-06</v>
      </c>
      <c r="AN187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7"/>
        <v>https://d0f6bd738d7f1b3e5a7ca70fe4ff75f0.us-east-1.aws.found.io/app/kibana#/discover/Steve-Slow-Train-Analysis-(2080s-and-2083s)?_g=(refreshInterval:(display:Off,pause:!f,section:0,value:0),time:(from:'2017-12-06T14:55:58-0700',mode:absolute,to:'2017-12-06T17:24:29-0700'))&amp;_a=(columns:!('Message%20ID',Summary),filters:!(),index:'emp_*',interval:auto,query:(query_string:(analyze_wildcard:!t,query:'%22rtdc.l.rtdc.4057%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803</v>
      </c>
      <c r="B188" s="225">
        <v>4050</v>
      </c>
      <c r="C188" s="227" t="s">
        <v>192</v>
      </c>
      <c r="D188" s="227" t="s">
        <v>1082</v>
      </c>
      <c r="E188" s="226">
        <v>43075.669699074075</v>
      </c>
      <c r="F188" s="226">
        <v>43075.673171296294</v>
      </c>
      <c r="G188" s="225">
        <v>66</v>
      </c>
      <c r="H188" s="227" t="s">
        <v>1065</v>
      </c>
      <c r="I188" s="226">
        <v>43075.684618055559</v>
      </c>
      <c r="J188" s="225">
        <v>0</v>
      </c>
      <c r="K188" s="237" t="str">
        <f t="shared" si="56"/>
        <v>4049/4050</v>
      </c>
      <c r="L188" s="245" t="str">
        <f>VLOOKUP(A188,'Trips&amp;Operators'!$C$1:$G$99911,5,FALSE)</f>
        <v>LEVERE CRAIG</v>
      </c>
      <c r="M188" s="224">
        <f t="shared" si="57"/>
        <v>1.1446759264799766E-2</v>
      </c>
      <c r="N188" s="225">
        <f t="shared" ref="N188:N219" si="104">24*60*SUM($M188:$M188)</f>
        <v>16.483333341311663</v>
      </c>
      <c r="O188" s="225"/>
      <c r="P188" s="225"/>
      <c r="Q188" s="228"/>
      <c r="R188" s="242"/>
      <c r="S188" s="249">
        <f t="shared" ref="S188:S219" si="105">1/IF(AG188="EC",12,1)*SUM(U188:U188)</f>
        <v>1</v>
      </c>
      <c r="T188" s="242" t="str">
        <f t="shared" si="58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59"/>
        <v>https://d0f6bd738d7f1b3e5a7ca70fe4ff75f0.us-east-1.aws.found.io/app/kibana#/discover/Steve-Slow-Train-Analysis-(2080s-and-2083s)?_g=(refreshInterval:(display:Off,pause:!f,section:0,value:0),time:(from:'2017-12-06T15:04:22-0700',mode:absolute,to:'2017-12-06T17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247" t="str">
        <f>IF(AA188&lt;VLOOKUP(AG188,Variables!$AC$3:$AD$8,2,FALSE),"Y","N")</f>
        <v>N</v>
      </c>
      <c r="X188" s="247">
        <f t="shared" si="103"/>
        <v>1</v>
      </c>
      <c r="Y188" s="247">
        <f t="shared" si="101"/>
        <v>4.2999999999999997E-2</v>
      </c>
      <c r="Z188" s="247">
        <f t="shared" si="102"/>
        <v>5.8939000000000004</v>
      </c>
      <c r="AA188" s="247">
        <f t="shared" si="61"/>
        <v>5.8509000000000002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2"/>
        <v>829</v>
      </c>
      <c r="AE188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88" s="234" t="str">
        <f t="shared" si="64"/>
        <v>"C:\Program Files (x86)\AstroGrep\AstroGrep.exe" /e /r /s /spath="%USERPROFILE%\AppData\Local\Temp\OnboardLogs" /stypes="app*4050*20171206*" /stext=" 23:.+((SYSTEM_STATE.+slice.+state.+changed )|(ment ac)|(multiple cpu faults)|(system.+state.+changed )|(\[timeout)|(PRM\|1\|D)|(kpr)|(kdp)|(train st.+moving)|(\|lc)|(penalty))"</v>
      </c>
      <c r="AG188" s="244" t="str">
        <f t="shared" si="65"/>
        <v>NW</v>
      </c>
      <c r="AH188" s="236" t="str">
        <f t="shared" si="73"/>
        <v>"%USERPROFILE%\Documents\GitHub\eaglep3\Utilities\RefineRTDCRunTimes.py" --tripid 829-06 --locoid 4050 --swversion DE.1.0.9.0 --startMP 204:430 --initTime 2017-12-06T16:04:22 --startdatetime 2017-12-06T16:09:22 --delay 66 --endMP 300:58939 --enddatetime 2017-12-06T16:25:51 --enforcementcount 0 &gt;&gt;%USERPROFILE%\Documents\GitHub\eaglep3-reporting\EC\2017-12-06-refined-times.txt</v>
      </c>
      <c r="AI188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{"issue":{"subject":"","project_id":79,"tracker_id":40,"status_id":1,"priority_id":2,"assigned_to_id":338,"start_date":"2017-12-06","description":"","custom_fields":[{"id":1,"name":"Subdivision","value":"NW"},{"id":4,"name":"Milepost","value":"5.8939"},{"id":17,"name":"Train ID","value":"829-06"},{"id":16,"name":"Locomotive ID","value":"4050"},{"id":130,"name":"Impact","value":""},{"id":150,"name":"Time of Event (Mountain Time)","value":"16:25:51"},{"id":151,"name":"Denver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75"/>
        <v>start /low /b %USERPROFILE%\Documents\GitHub\eaglep3\Utilities\DownloadLogsFromS3.py --loco 4050 --day 2017-12-06</v>
      </c>
      <c r="AN188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7"/>
        <v>https://d0f6bd738d7f1b3e5a7ca70fe4ff75f0.us-east-1.aws.found.io/app/kibana#/discover/Steve-Slow-Train-Analysis-(2080s-and-2083s)?_g=(refreshInterval:(display:Off,pause:!f,section:0,value:0),time:(from:'2017-12-06T15:04:22-0700',mode:absolute,to:'2017-12-06T17:25:51-0700'))&amp;_a=(columns:!('Message%20ID',Summary),filters:!(),index:'emp_*',interval:auto,query:(query_string:(analyze_wildcard:!t,query:'%22rtdc.l.rtdc.4050%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810</v>
      </c>
      <c r="B189" s="225">
        <v>4049</v>
      </c>
      <c r="C189" s="227" t="s">
        <v>192</v>
      </c>
      <c r="D189" s="227" t="s">
        <v>610</v>
      </c>
      <c r="E189" s="226">
        <v>43075.685937499999</v>
      </c>
      <c r="F189" s="226">
        <v>43075.695833333331</v>
      </c>
      <c r="G189" s="225">
        <v>74</v>
      </c>
      <c r="H189" s="227" t="s">
        <v>1083</v>
      </c>
      <c r="I189" s="226">
        <v>43075.706064814818</v>
      </c>
      <c r="J189" s="225">
        <v>0</v>
      </c>
      <c r="K189" s="237" t="str">
        <f t="shared" si="56"/>
        <v>4049/4050</v>
      </c>
      <c r="L189" s="245" t="str">
        <f>VLOOKUP(A189,'Trips&amp;Operators'!$C$1:$G$99911,5,FALSE)</f>
        <v>LEVERE CRAIG</v>
      </c>
      <c r="M189" s="224">
        <f t="shared" si="57"/>
        <v>1.0231481486698613E-2</v>
      </c>
      <c r="N189" s="225">
        <f t="shared" si="104"/>
        <v>14.733333340846002</v>
      </c>
      <c r="O189" s="225"/>
      <c r="P189" s="225"/>
      <c r="Q189" s="228"/>
      <c r="R189" s="242"/>
      <c r="S189" s="249">
        <f t="shared" si="105"/>
        <v>1</v>
      </c>
      <c r="T189" s="242" t="str">
        <f t="shared" si="58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59"/>
        <v>https://d0f6bd738d7f1b3e5a7ca70fe4ff75f0.us-east-1.aws.found.io/app/kibana#/discover/Steve-Slow-Train-Analysis-(2080s-and-2083s)?_g=(refreshInterval:(display:Off,pause:!f,section:0,value:0),time:(from:'2017-12-06T15:27:45-0700',mode:absolute,to:'2017-12-06T17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247" t="str">
        <f>IF(AA189&lt;VLOOKUP(AG189,Variables!$AC$3:$AD$8,2,FALSE),"Y","N")</f>
        <v>N</v>
      </c>
      <c r="X189" s="247">
        <f t="shared" si="103"/>
        <v>1</v>
      </c>
      <c r="Y189" s="247">
        <f t="shared" si="101"/>
        <v>5.8628</v>
      </c>
      <c r="Z189" s="247">
        <f t="shared" si="102"/>
        <v>1.4800000000000001E-2</v>
      </c>
      <c r="AA189" s="247">
        <f t="shared" si="61"/>
        <v>5.8479999999999999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2"/>
        <v>830</v>
      </c>
      <c r="AE189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89" s="234" t="str">
        <f t="shared" si="64"/>
        <v>"C:\Program Files (x86)\AstroGrep\AstroGrep.exe" /e /r /s /spath="%USERPROFILE%\AppData\Local\Temp\OnboardLogs" /stypes="app*4049*20171206*" /stext=" 23:.+((SYSTEM_STATE.+slice.+state.+changed )|(ment ac)|(multiple cpu faults)|(system.+state.+changed )|(\[timeout)|(PRM\|1\|D)|(kpr)|(kdp)|(train st.+moving)|(\|lc)|(penalty))"</v>
      </c>
      <c r="AG189" s="244" t="str">
        <f t="shared" si="65"/>
        <v>NW</v>
      </c>
      <c r="AH189" s="236" t="str">
        <f t="shared" si="73"/>
        <v>"%USERPROFILE%\Documents\GitHub\eaglep3\Utilities\RefineRTDCRunTimes.py" --tripid 830-06 --locoid 4049 --swversion DE.1.0.9.0 --startMP 300:58628 --initTime 2017-12-06T16:27:45 --startdatetime 2017-12-06T16:42:00 --delay 74 --endMP 204:148 --enddatetime 2017-12-06T16:56:44 --enforcementcount 0 &gt;&gt;%USERPROFILE%\Documents\GitHub\eaglep3-reporting\EC\2017-12-06-refined-times.txt</v>
      </c>
      <c r="AI189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{"issue":{"subject":"","project_id":79,"tracker_id":40,"status_id":1,"priority_id":2,"assigned_to_id":338,"start_date":"2017-12-06","description":"","custom_fields":[{"id":1,"name":"Subdivision","value":"NW"},{"id":4,"name":"Milepost","value":"0.0148"},{"id":17,"name":"Train ID","value":"830-06"},{"id":16,"name":"Locomotive ID","value":"4049"},{"id":130,"name":"Impact","value":""},{"id":150,"name":"Time of Event (Mountain Time)","value":"16:56:44"},{"id":151,"name":"Denver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75"/>
        <v>start /low /b %USERPROFILE%\Documents\GitHub\eaglep3\Utilities\DownloadLogsFromS3.py --loco 4049 --day 2017-12-06</v>
      </c>
      <c r="AN189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7"/>
        <v>https://d0f6bd738d7f1b3e5a7ca70fe4ff75f0.us-east-1.aws.found.io/app/kibana#/discover/Steve-Slow-Train-Analysis-(2080s-and-2083s)?_g=(refreshInterval:(display:Off,pause:!f,section:0,value:0),time:(from:'2017-12-06T15:27:45-0700',mode:absolute,to:'2017-12-06T17:56:44-0700'))&amp;_a=(columns:!('Message%20ID',Summary),filters:!(),index:'emp_*',interval:auto,query:(query_string:(analyze_wildcard:!t,query:'%22rtdc.l.rtdc.4049%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811</v>
      </c>
      <c r="B190" s="225">
        <v>4058</v>
      </c>
      <c r="C190" s="227" t="s">
        <v>192</v>
      </c>
      <c r="D190" s="227" t="s">
        <v>1073</v>
      </c>
      <c r="E190" s="226">
        <v>43075.689618055556</v>
      </c>
      <c r="F190" s="226">
        <v>43075.694062499999</v>
      </c>
      <c r="G190" s="225">
        <v>64</v>
      </c>
      <c r="H190" s="227" t="s">
        <v>617</v>
      </c>
      <c r="I190" s="226">
        <v>43075.705543981479</v>
      </c>
      <c r="J190" s="225">
        <v>0</v>
      </c>
      <c r="K190" s="237" t="str">
        <f t="shared" si="56"/>
        <v>4057/4058</v>
      </c>
      <c r="L190" s="245" t="str">
        <f>VLOOKUP(A190,'Trips&amp;Operators'!$C$1:$G$99911,5,FALSE)</f>
        <v>STAMBAUGH JAMES</v>
      </c>
      <c r="M190" s="224">
        <f t="shared" si="57"/>
        <v>1.1481481480586808E-2</v>
      </c>
      <c r="N190" s="225">
        <f t="shared" si="104"/>
        <v>16.533333332045004</v>
      </c>
      <c r="O190" s="225"/>
      <c r="P190" s="225"/>
      <c r="Q190" s="228"/>
      <c r="R190" s="242"/>
      <c r="S190" s="249">
        <f t="shared" si="105"/>
        <v>1</v>
      </c>
      <c r="T190" s="242" t="str">
        <f t="shared" si="58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59"/>
        <v>https://d0f6bd738d7f1b3e5a7ca70fe4ff75f0.us-east-1.aws.found.io/app/kibana#/discover/Steve-Slow-Train-Analysis-(2080s-and-2083s)?_g=(refreshInterval:(display:Off,pause:!f,section:0,value:0),time:(from:'2017-12-06T15:33:03-0700',mode:absolute,to:'2017-12-06T17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0" s="247" t="str">
        <f>IF(AA190&lt;VLOOKUP(AG190,Variables!$AC$3:$AD$8,2,FALSE),"Y","N")</f>
        <v>N</v>
      </c>
      <c r="X190" s="247">
        <f t="shared" si="103"/>
        <v>1</v>
      </c>
      <c r="Y190" s="247">
        <f t="shared" si="101"/>
        <v>4.24E-2</v>
      </c>
      <c r="Z190" s="247">
        <f t="shared" si="102"/>
        <v>5.8933</v>
      </c>
      <c r="AA190" s="247">
        <f t="shared" si="61"/>
        <v>5.8509000000000002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2"/>
        <v>831</v>
      </c>
      <c r="AE190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90" s="234" t="str">
        <f t="shared" si="64"/>
        <v>"C:\Program Files (x86)\AstroGrep\AstroGrep.exe" /e /r /s /spath="%USERPROFILE%\AppData\Local\Temp\OnboardLogs" /stypes="app*4058*20171206*" /stext=" 23:.+((SYSTEM_STATE.+slice.+state.+changed )|(ment ac)|(multiple cpu faults)|(system.+state.+changed )|(\[timeout)|(PRM\|1\|D)|(kpr)|(kdp)|(train st.+moving)|(\|lc)|(penalty))"</v>
      </c>
      <c r="AG190" s="244" t="str">
        <f t="shared" si="65"/>
        <v>NW</v>
      </c>
      <c r="AH190" s="236" t="str">
        <f t="shared" si="73"/>
        <v>"%USERPROFILE%\Documents\GitHub\eaglep3\Utilities\RefineRTDCRunTimes.py" --tripid 831-06 --locoid 4058 --swversion DE.1.0.9.0 --startMP 204:424 --initTime 2017-12-06T16:33:03 --startdatetime 2017-12-06T16:39:27 --delay 64 --endMP 300:58933 --enddatetime 2017-12-06T16:55:59 --enforcementcount 0 &gt;&gt;%USERPROFILE%\Documents\GitHub\eaglep3-reporting\EC\2017-12-06-refined-times.txt</v>
      </c>
      <c r="AI190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{"issue":{"subject":"","project_id":79,"tracker_id":40,"status_id":1,"priority_id":2,"assigned_to_id":338,"start_date":"2017-12-06","description":"","custom_fields":[{"id":1,"name":"Subdivision","value":"NW"},{"id":4,"name":"Milepost","value":"5.8933"},{"id":17,"name":"Train ID","value":"831-06"},{"id":16,"name":"Locomotive ID","value":"4058"},{"id":130,"name":"Impact","value":""},{"id":150,"name":"Time of Event (Mountain Time)","value":"16:55:59"},{"id":151,"name":"Denver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75"/>
        <v>start /low /b %USERPROFILE%\Documents\GitHub\eaglep3\Utilities\DownloadLogsFromS3.py --loco 4058 --day 2017-12-06</v>
      </c>
      <c r="AN190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7"/>
        <v>https://d0f6bd738d7f1b3e5a7ca70fe4ff75f0.us-east-1.aws.found.io/app/kibana#/discover/Steve-Slow-Train-Analysis-(2080s-and-2083s)?_g=(refreshInterval:(display:Off,pause:!f,section:0,value:0),time:(from:'2017-12-06T15:33:03-0700',mode:absolute,to:'2017-12-06T17:55:59-0700'))&amp;_a=(columns:!('Message%20ID',Summary),filters:!(),index:'emp_*',interval:auto,query:(query_string:(analyze_wildcard:!t,query:'%22rtdc.l.rtdc.4058%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817</v>
      </c>
      <c r="B191" s="225">
        <v>4057</v>
      </c>
      <c r="C191" s="227" t="s">
        <v>192</v>
      </c>
      <c r="D191" s="227" t="s">
        <v>541</v>
      </c>
      <c r="E191" s="226">
        <v>43075.706550925926</v>
      </c>
      <c r="F191" s="226">
        <v>43075.716666666667</v>
      </c>
      <c r="G191" s="225">
        <v>57</v>
      </c>
      <c r="H191" s="227" t="s">
        <v>1084</v>
      </c>
      <c r="I191" s="226">
        <v>43075.724965277775</v>
      </c>
      <c r="J191" s="225">
        <v>0</v>
      </c>
      <c r="K191" s="237" t="str">
        <f t="shared" si="56"/>
        <v>4057/4058</v>
      </c>
      <c r="L191" s="245" t="str">
        <f>VLOOKUP(A191,'Trips&amp;Operators'!$C$1:$G$99911,5,FALSE)</f>
        <v>STAMBAUGH JAMES</v>
      </c>
      <c r="M191" s="224">
        <f t="shared" si="57"/>
        <v>8.2986111083300784E-3</v>
      </c>
      <c r="N191" s="225">
        <f t="shared" si="104"/>
        <v>11.949999995995313</v>
      </c>
      <c r="O191" s="225"/>
      <c r="P191" s="225"/>
      <c r="Q191" s="228"/>
      <c r="R191" s="242"/>
      <c r="S191" s="249">
        <f t="shared" si="105"/>
        <v>1</v>
      </c>
      <c r="T191" s="242" t="str">
        <f t="shared" si="58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59"/>
        <v>https://d0f6bd738d7f1b3e5a7ca70fe4ff75f0.us-east-1.aws.found.io/app/kibana#/discover/Steve-Slow-Train-Analysis-(2080s-and-2083s)?_g=(refreshInterval:(display:Off,pause:!f,section:0,value:0),time:(from:'2017-12-06T15:57:26-0700',mode:absolute,to:'2017-12-06T18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1" s="247" t="str">
        <f>IF(AA191&lt;VLOOKUP(AG191,Variables!$AC$3:$AD$8,2,FALSE),"Y","N")</f>
        <v>N</v>
      </c>
      <c r="X191" s="247">
        <f t="shared" si="103"/>
        <v>1</v>
      </c>
      <c r="Y191" s="247">
        <f t="shared" si="101"/>
        <v>5.8609</v>
      </c>
      <c r="Z191" s="247">
        <f t="shared" si="102"/>
        <v>1.35E-2</v>
      </c>
      <c r="AA191" s="247">
        <f t="shared" si="61"/>
        <v>5.8474000000000004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2"/>
        <v>832</v>
      </c>
      <c r="AE191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91" s="234" t="str">
        <f t="shared" si="64"/>
        <v>"C:\Program Files (x86)\AstroGrep\AstroGrep.exe" /e /r /s /spath="%USERPROFILE%\AppData\Local\Temp\OnboardLogs" /stypes="app*4057*20171207*" /stext=" 00:.+((SYSTEM_STATE.+slice.+state.+changed )|(ment ac)|(multiple cpu faults)|(system.+state.+changed )|(\[timeout)|(PRM\|1\|D)|(kpr)|(kdp)|(train st.+moving)|(\|lc)|(penalty))"</v>
      </c>
      <c r="AG191" s="244" t="str">
        <f t="shared" si="65"/>
        <v>NW</v>
      </c>
      <c r="AH191" s="236" t="str">
        <f t="shared" si="73"/>
        <v>"%USERPROFILE%\Documents\GitHub\eaglep3\Utilities\RefineRTDCRunTimes.py" --tripid 832-06 --locoid 4057 --swversion DE.1.0.9.0 --startMP 300:58609 --initTime 2017-12-06T16:57:26 --startdatetime 2017-12-06T17:12:00 --delay 57 --endMP 204:135 --enddatetime 2017-12-06T17:23:57 --enforcementcount 0 &gt;&gt;%USERPROFILE%\Documents\GitHub\eaglep3-reporting\EC\2017-12-06-refined-times.txt</v>
      </c>
      <c r="AI191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{"issue":{"subject":"","project_id":79,"tracker_id":40,"status_id":1,"priority_id":2,"assigned_to_id":338,"start_date":"2017-12-06","description":"","custom_fields":[{"id":1,"name":"Subdivision","value":"NW"},{"id":4,"name":"Milepost","value":"0.0135"},{"id":17,"name":"Train ID","value":"832-06"},{"id":16,"name":"Locomotive ID","value":"4057"},{"id":130,"name":"Impact","value":""},{"id":150,"name":"Time of Event (Mountain Time)","value":"17:23:57"},{"id":151,"name":"Denver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5"/>
        <v>start /low /b %USERPROFILE%\Documents\GitHub\eaglep3\Utilities\DownloadLogsFromS3.py --loco 4057 --day 2017-12-06</v>
      </c>
      <c r="AN191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7"/>
        <v>https://d0f6bd738d7f1b3e5a7ca70fe4ff75f0.us-east-1.aws.found.io/app/kibana#/discover/Steve-Slow-Train-Analysis-(2080s-and-2083s)?_g=(refreshInterval:(display:Off,pause:!f,section:0,value:0),time:(from:'2017-12-06T15:57:26-0700',mode:absolute,to:'2017-12-06T18:23:57-0700'))&amp;_a=(columns:!('Message%20ID',Summary),filters:!(),index:'emp_*',interval:auto,query:(query_string:(analyze_wildcard:!t,query:'%22rtdc.l.rtdc.4057%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25">
      <c r="A192" s="229" t="s">
        <v>821</v>
      </c>
      <c r="B192" s="225">
        <v>4050</v>
      </c>
      <c r="C192" s="227" t="s">
        <v>192</v>
      </c>
      <c r="D192" s="227" t="s">
        <v>446</v>
      </c>
      <c r="E192" s="226">
        <v>43075.710763888892</v>
      </c>
      <c r="F192" s="226">
        <v>43075.714780092596</v>
      </c>
      <c r="G192" s="225">
        <v>68</v>
      </c>
      <c r="H192" s="227" t="s">
        <v>544</v>
      </c>
      <c r="I192" s="226">
        <v>43075.7262962963</v>
      </c>
      <c r="J192" s="225">
        <v>0</v>
      </c>
      <c r="K192" s="237" t="str">
        <f t="shared" si="56"/>
        <v>4049/4050</v>
      </c>
      <c r="L192" s="245" t="str">
        <f>VLOOKUP(A192,'Trips&amp;Operators'!$C$1:$G$99911,5,FALSE)</f>
        <v>LEVERE CRAIG</v>
      </c>
      <c r="M192" s="224">
        <f t="shared" si="57"/>
        <v>1.1516203703649808E-2</v>
      </c>
      <c r="N192" s="225">
        <f t="shared" si="104"/>
        <v>16.583333333255723</v>
      </c>
      <c r="O192" s="225"/>
      <c r="P192" s="225"/>
      <c r="Q192" s="228"/>
      <c r="R192" s="242"/>
      <c r="S192" s="249">
        <f t="shared" si="105"/>
        <v>1</v>
      </c>
      <c r="T192" s="242" t="str">
        <f t="shared" si="58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59"/>
        <v>https://d0f6bd738d7f1b3e5a7ca70fe4ff75f0.us-east-1.aws.found.io/app/kibana#/discover/Steve-Slow-Train-Analysis-(2080s-and-2083s)?_g=(refreshInterval:(display:Off,pause:!f,section:0,value:0),time:(from:'2017-12-06T16:03:30-0700',mode:absolute,to:'2017-12-06T18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247" t="str">
        <f>IF(AA192&lt;VLOOKUP(AG192,Variables!$AC$3:$AD$8,2,FALSE),"Y","N")</f>
        <v>N</v>
      </c>
      <c r="X192" s="247">
        <f t="shared" si="103"/>
        <v>1</v>
      </c>
      <c r="Y192" s="247">
        <f t="shared" si="101"/>
        <v>4.4600000000000001E-2</v>
      </c>
      <c r="Z192" s="247">
        <f t="shared" si="102"/>
        <v>5.8940999999999999</v>
      </c>
      <c r="AA192" s="247">
        <f t="shared" si="61"/>
        <v>5.8494999999999999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2"/>
        <v>833</v>
      </c>
      <c r="AE192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92" s="234" t="str">
        <f t="shared" si="64"/>
        <v>"C:\Program Files (x86)\AstroGrep\AstroGrep.exe" /e /r /s /spath="%USERPROFILE%\AppData\Local\Temp\OnboardLogs" /stypes="app*4050*20171207*" /stext=" 00:.+((SYSTEM_STATE.+slice.+state.+changed )|(ment ac)|(multiple cpu faults)|(system.+state.+changed )|(\[timeout)|(PRM\|1\|D)|(kpr)|(kdp)|(train st.+moving)|(\|lc)|(penalty))"</v>
      </c>
      <c r="AG192" s="244" t="str">
        <f t="shared" si="65"/>
        <v>NW</v>
      </c>
      <c r="AH192" s="236" t="str">
        <f t="shared" si="73"/>
        <v>"%USERPROFILE%\Documents\GitHub\eaglep3\Utilities\RefineRTDCRunTimes.py" --tripid 833-06 --locoid 4050 --swversion DE.1.0.9.0 --startMP 204:446 --initTime 2017-12-06T17:03:30 --startdatetime 2017-12-06T17:09:17 --delay 68 --endMP 300:58941 --enddatetime 2017-12-06T17:25:52 --enforcementcount 0 &gt;&gt;%USERPROFILE%\Documents\GitHub\eaglep3-reporting\EC\2017-12-06-refined-times.txt</v>
      </c>
      <c r="AI192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{"issue":{"subject":"","project_id":79,"tracker_id":40,"status_id":1,"priority_id":2,"assigned_to_id":338,"start_date":"2017-12-06","description":"","custom_fields":[{"id":1,"name":"Subdivision","value":"NW"},{"id":4,"name":"Milepost","value":"5.8941"},{"id":17,"name":"Train ID","value":"833-06"},{"id":16,"name":"Locomotive ID","value":"4050"},{"id":130,"name":"Impact","value":""},{"id":150,"name":"Time of Event (Mountain Time)","value":"17:25:52"},{"id":151,"name":"Denver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75"/>
        <v>start /low /b %USERPROFILE%\Documents\GitHub\eaglep3\Utilities\DownloadLogsFromS3.py --loco 4050 --day 2017-12-06</v>
      </c>
      <c r="AN192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7"/>
        <v>https://d0f6bd738d7f1b3e5a7ca70fe4ff75f0.us-east-1.aws.found.io/app/kibana#/discover/Steve-Slow-Train-Analysis-(2080s-and-2083s)?_g=(refreshInterval:(display:Off,pause:!f,section:0,value:0),time:(from:'2017-12-06T16:03:30-0700',mode:absolute,to:'2017-12-06T18:25:52-0700'))&amp;_a=(columns:!('Message%20ID',Summary),filters:!(),index:'emp_*',interval:auto,query:(query_string:(analyze_wildcard:!t,query:'%22rtdc.l.rtdc.4050%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826</v>
      </c>
      <c r="B193" s="225">
        <v>4049</v>
      </c>
      <c r="C193" s="227" t="s">
        <v>192</v>
      </c>
      <c r="D193" s="227" t="s">
        <v>542</v>
      </c>
      <c r="E193" s="226">
        <v>43075.727997685186</v>
      </c>
      <c r="F193" s="226">
        <v>43075.737500000003</v>
      </c>
      <c r="G193" s="225">
        <v>61</v>
      </c>
      <c r="H193" s="227" t="s">
        <v>579</v>
      </c>
      <c r="I193" s="226">
        <v>43075.747627314813</v>
      </c>
      <c r="J193" s="225">
        <v>0</v>
      </c>
      <c r="K193" s="237" t="str">
        <f t="shared" si="56"/>
        <v>4049/4050</v>
      </c>
      <c r="L193" s="245" t="str">
        <f>VLOOKUP(A193,'Trips&amp;Operators'!$C$1:$G$99911,5,FALSE)</f>
        <v>LEVERE CRAIG</v>
      </c>
      <c r="M193" s="224">
        <f t="shared" si="57"/>
        <v>1.0127314810233656E-2</v>
      </c>
      <c r="N193" s="225">
        <f t="shared" si="104"/>
        <v>14.583333326736465</v>
      </c>
      <c r="O193" s="225"/>
      <c r="P193" s="225"/>
      <c r="Q193" s="228"/>
      <c r="R193" s="242"/>
      <c r="S193" s="249">
        <f t="shared" si="105"/>
        <v>1</v>
      </c>
      <c r="T193" s="242" t="str">
        <f t="shared" si="58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59"/>
        <v>https://d0f6bd738d7f1b3e5a7ca70fe4ff75f0.us-east-1.aws.found.io/app/kibana#/discover/Steve-Slow-Train-Analysis-(2080s-and-2083s)?_g=(refreshInterval:(display:Off,pause:!f,section:0,value:0),time:(from:'2017-12-06T16:28:19-0700',mode:absolute,to:'2017-12-06T18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247" t="str">
        <f>IF(AA193&lt;VLOOKUP(AG193,Variables!$AC$3:$AD$8,2,FALSE),"Y","N")</f>
        <v>N</v>
      </c>
      <c r="X193" s="247">
        <f t="shared" si="103"/>
        <v>1</v>
      </c>
      <c r="Y193" s="247">
        <f t="shared" si="101"/>
        <v>5.8619000000000003</v>
      </c>
      <c r="Z193" s="247">
        <f t="shared" si="102"/>
        <v>1.49E-2</v>
      </c>
      <c r="AA193" s="247">
        <f t="shared" si="61"/>
        <v>5.8470000000000004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2"/>
        <v>834</v>
      </c>
      <c r="AE193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93" s="234" t="str">
        <f t="shared" si="64"/>
        <v>"C:\Program Files (x86)\AstroGrep\AstroGrep.exe" /e /r /s /spath="%USERPROFILE%\AppData\Local\Temp\OnboardLogs" /stypes="app*4049*20171207*" /stext=" 00:.+((SYSTEM_STATE.+slice.+state.+changed )|(ment ac)|(multiple cpu faults)|(system.+state.+changed )|(\[timeout)|(PRM\|1\|D)|(kpr)|(kdp)|(train st.+moving)|(\|lc)|(penalty))"</v>
      </c>
      <c r="AG193" s="244" t="str">
        <f t="shared" si="65"/>
        <v>NW</v>
      </c>
      <c r="AH193" s="236" t="str">
        <f t="shared" si="73"/>
        <v>"%USERPROFILE%\Documents\GitHub\eaglep3\Utilities\RefineRTDCRunTimes.py" --tripid 834-06 --locoid 4049 --swversion DE.1.0.9.0 --startMP 300:58619 --initTime 2017-12-06T17:28:19 --startdatetime 2017-12-06T17:42:00 --delay 61 --endMP 204:149 --enddatetime 2017-12-06T17:56:35 --enforcementcount 0 &gt;&gt;%USERPROFILE%\Documents\GitHub\eaglep3-reporting\EC\2017-12-06-refined-times.txt</v>
      </c>
      <c r="AI193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{"issue":{"subject":"","project_id":79,"tracker_id":40,"status_id":1,"priority_id":2,"assigned_to_id":338,"start_date":"2017-12-06","description":"","custom_fields":[{"id":1,"name":"Subdivision","value":"NW"},{"id":4,"name":"Milepost","value":"0.0149"},{"id":17,"name":"Train ID","value":"834-06"},{"id":16,"name":"Locomotive ID","value":"4049"},{"id":130,"name":"Impact","value":""},{"id":150,"name":"Time of Event (Mountain Time)","value":"17:56:35"},{"id":151,"name":"Denver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75"/>
        <v>start /low /b %USERPROFILE%\Documents\GitHub\eaglep3\Utilities\DownloadLogsFromS3.py --loco 4049 --day 2017-12-06</v>
      </c>
      <c r="AN193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7"/>
        <v>https://d0f6bd738d7f1b3e5a7ca70fe4ff75f0.us-east-1.aws.found.io/app/kibana#/discover/Steve-Slow-Train-Analysis-(2080s-and-2083s)?_g=(refreshInterval:(display:Off,pause:!f,section:0,value:0),time:(from:'2017-12-06T16:28:19-0700',mode:absolute,to:'2017-12-06T18:56:35-0700'))&amp;_a=(columns:!('Message%20ID',Summary),filters:!(),index:'emp_*',interval:auto,query:(query_string:(analyze_wildcard:!t,query:'%22rtdc.l.rtdc.4049%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827</v>
      </c>
      <c r="B194" s="225">
        <v>4058</v>
      </c>
      <c r="C194" s="227" t="s">
        <v>192</v>
      </c>
      <c r="D194" s="227" t="s">
        <v>1085</v>
      </c>
      <c r="E194" s="226">
        <v>43075.73165509259</v>
      </c>
      <c r="F194" s="226">
        <v>43075.735972222225</v>
      </c>
      <c r="G194" s="225">
        <v>63</v>
      </c>
      <c r="H194" s="227" t="s">
        <v>539</v>
      </c>
      <c r="I194" s="226">
        <v>43075.746018518519</v>
      </c>
      <c r="J194" s="225">
        <v>0</v>
      </c>
      <c r="K194" s="237" t="str">
        <f t="shared" si="56"/>
        <v>4057/4058</v>
      </c>
      <c r="L194" s="245" t="str">
        <f>VLOOKUP(A194,'Trips&amp;Operators'!$C$1:$G$99911,5,FALSE)</f>
        <v>STAMBAUGH JAMES</v>
      </c>
      <c r="M194" s="224">
        <f t="shared" si="57"/>
        <v>1.0046296294603962E-2</v>
      </c>
      <c r="N194" s="225">
        <f t="shared" si="104"/>
        <v>14.466666664229706</v>
      </c>
      <c r="O194" s="225"/>
      <c r="P194" s="225"/>
      <c r="Q194" s="228"/>
      <c r="R194" s="242"/>
      <c r="S194" s="249">
        <f t="shared" si="105"/>
        <v>1</v>
      </c>
      <c r="T194" s="242" t="str">
        <f t="shared" si="58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59"/>
        <v>https://d0f6bd738d7f1b3e5a7ca70fe4ff75f0.us-east-1.aws.found.io/app/kibana#/discover/Steve-Slow-Train-Analysis-(2080s-and-2083s)?_g=(refreshInterval:(display:Off,pause:!f,section:0,value:0),time:(from:'2017-12-06T16:33:35-0700',mode:absolute,to:'2017-12-06T18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247" t="str">
        <f>IF(AA194&lt;VLOOKUP(AG194,Variables!$AC$3:$AD$8,2,FALSE),"Y","N")</f>
        <v>N</v>
      </c>
      <c r="X194" s="247">
        <f t="shared" si="103"/>
        <v>1</v>
      </c>
      <c r="Y194" s="247">
        <f t="shared" si="101"/>
        <v>4.5499999999999999E-2</v>
      </c>
      <c r="Z194" s="247">
        <f t="shared" si="102"/>
        <v>5.8924000000000003</v>
      </c>
      <c r="AA194" s="247">
        <f t="shared" si="61"/>
        <v>5.8469000000000007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2"/>
        <v>835</v>
      </c>
      <c r="AE194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94" s="234" t="str">
        <f t="shared" si="64"/>
        <v>"C:\Program Files (x86)\AstroGrep\AstroGrep.exe" /e /r /s /spath="%USERPROFILE%\AppData\Local\Temp\OnboardLogs" /stypes="app*4058*20171207*" /stext=" 00:.+((SYSTEM_STATE.+slice.+state.+changed )|(ment ac)|(multiple cpu faults)|(system.+state.+changed )|(\[timeout)|(PRM\|1\|D)|(kpr)|(kdp)|(train st.+moving)|(\|lc)|(penalty))"</v>
      </c>
      <c r="AG194" s="244" t="str">
        <f t="shared" si="65"/>
        <v>NW</v>
      </c>
      <c r="AH194" s="236" t="str">
        <f t="shared" si="73"/>
        <v>"%USERPROFILE%\Documents\GitHub\eaglep3\Utilities\RefineRTDCRunTimes.py" --tripid 835-06 --locoid 4058 --swversion DE.1.0.9.0 --startMP 204:455 --initTime 2017-12-06T17:33:35 --startdatetime 2017-12-06T17:39:48 --delay 63 --endMP 300:58924 --enddatetime 2017-12-06T17:54:16 --enforcementcount 0 &gt;&gt;%USERPROFILE%\Documents\GitHub\eaglep3-reporting\EC\2017-12-06-refined-times.txt</v>
      </c>
      <c r="AI194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{"issue":{"subject":"","project_id":79,"tracker_id":40,"status_id":1,"priority_id":2,"assigned_to_id":338,"start_date":"2017-12-06","description":"","custom_fields":[{"id":1,"name":"Subdivision","value":"NW"},{"id":4,"name":"Milepost","value":"5.8924"},{"id":17,"name":"Train ID","value":"835-06"},{"id":16,"name":"Locomotive ID","value":"4058"},{"id":130,"name":"Impact","value":""},{"id":150,"name":"Time of Event (Mountain Time)","value":"17:54:16"},{"id":151,"name":"Denver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75"/>
        <v>start /low /b %USERPROFILE%\Documents\GitHub\eaglep3\Utilities\DownloadLogsFromS3.py --loco 4058 --day 2017-12-06</v>
      </c>
      <c r="AN194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7"/>
        <v>https://d0f6bd738d7f1b3e5a7ca70fe4ff75f0.us-east-1.aws.found.io/app/kibana#/discover/Steve-Slow-Train-Analysis-(2080s-and-2083s)?_g=(refreshInterval:(display:Off,pause:!f,section:0,value:0),time:(from:'2017-12-06T16:33:35-0700',mode:absolute,to:'2017-12-06T18:54:16-0700'))&amp;_a=(columns:!('Message%20ID',Summary),filters:!(),index:'emp_*',interval:auto,query:(query_string:(analyze_wildcard:!t,query:'%22rtdc.l.rtdc.4058%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832</v>
      </c>
      <c r="B195" s="225">
        <v>4057</v>
      </c>
      <c r="C195" s="227" t="s">
        <v>192</v>
      </c>
      <c r="D195" s="227" t="s">
        <v>1086</v>
      </c>
      <c r="E195" s="226">
        <v>43075.746886574074</v>
      </c>
      <c r="F195" s="226">
        <v>43075.758333333331</v>
      </c>
      <c r="G195" s="225">
        <v>52</v>
      </c>
      <c r="H195" s="227" t="s">
        <v>625</v>
      </c>
      <c r="I195" s="226">
        <v>43075.767916666664</v>
      </c>
      <c r="J195" s="225">
        <v>0</v>
      </c>
      <c r="K195" s="237" t="str">
        <f t="shared" si="56"/>
        <v>4057/4058</v>
      </c>
      <c r="L195" s="245" t="str">
        <f>VLOOKUP(A195,'Trips&amp;Operators'!$C$1:$G$99911,5,FALSE)</f>
        <v>STAMBAUGH JAMES</v>
      </c>
      <c r="M195" s="224">
        <f t="shared" si="57"/>
        <v>9.5833333325572312E-3</v>
      </c>
      <c r="N195" s="225">
        <f t="shared" si="104"/>
        <v>13.799999998882413</v>
      </c>
      <c r="O195" s="225"/>
      <c r="P195" s="225"/>
      <c r="Q195" s="228"/>
      <c r="R195" s="242"/>
      <c r="S195" s="249">
        <f t="shared" si="105"/>
        <v>1</v>
      </c>
      <c r="T195" s="242" t="str">
        <f t="shared" si="58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59"/>
        <v>https://d0f6bd738d7f1b3e5a7ca70fe4ff75f0.us-east-1.aws.found.io/app/kibana#/discover/Steve-Slow-Train-Analysis-(2080s-and-2083s)?_g=(refreshInterval:(display:Off,pause:!f,section:0,value:0),time:(from:'2017-12-06T16:55:31-0700',mode:absolute,to:'2017-12-06T19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5" s="247" t="str">
        <f>IF(AA195&lt;VLOOKUP(AG195,Variables!$AC$3:$AD$8,2,FALSE),"Y","N")</f>
        <v>N</v>
      </c>
      <c r="X195" s="247">
        <f t="shared" si="103"/>
        <v>1</v>
      </c>
      <c r="Y195" s="247">
        <f t="shared" si="101"/>
        <v>5.8445</v>
      </c>
      <c r="Z195" s="247">
        <f t="shared" si="102"/>
        <v>1.5100000000000001E-2</v>
      </c>
      <c r="AA195" s="247">
        <f t="shared" si="61"/>
        <v>5.8293999999999997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2"/>
        <v>836</v>
      </c>
      <c r="AE195" s="235" t="str">
        <f t="shared" si="63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195" s="234" t="str">
        <f t="shared" si="64"/>
        <v>"C:\Program Files (x86)\AstroGrep\AstroGrep.exe" /e /r /s /spath="%USERPROFILE%\AppData\Local\Temp\OnboardLogs" /stypes="app*4057*20171207*" /stext=" 01:.+((SYSTEM_STATE.+slice.+state.+changed )|(ment ac)|(multiple cpu faults)|(system.+state.+changed )|(\[timeout)|(PRM\|1\|D)|(kpr)|(kdp)|(train st.+moving)|(\|lc)|(penalty))"</v>
      </c>
      <c r="AG195" s="244" t="str">
        <f t="shared" si="65"/>
        <v>NW</v>
      </c>
      <c r="AH195" s="236" t="str">
        <f t="shared" si="73"/>
        <v>"%USERPROFILE%\Documents\GitHub\eaglep3\Utilities\RefineRTDCRunTimes.py" --tripid 836-06 --locoid 4057 --swversion DE.1.0.9.0 --startMP 300:58445 --initTime 2017-12-06T17:55:31 --startdatetime 2017-12-06T18:12:00 --delay 52 --endMP 204:151 --enddatetime 2017-12-06T18:25:48 --enforcementcount 0 &gt;&gt;%USERPROFILE%\Documents\GitHub\eaglep3-reporting\EC\2017-12-06-refined-times.txt</v>
      </c>
      <c r="AI195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{"issue":{"subject":"","project_id":79,"tracker_id":40,"status_id":1,"priority_id":2,"assigned_to_id":338,"start_date":"2017-12-06","description":"","custom_fields":[{"id":1,"name":"Subdivision","value":"NW"},{"id":4,"name":"Milepost","value":"0.0151"},{"id":17,"name":"Train ID","value":"836-06"},{"id":16,"name":"Locomotive ID","value":"4057"},{"id":130,"name":"Impact","value":""},{"id":150,"name":"Time of Event (Mountain Time)","value":"18:25:48"},{"id":151,"name":"Denver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5"/>
        <v>start /low /b %USERPROFILE%\Documents\GitHub\eaglep3\Utilities\DownloadLogsFromS3.py --loco 4057 --day 2017-12-06</v>
      </c>
      <c r="AN195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7"/>
        <v>https://d0f6bd738d7f1b3e5a7ca70fe4ff75f0.us-east-1.aws.found.io/app/kibana#/discover/Steve-Slow-Train-Analysis-(2080s-and-2083s)?_g=(refreshInterval:(display:Off,pause:!f,section:0,value:0),time:(from:'2017-12-06T16:55:31-0700',mode:absolute,to:'2017-12-06T19:25:48-0700'))&amp;_a=(columns:!('Message%20ID',Summary),filters:!(),index:'emp_*',interval:auto,query:(query_string:(analyze_wildcard:!t,query:'%22rtdc.l.rtdc.4057%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25">
      <c r="A196" s="229" t="s">
        <v>834</v>
      </c>
      <c r="B196" s="225">
        <v>4050</v>
      </c>
      <c r="C196" s="227" t="s">
        <v>192</v>
      </c>
      <c r="D196" s="227" t="s">
        <v>1087</v>
      </c>
      <c r="E196" s="226">
        <v>43075.75204861111</v>
      </c>
      <c r="F196" s="226">
        <v>43075.758333333331</v>
      </c>
      <c r="G196" s="225">
        <v>87</v>
      </c>
      <c r="H196" s="227" t="s">
        <v>544</v>
      </c>
      <c r="I196" s="226">
        <v>43075.76902777778</v>
      </c>
      <c r="J196" s="225">
        <v>0</v>
      </c>
      <c r="K196" s="237" t="str">
        <f t="shared" si="56"/>
        <v>4049/4050</v>
      </c>
      <c r="L196" s="245" t="str">
        <f>VLOOKUP(A196,'Trips&amp;Operators'!$C$1:$G$99911,5,FALSE)</f>
        <v>LEVERE CRAIG</v>
      </c>
      <c r="M196" s="224">
        <f t="shared" si="57"/>
        <v>1.0694444448745344E-2</v>
      </c>
      <c r="N196" s="225">
        <f t="shared" si="104"/>
        <v>15.400000006193295</v>
      </c>
      <c r="O196" s="225"/>
      <c r="P196" s="225"/>
      <c r="Q196" s="228"/>
      <c r="R196" s="242"/>
      <c r="S196" s="249">
        <f t="shared" si="105"/>
        <v>1</v>
      </c>
      <c r="T196" s="242" t="str">
        <f t="shared" si="58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59"/>
        <v>https://d0f6bd738d7f1b3e5a7ca70fe4ff75f0.us-east-1.aws.found.io/app/kibana#/discover/Steve-Slow-Train-Analysis-(2080s-and-2083s)?_g=(refreshInterval:(display:Off,pause:!f,section:0,value:0),time:(from:'2017-12-06T17:02:57-0700',mode:absolute,to:'2017-12-06T19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6" s="247" t="str">
        <f>IF(AA196&lt;VLOOKUP(AG196,Variables!$AC$3:$AD$8,2,FALSE),"Y","N")</f>
        <v>N</v>
      </c>
      <c r="X196" s="247">
        <f t="shared" si="103"/>
        <v>1</v>
      </c>
      <c r="Y196" s="247">
        <f t="shared" si="101"/>
        <v>4.3700000000000003E-2</v>
      </c>
      <c r="Z196" s="247">
        <f t="shared" si="102"/>
        <v>5.8940999999999999</v>
      </c>
      <c r="AA196" s="247">
        <f t="shared" si="61"/>
        <v>5.8503999999999996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2"/>
        <v>837</v>
      </c>
      <c r="AE196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196" s="234" t="str">
        <f t="shared" si="64"/>
        <v>"C:\Program Files (x86)\AstroGrep\AstroGrep.exe" /e /r /s /spath="%USERPROFILE%\AppData\Local\Temp\OnboardLogs" /stypes="app*4050*20171207*" /stext=" 01:.+((SYSTEM_STATE.+slice.+state.+changed )|(ment ac)|(multiple cpu faults)|(system.+state.+changed )|(\[timeout)|(PRM\|1\|D)|(kpr)|(kdp)|(train st.+moving)|(\|lc)|(penalty))"</v>
      </c>
      <c r="AG196" s="244" t="str">
        <f t="shared" si="65"/>
        <v>NW</v>
      </c>
      <c r="AH196" s="236" t="str">
        <f t="shared" si="73"/>
        <v>"%USERPROFILE%\Documents\GitHub\eaglep3\Utilities\RefineRTDCRunTimes.py" --tripid 837-06 --locoid 4050 --swversion DE.1.0.9.0 --startMP 204:437 --initTime 2017-12-06T18:02:57 --startdatetime 2017-12-06T18:12:00 --delay 87 --endMP 300:58941 --enddatetime 2017-12-06T18:27:24 --enforcementcount 0 &gt;&gt;%USERPROFILE%\Documents\GitHub\eaglep3-reporting\EC\2017-12-06-refined-times.txt</v>
      </c>
      <c r="AI196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{"issue":{"subject":"","project_id":79,"tracker_id":40,"status_id":1,"priority_id":2,"assigned_to_id":338,"start_date":"2017-12-06","description":"","custom_fields":[{"id":1,"name":"Subdivision","value":"NW"},{"id":4,"name":"Milepost","value":"5.8941"},{"id":17,"name":"Train ID","value":"837-06"},{"id":16,"name":"Locomotive ID","value":"4050"},{"id":130,"name":"Impact","value":""},{"id":150,"name":"Time of Event (Mountain Time)","value":"18:27:24"},{"id":151,"name":"Denver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75"/>
        <v>start /low /b %USERPROFILE%\Documents\GitHub\eaglep3\Utilities\DownloadLogsFromS3.py --loco 4050 --day 2017-12-06</v>
      </c>
      <c r="AN196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7"/>
        <v>https://d0f6bd738d7f1b3e5a7ca70fe4ff75f0.us-east-1.aws.found.io/app/kibana#/discover/Steve-Slow-Train-Analysis-(2080s-and-2083s)?_g=(refreshInterval:(display:Off,pause:!f,section:0,value:0),time:(from:'2017-12-06T17:02:57-0700',mode:absolute,to:'2017-12-06T19:27:24-0700'))&amp;_a=(columns:!('Message%20ID',Summary),filters:!(),index:'emp_*',interval:auto,query:(query_string:(analyze_wildcard:!t,query:'%22rtdc.l.rtdc.4050%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838</v>
      </c>
      <c r="B197" s="225">
        <v>4049</v>
      </c>
      <c r="C197" s="227" t="s">
        <v>192</v>
      </c>
      <c r="D197" s="227" t="s">
        <v>1081</v>
      </c>
      <c r="E197" s="226">
        <v>43075.770358796297</v>
      </c>
      <c r="F197" s="226">
        <v>43075.779166666667</v>
      </c>
      <c r="G197" s="225">
        <v>59</v>
      </c>
      <c r="H197" s="227" t="s">
        <v>1088</v>
      </c>
      <c r="I197" s="226">
        <v>43075.789803240739</v>
      </c>
      <c r="J197" s="225">
        <v>0</v>
      </c>
      <c r="K197" s="237" t="str">
        <f t="shared" si="56"/>
        <v>4049/4050</v>
      </c>
      <c r="L197" s="245" t="str">
        <f>VLOOKUP(A197,'Trips&amp;Operators'!$C$1:$G$99911,5,FALSE)</f>
        <v>LEVERE CRAIG</v>
      </c>
      <c r="M197" s="224">
        <f t="shared" si="57"/>
        <v>1.063657407212304E-2</v>
      </c>
      <c r="N197" s="225">
        <f t="shared" si="104"/>
        <v>15.316666663857177</v>
      </c>
      <c r="O197" s="225"/>
      <c r="P197" s="225"/>
      <c r="Q197" s="228"/>
      <c r="R197" s="242"/>
      <c r="S197" s="249">
        <f t="shared" si="105"/>
        <v>1</v>
      </c>
      <c r="T197" s="242" t="str">
        <f t="shared" si="58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59"/>
        <v>https://d0f6bd738d7f1b3e5a7ca70fe4ff75f0.us-east-1.aws.found.io/app/kibana#/discover/Steve-Slow-Train-Analysis-(2080s-and-2083s)?_g=(refreshInterval:(display:Off,pause:!f,section:0,value:0),time:(from:'2017-12-06T17:29:19-0700',mode:absolute,to:'2017-12-06T19:57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7" s="247" t="str">
        <f>IF(AA197&lt;VLOOKUP(AG197,Variables!$AC$3:$AD$8,2,FALSE),"Y","N")</f>
        <v>N</v>
      </c>
      <c r="X197" s="247">
        <f t="shared" ref="X197:X200" si="106">VALUE(LEFT(AD197,4))-VALUE(LEFT(AD196,4))</f>
        <v>1</v>
      </c>
      <c r="Y197" s="247">
        <f t="shared" si="101"/>
        <v>5.8624000000000001</v>
      </c>
      <c r="Z197" s="247">
        <f t="shared" si="102"/>
        <v>1.8200000000000001E-2</v>
      </c>
      <c r="AA197" s="247">
        <f t="shared" si="61"/>
        <v>5.8441999999999998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2"/>
        <v>838</v>
      </c>
      <c r="AE197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97" s="234" t="str">
        <f t="shared" si="64"/>
        <v>"C:\Program Files (x86)\AstroGrep\AstroGrep.exe" /e /r /s /spath="%USERPROFILE%\AppData\Local\Temp\OnboardLogs" /stypes="app*4049*20171207*" /stext=" 01:.+((SYSTEM_STATE.+slice.+state.+changed )|(ment ac)|(multiple cpu faults)|(system.+state.+changed )|(\[timeout)|(PRM\|1\|D)|(kpr)|(kdp)|(train st.+moving)|(\|lc)|(penalty))"</v>
      </c>
      <c r="AG197" s="244" t="str">
        <f t="shared" si="65"/>
        <v>NW</v>
      </c>
      <c r="AH197" s="236" t="str">
        <f t="shared" si="73"/>
        <v>"%USERPROFILE%\Documents\GitHub\eaglep3\Utilities\RefineRTDCRunTimes.py" --tripid 838-06 --locoid 4049 --swversion DE.1.0.9.0 --startMP 300:58624 --initTime 2017-12-06T18:29:19 --startdatetime 2017-12-06T18:42:00 --delay 59 --endMP 204:182 --enddatetime 2017-12-06T18:57:19 --enforcementcount 0 &gt;&gt;%USERPROFILE%\Documents\GitHub\eaglep3-reporting\EC\2017-12-06-refined-times.txt</v>
      </c>
      <c r="AI197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{"issue":{"subject":"","project_id":79,"tracker_id":40,"status_id":1,"priority_id":2,"assigned_to_id":338,"start_date":"2017-12-06","description":"","custom_fields":[{"id":1,"name":"Subdivision","value":"NW"},{"id":4,"name":"Milepost","value":"0.0182"},{"id":17,"name":"Train ID","value":"838-06"},{"id":16,"name":"Locomotive ID","value":"4049"},{"id":130,"name":"Impact","value":""},{"id":150,"name":"Time of Event (Mountain Time)","value":"18:57:19"},{"id":151,"name":"Denver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75"/>
        <v>start /low /b %USERPROFILE%\Documents\GitHub\eaglep3\Utilities\DownloadLogsFromS3.py --loco 4049 --day 2017-12-06</v>
      </c>
      <c r="AN197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7"/>
        <v>https://d0f6bd738d7f1b3e5a7ca70fe4ff75f0.us-east-1.aws.found.io/app/kibana#/discover/Steve-Slow-Train-Analysis-(2080s-and-2083s)?_g=(refreshInterval:(display:Off,pause:!f,section:0,value:0),time:(from:'2017-12-06T17:29:19-0700',mode:absolute,to:'2017-12-06T19:57:19-0700'))&amp;_a=(columns:!('Message%20ID',Summary),filters:!(),index:'emp_*',interval:auto,query:(query_string:(analyze_wildcard:!t,query:'%22rtdc.l.rtdc.4049%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657</v>
      </c>
      <c r="B198" s="225">
        <v>4058</v>
      </c>
      <c r="C198" s="227" t="s">
        <v>192</v>
      </c>
      <c r="D198" s="227" t="s">
        <v>1081</v>
      </c>
      <c r="E198" s="226">
        <v>43075.770358796297</v>
      </c>
      <c r="F198" s="226">
        <v>43075.777280092596</v>
      </c>
      <c r="G198" s="225">
        <v>59</v>
      </c>
      <c r="H198" s="227" t="s">
        <v>1088</v>
      </c>
      <c r="I198" s="226">
        <v>43075.787291666667</v>
      </c>
      <c r="J198" s="225">
        <v>0</v>
      </c>
      <c r="K198" s="237" t="str">
        <f t="shared" si="56"/>
        <v>4057/4058</v>
      </c>
      <c r="L198" s="245" t="str">
        <f>VLOOKUP(A198,'Trips&amp;Operators'!$C$1:$G$99911,5,FALSE)</f>
        <v>STAMBAUGH JAMES</v>
      </c>
      <c r="M198" s="224">
        <f t="shared" si="57"/>
        <v>1.0011574071540963E-2</v>
      </c>
      <c r="N198" s="225">
        <f t="shared" si="104"/>
        <v>14.416666663018987</v>
      </c>
      <c r="O198" s="225"/>
      <c r="P198" s="225"/>
      <c r="Q198" s="228"/>
      <c r="R198" s="242"/>
      <c r="S198" s="249">
        <f t="shared" si="105"/>
        <v>1</v>
      </c>
      <c r="T198" s="242" t="str">
        <f t="shared" si="58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59"/>
        <v>https://d0f6bd738d7f1b3e5a7ca70fe4ff75f0.us-east-1.aws.found.io/app/kibana#/discover/Steve-Slow-Train-Analysis-(2080s-and-2083s)?_g=(refreshInterval:(display:Off,pause:!f,section:0,value:0),time:(from:'2017-12-06T17:29:19-0700',mode:absolute,to:'2017-12-06T19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8" s="247" t="str">
        <f>IF(AA198&lt;VLOOKUP(AG198,Variables!$AC$3:$AD$8,2,FALSE),"Y","N")</f>
        <v>N</v>
      </c>
      <c r="X198" s="247">
        <f t="shared" si="106"/>
        <v>1</v>
      </c>
      <c r="Y198" s="247">
        <v>4.3700000000000003E-2</v>
      </c>
      <c r="Z198" s="247">
        <v>5.8940999999999999</v>
      </c>
      <c r="AA198" s="247">
        <f t="shared" si="61"/>
        <v>5.8503999999999996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2"/>
        <v>839</v>
      </c>
      <c r="AE198" s="235" t="str">
        <f t="shared" si="63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198" s="234" t="str">
        <f t="shared" si="64"/>
        <v>"C:\Program Files (x86)\AstroGrep\AstroGrep.exe" /e /r /s /spath="%USERPROFILE%\AppData\Local\Temp\OnboardLogs" /stypes="app*4058*20171207*" /stext=" 01:.+((SYSTEM_STATE.+slice.+state.+changed )|(ment ac)|(multiple cpu faults)|(system.+state.+changed )|(\[timeout)|(PRM\|1\|D)|(kpr)|(kdp)|(train st.+moving)|(\|lc)|(penalty))"</v>
      </c>
      <c r="AG198" s="244" t="str">
        <f t="shared" si="65"/>
        <v>NW</v>
      </c>
      <c r="AH198" s="236" t="str">
        <f t="shared" ref="AH198" si="107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839-06 --locoid 4058 --swversion DE.1.0.9.0 --startMP 300:58624 --initTime 2017-12-06T18:29:19 --startdatetime 2017-12-06T18:39:17 --delay 59 --endMP 204:182 --enddatetime 2017-12-06T18:53:42 --enforcementcount 0 &gt;&gt;%USERPROFILE%\Documents\GitHub\eaglep3-reporting\EC\2017-12-06-refined-times.txt</v>
      </c>
      <c r="AI198" s="238" t="str">
        <f t="shared" ref="AI198" si="108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{"issue":{"subject":"","project_id":79,"tracker_id":40,"status_id":1,"priority_id":2,"assigned_to_id":338,"start_date":"2017-12-06","description":"","custom_fields":[{"id":1,"name":"Subdivision","value":"NW"},{"id":4,"name":"Milepost","value":"5.8941"},{"id":17,"name":"Train ID","value":"839-06"},{"id":16,"name":"Locomotive ID","value":"4058"},{"id":130,"name":"Impact","value":""},{"id":150,"name":"Time of Event (Mountain Time)","value":"18:53:42"},{"id":151,"name":"Denver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ref="AM198" si="109">"start /low /b "&amp;dls3logs&amp;" --loco "&amp;B198&amp;" --day "&amp;TEXT(F198,"YYYY-MM-DD")</f>
        <v>start /low /b %USERPROFILE%\Documents\GitHub\eaglep3\Utilities\DownloadLogsFromS3.py --loco 4058 --day 2017-12-06</v>
      </c>
      <c r="AN198" s="241" t="str">
        <f t="shared" ref="AN198" si="110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ref="AO198" si="111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-06T17:29:19-0700',mode:absolute,to:'2017-12-06T19:53:42-0700'))&amp;_a=(columns:!('Message%20ID',Summary),filters:!(),index:'emp_*',interval:auto,query:(query_string:(analyze_wildcard:!t,query:'%22rtdc.l.rtdc.4058%22')),sort:!(Time.ISO8601,asc))</v>
      </c>
    </row>
    <row r="199" spans="1:91" s="20" customFormat="1" x14ac:dyDescent="0.25">
      <c r="A199" s="229" t="s">
        <v>849</v>
      </c>
      <c r="B199" s="225">
        <v>4049</v>
      </c>
      <c r="C199" s="227" t="s">
        <v>192</v>
      </c>
      <c r="D199" s="227" t="s">
        <v>623</v>
      </c>
      <c r="E199" s="226">
        <v>43075.809618055559</v>
      </c>
      <c r="F199" s="226">
        <v>43075.820833333331</v>
      </c>
      <c r="G199" s="225">
        <v>83</v>
      </c>
      <c r="H199" s="227" t="s">
        <v>579</v>
      </c>
      <c r="I199" s="226">
        <v>43075.830243055556</v>
      </c>
      <c r="J199" s="225">
        <v>0</v>
      </c>
      <c r="K199" s="237" t="str">
        <f t="shared" si="56"/>
        <v>4049/4050</v>
      </c>
      <c r="L199" s="245" t="str">
        <f>VLOOKUP(A199,'Trips&amp;Operators'!$C$1:$G$99911,5,FALSE)</f>
        <v>AUSTIN THOMPSON</v>
      </c>
      <c r="M199" s="224">
        <f t="shared" si="57"/>
        <v>9.4097222245181911E-3</v>
      </c>
      <c r="N199" s="225">
        <f t="shared" si="104"/>
        <v>13.550000003306195</v>
      </c>
      <c r="O199" s="225"/>
      <c r="P199" s="225"/>
      <c r="Q199" s="228"/>
      <c r="R199" s="242"/>
      <c r="S199" s="249">
        <f t="shared" si="105"/>
        <v>1</v>
      </c>
      <c r="T199" s="242" t="str">
        <f t="shared" si="58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59"/>
        <v>https://d0f6bd738d7f1b3e5a7ca70fe4ff75f0.us-east-1.aws.found.io/app/kibana#/discover/Steve-Slow-Train-Analysis-(2080s-and-2083s)?_g=(refreshInterval:(display:Off,pause:!f,section:0,value:0),time:(from:'2017-12-06T18:25:51-0700',mode:absolute,to:'2017-12-06T20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247" t="str">
        <f>IF(AA199&lt;VLOOKUP(AG199,Variables!$AC$3:$AD$8,2,FALSE),"Y","N")</f>
        <v>N</v>
      </c>
      <c r="X199" s="247">
        <f t="shared" si="106"/>
        <v>1</v>
      </c>
      <c r="Y199" s="247">
        <f t="shared" ref="Y199:Y204" si="112">RIGHT(D199,LEN(D199)-4)/10000</f>
        <v>5.8632</v>
      </c>
      <c r="Z199" s="247">
        <f t="shared" ref="Z199:Z204" si="113">RIGHT(H199,LEN(H199)-4)/10000</f>
        <v>1.49E-2</v>
      </c>
      <c r="AA199" s="247">
        <f t="shared" si="61"/>
        <v>5.8483000000000001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2"/>
        <v>840</v>
      </c>
      <c r="AE199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199" s="234" t="str">
        <f t="shared" si="64"/>
        <v>"C:\Program Files (x86)\AstroGrep\AstroGrep.exe" /e /r /s /spath="%USERPROFILE%\AppData\Local\Temp\OnboardLogs" /stypes="app*4049*20171207*" /stext=" 02:.+((SYSTEM_STATE.+slice.+state.+changed )|(ment ac)|(multiple cpu faults)|(system.+state.+changed )|(\[timeout)|(PRM\|1\|D)|(kpr)|(kdp)|(train st.+moving)|(\|lc)|(penalty))"</v>
      </c>
      <c r="AG199" s="244" t="str">
        <f t="shared" si="65"/>
        <v>NW</v>
      </c>
      <c r="AH199" s="236" t="str">
        <f t="shared" si="73"/>
        <v>"%USERPROFILE%\Documents\GitHub\eaglep3\Utilities\RefineRTDCRunTimes.py" --tripid 840-06 --locoid 4049 --swversion DE.1.0.9.0 --startMP 300:58632 --initTime 2017-12-06T19:25:51 --startdatetime 2017-12-06T19:42:00 --delay 83 --endMP 204:149 --enddatetime 2017-12-06T19:55:33 --enforcementcount 0 &gt;&gt;%USERPROFILE%\Documents\GitHub\eaglep3-reporting\EC\2017-12-06-refined-times.txt</v>
      </c>
      <c r="AI199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{"issue":{"subject":"","project_id":79,"tracker_id":40,"status_id":1,"priority_id":2,"assigned_to_id":338,"start_date":"2017-12-06","description":"","custom_fields":[{"id":1,"name":"Subdivision","value":"NW"},{"id":4,"name":"Milepost","value":"0.0149"},{"id":17,"name":"Train ID","value":"840-06"},{"id":16,"name":"Locomotive ID","value":"4049"},{"id":130,"name":"Impact","value":""},{"id":150,"name":"Time of Event (Mountain Time)","value":"19:55:33"},{"id":151,"name":"Denver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5"/>
        <v>start /low /b %USERPROFILE%\Documents\GitHub\eaglep3\Utilities\DownloadLogsFromS3.py --loco 4049 --day 2017-12-06</v>
      </c>
      <c r="AN199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7"/>
        <v>https://d0f6bd738d7f1b3e5a7ca70fe4ff75f0.us-east-1.aws.found.io/app/kibana#/discover/Steve-Slow-Train-Analysis-(2080s-and-2083s)?_g=(refreshInterval:(display:Off,pause:!f,section:0,value:0),time:(from:'2017-12-06T18:25:51-0700',mode:absolute,to:'2017-12-06T20:55:33-0700'))&amp;_a=(columns:!('Message%20ID',Summary),filters:!(),index:'emp_*',interval:auto,query:(query_string:(analyze_wildcard:!t,query:'%22rtdc.l.rtdc.4049%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844</v>
      </c>
      <c r="B200" s="225">
        <v>4050</v>
      </c>
      <c r="C200" s="227" t="s">
        <v>192</v>
      </c>
      <c r="D200" s="227" t="s">
        <v>615</v>
      </c>
      <c r="E200" s="226">
        <v>43075.794525462959</v>
      </c>
      <c r="F200" s="226">
        <v>43075.798125000001</v>
      </c>
      <c r="G200" s="225">
        <v>80</v>
      </c>
      <c r="H200" s="227" t="s">
        <v>1065</v>
      </c>
      <c r="I200" s="226">
        <v>43075.808587962965</v>
      </c>
      <c r="J200" s="225">
        <v>0</v>
      </c>
      <c r="K200" s="237" t="str">
        <f t="shared" si="56"/>
        <v>4049/4050</v>
      </c>
      <c r="L200" s="245" t="str">
        <f>VLOOKUP(A200,'Trips&amp;Operators'!$C$1:$G$99911,5,FALSE)</f>
        <v>AUSTIN THOMPSON</v>
      </c>
      <c r="M200" s="224">
        <f t="shared" si="57"/>
        <v>1.0462962964083999E-2</v>
      </c>
      <c r="N200" s="225">
        <f t="shared" si="104"/>
        <v>15.066666668280959</v>
      </c>
      <c r="O200" s="225"/>
      <c r="P200" s="225"/>
      <c r="Q200" s="228"/>
      <c r="R200" s="242"/>
      <c r="S200" s="249">
        <f t="shared" si="105"/>
        <v>1</v>
      </c>
      <c r="T200" s="242" t="str">
        <f t="shared" si="58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59"/>
        <v>https://d0f6bd738d7f1b3e5a7ca70fe4ff75f0.us-east-1.aws.found.io/app/kibana#/discover/Steve-Slow-Train-Analysis-(2080s-and-2083s)?_g=(refreshInterval:(display:Off,pause:!f,section:0,value:0),time:(from:'2017-12-06T18:04:07-0700',mode:absolute,to:'2017-12-06T20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0" s="247" t="str">
        <f>IF(AA200&lt;VLOOKUP(AG200,Variables!$AC$3:$AD$8,2,FALSE),"Y","N")</f>
        <v>N</v>
      </c>
      <c r="X200" s="247">
        <f t="shared" si="106"/>
        <v>1</v>
      </c>
      <c r="Y200" s="247">
        <f t="shared" si="112"/>
        <v>4.7500000000000001E-2</v>
      </c>
      <c r="Z200" s="247">
        <f t="shared" si="113"/>
        <v>5.8939000000000004</v>
      </c>
      <c r="AA200" s="247">
        <f t="shared" si="61"/>
        <v>5.8464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2"/>
        <v>841</v>
      </c>
      <c r="AE200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200" s="234" t="str">
        <f t="shared" si="64"/>
        <v>"C:\Program Files (x86)\AstroGrep\AstroGrep.exe" /e /r /s /spath="%USERPROFILE%\AppData\Local\Temp\OnboardLogs" /stypes="app*4050*20171207*" /stext=" 02:.+((SYSTEM_STATE.+slice.+state.+changed )|(ment ac)|(multiple cpu faults)|(system.+state.+changed )|(\[timeout)|(PRM\|1\|D)|(kpr)|(kdp)|(train st.+moving)|(\|lc)|(penalty))"</v>
      </c>
      <c r="AG200" s="244" t="str">
        <f t="shared" si="65"/>
        <v>NW</v>
      </c>
      <c r="AH200" s="236" t="str">
        <f t="shared" si="73"/>
        <v>"%USERPROFILE%\Documents\GitHub\eaglep3\Utilities\RefineRTDCRunTimes.py" --tripid 841-06 --locoid 4050 --swversion DE.1.0.9.0 --startMP 204:475 --initTime 2017-12-06T19:04:07 --startdatetime 2017-12-06T19:09:18 --delay 80 --endMP 300:58939 --enddatetime 2017-12-06T19:24:22 --enforcementcount 0 &gt;&gt;%USERPROFILE%\Documents\GitHub\eaglep3-reporting\EC\2017-12-06-refined-times.txt</v>
      </c>
      <c r="AI200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{"issue":{"subject":"","project_id":79,"tracker_id":40,"status_id":1,"priority_id":2,"assigned_to_id":338,"start_date":"2017-12-06","description":"","custom_fields":[{"id":1,"name":"Subdivision","value":"NW"},{"id":4,"name":"Milepost","value":"5.8939"},{"id":17,"name":"Train ID","value":"841-06"},{"id":16,"name":"Locomotive ID","value":"4050"},{"id":130,"name":"Impact","value":""},{"id":150,"name":"Time of Event (Mountain Time)","value":"19:24:22"},{"id":151,"name":"Denver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5"/>
        <v>start /low /b %USERPROFILE%\Documents\GitHub\eaglep3\Utilities\DownloadLogsFromS3.py --loco 4050 --day 2017-12-06</v>
      </c>
      <c r="AN200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7"/>
        <v>https://d0f6bd738d7f1b3e5a7ca70fe4ff75f0.us-east-1.aws.found.io/app/kibana#/discover/Steve-Slow-Train-Analysis-(2080s-and-2083s)?_g=(refreshInterval:(display:Off,pause:!f,section:0,value:0),time:(from:'2017-12-06T18:04:07-0700',mode:absolute,to:'2017-12-06T20:24:22-0700'))&amp;_a=(columns:!('Message%20ID',Summary),filters:!(),index:'emp_*',interval:auto,query:(query_string:(analyze_wildcard:!t,query:'%22rtdc.l.rtdc.4050%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856</v>
      </c>
      <c r="B201" s="225">
        <v>4049</v>
      </c>
      <c r="C201" s="227" t="s">
        <v>192</v>
      </c>
      <c r="D201" s="227" t="s">
        <v>1089</v>
      </c>
      <c r="E201" s="226">
        <v>43075.851898148147</v>
      </c>
      <c r="F201" s="226">
        <v>43075.862500000003</v>
      </c>
      <c r="G201" s="225">
        <v>81</v>
      </c>
      <c r="H201" s="227" t="s">
        <v>1054</v>
      </c>
      <c r="I201" s="226">
        <v>43075.872800925928</v>
      </c>
      <c r="J201" s="225">
        <v>0</v>
      </c>
      <c r="K201" s="237" t="str">
        <f t="shared" si="56"/>
        <v>4049/4050</v>
      </c>
      <c r="L201" s="245" t="str">
        <f>VLOOKUP(A201,'Trips&amp;Operators'!$C$1:$G$99911,5,FALSE)</f>
        <v>LEVERE CRAIG</v>
      </c>
      <c r="M201" s="224">
        <f t="shared" si="57"/>
        <v>1.0300925925548654E-2</v>
      </c>
      <c r="N201" s="225">
        <f t="shared" si="104"/>
        <v>14.833333332790062</v>
      </c>
      <c r="O201" s="225"/>
      <c r="P201" s="225"/>
      <c r="Q201" s="228"/>
      <c r="R201" s="242"/>
      <c r="S201" s="249">
        <f t="shared" si="105"/>
        <v>1</v>
      </c>
      <c r="T201" s="242" t="str">
        <f t="shared" si="58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59"/>
        <v>https://d0f6bd738d7f1b3e5a7ca70fe4ff75f0.us-east-1.aws.found.io/app/kibana#/discover/Steve-Slow-Train-Analysis-(2080s-and-2083s)?_g=(refreshInterval:(display:Off,pause:!f,section:0,value:0),time:(from:'2017-12-06T19:26:44-0700',mode:absolute,to:'2017-12-06T21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47" t="str">
        <f>IF(AA201&lt;VLOOKUP(AG201,Variables!$AC$3:$AD$8,2,FALSE),"Y","N")</f>
        <v>N</v>
      </c>
      <c r="X201" s="247">
        <f t="shared" ref="X201:X232" si="114">VALUE(LEFT(AD201,4))-VALUE(LEFT(AD200,4))</f>
        <v>1</v>
      </c>
      <c r="Y201" s="247">
        <f t="shared" si="112"/>
        <v>5.8638000000000003</v>
      </c>
      <c r="Z201" s="247">
        <f t="shared" si="113"/>
        <v>1.66E-2</v>
      </c>
      <c r="AA201" s="247">
        <f t="shared" si="61"/>
        <v>5.8472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2"/>
        <v>842</v>
      </c>
      <c r="AE201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201" s="234" t="str">
        <f t="shared" si="64"/>
        <v>"C:\Program Files (x86)\AstroGrep\AstroGrep.exe" /e /r /s /spath="%USERPROFILE%\AppData\Local\Temp\OnboardLogs" /stypes="app*4049*20171207*" /stext=" 03:.+((SYSTEM_STATE.+slice.+state.+changed )|(ment ac)|(multiple cpu faults)|(system.+state.+changed )|(\[timeout)|(PRM\|1\|D)|(kpr)|(kdp)|(train st.+moving)|(\|lc)|(penalty))"</v>
      </c>
      <c r="AG201" s="244" t="str">
        <f t="shared" si="65"/>
        <v>NW</v>
      </c>
      <c r="AH201" s="236" t="str">
        <f t="shared" si="73"/>
        <v>"%USERPROFILE%\Documents\GitHub\eaglep3\Utilities\RefineRTDCRunTimes.py" --tripid 842-06 --locoid 4049 --swversion DE.1.0.9.0 --startMP 300:58638 --initTime 2017-12-06T20:26:44 --startdatetime 2017-12-06T20:42:00 --delay 81 --endMP 204:166 --enddatetime 2017-12-06T20:56:50 --enforcementcount 0 &gt;&gt;%USERPROFILE%\Documents\GitHub\eaglep3-reporting\EC\2017-12-06-refined-times.txt</v>
      </c>
      <c r="AI201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{"issue":{"subject":"","project_id":79,"tracker_id":40,"status_id":1,"priority_id":2,"assigned_to_id":338,"start_date":"2017-12-06","description":"","custom_fields":[{"id":1,"name":"Subdivision","value":"NW"},{"id":4,"name":"Milepost","value":"0.0166"},{"id":17,"name":"Train ID","value":"842-06"},{"id":16,"name":"Locomotive ID","value":"4049"},{"id":130,"name":"Impact","value":""},{"id":150,"name":"Time of Event (Mountain Time)","value":"20:56:50"},{"id":151,"name":"Denver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75"/>
        <v>start /low /b %USERPROFILE%\Documents\GitHub\eaglep3\Utilities\DownloadLogsFromS3.py --loco 4049 --day 2017-12-06</v>
      </c>
      <c r="AN201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7"/>
        <v>https://d0f6bd738d7f1b3e5a7ca70fe4ff75f0.us-east-1.aws.found.io/app/kibana#/discover/Steve-Slow-Train-Analysis-(2080s-and-2083s)?_g=(refreshInterval:(display:Off,pause:!f,section:0,value:0),time:(from:'2017-12-06T19:26:44-0700',mode:absolute,to:'2017-12-06T21:56:50-0700'))&amp;_a=(columns:!('Message%20ID',Summary),filters:!(),index:'emp_*',interval:auto,query:(query_string:(analyze_wildcard:!t,query:'%22rtdc.l.rtdc.4049%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853</v>
      </c>
      <c r="B202" s="225">
        <v>4050</v>
      </c>
      <c r="C202" s="227" t="s">
        <v>192</v>
      </c>
      <c r="D202" s="227" t="s">
        <v>540</v>
      </c>
      <c r="E202" s="226">
        <v>43075.833368055559</v>
      </c>
      <c r="F202" s="226">
        <v>43075.839768518519</v>
      </c>
      <c r="G202" s="225">
        <v>84</v>
      </c>
      <c r="H202" s="227" t="s">
        <v>543</v>
      </c>
      <c r="I202" s="226">
        <v>43075.850937499999</v>
      </c>
      <c r="J202" s="225">
        <v>0</v>
      </c>
      <c r="K202" s="237" t="str">
        <f t="shared" si="56"/>
        <v>4049/4050</v>
      </c>
      <c r="L202" s="245" t="str">
        <f>VLOOKUP(A202,'Trips&amp;Operators'!$C$1:$G$99911,5,FALSE)</f>
        <v>LEVERE CRAIG</v>
      </c>
      <c r="M202" s="224">
        <f t="shared" si="57"/>
        <v>1.116898148029577E-2</v>
      </c>
      <c r="N202" s="225">
        <f t="shared" si="104"/>
        <v>16.083333331625909</v>
      </c>
      <c r="O202" s="225"/>
      <c r="P202" s="225"/>
      <c r="Q202" s="228"/>
      <c r="R202" s="242"/>
      <c r="S202" s="249">
        <f t="shared" si="105"/>
        <v>1</v>
      </c>
      <c r="T202" s="242" t="str">
        <f t="shared" si="58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59"/>
        <v>https://d0f6bd738d7f1b3e5a7ca70fe4ff75f0.us-east-1.aws.found.io/app/kibana#/discover/Steve-Slow-Train-Analysis-(2080s-and-2083s)?_g=(refreshInterval:(display:Off,pause:!f,section:0,value:0),time:(from:'2017-12-06T19:00:03-0700',mode:absolute,to:'2017-12-06T21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2" s="247" t="str">
        <f>IF(AA202&lt;VLOOKUP(AG202,Variables!$AC$3:$AD$8,2,FALSE),"Y","N")</f>
        <v>N</v>
      </c>
      <c r="X202" s="247">
        <f t="shared" si="114"/>
        <v>1</v>
      </c>
      <c r="Y202" s="247">
        <f t="shared" si="112"/>
        <v>4.4999999999999998E-2</v>
      </c>
      <c r="Z202" s="247">
        <f t="shared" si="113"/>
        <v>5.8945999999999996</v>
      </c>
      <c r="AA202" s="247">
        <f t="shared" si="61"/>
        <v>5.8495999999999997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2"/>
        <v>843</v>
      </c>
      <c r="AE202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202" s="234" t="str">
        <f t="shared" si="64"/>
        <v>"C:\Program Files (x86)\AstroGrep\AstroGrep.exe" /e /r /s /spath="%USERPROFILE%\AppData\Local\Temp\OnboardLogs" /stypes="app*4050*20171207*" /stext=" 03:.+((SYSTEM_STATE.+slice.+state.+changed )|(ment ac)|(multiple cpu faults)|(system.+state.+changed )|(\[timeout)|(PRM\|1\|D)|(kpr)|(kdp)|(train st.+moving)|(\|lc)|(penalty))"</v>
      </c>
      <c r="AG202" s="244" t="str">
        <f t="shared" si="65"/>
        <v>NW</v>
      </c>
      <c r="AH202" s="236" t="str">
        <f t="shared" si="73"/>
        <v>"%USERPROFILE%\Documents\GitHub\eaglep3\Utilities\RefineRTDCRunTimes.py" --tripid 843-06 --locoid 4050 --swversion DE.1.0.9.0 --startMP 204:450 --initTime 2017-12-06T20:00:03 --startdatetime 2017-12-06T20:09:16 --delay 84 --endMP 300:58946 --enddatetime 2017-12-06T20:25:21 --enforcementcount 0 &gt;&gt;%USERPROFILE%\Documents\GitHub\eaglep3-reporting\EC\2017-12-06-refined-times.txt</v>
      </c>
      <c r="AI202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{"issue":{"subject":"","project_id":79,"tracker_id":40,"status_id":1,"priority_id":2,"assigned_to_id":338,"start_date":"2017-12-06","description":"","custom_fields":[{"id":1,"name":"Subdivision","value":"NW"},{"id":4,"name":"Milepost","value":"5.8946"},{"id":17,"name":"Train ID","value":"843-06"},{"id":16,"name":"Locomotive ID","value":"4050"},{"id":130,"name":"Impact","value":""},{"id":150,"name":"Time of Event (Mountain Time)","value":"20:25:21"},{"id":151,"name":"Denver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5"/>
        <v>start /low /b %USERPROFILE%\Documents\GitHub\eaglep3\Utilities\DownloadLogsFromS3.py --loco 4050 --day 2017-12-06</v>
      </c>
      <c r="AN202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7"/>
        <v>https://d0f6bd738d7f1b3e5a7ca70fe4ff75f0.us-east-1.aws.found.io/app/kibana#/discover/Steve-Slow-Train-Analysis-(2080s-and-2083s)?_g=(refreshInterval:(display:Off,pause:!f,section:0,value:0),time:(from:'2017-12-06T19:00:03-0700',mode:absolute,to:'2017-12-06T21:25:21-0700'))&amp;_a=(columns:!('Message%20ID',Summary),filters:!(),index:'emp_*',interval:auto,query:(query_string:(analyze_wildcard:!t,query:'%22rtdc.l.rtdc.4050%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859</v>
      </c>
      <c r="B203" s="225">
        <v>4049</v>
      </c>
      <c r="C203" s="227" t="s">
        <v>192</v>
      </c>
      <c r="D203" s="227" t="s">
        <v>1090</v>
      </c>
      <c r="E203" s="226">
        <v>43075.893252314818</v>
      </c>
      <c r="F203" s="226">
        <v>43075.904166666667</v>
      </c>
      <c r="G203" s="225">
        <v>73</v>
      </c>
      <c r="H203" s="227" t="s">
        <v>452</v>
      </c>
      <c r="I203" s="226">
        <v>43075.913321759261</v>
      </c>
      <c r="J203" s="225">
        <v>0</v>
      </c>
      <c r="K203" s="237" t="str">
        <f t="shared" si="56"/>
        <v>4049/4050</v>
      </c>
      <c r="L203" s="245" t="str">
        <f>VLOOKUP(A203,'Trips&amp;Operators'!$C$1:$G$99911,5,FALSE)</f>
        <v>STAMBAUGH JAMES</v>
      </c>
      <c r="M203" s="224">
        <f t="shared" si="57"/>
        <v>9.1550925935734995E-3</v>
      </c>
      <c r="N203" s="225">
        <f t="shared" si="104"/>
        <v>13.183333334745839</v>
      </c>
      <c r="O203" s="225"/>
      <c r="P203" s="225"/>
      <c r="Q203" s="228"/>
      <c r="R203" s="242"/>
      <c r="S203" s="249">
        <f t="shared" si="105"/>
        <v>1</v>
      </c>
      <c r="T203" s="242" t="str">
        <f t="shared" si="58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59"/>
        <v>https://d0f6bd738d7f1b3e5a7ca70fe4ff75f0.us-east-1.aws.found.io/app/kibana#/discover/Steve-Slow-Train-Analysis-(2080s-and-2083s)?_g=(refreshInterval:(display:Off,pause:!f,section:0,value:0),time:(from:'2017-12-06T20:26:17-0700',mode:absolute,to:'2017-12-06T22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3" s="247" t="str">
        <f>IF(AA203&lt;VLOOKUP(AG203,Variables!$AC$3:$AD$8,2,FALSE),"Y","N")</f>
        <v>N</v>
      </c>
      <c r="X203" s="247">
        <f t="shared" si="114"/>
        <v>1</v>
      </c>
      <c r="Y203" s="247">
        <f t="shared" si="112"/>
        <v>5.8615000000000004</v>
      </c>
      <c r="Z203" s="247">
        <f t="shared" si="113"/>
        <v>1.5800000000000002E-2</v>
      </c>
      <c r="AA203" s="247">
        <f t="shared" si="61"/>
        <v>5.8457000000000008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2"/>
        <v>844</v>
      </c>
      <c r="AE203" s="235" t="str">
        <f t="shared" si="63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203" s="234" t="str">
        <f t="shared" si="64"/>
        <v>"C:\Program Files (x86)\AstroGrep\AstroGrep.exe" /e /r /s /spath="%USERPROFILE%\AppData\Local\Temp\OnboardLogs" /stypes="app*4049*20171207*" /stext=" 04:.+((SYSTEM_STATE.+slice.+state.+changed )|(ment ac)|(multiple cpu faults)|(system.+state.+changed )|(\[timeout)|(PRM\|1\|D)|(kpr)|(kdp)|(train st.+moving)|(\|lc)|(penalty))"</v>
      </c>
      <c r="AG203" s="244" t="str">
        <f t="shared" si="65"/>
        <v>NW</v>
      </c>
      <c r="AH203" s="236" t="str">
        <f t="shared" si="73"/>
        <v>"%USERPROFILE%\Documents\GitHub\eaglep3\Utilities\RefineRTDCRunTimes.py" --tripid 844-06 --locoid 4049 --swversion DE.1.0.9.0 --startMP 300:58615 --initTime 2017-12-06T21:26:17 --startdatetime 2017-12-06T21:42:00 --delay 73 --endMP 204:158 --enddatetime 2017-12-06T21:55:11 --enforcementcount 0 &gt;&gt;%USERPROFILE%\Documents\GitHub\eaglep3-reporting\EC\2017-12-06-refined-times.txt</v>
      </c>
      <c r="AI203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{"issue":{"subject":"","project_id":79,"tracker_id":40,"status_id":1,"priority_id":2,"assigned_to_id":338,"start_date":"2017-12-06","description":"","custom_fields":[{"id":1,"name":"Subdivision","value":"NW"},{"id":4,"name":"Milepost","value":"0.0158"},{"id":17,"name":"Train ID","value":"844-06"},{"id":16,"name":"Locomotive ID","value":"4049"},{"id":130,"name":"Impact","value":""},{"id":150,"name":"Time of Event (Mountain Time)","value":"21:55:11"},{"id":151,"name":"Denver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5"/>
        <v>start /low /b %USERPROFILE%\Documents\GitHub\eaglep3\Utilities\DownloadLogsFromS3.py --loco 4049 --day 2017-12-06</v>
      </c>
      <c r="AN203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7"/>
        <v>https://d0f6bd738d7f1b3e5a7ca70fe4ff75f0.us-east-1.aws.found.io/app/kibana#/discover/Steve-Slow-Train-Analysis-(2080s-and-2083s)?_g=(refreshInterval:(display:Off,pause:!f,section:0,value:0),time:(from:'2017-12-06T20:26:17-0700',mode:absolute,to:'2017-12-06T22:55:11-0700'))&amp;_a=(columns:!('Message%20ID',Summary),filters:!(),index:'emp_*',interval:auto,query:(query_string:(analyze_wildcard:!t,query:'%22rtdc.l.rtdc.4049%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25">
      <c r="A204" s="229" t="s">
        <v>658</v>
      </c>
      <c r="B204" s="225">
        <v>4050</v>
      </c>
      <c r="C204" s="227" t="s">
        <v>192</v>
      </c>
      <c r="D204" s="227" t="s">
        <v>524</v>
      </c>
      <c r="E204" s="226">
        <v>43075.8753125</v>
      </c>
      <c r="F204" s="226">
        <v>43075.904166666667</v>
      </c>
      <c r="G204" s="225">
        <v>62</v>
      </c>
      <c r="H204" s="227" t="s">
        <v>1060</v>
      </c>
      <c r="I204" s="226">
        <v>43075.913321759261</v>
      </c>
      <c r="J204" s="225">
        <v>0</v>
      </c>
      <c r="K204" s="237" t="str">
        <f t="shared" si="56"/>
        <v>4049/4050</v>
      </c>
      <c r="L204" s="245" t="str">
        <f>VLOOKUP(A204,'Trips&amp;Operators'!$C$1:$G$99911,5,FALSE)</f>
        <v>STAMBAUGH JAMES</v>
      </c>
      <c r="M204" s="224">
        <f t="shared" si="57"/>
        <v>9.1550925935734995E-3</v>
      </c>
      <c r="N204" s="225">
        <f t="shared" si="104"/>
        <v>13.183333334745839</v>
      </c>
      <c r="O204" s="225"/>
      <c r="P204" s="225"/>
      <c r="Q204" s="228"/>
      <c r="R204" s="242"/>
      <c r="S204" s="249">
        <f t="shared" si="105"/>
        <v>1</v>
      </c>
      <c r="T204" s="242" t="str">
        <f t="shared" si="58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59"/>
        <v>https://d0f6bd738d7f1b3e5a7ca70fe4ff75f0.us-east-1.aws.found.io/app/kibana#/discover/Steve-Slow-Train-Analysis-(2080s-and-2083s)?_g=(refreshInterval:(display:Off,pause:!f,section:0,value:0),time:(from:'2017-12-06T20:00:27-0700',mode:absolute,to:'2017-12-06T22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47" t="str">
        <f>IF(AA204&lt;VLOOKUP(AG204,Variables!$AC$3:$AD$8,2,FALSE),"Y","N")</f>
        <v>N</v>
      </c>
      <c r="X204" s="247">
        <f t="shared" si="114"/>
        <v>1</v>
      </c>
      <c r="Y204" s="247">
        <f t="shared" si="112"/>
        <v>4.6399999999999997E-2</v>
      </c>
      <c r="Z204" s="247">
        <f t="shared" si="113"/>
        <v>5.8935000000000004</v>
      </c>
      <c r="AA204" s="247">
        <f t="shared" si="61"/>
        <v>5.8471000000000002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2"/>
        <v>845</v>
      </c>
      <c r="AE204" s="235" t="str">
        <f t="shared" si="63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204" s="234" t="str">
        <f t="shared" si="64"/>
        <v>"C:\Program Files (x86)\AstroGrep\AstroGrep.exe" /e /r /s /spath="%USERPROFILE%\AppData\Local\Temp\OnboardLogs" /stypes="app*4050*20171207*" /stext=" 04:.+((SYSTEM_STATE.+slice.+state.+changed )|(ment ac)|(multiple cpu faults)|(system.+state.+changed )|(\[timeout)|(PRM\|1\|D)|(kpr)|(kdp)|(train st.+moving)|(\|lc)|(penalty))"</v>
      </c>
      <c r="AG204" s="244" t="str">
        <f t="shared" si="65"/>
        <v>NW</v>
      </c>
      <c r="AH204" s="236" t="str">
        <f t="shared" si="73"/>
        <v>"%USERPROFILE%\Documents\GitHub\eaglep3\Utilities\RefineRTDCRunTimes.py" --tripid 845-06 --locoid 4050 --swversion DE.1.0.9.0 --startMP 204:464 --initTime 2017-12-06T21:00:27 --startdatetime 2017-12-06T21:42:00 --delay 62 --endMP 300:58935 --enddatetime 2017-12-06T21:55:11 --enforcementcount 0 &gt;&gt;%USERPROFILE%\Documents\GitHub\eaglep3-reporting\EC\2017-12-06-refined-times.txt</v>
      </c>
      <c r="AI204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{"issue":{"subject":"","project_id":79,"tracker_id":40,"status_id":1,"priority_id":2,"assigned_to_id":338,"start_date":"2017-12-06","description":"","custom_fields":[{"id":1,"name":"Subdivision","value":"NW"},{"id":4,"name":"Milepost","value":"5.8935"},{"id":17,"name":"Train ID","value":"845-06"},{"id":16,"name":"Locomotive ID","value":"4050"},{"id":130,"name":"Impact","value":""},{"id":150,"name":"Time of Event (Mountain Time)","value":"21:55:11"},{"id":151,"name":"Denver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75"/>
        <v>start /low /b %USERPROFILE%\Documents\GitHub\eaglep3\Utilities\DownloadLogsFromS3.py --loco 4050 --day 2017-12-06</v>
      </c>
      <c r="AN204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04:55:11"},{"id":29,"name":"Sharepoint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7"/>
        <v>https://d0f6bd738d7f1b3e5a7ca70fe4ff75f0.us-east-1.aws.found.io/app/kibana#/discover/Steve-Slow-Train-Analysis-(2080s-and-2083s)?_g=(refreshInterval:(display:Off,pause:!f,section:0,value:0),time:(from:'2017-12-06T20:00:27-0700',mode:absolute,to:'2017-12-06T22:55:11-0700'))&amp;_a=(columns:!('Message%20ID',Summary),filters:!(),index:'emp_*',interval:auto,query:(query_string:(analyze_wildcard:!t,query:'%22rtdc.l.rtdc.4050%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25">
      <c r="A205" s="229" t="s">
        <v>865</v>
      </c>
      <c r="B205" s="225">
        <v>4049</v>
      </c>
      <c r="C205" s="227" t="s">
        <v>192</v>
      </c>
      <c r="D205" s="227" t="s">
        <v>524</v>
      </c>
      <c r="E205" s="226">
        <v>43075.8753125</v>
      </c>
      <c r="F205" s="226">
        <v>43075.94672453704</v>
      </c>
      <c r="G205" s="225">
        <v>62</v>
      </c>
      <c r="H205" s="227" t="s">
        <v>1060</v>
      </c>
      <c r="I205" s="226">
        <v>43075.954189814816</v>
      </c>
      <c r="J205" s="225">
        <v>0</v>
      </c>
      <c r="K205" s="237" t="str">
        <f t="shared" ref="K205:K259" si="115">IF(ISEVEN(B205),(B205-1)&amp;"/"&amp;B205,B205&amp;"/"&amp;(B205+1))</f>
        <v>4049/4050</v>
      </c>
      <c r="L205" s="245" t="str">
        <f>VLOOKUP(A205,'Trips&amp;Operators'!$C$1:$G$99911,5,FALSE)</f>
        <v>STAMBAUGH JAMES</v>
      </c>
      <c r="M205" s="224">
        <f t="shared" ref="M205:M259" si="116">I205-F205</f>
        <v>7.4652777766459621E-3</v>
      </c>
      <c r="N205" s="225">
        <f t="shared" si="104"/>
        <v>10.749999998370185</v>
      </c>
      <c r="O205" s="225"/>
      <c r="P205" s="225"/>
      <c r="Q205" s="228"/>
      <c r="R205" s="242"/>
      <c r="S205" s="249">
        <f t="shared" si="105"/>
        <v>1</v>
      </c>
      <c r="T205" s="242" t="str">
        <f t="shared" ref="T205:T259" si="117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59" si="11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-06T20:00:27-0700',mode:absolute,to:'2017-12-06T23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5" s="247" t="str">
        <f>IF(AA205&lt;VLOOKUP(AG205,Variables!$AC$3:$AD$8,2,FALSE),"Y","N")</f>
        <v>N</v>
      </c>
      <c r="X205" s="247">
        <f t="shared" si="114"/>
        <v>1</v>
      </c>
      <c r="Y205" s="247">
        <v>5.8615000000000004</v>
      </c>
      <c r="Z205" s="247">
        <v>1.5800000000000002E-2</v>
      </c>
      <c r="AA205" s="247">
        <f t="shared" ref="AA205:AA268" si="119">ABS(Z205-Y205)</f>
        <v>5.8457000000000008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59" si="120">VALUE(LEFT(A205,LEN(A205)-3))</f>
        <v>846</v>
      </c>
      <c r="AE205" s="235" t="str">
        <f t="shared" ref="AE205:AE259" si="12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205" s="234" t="str">
        <f t="shared" ref="AF205:AF259" si="12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/stypes="app*4049*20171207*" /stext=" 05:.+((SYSTEM_STATE.+slice.+state.+changed )|(ment ac)|(multiple cpu faults)|(system.+state.+changed )|(\[timeout)|(PRM\|1\|D)|(kpr)|(kdp)|(train st.+moving)|(\|lc)|(penalty))"</v>
      </c>
      <c r="AG205" s="244" t="str">
        <f t="shared" ref="AG205:AG259" si="123">DetSubdiv(A205)</f>
        <v>NW</v>
      </c>
      <c r="AH205" s="236" t="str">
        <f t="shared" ref="AH205" si="12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846-06 --locoid 4049 --swversion DE.1.0.9.0 --startMP 204:464 --initTime 2017-12-06T21:00:27 --startdatetime 2017-12-06T22:43:17 --delay 62 --endMP 300:58935 --enddatetime 2017-12-06T22:54:02 --enforcementcount 0 &gt;&gt;%USERPROFILE%\Documents\GitHub\eaglep3-reporting\EC\2017-12-06-refined-times.txt</v>
      </c>
      <c r="AI205" s="238" t="str">
        <f t="shared" ref="AI205" si="12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{"issue":{"subject":"","project_id":79,"tracker_id":40,"status_id":1,"priority_id":2,"assigned_to_id":338,"start_date":"2017-12-06","description":"","custom_fields":[{"id":1,"name":"Subdivision","value":"NW"},{"id":4,"name":"Milepost","value":"0.0158"},{"id":17,"name":"Train ID","value":"846-06"},{"id":16,"name":"Locomotive ID","value":"4049"},{"id":130,"name":"Impact","value":""},{"id":150,"name":"Time of Event (Mountain Time)","value":"22:54:02"},{"id":151,"name":"Denver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ref="AM205" si="126">"start /low /b "&amp;dls3logs&amp;" --loco "&amp;B205&amp;" --day "&amp;TEXT(F205,"YYYY-MM-DD")</f>
        <v>start /low /b %USERPROFILE%\Documents\GitHub\eaglep3\Utilities\DownloadLogsFromS3.py --loco 4049 --day 2017-12-06</v>
      </c>
      <c r="AN205" s="241" t="str">
        <f t="shared" ref="AN205" si="12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ref="AO205" si="12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-06T20:00:27-0700',mode:absolute,to:'2017-12-06T23:54:02-0700'))&amp;_a=(columns:!('Message%20ID',Summary),filters:!(),index:'emp_*',interval:auto,query:(query_string:(analyze_wildcard:!t,query:'%22rtdc.l.rtdc.4049%22')),sort:!(Time.ISO8601,asc))</v>
      </c>
    </row>
    <row r="206" spans="1:91" s="20" customFormat="1" x14ac:dyDescent="0.25">
      <c r="A206" s="229" t="s">
        <v>862</v>
      </c>
      <c r="B206" s="225">
        <v>4050</v>
      </c>
      <c r="C206" s="227" t="s">
        <v>192</v>
      </c>
      <c r="D206" s="227" t="s">
        <v>613</v>
      </c>
      <c r="E206" s="226">
        <v>43075.920162037037</v>
      </c>
      <c r="F206" s="226">
        <v>43075.923136574071</v>
      </c>
      <c r="G206" s="225">
        <v>55</v>
      </c>
      <c r="H206" s="227" t="s">
        <v>499</v>
      </c>
      <c r="I206" s="226">
        <v>43075.932129629633</v>
      </c>
      <c r="J206" s="225">
        <v>0</v>
      </c>
      <c r="K206" s="237" t="str">
        <f t="shared" si="115"/>
        <v>4049/4050</v>
      </c>
      <c r="L206" s="245" t="str">
        <f>VLOOKUP(A206,'Trips&amp;Operators'!$C$1:$G$99911,5,FALSE)</f>
        <v>STAMBAUGH JAMES</v>
      </c>
      <c r="M206" s="224">
        <f t="shared" si="116"/>
        <v>8.9930555623141117E-3</v>
      </c>
      <c r="N206" s="225">
        <f t="shared" si="104"/>
        <v>12.950000009732321</v>
      </c>
      <c r="O206" s="225"/>
      <c r="P206" s="225"/>
      <c r="Q206" s="228"/>
      <c r="R206" s="242"/>
      <c r="S206" s="249">
        <f t="shared" si="105"/>
        <v>1</v>
      </c>
      <c r="T206" s="242" t="str">
        <f t="shared" si="117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18"/>
        <v>https://d0f6bd738d7f1b3e5a7ca70fe4ff75f0.us-east-1.aws.found.io/app/kibana#/discover/Steve-Slow-Train-Analysis-(2080s-and-2083s)?_g=(refreshInterval:(display:Off,pause:!f,section:0,value:0),time:(from:'2017-12-06T21:05:02-0700',mode:absolute,to:'2017-12-06T23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6" s="247" t="str">
        <f>IF(AA206&lt;VLOOKUP(AG206,Variables!$AC$3:$AD$8,2,FALSE),"Y","N")</f>
        <v>N</v>
      </c>
      <c r="X206" s="247">
        <f t="shared" si="114"/>
        <v>1</v>
      </c>
      <c r="Y206" s="247">
        <f t="shared" ref="Y206:Y237" si="129">RIGHT(D206,LEN(D206)-4)/10000</f>
        <v>4.5900000000000003E-2</v>
      </c>
      <c r="Z206" s="247">
        <f t="shared" ref="Z206:Z237" si="130">RIGHT(H206,LEN(H206)-4)/10000</f>
        <v>5.8925999999999998</v>
      </c>
      <c r="AA206" s="247">
        <f t="shared" si="119"/>
        <v>5.8467000000000002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20"/>
        <v>847</v>
      </c>
      <c r="AE206" s="235" t="str">
        <f t="shared" si="121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206" s="234" t="str">
        <f t="shared" si="122"/>
        <v>"C:\Program Files (x86)\AstroGrep\AstroGrep.exe" /e /r /s /spath="%USERPROFILE%\AppData\Local\Temp\OnboardLogs" /stypes="app*4050*20171207*" /stext=" 05:.+((SYSTEM_STATE.+slice.+state.+changed )|(ment ac)|(multiple cpu faults)|(system.+state.+changed )|(\[timeout)|(PRM\|1\|D)|(kpr)|(kdp)|(train st.+moving)|(\|lc)|(penalty))"</v>
      </c>
      <c r="AG206" s="244" t="str">
        <f t="shared" si="123"/>
        <v>NW</v>
      </c>
      <c r="AH206" s="236" t="str">
        <f t="shared" si="73"/>
        <v>"%USERPROFILE%\Documents\GitHub\eaglep3\Utilities\RefineRTDCRunTimes.py" --tripid 847-06 --locoid 4050 --swversion DE.1.0.9.0 --startMP 204:459 --initTime 2017-12-06T22:05:02 --startdatetime 2017-12-06T22:09:19 --delay 55 --endMP 300:58926 --enddatetime 2017-12-06T22:22:16 --enforcementcount 0 &gt;&gt;%USERPROFILE%\Documents\GitHub\eaglep3-reporting\EC\2017-12-06-refined-times.txt</v>
      </c>
      <c r="AI206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{"issue":{"subject":"","project_id":79,"tracker_id":40,"status_id":1,"priority_id":2,"assigned_to_id":338,"start_date":"2017-12-06","description":"","custom_fields":[{"id":1,"name":"Subdivision","value":"NW"},{"id":4,"name":"Milepost","value":"5.8926"},{"id":17,"name":"Train ID","value":"847-06"},{"id":16,"name":"Locomotive ID","value":"4050"},{"id":130,"name":"Impact","value":""},{"id":150,"name":"Time of Event (Mountain Time)","value":"22:22:16"},{"id":151,"name":"Denver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75"/>
        <v>start /low /b %USERPROFILE%\Documents\GitHub\eaglep3\Utilities\DownloadLogsFromS3.py --loco 4050 --day 2017-12-06</v>
      </c>
      <c r="AN206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7"/>
        <v>https://d0f6bd738d7f1b3e5a7ca70fe4ff75f0.us-east-1.aws.found.io/app/kibana#/discover/Steve-Slow-Train-Analysis-(2080s-and-2083s)?_g=(refreshInterval:(display:Off,pause:!f,section:0,value:0),time:(from:'2017-12-06T21:05:02-0700',mode:absolute,to:'2017-12-06T23:22:16-0700'))&amp;_a=(columns:!('Message%20ID',Summary),filters:!(),index:'emp_*',interval:auto,query:(query_string:(analyze_wildcard:!t,query:'%22rtdc.l.rtdc.4050%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868</v>
      </c>
      <c r="B207" s="225">
        <v>4050</v>
      </c>
      <c r="C207" s="227" t="s">
        <v>192</v>
      </c>
      <c r="D207" s="227" t="s">
        <v>905</v>
      </c>
      <c r="E207" s="226">
        <v>43075.959363425929</v>
      </c>
      <c r="F207" s="226">
        <v>43075.964780092596</v>
      </c>
      <c r="G207" s="225">
        <v>60</v>
      </c>
      <c r="H207" s="227" t="s">
        <v>1091</v>
      </c>
      <c r="I207" s="226">
        <v>43075.973773148151</v>
      </c>
      <c r="J207" s="225">
        <v>0</v>
      </c>
      <c r="K207" s="237" t="str">
        <f t="shared" si="115"/>
        <v>4049/4050</v>
      </c>
      <c r="L207" s="245" t="str">
        <f>VLOOKUP(A207,'Trips&amp;Operators'!$C$1:$G$99911,5,FALSE)</f>
        <v>STAMBAUGH JAMES</v>
      </c>
      <c r="M207" s="224">
        <f t="shared" si="116"/>
        <v>8.9930555550381541E-3</v>
      </c>
      <c r="N207" s="225">
        <f t="shared" si="104"/>
        <v>12.949999999254942</v>
      </c>
      <c r="O207" s="225"/>
      <c r="P207" s="225"/>
      <c r="Q207" s="228"/>
      <c r="R207" s="242"/>
      <c r="S207" s="249">
        <f t="shared" si="105"/>
        <v>1</v>
      </c>
      <c r="T207" s="242" t="str">
        <f t="shared" si="117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18"/>
        <v>https://d0f6bd738d7f1b3e5a7ca70fe4ff75f0.us-east-1.aws.found.io/app/kibana#/discover/Steve-Slow-Train-Analysis-(2080s-and-2083s)?_g=(refreshInterval:(display:Off,pause:!f,section:0,value:0),time:(from:'2017-12-06T22:01:29-0700',mode:absolute,to:'2017-12-07T00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247" t="str">
        <f>IF(AA207&lt;VLOOKUP(AG207,Variables!$AC$3:$AD$8,2,FALSE),"Y","N")</f>
        <v>N</v>
      </c>
      <c r="X207" s="247">
        <f t="shared" si="114"/>
        <v>2</v>
      </c>
      <c r="Y207" s="247">
        <f t="shared" si="129"/>
        <v>4.4200000000000003E-2</v>
      </c>
      <c r="Z207" s="247">
        <f t="shared" si="130"/>
        <v>5.8914</v>
      </c>
      <c r="AA207" s="247">
        <f t="shared" si="119"/>
        <v>5.8472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20"/>
        <v>849</v>
      </c>
      <c r="AE207" s="235" t="str">
        <f t="shared" si="121"/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AF207" s="234" t="str">
        <f t="shared" si="122"/>
        <v>"C:\Program Files (x86)\AstroGrep\AstroGrep.exe" /e /r /s /spath="%USERPROFILE%\AppData\Local\Temp\OnboardLogs" /stypes="app*4050*20171207*" /stext=" 06:.+((SYSTEM_STATE.+slice.+state.+changed )|(ment ac)|(multiple cpu faults)|(system.+state.+changed )|(\[timeout)|(PRM\|1\|D)|(kpr)|(kdp)|(train st.+moving)|(\|lc)|(penalty))"</v>
      </c>
      <c r="AG207" s="244" t="str">
        <f t="shared" si="123"/>
        <v>NW</v>
      </c>
      <c r="AH207" s="236" t="str">
        <f t="shared" si="73"/>
        <v>"%USERPROFILE%\Documents\GitHub\eaglep3\Utilities\RefineRTDCRunTimes.py" --tripid 849-06 --locoid 4050 --swversion DE.1.0.9.0 --startMP 204:442 --initTime 2017-12-06T23:01:29 --startdatetime 2017-12-06T23:09:17 --delay 60 --endMP 300:58914 --enddatetime 2017-12-06T23:22:14 --enforcementcount 0 &gt;&gt;%USERPROFILE%\Documents\GitHub\eaglep3-reporting\EC\2017-12-06-refined-times.txt</v>
      </c>
      <c r="AI207" s="238" t="str">
        <f t="shared" si="74"/>
        <v>echo {"issue":{"subject":"","project_id":79,"tracker_id":40,"status_id":1,"priority_id":2,"assigned_to_id":338,"start_date":"2017-12-06","description":"","custom_fields":[{"id":1,"name":"Subdivision","value":"NW"},{"id":4,"name":"Milepost","value":"5.8914"},{"id":17,"name":"Train ID","value":"849-06"},{"id":16,"name":"Locomotive ID","value":"4050"},{"id":130,"name":"Impact","value":""},{"id":150,"name":"Time of Event (Mountain Time)","value":"23:22:14"},{"id":151,"name":"Denver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5"/>
        <v>start /low /b %USERPROFILE%\Documents\GitHub\eaglep3\Utilities\DownloadLogsFromS3.py --loco 4050 --day 2017-12-06</v>
      </c>
      <c r="AN207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7"/>
        <v>https://d0f6bd738d7f1b3e5a7ca70fe4ff75f0.us-east-1.aws.found.io/app/kibana#/discover/Steve-Slow-Train-Analysis-(2080s-and-2083s)?_g=(refreshInterval:(display:Off,pause:!f,section:0,value:0),time:(from:'2017-12-06T22:01:29-0700',mode:absolute,to:'2017-12-07T00:22:14-0700'))&amp;_a=(columns:!('Message%20ID',Summary),filters:!(),index:'emp_*',interval:auto,query:(query_string:(analyze_wildcard:!t,query:'%22rtdc.l.rtdc.4050%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662</v>
      </c>
      <c r="B208" s="225">
        <v>4063</v>
      </c>
      <c r="C208" s="227" t="s">
        <v>192</v>
      </c>
      <c r="D208" s="227" t="s">
        <v>992</v>
      </c>
      <c r="E208" s="226">
        <v>43075.117997685185</v>
      </c>
      <c r="F208" s="226">
        <v>43075.120347222219</v>
      </c>
      <c r="G208" s="225">
        <v>50</v>
      </c>
      <c r="H208" s="227" t="s">
        <v>412</v>
      </c>
      <c r="I208" s="226">
        <v>43075.125821759262</v>
      </c>
      <c r="J208" s="225">
        <v>0</v>
      </c>
      <c r="K208" s="237" t="str">
        <f t="shared" si="115"/>
        <v>4063/4064</v>
      </c>
      <c r="L208" s="245" t="str">
        <f>VLOOKUP(A208,'Trips&amp;Operators'!$C$1:$G$99911,5,FALSE)</f>
        <v>HAMMOND JUSTYNN</v>
      </c>
      <c r="M208" s="224">
        <f t="shared" si="116"/>
        <v>5.4745370434829965E-3</v>
      </c>
      <c r="N208" s="225">
        <f t="shared" si="104"/>
        <v>7.883333342615515</v>
      </c>
      <c r="O208" s="225"/>
      <c r="P208" s="225"/>
      <c r="Q208" s="228"/>
      <c r="R208" s="242"/>
      <c r="S208" s="249">
        <f t="shared" si="105"/>
        <v>1</v>
      </c>
      <c r="T208" s="242" t="str">
        <f t="shared" si="117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18"/>
        <v>https://d0f6bd738d7f1b3e5a7ca70fe4ff75f0.us-east-1.aws.found.io/app/kibana#/discover/Steve-Slow-Train-Analysis-(2080s-and-2083s)?_g=(refreshInterval:(display:Off,pause:!f,section:0,value:0),time:(from:'2017-12-06T01:49:55-0700',mode:absolute,to:'2017-12-06T04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8" s="247" t="str">
        <f>IF(AA208&lt;VLOOKUP(AG208,Variables!$AC$3:$AD$8,2,FALSE),"Y","N")</f>
        <v>Y</v>
      </c>
      <c r="X208" s="247">
        <f t="shared" si="114"/>
        <v>-549</v>
      </c>
      <c r="Y208" s="247">
        <f t="shared" si="129"/>
        <v>2.3325999999999998</v>
      </c>
      <c r="Z208" s="247">
        <f t="shared" si="130"/>
        <v>2.12E-2</v>
      </c>
      <c r="AA208" s="247">
        <f t="shared" si="119"/>
        <v>2.3113999999999999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20"/>
        <v>300</v>
      </c>
      <c r="AE208" s="235" t="str">
        <f t="shared" si="121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208" s="234" t="str">
        <f t="shared" si="122"/>
        <v>"C:\Program Files (x86)\AstroGrep\AstroGrep.exe" /e /r /s /spath="%USERPROFILE%\AppData\Local\Temp\OnboardLogs" /stypes="app*4063*20171206*" /stext=" 10:.+((SYSTEM_STATE.+slice.+state.+changed )|(ment ac)|(multiple cpu faults)|(system.+state.+changed )|(\[timeout)|(PRM\|1\|D)|(kpr)|(kdp)|(train st.+moving)|(\|lc)|(penalty))"</v>
      </c>
      <c r="AG208" s="244" t="str">
        <f t="shared" si="123"/>
        <v>Other</v>
      </c>
      <c r="AH208" s="236" t="str">
        <f t="shared" si="73"/>
        <v>"%USERPROFILE%\Documents\GitHub\eaglep3\Utilities\RefineRTDCRunTimes.py" --tripid 300-06 --locoid 4063 --swversion DE.1.0.9.0 --startMP 300:23326 --initTime 2017-12-06T02:49:55 --startdatetime 2017-12-06T02:53:18 --delay 50 --endMP 204:212 --enddatetime 2017-12-06T03:01:11 --enforcementcount 0 &gt;&gt;%USERPROFILE%\Documents\GitHub\eaglep3-reporting\EC\2017-12-06-refined-times.txt</v>
      </c>
      <c r="AI208" s="238" t="str">
        <f t="shared" si="74"/>
        <v>echo {"issue":{"subject":"","project_id":79,"tracker_id":40,"status_id":1,"priority_id":2,"assigned_to_id":338,"start_date":"2017-12-06","description":"","custom_fields":[{"id":1,"name":"Subdivision","value":"Other"},{"id":4,"name":"Milepost","value":"0.0212"},{"id":17,"name":"Train ID","value":"300-06"},{"id":16,"name":"Locomotive ID","value":"4063"},{"id":130,"name":"Impact","value":""},{"id":150,"name":"Time of Event (Mountain Time)","value":"03:01:11"},{"id":151,"name":"Denver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75"/>
        <v>start /low /b %USERPROFILE%\Documents\GitHub\eaglep3\Utilities\DownloadLogsFromS3.py --loco 4063 --day 2017-12-06</v>
      </c>
      <c r="AN208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10:01:11"},{"id":29,"name":"Sharepoint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7"/>
        <v>https://d0f6bd738d7f1b3e5a7ca70fe4ff75f0.us-east-1.aws.found.io/app/kibana#/discover/Steve-Slow-Train-Analysis-(2080s-and-2083s)?_g=(refreshInterval:(display:Off,pause:!f,section:0,value:0),time:(from:'2017-12-06T01:49:55-0700',mode:absolute,to:'2017-12-06T04:01:11-0700'))&amp;_a=(columns:!('Message%20ID',Summary),filters:!(),index:'emp_*',interval:auto,query:(query_string:(analyze_wildcard:!t,query:'%22rtdc.l.rtdc.4063%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839</v>
      </c>
      <c r="B209" s="225">
        <v>4042</v>
      </c>
      <c r="C209" s="227" t="s">
        <v>192</v>
      </c>
      <c r="D209" s="227" t="s">
        <v>600</v>
      </c>
      <c r="E209" s="226">
        <v>43075.776053240741</v>
      </c>
      <c r="F209" s="226">
        <v>43075.777627314812</v>
      </c>
      <c r="G209" s="225">
        <v>57</v>
      </c>
      <c r="H209" s="227" t="s">
        <v>993</v>
      </c>
      <c r="I209" s="226">
        <v>43075.784571759257</v>
      </c>
      <c r="J209" s="225">
        <v>0</v>
      </c>
      <c r="K209" s="237" t="str">
        <f t="shared" si="115"/>
        <v>4041/4042</v>
      </c>
      <c r="L209" s="245" t="str">
        <f>VLOOKUP(A209,'Trips&amp;Operators'!$C$1:$G$99911,5,FALSE)</f>
        <v>LORI SANTOS</v>
      </c>
      <c r="M209" s="224">
        <f t="shared" si="116"/>
        <v>6.9444444452528842E-3</v>
      </c>
      <c r="N209" s="225">
        <f t="shared" si="104"/>
        <v>10.000000001164153</v>
      </c>
      <c r="O209" s="225"/>
      <c r="P209" s="225"/>
      <c r="Q209" s="228"/>
      <c r="R209" s="242"/>
      <c r="S209" s="249">
        <f t="shared" si="105"/>
        <v>1</v>
      </c>
      <c r="T209" s="242" t="str">
        <f t="shared" si="117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18"/>
        <v>https://d0f6bd738d7f1b3e5a7ca70fe4ff75f0.us-east-1.aws.found.io/app/kibana#/discover/Steve-Slow-Train-Analysis-(2080s-and-2083s)?_g=(refreshInterval:(display:Off,pause:!f,section:0,value:0),time:(from:'2017-12-06T17:37:31-0700',mode:absolute,to:'2017-12-06T19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9" s="247" t="str">
        <f>IF(AA209&lt;VLOOKUP(AG209,Variables!$AC$3:$AD$8,2,FALSE),"Y","N")</f>
        <v>Y</v>
      </c>
      <c r="X209" s="247">
        <f t="shared" si="114"/>
        <v>1</v>
      </c>
      <c r="Y209" s="247">
        <f t="shared" si="129"/>
        <v>5.6000000000000001E-2</v>
      </c>
      <c r="Z209" s="247">
        <f t="shared" si="130"/>
        <v>2.3311999999999999</v>
      </c>
      <c r="AA209" s="247">
        <f t="shared" si="119"/>
        <v>2.2751999999999999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20"/>
        <v>301</v>
      </c>
      <c r="AE209" s="235" t="str">
        <f t="shared" si="121"/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AF209" s="234" t="str">
        <f t="shared" si="122"/>
        <v>"C:\Program Files (x86)\AstroGrep\AstroGrep.exe" /e /r /s /spath="%USERPROFILE%\AppData\Local\Temp\OnboardLogs" /stypes="app*4042*20171207*" /stext=" 01:.+((SYSTEM_STATE.+slice.+state.+changed )|(ment ac)|(multiple cpu faults)|(system.+state.+changed )|(\[timeout)|(PRM\|1\|D)|(kpr)|(kdp)|(train st.+moving)|(\|lc)|(penalty))"</v>
      </c>
      <c r="AG209" s="244" t="str">
        <f t="shared" si="123"/>
        <v>Other</v>
      </c>
      <c r="AH209" s="236" t="str">
        <f t="shared" si="73"/>
        <v>"%USERPROFILE%\Documents\GitHub\eaglep3\Utilities\RefineRTDCRunTimes.py" --tripid 301-06 --locoid 4042 --swversion DE.1.0.9.0 --startMP 204:560 --initTime 2017-12-06T18:37:31 --startdatetime 2017-12-06T18:39:47 --delay 57 --endMP 300:23312 --enddatetime 2017-12-06T18:49:47 --enforcementcount 0 &gt;&gt;%USERPROFILE%\Documents\GitHub\eaglep3-reporting\EC\2017-12-06-refined-times.txt</v>
      </c>
      <c r="AI209" s="238" t="str">
        <f t="shared" si="74"/>
        <v>echo {"issue":{"subject":"","project_id":79,"tracker_id":40,"status_id":1,"priority_id":2,"assigned_to_id":338,"start_date":"2017-12-06","description":"","custom_fields":[{"id":1,"name":"Subdivision","value":"Other"},{"id":4,"name":"Milepost","value":"2.3312"},{"id":17,"name":"Train ID","value":"301-06"},{"id":16,"name":"Locomotive ID","value":"4042"},{"id":130,"name":"Impact","value":""},{"id":150,"name":"Time of Event (Mountain Time)","value":"18:49:47"},{"id":151,"name":"Denver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75"/>
        <v>start /low /b %USERPROFILE%\Documents\GitHub\eaglep3\Utilities\DownloadLogsFromS3.py --loco 4042 --day 2017-12-06</v>
      </c>
      <c r="AN209" s="241" t="str">
        <f t="shared" si="76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77"/>
        <v>https://d0f6bd738d7f1b3e5a7ca70fe4ff75f0.us-east-1.aws.found.io/app/kibana#/discover/Steve-Slow-Train-Analysis-(2080s-and-2083s)?_g=(refreshInterval:(display:Off,pause:!f,section:0,value:0),time:(from:'2017-12-06T17:37:31-0700',mode:absolute,to:'2017-12-06T19:49:47-0700'))&amp;_a=(columns:!('Message%20ID',Summary),filters:!(),index:'emp_*',interval:auto,query:(query_string:(analyze_wildcard:!t,query:'%22rtdc.l.rtdc.4042%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665</v>
      </c>
      <c r="B210" s="225">
        <v>4009</v>
      </c>
      <c r="C210" s="227" t="s">
        <v>192</v>
      </c>
      <c r="D210" s="227" t="s">
        <v>994</v>
      </c>
      <c r="E210" s="226">
        <v>43075.137974537036</v>
      </c>
      <c r="F210" s="226">
        <v>43075.141134259262</v>
      </c>
      <c r="G210" s="225">
        <v>152</v>
      </c>
      <c r="H210" s="227" t="s">
        <v>970</v>
      </c>
      <c r="I210" s="226">
        <v>43075.146458333336</v>
      </c>
      <c r="J210" s="225">
        <v>0</v>
      </c>
      <c r="K210" s="237" t="str">
        <f t="shared" si="115"/>
        <v>4009/4010</v>
      </c>
      <c r="L210" s="245" t="str">
        <f>VLOOKUP(A210,'Trips&amp;Operators'!$C$1:$G$99911,5,FALSE)</f>
        <v>ACKERMAN JARED</v>
      </c>
      <c r="M210" s="224">
        <f t="shared" si="116"/>
        <v>5.324074074451346E-3</v>
      </c>
      <c r="N210" s="225">
        <f t="shared" si="104"/>
        <v>7.6666666672099382</v>
      </c>
      <c r="O210" s="225"/>
      <c r="P210" s="225"/>
      <c r="Q210" s="228"/>
      <c r="R210" s="242"/>
      <c r="S210" s="249">
        <f t="shared" si="105"/>
        <v>1</v>
      </c>
      <c r="T210" s="242" t="str">
        <f t="shared" si="117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18"/>
        <v>https://d0f6bd738d7f1b3e5a7ca70fe4ff75f0.us-east-1.aws.found.io/app/kibana#/discover/Steve-Slow-Train-Analysis-(2080s-and-2083s)?_g=(refreshInterval:(display:Off,pause:!f,section:0,value:0),time:(from:'2017-12-06T02:18:41-0700',mode:absolute,to:'2017-12-06T04:30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0" s="247" t="str">
        <f>IF(AA210&lt;VLOOKUP(AG210,Variables!$AC$3:$AD$8,2,FALSE),"Y","N")</f>
        <v>Y</v>
      </c>
      <c r="X210" s="247">
        <f t="shared" si="114"/>
        <v>1</v>
      </c>
      <c r="Y210" s="247">
        <f t="shared" si="129"/>
        <v>2.3468</v>
      </c>
      <c r="Z210" s="247">
        <f t="shared" si="130"/>
        <v>1.47E-2</v>
      </c>
      <c r="AA210" s="247">
        <f t="shared" si="119"/>
        <v>2.3321000000000001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20"/>
        <v>302</v>
      </c>
      <c r="AE210" s="235" t="str">
        <f t="shared" si="121"/>
        <v>aws s3 cp s3://rtdc.mdm.uploadarchive.raw/RTDC4009/ "%USERPROFILE%\AppData\Local\Temp\OnboardLogs"\RTDC4009\2017-12-06 --exclude "*" --recursive --include "*20171206*" &amp; "%USERPROFILE%\Documents\GitHub\mrs-test-scripts\Headless Mode &amp; Sideloading\WalkAndUnGZ.bat" "%USERPROFILE%\AppData\Local\Temp\OnboardLogs"\RTDC4009\2017-12-06 &amp; aws s3 cp s3://rtdc.mdm.uploadarchive.raw/RTDC4009/ "%USERPROFILE%\AppData\Local\Temp\OnboardLogs"\RTDC4009\2017-12-07 --exclude "*" --recursive --include "*20171207*" &amp; "%USERPROFILE%\Documents\GitHub\mrs-test-scripts\Headless Mode &amp; Sideloading\WalkAndUnGZ.bat" "%USERPROFILE%\AppData\Local\Temp\OnboardLogs"\RTDC4009\2017-12-07</v>
      </c>
      <c r="AF210" s="234" t="str">
        <f t="shared" si="122"/>
        <v>"C:\Program Files (x86)\AstroGrep\AstroGrep.exe" /e /r /s /spath="%USERPROFILE%\AppData\Local\Temp\OnboardLogs" /stypes="app*4009*20171206*" /stext=" 10:.+((SYSTEM_STATE.+slice.+state.+changed )|(ment ac)|(multiple cpu faults)|(system.+state.+changed )|(\[timeout)|(PRM\|1\|D)|(kpr)|(kdp)|(train st.+moving)|(\|lc)|(penalty))"</v>
      </c>
      <c r="AG210" s="244" t="str">
        <f t="shared" si="123"/>
        <v>Other</v>
      </c>
      <c r="AH210" s="236" t="str">
        <f t="shared" si="73"/>
        <v>"%USERPROFILE%\Documents\GitHub\eaglep3\Utilities\RefineRTDCRunTimes.py" --tripid 302-06 --locoid 4009 --swversion DE.1.0.9.0 --startMP 300:23468 --initTime 2017-12-06T03:18:41 --startdatetime 2017-12-06T03:23:14 --delay 152 --endMP 204:147 --enddatetime 2017-12-06T03:30:54 --enforcementcount 0 &gt;&gt;%USERPROFILE%\Documents\GitHub\eaglep3-reporting\EC\2017-12-06-refined-times.txt</v>
      </c>
      <c r="AI210" s="238" t="str">
        <f t="shared" si="74"/>
        <v>echo {"issue":{"subject":"","project_id":79,"tracker_id":40,"status_id":1,"priority_id":2,"assigned_to_id":338,"start_date":"2017-12-06","description":"","custom_fields":[{"id":1,"name":"Subdivision","value":"Other"},{"id":4,"name":"Milepost","value":"0.0147"},{"id":17,"name":"Train ID","value":"302-06"},{"id":16,"name":"Locomotive ID","value":"4009"},{"id":130,"name":"Impact","value":""},{"id":150,"name":"Time of Event (Mountain Time)","value":"03:30:54"},{"id":151,"name":"Denver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75"/>
        <v>start /low /b %USERPROFILE%\Documents\GitHub\eaglep3\Utilities\DownloadLogsFromS3.py --loco 4009 --day 2017-12-06</v>
      </c>
      <c r="AN210" s="241" t="str">
        <f t="shared" si="76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10:30:54"},{"id":29,"name":"Sharepoint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77"/>
        <v>https://d0f6bd738d7f1b3e5a7ca70fe4ff75f0.us-east-1.aws.found.io/app/kibana#/discover/Steve-Slow-Train-Analysis-(2080s-and-2083s)?_g=(refreshInterval:(display:Off,pause:!f,section:0,value:0),time:(from:'2017-12-06T02:18:41-0700',mode:absolute,to:'2017-12-06T04:30:54-0700'))&amp;_a=(columns:!('Message%20ID',Summary),filters:!(),index:'emp_*',interval:auto,query:(query_string:(analyze_wildcard:!t,query:'%22rtdc.l.rtdc.4009%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845</v>
      </c>
      <c r="B211" s="225">
        <v>4034</v>
      </c>
      <c r="C211" s="227" t="s">
        <v>192</v>
      </c>
      <c r="D211" s="227" t="s">
        <v>478</v>
      </c>
      <c r="E211" s="226">
        <v>43075.79550925926</v>
      </c>
      <c r="F211" s="226">
        <v>43075.797060185185</v>
      </c>
      <c r="G211" s="225">
        <v>67</v>
      </c>
      <c r="H211" s="227" t="s">
        <v>995</v>
      </c>
      <c r="I211" s="226">
        <v>43075.803333333337</v>
      </c>
      <c r="J211" s="225">
        <v>0</v>
      </c>
      <c r="K211" s="237" t="str">
        <f t="shared" si="115"/>
        <v>4033/4034</v>
      </c>
      <c r="L211" s="245" t="str">
        <f>VLOOKUP(A211,'Trips&amp;Operators'!$C$1:$G$99911,5,FALSE)</f>
        <v>DE LA ROSA ALEX</v>
      </c>
      <c r="M211" s="224">
        <f t="shared" si="116"/>
        <v>6.2731481521041133E-3</v>
      </c>
      <c r="N211" s="225">
        <f t="shared" si="104"/>
        <v>9.0333333390299231</v>
      </c>
      <c r="O211" s="225"/>
      <c r="P211" s="225"/>
      <c r="Q211" s="228"/>
      <c r="R211" s="242"/>
      <c r="S211" s="249">
        <f t="shared" si="105"/>
        <v>1</v>
      </c>
      <c r="T211" s="242" t="str">
        <f t="shared" si="117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18"/>
        <v>https://d0f6bd738d7f1b3e5a7ca70fe4ff75f0.us-east-1.aws.found.io/app/kibana#/discover/Steve-Slow-Train-Analysis-(2080s-and-2083s)?_g=(refreshInterval:(display:Off,pause:!f,section:0,value:0),time:(from:'2017-12-06T18:05:32-0700',mode:absolute,to:'2017-12-06T20:16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1" s="247" t="str">
        <f>IF(AA211&lt;VLOOKUP(AG211,Variables!$AC$3:$AD$8,2,FALSE),"Y","N")</f>
        <v>Y</v>
      </c>
      <c r="X211" s="247">
        <f t="shared" si="114"/>
        <v>1</v>
      </c>
      <c r="Y211" s="247">
        <f t="shared" si="129"/>
        <v>5.0200000000000002E-2</v>
      </c>
      <c r="Z211" s="247">
        <f t="shared" si="130"/>
        <v>2.331</v>
      </c>
      <c r="AA211" s="247">
        <f t="shared" si="119"/>
        <v>2.2808000000000002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20"/>
        <v>303</v>
      </c>
      <c r="AE211" s="235" t="str">
        <f t="shared" si="121"/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AF211" s="234" t="str">
        <f t="shared" si="122"/>
        <v>"C:\Program Files (x86)\AstroGrep\AstroGrep.exe" /e /r /s /spath="%USERPROFILE%\AppData\Local\Temp\OnboardLogs" /stypes="app*4034*20171207*" /stext=" 02:.+((SYSTEM_STATE.+slice.+state.+changed )|(ment ac)|(multiple cpu faults)|(system.+state.+changed )|(\[timeout)|(PRM\|1\|D)|(kpr)|(kdp)|(train st.+moving)|(\|lc)|(penalty))"</v>
      </c>
      <c r="AG211" s="244" t="str">
        <f t="shared" si="123"/>
        <v>Other</v>
      </c>
      <c r="AH211" s="236" t="str">
        <f t="shared" ref="AH211:AH259" si="131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303-06 --locoid 4034 --swversion DE.1.0.9.0 --startMP 204:502 --initTime 2017-12-06T19:05:32 --startdatetime 2017-12-06T19:07:46 --delay 67 --endMP 300:23310 --enddatetime 2017-12-06T19:16:48 --enforcementcount 0 &gt;&gt;%USERPROFILE%\Documents\GitHub\eaglep3-reporting\EC\2017-12-06-refined-times.txt</v>
      </c>
      <c r="AI211" s="238" t="str">
        <f t="shared" ref="AI211:AI259" si="132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{"issue":{"subject":"","project_id":79,"tracker_id":40,"status_id":1,"priority_id":2,"assigned_to_id":338,"start_date":"2017-12-06","description":"","custom_fields":[{"id":1,"name":"Subdivision","value":"Other"},{"id":4,"name":"Milepost","value":"2.331"},{"id":17,"name":"Train ID","value":"303-06"},{"id":16,"name":"Locomotive ID","value":"4034"},{"id":130,"name":"Impact","value":""},{"id":150,"name":"Time of Event (Mountain Time)","value":"19:16:48"},{"id":151,"name":"Denver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ref="AM211:AM259" si="133">"start /low /b "&amp;dls3logs&amp;" --loco "&amp;B211&amp;" --day "&amp;TEXT(F211,"YYYY-MM-DD")</f>
        <v>start /low /b %USERPROFILE%\Documents\GitHub\eaglep3\Utilities\DownloadLogsFromS3.py --loco 4034 --day 2017-12-06</v>
      </c>
      <c r="AN211" s="241" t="str">
        <f t="shared" ref="AN211:AN259" si="134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02:16:48"},{"id":29,"name":"Sharepoint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59" si="135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-06T18:05:32-0700',mode:absolute,to:'2017-12-06T20:16:48-0700'))&amp;_a=(columns:!('Message%20ID',Summary),filters:!(),index:'emp_*',interval:auto,query:(query_string:(analyze_wildcard:!t,query:'%22rtdc.l.rtdc.4034%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671</v>
      </c>
      <c r="B212" s="225">
        <v>4031</v>
      </c>
      <c r="C212" s="227" t="s">
        <v>192</v>
      </c>
      <c r="D212" s="227" t="s">
        <v>996</v>
      </c>
      <c r="E212" s="226">
        <v>43075.164027777777</v>
      </c>
      <c r="F212" s="226">
        <v>43075.167407407411</v>
      </c>
      <c r="G212" s="225">
        <v>59</v>
      </c>
      <c r="H212" s="227" t="s">
        <v>497</v>
      </c>
      <c r="I212" s="226">
        <v>43075.171365740738</v>
      </c>
      <c r="J212" s="225">
        <v>0</v>
      </c>
      <c r="K212" s="237" t="str">
        <f t="shared" si="115"/>
        <v>4031/4032</v>
      </c>
      <c r="L212" s="245" t="str">
        <f>VLOOKUP(A212,'Trips&amp;Operators'!$C$1:$G$99911,5,FALSE)</f>
        <v>YORK EDGAR</v>
      </c>
      <c r="M212" s="224">
        <f t="shared" si="116"/>
        <v>3.9583333273185417E-3</v>
      </c>
      <c r="N212" s="225">
        <f t="shared" si="104"/>
        <v>5.6999999913387001</v>
      </c>
      <c r="O212" s="225"/>
      <c r="P212" s="225"/>
      <c r="Q212" s="228"/>
      <c r="R212" s="242"/>
      <c r="S212" s="249">
        <f t="shared" si="105"/>
        <v>1</v>
      </c>
      <c r="T212" s="242" t="str">
        <f t="shared" si="117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18"/>
        <v>https://d0f6bd738d7f1b3e5a7ca70fe4ff75f0.us-east-1.aws.found.io/app/kibana#/discover/Steve-Slow-Train-Analysis-(2080s-and-2083s)?_g=(refreshInterval:(display:Off,pause:!f,section:0,value:0),time:(from:'2017-12-06T02:56:12-0700',mode:absolute,to:'2017-12-06T05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47" t="str">
        <f>IF(AA212&lt;VLOOKUP(AG212,Variables!$AC$3:$AD$8,2,FALSE),"Y","N")</f>
        <v>Y</v>
      </c>
      <c r="X212" s="247">
        <f t="shared" si="114"/>
        <v>1</v>
      </c>
      <c r="Y212" s="247">
        <f t="shared" si="129"/>
        <v>1.9602999999999999</v>
      </c>
      <c r="Z212" s="247">
        <f t="shared" si="130"/>
        <v>1.4999999999999999E-2</v>
      </c>
      <c r="AA212" s="247">
        <f t="shared" si="119"/>
        <v>1.9453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20"/>
        <v>304</v>
      </c>
      <c r="AE212" s="235" t="str">
        <f t="shared" si="121"/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AF212" s="234" t="str">
        <f t="shared" si="122"/>
        <v>"C:\Program Files (x86)\AstroGrep\AstroGrep.exe" /e /r /s /spath="%USERPROFILE%\AppData\Local\Temp\OnboardLogs" /stypes="app*4031*20171206*" /stext=" 11:.+((SYSTEM_STATE.+slice.+state.+changed )|(ment ac)|(multiple cpu faults)|(system.+state.+changed )|(\[timeout)|(PRM\|1\|D)|(kpr)|(kdp)|(train st.+moving)|(\|lc)|(penalty))"</v>
      </c>
      <c r="AG212" s="244" t="str">
        <f t="shared" si="123"/>
        <v>Other</v>
      </c>
      <c r="AH212" s="236" t="str">
        <f t="shared" si="131"/>
        <v>"%USERPROFILE%\Documents\GitHub\eaglep3\Utilities\RefineRTDCRunTimes.py" --tripid 304-06 --locoid 4031 --swversion DE.1.0.9.0 --startMP 300:19603 --initTime 2017-12-06T03:56:12 --startdatetime 2017-12-06T04:01:04 --delay 59 --endMP 204:150 --enddatetime 2017-12-06T04:06:46 --enforcementcount 0 &gt;&gt;%USERPROFILE%\Documents\GitHub\eaglep3-reporting\EC\2017-12-06-refined-times.txt</v>
      </c>
      <c r="AI212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{"issue":{"subject":"","project_id":79,"tracker_id":40,"status_id":1,"priority_id":2,"assigned_to_id":338,"start_date":"2017-12-06","description":"","custom_fields":[{"id":1,"name":"Subdivision","value":"Other"},{"id":4,"name":"Milepost","value":"0.015"},{"id":17,"name":"Train ID","value":"304-06"},{"id":16,"name":"Locomotive ID","value":"4031"},{"id":130,"name":"Impact","value":""},{"id":150,"name":"Time of Event (Mountain Time)","value":"04:06:46"},{"id":151,"name":"Denver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33"/>
        <v>start /low /b %USERPROFILE%\Documents\GitHub\eaglep3\Utilities\DownloadLogsFromS3.py --loco 4031 --day 2017-12-06</v>
      </c>
      <c r="AN212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35"/>
        <v>https://d0f6bd738d7f1b3e5a7ca70fe4ff75f0.us-east-1.aws.found.io/app/kibana#/discover/Steve-Slow-Train-Analysis-(2080s-and-2083s)?_g=(refreshInterval:(display:Off,pause:!f,section:0,value:0),time:(from:'2017-12-06T02:56:12-0700',mode:absolute,to:'2017-12-06T05:06:46-0700'))&amp;_a=(columns:!('Message%20ID',Summary),filters:!(),index:'emp_*',interval:auto,query:(query_string:(analyze_wildcard:!t,query:'%22rtdc.l.rtdc.4031%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850</v>
      </c>
      <c r="B213" s="225">
        <v>4062</v>
      </c>
      <c r="C213" s="227" t="s">
        <v>192</v>
      </c>
      <c r="D213" s="227" t="s">
        <v>495</v>
      </c>
      <c r="E213" s="226">
        <v>43075.817673611113</v>
      </c>
      <c r="F213" s="226">
        <v>43075.819768518515</v>
      </c>
      <c r="G213" s="225">
        <v>57</v>
      </c>
      <c r="H213" s="227" t="s">
        <v>997</v>
      </c>
      <c r="I213" s="226">
        <v>43075.827187499999</v>
      </c>
      <c r="J213" s="225">
        <v>0</v>
      </c>
      <c r="K213" s="237" t="str">
        <f t="shared" si="115"/>
        <v>4061/4062</v>
      </c>
      <c r="L213" s="245" t="str">
        <f>VLOOKUP(A213,'Trips&amp;Operators'!$C$1:$G$99911,5,FALSE)</f>
        <v>KILLION DAVID</v>
      </c>
      <c r="M213" s="224">
        <f t="shared" si="116"/>
        <v>7.4189814840792678E-3</v>
      </c>
      <c r="N213" s="225">
        <f t="shared" si="104"/>
        <v>10.683333337074146</v>
      </c>
      <c r="O213" s="225"/>
      <c r="P213" s="225"/>
      <c r="Q213" s="228"/>
      <c r="R213" s="242"/>
      <c r="S213" s="249">
        <f t="shared" si="105"/>
        <v>1</v>
      </c>
      <c r="T213" s="242" t="str">
        <f t="shared" si="117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18"/>
        <v>https://d0f6bd738d7f1b3e5a7ca70fe4ff75f0.us-east-1.aws.found.io/app/kibana#/discover/Steve-Slow-Train-Analysis-(2080s-and-2083s)?_g=(refreshInterval:(display:Off,pause:!f,section:0,value:0),time:(from:'2017-12-06T18:37:27-0700',mode:absolute,to:'2017-12-06T20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3" s="247" t="str">
        <f>IF(AA213&lt;VLOOKUP(AG213,Variables!$AC$3:$AD$8,2,FALSE),"Y","N")</f>
        <v>Y</v>
      </c>
      <c r="X213" s="247">
        <f t="shared" si="114"/>
        <v>1</v>
      </c>
      <c r="Y213" s="247">
        <f t="shared" si="129"/>
        <v>4.7800000000000002E-2</v>
      </c>
      <c r="Z213" s="247">
        <f t="shared" si="130"/>
        <v>2.3321000000000001</v>
      </c>
      <c r="AA213" s="247">
        <f t="shared" si="119"/>
        <v>2.2843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20"/>
        <v>305</v>
      </c>
      <c r="AE213" s="235" t="str">
        <f t="shared" si="121"/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AF213" s="234" t="str">
        <f t="shared" si="122"/>
        <v>"C:\Program Files (x86)\AstroGrep\AstroGrep.exe" /e /r /s /spath="%USERPROFILE%\AppData\Local\Temp\OnboardLogs" /stypes="app*4062*20171207*" /stext=" 02:.+((SYSTEM_STATE.+slice.+state.+changed )|(ment ac)|(multiple cpu faults)|(system.+state.+changed )|(\[timeout)|(PRM\|1\|D)|(kpr)|(kdp)|(train st.+moving)|(\|lc)|(penalty))"</v>
      </c>
      <c r="AG213" s="244" t="str">
        <f t="shared" si="123"/>
        <v>Other</v>
      </c>
      <c r="AH213" s="236" t="str">
        <f t="shared" si="131"/>
        <v>"%USERPROFILE%\Documents\GitHub\eaglep3\Utilities\RefineRTDCRunTimes.py" --tripid 305-06 --locoid 4062 --swversion DE.1.0.9.0 --startMP 204:478 --initTime 2017-12-06T19:37:27 --startdatetime 2017-12-06T19:40:28 --delay 57 --endMP 300:23321 --enddatetime 2017-12-06T19:51:09 --enforcementcount 0 &gt;&gt;%USERPROFILE%\Documents\GitHub\eaglep3-reporting\EC\2017-12-06-refined-times.txt</v>
      </c>
      <c r="AI213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{"issue":{"subject":"","project_id":79,"tracker_id":40,"status_id":1,"priority_id":2,"assigned_to_id":338,"start_date":"2017-12-06","description":"","custom_fields":[{"id":1,"name":"Subdivision","value":"Other"},{"id":4,"name":"Milepost","value":"2.3321"},{"id":17,"name":"Train ID","value":"305-06"},{"id":16,"name":"Locomotive ID","value":"4062"},{"id":130,"name":"Impact","value":""},{"id":150,"name":"Time of Event (Mountain Time)","value":"19:51:09"},{"id":151,"name":"Denver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33"/>
        <v>start /low /b %USERPROFILE%\Documents\GitHub\eaglep3\Utilities\DownloadLogsFromS3.py --loco 4062 --day 2017-12-06</v>
      </c>
      <c r="AN213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35"/>
        <v>https://d0f6bd738d7f1b3e5a7ca70fe4ff75f0.us-east-1.aws.found.io/app/kibana#/discover/Steve-Slow-Train-Analysis-(2080s-and-2083s)?_g=(refreshInterval:(display:Off,pause:!f,section:0,value:0),time:(from:'2017-12-06T18:37:27-0700',mode:absolute,to:'2017-12-06T20:51:09-0700'))&amp;_a=(columns:!('Message%20ID',Summary),filters:!(),index:'emp_*',interval:auto,query:(query_string:(analyze_wildcard:!t,query:'%22rtdc.l.rtdc.4062%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672</v>
      </c>
      <c r="B214" s="225">
        <v>4003</v>
      </c>
      <c r="C214" s="227" t="s">
        <v>192</v>
      </c>
      <c r="D214" s="227" t="s">
        <v>998</v>
      </c>
      <c r="E214" s="226">
        <v>43075.170324074075</v>
      </c>
      <c r="F214" s="226">
        <v>43075.17291666667</v>
      </c>
      <c r="G214" s="225">
        <v>59</v>
      </c>
      <c r="H214" s="227" t="s">
        <v>999</v>
      </c>
      <c r="I214" s="226">
        <v>43075.177453703705</v>
      </c>
      <c r="J214" s="225">
        <v>0</v>
      </c>
      <c r="K214" s="237" t="str">
        <f t="shared" si="115"/>
        <v>4003/4004</v>
      </c>
      <c r="L214" s="245" t="str">
        <f>VLOOKUP(A214,'Trips&amp;Operators'!$C$1:$G$99911,5,FALSE)</f>
        <v>BEAM ROSS</v>
      </c>
      <c r="M214" s="224">
        <f t="shared" si="116"/>
        <v>4.537037035333924E-3</v>
      </c>
      <c r="N214" s="225">
        <f t="shared" si="104"/>
        <v>6.5333333308808506</v>
      </c>
      <c r="O214" s="225"/>
      <c r="P214" s="225"/>
      <c r="Q214" s="228"/>
      <c r="R214" s="242"/>
      <c r="S214" s="249">
        <f t="shared" si="105"/>
        <v>1</v>
      </c>
      <c r="T214" s="242" t="str">
        <f t="shared" si="117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18"/>
        <v>https://d0f6bd738d7f1b3e5a7ca70fe4ff75f0.us-east-1.aws.found.io/app/kibana#/discover/Steve-Slow-Train-Analysis-(2080s-and-2083s)?_g=(refreshInterval:(display:Off,pause:!f,section:0,value:0),time:(from:'2017-12-06T03:05:16-0700',mode:absolute,to:'2017-12-06T05:15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247" t="str">
        <f>IF(AA214&lt;VLOOKUP(AG214,Variables!$AC$3:$AD$8,2,FALSE),"Y","N")</f>
        <v>Y</v>
      </c>
      <c r="X214" s="247">
        <f t="shared" si="114"/>
        <v>1</v>
      </c>
      <c r="Y214" s="247">
        <f t="shared" si="129"/>
        <v>2.1894</v>
      </c>
      <c r="Z214" s="247">
        <f t="shared" si="130"/>
        <v>1.5599999999999999E-2</v>
      </c>
      <c r="AA214" s="247">
        <f t="shared" si="119"/>
        <v>2.1738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20"/>
        <v>306</v>
      </c>
      <c r="AE214" s="235" t="str">
        <f t="shared" si="121"/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AF214" s="234" t="str">
        <f t="shared" si="122"/>
        <v>"C:\Program Files (x86)\AstroGrep\AstroGrep.exe" /e /r /s /spath="%USERPROFILE%\AppData\Local\Temp\OnboardLogs" /stypes="app*4003*20171206*" /stext=" 11:.+((SYSTEM_STATE.+slice.+state.+changed )|(ment ac)|(multiple cpu faults)|(system.+state.+changed )|(\[timeout)|(PRM\|1\|D)|(kpr)|(kdp)|(train st.+moving)|(\|lc)|(penalty))"</v>
      </c>
      <c r="AG214" s="244" t="str">
        <f t="shared" si="123"/>
        <v>Other</v>
      </c>
      <c r="AH214" s="236" t="str">
        <f t="shared" si="131"/>
        <v>"%USERPROFILE%\Documents\GitHub\eaglep3\Utilities\RefineRTDCRunTimes.py" --tripid 306-06 --locoid 4003 --swversion DE.1.0.9.0 --startMP 300:21894 --initTime 2017-12-06T04:05:16 --startdatetime 2017-12-06T04:09:00 --delay 59 --endMP 204:156 --enddatetime 2017-12-06T04:15:32 --enforcementcount 0 &gt;&gt;%USERPROFILE%\Documents\GitHub\eaglep3-reporting\EC\2017-12-06-refined-times.txt</v>
      </c>
      <c r="AI214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{"issue":{"subject":"","project_id":79,"tracker_id":40,"status_id":1,"priority_id":2,"assigned_to_id":338,"start_date":"2017-12-06","description":"","custom_fields":[{"id":1,"name":"Subdivision","value":"Other"},{"id":4,"name":"Milepost","value":"0.0156"},{"id":17,"name":"Train ID","value":"306-06"},{"id":16,"name":"Locomotive ID","value":"4003"},{"id":130,"name":"Impact","value":""},{"id":150,"name":"Time of Event (Mountain Time)","value":"04:15:32"},{"id":151,"name":"Denver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33"/>
        <v>start /low /b %USERPROFILE%\Documents\GitHub\eaglep3\Utilities\DownloadLogsFromS3.py --loco 4003 --day 2017-12-06</v>
      </c>
      <c r="AN214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11:15:32"},{"id":29,"name":"Sharepoint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35"/>
        <v>https://d0f6bd738d7f1b3e5a7ca70fe4ff75f0.us-east-1.aws.found.io/app/kibana#/discover/Steve-Slow-Train-Analysis-(2080s-and-2083s)?_g=(refreshInterval:(display:Off,pause:!f,section:0,value:0),time:(from:'2017-12-06T03:05:16-0700',mode:absolute,to:'2017-12-06T05:15:32-0700'))&amp;_a=(columns:!('Message%20ID',Summary),filters:!(),index:'emp_*',interval:auto,query:(query_string:(analyze_wildcard:!t,query:'%22rtdc.l.rtdc.4003%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877</v>
      </c>
      <c r="B215" s="225">
        <v>4010</v>
      </c>
      <c r="C215" s="227" t="s">
        <v>192</v>
      </c>
      <c r="D215" s="227" t="s">
        <v>601</v>
      </c>
      <c r="E215" s="226">
        <v>43076.045127314814</v>
      </c>
      <c r="F215" s="226">
        <v>43076.046469907407</v>
      </c>
      <c r="G215" s="225">
        <v>47</v>
      </c>
      <c r="H215" s="227" t="s">
        <v>1000</v>
      </c>
      <c r="I215" s="226">
        <v>43076.053090277775</v>
      </c>
      <c r="J215" s="225">
        <v>0</v>
      </c>
      <c r="K215" s="237" t="str">
        <f t="shared" si="115"/>
        <v>4009/4010</v>
      </c>
      <c r="L215" s="245" t="str">
        <f>VLOOKUP(A215,'Trips&amp;Operators'!$C$1:$G$99911,5,FALSE)</f>
        <v>RESPASS AARON</v>
      </c>
      <c r="M215" s="224">
        <f t="shared" si="116"/>
        <v>6.6203703681821935E-3</v>
      </c>
      <c r="N215" s="225">
        <f t="shared" si="104"/>
        <v>9.5333333301823586</v>
      </c>
      <c r="O215" s="225"/>
      <c r="P215" s="225"/>
      <c r="Q215" s="228"/>
      <c r="R215" s="242"/>
      <c r="S215" s="249">
        <f t="shared" si="105"/>
        <v>1</v>
      </c>
      <c r="T215" s="242" t="str">
        <f t="shared" si="117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18"/>
        <v>https://d0f6bd738d7f1b3e5a7ca70fe4ff75f0.us-east-1.aws.found.io/app/kibana#/discover/Steve-Slow-Train-Analysis-(2080s-and-2083s)?_g=(refreshInterval:(display:Off,pause:!f,section:0,value:0),time:(from:'2017-12-07T00:04:59-0700',mode:absolute,to:'2017-12-07T02:16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247" t="str">
        <f>IF(AA215&lt;VLOOKUP(AG215,Variables!$AC$3:$AD$8,2,FALSE),"Y","N")</f>
        <v>Y</v>
      </c>
      <c r="X215" s="247">
        <f t="shared" si="114"/>
        <v>1</v>
      </c>
      <c r="Y215" s="247">
        <f t="shared" si="129"/>
        <v>5.33E-2</v>
      </c>
      <c r="Z215" s="247">
        <f t="shared" si="130"/>
        <v>2.3222999999999998</v>
      </c>
      <c r="AA215" s="247">
        <f t="shared" si="119"/>
        <v>2.2689999999999997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20"/>
        <v>307</v>
      </c>
      <c r="AE215" s="235" t="str">
        <f t="shared" si="121"/>
        <v>aws s3 cp s3://rtdc.mdm.uploadarchive.raw/RTDC4010/ "%USERPROFILE%\AppData\Local\Temp\OnboardLogs"\RTDC4010\2017-12-07 --exclude "*" --recursive --include "*20171207*" &amp; "%USERPROFILE%\Documents\GitHub\mrs-test-scripts\Headless Mode &amp; Sideloading\WalkAndUnGZ.bat" "%USERPROFILE%\AppData\Local\Temp\OnboardLogs"\RTDC4010\2017-12-07 &amp; 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</v>
      </c>
      <c r="AF215" s="234" t="str">
        <f t="shared" si="122"/>
        <v>"C:\Program Files (x86)\AstroGrep\AstroGrep.exe" /e /r /s /spath="%USERPROFILE%\AppData\Local\Temp\OnboardLogs" /stypes="app*4010*20171207*" /stext=" 08:.+((SYSTEM_STATE.+slice.+state.+changed )|(ment ac)|(multiple cpu faults)|(system.+state.+changed )|(\[timeout)|(PRM\|1\|D)|(kpr)|(kdp)|(train st.+moving)|(\|lc)|(penalty))"</v>
      </c>
      <c r="AG215" s="244" t="str">
        <f t="shared" si="123"/>
        <v>Other</v>
      </c>
      <c r="AH215" s="236" t="str">
        <f t="shared" si="131"/>
        <v>"%USERPROFILE%\Documents\GitHub\eaglep3\Utilities\RefineRTDCRunTimes.py" --tripid 307-06 --locoid 4010 --swversion DE.1.0.9.0 --startMP 204:533 --initTime 2017-12-07T01:04:59 --startdatetime 2017-12-07T01:06:55 --delay 47 --endMP 300:23223 --enddatetime 2017-12-07T01:16:27 --enforcementcount 0 &gt;&gt;%USERPROFILE%\Documents\GitHub\eaglep3-reporting\EC\2017-12-06-refined-times.txt</v>
      </c>
      <c r="AI215" s="238" t="str">
        <f t="shared" si="132"/>
        <v>echo {"issue":{"subject":"","project_id":79,"tracker_id":40,"status_id":1,"priority_id":2,"assigned_to_id":338,"start_date":"2017-12-07","description":"","custom_fields":[{"id":1,"name":"Subdivision","value":"Other"},{"id":4,"name":"Milepost","value":"2.3223"},{"id":17,"name":"Train ID","value":"307-06"},{"id":16,"name":"Locomotive ID","value":"4010"},{"id":130,"name":"Impact","value":""},{"id":150,"name":"Time of Event (Mountain Time)","value":"01:16:27"},{"id":151,"name":"Denver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33"/>
        <v>start /low /b %USERPROFILE%\Documents\GitHub\eaglep3\Utilities\DownloadLogsFromS3.py --loco 4010 --day 2017-12-07</v>
      </c>
      <c r="AN215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08:16:27"},{"id":29,"name":"Sharepoint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35"/>
        <v>https://d0f6bd738d7f1b3e5a7ca70fe4ff75f0.us-east-1.aws.found.io/app/kibana#/discover/Steve-Slow-Train-Analysis-(2080s-and-2083s)?_g=(refreshInterval:(display:Off,pause:!f,section:0,value:0),time:(from:'2017-12-07T00:04:59-0700',mode:absolute,to:'2017-12-07T02:16:27-0700'))&amp;_a=(columns:!('Message%20ID',Summary),filters:!(),index:'emp_*',interval:auto,query:(query_string:(analyze_wildcard:!t,query:'%22rtdc.l.rtdc.4010%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673</v>
      </c>
      <c r="B216" s="225">
        <v>4041</v>
      </c>
      <c r="C216" s="227" t="s">
        <v>192</v>
      </c>
      <c r="D216" s="227" t="s">
        <v>1001</v>
      </c>
      <c r="E216" s="226">
        <v>43075.1719212963</v>
      </c>
      <c r="F216" s="226">
        <v>43075.177800925929</v>
      </c>
      <c r="G216" s="225">
        <v>237</v>
      </c>
      <c r="H216" s="227" t="s">
        <v>452</v>
      </c>
      <c r="I216" s="226">
        <v>43075.183206018519</v>
      </c>
      <c r="J216" s="225">
        <v>0</v>
      </c>
      <c r="K216" s="237" t="str">
        <f t="shared" si="115"/>
        <v>4041/4042</v>
      </c>
      <c r="L216" s="245" t="str">
        <f>VLOOKUP(A216,'Trips&amp;Operators'!$C$1:$G$99911,5,FALSE)</f>
        <v>LOPES KIMBERLY</v>
      </c>
      <c r="M216" s="224">
        <f t="shared" si="116"/>
        <v>5.4050925900810398E-3</v>
      </c>
      <c r="N216" s="225">
        <f t="shared" si="104"/>
        <v>7.7833333297166973</v>
      </c>
      <c r="O216" s="225"/>
      <c r="P216" s="225"/>
      <c r="Q216" s="228"/>
      <c r="R216" s="242"/>
      <c r="S216" s="249">
        <f t="shared" si="105"/>
        <v>1</v>
      </c>
      <c r="T216" s="242" t="str">
        <f t="shared" si="117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18"/>
        <v>https://d0f6bd738d7f1b3e5a7ca70fe4ff75f0.us-east-1.aws.found.io/app/kibana#/discover/Steve-Slow-Train-Analysis-(2080s-and-2083s)?_g=(refreshInterval:(display:Off,pause:!f,section:0,value:0),time:(from:'2017-12-06T03:07:34-0700',mode:absolute,to:'2017-12-06T05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6" s="247" t="str">
        <f>IF(AA216&lt;VLOOKUP(AG216,Variables!$AC$3:$AD$8,2,FALSE),"Y","N")</f>
        <v>Y</v>
      </c>
      <c r="X216" s="247">
        <f t="shared" si="114"/>
        <v>1</v>
      </c>
      <c r="Y216" s="247">
        <f t="shared" si="129"/>
        <v>2.3447</v>
      </c>
      <c r="Z216" s="247">
        <f t="shared" si="130"/>
        <v>1.5800000000000002E-2</v>
      </c>
      <c r="AA216" s="247">
        <f t="shared" si="119"/>
        <v>2.3289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20"/>
        <v>308</v>
      </c>
      <c r="AE216" s="235" t="str">
        <f t="shared" si="121"/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AF216" s="234" t="str">
        <f t="shared" si="122"/>
        <v>"C:\Program Files (x86)\AstroGrep\AstroGrep.exe" /e /r /s /spath="%USERPROFILE%\AppData\Local\Temp\OnboardLogs" /stypes="app*4041*20171206*" /stext=" 11:.+((SYSTEM_STATE.+slice.+state.+changed )|(ment ac)|(multiple cpu faults)|(system.+state.+changed )|(\[timeout)|(PRM\|1\|D)|(kpr)|(kdp)|(train st.+moving)|(\|lc)|(penalty))"</v>
      </c>
      <c r="AG216" s="244" t="str">
        <f t="shared" si="123"/>
        <v>Other</v>
      </c>
      <c r="AH216" s="236" t="str">
        <f t="shared" si="131"/>
        <v>"%USERPROFILE%\Documents\GitHub\eaglep3\Utilities\RefineRTDCRunTimes.py" --tripid 308-06 --locoid 4041 --swversion DE.1.0.9.0 --startMP 300:23447 --initTime 2017-12-06T04:07:34 --startdatetime 2017-12-06T04:16:02 --delay 237 --endMP 204:158 --enddatetime 2017-12-06T04:23:49 --enforcementcount 0 &gt;&gt;%USERPROFILE%\Documents\GitHub\eaglep3-reporting\EC\2017-12-06-refined-times.txt</v>
      </c>
      <c r="AI216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{"issue":{"subject":"","project_id":79,"tracker_id":40,"status_id":1,"priority_id":2,"assigned_to_id":338,"start_date":"2017-12-06","description":"","custom_fields":[{"id":1,"name":"Subdivision","value":"Other"},{"id":4,"name":"Milepost","value":"0.0158"},{"id":17,"name":"Train ID","value":"308-06"},{"id":16,"name":"Locomotive ID","value":"4041"},{"id":130,"name":"Impact","value":""},{"id":150,"name":"Time of Event (Mountain Time)","value":"04:23:49"},{"id":151,"name":"Denver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33"/>
        <v>start /low /b %USERPROFILE%\Documents\GitHub\eaglep3\Utilities\DownloadLogsFromS3.py --loco 4041 --day 2017-12-06</v>
      </c>
      <c r="AN216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35"/>
        <v>https://d0f6bd738d7f1b3e5a7ca70fe4ff75f0.us-east-1.aws.found.io/app/kibana#/discover/Steve-Slow-Train-Analysis-(2080s-and-2083s)?_g=(refreshInterval:(display:Off,pause:!f,section:0,value:0),time:(from:'2017-12-06T03:07:34-0700',mode:absolute,to:'2017-12-06T05:23:49-0700'))&amp;_a=(columns:!('Message%20ID',Summary),filters:!(),index:'emp_*',interval:auto,query:(query_string:(analyze_wildcard:!t,query:'%22rtdc.l.rtdc.4041%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25">
      <c r="A217" s="229" t="s">
        <v>879</v>
      </c>
      <c r="B217" s="225">
        <v>4032</v>
      </c>
      <c r="C217" s="227" t="s">
        <v>192</v>
      </c>
      <c r="D217" s="227" t="s">
        <v>535</v>
      </c>
      <c r="E217" s="226">
        <v>43076.069479166668</v>
      </c>
      <c r="F217" s="226">
        <v>43076.07199074074</v>
      </c>
      <c r="G217" s="225">
        <v>87</v>
      </c>
      <c r="H217" s="227" t="s">
        <v>1002</v>
      </c>
      <c r="I217" s="226">
        <v>25568.708333333332</v>
      </c>
      <c r="J217" s="225">
        <v>0</v>
      </c>
      <c r="K217" s="237" t="str">
        <f t="shared" si="115"/>
        <v>4031/4032</v>
      </c>
      <c r="L217" s="245" t="str">
        <f>VLOOKUP(A217,'Trips&amp;Operators'!$C$1:$G$99911,5,FALSE)</f>
        <v>LONG FULLER</v>
      </c>
      <c r="M217" s="224">
        <f t="shared" si="116"/>
        <v>-17507.363657407408</v>
      </c>
      <c r="N217" s="225">
        <f t="shared" si="104"/>
        <v>-25210603.666666668</v>
      </c>
      <c r="O217" s="225"/>
      <c r="P217" s="225"/>
      <c r="Q217" s="228"/>
      <c r="R217" s="242"/>
      <c r="S217" s="249">
        <f t="shared" si="105"/>
        <v>1</v>
      </c>
      <c r="T217" s="242" t="str">
        <f t="shared" si="117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18"/>
        <v>https://d0f6bd738d7f1b3e5a7ca70fe4ff75f0.us-east-1.aws.found.io/app/kibana#/discover/Steve-Slow-Train-Analysis-(2080s-and-2083s)?_g=(refreshInterval:(display:Off,pause:!f,section:0,value:0),time:(from:'2017-12-07T00:40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247" t="str">
        <f>IF(AA217&lt;VLOOKUP(AG217,Variables!$AC$3:$AD$8,2,FALSE),"Y","N")</f>
        <v>Y</v>
      </c>
      <c r="X217" s="247">
        <f t="shared" si="114"/>
        <v>1</v>
      </c>
      <c r="Y217" s="247">
        <f t="shared" si="129"/>
        <v>5.5500000000000001E-2</v>
      </c>
      <c r="Z217" s="247">
        <f t="shared" si="130"/>
        <v>2.3300999999999998</v>
      </c>
      <c r="AA217" s="247">
        <f t="shared" si="119"/>
        <v>2.2746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20"/>
        <v>309</v>
      </c>
      <c r="AE217" s="235" t="str">
        <f t="shared" si="121"/>
        <v>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 &amp; 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</v>
      </c>
      <c r="AF217" s="234" t="str">
        <f t="shared" si="122"/>
        <v>"C:\Program Files (x86)\AstroGrep\AstroGrep.exe" /e /r /s /spath="%USERPROFILE%\AppData\Local\Temp\OnboardLogs" /stypes="app*4032*19700101*" /stext=" 00:.+((SYSTEM_STATE.+slice.+state.+changed )|(ment ac)|(multiple cpu faults)|(system.+state.+changed )|(\[timeout)|(PRM\|1\|D)|(kpr)|(kdp)|(train st.+moving)|(\|lc)|(penalty))"</v>
      </c>
      <c r="AG217" s="244" t="str">
        <f t="shared" si="123"/>
        <v>Other</v>
      </c>
      <c r="AH217" s="236" t="str">
        <f t="shared" si="131"/>
        <v>"%USERPROFILE%\Documents\GitHub\eaglep3\Utilities\RefineRTDCRunTimes.py" --tripid 309-06 --locoid 4032 --swversion DE.1.0.9.0 --startMP 204:555 --initTime 2017-12-07T01:40:03 --startdatetime 2017-12-07T01:43:40 --delay 87 --endMP 300:23301 --enddatetime 1969-12-31T17:00:00 --enforcementcount 0 &gt;&gt;%USERPROFILE%\Documents\GitHub\eaglep3-reporting\EC\2017-12-06-refined-times.txt</v>
      </c>
      <c r="AI217" s="238" t="str">
        <f t="shared" si="132"/>
        <v>echo {"issue":{"subject":"","project_id":79,"tracker_id":40,"status_id":1,"priority_id":2,"assigned_to_id":338,"start_date":"1969-12-31","description":"","custom_fields":[{"id":1,"name":"Subdivision","value":"Other"},{"id":4,"name":"Milepost","value":"2.3301"},{"id":17,"name":"Train ID","value":"309-06"},{"id":16,"name":"Locomotive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133"/>
        <v>start /low /b %USERPROFILE%\Documents\GitHub\eaglep3\Utilities\DownloadLogsFromS3.py --loco 4032 --day 2017-12-07</v>
      </c>
      <c r="AN217" s="241" t="str">
        <f t="shared" si="134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35"/>
        <v>https://d0f6bd738d7f1b3e5a7ca70fe4ff75f0.us-east-1.aws.found.io/app/kibana#/discover/Steve-Slow-Train-Analysis-(2080s-and-2083s)?_g=(refreshInterval:(display:Off,pause:!f,section:0,value:0),time:(from:'2017-12-07T00:40:03-0700',mode:absolute,to:'1969-12-31T18:00:00-0700'))&amp;_a=(columns:!('Message%20ID',Summary),filters:!(),index:'emp_*',interval:auto,query:(query_string:(analyze_wildcard:!t,query:'%22rtdc.l.rtdc.4032%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678</v>
      </c>
      <c r="B218" s="225">
        <v>4033</v>
      </c>
      <c r="C218" s="227" t="s">
        <v>192</v>
      </c>
      <c r="D218" s="227" t="s">
        <v>1003</v>
      </c>
      <c r="E218" s="226">
        <v>43075.198009259257</v>
      </c>
      <c r="F218" s="226">
        <v>43075.20040509259</v>
      </c>
      <c r="G218" s="225">
        <v>64</v>
      </c>
      <c r="H218" s="227" t="s">
        <v>889</v>
      </c>
      <c r="I218" s="226">
        <v>43075.205567129633</v>
      </c>
      <c r="J218" s="225">
        <v>0</v>
      </c>
      <c r="K218" s="237" t="str">
        <f t="shared" si="115"/>
        <v>4033/4034</v>
      </c>
      <c r="L218" s="245" t="str">
        <f>VLOOKUP(A218,'Trips&amp;Operators'!$C$1:$G$99911,5,FALSE)</f>
        <v>YANAI IAN</v>
      </c>
      <c r="M218" s="224">
        <f t="shared" si="116"/>
        <v>5.1620370431919582E-3</v>
      </c>
      <c r="N218" s="225">
        <f t="shared" si="104"/>
        <v>7.4333333421964198</v>
      </c>
      <c r="O218" s="225"/>
      <c r="P218" s="225"/>
      <c r="Q218" s="228"/>
      <c r="R218" s="242"/>
      <c r="S218" s="249">
        <f t="shared" si="105"/>
        <v>1</v>
      </c>
      <c r="T218" s="242" t="str">
        <f t="shared" si="117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18"/>
        <v>https://d0f6bd738d7f1b3e5a7ca70fe4ff75f0.us-east-1.aws.found.io/app/kibana#/discover/Steve-Slow-Train-Analysis-(2080s-and-2083s)?_g=(refreshInterval:(display:Off,pause:!f,section:0,value:0),time:(from:'2017-12-06T03:45:08-0700',mode:absolute,to:'2017-12-06T05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8" s="247" t="str">
        <f>IF(AA218&lt;VLOOKUP(AG218,Variables!$AC$3:$AD$8,2,FALSE),"Y","N")</f>
        <v>Y</v>
      </c>
      <c r="X218" s="247">
        <f t="shared" si="114"/>
        <v>1</v>
      </c>
      <c r="Y218" s="247">
        <f t="shared" si="129"/>
        <v>2.3673000000000002</v>
      </c>
      <c r="Z218" s="247">
        <f t="shared" si="130"/>
        <v>1.41E-2</v>
      </c>
      <c r="AA218" s="247">
        <f t="shared" si="119"/>
        <v>2.3532000000000002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20"/>
        <v>310</v>
      </c>
      <c r="AE218" s="235" t="str">
        <f t="shared" si="121"/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AF218" s="234" t="str">
        <f t="shared" si="122"/>
        <v>"C:\Program Files (x86)\AstroGrep\AstroGrep.exe" /e /r /s /spath="%USERPROFILE%\AppData\Local\Temp\OnboardLogs" /stypes="app*4033*20171206*" /stext=" 11:.+((SYSTEM_STATE.+slice.+state.+changed )|(ment ac)|(multiple cpu faults)|(system.+state.+changed )|(\[timeout)|(PRM\|1\|D)|(kpr)|(kdp)|(train st.+moving)|(\|lc)|(penalty))"</v>
      </c>
      <c r="AG218" s="244" t="str">
        <f t="shared" si="123"/>
        <v>Other</v>
      </c>
      <c r="AH218" s="236" t="str">
        <f t="shared" si="131"/>
        <v>"%USERPROFILE%\Documents\GitHub\eaglep3\Utilities\RefineRTDCRunTimes.py" --tripid 310-06 --locoid 4033 --swversion DE.1.0.9.0 --startMP 300:23673 --initTime 2017-12-06T04:45:08 --startdatetime 2017-12-06T04:48:35 --delay 64 --endMP 204:141 --enddatetime 2017-12-06T04:56:01 --enforcementcount 0 &gt;&gt;%USERPROFILE%\Documents\GitHub\eaglep3-reporting\EC\2017-12-06-refined-times.txt</v>
      </c>
      <c r="AI218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{"issue":{"subject":"","project_id":79,"tracker_id":40,"status_id":1,"priority_id":2,"assigned_to_id":338,"start_date":"2017-12-06","description":"","custom_fields":[{"id":1,"name":"Subdivision","value":"Other"},{"id":4,"name":"Milepost","value":"0.0141"},{"id":17,"name":"Train ID","value":"310-06"},{"id":16,"name":"Locomotive ID","value":"4033"},{"id":130,"name":"Impact","value":""},{"id":150,"name":"Time of Event (Mountain Time)","value":"04:56:01"},{"id":151,"name":"Denver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33"/>
        <v>start /low /b %USERPROFILE%\Documents\GitHub\eaglep3\Utilities\DownloadLogsFromS3.py --loco 4033 --day 2017-12-06</v>
      </c>
      <c r="AN218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35"/>
        <v>https://d0f6bd738d7f1b3e5a7ca70fe4ff75f0.us-east-1.aws.found.io/app/kibana#/discover/Steve-Slow-Train-Analysis-(2080s-and-2083s)?_g=(refreshInterval:(display:Off,pause:!f,section:0,value:0),time:(from:'2017-12-06T03:45:08-0700',mode:absolute,to:'2017-12-06T05:56:01-0700'))&amp;_a=(columns:!('Message%20ID',Summary),filters:!(),index:'emp_*',interval:auto,query:(query_string:(analyze_wildcard:!t,query:'%22rtdc.l.rtdc.4033%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880</v>
      </c>
      <c r="B219" s="225">
        <v>4064</v>
      </c>
      <c r="C219" s="227" t="s">
        <v>192</v>
      </c>
      <c r="D219" s="227" t="s">
        <v>1004</v>
      </c>
      <c r="E219" s="226">
        <v>43076.088923611111</v>
      </c>
      <c r="F219" s="226">
        <v>43076.090451388889</v>
      </c>
      <c r="G219" s="225">
        <v>57</v>
      </c>
      <c r="H219" s="227" t="s">
        <v>609</v>
      </c>
      <c r="I219" s="226">
        <v>43076.099305555559</v>
      </c>
      <c r="J219" s="225">
        <v>0</v>
      </c>
      <c r="K219" s="237" t="str">
        <f t="shared" si="115"/>
        <v>4063/4064</v>
      </c>
      <c r="L219" s="245" t="str">
        <f>VLOOKUP(A219,'Trips&amp;Operators'!$C$1:$G$99911,5,FALSE)</f>
        <v>ANDERS STEVEN</v>
      </c>
      <c r="M219" s="224">
        <f t="shared" si="116"/>
        <v>8.8541666700621136E-3</v>
      </c>
      <c r="N219" s="225">
        <f t="shared" si="104"/>
        <v>12.750000004889444</v>
      </c>
      <c r="O219" s="225"/>
      <c r="P219" s="225"/>
      <c r="Q219" s="228"/>
      <c r="R219" s="242"/>
      <c r="S219" s="249">
        <f t="shared" si="105"/>
        <v>1</v>
      </c>
      <c r="T219" s="242" t="str">
        <f t="shared" si="117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18"/>
        <v>https://d0f6bd738d7f1b3e5a7ca70fe4ff75f0.us-east-1.aws.found.io/app/kibana#/discover/Steve-Slow-Train-Analysis-(2080s-and-2083s)?_g=(refreshInterval:(display:Off,pause:!f,section:0,value:0),time:(from:'2017-12-07T01:08:03-0700',mode:absolute,to:'2017-12-07T03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47" t="str">
        <f>IF(AA219&lt;VLOOKUP(AG219,Variables!$AC$3:$AD$8,2,FALSE),"Y","N")</f>
        <v>Y</v>
      </c>
      <c r="X219" s="247">
        <f t="shared" si="114"/>
        <v>1</v>
      </c>
      <c r="Y219" s="247">
        <f t="shared" si="129"/>
        <v>5.4199999999999998E-2</v>
      </c>
      <c r="Z219" s="247">
        <f t="shared" si="130"/>
        <v>2.3313999999999999</v>
      </c>
      <c r="AA219" s="247">
        <f t="shared" si="119"/>
        <v>2.2772000000000001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20"/>
        <v>311</v>
      </c>
      <c r="AE219" s="235" t="str">
        <f t="shared" si="121"/>
        <v>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 &amp; 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</v>
      </c>
      <c r="AF219" s="234" t="str">
        <f t="shared" si="122"/>
        <v>"C:\Program Files (x86)\AstroGrep\AstroGrep.exe" /e /r /s /spath="%USERPROFILE%\AppData\Local\Temp\OnboardLogs" /stypes="app*4064*20171207*" /stext=" 09:.+((SYSTEM_STATE.+slice.+state.+changed )|(ment ac)|(multiple cpu faults)|(system.+state.+changed )|(\[timeout)|(PRM\|1\|D)|(kpr)|(kdp)|(train st.+moving)|(\|lc)|(penalty))"</v>
      </c>
      <c r="AG219" s="244" t="str">
        <f t="shared" si="123"/>
        <v>Other</v>
      </c>
      <c r="AH219" s="236" t="str">
        <f t="shared" si="131"/>
        <v>"%USERPROFILE%\Documents\GitHub\eaglep3\Utilities\RefineRTDCRunTimes.py" --tripid 311-06 --locoid 4064 --swversion DE.1.0.9.0 --startMP 204:542 --initTime 2017-12-07T02:08:03 --startdatetime 2017-12-07T02:10:15 --delay 57 --endMP 300:23314 --enddatetime 2017-12-07T02:23:00 --enforcementcount 0 &gt;&gt;%USERPROFILE%\Documents\GitHub\eaglep3-reporting\EC\2017-12-06-refined-times.txt</v>
      </c>
      <c r="AI219" s="238" t="str">
        <f t="shared" si="132"/>
        <v>echo {"issue":{"subject":"","project_id":79,"tracker_id":40,"status_id":1,"priority_id":2,"assigned_to_id":338,"start_date":"2017-12-07","description":"","custom_fields":[{"id":1,"name":"Subdivision","value":"Other"},{"id":4,"name":"Milepost","value":"2.3314"},{"id":17,"name":"Train ID","value":"311-06"},{"id":16,"name":"Locomotive ID","value":"4064"},{"id":130,"name":"Impact","value":""},{"id":150,"name":"Time of Event (Mountain Time)","value":"02:23:00"},{"id":151,"name":"Denver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33"/>
        <v>start /low /b %USERPROFILE%\Documents\GitHub\eaglep3\Utilities\DownloadLogsFromS3.py --loco 4064 --day 2017-12-07</v>
      </c>
      <c r="AN219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09:23:00"},{"id":29,"name":"Sharepoint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35"/>
        <v>https://d0f6bd738d7f1b3e5a7ca70fe4ff75f0.us-east-1.aws.found.io/app/kibana#/discover/Steve-Slow-Train-Analysis-(2080s-and-2083s)?_g=(refreshInterval:(display:Off,pause:!f,section:0,value:0),time:(from:'2017-12-07T01:08:03-0700',mode:absolute,to:'2017-12-07T03:23:00-0700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629</v>
      </c>
      <c r="B220" s="225">
        <v>4061</v>
      </c>
      <c r="C220" s="227" t="s">
        <v>192</v>
      </c>
      <c r="D220" s="227" t="s">
        <v>1005</v>
      </c>
      <c r="E220" s="226">
        <v>43075.218090277776</v>
      </c>
      <c r="F220" s="226">
        <v>43075.221041666664</v>
      </c>
      <c r="G220" s="225">
        <v>57</v>
      </c>
      <c r="H220" s="227" t="s">
        <v>527</v>
      </c>
      <c r="I220" s="226">
        <v>43075.227314814816</v>
      </c>
      <c r="J220" s="225">
        <v>0</v>
      </c>
      <c r="K220" s="237" t="str">
        <f t="shared" si="115"/>
        <v>4061/4062</v>
      </c>
      <c r="L220" s="245" t="str">
        <f>VLOOKUP(A220,'Trips&amp;Operators'!$C$1:$G$99911,5,FALSE)</f>
        <v>FORTUNATO FRANK</v>
      </c>
      <c r="M220" s="224">
        <f t="shared" si="116"/>
        <v>6.2731481521041133E-3</v>
      </c>
      <c r="N220" s="225">
        <f t="shared" ref="N220:N232" si="136">24*60*SUM($M220:$M220)</f>
        <v>9.0333333390299231</v>
      </c>
      <c r="O220" s="225"/>
      <c r="P220" s="225"/>
      <c r="Q220" s="228"/>
      <c r="R220" s="242"/>
      <c r="S220" s="249">
        <f t="shared" ref="S220:S251" si="137">1/IF(AG220="EC",12,1)*SUM(U220:U220)</f>
        <v>1</v>
      </c>
      <c r="T220" s="242" t="str">
        <f t="shared" si="117"/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18"/>
        <v>https://d0f6bd738d7f1b3e5a7ca70fe4ff75f0.us-east-1.aws.found.io/app/kibana#/discover/Steve-Slow-Train-Analysis-(2080s-and-2083s)?_g=(refreshInterval:(display:Off,pause:!f,section:0,value:0),time:(from:'2017-12-06T04:14:03-0700',mode:absolute,to:'2017-12-06T06:27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0" s="247" t="str">
        <f>IF(AA220&lt;VLOOKUP(AG220,Variables!$AC$3:$AD$8,2,FALSE),"Y","N")</f>
        <v>Y</v>
      </c>
      <c r="X220" s="247">
        <f t="shared" si="114"/>
        <v>1</v>
      </c>
      <c r="Y220" s="247">
        <f t="shared" si="129"/>
        <v>2.3624999999999998</v>
      </c>
      <c r="Z220" s="247">
        <f t="shared" si="130"/>
        <v>2.29E-2</v>
      </c>
      <c r="AA220" s="247">
        <f t="shared" si="119"/>
        <v>2.3395999999999999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20"/>
        <v>312</v>
      </c>
      <c r="AE220" s="235" t="str">
        <f t="shared" si="121"/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AF220" s="234" t="str">
        <f t="shared" si="122"/>
        <v>"C:\Program Files (x86)\AstroGrep\AstroGrep.exe" /e /r /s /spath="%USERPROFILE%\AppData\Local\Temp\OnboardLogs" /stypes="app*4061*20171206*" /stext=" 12:.+((SYSTEM_STATE.+slice.+state.+changed )|(ment ac)|(multiple cpu faults)|(system.+state.+changed )|(\[timeout)|(PRM\|1\|D)|(kpr)|(kdp)|(train st.+moving)|(\|lc)|(penalty))"</v>
      </c>
      <c r="AG220" s="244" t="str">
        <f t="shared" si="123"/>
        <v>Other</v>
      </c>
      <c r="AH220" s="236" t="str">
        <f t="shared" si="131"/>
        <v>"%USERPROFILE%\Documents\GitHub\eaglep3\Utilities\RefineRTDCRunTimes.py" --tripid 312-06 --locoid 4061 --swversion DE.1.0.9.0 --startMP 300:23625 --initTime 2017-12-06T05:14:03 --startdatetime 2017-12-06T05:18:18 --delay 57 --endMP 204:229 --enddatetime 2017-12-06T05:27:20 --enforcementcount 0 &gt;&gt;%USERPROFILE%\Documents\GitHub\eaglep3-reporting\EC\2017-12-06-refined-times.txt</v>
      </c>
      <c r="AI220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{"issue":{"subject":"","project_id":79,"tracker_id":40,"status_id":1,"priority_id":2,"assigned_to_id":338,"start_date":"2017-12-06","description":"","custom_fields":[{"id":1,"name":"Subdivision","value":"Other"},{"id":4,"name":"Milepost","value":"0.0229"},{"id":17,"name":"Train ID","value":"312-06"},{"id":16,"name":"Locomotive ID","value":"4061"},{"id":130,"name":"Impact","value":""},{"id":150,"name":"Time of Event (Mountain Time)","value":"05:27:20"},{"id":151,"name":"Denver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33"/>
        <v>start /low /b %USERPROFILE%\Documents\GitHub\eaglep3\Utilities\DownloadLogsFromS3.py --loco 4061 --day 2017-12-06</v>
      </c>
      <c r="AN220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35"/>
        <v>https://d0f6bd738d7f1b3e5a7ca70fe4ff75f0.us-east-1.aws.found.io/app/kibana#/discover/Steve-Slow-Train-Analysis-(2080s-and-2083s)?_g=(refreshInterval:(display:Off,pause:!f,section:0,value:0),time:(from:'2017-12-06T04:14:03-0700',mode:absolute,to:'2017-12-06T06:27:20-0700'))&amp;_a=(columns:!('Message%20ID',Summary),filters:!(),index:'emp_*',interval:auto,query:(query_string:(analyze_wildcard:!t,query:'%22rtdc.l.rtdc.4061%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875</v>
      </c>
      <c r="B221" s="225">
        <v>4008</v>
      </c>
      <c r="C221" s="227" t="s">
        <v>192</v>
      </c>
      <c r="D221" s="227" t="s">
        <v>1006</v>
      </c>
      <c r="E221" s="226">
        <v>43076.02584490741</v>
      </c>
      <c r="F221" s="226">
        <v>43076.027268518519</v>
      </c>
      <c r="G221" s="225">
        <v>72</v>
      </c>
      <c r="H221" s="227" t="s">
        <v>1007</v>
      </c>
      <c r="I221" s="226">
        <v>43076.03392361111</v>
      </c>
      <c r="J221" s="225">
        <v>0</v>
      </c>
      <c r="K221" s="237" t="str">
        <f t="shared" si="115"/>
        <v>4007/4008</v>
      </c>
      <c r="L221" s="245" t="str">
        <f>VLOOKUP(A221,'Trips&amp;Operators'!$C$1:$G$99911,5,FALSE)</f>
        <v>MOSES BRADLEY</v>
      </c>
      <c r="M221" s="224">
        <f t="shared" si="116"/>
        <v>6.655092591245193E-3</v>
      </c>
      <c r="N221" s="225">
        <f t="shared" si="136"/>
        <v>9.583333331393078</v>
      </c>
      <c r="O221" s="225"/>
      <c r="P221" s="225"/>
      <c r="Q221" s="228"/>
      <c r="R221" s="242"/>
      <c r="S221" s="249">
        <f t="shared" si="137"/>
        <v>1</v>
      </c>
      <c r="T221" s="242" t="str">
        <f t="shared" si="117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18"/>
        <v>https://d0f6bd738d7f1b3e5a7ca70fe4ff75f0.us-east-1.aws.found.io/app/kibana#/discover/Steve-Slow-Train-Analysis-(2080s-and-2083s)?_g=(refreshInterval:(display:Off,pause:!f,section:0,value:0),time:(from:'2017-12-06T23:37:13-0700',mode:absolute,to:'2017-12-07T01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47" t="str">
        <f>IF(AA221&lt;VLOOKUP(AG221,Variables!$AC$3:$AD$8,2,FALSE),"Y","N")</f>
        <v>Y</v>
      </c>
      <c r="X221" s="247">
        <f t="shared" si="114"/>
        <v>1</v>
      </c>
      <c r="Y221" s="247">
        <f t="shared" si="129"/>
        <v>4.8000000000000001E-2</v>
      </c>
      <c r="Z221" s="247">
        <f t="shared" si="130"/>
        <v>2.3302</v>
      </c>
      <c r="AA221" s="247">
        <f t="shared" si="119"/>
        <v>2.2822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20"/>
        <v>313</v>
      </c>
      <c r="AE221" s="235" t="str">
        <f t="shared" si="121"/>
        <v>aws s3 cp s3://rtdc.mdm.uploadarchive.raw/RTDC4008/ "%USERPROFILE%\AppData\Local\Temp\OnboardLogs"\RTDC4008\2017-12-07 --exclude "*" --recursive --include "*20171207*" &amp; "%USERPROFILE%\Documents\GitHub\mrs-test-scripts\Headless Mode &amp; Sideloading\WalkAndUnGZ.bat" "%USERPROFILE%\AppData\Local\Temp\OnboardLogs"\RTDC4008\2017-12-07 &amp; 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</v>
      </c>
      <c r="AF221" s="234" t="str">
        <f t="shared" si="122"/>
        <v>"C:\Program Files (x86)\AstroGrep\AstroGrep.exe" /e /r /s /spath="%USERPROFILE%\AppData\Local\Temp\OnboardLogs" /stypes="app*4008*20171207*" /stext=" 07:.+((SYSTEM_STATE.+slice.+state.+changed )|(ment ac)|(multiple cpu faults)|(system.+state.+changed )|(\[timeout)|(PRM\|1\|D)|(kpr)|(kdp)|(train st.+moving)|(\|lc)|(penalty))"</v>
      </c>
      <c r="AG221" s="244" t="str">
        <f t="shared" si="123"/>
        <v>Other</v>
      </c>
      <c r="AH221" s="236" t="str">
        <f t="shared" si="131"/>
        <v>"%USERPROFILE%\Documents\GitHub\eaglep3\Utilities\RefineRTDCRunTimes.py" --tripid 313-06 --locoid 4008 --swversion DE.1.0.9.0 --startMP 204:480 --initTime 2017-12-07T00:37:13 --startdatetime 2017-12-07T00:39:16 --delay 72 --endMP 300:23302 --enddatetime 2017-12-07T00:48:51 --enforcementcount 0 &gt;&gt;%USERPROFILE%\Documents\GitHub\eaglep3-reporting\EC\2017-12-06-refined-times.txt</v>
      </c>
      <c r="AI221" s="238" t="str">
        <f t="shared" si="132"/>
        <v>echo {"issue":{"subject":"","project_id":79,"tracker_id":40,"status_id":1,"priority_id":2,"assigned_to_id":338,"start_date":"2017-12-07","description":"","custom_fields":[{"id":1,"name":"Subdivision","value":"Other"},{"id":4,"name":"Milepost","value":"2.3302"},{"id":17,"name":"Train ID","value":"313-06"},{"id":16,"name":"Locomotive ID","value":"4008"},{"id":130,"name":"Impact","value":""},{"id":150,"name":"Time of Event (Mountain Time)","value":"00:48:51"},{"id":151,"name":"Denver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33"/>
        <v>start /low /b %USERPROFILE%\Documents\GitHub\eaglep3\Utilities\DownloadLogsFromS3.py --loco 4008 --day 2017-12-07</v>
      </c>
      <c r="AN221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07:48:51"},{"id":29,"name":"Sharepoint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35"/>
        <v>https://d0f6bd738d7f1b3e5a7ca70fe4ff75f0.us-east-1.aws.found.io/app/kibana#/discover/Steve-Slow-Train-Analysis-(2080s-and-2083s)?_g=(refreshInterval:(display:Off,pause:!f,section:0,value:0),time:(from:'2017-12-06T23:37:13-0700',mode:absolute,to:'2017-12-07T01:48:51-0700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25">
      <c r="A222" s="229" t="s">
        <v>679</v>
      </c>
      <c r="B222" s="225">
        <v>4058</v>
      </c>
      <c r="C222" s="227" t="s">
        <v>192</v>
      </c>
      <c r="D222" s="227" t="s">
        <v>1097</v>
      </c>
      <c r="E222" s="226">
        <v>43075.199155092596</v>
      </c>
      <c r="F222" s="226">
        <v>43075.205081018517</v>
      </c>
      <c r="G222" s="225">
        <v>299</v>
      </c>
      <c r="H222" s="227" t="s">
        <v>1098</v>
      </c>
      <c r="I222" s="226">
        <v>43075.210162037038</v>
      </c>
      <c r="J222" s="225">
        <v>0</v>
      </c>
      <c r="K222" s="237" t="str">
        <f t="shared" si="115"/>
        <v>4057/4058</v>
      </c>
      <c r="L222" s="245" t="str">
        <f>VLOOKUP(A222,'Trips&amp;Operators'!$C$1:$G$99911,5,FALSE)</f>
        <v>LAMAR NEKESHA</v>
      </c>
      <c r="M222" s="224">
        <f t="shared" si="116"/>
        <v>5.0810185202863067E-3</v>
      </c>
      <c r="N222" s="225">
        <f t="shared" si="136"/>
        <v>7.3166666692122817</v>
      </c>
      <c r="O222" s="225"/>
      <c r="P222" s="225"/>
      <c r="Q222" s="228"/>
      <c r="R222" s="242"/>
      <c r="S222" s="249">
        <f t="shared" si="137"/>
        <v>0</v>
      </c>
      <c r="T222" s="242" t="str">
        <f t="shared" si="117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18"/>
        <v>https://d0f6bd738d7f1b3e5a7ca70fe4ff75f0.us-east-1.aws.found.io/app/kibana#/discover/Steve-Slow-Train-Analysis-(2080s-and-2083s)?_g=(refreshInterval:(display:Off,pause:!f,section:0,value:0),time:(from:'2017-12-06T03:46:47-0700',mode:absolute,to:'2017-12-06T06:02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2" s="247" t="str">
        <f>IF(AA222&lt;VLOOKUP(AG222,Variables!$AC$3:$AD$8,2,FALSE),"Y","N")</f>
        <v>Y</v>
      </c>
      <c r="X222" s="247">
        <f t="shared" si="114"/>
        <v>588</v>
      </c>
      <c r="Y222" s="247">
        <f t="shared" si="129"/>
        <v>3.0209000000000001</v>
      </c>
      <c r="Z222" s="247">
        <f t="shared" si="130"/>
        <v>5.8987999999999996</v>
      </c>
      <c r="AA222" s="247">
        <f t="shared" si="119"/>
        <v>2.8778999999999995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20"/>
        <v>901</v>
      </c>
      <c r="AE222" s="235" t="str">
        <f t="shared" si="121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222" s="234" t="str">
        <f t="shared" si="122"/>
        <v>"C:\Program Files (x86)\AstroGrep\AstroGrep.exe" /e /r /s /spath="%USERPROFILE%\AppData\Local\Temp\OnboardLogs" /stypes="app*4058*20171206*" /stext=" 12:.+((SYSTEM_STATE.+slice.+state.+changed )|(ment ac)|(multiple cpu faults)|(system.+state.+changed )|(\[timeout)|(PRM\|1\|D)|(kpr)|(kdp)|(train st.+moving)|(\|lc)|(penalty))"</v>
      </c>
      <c r="AG222" s="244" t="str">
        <f t="shared" si="123"/>
        <v>Other</v>
      </c>
      <c r="AH222" s="236" t="str">
        <f t="shared" si="131"/>
        <v>"%USERPROFILE%\Documents\GitHub\eaglep3\Utilities\RefineRTDCRunTimes.py" --tripid 901-06 --locoid 4058 --swversion DE.1.0.9.0 --startMP 300:30209 --initTime 2017-12-06T04:46:47 --startdatetime 2017-12-06T04:55:19 --delay 299 --endMP 300:58988 --enddatetime 2017-12-06T05:02:38 --enforcementcount 0 &gt;&gt;%USERPROFILE%\Documents\GitHub\eaglep3-reporting\EC\2017-12-06-refined-times.txt</v>
      </c>
      <c r="AI222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{"issue":{"subject":"","project_id":79,"tracker_id":40,"status_id":1,"priority_id":2,"assigned_to_id":338,"start_date":"2017-12-06","description":"","custom_fields":[{"id":1,"name":"Subdivision","value":"Other"},{"id":4,"name":"Milepost","value":"5.8988"},{"id":17,"name":"Train ID","value":"901-06"},{"id":16,"name":"Locomotive ID","value":"4058"},{"id":130,"name":"Impact","value":""},{"id":150,"name":"Time of Event (Mountain Time)","value":"05:02:38"},{"id":151,"name":"Denver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133"/>
        <v>start /low /b %USERPROFILE%\Documents\GitHub\eaglep3\Utilities\DownloadLogsFromS3.py --loco 4058 --day 2017-12-06</v>
      </c>
      <c r="AN222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12:02:38"},{"id":29,"name":"Sharepoint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35"/>
        <v>https://d0f6bd738d7f1b3e5a7ca70fe4ff75f0.us-east-1.aws.found.io/app/kibana#/discover/Steve-Slow-Train-Analysis-(2080s-and-2083s)?_g=(refreshInterval:(display:Off,pause:!f,section:0,value:0),time:(from:'2017-12-06T03:46:47-0700',mode:absolute,to:'2017-12-06T06:02:38-0700'))&amp;_a=(columns:!('Message%20ID',Summary),filters:!(),index:'emp_*',interval:auto,query:(query_string:(analyze_wildcard:!t,query:'%22rtdc.l.rtdc.4058%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688</v>
      </c>
      <c r="B223" s="225">
        <v>4049</v>
      </c>
      <c r="C223" s="227" t="s">
        <v>192</v>
      </c>
      <c r="D223" s="227" t="s">
        <v>1001</v>
      </c>
      <c r="E223" s="226">
        <v>43075.240972222222</v>
      </c>
      <c r="F223" s="226">
        <v>43075.247476851851</v>
      </c>
      <c r="G223" s="225">
        <v>60</v>
      </c>
      <c r="H223" s="227" t="s">
        <v>1057</v>
      </c>
      <c r="I223" s="226">
        <v>43075.252962962964</v>
      </c>
      <c r="J223" s="225">
        <v>0</v>
      </c>
      <c r="K223" s="237" t="str">
        <f t="shared" si="115"/>
        <v>4049/4050</v>
      </c>
      <c r="L223" s="245" t="str">
        <f>VLOOKUP(A223,'Trips&amp;Operators'!$C$1:$G$99911,5,FALSE)</f>
        <v>ROCHA YAOTL</v>
      </c>
      <c r="M223" s="224">
        <f t="shared" si="116"/>
        <v>5.4861111129866913E-3</v>
      </c>
      <c r="N223" s="225">
        <f t="shared" si="136"/>
        <v>7.9000000027008355</v>
      </c>
      <c r="O223" s="225"/>
      <c r="P223" s="225"/>
      <c r="Q223" s="228"/>
      <c r="R223" s="242"/>
      <c r="S223" s="249">
        <f t="shared" si="137"/>
        <v>1</v>
      </c>
      <c r="T223" s="242" t="str">
        <f t="shared" si="117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18"/>
        <v>https://d0f6bd738d7f1b3e5a7ca70fe4ff75f0.us-east-1.aws.found.io/app/kibana#/discover/Steve-Slow-Train-Analysis-(2080s-and-2083s)?_g=(refreshInterval:(display:Off,pause:!f,section:0,value:0),time:(from:'2017-12-06T04:47:00-0700',mode:absolute,to:'2017-12-06T07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3" s="247" t="str">
        <f>IF(AA223&lt;VLOOKUP(AG223,Variables!$AC$3:$AD$8,2,FALSE),"Y","N")</f>
        <v>Y</v>
      </c>
      <c r="X223" s="247">
        <f t="shared" si="114"/>
        <v>1</v>
      </c>
      <c r="Y223" s="247">
        <f t="shared" si="129"/>
        <v>2.3447</v>
      </c>
      <c r="Z223" s="247">
        <f t="shared" si="130"/>
        <v>9.4999999999999998E-3</v>
      </c>
      <c r="AA223" s="247">
        <f t="shared" si="119"/>
        <v>2.3351999999999999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20"/>
        <v>902</v>
      </c>
      <c r="AE223" s="235" t="str">
        <f t="shared" si="121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223" s="234" t="str">
        <f t="shared" si="122"/>
        <v>"C:\Program Files (x86)\AstroGrep\AstroGrep.exe" /e /r /s /spath="%USERPROFILE%\AppData\Local\Temp\OnboardLogs" /stypes="app*4049*20171206*" /stext=" 13:.+((SYSTEM_STATE.+slice.+state.+changed )|(ment ac)|(multiple cpu faults)|(system.+state.+changed )|(\[timeout)|(PRM\|1\|D)|(kpr)|(kdp)|(train st.+moving)|(\|lc)|(penalty))"</v>
      </c>
      <c r="AG223" s="244" t="str">
        <f t="shared" si="123"/>
        <v>Other</v>
      </c>
      <c r="AH223" s="236" t="str">
        <f t="shared" si="131"/>
        <v>"%USERPROFILE%\Documents\GitHub\eaglep3\Utilities\RefineRTDCRunTimes.py" --tripid 902-06 --locoid 4049 --swversion DE.1.0.9.0 --startMP 300:23447 --initTime 2017-12-06T05:47:00 --startdatetime 2017-12-06T05:56:22 --delay 60 --endMP 204:95 --enddatetime 2017-12-06T06:04:16 --enforcementcount 0 &gt;&gt;%USERPROFILE%\Documents\GitHub\eaglep3-reporting\EC\2017-12-06-refined-times.txt</v>
      </c>
      <c r="AI223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{"issue":{"subject":"","project_id":79,"tracker_id":40,"status_id":1,"priority_id":2,"assigned_to_id":338,"start_date":"2017-12-06","description":"","custom_fields":[{"id":1,"name":"Subdivision","value":"Other"},{"id":4,"name":"Milepost","value":"0.0095"},{"id":17,"name":"Train ID","value":"902-06"},{"id":16,"name":"Locomotive ID","value":"4049"},{"id":130,"name":"Impact","value":""},{"id":150,"name":"Time of Event (Mountain Time)","value":"06:04:16"},{"id":151,"name":"Denver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33"/>
        <v>start /low /b %USERPROFILE%\Documents\GitHub\eaglep3\Utilities\DownloadLogsFromS3.py --loco 4049 --day 2017-12-06</v>
      </c>
      <c r="AN223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13:04:16"},{"id":29,"name":"Sharepoint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35"/>
        <v>https://d0f6bd738d7f1b3e5a7ca70fe4ff75f0.us-east-1.aws.found.io/app/kibana#/discover/Steve-Slow-Train-Analysis-(2080s-and-2083s)?_g=(refreshInterval:(display:Off,pause:!f,section:0,value:0),time:(from:'2017-12-06T04:47:00-0700',mode:absolute,to:'2017-12-06T07:04:16-0700'))&amp;_a=(columns:!('Message%20ID',Summary),filters:!(),index:'emp_*',interval:auto,query:(query_string:(analyze_wildcard:!t,query:'%22rtdc.l.rtdc.4049%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721</v>
      </c>
      <c r="B224" s="225">
        <v>4058</v>
      </c>
      <c r="C224" s="227" t="s">
        <v>192</v>
      </c>
      <c r="D224" s="227" t="s">
        <v>1085</v>
      </c>
      <c r="E224" s="226">
        <v>43075.352314814816</v>
      </c>
      <c r="F224" s="226">
        <v>43075.353935185187</v>
      </c>
      <c r="G224" s="225">
        <v>97</v>
      </c>
      <c r="H224" s="227" t="s">
        <v>1099</v>
      </c>
      <c r="I224" s="226">
        <v>43075.360567129632</v>
      </c>
      <c r="J224" s="225">
        <v>0</v>
      </c>
      <c r="K224" s="237" t="str">
        <f t="shared" si="115"/>
        <v>4057/4058</v>
      </c>
      <c r="L224" s="245" t="str">
        <f>VLOOKUP(A224,'Trips&amp;Operators'!$C$1:$G$99911,5,FALSE)</f>
        <v>LAMAR NEKESHA</v>
      </c>
      <c r="M224" s="224">
        <f t="shared" si="116"/>
        <v>6.6319444449618459E-3</v>
      </c>
      <c r="N224" s="225">
        <f t="shared" si="136"/>
        <v>9.5500000007450581</v>
      </c>
      <c r="O224" s="225"/>
      <c r="P224" s="225"/>
      <c r="Q224" s="228"/>
      <c r="R224" s="242"/>
      <c r="S224" s="249">
        <f t="shared" si="137"/>
        <v>1</v>
      </c>
      <c r="T224" s="242" t="str">
        <f t="shared" si="117"/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 t="shared" si="118"/>
        <v>https://d0f6bd738d7f1b3e5a7ca70fe4ff75f0.us-east-1.aws.found.io/app/kibana#/discover/Steve-Slow-Train-Analysis-(2080s-and-2083s)?_g=(refreshInterval:(display:Off,pause:!f,section:0,value:0),time:(from:'2017-12-06T07:27:20-0700',mode:absolute,to:'2017-12-06T09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47" t="str">
        <f>IF(AA224&lt;VLOOKUP(AG224,Variables!$AC$3:$AD$8,2,FALSE),"Y","N")</f>
        <v>Y</v>
      </c>
      <c r="X224" s="247">
        <f t="shared" si="114"/>
        <v>1</v>
      </c>
      <c r="Y224" s="247">
        <f t="shared" si="129"/>
        <v>4.5499999999999999E-2</v>
      </c>
      <c r="Z224" s="247">
        <f t="shared" si="130"/>
        <v>2.4245999999999999</v>
      </c>
      <c r="AA224" s="247">
        <f t="shared" si="119"/>
        <v>2.3790999999999998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20"/>
        <v>903</v>
      </c>
      <c r="AE224" s="235" t="str">
        <f t="shared" si="121"/>
        <v>aws s3 cp s3://rtdc.mdm.uploadarchive.raw/RTDC4058/ "%USERPROFILE%\AppData\Local\Temp\OnboardLogs"\RTDC4058\2017-12-06 --exclude "*" --recursive --include "*20171206*" &amp; "%USERPROFILE%\Documents\GitHub\mrs-test-scripts\Headless Mode &amp; Sideloading\WalkAndUnGZ.bat" "%USERPROFILE%\AppData\Local\Temp\OnboardLogs"\RTDC4058\2017-12-06 &amp; 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</v>
      </c>
      <c r="AF224" s="234" t="str">
        <f t="shared" si="122"/>
        <v>"C:\Program Files (x86)\AstroGrep\AstroGrep.exe" /e /r /s /spath="%USERPROFILE%\AppData\Local\Temp\OnboardLogs" /stypes="app*4058*20171206*" /stext=" 15:.+((SYSTEM_STATE.+slice.+state.+changed )|(ment ac)|(multiple cpu faults)|(system.+state.+changed )|(\[timeout)|(PRM\|1\|D)|(kpr)|(kdp)|(train st.+moving)|(\|lc)|(penalty))"</v>
      </c>
      <c r="AG224" s="244" t="str">
        <f t="shared" si="123"/>
        <v>Other</v>
      </c>
      <c r="AH224" s="236" t="str">
        <f t="shared" si="131"/>
        <v>"%USERPROFILE%\Documents\GitHub\eaglep3\Utilities\RefineRTDCRunTimes.py" --tripid 903-06 --locoid 4058 --swversion DE.1.0.9.0 --startMP 204:455 --initTime 2017-12-06T08:27:20 --startdatetime 2017-12-06T08:29:40 --delay 97 --endMP 300:24246 --enddatetime 2017-12-06T08:39:13 --enforcementcount 0 &gt;&gt;%USERPROFILE%\Documents\GitHub\eaglep3-reporting\EC\2017-12-06-refined-times.txt</v>
      </c>
      <c r="AI224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{"issue":{"subject":"","project_id":79,"tracker_id":40,"status_id":1,"priority_id":2,"assigned_to_id":338,"start_date":"2017-12-06","description":"","custom_fields":[{"id":1,"name":"Subdivision","value":"Other"},{"id":4,"name":"Milepost","value":"2.4246"},{"id":17,"name":"Train ID","value":"903-06"},{"id":16,"name":"Locomotive ID","value":"4058"},{"id":130,"name":"Impact","value":""},{"id":150,"name":"Time of Event (Mountain Time)","value":"08:39:13"},{"id":151,"name":"Denver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33"/>
        <v>start /low /b %USERPROFILE%\Documents\GitHub\eaglep3\Utilities\DownloadLogsFromS3.py --loco 4058 --day 2017-12-06</v>
      </c>
      <c r="AN224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15:39:13"},{"id":29,"name":"Sharepoint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35"/>
        <v>https://d0f6bd738d7f1b3e5a7ca70fe4ff75f0.us-east-1.aws.found.io/app/kibana#/discover/Steve-Slow-Train-Analysis-(2080s-and-2083s)?_g=(refreshInterval:(display:Off,pause:!f,section:0,value:0),time:(from:'2017-12-06T07:27:20-0700',mode:absolute,to:'2017-12-06T09:39:13-0700'))&amp;_a=(columns:!('Message%20ID',Summary),filters:!(),index:'emp_*',interval:auto,query:(query_string:(analyze_wildcard:!t,query:'%22rtdc.l.rtdc.4058%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794</v>
      </c>
      <c r="B225" s="225">
        <v>4057</v>
      </c>
      <c r="C225" s="227" t="s">
        <v>192</v>
      </c>
      <c r="D225" s="227" t="s">
        <v>1100</v>
      </c>
      <c r="E225" s="226">
        <v>43075.637361111112</v>
      </c>
      <c r="F225" s="226">
        <v>43075.640277777777</v>
      </c>
      <c r="G225" s="225">
        <v>79</v>
      </c>
      <c r="H225" s="227" t="s">
        <v>579</v>
      </c>
      <c r="I225" s="226">
        <v>43075.645289351851</v>
      </c>
      <c r="J225" s="225">
        <v>0</v>
      </c>
      <c r="K225" s="237" t="str">
        <f t="shared" si="115"/>
        <v>4057/4058</v>
      </c>
      <c r="L225" s="245" t="str">
        <f>VLOOKUP(A225,'Trips&amp;Operators'!$C$1:$G$99911,5,FALSE)</f>
        <v>STAMBAUGH JAMES</v>
      </c>
      <c r="M225" s="224">
        <f t="shared" si="116"/>
        <v>5.0115740741603076E-3</v>
      </c>
      <c r="N225" s="225">
        <f t="shared" si="136"/>
        <v>7.216666666790843</v>
      </c>
      <c r="O225" s="225"/>
      <c r="P225" s="225"/>
      <c r="Q225" s="228"/>
      <c r="R225" s="242"/>
      <c r="S225" s="249">
        <f t="shared" si="137"/>
        <v>1</v>
      </c>
      <c r="T225" s="242" t="str">
        <f t="shared" si="117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 t="shared" si="118"/>
        <v>https://d0f6bd738d7f1b3e5a7ca70fe4ff75f0.us-east-1.aws.found.io/app/kibana#/discover/Steve-Slow-Train-Analysis-(2080s-and-2083s)?_g=(refreshInterval:(display:Off,pause:!f,section:0,value:0),time:(from:'2017-12-06T14:17:48-0700',mode:absolute,to:'2017-12-06T16:29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5" s="247" t="str">
        <f>IF(AA225&lt;VLOOKUP(AG225,Variables!$AC$3:$AD$8,2,FALSE),"Y","N")</f>
        <v>Y</v>
      </c>
      <c r="X225" s="247">
        <f t="shared" si="114"/>
        <v>1</v>
      </c>
      <c r="Y225" s="247">
        <f t="shared" si="129"/>
        <v>2.3698999999999999</v>
      </c>
      <c r="Z225" s="247">
        <f t="shared" si="130"/>
        <v>1.49E-2</v>
      </c>
      <c r="AA225" s="247">
        <f t="shared" si="119"/>
        <v>2.355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20"/>
        <v>904</v>
      </c>
      <c r="AE225" s="235" t="str">
        <f t="shared" si="121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225" s="234" t="str">
        <f t="shared" si="122"/>
        <v>"C:\Program Files (x86)\AstroGrep\AstroGrep.exe" /e /r /s /spath="%USERPROFILE%\AppData\Local\Temp\OnboardLogs" /stypes="app*4057*20171206*" /stext=" 22:.+((SYSTEM_STATE.+slice.+state.+changed )|(ment ac)|(multiple cpu faults)|(system.+state.+changed )|(\[timeout)|(PRM\|1\|D)|(kpr)|(kdp)|(train st.+moving)|(\|lc)|(penalty))"</v>
      </c>
      <c r="AG225" s="244" t="str">
        <f t="shared" si="123"/>
        <v>Other</v>
      </c>
      <c r="AH225" s="236" t="str">
        <f t="shared" si="131"/>
        <v>"%USERPROFILE%\Documents\GitHub\eaglep3\Utilities\RefineRTDCRunTimes.py" --tripid 904-06 --locoid 4057 --swversion DE.1.0.9.0 --startMP 300:23699 --initTime 2017-12-06T15:17:48 --startdatetime 2017-12-06T15:22:00 --delay 79 --endMP 204:149 --enddatetime 2017-12-06T15:29:13 --enforcementcount 0 &gt;&gt;%USERPROFILE%\Documents\GitHub\eaglep3-reporting\EC\2017-12-06-refined-times.txt</v>
      </c>
      <c r="AI225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{"issue":{"subject":"","project_id":79,"tracker_id":40,"status_id":1,"priority_id":2,"assigned_to_id":338,"start_date":"2017-12-06","description":"","custom_fields":[{"id":1,"name":"Subdivision","value":"Other"},{"id":4,"name":"Milepost","value":"0.0149"},{"id":17,"name":"Train ID","value":"904-06"},{"id":16,"name":"Locomotive ID","value":"4057"},{"id":130,"name":"Impact","value":""},{"id":150,"name":"Time of Event (Mountain Time)","value":"15:29:13"},{"id":151,"name":"Denver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33"/>
        <v>start /low /b %USERPROFILE%\Documents\GitHub\eaglep3\Utilities\DownloadLogsFromS3.py --loco 4057 --day 2017-12-06</v>
      </c>
      <c r="AN225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22:29:13"},{"id":29,"name":"Sharepoint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35"/>
        <v>https://d0f6bd738d7f1b3e5a7ca70fe4ff75f0.us-east-1.aws.found.io/app/kibana#/discover/Steve-Slow-Train-Analysis-(2080s-and-2083s)?_g=(refreshInterval:(display:Off,pause:!f,section:0,value:0),time:(from:'2017-12-06T14:17:48-0700',mode:absolute,to:'2017-12-06T16:29:13-0700'))&amp;_a=(columns:!('Message%20ID',Summary),filters:!(),index:'emp_*',interval:auto,query:(query_string:(analyze_wildcard:!t,query:'%22rtdc.l.rtdc.4057%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842</v>
      </c>
      <c r="B226" s="225">
        <v>4057</v>
      </c>
      <c r="C226" s="227" t="s">
        <v>192</v>
      </c>
      <c r="D226" s="227" t="s">
        <v>618</v>
      </c>
      <c r="E226" s="226">
        <v>43075.78800925926</v>
      </c>
      <c r="F226" s="226">
        <v>43075.789027777777</v>
      </c>
      <c r="G226" s="225">
        <v>48</v>
      </c>
      <c r="H226" s="227" t="s">
        <v>1101</v>
      </c>
      <c r="I226" s="226">
        <v>43075.795590277776</v>
      </c>
      <c r="J226" s="225">
        <v>0</v>
      </c>
      <c r="K226" s="237" t="str">
        <f t="shared" si="115"/>
        <v>4057/4058</v>
      </c>
      <c r="L226" s="245" t="str">
        <f>VLOOKUP(A226,'Trips&amp;Operators'!$C$1:$G$99911,5,FALSE)</f>
        <v>STAMBAUGH JAMES</v>
      </c>
      <c r="M226" s="224">
        <f t="shared" si="116"/>
        <v>6.5624999988358468E-3</v>
      </c>
      <c r="N226" s="225">
        <f t="shared" si="136"/>
        <v>9.4499999983236194</v>
      </c>
      <c r="O226" s="225"/>
      <c r="P226" s="225"/>
      <c r="Q226" s="228"/>
      <c r="R226" s="242"/>
      <c r="S226" s="249">
        <f t="shared" si="137"/>
        <v>0</v>
      </c>
      <c r="T226" s="242" t="str">
        <f t="shared" si="117"/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18"/>
        <v>https://d0f6bd738d7f1b3e5a7ca70fe4ff75f0.us-east-1.aws.found.io/app/kibana#/discover/Steve-Slow-Train-Analysis-(2080s-and-2083s)?_g=(refreshInterval:(display:Off,pause:!f,section:0,value:0),time:(from:'2017-12-06T17:54:44-0700',mode:absolute,to:'2017-12-06T20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247" t="str">
        <f>IF(AA226&lt;VLOOKUP(AG226,Variables!$AC$3:$AD$8,2,FALSE),"Y","N")</f>
        <v>Y</v>
      </c>
      <c r="X226" s="247">
        <f t="shared" si="114"/>
        <v>2</v>
      </c>
      <c r="Y226" s="247">
        <f t="shared" si="129"/>
        <v>5.8611000000000004</v>
      </c>
      <c r="Z226" s="247">
        <f t="shared" si="130"/>
        <v>2.8786</v>
      </c>
      <c r="AA226" s="247">
        <f t="shared" si="119"/>
        <v>2.9825000000000004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20"/>
        <v>906</v>
      </c>
      <c r="AE226" s="235" t="str">
        <f t="shared" si="121"/>
        <v>aws s3 cp s3://rtdc.mdm.uploadarchive.raw/RTDC4057/ "%USERPROFILE%\AppData\Local\Temp\OnboardLogs"\RTDC4057\2017-12-06 --exclude "*" --recursive --include "*20171206*" &amp; "%USERPROFILE%\Documents\GitHub\mrs-test-scripts\Headless Mode &amp; Sideloading\WalkAndUnGZ.bat" "%USERPROFILE%\AppData\Local\Temp\OnboardLogs"\RTDC4057\2017-12-06 &amp; 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</v>
      </c>
      <c r="AF226" s="234" t="str">
        <f t="shared" si="122"/>
        <v>"C:\Program Files (x86)\AstroGrep\AstroGrep.exe" /e /r /s /spath="%USERPROFILE%\AppData\Local\Temp\OnboardLogs" /stypes="app*4057*20171207*" /stext=" 02:.+((SYSTEM_STATE.+slice.+state.+changed )|(ment ac)|(multiple cpu faults)|(system.+state.+changed )|(\[timeout)|(PRM\|1\|D)|(kpr)|(kdp)|(train st.+moving)|(\|lc)|(penalty))"</v>
      </c>
      <c r="AG226" s="244" t="str">
        <f t="shared" si="123"/>
        <v>Other</v>
      </c>
      <c r="AH226" s="236" t="str">
        <f t="shared" si="131"/>
        <v>"%USERPROFILE%\Documents\GitHub\eaglep3\Utilities\RefineRTDCRunTimes.py" --tripid 906-06 --locoid 4057 --swversion DE.1.0.9.0 --startMP 300:58611 --initTime 2017-12-06T18:54:44 --startdatetime 2017-12-06T18:56:12 --delay 48 --endMP 300:28786 --enddatetime 2017-12-06T19:05:39 --enforcementcount 0 &gt;&gt;%USERPROFILE%\Documents\GitHub\eaglep3-reporting\EC\2017-12-06-refined-times.txt</v>
      </c>
      <c r="AI226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{"issue":{"subject":"","project_id":79,"tracker_id":40,"status_id":1,"priority_id":2,"assigned_to_id":338,"start_date":"2017-12-06","description":"","custom_fields":[{"id":1,"name":"Subdivision","value":"Other"},{"id":4,"name":"Milepost","value":"2.8786"},{"id":17,"name":"Train ID","value":"906-06"},{"id":16,"name":"Locomotive ID","value":"4057"},{"id":130,"name":"Impact","value":""},{"id":150,"name":"Time of Event (Mountain Time)","value":"19:05:39"},{"id":151,"name":"Denver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33"/>
        <v>start /low /b %USERPROFILE%\Documents\GitHub\eaglep3\Utilities\DownloadLogsFromS3.py --loco 4057 --day 2017-12-06</v>
      </c>
      <c r="AN226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35"/>
        <v>https://d0f6bd738d7f1b3e5a7ca70fe4ff75f0.us-east-1.aws.found.io/app/kibana#/discover/Steve-Slow-Train-Analysis-(2080s-and-2083s)?_g=(refreshInterval:(display:Off,pause:!f,section:0,value:0),time:(from:'2017-12-06T17:54:44-0700',mode:absolute,to:'2017-12-06T20:05:39-0700'))&amp;_a=(columns:!('Message%20ID',Summary),filters:!(),index:'emp_*',interval:auto,query:(query_string:(analyze_wildcard:!t,query:'%22rtdc.l.rtdc.4057%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870</v>
      </c>
      <c r="B227" s="225">
        <v>4049</v>
      </c>
      <c r="C227" s="227" t="s">
        <v>192</v>
      </c>
      <c r="D227" s="227" t="s">
        <v>1102</v>
      </c>
      <c r="E227" s="226">
        <v>43075.97446759259</v>
      </c>
      <c r="F227" s="226">
        <v>43075.975821759261</v>
      </c>
      <c r="G227" s="225">
        <v>56</v>
      </c>
      <c r="H227" s="227" t="s">
        <v>626</v>
      </c>
      <c r="I227" s="226">
        <v>43075.982499999998</v>
      </c>
      <c r="J227" s="225">
        <v>0</v>
      </c>
      <c r="K227" s="237" t="str">
        <f t="shared" si="115"/>
        <v>4049/4050</v>
      </c>
      <c r="L227" s="245" t="str">
        <f>VLOOKUP(A227,'Trips&amp;Operators'!$C$1:$G$99911,5,FALSE)</f>
        <v>STAMBAUGH JAMES</v>
      </c>
      <c r="M227" s="224">
        <f t="shared" si="116"/>
        <v>6.6782407375285402E-3</v>
      </c>
      <c r="N227" s="225">
        <f t="shared" si="136"/>
        <v>9.6166666620410979</v>
      </c>
      <c r="O227" s="225"/>
      <c r="P227" s="225"/>
      <c r="Q227" s="228"/>
      <c r="R227" s="242"/>
      <c r="S227" s="249">
        <f t="shared" si="137"/>
        <v>0</v>
      </c>
      <c r="T227" s="242" t="str">
        <f t="shared" si="117"/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18"/>
        <v>https://d0f6bd738d7f1b3e5a7ca70fe4ff75f0.us-east-1.aws.found.io/app/kibana#/discover/Steve-Slow-Train-Analysis-(2080s-and-2083s)?_g=(refreshInterval:(display:Off,pause:!f,section:0,value:0),time:(from:'2017-12-06T22:23:14-0700',mode:absolute,to:'2017-12-07T00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7" s="247" t="str">
        <f>IF(AA227&lt;VLOOKUP(AG227,Variables!$AC$3:$AD$8,2,FALSE),"Y","N")</f>
        <v>Y</v>
      </c>
      <c r="X227" s="247">
        <f t="shared" si="114"/>
        <v>2</v>
      </c>
      <c r="Y227" s="247">
        <f t="shared" si="129"/>
        <v>5.86</v>
      </c>
      <c r="Z227" s="247">
        <f t="shared" si="130"/>
        <v>2.8759000000000001</v>
      </c>
      <c r="AA227" s="247">
        <f t="shared" si="119"/>
        <v>2.9841000000000002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20"/>
        <v>908</v>
      </c>
      <c r="AE227" s="235" t="str">
        <f t="shared" si="121"/>
        <v>aws s3 cp s3://rtdc.mdm.uploadarchive.raw/RTDC4049/ "%USERPROFILE%\AppData\Local\Temp\OnboardLogs"\RTDC4049\2017-12-06 --exclude "*" --recursive --include "*20171206*" &amp; "%USERPROFILE%\Documents\GitHub\mrs-test-scripts\Headless Mode &amp; Sideloading\WalkAndUnGZ.bat" "%USERPROFILE%\AppData\Local\Temp\OnboardLogs"\RTDC4049\2017-12-06 &amp; aws s3 cp s3://rtdc.mdm.uploadarchive.raw/RTDC4049/ "%USERPROFILE%\AppData\Local\Temp\OnboardLogs"\RTDC4049\2017-12-07 --exclude "*" --recursive --include "*20171207*" &amp; "%USERPROFILE%\Documents\GitHub\mrs-test-scripts\Headless Mode &amp; Sideloading\WalkAndUnGZ.bat" "%USERPROFILE%\AppData\Local\Temp\OnboardLogs"\RTDC4049\2017-12-07</v>
      </c>
      <c r="AF227" s="234" t="str">
        <f t="shared" si="122"/>
        <v>"C:\Program Files (x86)\AstroGrep\AstroGrep.exe" /e /r /s /spath="%USERPROFILE%\AppData\Local\Temp\OnboardLogs" /stypes="app*4049*20171207*" /stext=" 06:.+((SYSTEM_STATE.+slice.+state.+changed )|(ment ac)|(multiple cpu faults)|(system.+state.+changed )|(\[timeout)|(PRM\|1\|D)|(kpr)|(kdp)|(train st.+moving)|(\|lc)|(penalty))"</v>
      </c>
      <c r="AG227" s="244" t="str">
        <f t="shared" si="123"/>
        <v>Other</v>
      </c>
      <c r="AH227" s="236" t="str">
        <f t="shared" si="131"/>
        <v>"%USERPROFILE%\Documents\GitHub\eaglep3\Utilities\RefineRTDCRunTimes.py" --tripid 908-06 --locoid 4049 --swversion DE.1.0.9.0 --startMP 300:58600 --initTime 2017-12-06T23:23:14 --startdatetime 2017-12-06T23:25:11 --delay 56 --endMP 300:28759 --enddatetime 2017-12-06T23:34:48 --enforcementcount 0 &gt;&gt;%USERPROFILE%\Documents\GitHub\eaglep3-reporting\EC\2017-12-06-refined-times.txt</v>
      </c>
      <c r="AI227" s="238" t="str">
        <f t="shared" si="132"/>
        <v>echo {"issue":{"subject":"","project_id":79,"tracker_id":40,"status_id":1,"priority_id":2,"assigned_to_id":338,"start_date":"2017-12-06","description":"","custom_fields":[{"id":1,"name":"Subdivision","value":"Other"},{"id":4,"name":"Milepost","value":"2.8759"},{"id":17,"name":"Train ID","value":"908-06"},{"id":16,"name":"Locomotive ID","value":"4049"},{"id":130,"name":"Impact","value":""},{"id":150,"name":"Time of Event (Mountain Time)","value":"23:34:48"},{"id":151,"name":"Denver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33"/>
        <v>start /low /b %USERPROFILE%\Documents\GitHub\eaglep3\Utilities\DownloadLogsFromS3.py --loco 4049 --day 2017-12-06</v>
      </c>
      <c r="AN227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06:34:48"},{"id":29,"name":"Sharepoint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35"/>
        <v>https://d0f6bd738d7f1b3e5a7ca70fe4ff75f0.us-east-1.aws.found.io/app/kibana#/discover/Steve-Slow-Train-Analysis-(2080s-and-2083s)?_g=(refreshInterval:(display:Off,pause:!f,section:0,value:0),time:(from:'2017-12-06T22:23:14-0700',mode:absolute,to:'2017-12-07T00:34:48-0700'))&amp;_a=(columns:!('Message%20ID',Summary),filters:!(),index:'emp_*',interval:auto,query:(query_string:(analyze_wildcard:!t,query:'%22rtdc.l.rtdc.4049%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712</v>
      </c>
      <c r="B228" s="225">
        <v>4064</v>
      </c>
      <c r="C228" s="227" t="s">
        <v>192</v>
      </c>
      <c r="D228" s="227" t="s">
        <v>1008</v>
      </c>
      <c r="E228" s="226">
        <v>43075.325219907405</v>
      </c>
      <c r="F228" s="226">
        <v>43075.329652777778</v>
      </c>
      <c r="G228" s="225">
        <v>64</v>
      </c>
      <c r="H228" s="227" t="s">
        <v>1009</v>
      </c>
      <c r="I228" s="226">
        <v>43075.330983796295</v>
      </c>
      <c r="J228" s="225">
        <v>0</v>
      </c>
      <c r="K228" s="237" t="str">
        <f t="shared" si="115"/>
        <v>4063/4064</v>
      </c>
      <c r="L228" s="245" t="str">
        <f>VLOOKUP(A228,'Trips&amp;Operators'!$C$1:$G$99911,5,FALSE)</f>
        <v>SPECTOR MICHAEL</v>
      </c>
      <c r="M228" s="224">
        <f t="shared" si="116"/>
        <v>1.3310185167938471E-3</v>
      </c>
      <c r="N228" s="225">
        <f t="shared" si="136"/>
        <v>1.9166666641831398</v>
      </c>
      <c r="O228" s="225"/>
      <c r="P228" s="225"/>
      <c r="Q228" s="228"/>
      <c r="R228" s="242"/>
      <c r="S228" s="249">
        <f t="shared" si="137"/>
        <v>0</v>
      </c>
      <c r="T228" s="242" t="str">
        <f t="shared" si="117"/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118"/>
        <v>https://d0f6bd738d7f1b3e5a7ca70fe4ff75f0.us-east-1.aws.found.io/app/kibana#/discover/Steve-Slow-Train-Analysis-(2080s-and-2083s)?_g=(refreshInterval:(display:Off,pause:!f,section:0,value:0),time:(from:'2017-12-06T06:48:19-0700',mode:absolute,to:'2017-12-06T08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247" t="str">
        <f>IF(AA228&lt;VLOOKUP(AG228,Variables!$AC$3:$AD$8,2,FALSE),"Y","N")</f>
        <v>Y</v>
      </c>
      <c r="X228" s="247">
        <f t="shared" si="114"/>
        <v>-847</v>
      </c>
      <c r="Y228" s="247">
        <f t="shared" si="129"/>
        <v>0.14960000000000001</v>
      </c>
      <c r="Z228" s="247">
        <f t="shared" si="130"/>
        <v>0.35420000000000001</v>
      </c>
      <c r="AA228" s="247">
        <f t="shared" si="119"/>
        <v>0.2046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20"/>
        <v>61</v>
      </c>
      <c r="AE228" s="235" t="str">
        <f t="shared" si="121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228" s="234" t="str">
        <f t="shared" si="122"/>
        <v>"C:\Program Files (x86)\AstroGrep\AstroGrep.exe" /e /r /s /spath="%USERPROFILE%\AppData\Local\Temp\OnboardLogs" /stypes="app*4064*20171206*" /stext=" 14:.+((SYSTEM_STATE.+slice.+state.+changed )|(ment ac)|(multiple cpu faults)|(system.+state.+changed )|(\[timeout)|(PRM\|1\|D)|(kpr)|(kdp)|(train st.+moving)|(\|lc)|(penalty))"</v>
      </c>
      <c r="AG228" s="244" t="str">
        <f t="shared" si="123"/>
        <v>Shuttle/Test</v>
      </c>
      <c r="AH228" s="236" t="str">
        <f t="shared" si="131"/>
        <v>"%USERPROFILE%\Documents\GitHub\eaglep3\Utilities\RefineRTDCRunTimes.py" --tripid 61-06 --locoid 4064 --swversion DE.1.0.9.0 --startMP 204:1496 --initTime 2017-12-06T07:48:19 --startdatetime 2017-12-06T07:54:42 --delay 64 --endMP 204:3542 --enddatetime 2017-12-06T07:56:37 --enforcementcount 0 &gt;&gt;%USERPROFILE%\Documents\GitHub\eaglep3-reporting\EC\2017-12-06-refined-times.txt</v>
      </c>
      <c r="AI228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0.3542"},{"id":17,"name":"Train ID","value":"61-06"},{"id":16,"name":"Locomotive ID","value":"4064"},{"id":130,"name":"Impact","value":""},{"id":150,"name":"Time of Event (Mountain Time)","value":"07:56:37"},{"id":151,"name":"Denver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33"/>
        <v>start /low /b %USERPROFILE%\Documents\GitHub\eaglep3\Utilities\DownloadLogsFromS3.py --loco 4064 --day 2017-12-06</v>
      </c>
      <c r="AN228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35"/>
        <v>https://d0f6bd738d7f1b3e5a7ca70fe4ff75f0.us-east-1.aws.found.io/app/kibana#/discover/Steve-Slow-Train-Analysis-(2080s-and-2083s)?_g=(refreshInterval:(display:Off,pause:!f,section:0,value:0),time:(from:'2017-12-06T06:48:19-0700',mode:absolute,to:'2017-12-06T08:56:37-0700'))&amp;_a=(columns:!('Message%20ID',Summary),filters:!(),index:'emp_*',interval:auto,query:(query_string:(analyze_wildcard:!t,query:'%22rtdc.l.rtdc.4064%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712</v>
      </c>
      <c r="B229" s="225">
        <v>4063</v>
      </c>
      <c r="C229" s="227" t="s">
        <v>192</v>
      </c>
      <c r="D229" s="227" t="s">
        <v>1010</v>
      </c>
      <c r="E229" s="226">
        <v>43075.328206018516</v>
      </c>
      <c r="F229" s="226">
        <v>43075.329652777778</v>
      </c>
      <c r="G229" s="225">
        <v>65</v>
      </c>
      <c r="H229" s="227" t="s">
        <v>1011</v>
      </c>
      <c r="I229" s="226">
        <v>43075.330983796295</v>
      </c>
      <c r="J229" s="225">
        <v>0</v>
      </c>
      <c r="K229" s="237" t="str">
        <f t="shared" si="115"/>
        <v>4063/4064</v>
      </c>
      <c r="L229" s="245" t="str">
        <f>VLOOKUP(A229,'Trips&amp;Operators'!$C$1:$G$99911,5,FALSE)</f>
        <v>SPECTOR MICHAEL</v>
      </c>
      <c r="M229" s="224">
        <f t="shared" si="116"/>
        <v>1.3310185167938471E-3</v>
      </c>
      <c r="N229" s="225">
        <f t="shared" si="136"/>
        <v>1.9166666641831398</v>
      </c>
      <c r="O229" s="225"/>
      <c r="P229" s="225"/>
      <c r="Q229" s="228"/>
      <c r="R229" s="242"/>
      <c r="S229" s="249">
        <f t="shared" si="137"/>
        <v>0</v>
      </c>
      <c r="T229" s="242" t="str">
        <f t="shared" si="117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 t="shared" si="118"/>
        <v>https://d0f6bd738d7f1b3e5a7ca70fe4ff75f0.us-east-1.aws.found.io/app/kibana#/discover/Steve-Slow-Train-Analysis-(2080s-and-2083s)?_g=(refreshInterval:(display:Off,pause:!f,section:0,value:0),time:(from:'2017-12-06T06:52:37-0700',mode:absolute,to:'2017-12-06T08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247" t="str">
        <f>IF(AA229&lt;VLOOKUP(AG229,Variables!$AC$3:$AD$8,2,FALSE),"Y","N")</f>
        <v>Y</v>
      </c>
      <c r="X229" s="247">
        <f t="shared" si="114"/>
        <v>0</v>
      </c>
      <c r="Y229" s="247">
        <f t="shared" si="129"/>
        <v>0.3231</v>
      </c>
      <c r="Z229" s="247">
        <f t="shared" si="130"/>
        <v>1.3899999999999999E-2</v>
      </c>
      <c r="AA229" s="247">
        <f t="shared" si="119"/>
        <v>0.30919999999999997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20"/>
        <v>61</v>
      </c>
      <c r="AE229" s="235" t="str">
        <f t="shared" si="121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229" s="234" t="str">
        <f t="shared" si="122"/>
        <v>"C:\Program Files (x86)\AstroGrep\AstroGrep.exe" /e /r /s /spath="%USERPROFILE%\AppData\Local\Temp\OnboardLogs" /stypes="app*4063*20171206*" /stext=" 14:.+((SYSTEM_STATE.+slice.+state.+changed )|(ment ac)|(multiple cpu faults)|(system.+state.+changed )|(\[timeout)|(PRM\|1\|D)|(kpr)|(kdp)|(train st.+moving)|(\|lc)|(penalty))"</v>
      </c>
      <c r="AG229" s="244" t="str">
        <f t="shared" si="123"/>
        <v>Shuttle/Test</v>
      </c>
      <c r="AH229" s="236" t="str">
        <f t="shared" si="131"/>
        <v>"%USERPROFILE%\Documents\GitHub\eaglep3\Utilities\RefineRTDCRunTimes.py" --tripid 61-06 --locoid 4063 --swversion DE.1.0.9.0 --startMP 204:3231 --initTime 2017-12-06T07:52:37 --startdatetime 2017-12-06T07:54:42 --delay 65 --endMP 204:139 --enddatetime 2017-12-06T07:56:37 --enforcementcount 0 &gt;&gt;%USERPROFILE%\Documents\GitHub\eaglep3-reporting\EC\2017-12-06-refined-times.txt</v>
      </c>
      <c r="AI229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0.0139"},{"id":17,"name":"Train ID","value":"61-06"},{"id":16,"name":"Locomotive ID","value":"4063"},{"id":130,"name":"Impact","value":""},{"id":150,"name":"Time of Event (Mountain Time)","value":"07:56:37"},{"id":151,"name":"Denver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33"/>
        <v>start /low /b %USERPROFILE%\Documents\GitHub\eaglep3\Utilities\DownloadLogsFromS3.py --loco 4063 --day 2017-12-06</v>
      </c>
      <c r="AN229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14:56:37"},{"id":29,"name":"Sharepoint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35"/>
        <v>https://d0f6bd738d7f1b3e5a7ca70fe4ff75f0.us-east-1.aws.found.io/app/kibana#/discover/Steve-Slow-Train-Analysis-(2080s-and-2083s)?_g=(refreshInterval:(display:Off,pause:!f,section:0,value:0),time:(from:'2017-12-06T06:52:37-0700',mode:absolute,to:'2017-12-06T08:56:37-0700'))&amp;_a=(columns:!('Message%20ID',Summary),filters:!(),index:'emp_*',interval:auto,query:(query_string:(analyze_wildcard:!t,query:'%22rtdc.l.rtdc.4063%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25">
      <c r="A230" s="229" t="s">
        <v>824</v>
      </c>
      <c r="B230" s="225">
        <v>4005</v>
      </c>
      <c r="C230" s="227" t="s">
        <v>192</v>
      </c>
      <c r="D230" s="227" t="s">
        <v>1012</v>
      </c>
      <c r="E230" s="226">
        <v>43075.723402777781</v>
      </c>
      <c r="F230" s="226">
        <v>43075.725960648146</v>
      </c>
      <c r="G230" s="225">
        <v>119</v>
      </c>
      <c r="H230" s="227" t="s">
        <v>1013</v>
      </c>
      <c r="I230" s="226">
        <v>43075.749351851853</v>
      </c>
      <c r="J230" s="225">
        <v>0</v>
      </c>
      <c r="K230" s="237" t="str">
        <f t="shared" si="115"/>
        <v>4005/4006</v>
      </c>
      <c r="L230" s="245" t="str">
        <f>VLOOKUP(A230,'Trips&amp;Operators'!$C$1:$G$99911,5,FALSE)</f>
        <v>MCREYNOLDS KYLE</v>
      </c>
      <c r="M230" s="224">
        <f t="shared" si="116"/>
        <v>2.3391203707433306E-2</v>
      </c>
      <c r="N230" s="225">
        <f t="shared" si="136"/>
        <v>33.68333333870396</v>
      </c>
      <c r="O230" s="225"/>
      <c r="P230" s="225"/>
      <c r="Q230" s="228"/>
      <c r="R230" s="242"/>
      <c r="S230" s="249">
        <f t="shared" si="137"/>
        <v>1</v>
      </c>
      <c r="T230" s="242" t="str">
        <f t="shared" si="117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8" t="str">
        <f t="shared" si="118"/>
        <v>https://d0f6bd738d7f1b3e5a7ca70fe4ff75f0.us-east-1.aws.found.io/app/kibana#/discover/Steve-Slow-Train-Analysis-(2080s-and-2083s)?_g=(refreshInterval:(display:Off,pause:!f,section:0,value:0),time:(from:'2017-12-06T16:21:42-0700',mode:absolute,to:'2017-12-06T18:59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247" t="str">
        <f>IF(AA230&lt;VLOOKUP(AG230,Variables!$AC$3:$AD$8,2,FALSE),"Y","N")</f>
        <v>Y</v>
      </c>
      <c r="X230" s="247">
        <f t="shared" si="114"/>
        <v>1</v>
      </c>
      <c r="Y230" s="247">
        <f t="shared" si="129"/>
        <v>11.2218</v>
      </c>
      <c r="Z230" s="247">
        <f t="shared" si="130"/>
        <v>0.17119999999999999</v>
      </c>
      <c r="AA230" s="247">
        <f t="shared" si="119"/>
        <v>11.050599999999999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20"/>
        <v>62</v>
      </c>
      <c r="AE230" s="235" t="str">
        <f t="shared" si="121"/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AF230" s="234" t="str">
        <f t="shared" si="122"/>
        <v>"C:\Program Files (x86)\AstroGrep\AstroGrep.exe" /e /r /s /spath="%USERPROFILE%\AppData\Local\Temp\OnboardLogs" /stypes="app*4005*20171207*" /stext=" 00:.+((SYSTEM_STATE.+slice.+state.+changed )|(ment ac)|(multiple cpu faults)|(system.+state.+changed )|(\[timeout)|(PRM\|1\|D)|(kpr)|(kdp)|(train st.+moving)|(\|lc)|(penalty))"</v>
      </c>
      <c r="AG230" s="244" t="str">
        <f t="shared" si="123"/>
        <v>Shuttle/Test</v>
      </c>
      <c r="AH230" s="236" t="str">
        <f t="shared" si="131"/>
        <v>"%USERPROFILE%\Documents\GitHub\eaglep3\Utilities\RefineRTDCRunTimes.py" --tripid 62-06 --locoid 4005 --swversion DE.1.0.9.0 --startMP 300:112218 --initTime 2017-12-06T17:21:42 --startdatetime 2017-12-06T17:25:23 --delay 119 --endMP 204:1712 --enddatetime 2017-12-06T17:59:04 --enforcementcount 0 &gt;&gt;%USERPROFILE%\Documents\GitHub\eaglep3-reporting\EC\2017-12-06-refined-times.txt</v>
      </c>
      <c r="AI230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0.1712"},{"id":17,"name":"Train ID","value":"62-06"},{"id":16,"name":"Locomotive ID","value":"4005"},{"id":130,"name":"Impact","value":""},{"id":150,"name":"Time of Event (Mountain Time)","value":"17:59:04"},{"id":151,"name":"Denver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133"/>
        <v>start /low /b %USERPROFILE%\Documents\GitHub\eaglep3\Utilities\DownloadLogsFromS3.py --loco 4005 --day 2017-12-06</v>
      </c>
      <c r="AN230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00:59:04"},{"id":29,"name":"Sharepoint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35"/>
        <v>https://d0f6bd738d7f1b3e5a7ca70fe4ff75f0.us-east-1.aws.found.io/app/kibana#/discover/Steve-Slow-Train-Analysis-(2080s-and-2083s)?_g=(refreshInterval:(display:Off,pause:!f,section:0,value:0),time:(from:'2017-12-06T16:21:42-0700',mode:absolute,to:'2017-12-06T18:59:04-0700'))&amp;_a=(columns:!('Message%20ID',Summary),filters:!(),index:'emp_*',interval:auto,query:(query_string:(analyze_wildcard:!t,query:'%22rtdc.l.rtdc.4005%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651</v>
      </c>
      <c r="B231" s="225">
        <v>4006</v>
      </c>
      <c r="C231" s="227" t="s">
        <v>192</v>
      </c>
      <c r="D231" s="227" t="s">
        <v>1016</v>
      </c>
      <c r="E231" s="226">
        <v>43075.696261574078</v>
      </c>
      <c r="F231" s="226">
        <v>43075.699328703704</v>
      </c>
      <c r="G231" s="225">
        <v>77</v>
      </c>
      <c r="H231" s="227" t="s">
        <v>1017</v>
      </c>
      <c r="I231" s="226">
        <v>43075.722037037034</v>
      </c>
      <c r="J231" s="225">
        <v>0</v>
      </c>
      <c r="K231" s="237" t="str">
        <f t="shared" si="115"/>
        <v>4005/4006</v>
      </c>
      <c r="L231" s="245" t="str">
        <f>VLOOKUP(A231,'Trips&amp;Operators'!$C$1:$G$99911,5,FALSE)</f>
        <v>ZEWDU DEREJE</v>
      </c>
      <c r="M231" s="224">
        <f t="shared" si="116"/>
        <v>2.2708333330228925E-2</v>
      </c>
      <c r="N231" s="225">
        <f t="shared" si="136"/>
        <v>32.699999995529652</v>
      </c>
      <c r="O231" s="225"/>
      <c r="P231" s="225"/>
      <c r="Q231" s="228"/>
      <c r="R231" s="242"/>
      <c r="S231" s="249">
        <f t="shared" si="137"/>
        <v>1</v>
      </c>
      <c r="T231" s="242" t="str">
        <f t="shared" si="117"/>
        <v>NorthBound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8" t="str">
        <f t="shared" si="118"/>
        <v>https://d0f6bd738d7f1b3e5a7ca70fe4ff75f0.us-east-1.aws.found.io/app/kibana#/discover/Steve-Slow-Train-Analysis-(2080s-and-2083s)?_g=(refreshInterval:(display:Off,pause:!f,section:0,value:0),time:(from:'2017-12-06T15:42:37-0700',mode:absolute,to:'2017-12-06T18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247" t="str">
        <f>IF(AA231&lt;VLOOKUP(AG231,Variables!$AC$3:$AD$8,2,FALSE),"Y","N")</f>
        <v>Y</v>
      </c>
      <c r="X231" s="247">
        <f t="shared" si="114"/>
        <v>5</v>
      </c>
      <c r="Y231" s="247">
        <f t="shared" si="129"/>
        <v>0.1154</v>
      </c>
      <c r="Z231" s="247">
        <f t="shared" si="130"/>
        <v>11.254</v>
      </c>
      <c r="AA231" s="247">
        <f t="shared" si="119"/>
        <v>11.1386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20"/>
        <v>67</v>
      </c>
      <c r="AE231" s="235" t="str">
        <f t="shared" si="121"/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AF231" s="234" t="str">
        <f t="shared" si="122"/>
        <v>"C:\Program Files (x86)\AstroGrep\AstroGrep.exe" /e /r /s /spath="%USERPROFILE%\AppData\Local\Temp\OnboardLogs" /stypes="app*4006*20171207*" /stext=" 00:.+((SYSTEM_STATE.+slice.+state.+changed )|(ment ac)|(multiple cpu faults)|(system.+state.+changed )|(\[timeout)|(PRM\|1\|D)|(kpr)|(kdp)|(train st.+moving)|(\|lc)|(penalty))"</v>
      </c>
      <c r="AG231" s="244" t="str">
        <f t="shared" si="123"/>
        <v>Shuttle/Test</v>
      </c>
      <c r="AH231" s="236" t="str">
        <f t="shared" si="131"/>
        <v>"%USERPROFILE%\Documents\GitHub\eaglep3\Utilities\RefineRTDCRunTimes.py" --tripid 67-06 --locoid 4006 --swversion DE.1.0.9.0 --startMP 204:1154 --initTime 2017-12-06T16:42:37 --startdatetime 2017-12-06T16:47:02 --delay 77 --endMP 300:112540 --enddatetime 2017-12-06T17:19:44 --enforcementcount 0 &gt;&gt;%USERPROFILE%\Documents\GitHub\eaglep3-reporting\EC\2017-12-06-refined-times.txt</v>
      </c>
      <c r="AI231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11.254"},{"id":17,"name":"Train ID","value":"67-06"},{"id":16,"name":"Locomotive ID","value":"4006"},{"id":130,"name":"Impact","value":""},{"id":150,"name":"Time of Event (Mountain Time)","value":"17:19:44"},{"id":151,"name":"Denver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33"/>
        <v>start /low /b %USERPROFILE%\Documents\GitHub\eaglep3\Utilities\DownloadLogsFromS3.py --loco 4006 --day 2017-12-06</v>
      </c>
      <c r="AN231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35"/>
        <v>https://d0f6bd738d7f1b3e5a7ca70fe4ff75f0.us-east-1.aws.found.io/app/kibana#/discover/Steve-Slow-Train-Analysis-(2080s-and-2083s)?_g=(refreshInterval:(display:Off,pause:!f,section:0,value:0),time:(from:'2017-12-06T15:42:37-0700',mode:absolute,to:'2017-12-06T18:19:44-0700'))&amp;_a=(columns:!('Message%20ID',Summary),filters:!(),index:'emp_*',interval:auto,query:(query_string:(analyze_wildcard:!t,query:'%22rtdc.l.rtdc.4006%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651</v>
      </c>
      <c r="B232" s="225">
        <v>4005</v>
      </c>
      <c r="C232" s="227" t="s">
        <v>192</v>
      </c>
      <c r="D232" s="227" t="s">
        <v>1012</v>
      </c>
      <c r="E232" s="226">
        <v>43075.59039351852</v>
      </c>
      <c r="F232" s="226">
        <v>43075.595219907409</v>
      </c>
      <c r="G232" s="225">
        <v>96</v>
      </c>
      <c r="H232" s="227" t="s">
        <v>1117</v>
      </c>
      <c r="I232" s="226">
        <v>43075.616030092591</v>
      </c>
      <c r="J232" s="225">
        <v>0</v>
      </c>
      <c r="K232" s="237" t="str">
        <f t="shared" si="115"/>
        <v>4005/4006</v>
      </c>
      <c r="L232" s="245" t="str">
        <f>VLOOKUP(A232,'Trips&amp;Operators'!$C$1:$G$99911,5,FALSE)</f>
        <v>ZEWDU DEREJE</v>
      </c>
      <c r="M232" s="224">
        <f t="shared" si="116"/>
        <v>2.0810185182199348E-2</v>
      </c>
      <c r="N232" s="225">
        <f t="shared" si="136"/>
        <v>29.966666662367061</v>
      </c>
      <c r="O232" s="225"/>
      <c r="P232" s="225"/>
      <c r="Q232" s="228"/>
      <c r="R232" s="242"/>
      <c r="S232" s="249">
        <f t="shared" si="137"/>
        <v>0</v>
      </c>
      <c r="T232" s="242" t="str">
        <f t="shared" si="117"/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118"/>
        <v>https://d0f6bd738d7f1b3e5a7ca70fe4ff75f0.us-east-1.aws.found.io/app/kibana#/discover/Steve-Slow-Train-Analysis-(2080s-and-2083s)?_g=(refreshInterval:(display:Off,pause:!f,section:0,value:0),time:(from:'2017-12-06T13:10:10-0700',mode:absolute,to:'2017-12-06T15:47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2" s="247" t="str">
        <f>IF(AA232&lt;VLOOKUP(AG232,Variables!$AC$3:$AD$8,2,FALSE),"Y","N")</f>
        <v>Y</v>
      </c>
      <c r="X232" s="247">
        <f t="shared" si="114"/>
        <v>0</v>
      </c>
      <c r="Y232" s="247">
        <f t="shared" si="129"/>
        <v>11.2218</v>
      </c>
      <c r="Z232" s="247">
        <f t="shared" si="130"/>
        <v>8.7099999999999997E-2</v>
      </c>
      <c r="AA232" s="247">
        <f t="shared" si="119"/>
        <v>11.1347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20"/>
        <v>67</v>
      </c>
      <c r="AE232" s="235" t="str">
        <f t="shared" si="121"/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AF232" s="234" t="str">
        <f t="shared" si="122"/>
        <v>"C:\Program Files (x86)\AstroGrep\AstroGrep.exe" /e /r /s /spath="%USERPROFILE%\AppData\Local\Temp\OnboardLogs" /stypes="app*4005*20171206*" /stext=" 21:.+((SYSTEM_STATE.+slice.+state.+changed )|(ment ac)|(multiple cpu faults)|(system.+state.+changed )|(\[timeout)|(PRM\|1\|D)|(kpr)|(kdp)|(train st.+moving)|(\|lc)|(penalty))"</v>
      </c>
      <c r="AG232" s="244" t="str">
        <f t="shared" si="123"/>
        <v>Shuttle/Test</v>
      </c>
      <c r="AH232" s="236" t="str">
        <f t="shared" si="131"/>
        <v>"%USERPROFILE%\Documents\GitHub\eaglep3\Utilities\RefineRTDCRunTimes.py" --tripid 67-06 --locoid 4005 --swversion DE.1.0.9.0 --startMP 300:112218 --initTime 2017-12-06T14:10:10 --startdatetime 2017-12-06T14:17:07 --delay 96 --endMP 204:871 --enddatetime 2017-12-06T14:47:05 --enforcementcount 0 &gt;&gt;%USERPROFILE%\Documents\GitHub\eaglep3-reporting\EC\2017-12-06-refined-times.txt</v>
      </c>
      <c r="AI232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0.0871"},{"id":17,"name":"Train ID","value":"67-06"},{"id":16,"name":"Locomotive ID","value":"4005"},{"id":130,"name":"Impact","value":""},{"id":150,"name":"Time of Event (Mountain Time)","value":"14:47:05"},{"id":151,"name":"Denver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33"/>
        <v>start /low /b %USERPROFILE%\Documents\GitHub\eaglep3\Utilities\DownloadLogsFromS3.py --loco 4005 --day 2017-12-06</v>
      </c>
      <c r="AN232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21:47:05"},{"id":29,"name":"Sharepoint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35"/>
        <v>https://d0f6bd738d7f1b3e5a7ca70fe4ff75f0.us-east-1.aws.found.io/app/kibana#/discover/Steve-Slow-Train-Analysis-(2080s-and-2083s)?_g=(refreshInterval:(display:Off,pause:!f,section:0,value:0),time:(from:'2017-12-06T13:10:10-0700',mode:absolute,to:'2017-12-06T15:47:05-0700'))&amp;_a=(columns:!('Message%20ID',Summary),filters:!(),index:'emp_*',interval:auto,query:(query_string:(analyze_wildcard:!t,query:'%22rtdc.l.rtdc.4005%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9" t="s">
        <v>651</v>
      </c>
      <c r="B233" s="225">
        <v>4005</v>
      </c>
      <c r="C233" s="227" t="s">
        <v>192</v>
      </c>
      <c r="D233" s="227" t="s">
        <v>1014</v>
      </c>
      <c r="E233" s="226">
        <v>43075.644583333335</v>
      </c>
      <c r="F233" s="226">
        <v>43075.653460648151</v>
      </c>
      <c r="G233" s="225">
        <v>60</v>
      </c>
      <c r="H233" s="227" t="s">
        <v>1015</v>
      </c>
      <c r="I233" s="226">
        <v>43075.662789351853</v>
      </c>
      <c r="J233" s="225">
        <v>0</v>
      </c>
      <c r="K233" s="237" t="str">
        <f t="shared" si="115"/>
        <v>4005/4006</v>
      </c>
      <c r="L233" s="245" t="str">
        <f>VLOOKUP(A233,'Trips&amp;Operators'!$C$1:$G$99911,5,FALSE)</f>
        <v>ZEWDU DEREJE</v>
      </c>
      <c r="M233" s="224">
        <f t="shared" si="116"/>
        <v>9.3287037016125396E-3</v>
      </c>
      <c r="N233" s="225"/>
      <c r="O233" s="225"/>
      <c r="P233" s="225">
        <f>24*60*SUM($M233:$M233)</f>
        <v>13.433333330322057</v>
      </c>
      <c r="Q233" s="228"/>
      <c r="R233" s="242" t="s">
        <v>1119</v>
      </c>
      <c r="S233" s="249">
        <f t="shared" si="137"/>
        <v>0</v>
      </c>
      <c r="T233" s="242" t="str">
        <f t="shared" si="117"/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 t="shared" si="118"/>
        <v>https://d0f6bd738d7f1b3e5a7ca70fe4ff75f0.us-east-1.aws.found.io/app/kibana#/discover/Steve-Slow-Train-Analysis-(2080s-and-2083s)?_g=(refreshInterval:(display:Off,pause:!f,section:0,value:0),time:(from:'2017-12-06T14:28:12-0700',mode:absolute,to:'2017-12-06T16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3" s="247" t="str">
        <f>IF(AA233&lt;VLOOKUP(AG233,Variables!$AC$3:$AD$8,2,FALSE),"Y","N")</f>
        <v>Y</v>
      </c>
      <c r="X233" s="247">
        <f t="shared" ref="X233:X259" si="138">VALUE(LEFT(AD233,4))-VALUE(LEFT(AD232,4))</f>
        <v>0</v>
      </c>
      <c r="Y233" s="247">
        <f t="shared" si="129"/>
        <v>11.222799999999999</v>
      </c>
      <c r="Z233" s="247">
        <f t="shared" si="130"/>
        <v>6.3903999999999996</v>
      </c>
      <c r="AA233" s="247">
        <f t="shared" si="119"/>
        <v>4.8323999999999998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120"/>
        <v>67</v>
      </c>
      <c r="AE233" s="235" t="str">
        <f t="shared" si="121"/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AF233" s="234" t="str">
        <f t="shared" si="122"/>
        <v>"C:\Program Files (x86)\AstroGrep\AstroGrep.exe" /e /r /s /spath="%USERPROFILE%\AppData\Local\Temp\OnboardLogs" /stypes="app*4005*20171206*" /stext=" 22:.+((SYSTEM_STATE.+slice.+state.+changed )|(ment ac)|(multiple cpu faults)|(system.+state.+changed )|(\[timeout)|(PRM\|1\|D)|(kpr)|(kdp)|(train st.+moving)|(\|lc)|(penalty))"</v>
      </c>
      <c r="AG233" s="244" t="str">
        <f t="shared" si="123"/>
        <v>Shuttle/Test</v>
      </c>
      <c r="AH233" s="236" t="str">
        <f t="shared" si="131"/>
        <v>"%USERPROFILE%\Documents\GitHub\eaglep3\Utilities\RefineRTDCRunTimes.py" --tripid 67-06 --locoid 4005 --swversion DE.1.0.9.0 --startMP 300:112228 --initTime 2017-12-06T15:28:12 --startdatetime 2017-12-06T15:40:59 --delay 60 --endMP 300:63904 --enddatetime 2017-12-06T15:54:25 --enforcementcount 0 &gt;&gt;%USERPROFILE%\Documents\GitHub\eaglep3-reporting\EC\2017-12-06-refined-times.txt</v>
      </c>
      <c r="AI233" s="238" t="str">
        <f t="shared" si="132"/>
        <v>echo {"issue":{"subject":"Onboard in-route failure","project_id":79,"tracker_id":40,"status_id":1,"priority_id":2,"assigned_to_id":338,"start_date":"2017-12-06","description":"","custom_fields":[{"id":1,"name":"Subdivision","value":"Shuttle/Test"},{"id":4,"name":"Milepost","value":"6.3904"},{"id":17,"name":"Train ID","value":"67-06"},{"id":16,"name":"Locomotive ID","value":"4005"},{"id":130,"name":"Impact","value":""},{"id":150,"name":"Time of Event (Mountain Time)","value":"15:54:25"},{"id":151,"name":"Denver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33"/>
        <v>start /low /b %USERPROFILE%\Documents\GitHub\eaglep3\Utilities\DownloadLogsFromS3.py --loco 4005 --day 2017-12-06</v>
      </c>
      <c r="AN233" s="241" t="str">
        <f t="shared" si="134"/>
        <v>echo {"issue":{"subject":"Onboard in-route failure","project_id":30,"tracker_id":4,"status_id":1,"priority_id":1,"assigned_to_id":10,"start_date":"2017-12-06","description":"","custom_fields":[{"id":30,"name":"Category","value":"Issue"},{"id":3,"name":"Functional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35"/>
        <v>https://d0f6bd738d7f1b3e5a7ca70fe4ff75f0.us-east-1.aws.found.io/app/kibana#/discover/Steve-Slow-Train-Analysis-(2080s-and-2083s)?_g=(refreshInterval:(display:Off,pause:!f,section:0,value:0),time:(from:'2017-12-06T14:28:12-0700',mode:absolute,to:'2017-12-06T16:54:25-0700'))&amp;_a=(columns:!('Message%20ID',Summary),filters:!(),index:'emp_*',interval:auto,query:(query_string:(analyze_wildcard:!t,query:'%22rtdc.l.rtdc.4005%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25">
      <c r="A234" s="229" t="s">
        <v>777</v>
      </c>
      <c r="B234" s="225">
        <v>4006</v>
      </c>
      <c r="C234" s="227" t="s">
        <v>192</v>
      </c>
      <c r="D234" s="227" t="s">
        <v>1020</v>
      </c>
      <c r="E234" s="226">
        <v>43075.564872685187</v>
      </c>
      <c r="F234" s="226">
        <v>43075.569201388891</v>
      </c>
      <c r="G234" s="225">
        <v>261</v>
      </c>
      <c r="H234" s="227" t="s">
        <v>1019</v>
      </c>
      <c r="I234" s="226">
        <v>43075.588634259257</v>
      </c>
      <c r="J234" s="225">
        <v>0</v>
      </c>
      <c r="K234" s="237" t="str">
        <f t="shared" si="115"/>
        <v>4005/4006</v>
      </c>
      <c r="L234" s="245" t="str">
        <f>VLOOKUP(A234,'Trips&amp;Operators'!$C$1:$G$99911,5,FALSE)</f>
        <v>ZEWDU DEREJE</v>
      </c>
      <c r="M234" s="224">
        <f t="shared" si="116"/>
        <v>1.9432870365562849E-2</v>
      </c>
      <c r="N234" s="225">
        <f t="shared" ref="N234:N259" si="139">24*60*SUM($M234:$M234)</f>
        <v>27.983333326410502</v>
      </c>
      <c r="O234" s="225"/>
      <c r="P234" s="225"/>
      <c r="Q234" s="228"/>
      <c r="R234" s="242"/>
      <c r="S234" s="249">
        <f t="shared" si="137"/>
        <v>0</v>
      </c>
      <c r="T234" s="242" t="str">
        <f t="shared" si="117"/>
        <v>Southbound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118"/>
        <v>https://d0f6bd738d7f1b3e5a7ca70fe4ff75f0.us-east-1.aws.found.io/app/kibana#/discover/Steve-Slow-Train-Analysis-(2080s-and-2083s)?_g=(refreshInterval:(display:Off,pause:!f,section:0,value:0),time:(from:'2017-12-06T12:33:25-0700',mode:absolute,to:'2017-12-06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4" s="247" t="str">
        <f>IF(AA234&lt;VLOOKUP(AG234,Variables!$AC$3:$AD$8,2,FALSE),"Y","N")</f>
        <v>Y</v>
      </c>
      <c r="X234" s="247">
        <f t="shared" si="138"/>
        <v>1</v>
      </c>
      <c r="Y234" s="247">
        <f t="shared" si="129"/>
        <v>9.2299999999999993E-2</v>
      </c>
      <c r="Z234" s="247">
        <f t="shared" si="130"/>
        <v>11.2536</v>
      </c>
      <c r="AA234" s="247">
        <f t="shared" si="119"/>
        <v>11.161300000000001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120"/>
        <v>68</v>
      </c>
      <c r="AE234" s="235" t="str">
        <f t="shared" si="121"/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AF234" s="234" t="str">
        <f t="shared" si="122"/>
        <v>"C:\Program Files (x86)\AstroGrep\AstroGrep.exe" /e /r /s /spath="%USERPROFILE%\AppData\Local\Temp\OnboardLogs" /stypes="app*4006*20171206*" /stext=" 21:.+((SYSTEM_STATE.+slice.+state.+changed )|(ment ac)|(multiple cpu faults)|(system.+state.+changed )|(\[timeout)|(PRM\|1\|D)|(kpr)|(kdp)|(train st.+moving)|(\|lc)|(penalty))"</v>
      </c>
      <c r="AG234" s="244" t="str">
        <f t="shared" si="123"/>
        <v>Shuttle/Test</v>
      </c>
      <c r="AH234" s="236" t="str">
        <f t="shared" si="131"/>
        <v>"%USERPROFILE%\Documents\GitHub\eaglep3\Utilities\RefineRTDCRunTimes.py" --tripid 68-06 --locoid 4006 --swversion DE.1.0.9.0 --startMP 204:923 --initTime 2017-12-06T13:33:25 --startdatetime 2017-12-06T13:39:39 --delay 261 --endMP 300:112536 --enddatetime 2017-12-06T14:07:38 --enforcementcount 0 &gt;&gt;%USERPROFILE%\Documents\GitHub\eaglep3-reporting\EC\2017-12-06-refined-times.txt</v>
      </c>
      <c r="AI234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11.2536"},{"id":17,"name":"Train ID","value":"68-06"},{"id":16,"name":"Locomotive ID","value":"4006"},{"id":130,"name":"Impact","value":""},{"id":150,"name":"Time of Event (Mountain Time)","value":"14:07:38"},{"id":151,"name":"Denver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1"/>
      <c r="AL234" s="231"/>
      <c r="AM234" s="240" t="str">
        <f t="shared" si="133"/>
        <v>start /low /b %USERPROFILE%\Documents\GitHub\eaglep3\Utilities\DownloadLogsFromS3.py --loco 4006 --day 2017-12-06</v>
      </c>
      <c r="AN234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35"/>
        <v>https://d0f6bd738d7f1b3e5a7ca70fe4ff75f0.us-east-1.aws.found.io/app/kibana#/discover/Steve-Slow-Train-Analysis-(2080s-and-2083s)?_g=(refreshInterval:(display:Off,pause:!f,section:0,value:0),time:(from:'2017-12-06T12:33:25-0700',mode:absolute,to:'2017-12-06T15:07:38-0700'))&amp;_a=(columns:!('Message%20ID',Summary),filters:!(),index:'emp_*',interval:auto,query:(query_string:(analyze_wildcard:!t,query:'%22rtdc.l.rtdc.4006%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9" t="s">
        <v>777</v>
      </c>
      <c r="B235" s="225">
        <v>4006</v>
      </c>
      <c r="C235" s="227" t="s">
        <v>192</v>
      </c>
      <c r="D235" s="227" t="s">
        <v>1018</v>
      </c>
      <c r="E235" s="226">
        <v>43075.617418981485</v>
      </c>
      <c r="F235" s="226">
        <v>43075.624745370369</v>
      </c>
      <c r="G235" s="225">
        <v>80</v>
      </c>
      <c r="H235" s="227" t="s">
        <v>1019</v>
      </c>
      <c r="I235" s="226">
        <v>43075.643564814818</v>
      </c>
      <c r="J235" s="225">
        <v>0</v>
      </c>
      <c r="K235" s="237" t="str">
        <f t="shared" si="115"/>
        <v>4005/4006</v>
      </c>
      <c r="L235" s="245" t="str">
        <f>VLOOKUP(A235,'Trips&amp;Operators'!$C$1:$G$99911,5,FALSE)</f>
        <v>ZEWDU DEREJE</v>
      </c>
      <c r="M235" s="224">
        <f t="shared" si="116"/>
        <v>1.8819444449036382E-2</v>
      </c>
      <c r="N235" s="225">
        <f t="shared" si="139"/>
        <v>27.10000000661239</v>
      </c>
      <c r="O235" s="225"/>
      <c r="P235" s="225"/>
      <c r="Q235" s="228"/>
      <c r="R235" s="242"/>
      <c r="S235" s="249">
        <f t="shared" si="137"/>
        <v>0</v>
      </c>
      <c r="T235" s="242" t="str">
        <f t="shared" si="117"/>
        <v>Southbound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 t="shared" si="118"/>
        <v>https://d0f6bd738d7f1b3e5a7ca70fe4ff75f0.us-east-1.aws.found.io/app/kibana#/discover/Steve-Slow-Train-Analysis-(2080s-and-2083s)?_g=(refreshInterval:(display:Off,pause:!f,section:0,value:0),time:(from:'2017-12-06T13:49:05-0700',mode:absolute,to:'2017-12-06T16:26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5" s="247" t="str">
        <f>IF(AA235&lt;VLOOKUP(AG235,Variables!$AC$3:$AD$8,2,FALSE),"Y","N")</f>
        <v>Y</v>
      </c>
      <c r="X235" s="247">
        <f t="shared" si="138"/>
        <v>0</v>
      </c>
      <c r="Y235" s="247">
        <f t="shared" si="129"/>
        <v>0.11700000000000001</v>
      </c>
      <c r="Z235" s="247">
        <f t="shared" si="130"/>
        <v>11.2536</v>
      </c>
      <c r="AA235" s="247">
        <f t="shared" si="119"/>
        <v>11.1366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120"/>
        <v>68</v>
      </c>
      <c r="AE235" s="235" t="str">
        <f t="shared" si="121"/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AF235" s="234" t="str">
        <f t="shared" si="122"/>
        <v>"C:\Program Files (x86)\AstroGrep\AstroGrep.exe" /e /r /s /spath="%USERPROFILE%\AppData\Local\Temp\OnboardLogs" /stypes="app*4006*20171206*" /stext=" 22:.+((SYSTEM_STATE.+slice.+state.+changed )|(ment ac)|(multiple cpu faults)|(system.+state.+changed )|(\[timeout)|(PRM\|1\|D)|(kpr)|(kdp)|(train st.+moving)|(\|lc)|(penalty))"</v>
      </c>
      <c r="AG235" s="244" t="str">
        <f t="shared" si="123"/>
        <v>Shuttle/Test</v>
      </c>
      <c r="AH235" s="236" t="str">
        <f t="shared" si="131"/>
        <v>"%USERPROFILE%\Documents\GitHub\eaglep3\Utilities\RefineRTDCRunTimes.py" --tripid 68-06 --locoid 4006 --swversion DE.1.0.9.0 --startMP 204:1170 --initTime 2017-12-06T14:49:05 --startdatetime 2017-12-06T14:59:38 --delay 80 --endMP 300:112536 --enddatetime 2017-12-06T15:26:44 --enforcementcount 0 &gt;&gt;%USERPROFILE%\Documents\GitHub\eaglep3-reporting\EC\2017-12-06-refined-times.txt</v>
      </c>
      <c r="AI235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11.2536"},{"id":17,"name":"Train ID","value":"68-06"},{"id":16,"name":"Locomotive ID","value":"4006"},{"id":130,"name":"Impact","value":""},{"id":150,"name":"Time of Event (Mountain Time)","value":"15:26:44"},{"id":151,"name":"Denver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133"/>
        <v>start /low /b %USERPROFILE%\Documents\GitHub\eaglep3\Utilities\DownloadLogsFromS3.py --loco 4006 --day 2017-12-06</v>
      </c>
      <c r="AN235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35"/>
        <v>https://d0f6bd738d7f1b3e5a7ca70fe4ff75f0.us-east-1.aws.found.io/app/kibana#/discover/Steve-Slow-Train-Analysis-(2080s-and-2083s)?_g=(refreshInterval:(display:Off,pause:!f,section:0,value:0),time:(from:'2017-12-06T13:49:05-0700',mode:absolute,to:'2017-12-06T16:26:44-0700'))&amp;_a=(columns:!('Message%20ID',Summary),filters:!(),index:'emp_*',interval:auto,query:(query_string:(analyze_wildcard:!t,query:'%22rtdc.l.rtdc.4006%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29" t="s">
        <v>807</v>
      </c>
      <c r="B236" s="225">
        <v>4015</v>
      </c>
      <c r="C236" s="227" t="s">
        <v>192</v>
      </c>
      <c r="D236" s="227" t="s">
        <v>1021</v>
      </c>
      <c r="E236" s="226">
        <v>43075.685729166667</v>
      </c>
      <c r="F236" s="226">
        <v>43075.689513888887</v>
      </c>
      <c r="G236" s="225">
        <v>79</v>
      </c>
      <c r="H236" s="227" t="s">
        <v>1022</v>
      </c>
      <c r="I236" s="226">
        <v>43075.695335648146</v>
      </c>
      <c r="J236" s="225">
        <v>0</v>
      </c>
      <c r="K236" s="237" t="str">
        <f t="shared" si="115"/>
        <v>4015/4016</v>
      </c>
      <c r="L236" s="245" t="str">
        <f>VLOOKUP(A236,'Trips&amp;Operators'!$C$1:$G$99911,5,FALSE)</f>
        <v>CUSHING HARRY</v>
      </c>
      <c r="M236" s="224">
        <f t="shared" si="116"/>
        <v>5.8217592595610768E-3</v>
      </c>
      <c r="N236" s="225">
        <f t="shared" si="139"/>
        <v>8.3833333337679505</v>
      </c>
      <c r="O236" s="225"/>
      <c r="P236" s="225"/>
      <c r="Q236" s="228"/>
      <c r="R236" s="242"/>
      <c r="S236" s="249">
        <f t="shared" si="137"/>
        <v>1</v>
      </c>
      <c r="T236" s="242" t="str">
        <f t="shared" si="117"/>
        <v>Southbound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8" t="str">
        <f t="shared" si="118"/>
        <v>https://d0f6bd738d7f1b3e5a7ca70fe4ff75f0.us-east-1.aws.found.io/app/kibana#/discover/Steve-Slow-Train-Analysis-(2080s-and-2083s)?_g=(refreshInterval:(display:Off,pause:!f,section:0,value:0),time:(from:'2017-12-06T15:27:27-0700',mode:absolute,to:'2017-12-06T17:41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6" s="247" t="str">
        <f>IF(AA236&lt;VLOOKUP(AG236,Variables!$AC$3:$AD$8,2,FALSE),"Y","N")</f>
        <v>Y</v>
      </c>
      <c r="X236" s="247">
        <f t="shared" si="138"/>
        <v>2</v>
      </c>
      <c r="Y236" s="247">
        <f t="shared" si="129"/>
        <v>2.3048999999999999</v>
      </c>
      <c r="Z236" s="247">
        <f t="shared" si="130"/>
        <v>9.1899999999999996E-2</v>
      </c>
      <c r="AA236" s="247">
        <f t="shared" si="119"/>
        <v>2.2130000000000001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 t="shared" si="120"/>
        <v>70</v>
      </c>
      <c r="AE236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36" s="234" t="str">
        <f t="shared" si="122"/>
        <v>"C:\Program Files (x86)\AstroGrep\AstroGrep.exe" /e /r /s /spath="%USERPROFILE%\AppData\Local\Temp\OnboardLogs" /stypes="app*4015*20171206*" /stext=" 23:.+((SYSTEM_STATE.+slice.+state.+changed )|(ment ac)|(multiple cpu faults)|(system.+state.+changed )|(\[timeout)|(PRM\|1\|D)|(kpr)|(kdp)|(train st.+moving)|(\|lc)|(penalty))"</v>
      </c>
      <c r="AG236" s="244" t="str">
        <f t="shared" si="123"/>
        <v>Shuttle/Test</v>
      </c>
      <c r="AH236" s="236" t="str">
        <f t="shared" si="131"/>
        <v>"%USERPROFILE%\Documents\GitHub\eaglep3\Utilities\RefineRTDCRunTimes.py" --tripid 70-06 --locoid 4015 --swversion DE.1.0.9.0 --startMP 300:23049 --initTime 2017-12-06T16:27:27 --startdatetime 2017-12-06T16:32:54 --delay 79 --endMP 204:919 --enddatetime 2017-12-06T16:41:17 --enforcementcount 0 &gt;&gt;%USERPROFILE%\Documents\GitHub\eaglep3-reporting\EC\2017-12-06-refined-times.txt</v>
      </c>
      <c r="AI236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0.0919"},{"id":17,"name":"Train ID","value":"70-06"},{"id":16,"name":"Locomotive ID","value":"4015"},{"id":130,"name":"Impact","value":""},{"id":150,"name":"Time of Event (Mountain Time)","value":"16:41:17"},{"id":151,"name":"Denver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133"/>
        <v>start /low /b %USERPROFILE%\Documents\GitHub\eaglep3\Utilities\DownloadLogsFromS3.py --loco 4015 --day 2017-12-06</v>
      </c>
      <c r="AN236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23:41:17"},{"id":29,"name":"Sharepoint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35"/>
        <v>https://d0f6bd738d7f1b3e5a7ca70fe4ff75f0.us-east-1.aws.found.io/app/kibana#/discover/Steve-Slow-Train-Analysis-(2080s-and-2083s)?_g=(refreshInterval:(display:Off,pause:!f,section:0,value:0),time:(from:'2017-12-06T15:27:27-0700',mode:absolute,to:'2017-12-06T17:41:17-0700'))&amp;_a=(columns:!('Message%20ID',Summary),filters:!(),index:'emp_*',interval:auto,query:(query_string:(analyze_wildcard:!t,query:'%22rtdc.l.rtdc.4015%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9" t="s">
        <v>807</v>
      </c>
      <c r="B237" s="225">
        <v>4015</v>
      </c>
      <c r="C237" s="227" t="s">
        <v>192</v>
      </c>
      <c r="D237" s="227" t="s">
        <v>1021</v>
      </c>
      <c r="E237" s="226">
        <v>43075.684050925927</v>
      </c>
      <c r="F237" s="226">
        <v>43075.689513888887</v>
      </c>
      <c r="G237" s="225">
        <v>88</v>
      </c>
      <c r="H237" s="227" t="s">
        <v>1022</v>
      </c>
      <c r="I237" s="226">
        <v>43075.695335648146</v>
      </c>
      <c r="J237" s="225">
        <v>0</v>
      </c>
      <c r="K237" s="237" t="str">
        <f t="shared" si="115"/>
        <v>4015/4016</v>
      </c>
      <c r="L237" s="245" t="str">
        <f>VLOOKUP(A237,'Trips&amp;Operators'!$C$1:$G$99911,5,FALSE)</f>
        <v>CUSHING HARRY</v>
      </c>
      <c r="M237" s="224">
        <f t="shared" si="116"/>
        <v>5.8217592595610768E-3</v>
      </c>
      <c r="N237" s="225">
        <f t="shared" si="139"/>
        <v>8.3833333337679505</v>
      </c>
      <c r="O237" s="225"/>
      <c r="P237" s="225"/>
      <c r="Q237" s="228"/>
      <c r="R237" s="242"/>
      <c r="S237" s="249">
        <f t="shared" si="137"/>
        <v>1</v>
      </c>
      <c r="T237" s="242" t="str">
        <f t="shared" si="117"/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8" t="str">
        <f t="shared" si="118"/>
        <v>https://d0f6bd738d7f1b3e5a7ca70fe4ff75f0.us-east-1.aws.found.io/app/kibana#/discover/Steve-Slow-Train-Analysis-(2080s-and-2083s)?_g=(refreshInterval:(display:Off,pause:!f,section:0,value:0),time:(from:'2017-12-06T15:25:02-0700',mode:absolute,to:'2017-12-06T17:41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7" s="247" t="str">
        <f>IF(AA237&lt;VLOOKUP(AG237,Variables!$AC$3:$AD$8,2,FALSE),"Y","N")</f>
        <v>Y</v>
      </c>
      <c r="X237" s="247">
        <f t="shared" si="138"/>
        <v>0</v>
      </c>
      <c r="Y237" s="247">
        <f t="shared" si="129"/>
        <v>2.3048999999999999</v>
      </c>
      <c r="Z237" s="247">
        <f t="shared" si="130"/>
        <v>9.1899999999999996E-2</v>
      </c>
      <c r="AA237" s="247">
        <f t="shared" si="119"/>
        <v>2.2130000000000001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 t="shared" si="120"/>
        <v>70</v>
      </c>
      <c r="AE237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37" s="234" t="str">
        <f t="shared" si="122"/>
        <v>"C:\Program Files (x86)\AstroGrep\AstroGrep.exe" /e /r /s /spath="%USERPROFILE%\AppData\Local\Temp\OnboardLogs" /stypes="app*4015*20171206*" /stext=" 23:.+((SYSTEM_STATE.+slice.+state.+changed )|(ment ac)|(multiple cpu faults)|(system.+state.+changed )|(\[timeout)|(PRM\|1\|D)|(kpr)|(kdp)|(train st.+moving)|(\|lc)|(penalty))"</v>
      </c>
      <c r="AG237" s="244" t="str">
        <f t="shared" si="123"/>
        <v>Shuttle/Test</v>
      </c>
      <c r="AH237" s="236" t="str">
        <f t="shared" si="131"/>
        <v>"%USERPROFILE%\Documents\GitHub\eaglep3\Utilities\RefineRTDCRunTimes.py" --tripid 70-06 --locoid 4015 --swversion DE.1.0.9.0 --startMP 300:23049 --initTime 2017-12-06T16:25:02 --startdatetime 2017-12-06T16:32:54 --delay 88 --endMP 204:919 --enddatetime 2017-12-06T16:41:17 --enforcementcount 0 &gt;&gt;%USERPROFILE%\Documents\GitHub\eaglep3-reporting\EC\2017-12-06-refined-times.txt</v>
      </c>
      <c r="AI237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0.0919"},{"id":17,"name":"Train ID","value":"70-06"},{"id":16,"name":"Locomotive ID","value":"4015"},{"id":130,"name":"Impact","value":""},{"id":150,"name":"Time of Event (Mountain Time)","value":"16:41:17"},{"id":151,"name":"Denver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133"/>
        <v>start /low /b %USERPROFILE%\Documents\GitHub\eaglep3\Utilities\DownloadLogsFromS3.py --loco 4015 --day 2017-12-06</v>
      </c>
      <c r="AN237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23:41:17"},{"id":29,"name":"Sharepoint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35"/>
        <v>https://d0f6bd738d7f1b3e5a7ca70fe4ff75f0.us-east-1.aws.found.io/app/kibana#/discover/Steve-Slow-Train-Analysis-(2080s-and-2083s)?_g=(refreshInterval:(display:Off,pause:!f,section:0,value:0),time:(from:'2017-12-06T15:25:02-0700',mode:absolute,to:'2017-12-06T17:41:17-0700'))&amp;_a=(columns:!('Message%20ID',Summary),filters:!(),index:'emp_*',interval:auto,query:(query_string:(analyze_wildcard:!t,query:'%22rtdc.l.rtdc.4015%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9" t="s">
        <v>807</v>
      </c>
      <c r="B238" s="225">
        <v>4015</v>
      </c>
      <c r="C238" s="227" t="s">
        <v>192</v>
      </c>
      <c r="D238" s="227" t="s">
        <v>1023</v>
      </c>
      <c r="E238" s="226">
        <v>43075.763344907406</v>
      </c>
      <c r="F238" s="226">
        <v>43075.771979166668</v>
      </c>
      <c r="G238" s="225">
        <v>63</v>
      </c>
      <c r="H238" s="227" t="s">
        <v>1024</v>
      </c>
      <c r="I238" s="226">
        <v>43075.777361111112</v>
      </c>
      <c r="J238" s="225">
        <v>0</v>
      </c>
      <c r="K238" s="237" t="str">
        <f t="shared" si="115"/>
        <v>4015/4016</v>
      </c>
      <c r="L238" s="245" t="str">
        <f>VLOOKUP(A238,'Trips&amp;Operators'!$C$1:$G$99911,5,FALSE)</f>
        <v>CUSHING HARRY</v>
      </c>
      <c r="M238" s="224">
        <f t="shared" si="116"/>
        <v>5.3819444437976927E-3</v>
      </c>
      <c r="N238" s="225">
        <f t="shared" si="139"/>
        <v>7.7499999990686774</v>
      </c>
      <c r="O238" s="225"/>
      <c r="P238" s="225"/>
      <c r="Q238" s="228"/>
      <c r="R238" s="242"/>
      <c r="S238" s="249">
        <f t="shared" si="137"/>
        <v>1</v>
      </c>
      <c r="T238" s="242" t="str">
        <f t="shared" si="117"/>
        <v>Southbound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8" t="str">
        <f t="shared" si="118"/>
        <v>https://d0f6bd738d7f1b3e5a7ca70fe4ff75f0.us-east-1.aws.found.io/app/kibana#/discover/Steve-Slow-Train-Analysis-(2080s-and-2083s)?_g=(refreshInterval:(display:Off,pause:!f,section:0,value:0),time:(from:'2017-12-06T17:19:13-0700',mode:absolute,to:'2017-12-06T19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247" t="str">
        <f>IF(AA238&lt;VLOOKUP(AG238,Variables!$AC$3:$AD$8,2,FALSE),"Y","N")</f>
        <v>Y</v>
      </c>
      <c r="X238" s="247">
        <f t="shared" si="138"/>
        <v>0</v>
      </c>
      <c r="Y238" s="247">
        <f t="shared" ref="Y238:Y259" si="140">RIGHT(D238,LEN(D238)-4)/10000</f>
        <v>2.3277999999999999</v>
      </c>
      <c r="Z238" s="247">
        <f t="shared" ref="Z238:Z259" si="141">RIGHT(H238,LEN(H238)-4)/10000</f>
        <v>9.6500000000000002E-2</v>
      </c>
      <c r="AA238" s="247">
        <f t="shared" si="119"/>
        <v>2.2313000000000001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 t="shared" si="120"/>
        <v>70</v>
      </c>
      <c r="AE238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38" s="234" t="str">
        <f t="shared" si="122"/>
        <v>"C:\Program Files (x86)\AstroGrep\AstroGrep.exe" /e /r /s /spath="%USERPROFILE%\AppData\Local\Temp\OnboardLogs" /stypes="app*4015*20171207*" /stext=" 01:.+((SYSTEM_STATE.+slice.+state.+changed )|(ment ac)|(multiple cpu faults)|(system.+state.+changed )|(\[timeout)|(PRM\|1\|D)|(kpr)|(kdp)|(train st.+moving)|(\|lc)|(penalty))"</v>
      </c>
      <c r="AG238" s="244" t="str">
        <f t="shared" si="123"/>
        <v>Shuttle/Test</v>
      </c>
      <c r="AH238" s="236" t="str">
        <f t="shared" si="131"/>
        <v>"%USERPROFILE%\Documents\GitHub\eaglep3\Utilities\RefineRTDCRunTimes.py" --tripid 70-06 --locoid 4015 --swversion DE.1.0.9.0 --startMP 300:23278 --initTime 2017-12-06T18:19:13 --startdatetime 2017-12-06T18:31:39 --delay 63 --endMP 204:965 --enddatetime 2017-12-06T18:39:24 --enforcementcount 0 &gt;&gt;%USERPROFILE%\Documents\GitHub\eaglep3-reporting\EC\2017-12-06-refined-times.txt</v>
      </c>
      <c r="AI238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0.0965"},{"id":17,"name":"Train ID","value":"70-06"},{"id":16,"name":"Locomotive ID","value":"4015"},{"id":130,"name":"Impact","value":""},{"id":150,"name":"Time of Event (Mountain Time)","value":"18:39:24"},{"id":151,"name":"Denver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3"/>
      <c r="AK238" s="231"/>
      <c r="AL238" s="231"/>
      <c r="AM238" s="240" t="str">
        <f t="shared" si="133"/>
        <v>start /low /b %USERPROFILE%\Documents\GitHub\eaglep3\Utilities\DownloadLogsFromS3.py --loco 4015 --day 2017-12-06</v>
      </c>
      <c r="AN238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35"/>
        <v>https://d0f6bd738d7f1b3e5a7ca70fe4ff75f0.us-east-1.aws.found.io/app/kibana#/discover/Steve-Slow-Train-Analysis-(2080s-and-2083s)?_g=(refreshInterval:(display:Off,pause:!f,section:0,value:0),time:(from:'2017-12-06T17:19:13-0700',mode:absolute,to:'2017-12-06T19:39:24-0700'))&amp;_a=(columns:!('Message%20ID',Summary),filters:!(),index:'emp_*',interval:auto,query:(query_string:(analyze_wildcard:!t,query:'%22rtdc.l.rtdc.4015%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25">
      <c r="A239" s="229" t="s">
        <v>807</v>
      </c>
      <c r="B239" s="225">
        <v>4015</v>
      </c>
      <c r="C239" s="227" t="s">
        <v>192</v>
      </c>
      <c r="D239" s="227" t="s">
        <v>1025</v>
      </c>
      <c r="E239" s="226">
        <v>43075.839814814812</v>
      </c>
      <c r="F239" s="226">
        <v>43075.866516203707</v>
      </c>
      <c r="G239" s="225">
        <v>64</v>
      </c>
      <c r="H239" s="227" t="s">
        <v>1026</v>
      </c>
      <c r="I239" s="226">
        <v>43075.874780092592</v>
      </c>
      <c r="J239" s="225">
        <v>0</v>
      </c>
      <c r="K239" s="237" t="str">
        <f t="shared" si="115"/>
        <v>4015/4016</v>
      </c>
      <c r="L239" s="245" t="str">
        <f>VLOOKUP(A239,'Trips&amp;Operators'!$C$1:$G$99911,5,FALSE)</f>
        <v>CUSHING HARRY</v>
      </c>
      <c r="M239" s="224">
        <f t="shared" si="116"/>
        <v>8.2638888852670789E-3</v>
      </c>
      <c r="N239" s="225">
        <f t="shared" si="139"/>
        <v>11.899999994784594</v>
      </c>
      <c r="O239" s="225"/>
      <c r="P239" s="225"/>
      <c r="Q239" s="228"/>
      <c r="R239" s="242"/>
      <c r="S239" s="249">
        <f t="shared" si="137"/>
        <v>1</v>
      </c>
      <c r="T239" s="242" t="str">
        <f t="shared" si="117"/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8" t="str">
        <f t="shared" si="118"/>
        <v>https://d0f6bd738d7f1b3e5a7ca70fe4ff75f0.us-east-1.aws.found.io/app/kibana#/discover/Steve-Slow-Train-Analysis-(2080s-and-2083s)?_g=(refreshInterval:(display:Off,pause:!f,section:0,value:0),time:(from:'2017-12-06T19:09:20-0700',mode:absolute,to:'2017-12-06T21:59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9" s="247" t="str">
        <f>IF(AA239&lt;VLOOKUP(AG239,Variables!$AC$3:$AD$8,2,FALSE),"Y","N")</f>
        <v>Y</v>
      </c>
      <c r="X239" s="247">
        <f t="shared" si="138"/>
        <v>0</v>
      </c>
      <c r="Y239" s="247">
        <f t="shared" si="140"/>
        <v>2.3317999999999999</v>
      </c>
      <c r="Z239" s="247">
        <f t="shared" si="141"/>
        <v>9.1700000000000004E-2</v>
      </c>
      <c r="AA239" s="247">
        <f t="shared" si="119"/>
        <v>2.2401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 t="shared" si="120"/>
        <v>70</v>
      </c>
      <c r="AE239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39" s="234" t="str">
        <f t="shared" si="122"/>
        <v>"C:\Program Files (x86)\AstroGrep\AstroGrep.exe" /e /r /s /spath="%USERPROFILE%\AppData\Local\Temp\OnboardLogs" /stypes="app*4015*20171207*" /stext=" 03:.+((SYSTEM_STATE.+slice.+state.+changed )|(ment ac)|(multiple cpu faults)|(system.+state.+changed )|(\[timeout)|(PRM\|1\|D)|(kpr)|(kdp)|(train st.+moving)|(\|lc)|(penalty))"</v>
      </c>
      <c r="AG239" s="244" t="str">
        <f t="shared" si="123"/>
        <v>Shuttle/Test</v>
      </c>
      <c r="AH239" s="236" t="str">
        <f t="shared" si="131"/>
        <v>"%USERPROFILE%\Documents\GitHub\eaglep3\Utilities\RefineRTDCRunTimes.py" --tripid 70-06 --locoid 4015 --swversion DE.1.0.9.0 --startMP 300:23318 --initTime 2017-12-06T20:09:20 --startdatetime 2017-12-06T20:47:47 --delay 64 --endMP 204:917 --enddatetime 2017-12-06T20:59:41 --enforcementcount 0 &gt;&gt;%USERPROFILE%\Documents\GitHub\eaglep3-reporting\EC\2017-12-06-refined-times.txt</v>
      </c>
      <c r="AI239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0.0917"},{"id":17,"name":"Train ID","value":"70-06"},{"id":16,"name":"Locomotive ID","value":"4015"},{"id":130,"name":"Impact","value":""},{"id":150,"name":"Time of Event (Mountain Time)","value":"20:59:41"},{"id":151,"name":"Denver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1"/>
      <c r="AL239" s="231"/>
      <c r="AM239" s="240" t="str">
        <f t="shared" si="133"/>
        <v>start /low /b %USERPROFILE%\Documents\GitHub\eaglep3\Utilities\DownloadLogsFromS3.py --loco 4015 --day 2017-12-06</v>
      </c>
      <c r="AN239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03:59:41"},{"id":29,"name":"Sharepoint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35"/>
        <v>https://d0f6bd738d7f1b3e5a7ca70fe4ff75f0.us-east-1.aws.found.io/app/kibana#/discover/Steve-Slow-Train-Analysis-(2080s-and-2083s)?_g=(refreshInterval:(display:Off,pause:!f,section:0,value:0),time:(from:'2017-12-06T19:09:20-0700',mode:absolute,to:'2017-12-06T21:59:41-0700'))&amp;_a=(columns:!('Message%20ID',Summary),filters:!(),index:'emp_*',interval:auto,query:(query_string:(analyze_wildcard:!t,query:'%22rtdc.l.rtdc.4015%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229" t="s">
        <v>727</v>
      </c>
      <c r="B240" s="225">
        <v>4006</v>
      </c>
      <c r="C240" s="227" t="s">
        <v>192</v>
      </c>
      <c r="D240" s="227" t="s">
        <v>1027</v>
      </c>
      <c r="E240" s="226">
        <v>43075.36451388889</v>
      </c>
      <c r="F240" s="226">
        <v>43075.371516203704</v>
      </c>
      <c r="G240" s="225">
        <v>394</v>
      </c>
      <c r="H240" s="227" t="s">
        <v>1028</v>
      </c>
      <c r="I240" s="226">
        <v>43075.388298611113</v>
      </c>
      <c r="J240" s="225">
        <v>0</v>
      </c>
      <c r="K240" s="237" t="str">
        <f t="shared" si="115"/>
        <v>4005/4006</v>
      </c>
      <c r="L240" s="245" t="str">
        <f>VLOOKUP(A240,'Trips&amp;Operators'!$C$1:$G$99911,5,FALSE)</f>
        <v>ROMERO CHAD</v>
      </c>
      <c r="M240" s="224">
        <f t="shared" si="116"/>
        <v>1.6782407408754807E-2</v>
      </c>
      <c r="N240" s="225">
        <f t="shared" si="139"/>
        <v>24.166666668606922</v>
      </c>
      <c r="O240" s="225"/>
      <c r="P240" s="225"/>
      <c r="Q240" s="228"/>
      <c r="R240" s="242"/>
      <c r="S240" s="249">
        <f t="shared" si="137"/>
        <v>0</v>
      </c>
      <c r="T240" s="242" t="str">
        <f t="shared" si="117"/>
        <v>NorthBound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 t="shared" si="118"/>
        <v>https://d0f6bd738d7f1b3e5a7ca70fe4ff75f0.us-east-1.aws.found.io/app/kibana#/discover/Steve-Slow-Train-Analysis-(2080s-and-2083s)?_g=(refreshInterval:(display:Off,pause:!f,section:0,value:0),time:(from:'2017-12-06T07:44:54-0700',mode:absolute,to:'2017-12-06T10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0" s="247" t="str">
        <f>IF(AA240&lt;VLOOKUP(AG240,Variables!$AC$3:$AD$8,2,FALSE),"Y","N")</f>
        <v>Y</v>
      </c>
      <c r="X240" s="247">
        <f t="shared" si="138"/>
        <v>1</v>
      </c>
      <c r="Y240" s="247">
        <f t="shared" si="140"/>
        <v>2.9952999999999999</v>
      </c>
      <c r="Z240" s="247">
        <f t="shared" si="141"/>
        <v>11.2576</v>
      </c>
      <c r="AA240" s="247">
        <f t="shared" si="119"/>
        <v>8.2622999999999998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 t="shared" si="120"/>
        <v>71</v>
      </c>
      <c r="AE240" s="235" t="str">
        <f t="shared" si="121"/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AF240" s="234" t="str">
        <f t="shared" si="122"/>
        <v>"C:\Program Files (x86)\AstroGrep\AstroGrep.exe" /e /r /s /spath="%USERPROFILE%\AppData\Local\Temp\OnboardLogs" /stypes="app*4006*20171206*" /stext=" 16:.+((SYSTEM_STATE.+slice.+state.+changed )|(ment ac)|(multiple cpu faults)|(system.+state.+changed )|(\[timeout)|(PRM\|1\|D)|(kpr)|(kdp)|(train st.+moving)|(\|lc)|(penalty))"</v>
      </c>
      <c r="AG240" s="244" t="str">
        <f t="shared" si="123"/>
        <v>Shuttle/Test</v>
      </c>
      <c r="AH240" s="236" t="str">
        <f t="shared" si="131"/>
        <v>"%USERPROFILE%\Documents\GitHub\eaglep3\Utilities\RefineRTDCRunTimes.py" --tripid 71-06 --locoid 4006 --swversion DE.1.0.9.0 --startMP 300:29953 --initTime 2017-12-06T08:44:54 --startdatetime 2017-12-06T08:54:59 --delay 394 --endMP 300:112576 --enddatetime 2017-12-06T09:19:09 --enforcementcount 0 &gt;&gt;%USERPROFILE%\Documents\GitHub\eaglep3-reporting\EC\2017-12-06-refined-times.txt</v>
      </c>
      <c r="AI240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11.2576"},{"id":17,"name":"Train ID","value":"71-06"},{"id":16,"name":"Locomotive ID","value":"4006"},{"id":130,"name":"Impact","value":""},{"id":150,"name":"Time of Event (Mountain Time)","value":"09:19:09"},{"id":151,"name":"Denver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3"/>
      <c r="AK240" s="231"/>
      <c r="AL240" s="231"/>
      <c r="AM240" s="240" t="str">
        <f t="shared" si="133"/>
        <v>start /low /b %USERPROFILE%\Documents\GitHub\eaglep3\Utilities\DownloadLogsFromS3.py --loco 4006 --day 2017-12-06</v>
      </c>
      <c r="AN240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135"/>
        <v>https://d0f6bd738d7f1b3e5a7ca70fe4ff75f0.us-east-1.aws.found.io/app/kibana#/discover/Steve-Slow-Train-Analysis-(2080s-and-2083s)?_g=(refreshInterval:(display:Off,pause:!f,section:0,value:0),time:(from:'2017-12-06T07:44:54-0700',mode:absolute,to:'2017-12-06T10:19:09-0700'))&amp;_a=(columns:!('Message%20ID',Summary),filters:!(),index:'emp_*',interval:auto,query:(query_string:(analyze_wildcard:!t,query:'%22rtdc.l.rtdc.4006%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229" t="s">
        <v>727</v>
      </c>
      <c r="B241" s="225">
        <v>4016</v>
      </c>
      <c r="C241" s="227" t="s">
        <v>192</v>
      </c>
      <c r="D241" s="227" t="s">
        <v>1029</v>
      </c>
      <c r="E241" s="226">
        <v>43075.700497685182</v>
      </c>
      <c r="F241" s="226">
        <v>43075.706087962964</v>
      </c>
      <c r="G241" s="225">
        <v>67</v>
      </c>
      <c r="H241" s="227" t="s">
        <v>423</v>
      </c>
      <c r="I241" s="226">
        <v>43075.711805555555</v>
      </c>
      <c r="J241" s="225">
        <v>0</v>
      </c>
      <c r="K241" s="237" t="str">
        <f t="shared" si="115"/>
        <v>4015/4016</v>
      </c>
      <c r="L241" s="245" t="str">
        <f>VLOOKUP(A241,'Trips&amp;Operators'!$C$1:$G$99911,5,FALSE)</f>
        <v>ROMERO CHAD</v>
      </c>
      <c r="M241" s="224">
        <f t="shared" si="116"/>
        <v>5.7175925903720781E-3</v>
      </c>
      <c r="N241" s="225">
        <f t="shared" si="139"/>
        <v>8.2333333301357925</v>
      </c>
      <c r="O241" s="225"/>
      <c r="P241" s="225"/>
      <c r="Q241" s="228"/>
      <c r="R241" s="242"/>
      <c r="S241" s="249">
        <f t="shared" si="137"/>
        <v>1</v>
      </c>
      <c r="T241" s="242" t="str">
        <f t="shared" si="117"/>
        <v>NorthBound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8" t="str">
        <f t="shared" si="118"/>
        <v>https://d0f6bd738d7f1b3e5a7ca70fe4ff75f0.us-east-1.aws.found.io/app/kibana#/discover/Steve-Slow-Train-Analysis-(2080s-and-2083s)?_g=(refreshInterval:(display:Off,pause:!f,section:0,value:0),time:(from:'2017-12-06T15:48:43-0700',mode:absolute,to:'2017-12-06T18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1" s="247" t="str">
        <f>IF(AA241&lt;VLOOKUP(AG241,Variables!$AC$3:$AD$8,2,FALSE),"Y","N")</f>
        <v>Y</v>
      </c>
      <c r="X241" s="247">
        <f t="shared" si="138"/>
        <v>0</v>
      </c>
      <c r="Y241" s="247">
        <f t="shared" si="140"/>
        <v>0.1244</v>
      </c>
      <c r="Z241" s="247">
        <f t="shared" si="141"/>
        <v>2.3346</v>
      </c>
      <c r="AA241" s="247">
        <f t="shared" si="119"/>
        <v>2.2101999999999999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 t="shared" si="120"/>
        <v>71</v>
      </c>
      <c r="AE241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41" s="234" t="str">
        <f t="shared" si="122"/>
        <v>"C:\Program Files (x86)\AstroGrep\AstroGrep.exe" /e /r /s /spath="%USERPROFILE%\AppData\Local\Temp\OnboardLogs" /stypes="app*4016*20171207*" /stext=" 00:.+((SYSTEM_STATE.+slice.+state.+changed )|(ment ac)|(multiple cpu faults)|(system.+state.+changed )|(\[timeout)|(PRM\|1\|D)|(kpr)|(kdp)|(train st.+moving)|(\|lc)|(penalty))"</v>
      </c>
      <c r="AG241" s="244" t="str">
        <f t="shared" si="123"/>
        <v>Shuttle/Test</v>
      </c>
      <c r="AH241" s="236" t="str">
        <f t="shared" si="131"/>
        <v>"%USERPROFILE%\Documents\GitHub\eaglep3\Utilities\RefineRTDCRunTimes.py" --tripid 71-06 --locoid 4016 --swversion DE.1.0.9.0 --startMP 204:1244 --initTime 2017-12-06T16:48:43 --startdatetime 2017-12-06T16:56:46 --delay 67 --endMP 300:23346 --enddatetime 2017-12-06T17:05:00 --enforcementcount 0 &gt;&gt;%USERPROFILE%\Documents\GitHub\eaglep3-reporting\EC\2017-12-06-refined-times.txt</v>
      </c>
      <c r="AI241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2.3346"},{"id":17,"name":"Train ID","value":"71-06"},{"id":16,"name":"Locomotive ID","value":"4016"},{"id":130,"name":"Impact","value":""},{"id":150,"name":"Time of Event (Mountain Time)","value":"17:05:00"},{"id":151,"name":"Denver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133"/>
        <v>start /low /b %USERPROFILE%\Documents\GitHub\eaglep3\Utilities\DownloadLogsFromS3.py --loco 4016 --day 2017-12-06</v>
      </c>
      <c r="AN241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35"/>
        <v>https://d0f6bd738d7f1b3e5a7ca70fe4ff75f0.us-east-1.aws.found.io/app/kibana#/discover/Steve-Slow-Train-Analysis-(2080s-and-2083s)?_g=(refreshInterval:(display:Off,pause:!f,section:0,value:0),time:(from:'2017-12-06T15:48:43-0700',mode:absolute,to:'2017-12-06T18:05:00-0700'))&amp;_a=(columns:!('Message%20ID',Summary),filters:!(),index:'emp_*',interval:auto,query:(query_string:(analyze_wildcard:!t,query:'%22rtdc.l.rtdc.4016%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229" t="s">
        <v>727</v>
      </c>
      <c r="B242" s="225">
        <v>4016</v>
      </c>
      <c r="C242" s="227" t="s">
        <v>192</v>
      </c>
      <c r="D242" s="227" t="s">
        <v>1030</v>
      </c>
      <c r="E242" s="226">
        <v>43075.77988425926</v>
      </c>
      <c r="F242" s="226">
        <v>43075.782407407409</v>
      </c>
      <c r="G242" s="225">
        <v>95</v>
      </c>
      <c r="H242" s="227" t="s">
        <v>1031</v>
      </c>
      <c r="I242" s="226">
        <v>43075.790266203701</v>
      </c>
      <c r="J242" s="225">
        <v>0</v>
      </c>
      <c r="K242" s="237" t="str">
        <f t="shared" si="115"/>
        <v>4015/4016</v>
      </c>
      <c r="L242" s="245" t="str">
        <f>VLOOKUP(A242,'Trips&amp;Operators'!$C$1:$G$99911,5,FALSE)</f>
        <v>ROMERO CHAD</v>
      </c>
      <c r="M242" s="224">
        <f t="shared" si="116"/>
        <v>7.8587962925666943E-3</v>
      </c>
      <c r="N242" s="225">
        <f t="shared" si="139"/>
        <v>11.31666666129604</v>
      </c>
      <c r="O242" s="225"/>
      <c r="P242" s="225"/>
      <c r="Q242" s="228"/>
      <c r="R242" s="242"/>
      <c r="S242" s="249">
        <f t="shared" si="137"/>
        <v>1</v>
      </c>
      <c r="T242" s="242" t="str">
        <f t="shared" si="117"/>
        <v>NorthBound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8" t="str">
        <f t="shared" si="118"/>
        <v>https://d0f6bd738d7f1b3e5a7ca70fe4ff75f0.us-east-1.aws.found.io/app/kibana#/discover/Steve-Slow-Train-Analysis-(2080s-and-2083s)?_g=(refreshInterval:(display:Off,pause:!f,section:0,value:0),time:(from:'2017-12-06T17:43:02-0700',mode:absolute,to:'2017-12-06T19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247" t="str">
        <f>IF(AA242&lt;VLOOKUP(AG242,Variables!$AC$3:$AD$8,2,FALSE),"Y","N")</f>
        <v>Y</v>
      </c>
      <c r="X242" s="247">
        <f t="shared" si="138"/>
        <v>0</v>
      </c>
      <c r="Y242" s="247">
        <f t="shared" si="140"/>
        <v>0.1285</v>
      </c>
      <c r="Z242" s="247">
        <f t="shared" si="141"/>
        <v>2.3296999999999999</v>
      </c>
      <c r="AA242" s="247">
        <f t="shared" si="119"/>
        <v>2.2012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 t="shared" si="120"/>
        <v>71</v>
      </c>
      <c r="AE242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42" s="234" t="str">
        <f t="shared" si="122"/>
        <v>"C:\Program Files (x86)\AstroGrep\AstroGrep.exe" /e /r /s /spath="%USERPROFILE%\AppData\Local\Temp\OnboardLogs" /stypes="app*4016*20171207*" /stext=" 01:.+((SYSTEM_STATE.+slice.+state.+changed )|(ment ac)|(multiple cpu faults)|(system.+state.+changed )|(\[timeout)|(PRM\|1\|D)|(kpr)|(kdp)|(train st.+moving)|(\|lc)|(penalty))"</v>
      </c>
      <c r="AG242" s="244" t="str">
        <f t="shared" si="123"/>
        <v>Shuttle/Test</v>
      </c>
      <c r="AH242" s="236" t="str">
        <f t="shared" si="131"/>
        <v>"%USERPROFILE%\Documents\GitHub\eaglep3\Utilities\RefineRTDCRunTimes.py" --tripid 71-06 --locoid 4016 --swversion DE.1.0.9.0 --startMP 204:1285 --initTime 2017-12-06T18:43:02 --startdatetime 2017-12-06T18:46:40 --delay 95 --endMP 300:23297 --enddatetime 2017-12-06T18:57:59 --enforcementcount 0 &gt;&gt;%USERPROFILE%\Documents\GitHub\eaglep3-reporting\EC\2017-12-06-refined-times.txt</v>
      </c>
      <c r="AI242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2.3297"},{"id":17,"name":"Train ID","value":"71-06"},{"id":16,"name":"Locomotive ID","value":"4016"},{"id":130,"name":"Impact","value":""},{"id":150,"name":"Time of Event (Mountain Time)","value":"18:57:59"},{"id":151,"name":"Denver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33"/>
        <v>start /low /b %USERPROFILE%\Documents\GitHub\eaglep3\Utilities\DownloadLogsFromS3.py --loco 4016 --day 2017-12-06</v>
      </c>
      <c r="AN242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01:57:59"},{"id":29,"name":"Sharepoint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35"/>
        <v>https://d0f6bd738d7f1b3e5a7ca70fe4ff75f0.us-east-1.aws.found.io/app/kibana#/discover/Steve-Slow-Train-Analysis-(2080s-and-2083s)?_g=(refreshInterval:(display:Off,pause:!f,section:0,value:0),time:(from:'2017-12-06T17:43:02-0700',mode:absolute,to:'2017-12-06T19:57:59-0700'))&amp;_a=(columns:!('Message%20ID',Summary),filters:!(),index:'emp_*',interval:auto,query:(query_string:(analyze_wildcard:!t,query:'%22rtdc.l.rtdc.4016%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229" t="s">
        <v>727</v>
      </c>
      <c r="B243" s="225">
        <v>4016</v>
      </c>
      <c r="C243" s="227" t="s">
        <v>192</v>
      </c>
      <c r="D243" s="227" t="s">
        <v>1032</v>
      </c>
      <c r="E243" s="226">
        <v>43075.849768518521</v>
      </c>
      <c r="F243" s="226">
        <v>43075.854467592595</v>
      </c>
      <c r="G243" s="225">
        <v>94</v>
      </c>
      <c r="H243" s="227" t="s">
        <v>423</v>
      </c>
      <c r="I243" s="226">
        <v>43075.862268518518</v>
      </c>
      <c r="J243" s="225">
        <v>0</v>
      </c>
      <c r="K243" s="237" t="str">
        <f t="shared" si="115"/>
        <v>4015/4016</v>
      </c>
      <c r="L243" s="245" t="str">
        <f>VLOOKUP(A243,'Trips&amp;Operators'!$C$1:$G$99911,5,FALSE)</f>
        <v>ROMERO CHAD</v>
      </c>
      <c r="M243" s="224">
        <f t="shared" si="116"/>
        <v>7.8009259232203476E-3</v>
      </c>
      <c r="N243" s="225">
        <f t="shared" si="139"/>
        <v>11.233333329437301</v>
      </c>
      <c r="O243" s="225"/>
      <c r="P243" s="225"/>
      <c r="Q243" s="228"/>
      <c r="R243" s="242"/>
      <c r="S243" s="249">
        <f t="shared" si="137"/>
        <v>1</v>
      </c>
      <c r="T243" s="242" t="str">
        <f t="shared" si="117"/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 t="shared" si="118"/>
        <v>https://d0f6bd738d7f1b3e5a7ca70fe4ff75f0.us-east-1.aws.found.io/app/kibana#/discover/Steve-Slow-Train-Analysis-(2080s-and-2083s)?_g=(refreshInterval:(display:Off,pause:!f,section:0,value:0),time:(from:'2017-12-06T19:23:40-0700',mode:absolute,to:'2017-12-06T21:41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3" s="247" t="str">
        <f>IF(AA243&lt;VLOOKUP(AG243,Variables!$AC$3:$AD$8,2,FALSE),"Y","N")</f>
        <v>Y</v>
      </c>
      <c r="X243" s="247">
        <f t="shared" si="138"/>
        <v>0</v>
      </c>
      <c r="Y243" s="247">
        <f t="shared" si="140"/>
        <v>0.1229</v>
      </c>
      <c r="Z243" s="247">
        <f t="shared" si="141"/>
        <v>2.3346</v>
      </c>
      <c r="AA243" s="247">
        <f t="shared" si="119"/>
        <v>2.2117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 t="shared" si="120"/>
        <v>71</v>
      </c>
      <c r="AE243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43" s="234" t="str">
        <f t="shared" si="122"/>
        <v>"C:\Program Files (x86)\AstroGrep\AstroGrep.exe" /e /r /s /spath="%USERPROFILE%\AppData\Local\Temp\OnboardLogs" /stypes="app*4016*20171207*" /stext=" 03:.+((SYSTEM_STATE.+slice.+state.+changed )|(ment ac)|(multiple cpu faults)|(system.+state.+changed )|(\[timeout)|(PRM\|1\|D)|(kpr)|(kdp)|(train st.+moving)|(\|lc)|(penalty))"</v>
      </c>
      <c r="AG243" s="244" t="str">
        <f t="shared" si="123"/>
        <v>Shuttle/Test</v>
      </c>
      <c r="AH243" s="236" t="str">
        <f t="shared" si="131"/>
        <v>"%USERPROFILE%\Documents\GitHub\eaglep3\Utilities\RefineRTDCRunTimes.py" --tripid 71-06 --locoid 4016 --swversion DE.1.0.9.0 --startMP 204:1229 --initTime 2017-12-06T20:23:40 --startdatetime 2017-12-06T20:30:26 --delay 94 --endMP 300:23346 --enddatetime 2017-12-06T20:41:40 --enforcementcount 0 &gt;&gt;%USERPROFILE%\Documents\GitHub\eaglep3-reporting\EC\2017-12-06-refined-times.txt</v>
      </c>
      <c r="AI243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2.3346"},{"id":17,"name":"Train ID","value":"71-06"},{"id":16,"name":"Locomotive ID","value":"4016"},{"id":130,"name":"Impact","value":""},{"id":150,"name":"Time of Event (Mountain Time)","value":"20:41:40"},{"id":151,"name":"Denver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3"/>
      <c r="AK243" s="231"/>
      <c r="AL243" s="231"/>
      <c r="AM243" s="240" t="str">
        <f t="shared" si="133"/>
        <v>start /low /b %USERPROFILE%\Documents\GitHub\eaglep3\Utilities\DownloadLogsFromS3.py --loco 4016 --day 2017-12-06</v>
      </c>
      <c r="AN243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03:41:40"},{"id":29,"name":"Sharepoint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35"/>
        <v>https://d0f6bd738d7f1b3e5a7ca70fe4ff75f0.us-east-1.aws.found.io/app/kibana#/discover/Steve-Slow-Train-Analysis-(2080s-and-2083s)?_g=(refreshInterval:(display:Off,pause:!f,section:0,value:0),time:(from:'2017-12-06T19:23:40-0700',mode:absolute,to:'2017-12-06T21:41:40-0700'))&amp;_a=(columns:!('Message%20ID',Summary),filters:!(),index:'emp_*',interval:auto,query:(query_string:(analyze_wildcard:!t,query:'%22rtdc.l.rtdc.4016%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229" t="s">
        <v>644</v>
      </c>
      <c r="B244" s="225">
        <v>4015</v>
      </c>
      <c r="C244" s="227" t="s">
        <v>192</v>
      </c>
      <c r="D244" s="227" t="s">
        <v>1033</v>
      </c>
      <c r="E244" s="226">
        <v>43075.3905787037</v>
      </c>
      <c r="F244" s="226">
        <v>43075.44263888889</v>
      </c>
      <c r="G244" s="225">
        <v>67</v>
      </c>
      <c r="H244" s="227" t="s">
        <v>1034</v>
      </c>
      <c r="I244" s="226">
        <v>43075.462847222225</v>
      </c>
      <c r="J244" s="225">
        <v>0</v>
      </c>
      <c r="K244" s="237" t="str">
        <f t="shared" si="115"/>
        <v>4015/4016</v>
      </c>
      <c r="L244" s="245" t="str">
        <f>VLOOKUP(A244,'Trips&amp;Operators'!$C$1:$G$99911,5,FALSE)</f>
        <v>DAVIDSON DAVID</v>
      </c>
      <c r="M244" s="224">
        <f t="shared" si="116"/>
        <v>2.0208333335176576E-2</v>
      </c>
      <c r="N244" s="225">
        <f t="shared" si="139"/>
        <v>29.100000002654269</v>
      </c>
      <c r="O244" s="225"/>
      <c r="P244" s="225"/>
      <c r="Q244" s="228"/>
      <c r="R244" s="242"/>
      <c r="S244" s="249">
        <f t="shared" si="137"/>
        <v>0</v>
      </c>
      <c r="T244" s="242" t="str">
        <f t="shared" si="117"/>
        <v>Southbound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 t="shared" si="118"/>
        <v>https://d0f6bd738d7f1b3e5a7ca70fe4ff75f0.us-east-1.aws.found.io/app/kibana#/discover/Steve-Slow-Train-Analysis-(2080s-and-2083s)?_g=(refreshInterval:(display:Off,pause:!f,section:0,value:0),time:(from:'2017-12-06T08:22:26-0700',mode:absolute,to:'2017-12-06T12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4" s="247" t="str">
        <f>IF(AA244&lt;VLOOKUP(AG244,Variables!$AC$3:$AD$8,2,FALSE),"Y","N")</f>
        <v>Y</v>
      </c>
      <c r="X244" s="247">
        <f t="shared" si="138"/>
        <v>1</v>
      </c>
      <c r="Y244" s="247">
        <f t="shared" si="140"/>
        <v>11.2193</v>
      </c>
      <c r="Z244" s="247">
        <f t="shared" si="141"/>
        <v>3.8050999999999999</v>
      </c>
      <c r="AA244" s="247">
        <f t="shared" si="119"/>
        <v>7.414200000000001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 t="shared" si="120"/>
        <v>72</v>
      </c>
      <c r="AE244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44" s="234" t="str">
        <f t="shared" si="122"/>
        <v>"C:\Program Files (x86)\AstroGrep\AstroGrep.exe" /e /r /s /spath="%USERPROFILE%\AppData\Local\Temp\OnboardLogs" /stypes="app*4015*20171206*" /stext=" 18:.+((SYSTEM_STATE.+slice.+state.+changed )|(ment ac)|(multiple cpu faults)|(system.+state.+changed )|(\[timeout)|(PRM\|1\|D)|(kpr)|(kdp)|(train st.+moving)|(\|lc)|(penalty))"</v>
      </c>
      <c r="AG244" s="244" t="str">
        <f t="shared" si="123"/>
        <v>Shuttle/Test</v>
      </c>
      <c r="AH244" s="236" t="str">
        <f t="shared" si="131"/>
        <v>"%USERPROFILE%\Documents\GitHub\eaglep3\Utilities\RefineRTDCRunTimes.py" --tripid 72-06 --locoid 4015 --swversion DE.1.0.9.0 --startMP 300:112193 --initTime 2017-12-06T09:22:26 --startdatetime 2017-12-06T10:37:24 --delay 67 --endMP 300:38051 --enddatetime 2017-12-06T11:06:30 --enforcementcount 0 &gt;&gt;%USERPROFILE%\Documents\GitHub\eaglep3-reporting\EC\2017-12-06-refined-times.txt</v>
      </c>
      <c r="AI244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3.8051"},{"id":17,"name":"Train ID","value":"72-06"},{"id":16,"name":"Locomotive ID","value":"4015"},{"id":130,"name":"Impact","value":""},{"id":150,"name":"Time of Event (Mountain Time)","value":"11:06:30"},{"id":151,"name":"Denver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133"/>
        <v>start /low /b %USERPROFILE%\Documents\GitHub\eaglep3\Utilities\DownloadLogsFromS3.py --loco 4015 --day 2017-12-06</v>
      </c>
      <c r="AN244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135"/>
        <v>https://d0f6bd738d7f1b3e5a7ca70fe4ff75f0.us-east-1.aws.found.io/app/kibana#/discover/Steve-Slow-Train-Analysis-(2080s-and-2083s)?_g=(refreshInterval:(display:Off,pause:!f,section:0,value:0),time:(from:'2017-12-06T08:22:26-0700',mode:absolute,to:'2017-12-06T12:06:30-0700'))&amp;_a=(columns:!('Message%20ID',Summary),filters:!(),index:'emp_*',interval:auto,query:(query_string:(analyze_wildcard:!t,query:'%22rtdc.l.rtdc.4015%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229" t="s">
        <v>644</v>
      </c>
      <c r="B245" s="225">
        <v>4015</v>
      </c>
      <c r="C245" s="227" t="s">
        <v>192</v>
      </c>
      <c r="D245" s="227" t="s">
        <v>1035</v>
      </c>
      <c r="E245" s="226">
        <v>43075.426759259259</v>
      </c>
      <c r="F245" s="226">
        <v>43075.44263888889</v>
      </c>
      <c r="G245" s="225">
        <v>67</v>
      </c>
      <c r="H245" s="227" t="s">
        <v>1036</v>
      </c>
      <c r="I245" s="226">
        <v>43075.462847222225</v>
      </c>
      <c r="J245" s="225">
        <v>0</v>
      </c>
      <c r="K245" s="237" t="str">
        <f t="shared" si="115"/>
        <v>4015/4016</v>
      </c>
      <c r="L245" s="245" t="str">
        <f>VLOOKUP(A245,'Trips&amp;Operators'!$C$1:$G$99911,5,FALSE)</f>
        <v>DAVIDSON DAVID</v>
      </c>
      <c r="M245" s="224">
        <f t="shared" si="116"/>
        <v>2.0208333335176576E-2</v>
      </c>
      <c r="N245" s="225">
        <f t="shared" si="139"/>
        <v>29.100000002654269</v>
      </c>
      <c r="O245" s="225"/>
      <c r="P245" s="225"/>
      <c r="Q245" s="228"/>
      <c r="R245" s="242"/>
      <c r="S245" s="249">
        <f t="shared" si="137"/>
        <v>1</v>
      </c>
      <c r="T245" s="242" t="str">
        <f t="shared" si="117"/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8" t="str">
        <f t="shared" si="118"/>
        <v>https://d0f6bd738d7f1b3e5a7ca70fe4ff75f0.us-east-1.aws.found.io/app/kibana#/discover/Steve-Slow-Train-Analysis-(2080s-and-2083s)?_g=(refreshInterval:(display:Off,pause:!f,section:0,value:0),time:(from:'2017-12-06T09:14:32-0700',mode:absolute,to:'2017-12-06T12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5" s="247" t="str">
        <f>IF(AA245&lt;VLOOKUP(AG245,Variables!$AC$3:$AD$8,2,FALSE),"Y","N")</f>
        <v>Y</v>
      </c>
      <c r="X245" s="247">
        <f t="shared" si="138"/>
        <v>0</v>
      </c>
      <c r="Y245" s="247">
        <f t="shared" si="140"/>
        <v>11.219900000000001</v>
      </c>
      <c r="Z245" s="247">
        <f t="shared" si="141"/>
        <v>0.1186</v>
      </c>
      <c r="AA245" s="247">
        <f t="shared" si="119"/>
        <v>11.1013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 t="shared" si="120"/>
        <v>72</v>
      </c>
      <c r="AE245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45" s="234" t="str">
        <f t="shared" si="122"/>
        <v>"C:\Program Files (x86)\AstroGrep\AstroGrep.exe" /e /r /s /spath="%USERPROFILE%\AppData\Local\Temp\OnboardLogs" /stypes="app*4015*20171206*" /stext=" 18:.+((SYSTEM_STATE.+slice.+state.+changed )|(ment ac)|(multiple cpu faults)|(system.+state.+changed )|(\[timeout)|(PRM\|1\|D)|(kpr)|(kdp)|(train st.+moving)|(\|lc)|(penalty))"</v>
      </c>
      <c r="AG245" s="244" t="str">
        <f t="shared" si="123"/>
        <v>Shuttle/Test</v>
      </c>
      <c r="AH245" s="236" t="str">
        <f t="shared" si="131"/>
        <v>"%USERPROFILE%\Documents\GitHub\eaglep3\Utilities\RefineRTDCRunTimes.py" --tripid 72-06 --locoid 4015 --swversion DE.1.0.9.0 --startMP 300:112199 --initTime 2017-12-06T10:14:32 --startdatetime 2017-12-06T10:37:24 --delay 67 --endMP 204:1186 --enddatetime 2017-12-06T11:06:30 --enforcementcount 0 &gt;&gt;%USERPROFILE%\Documents\GitHub\eaglep3-reporting\EC\2017-12-06-refined-times.txt</v>
      </c>
      <c r="AI245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0.1186"},{"id":17,"name":"Train ID","value":"72-06"},{"id":16,"name":"Locomotive ID","value":"4015"},{"id":130,"name":"Impact","value":""},{"id":150,"name":"Time of Event (Mountain Time)","value":"11:06:30"},{"id":151,"name":"Denver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133"/>
        <v>start /low /b %USERPROFILE%\Documents\GitHub\eaglep3\Utilities\DownloadLogsFromS3.py --loco 4015 --day 2017-12-06</v>
      </c>
      <c r="AN245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135"/>
        <v>https://d0f6bd738d7f1b3e5a7ca70fe4ff75f0.us-east-1.aws.found.io/app/kibana#/discover/Steve-Slow-Train-Analysis-(2080s-and-2083s)?_g=(refreshInterval:(display:Off,pause:!f,section:0,value:0),time:(from:'2017-12-06T09:14:32-0700',mode:absolute,to:'2017-12-06T12:06:30-0700'))&amp;_a=(columns:!('Message%20ID',Summary),filters:!(),index:'emp_*',interval:auto,query:(query_string:(analyze_wildcard:!t,query:'%22rtdc.l.rtdc.4015%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229" t="s">
        <v>644</v>
      </c>
      <c r="B246" s="225">
        <v>4015</v>
      </c>
      <c r="C246" s="227" t="s">
        <v>192</v>
      </c>
      <c r="D246" s="227" t="s">
        <v>1033</v>
      </c>
      <c r="E246" s="226">
        <v>43075.506886574076</v>
      </c>
      <c r="F246" s="226">
        <v>43075.509305555555</v>
      </c>
      <c r="G246" s="225">
        <v>94</v>
      </c>
      <c r="H246" s="227" t="s">
        <v>1037</v>
      </c>
      <c r="I246" s="226">
        <v>43075.529976851853</v>
      </c>
      <c r="J246" s="225">
        <v>0</v>
      </c>
      <c r="K246" s="237" t="str">
        <f t="shared" si="115"/>
        <v>4015/4016</v>
      </c>
      <c r="L246" s="245" t="str">
        <f>VLOOKUP(A246,'Trips&amp;Operators'!$C$1:$G$99911,5,FALSE)</f>
        <v>DAVIDSON DAVID</v>
      </c>
      <c r="M246" s="224">
        <f t="shared" si="116"/>
        <v>2.0671296297223307E-2</v>
      </c>
      <c r="N246" s="225">
        <f t="shared" si="139"/>
        <v>29.766666668001562</v>
      </c>
      <c r="O246" s="225"/>
      <c r="P246" s="225"/>
      <c r="Q246" s="228"/>
      <c r="R246" s="242"/>
      <c r="S246" s="249">
        <f t="shared" si="137"/>
        <v>1</v>
      </c>
      <c r="T246" s="242" t="str">
        <f t="shared" si="117"/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48" t="str">
        <f t="shared" si="118"/>
        <v>https://d0f6bd738d7f1b3e5a7ca70fe4ff75f0.us-east-1.aws.found.io/app/kibana#/discover/Steve-Slow-Train-Analysis-(2080s-and-2083s)?_g=(refreshInterval:(display:Off,pause:!f,section:0,value:0),time:(from:'2017-12-06T11:09:55-0700',mode:absolute,to:'2017-12-06T13:43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6" s="247" t="str">
        <f>IF(AA246&lt;VLOOKUP(AG246,Variables!$AC$3:$AD$8,2,FALSE),"Y","N")</f>
        <v>Y</v>
      </c>
      <c r="X246" s="247">
        <f t="shared" si="138"/>
        <v>0</v>
      </c>
      <c r="Y246" s="247">
        <f t="shared" si="140"/>
        <v>11.2193</v>
      </c>
      <c r="Z246" s="247">
        <f t="shared" si="141"/>
        <v>0.1149</v>
      </c>
      <c r="AA246" s="247">
        <f t="shared" si="119"/>
        <v>11.1044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 t="shared" si="120"/>
        <v>72</v>
      </c>
      <c r="AE246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46" s="234" t="str">
        <f t="shared" si="122"/>
        <v>"C:\Program Files (x86)\AstroGrep\AstroGrep.exe" /e /r /s /spath="%USERPROFILE%\AppData\Local\Temp\OnboardLogs" /stypes="app*4015*20171206*" /stext=" 19:.+((SYSTEM_STATE.+slice.+state.+changed )|(ment ac)|(multiple cpu faults)|(system.+state.+changed )|(\[timeout)|(PRM\|1\|D)|(kpr)|(kdp)|(train st.+moving)|(\|lc)|(penalty))"</v>
      </c>
      <c r="AG246" s="244" t="str">
        <f t="shared" si="123"/>
        <v>Shuttle/Test</v>
      </c>
      <c r="AH246" s="236" t="str">
        <f t="shared" si="131"/>
        <v>"%USERPROFILE%\Documents\GitHub\eaglep3\Utilities\RefineRTDCRunTimes.py" --tripid 72-06 --locoid 4015 --swversion DE.1.0.9.0 --startMP 300:112193 --initTime 2017-12-06T12:09:55 --startdatetime 2017-12-06T12:13:24 --delay 94 --endMP 204:1149 --enddatetime 2017-12-06T12:43:10 --enforcementcount 0 &gt;&gt;%USERPROFILE%\Documents\GitHub\eaglep3-reporting\EC\2017-12-06-refined-times.txt</v>
      </c>
      <c r="AI246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0.1149"},{"id":17,"name":"Train ID","value":"72-06"},{"id":16,"name":"Locomotive ID","value":"4015"},{"id":130,"name":"Impact","value":""},{"id":150,"name":"Time of Event (Mountain Time)","value":"12:43:10"},{"id":151,"name":"Denver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133"/>
        <v>start /low /b %USERPROFILE%\Documents\GitHub\eaglep3\Utilities\DownloadLogsFromS3.py --loco 4015 --day 2017-12-06</v>
      </c>
      <c r="AN246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19:43:10"},{"id":29,"name":"Sharepoint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135"/>
        <v>https://d0f6bd738d7f1b3e5a7ca70fe4ff75f0.us-east-1.aws.found.io/app/kibana#/discover/Steve-Slow-Train-Analysis-(2080s-and-2083s)?_g=(refreshInterval:(display:Off,pause:!f,section:0,value:0),time:(from:'2017-12-06T11:09:55-0700',mode:absolute,to:'2017-12-06T13:43:10-0700'))&amp;_a=(columns:!('Message%20ID',Summary),filters:!(),index:'emp_*',interval:auto,query:(query_string:(analyze_wildcard:!t,query:'%22rtdc.l.rtdc.4015%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229" t="s">
        <v>648</v>
      </c>
      <c r="B247" s="225">
        <v>4016</v>
      </c>
      <c r="C247" s="227" t="s">
        <v>192</v>
      </c>
      <c r="D247" s="227" t="s">
        <v>1038</v>
      </c>
      <c r="E247" s="226">
        <v>43075.408263888887</v>
      </c>
      <c r="F247" s="226">
        <v>43075.41064814815</v>
      </c>
      <c r="G247" s="225">
        <v>60</v>
      </c>
      <c r="H247" s="227" t="s">
        <v>1039</v>
      </c>
      <c r="I247" s="226">
        <v>43075.425532407404</v>
      </c>
      <c r="J247" s="225">
        <v>0</v>
      </c>
      <c r="K247" s="237" t="str">
        <f t="shared" si="115"/>
        <v>4015/4016</v>
      </c>
      <c r="L247" s="245" t="str">
        <f>VLOOKUP(A247,'Trips&amp;Operators'!$C$1:$G$99911,5,FALSE)</f>
        <v>DAVIDSON DAVID</v>
      </c>
      <c r="M247" s="224">
        <f t="shared" si="116"/>
        <v>1.4884259253449272E-2</v>
      </c>
      <c r="N247" s="225">
        <f t="shared" si="139"/>
        <v>21.433333324966952</v>
      </c>
      <c r="O247" s="225"/>
      <c r="P247" s="225"/>
      <c r="Q247" s="228"/>
      <c r="R247" s="242"/>
      <c r="S247" s="249">
        <f t="shared" si="137"/>
        <v>0</v>
      </c>
      <c r="T247" s="242" t="str">
        <f t="shared" si="117"/>
        <v>NorthBound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 t="shared" si="118"/>
        <v>https://d0f6bd738d7f1b3e5a7ca70fe4ff75f0.us-east-1.aws.found.io/app/kibana#/discover/Steve-Slow-Train-Analysis-(2080s-and-2083s)?_g=(refreshInterval:(display:Off,pause:!f,section:0,value:0),time:(from:'2017-12-06T08:47:54-0700',mode:absolute,to:'2017-12-06T11:12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7" s="247" t="str">
        <f>IF(AA247&lt;VLOOKUP(AG247,Variables!$AC$3:$AD$8,2,FALSE),"Y","N")</f>
        <v>Y</v>
      </c>
      <c r="X247" s="247">
        <f t="shared" si="138"/>
        <v>1</v>
      </c>
      <c r="Y247" s="247">
        <f t="shared" si="140"/>
        <v>3.8368000000000002</v>
      </c>
      <c r="Z247" s="247">
        <f t="shared" si="141"/>
        <v>11.251099999999999</v>
      </c>
      <c r="AA247" s="247">
        <f t="shared" si="119"/>
        <v>7.414299999999999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 t="shared" si="120"/>
        <v>73</v>
      </c>
      <c r="AE247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47" s="234" t="str">
        <f t="shared" si="122"/>
        <v>"C:\Program Files (x86)\AstroGrep\AstroGrep.exe" /e /r /s /spath="%USERPROFILE%\AppData\Local\Temp\OnboardLogs" /stypes="app*4016*20171206*" /stext=" 17:.+((SYSTEM_STATE.+slice.+state.+changed )|(ment ac)|(multiple cpu faults)|(system.+state.+changed )|(\[timeout)|(PRM\|1\|D)|(kpr)|(kdp)|(train st.+moving)|(\|lc)|(penalty))"</v>
      </c>
      <c r="AG247" s="244" t="str">
        <f t="shared" si="123"/>
        <v>Shuttle/Test</v>
      </c>
      <c r="AH247" s="236" t="str">
        <f t="shared" si="131"/>
        <v>"%USERPROFILE%\Documents\GitHub\eaglep3\Utilities\RefineRTDCRunTimes.py" --tripid 73-06 --locoid 4016 --swversion DE.1.0.9.0 --startMP 300:38368 --initTime 2017-12-06T09:47:54 --startdatetime 2017-12-06T09:51:20 --delay 60 --endMP 300:112511 --enddatetime 2017-12-06T10:12:46 --enforcementcount 0 &gt;&gt;%USERPROFILE%\Documents\GitHub\eaglep3-reporting\EC\2017-12-06-refined-times.txt</v>
      </c>
      <c r="AI247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11.2511"},{"id":17,"name":"Train ID","value":"73-06"},{"id":16,"name":"Locomotive ID","value":"4016"},{"id":130,"name":"Impact","value":""},{"id":150,"name":"Time of Event (Mountain Time)","value":"10:12:46"},{"id":151,"name":"Denver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133"/>
        <v>start /low /b %USERPROFILE%\Documents\GitHub\eaglep3\Utilities\DownloadLogsFromS3.py --loco 4016 --day 2017-12-06</v>
      </c>
      <c r="AN247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17:12:46"},{"id":29,"name":"Sharepoint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135"/>
        <v>https://d0f6bd738d7f1b3e5a7ca70fe4ff75f0.us-east-1.aws.found.io/app/kibana#/discover/Steve-Slow-Train-Analysis-(2080s-and-2083s)?_g=(refreshInterval:(display:Off,pause:!f,section:0,value:0),time:(from:'2017-12-06T08:47:54-0700',mode:absolute,to:'2017-12-06T11:12:46-0700'))&amp;_a=(columns:!('Message%20ID',Summary),filters:!(),index:'emp_*',interval:auto,query:(query_string:(analyze_wildcard:!t,query:'%22rtdc.l.rtdc.4016%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 s="229" t="s">
        <v>648</v>
      </c>
      <c r="B248" s="225">
        <v>4016</v>
      </c>
      <c r="C248" s="227" t="s">
        <v>192</v>
      </c>
      <c r="D248" s="227" t="s">
        <v>1040</v>
      </c>
      <c r="E248" s="226">
        <v>43075.468182870369</v>
      </c>
      <c r="F248" s="226">
        <v>43075.480208333334</v>
      </c>
      <c r="G248" s="225">
        <v>73</v>
      </c>
      <c r="H248" s="227" t="s">
        <v>1039</v>
      </c>
      <c r="I248" s="226">
        <v>43075.505995370368</v>
      </c>
      <c r="J248" s="225">
        <v>0</v>
      </c>
      <c r="K248" s="237" t="str">
        <f t="shared" si="115"/>
        <v>4015/4016</v>
      </c>
      <c r="L248" s="245" t="str">
        <f>VLOOKUP(A248,'Trips&amp;Operators'!$C$1:$G$99911,5,FALSE)</f>
        <v>DAVIDSON DAVID</v>
      </c>
      <c r="M248" s="224">
        <f t="shared" si="116"/>
        <v>2.5787037033296656E-2</v>
      </c>
      <c r="N248" s="225">
        <f t="shared" si="139"/>
        <v>37.133333327947184</v>
      </c>
      <c r="O248" s="225"/>
      <c r="P248" s="225"/>
      <c r="Q248" s="228"/>
      <c r="R248" s="242"/>
      <c r="S248" s="249">
        <f t="shared" si="137"/>
        <v>1</v>
      </c>
      <c r="T248" s="242" t="str">
        <f t="shared" si="117"/>
        <v>NorthBound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48" t="str">
        <f t="shared" si="118"/>
        <v>https://d0f6bd738d7f1b3e5a7ca70fe4ff75f0.us-east-1.aws.found.io/app/kibana#/discover/Steve-Slow-Train-Analysis-(2080s-and-2083s)?_g=(refreshInterval:(display:Off,pause:!f,section:0,value:0),time:(from:'2017-12-06T10:14:11-0700',mode:absolute,to:'2017-12-06T13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8" s="247" t="str">
        <f>IF(AA248&lt;VLOOKUP(AG248,Variables!$AC$3:$AD$8,2,FALSE),"Y","N")</f>
        <v>Y</v>
      </c>
      <c r="X248" s="247">
        <f t="shared" si="138"/>
        <v>0</v>
      </c>
      <c r="Y248" s="247">
        <f t="shared" si="140"/>
        <v>0.14799999999999999</v>
      </c>
      <c r="Z248" s="247">
        <f t="shared" si="141"/>
        <v>11.251099999999999</v>
      </c>
      <c r="AA248" s="247">
        <f t="shared" si="119"/>
        <v>11.1031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 t="shared" si="120"/>
        <v>73</v>
      </c>
      <c r="AE248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48" s="234" t="str">
        <f t="shared" si="122"/>
        <v>"C:\Program Files (x86)\AstroGrep\AstroGrep.exe" /e /r /s /spath="%USERPROFILE%\AppData\Local\Temp\OnboardLogs" /stypes="app*4016*20171206*" /stext=" 19:.+((SYSTEM_STATE.+slice.+state.+changed )|(ment ac)|(multiple cpu faults)|(system.+state.+changed )|(\[timeout)|(PRM\|1\|D)|(kpr)|(kdp)|(train st.+moving)|(\|lc)|(penalty))"</v>
      </c>
      <c r="AG248" s="244" t="str">
        <f t="shared" si="123"/>
        <v>Shuttle/Test</v>
      </c>
      <c r="AH248" s="236" t="str">
        <f t="shared" si="131"/>
        <v>"%USERPROFILE%\Documents\GitHub\eaglep3\Utilities\RefineRTDCRunTimes.py" --tripid 73-06 --locoid 4016 --swversion DE.1.0.9.0 --startMP 204:1480 --initTime 2017-12-06T11:14:11 --startdatetime 2017-12-06T11:31:30 --delay 73 --endMP 300:112511 --enddatetime 2017-12-06T12:08:38 --enforcementcount 0 &gt;&gt;%USERPROFILE%\Documents\GitHub\eaglep3-reporting\EC\2017-12-06-refined-times.txt</v>
      </c>
      <c r="AI248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11.2511"},{"id":17,"name":"Train ID","value":"73-06"},{"id":16,"name":"Locomotive ID","value":"4016"},{"id":130,"name":"Impact","value":""},{"id":150,"name":"Time of Event (Mountain Time)","value":"12:08:38"},{"id":151,"name":"Denver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133"/>
        <v>start /low /b %USERPROFILE%\Documents\GitHub\eaglep3\Utilities\DownloadLogsFromS3.py --loco 4016 --day 2017-12-06</v>
      </c>
      <c r="AN248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19:08:38"},{"id":29,"name":"Sharepoint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135"/>
        <v>https://d0f6bd738d7f1b3e5a7ca70fe4ff75f0.us-east-1.aws.found.io/app/kibana#/discover/Steve-Slow-Train-Analysis-(2080s-and-2083s)?_g=(refreshInterval:(display:Off,pause:!f,section:0,value:0),time:(from:'2017-12-06T10:14:11-0700',mode:absolute,to:'2017-12-06T13:08:38-0700'))&amp;_a=(columns:!('Message%20ID',Summary),filters:!(),index:'emp_*',interval:auto,query:(query_string:(analyze_wildcard:!t,query:'%22rtdc.l.rtdc.4016%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25">
      <c r="A249" s="229" t="s">
        <v>645</v>
      </c>
      <c r="B249" s="225">
        <v>4005</v>
      </c>
      <c r="C249" s="227" t="s">
        <v>192</v>
      </c>
      <c r="D249" s="227" t="s">
        <v>1041</v>
      </c>
      <c r="E249" s="226">
        <v>43075.403067129628</v>
      </c>
      <c r="F249" s="226">
        <v>43075.411620370367</v>
      </c>
      <c r="G249" s="225">
        <v>81</v>
      </c>
      <c r="H249" s="227" t="s">
        <v>1042</v>
      </c>
      <c r="I249" s="226">
        <v>43075.435543981483</v>
      </c>
      <c r="J249" s="225">
        <v>0</v>
      </c>
      <c r="K249" s="237" t="str">
        <f t="shared" si="115"/>
        <v>4005/4006</v>
      </c>
      <c r="L249" s="245" t="str">
        <f>VLOOKUP(A249,'Trips&amp;Operators'!$C$1:$G$99911,5,FALSE)</f>
        <v>STARKS ANGELINA</v>
      </c>
      <c r="M249" s="224">
        <f t="shared" si="116"/>
        <v>2.3923611115606036E-2</v>
      </c>
      <c r="N249" s="225">
        <f t="shared" si="139"/>
        <v>34.450000006472692</v>
      </c>
      <c r="O249" s="225"/>
      <c r="P249" s="225"/>
      <c r="Q249" s="228"/>
      <c r="R249" s="242"/>
      <c r="S249" s="249">
        <f t="shared" si="137"/>
        <v>1</v>
      </c>
      <c r="T249" s="242" t="str">
        <f t="shared" si="117"/>
        <v>Southbound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48" t="str">
        <f t="shared" si="118"/>
        <v>https://d0f6bd738d7f1b3e5a7ca70fe4ff75f0.us-east-1.aws.found.io/app/kibana#/discover/Steve-Slow-Train-Analysis-(2080s-and-2083s)?_g=(refreshInterval:(display:Off,pause:!f,section:0,value:0),time:(from:'2017-12-06T08:40:25-0700',mode:absolute,to:'2017-12-06T11:27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9" s="247" t="str">
        <f>IF(AA249&lt;VLOOKUP(AG249,Variables!$AC$3:$AD$8,2,FALSE),"Y","N")</f>
        <v>Y</v>
      </c>
      <c r="X249" s="247">
        <f t="shared" si="138"/>
        <v>1</v>
      </c>
      <c r="Y249" s="247">
        <f t="shared" si="140"/>
        <v>11.2262</v>
      </c>
      <c r="Z249" s="247">
        <f t="shared" si="141"/>
        <v>0.45689999999999997</v>
      </c>
      <c r="AA249" s="247">
        <f t="shared" si="119"/>
        <v>10.769300000000001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 t="shared" si="120"/>
        <v>74</v>
      </c>
      <c r="AE249" s="235" t="str">
        <f t="shared" si="121"/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AF249" s="234" t="str">
        <f t="shared" si="122"/>
        <v>"C:\Program Files (x86)\AstroGrep\AstroGrep.exe" /e /r /s /spath="%USERPROFILE%\AppData\Local\Temp\OnboardLogs" /stypes="app*4005*20171206*" /stext=" 17:.+((SYSTEM_STATE.+slice.+state.+changed )|(ment ac)|(multiple cpu faults)|(system.+state.+changed )|(\[timeout)|(PRM\|1\|D)|(kpr)|(kdp)|(train st.+moving)|(\|lc)|(penalty))"</v>
      </c>
      <c r="AG249" s="244" t="str">
        <f t="shared" si="123"/>
        <v>Shuttle/Test</v>
      </c>
      <c r="AH249" s="236" t="str">
        <f t="shared" si="131"/>
        <v>"%USERPROFILE%\Documents\GitHub\eaglep3\Utilities\RefineRTDCRunTimes.py" --tripid 74-06 --locoid 4005 --swversion DE.1.0.9.0 --startMP 300:112262 --initTime 2017-12-06T09:40:25 --startdatetime 2017-12-06T09:52:44 --delay 81 --endMP 204:4569 --enddatetime 2017-12-06T10:27:11 --enforcementcount 0 &gt;&gt;%USERPROFILE%\Documents\GitHub\eaglep3-reporting\EC\2017-12-06-refined-times.txt</v>
      </c>
      <c r="AI249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0.4569"},{"id":17,"name":"Train ID","value":"74-06"},{"id":16,"name":"Locomotive ID","value":"4005"},{"id":130,"name":"Impact","value":""},{"id":150,"name":"Time of Event (Mountain Time)","value":"10:27:11"},{"id":151,"name":"Denver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231"/>
      <c r="AL249" s="231"/>
      <c r="AM249" s="240" t="str">
        <f t="shared" si="133"/>
        <v>start /low /b %USERPROFILE%\Documents\GitHub\eaglep3\Utilities\DownloadLogsFromS3.py --loco 4005 --day 2017-12-06</v>
      </c>
      <c r="AN249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17:27:11"},{"id":29,"name":"Sharepoint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135"/>
        <v>https://d0f6bd738d7f1b3e5a7ca70fe4ff75f0.us-east-1.aws.found.io/app/kibana#/discover/Steve-Slow-Train-Analysis-(2080s-and-2083s)?_g=(refreshInterval:(display:Off,pause:!f,section:0,value:0),time:(from:'2017-12-06T08:40:25-0700',mode:absolute,to:'2017-12-06T11:27:11-0700'))&amp;_a=(columns:!('Message%20ID',Summary),filters:!(),index:'emp_*',interval:auto,query:(query_string:(analyze_wildcard:!t,query:'%22rtdc.l.rtdc.4005%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 s="229" t="s">
        <v>645</v>
      </c>
      <c r="B250" s="225">
        <v>4005</v>
      </c>
      <c r="C250" s="227" t="s">
        <v>192</v>
      </c>
      <c r="D250" s="227" t="s">
        <v>1044</v>
      </c>
      <c r="E250" s="226">
        <v>43075.46634259259</v>
      </c>
      <c r="F250" s="226">
        <v>43075.469641203701</v>
      </c>
      <c r="G250" s="225">
        <v>151</v>
      </c>
      <c r="H250" s="227" t="s">
        <v>1045</v>
      </c>
      <c r="I250" s="226">
        <v>43075.491643518515</v>
      </c>
      <c r="J250" s="225">
        <v>0</v>
      </c>
      <c r="K250" s="237" t="str">
        <f t="shared" si="115"/>
        <v>4005/4006</v>
      </c>
      <c r="L250" s="245" t="str">
        <f>VLOOKUP(A250,'Trips&amp;Operators'!$C$1:$G$99911,5,FALSE)</f>
        <v>STARKS ANGELINA</v>
      </c>
      <c r="M250" s="224">
        <f t="shared" si="116"/>
        <v>2.2002314814017154E-2</v>
      </c>
      <c r="N250" s="225">
        <f t="shared" si="139"/>
        <v>31.683333332184702</v>
      </c>
      <c r="O250" s="225"/>
      <c r="P250" s="225"/>
      <c r="Q250" s="228"/>
      <c r="R250" s="242"/>
      <c r="S250" s="249">
        <f t="shared" si="137"/>
        <v>1</v>
      </c>
      <c r="T250" s="242" t="str">
        <f t="shared" si="117"/>
        <v>Southbound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 t="shared" si="118"/>
        <v>https://d0f6bd738d7f1b3e5a7ca70fe4ff75f0.us-east-1.aws.found.io/app/kibana#/discover/Steve-Slow-Train-Analysis-(2080s-and-2083s)?_g=(refreshInterval:(display:Off,pause:!f,section:0,value:0),time:(from:'2017-12-06T10:11:32-0700',mode:absolute,to:'2017-12-06T12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0" s="247" t="str">
        <f>IF(AA250&lt;VLOOKUP(AG250,Variables!$AC$3:$AD$8,2,FALSE),"Y","N")</f>
        <v>Y</v>
      </c>
      <c r="X250" s="247">
        <f t="shared" si="138"/>
        <v>0</v>
      </c>
      <c r="Y250" s="247">
        <f t="shared" si="140"/>
        <v>11.226000000000001</v>
      </c>
      <c r="Z250" s="247">
        <f t="shared" si="141"/>
        <v>6.3600000000000004E-2</v>
      </c>
      <c r="AA250" s="247">
        <f t="shared" si="119"/>
        <v>11.162400000000002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 t="shared" si="120"/>
        <v>74</v>
      </c>
      <c r="AE250" s="235" t="str">
        <f t="shared" si="121"/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AF250" s="234" t="str">
        <f t="shared" si="122"/>
        <v>"C:\Program Files (x86)\AstroGrep\AstroGrep.exe" /e /r /s /spath="%USERPROFILE%\AppData\Local\Temp\OnboardLogs" /stypes="app*4005*20171206*" /stext=" 18:.+((SYSTEM_STATE.+slice.+state.+changed )|(ment ac)|(multiple cpu faults)|(system.+state.+changed )|(\[timeout)|(PRM\|1\|D)|(kpr)|(kdp)|(train st.+moving)|(\|lc)|(penalty))"</v>
      </c>
      <c r="AG250" s="244" t="str">
        <f t="shared" si="123"/>
        <v>Shuttle/Test</v>
      </c>
      <c r="AH250" s="236" t="str">
        <f t="shared" si="131"/>
        <v>"%USERPROFILE%\Documents\GitHub\eaglep3\Utilities\RefineRTDCRunTimes.py" --tripid 74-06 --locoid 4005 --swversion DE.1.0.9.0 --startMP 300:112260 --initTime 2017-12-06T11:11:32 --startdatetime 2017-12-06T11:16:17 --delay 151 --endMP 204:636 --enddatetime 2017-12-06T11:47:58 --enforcementcount 0 &gt;&gt;%USERPROFILE%\Documents\GitHub\eaglep3-reporting\EC\2017-12-06-refined-times.txt</v>
      </c>
      <c r="AI250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0.0636"},{"id":17,"name":"Train ID","value":"74-06"},{"id":16,"name":"Locomotive ID","value":"4005"},{"id":130,"name":"Impact","value":""},{"id":150,"name":"Time of Event (Mountain Time)","value":"11:47:58"},{"id":151,"name":"Denver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133"/>
        <v>start /low /b %USERPROFILE%\Documents\GitHub\eaglep3\Utilities\DownloadLogsFromS3.py --loco 4005 --day 2017-12-06</v>
      </c>
      <c r="AN250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135"/>
        <v>https://d0f6bd738d7f1b3e5a7ca70fe4ff75f0.us-east-1.aws.found.io/app/kibana#/discover/Steve-Slow-Train-Analysis-(2080s-and-2083s)?_g=(refreshInterval:(display:Off,pause:!f,section:0,value:0),time:(from:'2017-12-06T10:11:32-0700',mode:absolute,to:'2017-12-06T12:47:58-0700'))&amp;_a=(columns:!('Message%20ID',Summary),filters:!(),index:'emp_*',interval:auto,query:(query_string:(analyze_wildcard:!t,query:'%22rtdc.l.rtdc.4005%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 s="229" t="s">
        <v>645</v>
      </c>
      <c r="B251" s="225">
        <v>4015</v>
      </c>
      <c r="C251" s="227" t="s">
        <v>192</v>
      </c>
      <c r="D251" s="227" t="s">
        <v>1041</v>
      </c>
      <c r="E251" s="226">
        <v>43075.562384259261</v>
      </c>
      <c r="F251" s="226">
        <v>43075.568726851852</v>
      </c>
      <c r="G251" s="225">
        <v>267</v>
      </c>
      <c r="H251" s="227" t="s">
        <v>1043</v>
      </c>
      <c r="I251" s="226">
        <v>43075.58971064815</v>
      </c>
      <c r="J251" s="225">
        <v>0</v>
      </c>
      <c r="K251" s="237" t="str">
        <f t="shared" si="115"/>
        <v>4015/4016</v>
      </c>
      <c r="L251" s="245" t="str">
        <f>VLOOKUP(A251,'Trips&amp;Operators'!$C$1:$G$99911,5,FALSE)</f>
        <v>STARKS ANGELINA</v>
      </c>
      <c r="M251" s="224">
        <f t="shared" si="116"/>
        <v>2.0983796297514345E-2</v>
      </c>
      <c r="N251" s="225">
        <f t="shared" si="139"/>
        <v>30.216666668420658</v>
      </c>
      <c r="O251" s="225"/>
      <c r="P251" s="225"/>
      <c r="Q251" s="228"/>
      <c r="R251" s="242"/>
      <c r="S251" s="249">
        <f t="shared" si="137"/>
        <v>1</v>
      </c>
      <c r="T251" s="242" t="str">
        <f t="shared" si="117"/>
        <v>Southbound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48" t="str">
        <f t="shared" si="118"/>
        <v>https://d0f6bd738d7f1b3e5a7ca70fe4ff75f0.us-east-1.aws.found.io/app/kibana#/discover/Steve-Slow-Train-Analysis-(2080s-and-2083s)?_g=(refreshInterval:(display:Off,pause:!f,section:0,value:0),time:(from:'2017-12-06T12:29:50-0700',mode:absolute,to:'2017-12-06T15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51" s="247" t="str">
        <f>IF(AA251&lt;VLOOKUP(AG251,Variables!$AC$3:$AD$8,2,FALSE),"Y","N")</f>
        <v>Y</v>
      </c>
      <c r="X251" s="247">
        <f t="shared" si="138"/>
        <v>0</v>
      </c>
      <c r="Y251" s="247">
        <f t="shared" si="140"/>
        <v>11.2262</v>
      </c>
      <c r="Z251" s="247">
        <f t="shared" si="141"/>
        <v>0.1105</v>
      </c>
      <c r="AA251" s="247">
        <f t="shared" si="119"/>
        <v>11.1157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 t="shared" si="120"/>
        <v>74</v>
      </c>
      <c r="AE251" s="235" t="str">
        <f t="shared" si="121"/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AF251" s="234" t="str">
        <f t="shared" si="122"/>
        <v>"C:\Program Files (x86)\AstroGrep\AstroGrep.exe" /e /r /s /spath="%USERPROFILE%\AppData\Local\Temp\OnboardLogs" /stypes="app*4015*20171206*" /stext=" 21:.+((SYSTEM_STATE.+slice.+state.+changed )|(ment ac)|(multiple cpu faults)|(system.+state.+changed )|(\[timeout)|(PRM\|1\|D)|(kpr)|(kdp)|(train st.+moving)|(\|lc)|(penalty))"</v>
      </c>
      <c r="AG251" s="244" t="str">
        <f t="shared" si="123"/>
        <v>Shuttle/Test</v>
      </c>
      <c r="AH251" s="236" t="str">
        <f t="shared" si="131"/>
        <v>"%USERPROFILE%\Documents\GitHub\eaglep3\Utilities\RefineRTDCRunTimes.py" --tripid 74-06 --locoid 4015 --swversion DE.1.0.9.0 --startMP 300:112262 --initTime 2017-12-06T13:29:50 --startdatetime 2017-12-06T13:38:58 --delay 267 --endMP 204:1105 --enddatetime 2017-12-06T14:09:11 --enforcementcount 0 &gt;&gt;%USERPROFILE%\Documents\GitHub\eaglep3-reporting\EC\2017-12-06-refined-times.txt</v>
      </c>
      <c r="AI251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0.1105"},{"id":17,"name":"Train ID","value":"74-06"},{"id":16,"name":"Locomotive ID","value":"4015"},{"id":130,"name":"Impact","value":""},{"id":150,"name":"Time of Event (Mountain Time)","value":"14:09:11"},{"id":151,"name":"Denver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3"/>
      <c r="AK251" s="231"/>
      <c r="AL251" s="231"/>
      <c r="AM251" s="240" t="str">
        <f t="shared" si="133"/>
        <v>start /low /b %USERPROFILE%\Documents\GitHub\eaglep3\Utilities\DownloadLogsFromS3.py --loco 4015 --day 2017-12-06</v>
      </c>
      <c r="AN251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135"/>
        <v>https://d0f6bd738d7f1b3e5a7ca70fe4ff75f0.us-east-1.aws.found.io/app/kibana#/discover/Steve-Slow-Train-Analysis-(2080s-and-2083s)?_g=(refreshInterval:(display:Off,pause:!f,section:0,value:0),time:(from:'2017-12-06T12:29:50-0700',mode:absolute,to:'2017-12-06T15:09:11-0700'))&amp;_a=(columns:!('Message%20ID',Summary),filters:!(),index:'emp_*',interval:auto,query:(query_string:(analyze_wildcard:!t,query:'%22rtdc.l.rtdc.4015%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 s="229" t="s">
        <v>647</v>
      </c>
      <c r="B252" s="225">
        <v>4006</v>
      </c>
      <c r="C252" s="227" t="s">
        <v>192</v>
      </c>
      <c r="D252" s="227" t="s">
        <v>1046</v>
      </c>
      <c r="E252" s="226">
        <v>43075.439039351855</v>
      </c>
      <c r="F252" s="226">
        <v>43075.469641203701</v>
      </c>
      <c r="G252" s="225">
        <v>66</v>
      </c>
      <c r="H252" s="227" t="s">
        <v>1047</v>
      </c>
      <c r="I252" s="226">
        <v>43075.491643518515</v>
      </c>
      <c r="J252" s="225">
        <v>0</v>
      </c>
      <c r="K252" s="237" t="str">
        <f t="shared" si="115"/>
        <v>4005/4006</v>
      </c>
      <c r="L252" s="245" t="str">
        <f>VLOOKUP(A252,'Trips&amp;Operators'!$C$1:$G$99911,5,FALSE)</f>
        <v>STARKS ANGELINA</v>
      </c>
      <c r="M252" s="224">
        <f t="shared" si="116"/>
        <v>2.2002314814017154E-2</v>
      </c>
      <c r="N252" s="225">
        <f t="shared" si="139"/>
        <v>31.683333332184702</v>
      </c>
      <c r="O252" s="225"/>
      <c r="P252" s="225"/>
      <c r="Q252" s="228"/>
      <c r="R252" s="242"/>
      <c r="S252" s="249">
        <f t="shared" ref="S252:S259" si="142">1/IF(AG252="EC",12,1)*SUM(U252:U252)</f>
        <v>1</v>
      </c>
      <c r="T252" s="242" t="str">
        <f t="shared" si="117"/>
        <v>NorthBound</v>
      </c>
      <c r="U252" s="246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48" t="str">
        <f t="shared" si="118"/>
        <v>https://d0f6bd738d7f1b3e5a7ca70fe4ff75f0.us-east-1.aws.found.io/app/kibana#/discover/Steve-Slow-Train-Analysis-(2080s-and-2083s)?_g=(refreshInterval:(display:Off,pause:!f,section:0,value:0),time:(from:'2017-12-06T09:32:13-0700',mode:absolute,to:'2017-12-06T12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2" s="247" t="str">
        <f>IF(AA252&lt;VLOOKUP(AG252,Variables!$AC$3:$AD$8,2,FALSE),"Y","N")</f>
        <v>Y</v>
      </c>
      <c r="X252" s="247">
        <f t="shared" si="138"/>
        <v>1</v>
      </c>
      <c r="Y252" s="247">
        <f t="shared" si="140"/>
        <v>0.14480000000000001</v>
      </c>
      <c r="Z252" s="247">
        <f t="shared" si="141"/>
        <v>11.257999999999999</v>
      </c>
      <c r="AA252" s="247">
        <f t="shared" si="119"/>
        <v>11.113199999999999</v>
      </c>
      <c r="AB252" s="233" t="e">
        <f>VLOOKUP(A252,Enforcements!$C$7:$K$9,8,0)</f>
        <v>#N/A</v>
      </c>
      <c r="AC252" s="232" t="e">
        <f>VLOOKUP(A252,Enforcements!$C$7:$E$9,3,0)</f>
        <v>#N/A</v>
      </c>
      <c r="AD252" s="243">
        <f t="shared" si="120"/>
        <v>75</v>
      </c>
      <c r="AE252" s="235" t="str">
        <f t="shared" si="121"/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AF252" s="234" t="str">
        <f t="shared" si="122"/>
        <v>"C:\Program Files (x86)\AstroGrep\AstroGrep.exe" /e /r /s /spath="%USERPROFILE%\AppData\Local\Temp\OnboardLogs" /stypes="app*4006*20171206*" /stext=" 18:.+((SYSTEM_STATE.+slice.+state.+changed )|(ment ac)|(multiple cpu faults)|(system.+state.+changed )|(\[timeout)|(PRM\|1\|D)|(kpr)|(kdp)|(train st.+moving)|(\|lc)|(penalty))"</v>
      </c>
      <c r="AG252" s="244" t="str">
        <f t="shared" si="123"/>
        <v>Shuttle/Test</v>
      </c>
      <c r="AH252" s="236" t="str">
        <f t="shared" si="131"/>
        <v>"%USERPROFILE%\Documents\GitHub\eaglep3\Utilities\RefineRTDCRunTimes.py" --tripid 75-06 --locoid 4006 --swversion DE.1.0.9.0 --startMP 204:1448 --initTime 2017-12-06T10:32:13 --startdatetime 2017-12-06T11:16:17 --delay 66 --endMP 300:112580 --enddatetime 2017-12-06T11:47:58 --enforcementcount 0 &gt;&gt;%USERPROFILE%\Documents\GitHub\eaglep3-reporting\EC\2017-12-06-refined-times.txt</v>
      </c>
      <c r="AI252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11.258"},{"id":17,"name":"Train ID","value":"75-06"},{"id":16,"name":"Locomotive ID","value":"4006"},{"id":130,"name":"Impact","value":""},{"id":150,"name":"Time of Event (Mountain Time)","value":"11:47:58"},{"id":151,"name":"Denver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23"/>
      <c r="AK252" s="231"/>
      <c r="AL252" s="231"/>
      <c r="AM252" s="240" t="str">
        <f t="shared" si="133"/>
        <v>start /low /b %USERPROFILE%\Documents\GitHub\eaglep3\Utilities\DownloadLogsFromS3.py --loco 4006 --day 2017-12-06</v>
      </c>
      <c r="AN252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18:47:58"},{"id":29,"name":"Sharepoint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230" t="str">
        <f t="shared" si="135"/>
        <v>https://d0f6bd738d7f1b3e5a7ca70fe4ff75f0.us-east-1.aws.found.io/app/kibana#/discover/Steve-Slow-Train-Analysis-(2080s-and-2083s)?_g=(refreshInterval:(display:Off,pause:!f,section:0,value:0),time:(from:'2017-12-06T09:32:13-0700',mode:absolute,to:'2017-12-06T12:47:58-0700'))&amp;_a=(columns:!('Message%20ID',Summary),filters:!(),index:'emp_*',interval:auto,query:(query_string:(analyze_wildcard:!t,query:'%22rtdc.l.rtdc.4006%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 s="229" t="s">
        <v>647</v>
      </c>
      <c r="B253" s="225">
        <v>4016</v>
      </c>
      <c r="C253" s="227" t="s">
        <v>192</v>
      </c>
      <c r="D253" s="227" t="s">
        <v>1048</v>
      </c>
      <c r="E253" s="226">
        <v>43075.537349537037</v>
      </c>
      <c r="F253" s="226">
        <v>43075.53943287037</v>
      </c>
      <c r="G253" s="225">
        <v>62</v>
      </c>
      <c r="H253" s="227" t="s">
        <v>1028</v>
      </c>
      <c r="I253" s="226">
        <v>43075.561203703706</v>
      </c>
      <c r="J253" s="225">
        <v>0</v>
      </c>
      <c r="K253" s="237" t="str">
        <f t="shared" si="115"/>
        <v>4015/4016</v>
      </c>
      <c r="L253" s="245" t="str">
        <f>VLOOKUP(A253,'Trips&amp;Operators'!$C$1:$G$99911,5,FALSE)</f>
        <v>STARKS ANGELINA</v>
      </c>
      <c r="M253" s="224">
        <f t="shared" si="116"/>
        <v>2.1770833336631767E-2</v>
      </c>
      <c r="N253" s="225">
        <f t="shared" si="139"/>
        <v>31.350000004749745</v>
      </c>
      <c r="O253" s="225"/>
      <c r="P253" s="225"/>
      <c r="Q253" s="228"/>
      <c r="R253" s="242"/>
      <c r="S253" s="249">
        <f t="shared" si="142"/>
        <v>1</v>
      </c>
      <c r="T253" s="242" t="str">
        <f t="shared" si="117"/>
        <v>NorthBound</v>
      </c>
      <c r="U253" s="246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248" t="str">
        <f t="shared" si="118"/>
        <v>https://d0f6bd738d7f1b3e5a7ca70fe4ff75f0.us-east-1.aws.found.io/app/kibana#/discover/Steve-Slow-Train-Analysis-(2080s-and-2083s)?_g=(refreshInterval:(display:Off,pause:!f,section:0,value:0),time:(from:'2017-12-06T11:53:47-0700',mode:absolute,to:'2017-12-06T14:28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3" s="247" t="str">
        <f>IF(AA253&lt;VLOOKUP(AG253,Variables!$AC$3:$AD$8,2,FALSE),"Y","N")</f>
        <v>Y</v>
      </c>
      <c r="X253" s="247">
        <f t="shared" si="138"/>
        <v>0</v>
      </c>
      <c r="Y253" s="247">
        <f t="shared" si="140"/>
        <v>0.14380000000000001</v>
      </c>
      <c r="Z253" s="247">
        <f t="shared" si="141"/>
        <v>11.2576</v>
      </c>
      <c r="AA253" s="247">
        <f t="shared" si="119"/>
        <v>11.113799999999999</v>
      </c>
      <c r="AB253" s="233" t="e">
        <f>VLOOKUP(A253,Enforcements!$C$7:$K$9,8,0)</f>
        <v>#N/A</v>
      </c>
      <c r="AC253" s="232" t="e">
        <f>VLOOKUP(A253,Enforcements!$C$7:$E$9,3,0)</f>
        <v>#N/A</v>
      </c>
      <c r="AD253" s="243">
        <f t="shared" si="120"/>
        <v>75</v>
      </c>
      <c r="AE253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53" s="234" t="str">
        <f t="shared" si="122"/>
        <v>"C:\Program Files (x86)\AstroGrep\AstroGrep.exe" /e /r /s /spath="%USERPROFILE%\AppData\Local\Temp\OnboardLogs" /stypes="app*4016*20171206*" /stext=" 20:.+((SYSTEM_STATE.+slice.+state.+changed )|(ment ac)|(multiple cpu faults)|(system.+state.+changed )|(\[timeout)|(PRM\|1\|D)|(kpr)|(kdp)|(train st.+moving)|(\|lc)|(penalty))"</v>
      </c>
      <c r="AG253" s="244" t="str">
        <f t="shared" si="123"/>
        <v>Shuttle/Test</v>
      </c>
      <c r="AH253" s="236" t="str">
        <f t="shared" si="131"/>
        <v>"%USERPROFILE%\Documents\GitHub\eaglep3\Utilities\RefineRTDCRunTimes.py" --tripid 75-06 --locoid 4016 --swversion DE.1.0.9.0 --startMP 204:1438 --initTime 2017-12-06T12:53:47 --startdatetime 2017-12-06T12:56:47 --delay 62 --endMP 300:112576 --enddatetime 2017-12-06T13:28:08 --enforcementcount 0 &gt;&gt;%USERPROFILE%\Documents\GitHub\eaglep3-reporting\EC\2017-12-06-refined-times.txt</v>
      </c>
      <c r="AI253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11.2576"},{"id":17,"name":"Train ID","value":"75-06"},{"id":16,"name":"Locomotive ID","value":"4016"},{"id":130,"name":"Impact","value":""},{"id":150,"name":"Time of Event (Mountain Time)","value":"13:28:08"},{"id":151,"name":"Denver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3" s="223"/>
      <c r="AK253" s="231"/>
      <c r="AL253" s="231"/>
      <c r="AM253" s="240" t="str">
        <f t="shared" si="133"/>
        <v>start /low /b %USERPROFILE%\Documents\GitHub\eaglep3\Utilities\DownloadLogsFromS3.py --loco 4016 --day 2017-12-06</v>
      </c>
      <c r="AN253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20:28:08"},{"id":29,"name":"Sharepoint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230" t="str">
        <f t="shared" si="135"/>
        <v>https://d0f6bd738d7f1b3e5a7ca70fe4ff75f0.us-east-1.aws.found.io/app/kibana#/discover/Steve-Slow-Train-Analysis-(2080s-and-2083s)?_g=(refreshInterval:(display:Off,pause:!f,section:0,value:0),time:(from:'2017-12-06T11:53:47-0700',mode:absolute,to:'2017-12-06T14:28:08-0700'))&amp;_a=(columns:!('Message%20ID',Summary),filters:!(),index:'emp_*',interval:auto,query:(query_string:(analyze_wildcard:!t,query:'%22rtdc.l.rtdc.4016%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25">
      <c r="A254" s="229" t="s">
        <v>647</v>
      </c>
      <c r="B254" s="225">
        <v>4016</v>
      </c>
      <c r="C254" s="227" t="s">
        <v>192</v>
      </c>
      <c r="D254" s="227" t="s">
        <v>1118</v>
      </c>
      <c r="E254" s="226">
        <v>43075.593923611108</v>
      </c>
      <c r="F254" s="226">
        <v>43075.595879629633</v>
      </c>
      <c r="G254" s="225">
        <v>76</v>
      </c>
      <c r="H254" s="227" t="s">
        <v>507</v>
      </c>
      <c r="I254" s="226">
        <v>43075.623749999999</v>
      </c>
      <c r="J254" s="225">
        <v>0</v>
      </c>
      <c r="K254" s="237" t="str">
        <f t="shared" si="115"/>
        <v>4015/4016</v>
      </c>
      <c r="L254" s="245" t="str">
        <f>VLOOKUP(A254,'Trips&amp;Operators'!$C$1:$G$99911,5,FALSE)</f>
        <v>STARKS ANGELINA</v>
      </c>
      <c r="M254" s="224">
        <f t="shared" si="116"/>
        <v>2.7870370366144925E-2</v>
      </c>
      <c r="N254" s="225">
        <f t="shared" si="139"/>
        <v>40.133333327248693</v>
      </c>
      <c r="O254" s="225"/>
      <c r="P254" s="225"/>
      <c r="Q254" s="228"/>
      <c r="R254" s="242"/>
      <c r="S254" s="249">
        <f t="shared" si="142"/>
        <v>1</v>
      </c>
      <c r="T254" s="242" t="str">
        <f t="shared" si="117"/>
        <v>NorthBound</v>
      </c>
      <c r="U254" s="246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248" t="str">
        <f t="shared" si="118"/>
        <v>https://d0f6bd738d7f1b3e5a7ca70fe4ff75f0.us-east-1.aws.found.io/app/kibana#/discover/Steve-Slow-Train-Analysis-(2080s-and-2083s)?_g=(refreshInterval:(display:Off,pause:!f,section:0,value:0),time:(from:'2017-12-06T13:15:15-0700',mode:absolute,to:'2017-12-06T15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4" s="247" t="str">
        <f>IF(AA254&lt;VLOOKUP(AG254,Variables!$AC$3:$AD$8,2,FALSE),"Y","N")</f>
        <v>Y</v>
      </c>
      <c r="X254" s="247">
        <f t="shared" si="138"/>
        <v>0</v>
      </c>
      <c r="Y254" s="247">
        <f t="shared" si="140"/>
        <v>0.1394</v>
      </c>
      <c r="Z254" s="247">
        <f t="shared" si="141"/>
        <v>2.3308</v>
      </c>
      <c r="AA254" s="247">
        <f t="shared" si="119"/>
        <v>2.1913999999999998</v>
      </c>
      <c r="AB254" s="233" t="e">
        <f>VLOOKUP(A254,Enforcements!$C$7:$K$9,8,0)</f>
        <v>#N/A</v>
      </c>
      <c r="AC254" s="232" t="e">
        <f>VLOOKUP(A254,Enforcements!$C$7:$E$9,3,0)</f>
        <v>#N/A</v>
      </c>
      <c r="AD254" s="243">
        <f t="shared" si="120"/>
        <v>75</v>
      </c>
      <c r="AE254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54" s="234" t="str">
        <f t="shared" si="122"/>
        <v>"C:\Program Files (x86)\AstroGrep\AstroGrep.exe" /e /r /s /spath="%USERPROFILE%\AppData\Local\Temp\OnboardLogs" /stypes="app*4016*20171206*" /stext=" 21:.+((SYSTEM_STATE.+slice.+state.+changed )|(ment ac)|(multiple cpu faults)|(system.+state.+changed )|(\[timeout)|(PRM\|1\|D)|(kpr)|(kdp)|(train st.+moving)|(\|lc)|(penalty))"</v>
      </c>
      <c r="AG254" s="244" t="str">
        <f t="shared" si="123"/>
        <v>Shuttle/Test</v>
      </c>
      <c r="AH254" s="236" t="str">
        <f t="shared" si="131"/>
        <v>"%USERPROFILE%\Documents\GitHub\eaglep3\Utilities\RefineRTDCRunTimes.py" --tripid 75-06 --locoid 4016 --swversion DE.1.0.9.0 --startMP 204:1394 --initTime 2017-12-06T14:15:15 --startdatetime 2017-12-06T14:18:04 --delay 76 --endMP 300:23308 --enddatetime 2017-12-06T14:58:12 --enforcementcount 0 &gt;&gt;%USERPROFILE%\Documents\GitHub\eaglep3-reporting\EC\2017-12-06-refined-times.txt</v>
      </c>
      <c r="AI254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2.3308"},{"id":17,"name":"Train ID","value":"75-06"},{"id":16,"name":"Locomotive ID","value":"4016"},{"id":130,"name":"Impact","value":""},{"id":150,"name":"Time of Event (Mountain Time)","value":"14:58:12"},{"id":151,"name":"Denver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4" s="231"/>
      <c r="AL254" s="231"/>
      <c r="AM254" s="240" t="str">
        <f t="shared" si="133"/>
        <v>start /low /b %USERPROFILE%\Documents\GitHub\eaglep3\Utilities\DownloadLogsFromS3.py --loco 4016 --day 2017-12-06</v>
      </c>
      <c r="AN254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21:58:12"},{"id":29,"name":"Sharepoint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230" t="str">
        <f t="shared" si="135"/>
        <v>https://d0f6bd738d7f1b3e5a7ca70fe4ff75f0.us-east-1.aws.found.io/app/kibana#/discover/Steve-Slow-Train-Analysis-(2080s-and-2083s)?_g=(refreshInterval:(display:Off,pause:!f,section:0,value:0),time:(from:'2017-12-06T13:15:15-0700',mode:absolute,to:'2017-12-06T15:58:12-0700'))&amp;_a=(columns:!('Message%20ID',Summary),filters:!(),index:'emp_*',interval:auto,query:(query_string:(analyze_wildcard:!t,query:'%22rtdc.l.rtdc.4016%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 s="229" t="s">
        <v>639</v>
      </c>
      <c r="B255" s="225">
        <v>4016</v>
      </c>
      <c r="C255" s="227" t="s">
        <v>192</v>
      </c>
      <c r="D255" s="227" t="s">
        <v>1061</v>
      </c>
      <c r="E255" s="226">
        <v>43075.366412037038</v>
      </c>
      <c r="F255" s="226">
        <v>43075.369629629633</v>
      </c>
      <c r="G255" s="225">
        <v>107</v>
      </c>
      <c r="H255" s="227" t="s">
        <v>1062</v>
      </c>
      <c r="I255" s="226">
        <v>43075.384270833332</v>
      </c>
      <c r="J255" s="225">
        <v>0</v>
      </c>
      <c r="K255" s="237" t="str">
        <f t="shared" si="115"/>
        <v>4015/4016</v>
      </c>
      <c r="L255" s="245" t="str">
        <f>VLOOKUP(A255,'Trips&amp;Operators'!$C$1:$G$99911,5,FALSE)</f>
        <v>PELLITIER GEORGE</v>
      </c>
      <c r="M255" s="224">
        <f t="shared" si="116"/>
        <v>1.4641203699284233E-2</v>
      </c>
      <c r="N255" s="225">
        <f t="shared" si="139"/>
        <v>21.083333326969296</v>
      </c>
      <c r="O255" s="225"/>
      <c r="P255" s="225"/>
      <c r="Q255" s="228"/>
      <c r="R255" s="242"/>
      <c r="S255" s="249">
        <f t="shared" si="142"/>
        <v>0</v>
      </c>
      <c r="T255" s="242" t="str">
        <f t="shared" si="117"/>
        <v>NorthBound</v>
      </c>
      <c r="U255" s="246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248" t="str">
        <f t="shared" si="118"/>
        <v>https://d0f6bd738d7f1b3e5a7ca70fe4ff75f0.us-east-1.aws.found.io/app/kibana#/discover/Steve-Slow-Train-Analysis-(2080s-and-2083s)?_g=(refreshInterval:(display:Off,pause:!f,section:0,value:0),time:(from:'2017-12-06T07:47:38-0700',mode:absolute,to:'2017-12-06T10:13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5" s="247" t="str">
        <f>IF(AA255&lt;VLOOKUP(AG255,Variables!$AC$3:$AD$8,2,FALSE),"Y","N")</f>
        <v>Y</v>
      </c>
      <c r="X255" s="247">
        <f t="shared" si="138"/>
        <v>6</v>
      </c>
      <c r="Y255" s="247">
        <f t="shared" si="140"/>
        <v>3.0276999999999998</v>
      </c>
      <c r="Z255" s="247">
        <f t="shared" si="141"/>
        <v>11.251300000000001</v>
      </c>
      <c r="AA255" s="247">
        <f t="shared" si="119"/>
        <v>8.2236000000000011</v>
      </c>
      <c r="AB255" s="233" t="e">
        <f>VLOOKUP(A255,Enforcements!$C$7:$K$9,8,0)</f>
        <v>#N/A</v>
      </c>
      <c r="AC255" s="232" t="e">
        <f>VLOOKUP(A255,Enforcements!$C$7:$E$9,3,0)</f>
        <v>#N/A</v>
      </c>
      <c r="AD255" s="243">
        <f t="shared" si="120"/>
        <v>81</v>
      </c>
      <c r="AE255" s="235" t="str">
        <f t="shared" si="121"/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AF255" s="234" t="str">
        <f t="shared" si="122"/>
        <v>"C:\Program Files (x86)\AstroGrep\AstroGrep.exe" /e /r /s /spath="%USERPROFILE%\AppData\Local\Temp\OnboardLogs" /stypes="app*4016*20171206*" /stext=" 16:.+((SYSTEM_STATE.+slice.+state.+changed )|(ment ac)|(multiple cpu faults)|(system.+state.+changed )|(\[timeout)|(PRM\|1\|D)|(kpr)|(kdp)|(train st.+moving)|(\|lc)|(penalty))"</v>
      </c>
      <c r="AG255" s="244" t="str">
        <f t="shared" si="123"/>
        <v>Shuttle/Test</v>
      </c>
      <c r="AH255" s="236" t="str">
        <f t="shared" si="131"/>
        <v>"%USERPROFILE%\Documents\GitHub\eaglep3\Utilities\RefineRTDCRunTimes.py" --tripid 81-06 --locoid 4016 --swversion DE.1.0.9.0 --startMP 300:30277 --initTime 2017-12-06T08:47:38 --startdatetime 2017-12-06T08:52:16 --delay 107 --endMP 300:112513 --enddatetime 2017-12-06T09:13:21 --enforcementcount 0 &gt;&gt;%USERPROFILE%\Documents\GitHub\eaglep3-reporting\EC\2017-12-06-refined-times.txt</v>
      </c>
      <c r="AI255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11.2513"},{"id":17,"name":"Train ID","value":"81-06"},{"id":16,"name":"Locomotive ID","value":"4016"},{"id":130,"name":"Impact","value":""},{"id":150,"name":"Time of Event (Mountain Time)","value":"09:13:21"},{"id":151,"name":"Denver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5" s="223"/>
      <c r="AK255" s="231"/>
      <c r="AL255" s="231"/>
      <c r="AM255" s="240" t="str">
        <f t="shared" si="133"/>
        <v>start /low /b %USERPROFILE%\Documents\GitHub\eaglep3\Utilities\DownloadLogsFromS3.py --loco 4016 --day 2017-12-06</v>
      </c>
      <c r="AN255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16:13:21"},{"id":29,"name":"Sharepoint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230" t="str">
        <f t="shared" si="135"/>
        <v>https://d0f6bd738d7f1b3e5a7ca70fe4ff75f0.us-east-1.aws.found.io/app/kibana#/discover/Steve-Slow-Train-Analysis-(2080s-and-2083s)?_g=(refreshInterval:(display:Off,pause:!f,section:0,value:0),time:(from:'2017-12-06T07:47:38-0700',mode:absolute,to:'2017-12-06T10:13:21-0700'))&amp;_a=(columns:!('Message%20ID',Summary),filters:!(),index:'emp_*',interval:auto,query:(query_string:(analyze_wildcard:!t,query:'%22rtdc.l.rtdc.4016%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 s="229" t="s">
        <v>819</v>
      </c>
      <c r="B256" s="225">
        <v>4020</v>
      </c>
      <c r="C256" s="227" t="s">
        <v>192</v>
      </c>
      <c r="D256" s="227" t="s">
        <v>1092</v>
      </c>
      <c r="E256" s="226">
        <v>43075.709305555552</v>
      </c>
      <c r="F256" s="226">
        <v>43075.712256944447</v>
      </c>
      <c r="G256" s="225">
        <v>64</v>
      </c>
      <c r="H256" s="227" t="s">
        <v>995</v>
      </c>
      <c r="I256" s="226">
        <v>43075.718275462961</v>
      </c>
      <c r="J256" s="225">
        <v>0</v>
      </c>
      <c r="K256" s="237" t="str">
        <f t="shared" si="115"/>
        <v>4019/4020</v>
      </c>
      <c r="L256" s="245" t="str">
        <f>VLOOKUP(A256,'Trips&amp;Operators'!$C$1:$G$99911,5,FALSE)</f>
        <v>NEWELL JAMES</v>
      </c>
      <c r="M256" s="224">
        <f t="shared" si="116"/>
        <v>6.018518513883464E-3</v>
      </c>
      <c r="N256" s="225">
        <f t="shared" si="139"/>
        <v>8.6666666599921882</v>
      </c>
      <c r="O256" s="225"/>
      <c r="P256" s="225"/>
      <c r="Q256" s="228"/>
      <c r="R256" s="242"/>
      <c r="S256" s="249">
        <f t="shared" si="142"/>
        <v>1</v>
      </c>
      <c r="T256" s="242" t="str">
        <f t="shared" si="117"/>
        <v>NorthBound</v>
      </c>
      <c r="U256" s="246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1</v>
      </c>
      <c r="V256" s="248" t="str">
        <f t="shared" si="118"/>
        <v>https://d0f6bd738d7f1b3e5a7ca70fe4ff75f0.us-east-1.aws.found.io/app/kibana#/discover/Steve-Slow-Train-Analysis-(2080s-and-2083s)?_g=(refreshInterval:(display:Off,pause:!f,section:0,value:0),time:(from:'2017-12-06T16:01:24-0700',mode:absolute,to:'2017-12-06T18:14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6" s="247" t="str">
        <f>IF(AA256&lt;VLOOKUP(AG256,Variables!$AC$3:$AD$8,2,FALSE),"Y","N")</f>
        <v>Y</v>
      </c>
      <c r="X256" s="247">
        <f t="shared" si="138"/>
        <v>6</v>
      </c>
      <c r="Y256" s="247">
        <f t="shared" si="140"/>
        <v>0.1143</v>
      </c>
      <c r="Z256" s="247">
        <f t="shared" si="141"/>
        <v>2.331</v>
      </c>
      <c r="AA256" s="247">
        <f t="shared" si="119"/>
        <v>2.2166999999999999</v>
      </c>
      <c r="AB256" s="233" t="e">
        <f>VLOOKUP(A256,Enforcements!$C$7:$K$9,8,0)</f>
        <v>#N/A</v>
      </c>
      <c r="AC256" s="232" t="e">
        <f>VLOOKUP(A256,Enforcements!$C$7:$E$9,3,0)</f>
        <v>#N/A</v>
      </c>
      <c r="AD256" s="243">
        <f t="shared" si="120"/>
        <v>87</v>
      </c>
      <c r="AE256" s="235" t="str">
        <f t="shared" si="121"/>
        <v>aws s3 cp s3://rtdc.mdm.uploadarchive.raw/RTDC4020/ "%USERPROFILE%\AppData\Local\Temp\OnboardLogs"\RTDC4020\2017-12-06 --exclude "*" --recursive --include "*20171206*" &amp; "%USERPROFILE%\Documents\GitHub\mrs-test-scripts\Headless Mode &amp; Sideloading\WalkAndUnGZ.bat" "%USERPROFILE%\AppData\Local\Temp\OnboardLogs"\RTDC4020\2017-12-06 &amp; aws s3 cp s3://rtdc.mdm.uploadarchive.raw/RTDC4020/ "%USERPROFILE%\AppData\Local\Temp\OnboardLogs"\RTDC4020\2017-12-07 --exclude "*" --recursive --include "*20171207*" &amp; "%USERPROFILE%\Documents\GitHub\mrs-test-scripts\Headless Mode &amp; Sideloading\WalkAndUnGZ.bat" "%USERPROFILE%\AppData\Local\Temp\OnboardLogs"\RTDC4020\2017-12-07</v>
      </c>
      <c r="AF256" s="234" t="str">
        <f t="shared" si="122"/>
        <v>"C:\Program Files (x86)\AstroGrep\AstroGrep.exe" /e /r /s /spath="%USERPROFILE%\AppData\Local\Temp\OnboardLogs" /stypes="app*4020*20171207*" /stext=" 00:.+((SYSTEM_STATE.+slice.+state.+changed )|(ment ac)|(multiple cpu faults)|(system.+state.+changed )|(\[timeout)|(PRM\|1\|D)|(kpr)|(kdp)|(train st.+moving)|(\|lc)|(penalty))"</v>
      </c>
      <c r="AG256" s="244" t="str">
        <f t="shared" si="123"/>
        <v>Shuttle/Test</v>
      </c>
      <c r="AH256" s="236" t="str">
        <f t="shared" si="131"/>
        <v>"%USERPROFILE%\Documents\GitHub\eaglep3\Utilities\RefineRTDCRunTimes.py" --tripid 87-06 --locoid 4020 --swversion DE.1.0.9.0 --startMP 204:1143 --initTime 2017-12-06T17:01:24 --startdatetime 2017-12-06T17:05:39 --delay 64 --endMP 300:23310 --enddatetime 2017-12-06T17:14:19 --enforcementcount 0 &gt;&gt;%USERPROFILE%\Documents\GitHub\eaglep3-reporting\EC\2017-12-06-refined-times.txt</v>
      </c>
      <c r="AI256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2.331"},{"id":17,"name":"Train ID","value":"87-06"},{"id":16,"name":"Locomotive ID","value":"4020"},{"id":130,"name":"Impact","value":""},{"id":150,"name":"Time of Event (Mountain Time)","value":"17:14:19"},{"id":151,"name":"Denver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6" s="223"/>
      <c r="AK256" s="231"/>
      <c r="AL256" s="231"/>
      <c r="AM256" s="240" t="str">
        <f t="shared" si="133"/>
        <v>start /low /b %USERPROFILE%\Documents\GitHub\eaglep3\Utilities\DownloadLogsFromS3.py --loco 4020 --day 2017-12-06</v>
      </c>
      <c r="AN256" s="241" t="str">
        <f t="shared" si="134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00:14:19"},{"id":29,"name":"Sharepoint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230" t="str">
        <f t="shared" si="135"/>
        <v>https://d0f6bd738d7f1b3e5a7ca70fe4ff75f0.us-east-1.aws.found.io/app/kibana#/discover/Steve-Slow-Train-Analysis-(2080s-and-2083s)?_g=(refreshInterval:(display:Off,pause:!f,section:0,value:0),time:(from:'2017-12-06T16:01:24-0700',mode:absolute,to:'2017-12-06T18:14:19-0700'))&amp;_a=(columns:!('Message%20ID',Summary),filters:!(),index:'emp_*',interval:auto,query:(query_string:(analyze_wildcard:!t,query:'%22rtdc.l.rtdc.4020%22')),sort:!(Time.ISO8601,asc))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 s="229" t="s">
        <v>668</v>
      </c>
      <c r="B257" s="225">
        <v>4063</v>
      </c>
      <c r="C257" s="227" t="s">
        <v>192</v>
      </c>
      <c r="D257" s="227" t="s">
        <v>1093</v>
      </c>
      <c r="E257" s="226">
        <v>43075.140034722222</v>
      </c>
      <c r="F257" s="226">
        <v>43075.141574074078</v>
      </c>
      <c r="G257" s="225">
        <v>73</v>
      </c>
      <c r="H257" s="227" t="s">
        <v>1094</v>
      </c>
      <c r="I257" s="226">
        <v>43075.142523148148</v>
      </c>
      <c r="J257" s="225">
        <v>0</v>
      </c>
      <c r="K257" s="237" t="str">
        <f t="shared" si="115"/>
        <v>4063/4064</v>
      </c>
      <c r="L257" s="245" t="str">
        <f>VLOOKUP(A257,'Trips&amp;Operators'!$C$1:$G$99911,5,FALSE)</f>
        <v>SPECTOR MICHAEL</v>
      </c>
      <c r="M257" s="224">
        <f t="shared" si="116"/>
        <v>9.4907407037680969E-4</v>
      </c>
      <c r="N257" s="225">
        <f t="shared" si="139"/>
        <v>1.3666666613426059</v>
      </c>
      <c r="O257" s="225"/>
      <c r="P257" s="225"/>
      <c r="Q257" s="228"/>
      <c r="R257" s="242"/>
      <c r="S257" s="249">
        <f t="shared" si="142"/>
        <v>0</v>
      </c>
      <c r="T257" s="242" t="str">
        <f t="shared" si="117"/>
        <v>Southbound</v>
      </c>
      <c r="U257" s="246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248" t="str">
        <f t="shared" si="118"/>
        <v>https://d0f6bd738d7f1b3e5a7ca70fe4ff75f0.us-east-1.aws.found.io/app/kibana#/discover/Steve-Slow-Train-Analysis-(2080s-and-2083s)?_g=(refreshInterval:(display:Off,pause:!f,section:0,value:0),time:(from:'2017-12-06T02:21:39-0700',mode:absolute,to:'2017-12-06T04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7" s="247" t="str">
        <f>IF(AA257&lt;VLOOKUP(AG257,Variables!$AC$3:$AD$8,2,FALSE),"Y","N")</f>
        <v>Y</v>
      </c>
      <c r="X257" s="247">
        <f t="shared" si="138"/>
        <v>1</v>
      </c>
      <c r="Y257" s="247">
        <f t="shared" si="140"/>
        <v>0.32450000000000001</v>
      </c>
      <c r="Z257" s="247">
        <f t="shared" si="141"/>
        <v>0.11990000000000001</v>
      </c>
      <c r="AA257" s="247">
        <f t="shared" si="119"/>
        <v>0.2046</v>
      </c>
      <c r="AB257" s="233" t="e">
        <f>VLOOKUP(A257,Enforcements!$C$7:$K$9,8,0)</f>
        <v>#N/A</v>
      </c>
      <c r="AC257" s="232" t="e">
        <f>VLOOKUP(A257,Enforcements!$C$7:$E$9,3,0)</f>
        <v>#N/A</v>
      </c>
      <c r="AD257" s="243">
        <f t="shared" si="120"/>
        <v>88</v>
      </c>
      <c r="AE257" s="235" t="str">
        <f t="shared" si="121"/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AF257" s="234" t="str">
        <f t="shared" si="122"/>
        <v>"C:\Program Files (x86)\AstroGrep\AstroGrep.exe" /e /r /s /spath="%USERPROFILE%\AppData\Local\Temp\OnboardLogs" /stypes="app*4063*20171206*" /stext=" 10:.+((SYSTEM_STATE.+slice.+state.+changed )|(ment ac)|(multiple cpu faults)|(system.+state.+changed )|(\[timeout)|(PRM\|1\|D)|(kpr)|(kdp)|(train st.+moving)|(\|lc)|(penalty))"</v>
      </c>
      <c r="AG257" s="244" t="str">
        <f t="shared" si="123"/>
        <v>Shuttle/Test</v>
      </c>
      <c r="AH257" s="236" t="str">
        <f t="shared" si="131"/>
        <v>"%USERPROFILE%\Documents\GitHub\eaglep3\Utilities\RefineRTDCRunTimes.py" --tripid 88-06 --locoid 4063 --swversion DE.1.0.9.0 --startMP 204:3245 --initTime 2017-12-06T03:21:39 --startdatetime 2017-12-06T03:23:52 --delay 73 --endMP 204:1199 --enddatetime 2017-12-06T03:25:14 --enforcementcount 0 &gt;&gt;%USERPROFILE%\Documents\GitHub\eaglep3-reporting\EC\2017-12-06-refined-times.txt</v>
      </c>
      <c r="AI257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0.1199"},{"id":17,"name":"Train ID","value":"88-06"},{"id":16,"name":"Locomotive ID","value":"4063"},{"id":130,"name":"Impact","value":""},{"id":150,"name":"Time of Event (Mountain Time)","value":"03:25:14"},{"id":151,"name":"Denver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7" s="223"/>
      <c r="AK257" s="231"/>
      <c r="AL257" s="231"/>
      <c r="AM257" s="240" t="str">
        <f t="shared" si="133"/>
        <v>start /low /b %USERPROFILE%\Documents\GitHub\eaglep3\Utilities\DownloadLogsFromS3.py --loco 4063 --day 2017-12-06</v>
      </c>
      <c r="AN257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230" t="str">
        <f t="shared" si="135"/>
        <v>https://d0f6bd738d7f1b3e5a7ca70fe4ff75f0.us-east-1.aws.found.io/app/kibana#/discover/Steve-Slow-Train-Analysis-(2080s-and-2083s)?_g=(refreshInterval:(display:Off,pause:!f,section:0,value:0),time:(from:'2017-12-06T02:21:39-0700',mode:absolute,to:'2017-12-06T04:25:14-0700'))&amp;_a=(columns:!('Message%20ID',Summary),filters:!(),index:'emp_*',interval:auto,query:(query_string:(analyze_wildcard:!t,query:'%22rtdc.l.rtdc.4063%22')),sort:!(Time.ISO8601,asc))</v>
      </c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 s="229" t="s">
        <v>663</v>
      </c>
      <c r="B258" s="225">
        <v>4064</v>
      </c>
      <c r="C258" s="227" t="s">
        <v>192</v>
      </c>
      <c r="D258" s="227" t="s">
        <v>934</v>
      </c>
      <c r="E258" s="226">
        <v>43075.127534722225</v>
      </c>
      <c r="F258" s="226">
        <v>43075.138067129628</v>
      </c>
      <c r="G258" s="225">
        <v>79</v>
      </c>
      <c r="H258" s="227" t="s">
        <v>1095</v>
      </c>
      <c r="I258" s="226">
        <v>43075.139097222222</v>
      </c>
      <c r="J258" s="225">
        <v>0</v>
      </c>
      <c r="K258" s="237" t="str">
        <f t="shared" si="115"/>
        <v>4063/4064</v>
      </c>
      <c r="L258" s="245" t="str">
        <f>VLOOKUP(A258,'Trips&amp;Operators'!$C$1:$G$99911,5,FALSE)</f>
        <v>SPECTOR MICHAEL</v>
      </c>
      <c r="M258" s="224">
        <f t="shared" si="116"/>
        <v>1.0300925932824612E-3</v>
      </c>
      <c r="N258" s="225">
        <f t="shared" si="139"/>
        <v>1.4833333343267441</v>
      </c>
      <c r="O258" s="225"/>
      <c r="P258" s="225"/>
      <c r="Q258" s="228"/>
      <c r="R258" s="242"/>
      <c r="S258" s="249">
        <f t="shared" si="142"/>
        <v>0</v>
      </c>
      <c r="T258" s="242" t="str">
        <f t="shared" si="117"/>
        <v>NorthBound</v>
      </c>
      <c r="U258" s="246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248" t="str">
        <f t="shared" si="118"/>
        <v>https://d0f6bd738d7f1b3e5a7ca70fe4ff75f0.us-east-1.aws.found.io/app/kibana#/discover/Steve-Slow-Train-Analysis-(2080s-and-2083s)?_g=(refreshInterval:(display:Off,pause:!f,section:0,value:0),time:(from:'2017-12-06T02:03:39-0700',mode:absolute,to:'2017-12-06T04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8" s="247" t="str">
        <f>IF(AA258&lt;VLOOKUP(AG258,Variables!$AC$3:$AD$8,2,FALSE),"Y","N")</f>
        <v>Y</v>
      </c>
      <c r="X258" s="247">
        <f t="shared" si="138"/>
        <v>1</v>
      </c>
      <c r="Y258" s="247">
        <f t="shared" si="140"/>
        <v>4.9700000000000001E-2</v>
      </c>
      <c r="Z258" s="247">
        <f t="shared" si="141"/>
        <v>0.35580000000000001</v>
      </c>
      <c r="AA258" s="247">
        <f t="shared" si="119"/>
        <v>0.30609999999999998</v>
      </c>
      <c r="AB258" s="233" t="e">
        <f>VLOOKUP(A258,Enforcements!$C$7:$K$9,8,0)</f>
        <v>#N/A</v>
      </c>
      <c r="AC258" s="232" t="e">
        <f>VLOOKUP(A258,Enforcements!$C$7:$E$9,3,0)</f>
        <v>#N/A</v>
      </c>
      <c r="AD258" s="243">
        <f t="shared" si="120"/>
        <v>89</v>
      </c>
      <c r="AE258" s="235" t="str">
        <f t="shared" si="121"/>
        <v>aws s3 cp s3://rtdc.mdm.uploadarchive.raw/RTDC4064/ "%USERPROFILE%\AppData\Local\Temp\OnboardLogs"\RTDC4064\2017-12-06 --exclude "*" --recursive --include "*20171206*" &amp; "%USERPROFILE%\Documents\GitHub\mrs-test-scripts\Headless Mode &amp; Sideloading\WalkAndUnGZ.bat" "%USERPROFILE%\AppData\Local\Temp\OnboardLogs"\RTDC4064\2017-12-06 &amp; aws s3 cp s3://rtdc.mdm.uploadarchive.raw/RTDC4064/ "%USERPROFILE%\AppData\Local\Temp\OnboardLogs"\RTDC4064\2017-12-07 --exclude "*" --recursive --include "*20171207*" &amp; "%USERPROFILE%\Documents\GitHub\mrs-test-scripts\Headless Mode &amp; Sideloading\WalkAndUnGZ.bat" "%USERPROFILE%\AppData\Local\Temp\OnboardLogs"\RTDC4064\2017-12-07</v>
      </c>
      <c r="AF258" s="234" t="str">
        <f t="shared" si="122"/>
        <v>"C:\Program Files (x86)\AstroGrep\AstroGrep.exe" /e /r /s /spath="%USERPROFILE%\AppData\Local\Temp\OnboardLogs" /stypes="app*4064*20171206*" /stext=" 10:.+((SYSTEM_STATE.+slice.+state.+changed )|(ment ac)|(multiple cpu faults)|(system.+state.+changed )|(\[timeout)|(PRM\|1\|D)|(kpr)|(kdp)|(train st.+moving)|(\|lc)|(penalty))"</v>
      </c>
      <c r="AG258" s="244" t="str">
        <f t="shared" si="123"/>
        <v>Shuttle/Test</v>
      </c>
      <c r="AH258" s="236" t="str">
        <f t="shared" si="131"/>
        <v>"%USERPROFILE%\Documents\GitHub\eaglep3\Utilities\RefineRTDCRunTimes.py" --tripid 89-06 --locoid 4064 --swversion DE.1.0.9.0 --startMP 204:497 --initTime 2017-12-06T03:03:39 --startdatetime 2017-12-06T03:18:49 --delay 79 --endMP 204:3558 --enddatetime 2017-12-06T03:20:18 --enforcementcount 0 &gt;&gt;%USERPROFILE%\Documents\GitHub\eaglep3-reporting\EC\2017-12-06-refined-times.txt</v>
      </c>
      <c r="AI258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0.3558"},{"id":17,"name":"Train ID","value":"89-06"},{"id":16,"name":"Locomotive ID","value":"4064"},{"id":130,"name":"Impact","value":""},{"id":150,"name":"Time of Event (Mountain Time)","value":"03:20:18"},{"id":151,"name":"Denver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8" s="223"/>
      <c r="AK258" s="231"/>
      <c r="AL258" s="231"/>
      <c r="AM258" s="240" t="str">
        <f t="shared" si="133"/>
        <v>start /low /b %USERPROFILE%\Documents\GitHub\eaglep3\Utilities\DownloadLogsFromS3.py --loco 4064 --day 2017-12-06</v>
      </c>
      <c r="AN258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10:20:18"},{"id":29,"name":"Sharepoint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230" t="str">
        <f t="shared" si="135"/>
        <v>https://d0f6bd738d7f1b3e5a7ca70fe4ff75f0.us-east-1.aws.found.io/app/kibana#/discover/Steve-Slow-Train-Analysis-(2080s-and-2083s)?_g=(refreshInterval:(display:Off,pause:!f,section:0,value:0),time:(from:'2017-12-06T02:03:39-0700',mode:absolute,to:'2017-12-06T04:20:18-0700'))&amp;_a=(columns:!('Message%20ID',Summary),filters:!(),index:'emp_*',interval:auto,query:(query_string:(analyze_wildcard:!t,query:'%22rtdc.l.rtdc.4064%22')),sort:!(Time.ISO8601,asc))</v>
      </c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 s="229" t="s">
        <v>663</v>
      </c>
      <c r="B259" s="225">
        <v>4004</v>
      </c>
      <c r="C259" s="227" t="s">
        <v>192</v>
      </c>
      <c r="D259" s="227" t="s">
        <v>1096</v>
      </c>
      <c r="E259" s="226">
        <v>43075.618819444448</v>
      </c>
      <c r="F259" s="226">
        <v>43075.622187499997</v>
      </c>
      <c r="G259" s="225">
        <v>79</v>
      </c>
      <c r="H259" s="227" t="s">
        <v>1007</v>
      </c>
      <c r="I259" s="226">
        <v>43075.629201388889</v>
      </c>
      <c r="J259" s="225">
        <v>0</v>
      </c>
      <c r="K259" s="237" t="str">
        <f t="shared" si="115"/>
        <v>4003/4004</v>
      </c>
      <c r="L259" s="245" t="str">
        <f>VLOOKUP(A259,'Trips&amp;Operators'!$C$1:$G$99911,5,FALSE)</f>
        <v>SPECTOR MICHAEL</v>
      </c>
      <c r="M259" s="224">
        <f t="shared" si="116"/>
        <v>7.0138888913788833E-3</v>
      </c>
      <c r="N259" s="225">
        <f t="shared" si="139"/>
        <v>10.100000003585592</v>
      </c>
      <c r="O259" s="225"/>
      <c r="P259" s="225"/>
      <c r="Q259" s="228"/>
      <c r="R259" s="242"/>
      <c r="S259" s="249">
        <f t="shared" si="142"/>
        <v>1</v>
      </c>
      <c r="T259" s="242" t="str">
        <f t="shared" si="117"/>
        <v>NorthBound</v>
      </c>
      <c r="U259" s="246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1</v>
      </c>
      <c r="V259" s="248" t="str">
        <f t="shared" si="118"/>
        <v>https://d0f6bd738d7f1b3e5a7ca70fe4ff75f0.us-east-1.aws.found.io/app/kibana#/discover/Steve-Slow-Train-Analysis-(2080s-and-2083s)?_g=(refreshInterval:(display:Off,pause:!f,section:0,value:0),time:(from:'2017-12-06T13:51:06-0700',mode:absolute,to:'2017-12-06T16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9" s="247" t="str">
        <f>IF(AA259&lt;VLOOKUP(AG259,Variables!$AC$3:$AD$8,2,FALSE),"Y","N")</f>
        <v>Y</v>
      </c>
      <c r="X259" s="247">
        <f t="shared" si="138"/>
        <v>0</v>
      </c>
      <c r="Y259" s="247">
        <f t="shared" si="140"/>
        <v>0.1166</v>
      </c>
      <c r="Z259" s="247">
        <f t="shared" si="141"/>
        <v>2.3302</v>
      </c>
      <c r="AA259" s="247">
        <f t="shared" si="119"/>
        <v>2.2136</v>
      </c>
      <c r="AB259" s="233" t="e">
        <f>VLOOKUP(A259,Enforcements!$C$7:$K$9,8,0)</f>
        <v>#N/A</v>
      </c>
      <c r="AC259" s="232" t="e">
        <f>VLOOKUP(A259,Enforcements!$C$7:$E$9,3,0)</f>
        <v>#N/A</v>
      </c>
      <c r="AD259" s="243">
        <f t="shared" si="120"/>
        <v>89</v>
      </c>
      <c r="AE259" s="235" t="str">
        <f t="shared" si="121"/>
        <v>aws s3 cp s3://rtdc.mdm.uploadarchive.raw/RTDC4004/ "%USERPROFILE%\AppData\Local\Temp\OnboardLogs"\RTDC4004\2017-12-06 --exclude "*" --recursive --include "*20171206*" &amp; "%USERPROFILE%\Documents\GitHub\mrs-test-scripts\Headless Mode &amp; Sideloading\WalkAndUnGZ.bat" "%USERPROFILE%\AppData\Local\Temp\OnboardLogs"\RTDC4004\2017-12-06 &amp; aws s3 cp s3://rtdc.mdm.uploadarchive.raw/RTDC4004/ "%USERPROFILE%\AppData\Local\Temp\OnboardLogs"\RTDC4004\2017-12-07 --exclude "*" --recursive --include "*20171207*" &amp; "%USERPROFILE%\Documents\GitHub\mrs-test-scripts\Headless Mode &amp; Sideloading\WalkAndUnGZ.bat" "%USERPROFILE%\AppData\Local\Temp\OnboardLogs"\RTDC4004\2017-12-07</v>
      </c>
      <c r="AF259" s="234" t="str">
        <f t="shared" si="122"/>
        <v>"C:\Program Files (x86)\AstroGrep\AstroGrep.exe" /e /r /s /spath="%USERPROFILE%\AppData\Local\Temp\OnboardLogs" /stypes="app*4004*20171206*" /stext=" 22:.+((SYSTEM_STATE.+slice.+state.+changed )|(ment ac)|(multiple cpu faults)|(system.+state.+changed )|(\[timeout)|(PRM\|1\|D)|(kpr)|(kdp)|(train st.+moving)|(\|lc)|(penalty))"</v>
      </c>
      <c r="AG259" s="244" t="str">
        <f t="shared" si="123"/>
        <v>Shuttle/Test</v>
      </c>
      <c r="AH259" s="236" t="str">
        <f t="shared" si="131"/>
        <v>"%USERPROFILE%\Documents\GitHub\eaglep3\Utilities\RefineRTDCRunTimes.py" --tripid 89-06 --locoid 4004 --swversion DE.1.0.9.0 --startMP 204:1166 --initTime 2017-12-06T14:51:06 --startdatetime 2017-12-06T14:55:57 --delay 79 --endMP 300:23302 --enddatetime 2017-12-06T15:06:03 --enforcementcount 0 &gt;&gt;%USERPROFILE%\Documents\GitHub\eaglep3-reporting\EC\2017-12-06-refined-times.txt</v>
      </c>
      <c r="AI259" s="238" t="str">
        <f t="shared" si="132"/>
        <v>echo {"issue":{"subject":"","project_id":79,"tracker_id":40,"status_id":1,"priority_id":2,"assigned_to_id":338,"start_date":"2017-12-06","description":"","custom_fields":[{"id":1,"name":"Subdivision","value":"Shuttle/Test"},{"id":4,"name":"Milepost","value":"2.3302"},{"id":17,"name":"Train ID","value":"89-06"},{"id":16,"name":"Locomotive ID","value":"4004"},{"id":130,"name":"Impact","value":""},{"id":150,"name":"Time of Event (Mountain Time)","value":"15:06:03"},{"id":151,"name":"Denver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9" s="223"/>
      <c r="AK259" s="231"/>
      <c r="AL259" s="231"/>
      <c r="AM259" s="240" t="str">
        <f t="shared" si="133"/>
        <v>start /low /b %USERPROFILE%\Documents\GitHub\eaglep3\Utilities\DownloadLogsFromS3.py --loco 4004 --day 2017-12-06</v>
      </c>
      <c r="AN259" s="241" t="str">
        <f t="shared" si="134"/>
        <v>echo {"issue":{"subject":"","project_id":30,"tracker_id":4,"status_id":1,"priority_id":1,"assigned_to_id":10,"start_date":"2017-12-06","description":"","custom_fields":[{"id":30,"name":"Category","value":"Issue"},{"id":3,"name":"Functional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UTC","value":"2017-12-06 22:06:03"},{"id":29,"name":"Sharepoint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 s="230" t="str">
        <f t="shared" si="135"/>
        <v>https://d0f6bd738d7f1b3e5a7ca70fe4ff75f0.us-east-1.aws.found.io/app/kibana#/discover/Steve-Slow-Train-Analysis-(2080s-and-2083s)?_g=(refreshInterval:(display:Off,pause:!f,section:0,value:0),time:(from:'2017-12-06T13:51:06-0700',mode:absolute,to:'2017-12-06T16:06:03-0700'))&amp;_a=(columns:!('Message%20ID',Summary),filters:!(),index:'emp_*',interval:auto,query:(query_string:(analyze_wildcard:!t,query:'%22rtdc.l.rtdc.4004%22')),sort:!(Time.ISO8601,asc))</v>
      </c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s="2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</sheetData>
  <autoFilter ref="A12:AG529">
    <sortState ref="A13:AG529">
      <sortCondition ref="AG13:AG259"/>
      <sortCondition ref="AD13:AD259"/>
    </sortState>
  </autoFilter>
  <sortState ref="A13:AN434">
    <sortCondition ref="AG13:AG434"/>
    <sortCondition ref="AD13:AD434"/>
  </sortState>
  <mergeCells count="1">
    <mergeCell ref="A11:P11"/>
  </mergeCells>
  <conditionalFormatting sqref="W11:W12 W535:X1048576 W13:X259">
    <cfRule type="cellIs" dxfId="10" priority="465" operator="equal">
      <formula>"Y"</formula>
    </cfRule>
  </conditionalFormatting>
  <conditionalFormatting sqref="X535:X1048576 X13:X259">
    <cfRule type="cellIs" dxfId="9" priority="448" operator="greaterThan">
      <formula>1</formula>
    </cfRule>
  </conditionalFormatting>
  <conditionalFormatting sqref="X535:X1048576 X12:X259">
    <cfRule type="cellIs" dxfId="8" priority="445" operator="equal">
      <formula>0</formula>
    </cfRule>
  </conditionalFormatting>
  <conditionalFormatting sqref="A13:S259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AK13:AK259</xm:sqref>
        </x14:dataValidation>
        <x14:dataValidation type="list" allowBlank="1" showInputMessage="1" showErrorMessage="1">
          <x14:formula1>
            <xm:f>'Redmine List Values'!$C$2:$C$15</xm:f>
          </x14:formula1>
          <xm:sqref>AL13:AL259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7"/>
  <sheetViews>
    <sheetView topLeftCell="A2" zoomScaleNormal="100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6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COUNTIF($O$7:$O$122,"=Y")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COUNTA($O$7:$O$122)-O2</f>
        <v>22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- 2017-12-06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43075.660891203705</v>
      </c>
      <c r="B7" s="30" t="s">
        <v>653</v>
      </c>
      <c r="C7" s="30" t="s">
        <v>654</v>
      </c>
      <c r="D7" s="30" t="s">
        <v>49</v>
      </c>
      <c r="E7" s="30" t="s">
        <v>183</v>
      </c>
      <c r="F7" s="42">
        <v>0</v>
      </c>
      <c r="G7" s="42">
        <v>245</v>
      </c>
      <c r="H7" s="42">
        <v>26836</v>
      </c>
      <c r="I7" s="42">
        <v>27235</v>
      </c>
      <c r="J7" s="30" t="s">
        <v>184</v>
      </c>
      <c r="K7" s="42">
        <v>27053</v>
      </c>
      <c r="L7" s="131" t="s">
        <v>50</v>
      </c>
      <c r="M7" s="132">
        <f t="shared" ref="M7:M36" si="0">CONVERT((I7-K7)/10000,"mi","ft")*IF(L7="Increasing Mileposts (1)",-1,1)</f>
        <v>-96.096000000000004</v>
      </c>
      <c r="N7" s="133" t="str">
        <f>VLOOKUP(C7,'Trips&amp;Operators'!$C$1:$G$99911,5,FALSE)</f>
        <v>AUSTIN THOMPSON</v>
      </c>
      <c r="O7" s="174" t="s">
        <v>178</v>
      </c>
      <c r="P7" s="239" t="s">
        <v>549</v>
      </c>
      <c r="Q7" s="30"/>
      <c r="R7" s="81" t="str">
        <f>VLOOKUP(C7,'Train Runs'!$A$13:$AE$10188,31,0)</f>
        <v>aws s3 cp s3://rtdc.mdm.uploadarchive.raw/RTDC4034/ "%USERPROFILE%\AppData\Local\Temp\OnboardLogs"\RTDC4034\2017-12-06 --exclude "*" --recursive --include "*20171206*" &amp; "%USERPROFILE%\Documents\GitHub\mrs-test-scripts\Headless Mode &amp; Sideloading\WalkAndUnGZ.bat" "%USERPROFILE%\AppData\Local\Temp\OnboardLogs"\RTDC4034\2017-12-06 &amp; aws s3 cp s3://rtdc.mdm.uploadarchive.raw/RTDC4034/ "%USERPROFILE%\AppData\Local\Temp\OnboardLogs"\RTDC4034\2017-12-07 --exclude "*" --recursive --include "*20171207*" &amp; "%USERPROFILE%\Documents\GitHub\mrs-test-scripts\Headless Mode &amp; Sideloading\WalkAndUnGZ.bat" "%USERPROFILE%\AppData\Local\Temp\OnboardLogs"\RTDC4034\2017-12-07</v>
      </c>
      <c r="S7" s="84" t="str">
        <f>VLOOKUP(C7,'Train Runs'!$A$13:$AE$10188,22,0)</f>
        <v>https://d0f6bd738d7f1b3e5a7ca70fe4ff75f0.us-east-1.aws.found.io/app/kibana#/discover/Steve-Slow-Train-Analysis-(2080s-and-2083s)?_g=(refreshInterval:(display:Off,pause:!f,section:0,value:0),time:(from:'2017-12-06T14:39:08-0700',mode:absolute,to:'2017-12-06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7" s="86" t="str">
        <f t="shared" ref="T7:T3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/stypes="*4034*201712062*" /stext=" 22:.+((SYSTEM_STATE.+slice.+state.+changed )|(ment ac)|(multiple cpu faults)|(system.+state.+changed )|(\[timeout)|(PRM\|1\|D)|(kpr)|(kdp)|(train st.+moving)|(\|lc)|(penalty))"</v>
      </c>
      <c r="U7" s="9" t="str">
        <f t="shared" ref="U7:U36" si="2">MID(B7,13,4)</f>
        <v>4034</v>
      </c>
      <c r="V7" s="31">
        <f t="shared" ref="V7:V36" si="3">A7-utc_offset/24</f>
        <v>43075.952557870369</v>
      </c>
      <c r="W7" s="45" t="str">
        <f t="shared" ref="W7:W36" si="4">DetSubdiv(C7)</f>
        <v>EC</v>
      </c>
      <c r="X7" s="22">
        <f t="shared" ref="X7:X36" si="5">VALUE(LEFT(C7,LEN(C7)-3))</f>
        <v>197</v>
      </c>
      <c r="Y7" s="96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Arrival","project_id":79,"tracker_id":40,"status_id":1,"priority_id":2,"assigned_to_id":338,"start_date":"2017-12-06","description":"","custom_fields":[{"id":1,"name":"Subdivision","value":"EC"},{"id":4,"name":"Milepost","value":"2.7053"},{"id":17,"name":"Train ID","value":"197-06"},{"id":16,"name":"Locomotive ID","value":"4034"},{"id":130,"name":"Impact","value":""},{"id":150,"name":"Time of Event (Mountain Time)","value":"15:51:41"},{"id":151,"name":"Denver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/c/Users/stu/AppData/Local/Temp/OnboardLogs/RTDC4034 --include="*4034*201712062*"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"%USERPROFILE%\AppData\Local\Temp\OnboardLogs"\RTDC4034\*4034*201712062* &gt;&gt; 2017-12-06-SliceDisagreementCheck.txt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4034 --day 2017-12-06</v>
      </c>
    </row>
    <row r="8" spans="1:32" s="1" customFormat="1" x14ac:dyDescent="0.25">
      <c r="A8" s="31">
        <v>43075.269004629627</v>
      </c>
      <c r="B8" s="30" t="s">
        <v>358</v>
      </c>
      <c r="C8" s="30" t="s">
        <v>634</v>
      </c>
      <c r="D8" s="30" t="s">
        <v>95</v>
      </c>
      <c r="E8" s="30" t="s">
        <v>183</v>
      </c>
      <c r="F8" s="42">
        <v>0</v>
      </c>
      <c r="G8" s="42">
        <v>152</v>
      </c>
      <c r="H8" s="42">
        <v>30959</v>
      </c>
      <c r="I8" s="42">
        <v>30864</v>
      </c>
      <c r="J8" s="30" t="s">
        <v>184</v>
      </c>
      <c r="K8" s="42">
        <v>30970</v>
      </c>
      <c r="L8" s="131" t="s">
        <v>51</v>
      </c>
      <c r="M8" s="132">
        <f t="shared" si="0"/>
        <v>-55.968000000000004</v>
      </c>
      <c r="N8" s="133" t="str">
        <f>VLOOKUP(C8,'Trips&amp;Operators'!$C$1:$G$99911,5,FALSE)</f>
        <v>HAMMOND JUSTYNN</v>
      </c>
      <c r="O8" s="174" t="s">
        <v>178</v>
      </c>
      <c r="P8" s="239" t="s">
        <v>549</v>
      </c>
      <c r="Q8" s="30"/>
      <c r="R8" s="81" t="str">
        <f>VLOOKUP(C8,'Train Runs'!$A$13:$AE$10188,31,0)</f>
        <v>aws s3 cp s3://rtdc.mdm.uploadarchive.raw/RTDC4007/ "%USERPROFILE%\AppData\Local\Temp\OnboardLogs"\RTDC4007\2017-12-06 --exclude "*" --recursive --include "*20171206*" &amp; "%USERPROFILE%\Documents\GitHub\mrs-test-scripts\Headless Mode &amp; Sideloading\WalkAndUnGZ.bat" "%USERPROFILE%\AppData\Local\Temp\OnboardLogs"\RTDC4007\2017-12-06 &amp; aws s3 cp s3://rtdc.mdm.uploadarchive.raw/RTDC4007/ "%USERPROFILE%\AppData\Local\Temp\OnboardLogs"\RTDC4007\2017-12-07 --exclude "*" --recursive --include "*20171207*" &amp; "%USERPROFILE%\Documents\GitHub\mrs-test-scripts\Headless Mode &amp; Sideloading\WalkAndUnGZ.bat" "%USERPROFILE%\AppData\Local\Temp\OnboardLogs"\RTDC4007\2017-12-07</v>
      </c>
      <c r="S8" s="84" t="str">
        <f>VLOOKUP(C8,'Train Runs'!$A$13:$AE$10188,22,0)</f>
        <v>https://d0f6bd738d7f1b3e5a7ca70fe4ff75f0.us-east-1.aws.found.io/app/kibana#/discover/Steve-Slow-Train-Analysis-(2080s-and-2083s)?_g=(refreshInterval:(display:Off,pause:!f,section:0,value:0),time:(from:'2017-12-06T04:51:33-0700',mode:absolute,to:'2017-12-06T07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86" t="str">
        <f t="shared" si="1"/>
        <v>"C:\Program Files (x86)\AstroGrep\AstroGrep.exe" /e /r /s /spath="%USERPROFILE%\AppData\Local\Temp\OnboardLogs" /stypes="*4007*201712061*"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4007</v>
      </c>
      <c r="V8" s="31">
        <f t="shared" si="3"/>
        <v>43075.560671296291</v>
      </c>
      <c r="W8" s="45" t="str">
        <f t="shared" si="4"/>
        <v>EC</v>
      </c>
      <c r="X8" s="228">
        <f t="shared" si="5"/>
        <v>112</v>
      </c>
      <c r="Y8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Arrival","project_id":79,"tracker_id":40,"status_id":1,"priority_id":2,"assigned_to_id":338,"start_date":"2017-12-06","description":"","custom_fields":[{"id":1,"name":"Subdivision","value":"EC"},{"id":4,"name":"Milepost","value":"3.097"},{"id":17,"name":"Train ID","value":"112-06"},{"id":16,"name":"Locomotive ID","value":"4007"},{"id":130,"name":"Impact","value":""},{"id":150,"name":"Time of Event (Mountain Time)","value":"06:27:22"},{"id":151,"name":"Denver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/c/Users/stu/AppData/Local/Temp/OnboardLogs/RTDC4007 --include="*4007*201712061*"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"%USERPROFILE%\AppData\Local\Temp\OnboardLogs"\RTDC4007\*4007*201712061* &gt;&gt; 2017-12-06-SliceDisagreementCheck.txt</v>
      </c>
      <c r="AE8" s="144" t="str">
        <f t="shared" ref="AE8:AE36" si="9">"start /low /b "&amp;dls3logs&amp;" --loco "&amp;U8&amp;" --day "&amp;TEXT(V8,"YYYY-MM-DD")</f>
        <v>start /low /b %USERPROFILE%\Documents\GitHub\eaglep3\Utilities\DownloadLogsFromS3.py --loco 4007 --day 2017-12-06</v>
      </c>
    </row>
    <row r="9" spans="1:32" s="1" customFormat="1" x14ac:dyDescent="0.25">
      <c r="A9" s="31">
        <v>43075.591770833336</v>
      </c>
      <c r="B9" s="30" t="s">
        <v>375</v>
      </c>
      <c r="C9" s="30" t="s">
        <v>650</v>
      </c>
      <c r="D9" s="30" t="s">
        <v>49</v>
      </c>
      <c r="E9" s="30" t="s">
        <v>183</v>
      </c>
      <c r="F9" s="42">
        <v>0</v>
      </c>
      <c r="G9" s="42">
        <v>186</v>
      </c>
      <c r="H9" s="42">
        <v>31023</v>
      </c>
      <c r="I9" s="42">
        <v>30863</v>
      </c>
      <c r="J9" s="30" t="s">
        <v>184</v>
      </c>
      <c r="K9" s="42">
        <v>30970</v>
      </c>
      <c r="L9" s="131" t="s">
        <v>51</v>
      </c>
      <c r="M9" s="132">
        <f t="shared" si="0"/>
        <v>-56.496000000000002</v>
      </c>
      <c r="N9" s="133" t="str">
        <f>VLOOKUP(C9,'Trips&amp;Operators'!$C$1:$G$99911,5,FALSE)</f>
        <v>KILLION DAVID</v>
      </c>
      <c r="O9" s="174" t="s">
        <v>178</v>
      </c>
      <c r="P9" s="239" t="s">
        <v>549</v>
      </c>
      <c r="Q9" s="30"/>
      <c r="R9" s="81" t="str">
        <f>VLOOKUP(C9,'Train Runs'!$A$13:$AE$10188,31,0)</f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S9" s="84" t="str">
        <f>VLOOKUP(C9,'Train Runs'!$A$13:$AE$10188,22,0)</f>
        <v>https://d0f6bd738d7f1b3e5a7ca70fe4ff75f0.us-east-1.aws.found.io/app/kibana#/discover/Steve-Slow-Train-Analysis-(2080s-and-2083s)?_g=(refreshInterval:(display:Off,pause:!f,section:0,value:0),time:(from:'2017-12-06T12:27:31-0700',mode:absolute,to:'2017-12-06T15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/stypes="*4061*201712062*"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43075.883437500001</v>
      </c>
      <c r="W9" s="45" t="str">
        <f t="shared" si="4"/>
        <v>EC</v>
      </c>
      <c r="X9" s="228">
        <f t="shared" si="5"/>
        <v>174</v>
      </c>
      <c r="Y9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Arrival","project_id":79,"tracker_id":40,"status_id":1,"priority_id":2,"assigned_to_id":338,"start_date":"2017-12-06","description":"","custom_fields":[{"id":1,"name":"Subdivision","value":"EC"},{"id":4,"name":"Milepost","value":"3.097"},{"id":17,"name":"Train ID","value":"174-06"},{"id":16,"name":"Locomotive ID","value":"4061"},{"id":130,"name":"Impact","value":""},{"id":150,"name":"Time of Event (Mountain Time)","value":"14:12:09"},{"id":151,"name":"Denver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/c/Users/stu/AppData/Local/Temp/OnboardLogs/RTDC4061 --include="*4061*201712062*"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"%USERPROFILE%\AppData\Local\Temp\OnboardLogs"\RTDC4061\*4061*201712062* &gt;&gt; 2017-12-06-SliceDisagreementCheck.txt</v>
      </c>
      <c r="AE9" s="144" t="str">
        <f t="shared" si="9"/>
        <v>start /low /b %USERPROFILE%\Documents\GitHub\eaglep3\Utilities\DownloadLogsFromS3.py --loco 4061 --day 2017-12-06</v>
      </c>
    </row>
    <row r="10" spans="1:32" x14ac:dyDescent="0.25">
      <c r="A10" s="31">
        <v>43075.914513888885</v>
      </c>
      <c r="B10" s="30" t="s">
        <v>485</v>
      </c>
      <c r="C10" s="30" t="s">
        <v>660</v>
      </c>
      <c r="D10" s="30" t="s">
        <v>49</v>
      </c>
      <c r="E10" s="30" t="s">
        <v>183</v>
      </c>
      <c r="F10" s="42">
        <v>0</v>
      </c>
      <c r="G10" s="42">
        <v>212</v>
      </c>
      <c r="H10" s="42">
        <v>31093</v>
      </c>
      <c r="I10" s="42">
        <v>30843</v>
      </c>
      <c r="J10" s="30" t="s">
        <v>184</v>
      </c>
      <c r="K10" s="42">
        <v>30970</v>
      </c>
      <c r="L10" s="131" t="s">
        <v>51</v>
      </c>
      <c r="M10" s="132">
        <f t="shared" si="0"/>
        <v>-67.055999999999997</v>
      </c>
      <c r="N10" s="133" t="str">
        <f>VLOOKUP(C10,'Trips&amp;Operators'!$C$1:$G$99911,5,FALSE)</f>
        <v>ANDERS STEVEN</v>
      </c>
      <c r="O10" s="174" t="s">
        <v>178</v>
      </c>
      <c r="P10" s="239" t="s">
        <v>549</v>
      </c>
      <c r="Q10" s="30"/>
      <c r="R10" s="81" t="str">
        <f>VLOOKUP(C10,'Train Runs'!$A$13:$AE$10188,31,0)</f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S10" s="84" t="str">
        <f>VLOOKUP(C10,'Train Runs'!$A$13:$AE$10188,22,0)</f>
        <v>https://d0f6bd738d7f1b3e5a7ca70fe4ff75f0.us-east-1.aws.found.io/app/kibana#/discover/Steve-Slow-Train-Analysis-(2080s-and-2083s)?_g=(refreshInterval:(display:Off,pause:!f,section:0,value:0),time:(from:'2017-12-06T20:24:26-0700',mode:absolute,to:'2017-12-06T23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6" t="str">
        <f t="shared" si="1"/>
        <v>"C:\Program Files (x86)\AstroGrep\AstroGrep.exe" /e /r /s /spath="%USERPROFILE%\AppData\Local\Temp\OnboardLogs" /stypes="*4063*201712070*"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4063</v>
      </c>
      <c r="V10" s="31">
        <f t="shared" si="3"/>
        <v>43076.20618055555</v>
      </c>
      <c r="W10" s="45" t="str">
        <f t="shared" si="4"/>
        <v>EC</v>
      </c>
      <c r="X10" s="228">
        <f t="shared" si="5"/>
        <v>228</v>
      </c>
      <c r="Y10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Arrival","project_id":79,"tracker_id":40,"status_id":1,"priority_id":2,"assigned_to_id":338,"start_date":"2017-12-06","description":"","custom_fields":[{"id":1,"name":"Subdivision","value":"EC"},{"id":4,"name":"Milepost","value":"3.097"},{"id":17,"name":"Train ID","value":"228-06"},{"id":16,"name":"Locomotive ID","value":"4063"},{"id":130,"name":"Impact","value":""},{"id":150,"name":"Time of Event (Mountain Time)","value":"21:56:54"},{"id":151,"name":"Denver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/c/Users/stu/AppData/Local/Temp/OnboardLogs/RTDC4063 --include="*4063*201712070*"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"%USERPROFILE%\AppData\Local\Temp\OnboardLogs"\RTDC4063\*4063*201712070* &gt;&gt; 2017-12-06-SliceDisagreementCheck.txt</v>
      </c>
      <c r="AE10" s="144" t="str">
        <f t="shared" si="9"/>
        <v>start /low /b %USERPROFILE%\Documents\GitHub\eaglep3\Utilities\DownloadLogsFromS3.py --loco 4063 --day 2017-12-07</v>
      </c>
      <c r="AF10" s="1"/>
    </row>
    <row r="11" spans="1:32" x14ac:dyDescent="0.25">
      <c r="A11" s="31">
        <v>43075.893368055556</v>
      </c>
      <c r="B11" s="30" t="s">
        <v>456</v>
      </c>
      <c r="C11" s="30" t="s">
        <v>659</v>
      </c>
      <c r="D11" s="30" t="s">
        <v>49</v>
      </c>
      <c r="E11" s="30" t="s">
        <v>183</v>
      </c>
      <c r="F11" s="42">
        <v>0</v>
      </c>
      <c r="G11" s="42">
        <v>229</v>
      </c>
      <c r="H11" s="42">
        <v>33519</v>
      </c>
      <c r="I11" s="42">
        <v>33225</v>
      </c>
      <c r="J11" s="30" t="s">
        <v>184</v>
      </c>
      <c r="K11" s="42">
        <v>33257</v>
      </c>
      <c r="L11" s="131" t="s">
        <v>51</v>
      </c>
      <c r="M11" s="132">
        <f t="shared" si="0"/>
        <v>-16.896000000000001</v>
      </c>
      <c r="N11" s="133" t="str">
        <f>VLOOKUP(C11,'Trips&amp;Operators'!$C$1:$G$99911,5,FALSE)</f>
        <v>LONG FULLER</v>
      </c>
      <c r="O11" s="174" t="s">
        <v>178</v>
      </c>
      <c r="P11" s="239" t="s">
        <v>549</v>
      </c>
      <c r="Q11" s="30"/>
      <c r="R11" s="81" t="str">
        <f>VLOOKUP(C11,'Train Runs'!$A$13:$AE$10188,31,0)</f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S11" s="84" t="str">
        <f>VLOOKUP(C11,'Train Runs'!$A$13:$AE$10188,22,0)</f>
        <v>https://d0f6bd738d7f1b3e5a7ca70fe4ff75f0.us-east-1.aws.found.io/app/kibana#/discover/Steve-Slow-Train-Analysis-(2080s-and-2083s)?_g=(refreshInterval:(display:Off,pause:!f,section:0,value:0),time:(from:'2017-12-06T19:51:00-0700',mode:absolute,to:'2017-12-06T22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/stypes="*4031*201712070*"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43076.185034722221</v>
      </c>
      <c r="W11" s="45" t="str">
        <f t="shared" si="4"/>
        <v>EC</v>
      </c>
      <c r="X11" s="228">
        <f t="shared" si="5"/>
        <v>226</v>
      </c>
      <c r="Y11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Arrival","project_id":79,"tracker_id":40,"status_id":1,"priority_id":2,"assigned_to_id":338,"start_date":"2017-12-06","description":"","custom_fields":[{"id":1,"name":"Subdivision","value":"EC"},{"id":4,"name":"Milepost","value":"3.3257"},{"id":17,"name":"Train ID","value":"226-06"},{"id":16,"name":"Locomotive ID","value":"4031"},{"id":130,"name":"Impact","value":""},{"id":150,"name":"Time of Event (Mountain Time)","value":"21:26:27"},{"id":151,"name":"Denver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/c/Users/stu/AppData/Local/Temp/OnboardLogs/RTDC4031 --include="*4031*201712070*"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"%USERPROFILE%\AppData\Local\Temp\OnboardLogs"\RTDC4031\*4031*201712070* &gt;&gt; 2017-12-06-SliceDisagreementCheck.txt</v>
      </c>
      <c r="AE11" s="144" t="str">
        <f t="shared" si="9"/>
        <v>start /low /b %USERPROFILE%\Documents\GitHub\eaglep3\Utilities\DownloadLogsFromS3.py --loco 4031 --day 2017-12-07</v>
      </c>
      <c r="AF11" s="1"/>
    </row>
    <row r="12" spans="1:32" x14ac:dyDescent="0.25">
      <c r="A12" s="31">
        <v>43075.453055555554</v>
      </c>
      <c r="B12" s="30" t="s">
        <v>456</v>
      </c>
      <c r="C12" s="30" t="s">
        <v>646</v>
      </c>
      <c r="D12" s="30" t="s">
        <v>49</v>
      </c>
      <c r="E12" s="30" t="s">
        <v>183</v>
      </c>
      <c r="F12" s="42">
        <v>0</v>
      </c>
      <c r="G12" s="42">
        <v>619</v>
      </c>
      <c r="H12" s="42">
        <v>45727</v>
      </c>
      <c r="I12" s="42">
        <v>43761</v>
      </c>
      <c r="J12" s="30" t="s">
        <v>184</v>
      </c>
      <c r="K12" s="42">
        <v>42961</v>
      </c>
      <c r="L12" s="131" t="s">
        <v>51</v>
      </c>
      <c r="M12" s="132">
        <f t="shared" si="0"/>
        <v>422.4</v>
      </c>
      <c r="N12" s="133" t="str">
        <f>VLOOKUP(C12,'Trips&amp;Operators'!$C$1:$G$99911,5,FALSE)</f>
        <v>YORK EDGAR</v>
      </c>
      <c r="O12" s="174" t="s">
        <v>178</v>
      </c>
      <c r="P12" s="239" t="s">
        <v>549</v>
      </c>
      <c r="Q12" s="30"/>
      <c r="R12" s="81" t="str">
        <f>VLOOKUP(C12,'Train Runs'!$A$13:$AE$10188,31,0)</f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S12" s="84" t="str">
        <f>VLOOKUP(C12,'Train Runs'!$A$13:$AE$10188,22,0)</f>
        <v>https://d0f6bd738d7f1b3e5a7ca70fe4ff75f0.us-east-1.aws.found.io/app/kibana#/discover/Steve-Slow-Train-Analysis-(2080s-and-2083s)?_g=(refreshInterval:(display:Off,pause:!f,section:0,value:0),time:(from:'2017-12-06T09:23:59-0700',mode:absolute,to:'2017-12-06T12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86" t="str">
        <f t="shared" si="1"/>
        <v>"C:\Program Files (x86)\AstroGrep\AstroGrep.exe" /e /r /s /spath="%USERPROFILE%\AppData\Local\Temp\OnboardLogs" /stypes="*4031*201712061*"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4031</v>
      </c>
      <c r="V12" s="31">
        <f t="shared" si="3"/>
        <v>43075.744722222218</v>
      </c>
      <c r="W12" s="45" t="str">
        <f t="shared" si="4"/>
        <v>EC</v>
      </c>
      <c r="X12" s="228">
        <f t="shared" si="5"/>
        <v>148</v>
      </c>
      <c r="Y12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Arrival","project_id":79,"tracker_id":40,"status_id":1,"priority_id":2,"assigned_to_id":338,"start_date":"2017-12-06","description":"","custom_fields":[{"id":1,"name":"Subdivision","value":"EC"},{"id":4,"name":"Milepost","value":"4.2961"},{"id":17,"name":"Train ID","value":"148-06"},{"id":16,"name":"Locomotive ID","value":"4031"},{"id":130,"name":"Impact","value":""},{"id":150,"name":"Time of Event (Mountain Time)","value":"10:52:24"},{"id":151,"name":"Denver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/c/Users/stu/AppData/Local/Temp/OnboardLogs/RTDC4031 --include="*4031*201712061*"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"%USERPROFILE%\AppData\Local\Temp\OnboardLogs"\RTDC4031\*4031*201712061* &gt;&gt; 2017-12-06-SliceDisagreementCheck.txt</v>
      </c>
      <c r="AE12" s="144" t="str">
        <f t="shared" si="9"/>
        <v>start /low /b %USERPROFILE%\Documents\GitHub\eaglep3\Utilities\DownloadLogsFromS3.py --loco 4031 --day 2017-12-06</v>
      </c>
      <c r="AF12" s="1"/>
    </row>
    <row r="13" spans="1:32" x14ac:dyDescent="0.25">
      <c r="A13" s="31">
        <v>43075.312835648147</v>
      </c>
      <c r="B13" s="30" t="s">
        <v>547</v>
      </c>
      <c r="C13" s="30" t="s">
        <v>635</v>
      </c>
      <c r="D13" s="30" t="s">
        <v>49</v>
      </c>
      <c r="E13" s="30" t="s">
        <v>183</v>
      </c>
      <c r="F13" s="42">
        <v>70</v>
      </c>
      <c r="G13" s="42">
        <v>133</v>
      </c>
      <c r="H13" s="42">
        <v>104578</v>
      </c>
      <c r="I13" s="42">
        <v>104274</v>
      </c>
      <c r="J13" s="30" t="s">
        <v>184</v>
      </c>
      <c r="K13" s="42">
        <v>103800</v>
      </c>
      <c r="L13" s="131" t="s">
        <v>51</v>
      </c>
      <c r="M13" s="132">
        <f t="shared" si="0"/>
        <v>250.27199999999999</v>
      </c>
      <c r="N13" s="133" t="str">
        <f>VLOOKUP(C13,'Trips&amp;Operators'!$C$1:$G$99911,5,FALSE)</f>
        <v>BEAM ROSS</v>
      </c>
      <c r="O13" s="174" t="s">
        <v>178</v>
      </c>
      <c r="P13" s="239" t="s">
        <v>549</v>
      </c>
      <c r="Q13" s="30"/>
      <c r="R13" s="81" t="str">
        <f>VLOOKUP(C13,'Train Runs'!$A$13:$AE$10188,31,0)</f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S13" s="84" t="str">
        <f>VLOOKUP(C13,'Train Runs'!$A$13:$AE$10188,22,0)</f>
        <v>https://d0f6bd738d7f1b3e5a7ca70fe4ff75f0.us-east-1.aws.found.io/app/kibana#/discover/Steve-Slow-Train-Analysis-(2080s-and-2083s)?_g=(refreshInterval:(display:Off,pause:!f,section:0,value:0),time:(from:'2017-12-06T05:52:08-0700',mode:absolute,to:'2017-12-06T08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 t="shared" si="1"/>
        <v>"C:\Program Files (x86)\AstroGrep\AstroGrep.exe" /e /r /s /spath="%USERPROFILE%\AppData\Local\Temp\OnboardLogs" /stypes="*4003*201712061*"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4003</v>
      </c>
      <c r="V13" s="31">
        <f t="shared" si="3"/>
        <v>43075.604502314811</v>
      </c>
      <c r="W13" s="45" t="str">
        <f t="shared" si="4"/>
        <v>EC</v>
      </c>
      <c r="X13" s="228">
        <f t="shared" si="5"/>
        <v>122</v>
      </c>
      <c r="Y13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Arrival","project_id":79,"tracker_id":40,"status_id":1,"priority_id":2,"assigned_to_id":338,"start_date":"2017-12-06","description":"","custom_fields":[{"id":1,"name":"Subdivision","value":"EC"},{"id":4,"name":"Milepost","value":"10.38"},{"id":17,"name":"Train ID","value":"122-06"},{"id":16,"name":"Locomotive ID","value":"4003"},{"id":130,"name":"Impact","value":""},{"id":150,"name":"Time of Event (Mountain Time)","value":"07:30:29"},{"id":151,"name":"Denver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/c/Users/stu/AppData/Local/Temp/OnboardLogs/RTDC4003 --include="*4003*201712061*"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"%USERPROFILE%\AppData\Local\Temp\OnboardLogs"\RTDC4003\*4003*201712061* &gt;&gt; 2017-12-06-SliceDisagreementCheck.txt</v>
      </c>
      <c r="AE13" s="144" t="str">
        <f t="shared" si="9"/>
        <v>start /low /b %USERPROFILE%\Documents\GitHub\eaglep3\Utilities\DownloadLogsFromS3.py --loco 4003 --day 2017-12-06</v>
      </c>
      <c r="AF13" s="1"/>
    </row>
    <row r="14" spans="1:32" x14ac:dyDescent="0.25">
      <c r="A14" s="31">
        <v>43075.249409722222</v>
      </c>
      <c r="B14" s="30" t="s">
        <v>632</v>
      </c>
      <c r="C14" s="30" t="s">
        <v>633</v>
      </c>
      <c r="D14" s="30" t="s">
        <v>49</v>
      </c>
      <c r="E14" s="30" t="s">
        <v>183</v>
      </c>
      <c r="F14" s="42">
        <v>360</v>
      </c>
      <c r="G14" s="42">
        <v>421</v>
      </c>
      <c r="H14" s="42">
        <v>110082</v>
      </c>
      <c r="I14" s="42">
        <v>108772</v>
      </c>
      <c r="J14" s="30" t="s">
        <v>184</v>
      </c>
      <c r="K14" s="42">
        <v>109135</v>
      </c>
      <c r="L14" s="131" t="s">
        <v>51</v>
      </c>
      <c r="M14" s="132">
        <f t="shared" si="0"/>
        <v>-191.66399999999999</v>
      </c>
      <c r="N14" s="133" t="str">
        <f>VLOOKUP(C14,'Trips&amp;Operators'!$C$1:$G$99911,5,FALSE)</f>
        <v>LOPES KIMBERLY</v>
      </c>
      <c r="O14" s="174" t="s">
        <v>178</v>
      </c>
      <c r="P14" s="239" t="s">
        <v>549</v>
      </c>
      <c r="Q14" s="30"/>
      <c r="R14" s="81" t="str">
        <f>VLOOKUP(C14,'Train Runs'!$A$13:$AE$10188,31,0)</f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S14" s="84" t="str">
        <f>VLOOKUP(C14,'Train Runs'!$A$13:$AE$10188,22,0)</f>
        <v>https://d0f6bd738d7f1b3e5a7ca70fe4ff75f0.us-east-1.aws.found.io/app/kibana#/discover/Steve-Slow-Train-Analysis-(2080s-and-2083s)?_g=(refreshInterval:(display:Off,pause:!f,section:0,value:0),time:(from:'2017-12-06T04:25:48-0700',mode:absolute,to:'2017-12-06T07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/stypes="*4041*201712061*"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43075.541076388887</v>
      </c>
      <c r="W14" s="45" t="str">
        <f t="shared" si="4"/>
        <v>EC</v>
      </c>
      <c r="X14" s="228">
        <f t="shared" si="5"/>
        <v>110</v>
      </c>
      <c r="Y14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Arrival","project_id":79,"tracker_id":40,"status_id":1,"priority_id":2,"assigned_to_id":338,"start_date":"2017-12-06","description":"","custom_fields":[{"id":1,"name":"Subdivision","value":"EC"},{"id":4,"name":"Milepost","value":"10.9135"},{"id":17,"name":"Train ID","value":"110-06"},{"id":16,"name":"Locomotive ID","value":"4041"},{"id":130,"name":"Impact","value":""},{"id":150,"name":"Time of Event (Mountain Time)","value":"05:59:09"},{"id":151,"name":"Denver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/c/Users/stu/AppData/Local/Temp/OnboardLogs/RTDC4041 --include="*4041*201712061*"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"%USERPROFILE%\AppData\Local\Temp\OnboardLogs"\RTDC4041\*4041*201712061* &gt;&gt; 2017-12-06-SliceDisagreementCheck.txt</v>
      </c>
      <c r="AE14" s="144" t="str">
        <f t="shared" si="9"/>
        <v>start /low /b %USERPROFILE%\Documents\GitHub\eaglep3\Utilities\DownloadLogsFromS3.py --loco 4041 --day 2017-12-06</v>
      </c>
      <c r="AF14" s="1"/>
    </row>
    <row r="15" spans="1:32" x14ac:dyDescent="0.25">
      <c r="A15" s="31">
        <v>43075.395254629628</v>
      </c>
      <c r="B15" s="30" t="s">
        <v>632</v>
      </c>
      <c r="C15" s="30" t="s">
        <v>643</v>
      </c>
      <c r="D15" s="30" t="s">
        <v>49</v>
      </c>
      <c r="E15" s="30" t="s">
        <v>183</v>
      </c>
      <c r="F15" s="42">
        <v>360</v>
      </c>
      <c r="G15" s="42">
        <v>422</v>
      </c>
      <c r="H15" s="42">
        <v>110119</v>
      </c>
      <c r="I15" s="42">
        <v>108735</v>
      </c>
      <c r="J15" s="30" t="s">
        <v>184</v>
      </c>
      <c r="K15" s="42">
        <v>109135</v>
      </c>
      <c r="L15" s="131" t="s">
        <v>51</v>
      </c>
      <c r="M15" s="132">
        <f t="shared" si="0"/>
        <v>-211.2</v>
      </c>
      <c r="N15" s="133" t="str">
        <f>VLOOKUP(C15,'Trips&amp;Operators'!$C$1:$G$99911,5,FALSE)</f>
        <v>LOPES KIMBERLY</v>
      </c>
      <c r="O15" s="174" t="s">
        <v>178</v>
      </c>
      <c r="P15" s="239" t="s">
        <v>549</v>
      </c>
      <c r="Q15" s="30"/>
      <c r="R15" s="81" t="str">
        <f>VLOOKUP(C15,'Train Runs'!$A$13:$AE$10188,31,0)</f>
        <v>aws s3 cp s3://rtdc.mdm.uploadarchive.raw/RTDC4041/ "%USERPROFILE%\AppData\Local\Temp\OnboardLogs"\RTDC4041\2017-12-06 --exclude "*" --recursive --include "*20171206*" &amp; "%USERPROFILE%\Documents\GitHub\mrs-test-scripts\Headless Mode &amp; Sideloading\WalkAndUnGZ.bat" "%USERPROFILE%\AppData\Local\Temp\OnboardLogs"\RTDC4041\2017-12-06 &amp; aws s3 cp s3://rtdc.mdm.uploadarchive.raw/RTDC4041/ "%USERPROFILE%\AppData\Local\Temp\OnboardLogs"\RTDC4041\2017-12-07 --exclude "*" --recursive --include "*20171207*" &amp; "%USERPROFILE%\Documents\GitHub\mrs-test-scripts\Headless Mode &amp; Sideloading\WalkAndUnGZ.bat" "%USERPROFILE%\AppData\Local\Temp\OnboardLogs"\RTDC4041\2017-12-07</v>
      </c>
      <c r="S15" s="84" t="str">
        <f>VLOOKUP(C15,'Train Runs'!$A$13:$AE$10188,22,0)</f>
        <v>https://d0f6bd738d7f1b3e5a7ca70fe4ff75f0.us-east-1.aws.found.io/app/kibana#/discover/Steve-Slow-Train-Analysis-(2080s-and-2083s)?_g=(refreshInterval:(display:Off,pause:!f,section:0,value:0),time:(from:'2017-12-06T07:57:41-0700',mode:absolute,to:'2017-12-06T10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/stypes="*4041*201712061*"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43075.686921296292</v>
      </c>
      <c r="W15" s="45" t="str">
        <f t="shared" si="4"/>
        <v>EC</v>
      </c>
      <c r="X15" s="228">
        <f t="shared" si="5"/>
        <v>138</v>
      </c>
      <c r="Y15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Arrival","project_id":79,"tracker_id":40,"status_id":1,"priority_id":2,"assigned_to_id":338,"start_date":"2017-12-06","description":"","custom_fields":[{"id":1,"name":"Subdivision","value":"EC"},{"id":4,"name":"Milepost","value":"10.9135"},{"id":17,"name":"Train ID","value":"138-06"},{"id":16,"name":"Locomotive ID","value":"4041"},{"id":130,"name":"Impact","value":""},{"id":150,"name":"Time of Event (Mountain Time)","value":"09:29:10"},{"id":151,"name":"Denver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/c/Users/stu/AppData/Local/Temp/OnboardLogs/RTDC4041 --include="*4041*201712061*"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"%USERPROFILE%\AppData\Local\Temp\OnboardLogs"\RTDC4041\*4041*201712061* &gt;&gt; 2017-12-06-SliceDisagreementCheck.txt</v>
      </c>
      <c r="AE15" s="144" t="str">
        <f t="shared" si="9"/>
        <v>start /low /b %USERPROFILE%\Documents\GitHub\eaglep3\Utilities\DownloadLogsFromS3.py --loco 4041 --day 2017-12-06</v>
      </c>
      <c r="AF15" s="1"/>
    </row>
    <row r="16" spans="1:32" x14ac:dyDescent="0.25">
      <c r="A16" s="31">
        <v>43075.655543981484</v>
      </c>
      <c r="B16" s="30" t="s">
        <v>375</v>
      </c>
      <c r="C16" s="30" t="s">
        <v>652</v>
      </c>
      <c r="D16" s="30" t="s">
        <v>49</v>
      </c>
      <c r="E16" s="30" t="s">
        <v>183</v>
      </c>
      <c r="F16" s="42">
        <v>370</v>
      </c>
      <c r="G16" s="42">
        <v>422</v>
      </c>
      <c r="H16" s="42">
        <v>110128</v>
      </c>
      <c r="I16" s="42">
        <v>108909</v>
      </c>
      <c r="J16" s="30" t="s">
        <v>184</v>
      </c>
      <c r="K16" s="42">
        <v>109135</v>
      </c>
      <c r="L16" s="131" t="s">
        <v>51</v>
      </c>
      <c r="M16" s="132">
        <f t="shared" si="0"/>
        <v>-119.328</v>
      </c>
      <c r="N16" s="133" t="str">
        <f>VLOOKUP(C16,'Trips&amp;Operators'!$C$1:$G$99911,5,FALSE)</f>
        <v>KILLION DAVID</v>
      </c>
      <c r="O16" s="174" t="s">
        <v>178</v>
      </c>
      <c r="P16" s="239" t="s">
        <v>549</v>
      </c>
      <c r="Q16" s="30"/>
      <c r="R16" s="81" t="str">
        <f>VLOOKUP(C16,'Train Runs'!$A$13:$AE$10188,31,0)</f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S16" s="84" t="str">
        <f>VLOOKUP(C16,'Train Runs'!$A$13:$AE$10188,22,0)</f>
        <v>https://d0f6bd738d7f1b3e5a7ca70fe4ff75f0.us-east-1.aws.found.io/app/kibana#/discover/Steve-Slow-Train-Analysis-(2080s-and-2083s)?_g=(refreshInterval:(display:Off,pause:!f,section:0,value:0),time:(from:'2017-12-06T14:16:57-0700',mode:absolute,to:'2017-12-06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6" s="86" t="str">
        <f t="shared" si="1"/>
        <v>"C:\Program Files (x86)\AstroGrep\AstroGrep.exe" /e /r /s /spath="%USERPROFILE%\AppData\Local\Temp\OnboardLogs" /stypes="*4061*201712062*"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4061</v>
      </c>
      <c r="V16" s="31">
        <f t="shared" si="3"/>
        <v>43075.947210648148</v>
      </c>
      <c r="W16" s="45" t="str">
        <f t="shared" si="4"/>
        <v>EC</v>
      </c>
      <c r="X16" s="228">
        <f t="shared" si="5"/>
        <v>188</v>
      </c>
      <c r="Y16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Arrival","project_id":79,"tracker_id":40,"status_id":1,"priority_id":2,"assigned_to_id":338,"start_date":"2017-12-06","description":"","custom_fields":[{"id":1,"name":"Subdivision","value":"EC"},{"id":4,"name":"Milepost","value":"10.9135"},{"id":17,"name":"Train ID","value":"188-06"},{"id":16,"name":"Locomotive ID","value":"4061"},{"id":130,"name":"Impact","value":""},{"id":150,"name":"Time of Event (Mountain Time)","value":"15:43:59"},{"id":151,"name":"Denver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/c/Users/stu/AppData/Local/Temp/OnboardLogs/RTDC4061 --include="*4061*201712062*"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"%USERPROFILE%\AppData\Local\Temp\OnboardLogs"\RTDC4061\*4061*201712062* &gt;&gt; 2017-12-06-SliceDisagreementCheck.txt</v>
      </c>
      <c r="AE16" s="144" t="str">
        <f t="shared" si="9"/>
        <v>start /low /b %USERPROFILE%\Documents\GitHub\eaglep3\Utilities\DownloadLogsFromS3.py --loco 4061 --day 2017-12-06</v>
      </c>
      <c r="AF16" s="1"/>
    </row>
    <row r="17" spans="1:32" x14ac:dyDescent="0.25">
      <c r="A17" s="31">
        <v>43075.710960648146</v>
      </c>
      <c r="B17" s="30" t="s">
        <v>655</v>
      </c>
      <c r="C17" s="30" t="s">
        <v>656</v>
      </c>
      <c r="D17" s="30" t="s">
        <v>49</v>
      </c>
      <c r="E17" s="30" t="s">
        <v>190</v>
      </c>
      <c r="F17" s="42">
        <v>400</v>
      </c>
      <c r="G17" s="42">
        <v>606</v>
      </c>
      <c r="H17" s="42">
        <v>13745</v>
      </c>
      <c r="I17" s="42">
        <v>17402</v>
      </c>
      <c r="J17" s="30" t="s">
        <v>191</v>
      </c>
      <c r="K17" s="42">
        <v>17867</v>
      </c>
      <c r="L17" s="131" t="s">
        <v>50</v>
      </c>
      <c r="M17" s="132">
        <f t="shared" si="0"/>
        <v>245.52</v>
      </c>
      <c r="N17" s="133" t="str">
        <f>VLOOKUP(C17,'Trips&amp;Operators'!$C$1:$G$99911,5,FALSE)</f>
        <v>LORI SANTOS</v>
      </c>
      <c r="O17" s="174" t="s">
        <v>178</v>
      </c>
      <c r="P17" s="239"/>
      <c r="Q17" s="30"/>
      <c r="R17" s="81" t="str">
        <f>VLOOKUP(C17,'Train Runs'!$A$13:$AE$10188,31,0)</f>
        <v>aws s3 cp s3://rtdc.mdm.uploadarchive.raw/RTDC4042/ "%USERPROFILE%\AppData\Local\Temp\OnboardLogs"\RTDC4042\2017-12-06 --exclude "*" --recursive --include "*20171206*" &amp; "%USERPROFILE%\Documents\GitHub\mrs-test-scripts\Headless Mode &amp; Sideloading\WalkAndUnGZ.bat" "%USERPROFILE%\AppData\Local\Temp\OnboardLogs"\RTDC4042\2017-12-06 &amp; aws s3 cp s3://rtdc.mdm.uploadarchive.raw/RTDC4042/ "%USERPROFILE%\AppData\Local\Temp\OnboardLogs"\RTDC4042\2017-12-07 --exclude "*" --recursive --include "*20171207*" &amp; "%USERPROFILE%\Documents\GitHub\mrs-test-scripts\Headless Mode &amp; Sideloading\WalkAndUnGZ.bat" "%USERPROFILE%\AppData\Local\Temp\OnboardLogs"\RTDC4042\2017-12-07</v>
      </c>
      <c r="S17" s="84" t="str">
        <f>VLOOKUP(C17,'Train Runs'!$A$13:$AE$10188,22,0)</f>
        <v>https://d0f6bd738d7f1b3e5a7ca70fe4ff75f0.us-east-1.aws.found.io/app/kibana#/discover/Steve-Slow-Train-Analysis-(2080s-and-2083s)?_g=(refreshInterval:(display:Off,pause:!f,section:0,value:0),time:(from:'2017-12-06T15:54:57-0700',mode:absolute,to:'2017-12-06T18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6" t="str">
        <f t="shared" si="1"/>
        <v>"C:\Program Files (x86)\AstroGrep\AstroGrep.exe" /e /r /s /spath="%USERPROFILE%\AppData\Local\Temp\OnboardLogs" /stypes="*4042*201712070*"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43076.002627314811</v>
      </c>
      <c r="W17" s="45" t="str">
        <f t="shared" si="4"/>
        <v>EC</v>
      </c>
      <c r="X17" s="228">
        <f t="shared" si="5"/>
        <v>207</v>
      </c>
      <c r="Y17" s="238" t="str">
        <f t="shared" si="6"/>
        <v>echo {"issue":{"subject":"","project_id":79,"tracker_id":40,"status_id":1,"priority_id":2,"assigned_to_id":338,"start_date":"2017-12-06","description":"","custom_fields":[{"id":1,"name":"Subdivision","value":"EC"},{"id":4,"name":"Milepost","value":"1.7867"},{"id":17,"name":"Train ID","value":"207-06"},{"id":16,"name":"Locomotive ID","value":"4042"},{"id":130,"name":"Impact","value":""},{"id":150,"name":"Time of Event (Mountain Time)","value":"17:03:47"},{"id":151,"name":"Denver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/c/Users/stu/AppData/Local/Temp/OnboardLogs/RTDC4042 --include="*4042*201712070*"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"%USERPROFILE%\AppData\Local\Temp\OnboardLogs"\RTDC4042\*4042*201712070* &gt;&gt; 2017-12-06-SliceDisagreementCheck.txt</v>
      </c>
      <c r="AE17" s="144" t="str">
        <f t="shared" si="9"/>
        <v>start /low /b %USERPROFILE%\Documents\GitHub\eaglep3\Utilities\DownloadLogsFromS3.py --loco 4042 --day 2017-12-07</v>
      </c>
      <c r="AF17" s="1"/>
    </row>
    <row r="18" spans="1:32" x14ac:dyDescent="0.25">
      <c r="A18" s="31">
        <v>43075.982476851852</v>
      </c>
      <c r="B18" s="30" t="s">
        <v>485</v>
      </c>
      <c r="C18" s="30" t="s">
        <v>661</v>
      </c>
      <c r="D18" s="30" t="s">
        <v>95</v>
      </c>
      <c r="E18" s="30" t="s">
        <v>190</v>
      </c>
      <c r="F18" s="42">
        <v>600</v>
      </c>
      <c r="G18" s="42">
        <v>651</v>
      </c>
      <c r="H18" s="42">
        <v>184445</v>
      </c>
      <c r="I18" s="42">
        <v>181102</v>
      </c>
      <c r="J18" s="30" t="s">
        <v>191</v>
      </c>
      <c r="K18" s="42">
        <v>190834</v>
      </c>
      <c r="L18" s="131" t="s">
        <v>51</v>
      </c>
      <c r="M18" s="132">
        <f t="shared" si="0"/>
        <v>-5138.4960000000001</v>
      </c>
      <c r="N18" s="133" t="str">
        <f>VLOOKUP(C18,'Trips&amp;Operators'!$C$1:$G$99911,5,FALSE)</f>
        <v>ANDERS STEVEN</v>
      </c>
      <c r="O18" s="174" t="s">
        <v>178</v>
      </c>
      <c r="P18" s="239"/>
      <c r="Q18" s="30"/>
      <c r="R18" s="81" t="str">
        <f>VLOOKUP(C18,'Train Runs'!$A$13:$AE$10188,31,0)</f>
        <v>aws s3 cp s3://rtdc.mdm.uploadarchive.raw/RTDC4063/ "%USERPROFILE%\AppData\Local\Temp\OnboardLogs"\RTDC4063\2017-12-06 --exclude "*" --recursive --include "*20171206*" &amp; "%USERPROFILE%\Documents\GitHub\mrs-test-scripts\Headless Mode &amp; Sideloading\WalkAndUnGZ.bat" "%USERPROFILE%\AppData\Local\Temp\OnboardLogs"\RTDC4063\2017-12-06 &amp; aws s3 cp s3://rtdc.mdm.uploadarchive.raw/RTDC4063/ "%USERPROFILE%\AppData\Local\Temp\OnboardLogs"\RTDC4063\2017-12-07 --exclude "*" --recursive --include "*20171207*" &amp; "%USERPROFILE%\Documents\GitHub\mrs-test-scripts\Headless Mode &amp; Sideloading\WalkAndUnGZ.bat" "%USERPROFILE%\AppData\Local\Temp\OnboardLogs"\RTDC4063\2017-12-07</v>
      </c>
      <c r="S18" s="84" t="str">
        <f>VLOOKUP(C18,'Train Runs'!$A$13:$AE$10188,22,0)</f>
        <v>https://d0f6bd738d7f1b3e5a7ca70fe4ff75f0.us-east-1.aws.found.io/app/kibana#/discover/Steve-Slow-Train-Analysis-(2080s-and-2083s)?_g=(refreshInterval:(display:Off,pause:!f,section:0,value:0),time:(from:'2017-12-06T22:11:07-0700',mode:absolute,to:'2017-12-07T01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/stypes="*4063*201712070*" /stext=" 06:.+((SYSTEM_STATE.+slice.+state.+changed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43076.274143518516</v>
      </c>
      <c r="W18" s="45" t="str">
        <f t="shared" si="4"/>
        <v>EC</v>
      </c>
      <c r="X18" s="228">
        <f t="shared" si="5"/>
        <v>236</v>
      </c>
      <c r="Y18" s="238" t="str">
        <f t="shared" si="6"/>
        <v>echo {"issue":{"subject":"","project_id":79,"tracker_id":40,"status_id":1,"priority_id":2,"assigned_to_id":338,"start_date":"2017-12-06","description":"","custom_fields":[{"id":1,"name":"Subdivision","value":"EC"},{"id":4,"name":"Milepost","value":"19.0834"},{"id":17,"name":"Train ID","value":"236-06"},{"id":16,"name":"Locomotive ID","value":"4063"},{"id":130,"name":"Impact","value":""},{"id":150,"name":"Time of Event (Mountain Time)","value":"23:34:46"},{"id":151,"name":"Denver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/c/Users/stu/AppData/Local/Temp/OnboardLogs/RTDC4063 --include="*4063*201712070*"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"%USERPROFILE%\AppData\Local\Temp\OnboardLogs"\RTDC4063\*4063*201712070* &gt;&gt; 2017-12-06-SliceDisagreementCheck.txt</v>
      </c>
      <c r="AE18" s="144" t="str">
        <f t="shared" si="9"/>
        <v>start /low /b %USERPROFILE%\Documents\GitHub\eaglep3\Utilities\DownloadLogsFromS3.py --loco 4063 --day 2017-12-07</v>
      </c>
      <c r="AF18" s="1"/>
    </row>
    <row r="19" spans="1:32" x14ac:dyDescent="0.25">
      <c r="A19" s="31">
        <v>43075.182696759257</v>
      </c>
      <c r="B19" s="30" t="s">
        <v>457</v>
      </c>
      <c r="C19" s="30" t="s">
        <v>628</v>
      </c>
      <c r="D19" s="30" t="s">
        <v>49</v>
      </c>
      <c r="E19" s="30" t="s">
        <v>354</v>
      </c>
      <c r="F19" s="42">
        <v>0</v>
      </c>
      <c r="G19" s="42">
        <v>197</v>
      </c>
      <c r="H19" s="42">
        <v>28007</v>
      </c>
      <c r="I19" s="42">
        <v>28440</v>
      </c>
      <c r="J19" s="30" t="s">
        <v>355</v>
      </c>
      <c r="K19" s="42">
        <v>28054</v>
      </c>
      <c r="L19" s="131" t="s">
        <v>50</v>
      </c>
      <c r="M19" s="132">
        <f t="shared" si="0"/>
        <v>-203.80799999999999</v>
      </c>
      <c r="N19" s="133" t="str">
        <f>VLOOKUP(C19,'Trips&amp;Operators'!$C$1:$G$99911,5,FALSE)</f>
        <v>YORK EDGAR</v>
      </c>
      <c r="O19" s="174" t="s">
        <v>348</v>
      </c>
      <c r="P19" s="239" t="s">
        <v>447</v>
      </c>
      <c r="Q19" s="30"/>
      <c r="R19" s="81" t="str">
        <f>VLOOKUP(C19,'Train Runs'!$A$13:$AE$10188,31,0)</f>
        <v>aws s3 cp s3://rtdc.mdm.uploadarchive.raw/RTDC4032/ "%USERPROFILE%\AppData\Local\Temp\OnboardLogs"\RTDC4032\2017-12-06 --exclude "*" --recursive --include "*20171206*" &amp; "%USERPROFILE%\Documents\GitHub\mrs-test-scripts\Headless Mode &amp; Sideloading\WalkAndUnGZ.bat" "%USERPROFILE%\AppData\Local\Temp\OnboardLogs"\RTDC4032\2017-12-06 &amp; aws s3 cp s3://rtdc.mdm.uploadarchive.raw/RTDC4032/ "%USERPROFILE%\AppData\Local\Temp\OnboardLogs"\RTDC4032\2017-12-07 --exclude "*" --recursive --include "*20171207*" &amp; "%USERPROFILE%\Documents\GitHub\mrs-test-scripts\Headless Mode &amp; Sideloading\WalkAndUnGZ.bat" "%USERPROFILE%\AppData\Local\Temp\OnboardLogs"\RTDC4032\2017-12-07</v>
      </c>
      <c r="S19" s="84" t="str">
        <f>VLOOKUP(C19,'Train Runs'!$A$13:$AE$10188,22,0)</f>
        <v>https://d0f6bd738d7f1b3e5a7ca70fe4ff75f0.us-east-1.aws.found.io/app/kibana#/discover/Steve-Slow-Train-Analysis-(2080s-and-2083s)?_g=(refreshInterval:(display:Off,pause:!f,section:0,value:0),time:(from:'2017-12-06T03:09:27-0700',mode:absolute,to:'2017-12-06T05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 t="shared" si="1"/>
        <v>"C:\Program Files (x86)\AstroGrep\AstroGrep.exe" /e /r /s /spath="%USERPROFILE%\AppData\Local\Temp\OnboardLogs" /stypes="*4032*201712061*"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43075.474363425921</v>
      </c>
      <c r="W19" s="45" t="str">
        <f t="shared" si="4"/>
        <v>EC</v>
      </c>
      <c r="X19" s="228">
        <f t="shared" si="5"/>
        <v>105</v>
      </c>
      <c r="Y19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drop","project_id":79,"tracker_id":40,"status_id":1,"priority_id":2,"assigned_to_id":338,"start_date":"2017-12-06","description":"","custom_fields":[{"id":1,"name":"Subdivision","value":"EC"},{"id":4,"name":"Milepost","value":"2.8054"},{"id":17,"name":"Train ID","value":"105-06"},{"id":16,"name":"Locomotive ID","value":"4032"},{"id":130,"name":"Impact","value":""},{"id":150,"name":"Time of Event (Mountain Time)","value":"04:23:05"},{"id":151,"name":"Denver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/c/Users/stu/AppData/Local/Temp/OnboardLogs/RTDC4032 --include="*4032*201712061*"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"%USERPROFILE%\AppData\Local\Temp\OnboardLogs"\RTDC4032\*4032*201712061* &gt;&gt; 2017-12-06-SliceDisagreementCheck.txt</v>
      </c>
      <c r="AE19" s="144" t="str">
        <f t="shared" si="9"/>
        <v>start /low /b %USERPROFILE%\Documents\GitHub\eaglep3\Utilities\DownloadLogsFromS3.py --loco 4032 --day 2017-12-06</v>
      </c>
      <c r="AF19" s="1"/>
    </row>
    <row r="20" spans="1:32" x14ac:dyDescent="0.25">
      <c r="A20" s="31">
        <v>43075.39167824074</v>
      </c>
      <c r="B20" s="30" t="s">
        <v>373</v>
      </c>
      <c r="C20" s="30" t="s">
        <v>642</v>
      </c>
      <c r="D20" s="30" t="s">
        <v>49</v>
      </c>
      <c r="E20" s="30" t="s">
        <v>354</v>
      </c>
      <c r="F20" s="42">
        <v>0</v>
      </c>
      <c r="G20" s="42">
        <v>451</v>
      </c>
      <c r="H20" s="42">
        <v>35256</v>
      </c>
      <c r="I20" s="42">
        <v>36634</v>
      </c>
      <c r="J20" s="30" t="s">
        <v>355</v>
      </c>
      <c r="K20" s="42">
        <v>36645</v>
      </c>
      <c r="L20" s="131" t="s">
        <v>50</v>
      </c>
      <c r="M20" s="132">
        <f t="shared" si="0"/>
        <v>5.8079999999999998</v>
      </c>
      <c r="N20" s="133" t="str">
        <f>VLOOKUP(C20,'Trips&amp;Operators'!$C$1:$G$99911,5,FALSE)</f>
        <v>FORTUNATO FRANK</v>
      </c>
      <c r="O20" s="174" t="s">
        <v>348</v>
      </c>
      <c r="P20" s="239" t="s">
        <v>447</v>
      </c>
      <c r="Q20" s="30"/>
      <c r="R20" s="81" t="str">
        <f>VLOOKUP(C20,'Train Runs'!$A$13:$AE$10188,31,0)</f>
        <v>aws s3 cp s3://rtdc.mdm.uploadarchive.raw/RTDC4062/ "%USERPROFILE%\AppData\Local\Temp\OnboardLogs"\RTDC4062\2017-12-06 --exclude "*" --recursive --include "*20171206*" &amp; "%USERPROFILE%\Documents\GitHub\mrs-test-scripts\Headless Mode &amp; Sideloading\WalkAndUnGZ.bat" "%USERPROFILE%\AppData\Local\Temp\OnboardLogs"\RTDC4062\2017-12-06 &amp; aws s3 cp s3://rtdc.mdm.uploadarchive.raw/RTDC4062/ "%USERPROFILE%\AppData\Local\Temp\OnboardLogs"\RTDC4062\2017-12-07 --exclude "*" --recursive --include "*20171207*" &amp; "%USERPROFILE%\Documents\GitHub\mrs-test-scripts\Headless Mode &amp; Sideloading\WalkAndUnGZ.bat" "%USERPROFILE%\AppData\Local\Temp\OnboardLogs"\RTDC4062\2017-12-07</v>
      </c>
      <c r="S20" s="84" t="str">
        <f>VLOOKUP(C20,'Train Runs'!$A$13:$AE$10188,22,0)</f>
        <v>https://d0f6bd738d7f1b3e5a7ca70fe4ff75f0.us-east-1.aws.found.io/app/kibana#/discover/Steve-Slow-Train-Analysis-(2080s-and-2083s)?_g=(refreshInterval:(display:Off,pause:!f,section:0,value:0),time:(from:'2017-12-06T08:08:15-0700',mode:absolute,to:'2017-12-06T10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0" s="86" t="str">
        <f t="shared" si="1"/>
        <v>"C:\Program Files (x86)\AstroGrep\AstroGrep.exe" /e /r /s /spath="%USERPROFILE%\AppData\Local\Temp\OnboardLogs" /stypes="*4062*201712061*"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4062</v>
      </c>
      <c r="V20" s="31">
        <f t="shared" si="3"/>
        <v>43075.683344907404</v>
      </c>
      <c r="W20" s="45" t="str">
        <f t="shared" si="4"/>
        <v>EC</v>
      </c>
      <c r="X20" s="228">
        <f t="shared" si="5"/>
        <v>145</v>
      </c>
      <c r="Y20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drop","project_id":79,"tracker_id":40,"status_id":1,"priority_id":2,"assigned_to_id":338,"start_date":"2017-12-06","description":"","custom_fields":[{"id":1,"name":"Subdivision","value":"EC"},{"id":4,"name":"Milepost","value":"3.6645"},{"id":17,"name":"Train ID","value":"145-06"},{"id":16,"name":"Locomotive ID","value":"4062"},{"id":130,"name":"Impact","value":""},{"id":150,"name":"Time of Event (Mountain Time)","value":"09:24:01"},{"id":151,"name":"Denver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/c/Users/stu/AppData/Local/Temp/OnboardLogs/RTDC4062 --include="*4062*201712061*"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"%USERPROFILE%\AppData\Local\Temp\OnboardLogs"\RTDC4062\*4062*201712061* &gt;&gt; 2017-12-06-SliceDisagreementCheck.txt</v>
      </c>
      <c r="AE20" s="144" t="str">
        <f t="shared" si="9"/>
        <v>start /low /b %USERPROFILE%\Documents\GitHub\eaglep3\Utilities\DownloadLogsFromS3.py --loco 4062 --day 2017-12-06</v>
      </c>
      <c r="AF20" s="1"/>
    </row>
    <row r="21" spans="1:32" x14ac:dyDescent="0.25">
      <c r="A21" s="31">
        <v>43075.523194444446</v>
      </c>
      <c r="B21" s="30" t="s">
        <v>456</v>
      </c>
      <c r="C21" s="30" t="s">
        <v>649</v>
      </c>
      <c r="D21" s="30" t="s">
        <v>49</v>
      </c>
      <c r="E21" s="30" t="s">
        <v>354</v>
      </c>
      <c r="F21" s="42">
        <v>0</v>
      </c>
      <c r="G21" s="42">
        <v>552</v>
      </c>
      <c r="H21" s="42">
        <v>76996</v>
      </c>
      <c r="I21" s="42">
        <v>74999</v>
      </c>
      <c r="J21" s="30" t="s">
        <v>355</v>
      </c>
      <c r="K21" s="42">
        <v>75579</v>
      </c>
      <c r="L21" s="131" t="s">
        <v>51</v>
      </c>
      <c r="M21" s="132">
        <f t="shared" si="0"/>
        <v>-306.24</v>
      </c>
      <c r="N21" s="133" t="str">
        <f>VLOOKUP(C21,'Trips&amp;Operators'!$C$1:$G$99911,5,FALSE)</f>
        <v>BRUDER RICHARD</v>
      </c>
      <c r="O21" s="174" t="s">
        <v>348</v>
      </c>
      <c r="P21" s="239" t="s">
        <v>447</v>
      </c>
      <c r="Q21" s="30"/>
      <c r="R21" s="81" t="str">
        <f>VLOOKUP(C21,'Train Runs'!$A$13:$AE$10188,31,0)</f>
        <v>aws s3 cp s3://rtdc.mdm.uploadarchive.raw/RTDC4031/ "%USERPROFILE%\AppData\Local\Temp\OnboardLogs"\RTDC4031\2017-12-06 --exclude "*" --recursive --include "*20171206*" &amp; "%USERPROFILE%\Documents\GitHub\mrs-test-scripts\Headless Mode &amp; Sideloading\WalkAndUnGZ.bat" "%USERPROFILE%\AppData\Local\Temp\OnboardLogs"\RTDC4031\2017-12-06 &amp; aws s3 cp s3://rtdc.mdm.uploadarchive.raw/RTDC4031/ "%USERPROFILE%\AppData\Local\Temp\OnboardLogs"\RTDC4031\2017-12-07 --exclude "*" --recursive --include "*20171207*" &amp; "%USERPROFILE%\Documents\GitHub\mrs-test-scripts\Headless Mode &amp; Sideloading\WalkAndUnGZ.bat" "%USERPROFILE%\AppData\Local\Temp\OnboardLogs"\RTDC4031\2017-12-07</v>
      </c>
      <c r="S21" s="84" t="str">
        <f>VLOOKUP(C21,'Train Runs'!$A$13:$AE$10188,22,0)</f>
        <v>https://d0f6bd738d7f1b3e5a7ca70fe4ff75f0.us-east-1.aws.found.io/app/kibana#/discover/Steve-Slow-Train-Analysis-(2080s-and-2083s)?_g=(refreshInterval:(display:Off,pause:!f,section:0,value:0),time:(from:'2017-12-06T11:07:34-0700',mode:absolute,to:'2017-12-06T13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/stypes="*4031*201712061*"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43075.81486111111</v>
      </c>
      <c r="W21" s="45" t="str">
        <f t="shared" si="4"/>
        <v>EC</v>
      </c>
      <c r="X21" s="228">
        <f t="shared" si="5"/>
        <v>162</v>
      </c>
      <c r="Y21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drop","project_id":79,"tracker_id":40,"status_id":1,"priority_id":2,"assigned_to_id":338,"start_date":"2017-12-06","description":"","custom_fields":[{"id":1,"name":"Subdivision","value":"EC"},{"id":4,"name":"Milepost","value":"7.5579"},{"id":17,"name":"Train ID","value":"162-06"},{"id":16,"name":"Locomotive ID","value":"4031"},{"id":130,"name":"Impact","value":""},{"id":150,"name":"Time of Event (Mountain Time)","value":"12:33:24"},{"id":151,"name":"Denver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/c/Users/stu/AppData/Local/Temp/OnboardLogs/RTDC4031 --include="*4031*201712061*"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"%USERPROFILE%\AppData\Local\Temp\OnboardLogs"\RTDC4031\*4031*201712061* &gt;&gt; 2017-12-06-SliceDisagreementCheck.txt</v>
      </c>
      <c r="AE21" s="144" t="str">
        <f t="shared" si="9"/>
        <v>start /low /b %USERPROFILE%\Documents\GitHub\eaglep3\Utilities\DownloadLogsFromS3.py --loco 4031 --day 2017-12-06</v>
      </c>
      <c r="AF21" s="1"/>
    </row>
    <row r="22" spans="1:32" x14ac:dyDescent="0.25">
      <c r="A22" s="31">
        <v>43075.231736111113</v>
      </c>
      <c r="B22" s="30" t="s">
        <v>547</v>
      </c>
      <c r="C22" s="30" t="s">
        <v>631</v>
      </c>
      <c r="D22" s="30" t="s">
        <v>49</v>
      </c>
      <c r="E22" s="30" t="s">
        <v>354</v>
      </c>
      <c r="F22" s="42">
        <v>0</v>
      </c>
      <c r="G22" s="42">
        <v>598</v>
      </c>
      <c r="H22" s="42">
        <v>187075</v>
      </c>
      <c r="I22" s="42">
        <v>184793</v>
      </c>
      <c r="J22" s="30" t="s">
        <v>355</v>
      </c>
      <c r="K22" s="42">
        <v>182920</v>
      </c>
      <c r="L22" s="131" t="s">
        <v>51</v>
      </c>
      <c r="M22" s="132">
        <f t="shared" si="0"/>
        <v>988.94399999999996</v>
      </c>
      <c r="N22" s="133" t="str">
        <f>VLOOKUP(C22,'Trips&amp;Operators'!$C$1:$G$99911,5,FALSE)</f>
        <v>BEAM ROSS</v>
      </c>
      <c r="O22" s="174" t="s">
        <v>348</v>
      </c>
      <c r="P22" s="239" t="s">
        <v>447</v>
      </c>
      <c r="Q22" s="30"/>
      <c r="R22" s="81" t="str">
        <f>VLOOKUP(C22,'Train Runs'!$A$13:$AE$10188,31,0)</f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S22" s="84" t="str">
        <f>VLOOKUP(C22,'Train Runs'!$A$13:$AE$10188,22,0)</f>
        <v>https://d0f6bd738d7f1b3e5a7ca70fe4ff75f0.us-east-1.aws.found.io/app/kibana#/discover/Steve-Slow-Train-Analysis-(2080s-and-2083s)?_g=(refreshInterval:(display:Off,pause:!f,section:0,value:0),time:(from:'2017-12-06T04:06:40-0700',mode:absolute,to:'2017-12-06T06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/stypes="*4003*201712061*"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43075.523402777777</v>
      </c>
      <c r="W22" s="45" t="str">
        <f t="shared" si="4"/>
        <v>EC</v>
      </c>
      <c r="X22" s="228">
        <f t="shared" si="5"/>
        <v>108</v>
      </c>
      <c r="Y22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drop","project_id":79,"tracker_id":40,"status_id":1,"priority_id":2,"assigned_to_id":338,"start_date":"2017-12-06","description":"","custom_fields":[{"id":1,"name":"Subdivision","value":"EC"},{"id":4,"name":"Milepost","value":"18.292"},{"id":17,"name":"Train ID","value":"108-06"},{"id":16,"name":"Locomotive ID","value":"4003"},{"id":130,"name":"Impact","value":""},{"id":150,"name":"Time of Event (Mountain Time)","value":"05:33:42"},{"id":151,"name":"Denver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/c/Users/stu/AppData/Local/Temp/OnboardLogs/RTDC4003 --include="*4003*201712061*"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"%USERPROFILE%\AppData\Local\Temp\OnboardLogs"\RTDC4003\*4003*201712061* &gt;&gt; 2017-12-06-SliceDisagreementCheck.txt</v>
      </c>
      <c r="AE22" s="144" t="str">
        <f t="shared" si="9"/>
        <v>start /low /b %USERPROFILE%\Documents\GitHub\eaglep3\Utilities\DownloadLogsFromS3.py --loco 4003 --day 2017-12-06</v>
      </c>
      <c r="AF22" s="1"/>
    </row>
    <row r="23" spans="1:32" x14ac:dyDescent="0.25">
      <c r="A23" s="31">
        <v>43075.245034722226</v>
      </c>
      <c r="B23" s="30" t="s">
        <v>547</v>
      </c>
      <c r="C23" s="30" t="s">
        <v>631</v>
      </c>
      <c r="D23" s="30" t="s">
        <v>49</v>
      </c>
      <c r="E23" s="30" t="s">
        <v>508</v>
      </c>
      <c r="F23" s="42">
        <v>0</v>
      </c>
      <c r="G23" s="42">
        <v>333</v>
      </c>
      <c r="H23" s="42">
        <v>59552</v>
      </c>
      <c r="I23" s="42">
        <v>58791</v>
      </c>
      <c r="J23" s="30" t="s">
        <v>509</v>
      </c>
      <c r="K23" s="42">
        <v>57801</v>
      </c>
      <c r="L23" s="131" t="s">
        <v>51</v>
      </c>
      <c r="M23" s="132">
        <f t="shared" si="0"/>
        <v>522.72</v>
      </c>
      <c r="N23" s="133" t="str">
        <f>VLOOKUP(C23,'Trips&amp;Operators'!$C$1:$G$99911,5,FALSE)</f>
        <v>BEAM ROSS</v>
      </c>
      <c r="O23" s="174" t="s">
        <v>348</v>
      </c>
      <c r="P23" s="239" t="s">
        <v>447</v>
      </c>
      <c r="Q23" s="30"/>
      <c r="R23" s="81" t="str">
        <f>VLOOKUP(C23,'Train Runs'!$A$13:$AE$10188,31,0)</f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S23" s="84" t="str">
        <f>VLOOKUP(C23,'Train Runs'!$A$13:$AE$10188,22,0)</f>
        <v>https://d0f6bd738d7f1b3e5a7ca70fe4ff75f0.us-east-1.aws.found.io/app/kibana#/discover/Steve-Slow-Train-Analysis-(2080s-and-2083s)?_g=(refreshInterval:(display:Off,pause:!f,section:0,value:0),time:(from:'2017-12-06T04:06:40-0700',mode:absolute,to:'2017-12-06T06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6" t="str">
        <f t="shared" si="1"/>
        <v>"C:\Program Files (x86)\AstroGrep\AstroGrep.exe" /e /r /s /spath="%USERPROFILE%\AppData\Local\Temp\OnboardLogs" /stypes="*4003*201712061*"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4003</v>
      </c>
      <c r="V23" s="31">
        <f t="shared" si="3"/>
        <v>43075.53670138889</v>
      </c>
      <c r="W23" s="45" t="str">
        <f t="shared" si="4"/>
        <v>EC</v>
      </c>
      <c r="X23" s="228">
        <f t="shared" si="5"/>
        <v>108</v>
      </c>
      <c r="Y23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drop","project_id":79,"tracker_id":40,"status_id":1,"priority_id":2,"assigned_to_id":338,"start_date":"2017-12-06","description":"","custom_fields":[{"id":1,"name":"Subdivision","value":"EC"},{"id":4,"name":"Milepost","value":"5.7801"},{"id":17,"name":"Train ID","value":"108-06"},{"id":16,"name":"Locomotive ID","value":"4003"},{"id":130,"name":"Impact","value":""},{"id":150,"name":"Time of Event (Mountain Time)","value":"05:52:51"},{"id":151,"name":"Denver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/c/Users/stu/AppData/Local/Temp/OnboardLogs/RTDC4003 --include="*4003*201712061*"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"%USERPROFILE%\AppData\Local\Temp\OnboardLogs"\RTDC4003\*4003*201712061* &gt;&gt; 2017-12-06-SliceDisagreementCheck.txt</v>
      </c>
      <c r="AE23" s="144" t="str">
        <f t="shared" si="9"/>
        <v>start /low /b %USERPROFILE%\Documents\GitHub\eaglep3\Utilities\DownloadLogsFromS3.py --loco 4003 --day 2017-12-06</v>
      </c>
      <c r="AF23" s="1"/>
    </row>
    <row r="24" spans="1:32" x14ac:dyDescent="0.25">
      <c r="A24" s="31">
        <v>43075.346203703702</v>
      </c>
      <c r="B24" s="30" t="s">
        <v>637</v>
      </c>
      <c r="C24" s="30" t="s">
        <v>638</v>
      </c>
      <c r="D24" s="30" t="s">
        <v>49</v>
      </c>
      <c r="E24" s="30" t="s">
        <v>508</v>
      </c>
      <c r="F24" s="42">
        <v>0</v>
      </c>
      <c r="G24" s="42">
        <v>798</v>
      </c>
      <c r="H24" s="42">
        <v>74456</v>
      </c>
      <c r="I24" s="42">
        <v>70205</v>
      </c>
      <c r="J24" s="30" t="s">
        <v>509</v>
      </c>
      <c r="K24" s="42">
        <v>69363</v>
      </c>
      <c r="L24" s="131" t="s">
        <v>51</v>
      </c>
      <c r="M24" s="132">
        <f t="shared" si="0"/>
        <v>444.57600000000002</v>
      </c>
      <c r="N24" s="133" t="str">
        <f>VLOOKUP(C24,'Trips&amp;Operators'!$C$1:$G$99911,5,FALSE)</f>
        <v>YANAI IAN</v>
      </c>
      <c r="O24" s="174" t="s">
        <v>348</v>
      </c>
      <c r="P24" s="239" t="s">
        <v>447</v>
      </c>
      <c r="Q24" s="30"/>
      <c r="R24" s="81" t="str">
        <f>VLOOKUP(C24,'Train Runs'!$A$13:$AE$10188,31,0)</f>
        <v>aws s3 cp s3://rtdc.mdm.uploadarchive.raw/RTDC4033/ "%USERPROFILE%\AppData\Local\Temp\OnboardLogs"\RTDC4033\2017-12-06 --exclude "*" --recursive --include "*20171206*" &amp; "%USERPROFILE%\Documents\GitHub\mrs-test-scripts\Headless Mode &amp; Sideloading\WalkAndUnGZ.bat" "%USERPROFILE%\AppData\Local\Temp\OnboardLogs"\RTDC4033\2017-12-06 &amp; 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</v>
      </c>
      <c r="S24" s="84" t="str">
        <f>VLOOKUP(C24,'Train Runs'!$A$13:$AE$10188,22,0)</f>
        <v>https://d0f6bd738d7f1b3e5a7ca70fe4ff75f0.us-east-1.aws.found.io/app/kibana#/discover/Steve-Slow-Train-Analysis-(2080s-and-2083s)?_g=(refreshInterval:(display:Off,pause:!f,section:0,value:0),time:(from:'2017-12-06T06:37:38-0700',mode:absolute,to:'2017-12-06T09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4" s="86" t="str">
        <f t="shared" si="1"/>
        <v>"C:\Program Files (x86)\AstroGrep\AstroGrep.exe" /e /r /s /spath="%USERPROFILE%\AppData\Local\Temp\OnboardLogs" /stypes="*4033*201712061*"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4033</v>
      </c>
      <c r="V24" s="31">
        <f t="shared" si="3"/>
        <v>43075.637870370367</v>
      </c>
      <c r="W24" s="45" t="str">
        <f t="shared" si="4"/>
        <v>EC</v>
      </c>
      <c r="X24" s="228">
        <f t="shared" si="5"/>
        <v>128</v>
      </c>
      <c r="Y24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drop","project_id":79,"tracker_id":40,"status_id":1,"priority_id":2,"assigned_to_id":338,"start_date":"2017-12-06","description":"","custom_fields":[{"id":1,"name":"Subdivision","value":"EC"},{"id":4,"name":"Milepost","value":"6.9363"},{"id":17,"name":"Train ID","value":"128-06"},{"id":16,"name":"Locomotive ID","value":"4033"},{"id":130,"name":"Impact","value":""},{"id":150,"name":"Time of Event (Mountain Time)","value":"08:18:32"},{"id":151,"name":"Denver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/c/Users/stu/AppData/Local/Temp/OnboardLogs/RTDC4033 --include="*4033*201712061*"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"%USERPROFILE%\AppData\Local\Temp\OnboardLogs"\RTDC4033\*4033*201712061* &gt;&gt; 2017-12-06-SliceDisagreementCheck.txt</v>
      </c>
      <c r="AE24" s="144" t="str">
        <f t="shared" si="9"/>
        <v>start /low /b %USERPROFILE%\Documents\GitHub\eaglep3\Utilities\DownloadLogsFromS3.py --loco 4033 --day 2017-12-06</v>
      </c>
      <c r="AF24" s="1"/>
    </row>
    <row r="25" spans="1:32" x14ac:dyDescent="0.25">
      <c r="A25" s="31">
        <v>43075.312361111108</v>
      </c>
      <c r="B25" s="30" t="s">
        <v>547</v>
      </c>
      <c r="C25" s="30" t="s">
        <v>635</v>
      </c>
      <c r="D25" s="30" t="s">
        <v>49</v>
      </c>
      <c r="E25" s="30" t="s">
        <v>508</v>
      </c>
      <c r="F25" s="42">
        <v>0</v>
      </c>
      <c r="G25" s="42">
        <v>552</v>
      </c>
      <c r="H25" s="42">
        <v>107158</v>
      </c>
      <c r="I25" s="42">
        <v>104739</v>
      </c>
      <c r="J25" s="30" t="s">
        <v>509</v>
      </c>
      <c r="K25" s="42">
        <v>104776</v>
      </c>
      <c r="L25" s="131" t="s">
        <v>51</v>
      </c>
      <c r="M25" s="132">
        <f t="shared" si="0"/>
        <v>-19.536000000000001</v>
      </c>
      <c r="N25" s="133" t="str">
        <f>VLOOKUP(C25,'Trips&amp;Operators'!$C$1:$G$99911,5,FALSE)</f>
        <v>BEAM ROSS</v>
      </c>
      <c r="O25" s="174" t="s">
        <v>348</v>
      </c>
      <c r="P25" s="239" t="s">
        <v>447</v>
      </c>
      <c r="Q25" s="30"/>
      <c r="R25" s="81" t="str">
        <f>VLOOKUP(C25,'Train Runs'!$A$13:$AE$10188,31,0)</f>
        <v>aws s3 cp s3://rtdc.mdm.uploadarchive.raw/RTDC4003/ "%USERPROFILE%\AppData\Local\Temp\OnboardLogs"\RTDC4003\2017-12-06 --exclude "*" --recursive --include "*20171206*" &amp; "%USERPROFILE%\Documents\GitHub\mrs-test-scripts\Headless Mode &amp; Sideloading\WalkAndUnGZ.bat" "%USERPROFILE%\AppData\Local\Temp\OnboardLogs"\RTDC4003\2017-12-06 &amp; aws s3 cp s3://rtdc.mdm.uploadarchive.raw/RTDC4003/ "%USERPROFILE%\AppData\Local\Temp\OnboardLogs"\RTDC4003\2017-12-07 --exclude "*" --recursive --include "*20171207*" &amp; "%USERPROFILE%\Documents\GitHub\mrs-test-scripts\Headless Mode &amp; Sideloading\WalkAndUnGZ.bat" "%USERPROFILE%\AppData\Local\Temp\OnboardLogs"\RTDC4003\2017-12-07</v>
      </c>
      <c r="S25" s="84" t="str">
        <f>VLOOKUP(C25,'Train Runs'!$A$13:$AE$10188,22,0)</f>
        <v>https://d0f6bd738d7f1b3e5a7ca70fe4ff75f0.us-east-1.aws.found.io/app/kibana#/discover/Steve-Slow-Train-Analysis-(2080s-and-2083s)?_g=(refreshInterval:(display:Off,pause:!f,section:0,value:0),time:(from:'2017-12-06T05:52:08-0700',mode:absolute,to:'2017-12-06T08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 t="shared" si="1"/>
        <v>"C:\Program Files (x86)\AstroGrep\AstroGrep.exe" /e /r /s /spath="%USERPROFILE%\AppData\Local\Temp\OnboardLogs" /stypes="*4003*201712061*"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4003</v>
      </c>
      <c r="V25" s="31">
        <f t="shared" si="3"/>
        <v>43075.604027777772</v>
      </c>
      <c r="W25" s="45" t="str">
        <f t="shared" si="4"/>
        <v>EC</v>
      </c>
      <c r="X25" s="228">
        <f t="shared" si="5"/>
        <v>122</v>
      </c>
      <c r="Y25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drop","project_id":79,"tracker_id":40,"status_id":1,"priority_id":2,"assigned_to_id":338,"start_date":"2017-12-06","description":"","custom_fields":[{"id":1,"name":"Subdivision","value":"EC"},{"id":4,"name":"Milepost","value":"10.4776"},{"id":17,"name":"Train ID","value":"122-06"},{"id":16,"name":"Locomotive ID","value":"4003"},{"id":130,"name":"Impact","value":""},{"id":150,"name":"Time of Event (Mountain Time)","value":"07:29:48"},{"id":151,"name":"Denver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/c/Users/stu/AppData/Local/Temp/OnboardLogs/RTDC4003 --include="*4003*201712061*"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"%USERPROFILE%\AppData\Local\Temp\OnboardLogs"\RTDC4003\*4003*201712061* &gt;&gt; 2017-12-06-SliceDisagreementCheck.txt</v>
      </c>
      <c r="AE25" s="144" t="str">
        <f t="shared" si="9"/>
        <v>start /low /b %USERPROFILE%\Documents\GitHub\eaglep3\Utilities\DownloadLogsFromS3.py --loco 4003 --day 2017-12-06</v>
      </c>
      <c r="AF25" s="1"/>
    </row>
    <row r="26" spans="1:32" x14ac:dyDescent="0.25">
      <c r="A26" s="31">
        <v>43075.88385416667</v>
      </c>
      <c r="B26" s="30" t="s">
        <v>640</v>
      </c>
      <c r="C26" s="30" t="s">
        <v>658</v>
      </c>
      <c r="D26" s="30" t="s">
        <v>49</v>
      </c>
      <c r="E26" s="30" t="s">
        <v>183</v>
      </c>
      <c r="F26" s="42">
        <v>0</v>
      </c>
      <c r="G26" s="42">
        <v>194</v>
      </c>
      <c r="H26" s="42">
        <v>10663</v>
      </c>
      <c r="I26" s="42">
        <v>10877</v>
      </c>
      <c r="J26" s="30" t="s">
        <v>184</v>
      </c>
      <c r="K26" s="42">
        <v>10716</v>
      </c>
      <c r="L26" s="131" t="s">
        <v>50</v>
      </c>
      <c r="M26" s="132">
        <f t="shared" si="0"/>
        <v>-85.007999999999996</v>
      </c>
      <c r="N26" s="133" t="str">
        <f>VLOOKUP(C26,'Trips&amp;Operators'!$C$1:$G$99911,5,FALSE)</f>
        <v>STAMBAUGH JAMES</v>
      </c>
      <c r="O26" s="174" t="s">
        <v>178</v>
      </c>
      <c r="P26" s="239" t="s">
        <v>549</v>
      </c>
      <c r="Q26" s="30"/>
      <c r="R26" s="81" t="str">
        <f>VLOOKUP(C26,'Train Runs'!$A$13:$AE$10188,31,0)</f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S26" s="84" t="str">
        <f>VLOOKUP(C26,'Train Runs'!$A$13:$AE$10188,22,0)</f>
        <v>https://d0f6bd738d7f1b3e5a7ca70fe4ff75f0.us-east-1.aws.found.io/app/kibana#/discover/Steve-Slow-Train-Analysis-(2080s-and-2083s)?_g=(refreshInterval:(display:Off,pause:!f,section:0,value:0),time:(from:'2017-12-06T20:00:27-0700',mode:absolute,to:'2017-12-06T22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 t="shared" si="1"/>
        <v>"C:\Program Files (x86)\AstroGrep\AstroGrep.exe" /e /r /s /spath="%USERPROFILE%\AppData\Local\Temp\OnboardLogs" /stypes="*4050*201712070*"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43076.175520833334</v>
      </c>
      <c r="W26" s="45" t="str">
        <f t="shared" si="4"/>
        <v>NW</v>
      </c>
      <c r="X26" s="228">
        <f t="shared" si="5"/>
        <v>845</v>
      </c>
      <c r="Y26" s="238" t="str">
        <f t="shared" si="6"/>
        <v>echo {"issue":{"subject":"Early Arrival","project_id":79,"tracker_id":40,"status_id":1,"priority_id":2,"assigned_to_id":338,"start_date":"2017-12-06","description":"","custom_fields":[{"id":1,"name":"Subdivision","value":"NW"},{"id":4,"name":"Milepost","value":"1.0716"},{"id":17,"name":"Train ID","value":"845-06"},{"id":16,"name":"Locomotive ID","value":"4050"},{"id":130,"name":"Impact","value":""},{"id":150,"name":"Time of Event (Mountain Time)","value":"21:12:45"},{"id":151,"name":"Denver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/c/Users/stu/AppData/Local/Temp/OnboardLogs/RTDC4050 --include="*4050*201712070*"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"%USERPROFILE%\AppData\Local\Temp\OnboardLogs"\RTDC4050\*4050*201712070* &gt;&gt; 2017-12-06-SliceDisagreementCheck.txt</v>
      </c>
      <c r="AE26" s="144" t="str">
        <f t="shared" si="9"/>
        <v>start /low /b %USERPROFILE%\Documents\GitHub\eaglep3\Utilities\DownloadLogsFromS3.py --loco 4050 --day 2017-12-07</v>
      </c>
      <c r="AF26" s="1"/>
    </row>
    <row r="27" spans="1:32" x14ac:dyDescent="0.25">
      <c r="A27" s="31">
        <v>43075.385613425926</v>
      </c>
      <c r="B27" s="30" t="s">
        <v>640</v>
      </c>
      <c r="C27" s="30" t="s">
        <v>641</v>
      </c>
      <c r="D27" s="30" t="s">
        <v>49</v>
      </c>
      <c r="E27" s="30" t="s">
        <v>508</v>
      </c>
      <c r="F27" s="42">
        <v>0</v>
      </c>
      <c r="G27" s="42">
        <v>303</v>
      </c>
      <c r="H27" s="42">
        <v>22060</v>
      </c>
      <c r="I27" s="42">
        <v>22900</v>
      </c>
      <c r="J27" s="30" t="s">
        <v>509</v>
      </c>
      <c r="K27" s="42">
        <v>22314</v>
      </c>
      <c r="L27" s="131" t="s">
        <v>50</v>
      </c>
      <c r="M27" s="132">
        <f t="shared" si="0"/>
        <v>-309.40800000000002</v>
      </c>
      <c r="N27" s="133" t="str">
        <f>VLOOKUP(C27,'Trips&amp;Operators'!$C$1:$G$99911,5,FALSE)</f>
        <v>ROCHA YAOTL</v>
      </c>
      <c r="O27" s="174" t="s">
        <v>348</v>
      </c>
      <c r="P27" s="239" t="s">
        <v>447</v>
      </c>
      <c r="Q27" s="30"/>
      <c r="R27" s="81" t="str">
        <f>VLOOKUP(C27,'Train Runs'!$A$13:$AE$10188,31,0)</f>
        <v>aws s3 cp s3://rtdc.mdm.uploadarchive.raw/RTDC4050/ "%USERPROFILE%\AppData\Local\Temp\OnboardLogs"\RTDC4050\2017-12-06 --exclude "*" --recursive --include "*20171206*" &amp; "%USERPROFILE%\Documents\GitHub\mrs-test-scripts\Headless Mode &amp; Sideloading\WalkAndUnGZ.bat" "%USERPROFILE%\AppData\Local\Temp\OnboardLogs"\RTDC4050\2017-12-06 &amp; aws s3 cp s3://rtdc.mdm.uploadarchive.raw/RTDC4050/ "%USERPROFILE%\AppData\Local\Temp\OnboardLogs"\RTDC4050\2017-12-07 --exclude "*" --recursive --include "*20171207*" &amp; "%USERPROFILE%\Documents\GitHub\mrs-test-scripts\Headless Mode &amp; Sideloading\WalkAndUnGZ.bat" "%USERPROFILE%\AppData\Local\Temp\OnboardLogs"\RTDC4050\2017-12-07</v>
      </c>
      <c r="S27" s="84" t="str">
        <f>VLOOKUP(C27,'Train Runs'!$A$13:$AE$10188,22,0)</f>
        <v>https://d0f6bd738d7f1b3e5a7ca70fe4ff75f0.us-east-1.aws.found.io/app/kibana#/discover/Steve-Slow-Train-Analysis-(2080s-and-2083s)?_g=(refreshInterval:(display:Off,pause:!f,section:0,value:0),time:(from:'2017-12-06T07:57:04-0700',mode:absolute,to:'2017-12-06T10:15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/stypes="*4050*201712061*"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43075.67728009259</v>
      </c>
      <c r="W27" s="45" t="str">
        <f t="shared" si="4"/>
        <v>NW</v>
      </c>
      <c r="X27" s="228">
        <f t="shared" si="5"/>
        <v>813</v>
      </c>
      <c r="Y27" s="238" t="str">
        <f t="shared" si="6"/>
        <v>echo {"issue":{"subject":"Wi-MAX data drop","project_id":79,"tracker_id":40,"status_id":1,"priority_id":2,"assigned_to_id":338,"start_date":"2017-12-06","description":"","custom_fields":[{"id":1,"name":"Subdivision","value":"NW"},{"id":4,"name":"Milepost","value":"2.2314"},{"id":17,"name":"Train ID","value":"813-06"},{"id":16,"name":"Locomotive ID","value":"4050"},{"id":130,"name":"Impact","value":""},{"id":150,"name":"Time of Event (Mountain Time)","value":"09:15:17"},{"id":151,"name":"Denver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/c/Users/stu/AppData/Local/Temp/OnboardLogs/RTDC4050 --include="*4050*201712061*"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"%USERPROFILE%\AppData\Local\Temp\OnboardLogs"\RTDC4050\*4050*201712061* &gt;&gt; 2017-12-06-SliceDisagreementCheck.txt</v>
      </c>
      <c r="AE27" s="144" t="str">
        <f t="shared" si="9"/>
        <v>start /low /b %USERPROFILE%\Documents\GitHub\eaglep3\Utilities\DownloadLogsFromS3.py --loco 4050 --day 2017-12-06</v>
      </c>
      <c r="AF27" s="1"/>
    </row>
    <row r="28" spans="1:32" x14ac:dyDescent="0.25">
      <c r="A28" s="31">
        <v>43075.221145833333</v>
      </c>
      <c r="B28" s="30" t="s">
        <v>375</v>
      </c>
      <c r="C28" s="30" t="s">
        <v>629</v>
      </c>
      <c r="D28" s="30" t="s">
        <v>95</v>
      </c>
      <c r="E28" s="30" t="s">
        <v>508</v>
      </c>
      <c r="F28" s="42">
        <v>0</v>
      </c>
      <c r="G28" s="42">
        <v>65</v>
      </c>
      <c r="H28" s="42">
        <v>23322</v>
      </c>
      <c r="I28" s="42">
        <v>23279</v>
      </c>
      <c r="J28" s="30" t="s">
        <v>509</v>
      </c>
      <c r="K28" s="42">
        <v>24235</v>
      </c>
      <c r="L28" s="131" t="s">
        <v>51</v>
      </c>
      <c r="M28" s="132">
        <f t="shared" si="0"/>
        <v>-504.76799999999997</v>
      </c>
      <c r="N28" s="133" t="str">
        <f>VLOOKUP(C28,'Trips&amp;Operators'!$C$1:$G$99911,5,FALSE)</f>
        <v>FORTUNATO FRANK</v>
      </c>
      <c r="O28" s="174" t="s">
        <v>178</v>
      </c>
      <c r="P28" s="239"/>
      <c r="Q28" s="30"/>
      <c r="R28" s="81" t="str">
        <f>VLOOKUP(C28,'Train Runs'!$A$13:$AE$10188,31,0)</f>
        <v>aws s3 cp s3://rtdc.mdm.uploadarchive.raw/RTDC4061/ "%USERPROFILE%\AppData\Local\Temp\OnboardLogs"\RTDC4061\2017-12-06 --exclude "*" --recursive --include "*20171206*" &amp; "%USERPROFILE%\Documents\GitHub\mrs-test-scripts\Headless Mode &amp; Sideloading\WalkAndUnGZ.bat" "%USERPROFILE%\AppData\Local\Temp\OnboardLogs"\RTDC4061\2017-12-06 &amp; aws s3 cp s3://rtdc.mdm.uploadarchive.raw/RTDC4061/ "%USERPROFILE%\AppData\Local\Temp\OnboardLogs"\RTDC4061\2017-12-07 --exclude "*" --recursive --include "*20171207*" &amp; "%USERPROFILE%\Documents\GitHub\mrs-test-scripts\Headless Mode &amp; Sideloading\WalkAndUnGZ.bat" "%USERPROFILE%\AppData\Local\Temp\OnboardLogs"\RTDC4061\2017-12-07</v>
      </c>
      <c r="S28" s="84" t="str">
        <f>VLOOKUP(C28,'Train Runs'!$A$13:$AE$10188,22,0)</f>
        <v>https://d0f6bd738d7f1b3e5a7ca70fe4ff75f0.us-east-1.aws.found.io/app/kibana#/discover/Steve-Slow-Train-Analysis-(2080s-and-2083s)?_g=(refreshInterval:(display:Off,pause:!f,section:0,value:0),time:(from:'2017-12-06T04:14:03-0700',mode:absolute,to:'2017-12-06T06:27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8" s="86" t="str">
        <f t="shared" si="1"/>
        <v>"C:\Program Files (x86)\AstroGrep\AstroGrep.exe" /e /r /s /spath="%USERPROFILE%\AppData\Local\Temp\OnboardLogs" /stypes="*4061*201712061*"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4061</v>
      </c>
      <c r="V28" s="31">
        <f t="shared" si="3"/>
        <v>43075.512812499997</v>
      </c>
      <c r="W28" s="45" t="str">
        <f t="shared" si="4"/>
        <v>Other</v>
      </c>
      <c r="X28" s="228">
        <f t="shared" si="5"/>
        <v>312</v>
      </c>
      <c r="Y28" s="238" t="str">
        <f t="shared" si="6"/>
        <v>echo {"issue":{"subject":"","project_id":79,"tracker_id":40,"status_id":1,"priority_id":2,"assigned_to_id":338,"start_date":"2017-12-06","description":"","custom_fields":[{"id":1,"name":"Subdivision","value":"Other"},{"id":4,"name":"Milepost","value":"2.4235"},{"id":17,"name":"Train ID","value":"312-06"},{"id":16,"name":"Locomotive ID","value":"4061"},{"id":130,"name":"Impact","value":""},{"id":150,"name":"Time of Event (Mountain Time)","value":"05:18:27"},{"id":151,"name":"Denver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/c/Users/stu/AppData/Local/Temp/OnboardLogs/RTDC4061 --include="*4061*201712061*"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"%USERPROFILE%\AppData\Local\Temp\OnboardLogs"\RTDC4061\*4061*201712061* &gt;&gt; 2017-12-06-SliceDisagreementCheck.txt</v>
      </c>
      <c r="AE28" s="144" t="str">
        <f t="shared" si="9"/>
        <v>start /low /b %USERPROFILE%\Documents\GitHub\eaglep3\Utilities\DownloadLogsFromS3.py --loco 4061 --day 2017-12-06</v>
      </c>
      <c r="AF28" s="1"/>
    </row>
    <row r="29" spans="1:32" x14ac:dyDescent="0.25">
      <c r="A29" s="31">
        <v>43075.601527777777</v>
      </c>
      <c r="B29" s="30" t="s">
        <v>458</v>
      </c>
      <c r="C29" s="30" t="s">
        <v>651</v>
      </c>
      <c r="D29" s="30" t="s">
        <v>49</v>
      </c>
      <c r="E29" s="30" t="s">
        <v>183</v>
      </c>
      <c r="F29" s="42">
        <v>60</v>
      </c>
      <c r="G29" s="42">
        <v>227</v>
      </c>
      <c r="H29" s="42">
        <v>81617</v>
      </c>
      <c r="I29" s="42">
        <v>81207</v>
      </c>
      <c r="J29" s="30" t="s">
        <v>184</v>
      </c>
      <c r="K29" s="42">
        <v>80485</v>
      </c>
      <c r="L29" s="131" t="s">
        <v>51</v>
      </c>
      <c r="M29" s="132">
        <f t="shared" si="0"/>
        <v>381.21600000000001</v>
      </c>
      <c r="N29" s="133" t="str">
        <f>VLOOKUP(C29,'Trips&amp;Operators'!$C$1:$G$99911,5,FALSE)</f>
        <v>ZEWDU DEREJE</v>
      </c>
      <c r="O29" s="174" t="s">
        <v>178</v>
      </c>
      <c r="P29" s="239"/>
      <c r="Q29" s="30"/>
      <c r="R29" s="81" t="str">
        <f>VLOOKUP(C29,'Train Runs'!$A$13:$AE$10188,31,0)</f>
        <v>aws s3 cp s3://rtdc.mdm.uploadarchive.raw/RTDC4006/ "%USERPROFILE%\AppData\Local\Temp\OnboardLogs"\RTDC4006\2017-12-06 --exclude "*" --recursive --include "*20171206*" &amp; "%USERPROFILE%\Documents\GitHub\mrs-test-scripts\Headless Mode &amp; Sideloading\WalkAndUnGZ.bat" "%USERPROFILE%\AppData\Local\Temp\OnboardLogs"\RTDC4006\2017-12-06 &amp; 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</v>
      </c>
      <c r="S29" s="84" t="str">
        <f>VLOOKUP(C29,'Train Runs'!$A$13:$AE$10188,22,0)</f>
        <v>https://d0f6bd738d7f1b3e5a7ca70fe4ff75f0.us-east-1.aws.found.io/app/kibana#/discover/Steve-Slow-Train-Analysis-(2080s-and-2083s)?_g=(refreshInterval:(display:Off,pause:!f,section:0,value:0),time:(from:'2017-12-06T15:42:37-0700',mode:absolute,to:'2017-12-06T18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9" s="86" t="str">
        <f t="shared" si="1"/>
        <v>"C:\Program Files (x86)\AstroGrep\AstroGrep.exe" /e /r /s /spath="%USERPROFILE%\AppData\Local\Temp\OnboardLogs" /stypes="*4005*201712062*"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4005</v>
      </c>
      <c r="V29" s="31">
        <f t="shared" si="3"/>
        <v>43075.893194444441</v>
      </c>
      <c r="W29" s="45" t="str">
        <f t="shared" si="4"/>
        <v>Shuttle/Test</v>
      </c>
      <c r="X29" s="228">
        <f t="shared" si="5"/>
        <v>67</v>
      </c>
      <c r="Y29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8.0485"},{"id":17,"name":"Train ID","value":"67-06"},{"id":16,"name":"Locomotive ID","value":"4005"},{"id":130,"name":"Impact","value":""},{"id":150,"name":"Time of Event (Mountain Time)","value":"14:26:12"},{"id":151,"name":"Denver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/c/Users/stu/AppData/Local/Temp/OnboardLogs/RTDC4005 --include="*4005*201712062*"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"%USERPROFILE%\AppData\Local\Temp\OnboardLogs"\RTDC4005\*4005*201712062* &gt;&gt; 2017-12-06-SliceDisagreementCheck.txt</v>
      </c>
      <c r="AE29" s="144" t="str">
        <f t="shared" si="9"/>
        <v>start /low /b %USERPROFILE%\Documents\GitHub\eaglep3\Utilities\DownloadLogsFromS3.py --loco 4005 --day 2017-12-06</v>
      </c>
      <c r="AF29" s="1"/>
    </row>
    <row r="30" spans="1:32" x14ac:dyDescent="0.25">
      <c r="A30" s="31">
        <v>43075.396122685182</v>
      </c>
      <c r="B30" s="30" t="s">
        <v>550</v>
      </c>
      <c r="C30" s="30" t="s">
        <v>644</v>
      </c>
      <c r="D30" s="30" t="s">
        <v>49</v>
      </c>
      <c r="E30" s="30" t="s">
        <v>183</v>
      </c>
      <c r="F30" s="42">
        <v>200</v>
      </c>
      <c r="G30" s="42">
        <v>279</v>
      </c>
      <c r="H30" s="42">
        <v>95331</v>
      </c>
      <c r="I30" s="42">
        <v>94816</v>
      </c>
      <c r="J30" s="30" t="s">
        <v>184</v>
      </c>
      <c r="K30" s="42">
        <v>94854</v>
      </c>
      <c r="L30" s="131" t="s">
        <v>51</v>
      </c>
      <c r="M30" s="132">
        <f t="shared" si="0"/>
        <v>-20.064</v>
      </c>
      <c r="N30" s="133" t="str">
        <f>VLOOKUP(C30,'Trips&amp;Operators'!$C$1:$G$99911,5,FALSE)</f>
        <v>DAVIDSON DAVID</v>
      </c>
      <c r="O30" s="174" t="s">
        <v>178</v>
      </c>
      <c r="P30" s="239"/>
      <c r="Q30" s="30"/>
      <c r="R30" s="81" t="str">
        <f>VLOOKUP(C30,'Train Runs'!$A$13:$AE$10188,31,0)</f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S30" s="84" t="str">
        <f>VLOOKUP(C30,'Train Runs'!$A$13:$AE$10188,22,0)</f>
        <v>https://d0f6bd738d7f1b3e5a7ca70fe4ff75f0.us-east-1.aws.found.io/app/kibana#/discover/Steve-Slow-Train-Analysis-(2080s-and-2083s)?_g=(refreshInterval:(display:Off,pause:!f,section:0,value:0),time:(from:'2017-12-06T08:22:26-0700',mode:absolute,to:'2017-12-06T12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 t="shared" si="1"/>
        <v>"C:\Program Files (x86)\AstroGrep\AstroGrep.exe" /e /r /s /spath="%USERPROFILE%\AppData\Local\Temp\OnboardLogs" /stypes="*4015*201712061*"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4015</v>
      </c>
      <c r="V30" s="31">
        <f t="shared" si="3"/>
        <v>43075.687789351847</v>
      </c>
      <c r="W30" s="45" t="str">
        <f t="shared" si="4"/>
        <v>Shuttle/Test</v>
      </c>
      <c r="X30" s="228">
        <f t="shared" si="5"/>
        <v>72</v>
      </c>
      <c r="Y30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9.4854"},{"id":17,"name":"Train ID","value":"72-06"},{"id":16,"name":"Locomotive ID","value":"4015"},{"id":130,"name":"Impact","value":""},{"id":150,"name":"Time of Event (Mountain Time)","value":"09:30:25"},{"id":151,"name":"Denver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/c/Users/stu/AppData/Local/Temp/OnboardLogs/RTDC4015 --include="*4015*201712061*"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"%USERPROFILE%\AppData\Local\Temp\OnboardLogs"\RTDC4015\*4015*201712061* &gt;&gt; 2017-12-06-SliceDisagreementCheck.txt</v>
      </c>
      <c r="AE30" s="144" t="str">
        <f t="shared" si="9"/>
        <v>start /low /b %USERPROFILE%\Documents\GitHub\eaglep3\Utilities\DownloadLogsFromS3.py --loco 4015 --day 2017-12-06</v>
      </c>
      <c r="AF30" s="1"/>
    </row>
    <row r="31" spans="1:32" x14ac:dyDescent="0.25">
      <c r="A31" s="31">
        <v>43075.44332175926</v>
      </c>
      <c r="B31" s="30" t="s">
        <v>550</v>
      </c>
      <c r="C31" s="30" t="s">
        <v>644</v>
      </c>
      <c r="D31" s="30" t="s">
        <v>49</v>
      </c>
      <c r="E31" s="30" t="s">
        <v>183</v>
      </c>
      <c r="F31" s="42">
        <v>0</v>
      </c>
      <c r="G31" s="42">
        <v>109</v>
      </c>
      <c r="H31" s="42">
        <v>110589</v>
      </c>
      <c r="I31" s="42">
        <v>110443</v>
      </c>
      <c r="J31" s="30" t="s">
        <v>184</v>
      </c>
      <c r="K31" s="42">
        <v>110576</v>
      </c>
      <c r="L31" s="131" t="s">
        <v>51</v>
      </c>
      <c r="M31" s="132">
        <f t="shared" si="0"/>
        <v>-70.224000000000004</v>
      </c>
      <c r="N31" s="133" t="str">
        <f>VLOOKUP(C31,'Trips&amp;Operators'!$C$1:$G$99911,5,FALSE)</f>
        <v>DAVIDSON DAVID</v>
      </c>
      <c r="O31" s="174" t="s">
        <v>178</v>
      </c>
      <c r="P31" s="239"/>
      <c r="Q31" s="30"/>
      <c r="R31" s="81" t="str">
        <f>VLOOKUP(C31,'Train Runs'!$A$13:$AE$10188,31,0)</f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S31" s="84" t="str">
        <f>VLOOKUP(C31,'Train Runs'!$A$13:$AE$10188,22,0)</f>
        <v>https://d0f6bd738d7f1b3e5a7ca70fe4ff75f0.us-east-1.aws.found.io/app/kibana#/discover/Steve-Slow-Train-Analysis-(2080s-and-2083s)?_g=(refreshInterval:(display:Off,pause:!f,section:0,value:0),time:(from:'2017-12-06T08:22:26-0700',mode:absolute,to:'2017-12-06T12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 t="shared" si="1"/>
        <v>"C:\Program Files (x86)\AstroGrep\AstroGrep.exe" /e /r /s /spath="%USERPROFILE%\AppData\Local\Temp\OnboardLogs" /stypes="*4015*201712061*"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4015</v>
      </c>
      <c r="V31" s="31">
        <f t="shared" si="3"/>
        <v>43075.734988425924</v>
      </c>
      <c r="W31" s="45" t="str">
        <f t="shared" si="4"/>
        <v>Shuttle/Test</v>
      </c>
      <c r="X31" s="228">
        <f t="shared" si="5"/>
        <v>72</v>
      </c>
      <c r="Y31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11.0576"},{"id":17,"name":"Train ID","value":"72-06"},{"id":16,"name":"Locomotive ID","value":"4015"},{"id":130,"name":"Impact","value":""},{"id":150,"name":"Time of Event (Mountain Time)","value":"10:38:23"},{"id":151,"name":"Denver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/c/Users/stu/AppData/Local/Temp/OnboardLogs/RTDC4015 --include="*4015*201712061*"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"%USERPROFILE%\AppData\Local\Temp\OnboardLogs"\RTDC4015\*4015*201712061* &gt;&gt; 2017-12-06-SliceDisagreementCheck.txt</v>
      </c>
      <c r="AE31" s="144" t="str">
        <f t="shared" si="9"/>
        <v>start /low /b %USERPROFILE%\Documents\GitHub\eaglep3\Utilities\DownloadLogsFromS3.py --loco 4015 --day 2017-12-06</v>
      </c>
      <c r="AF31" s="1"/>
    </row>
    <row r="32" spans="1:32" x14ac:dyDescent="0.25">
      <c r="A32" s="31">
        <v>43075.492592592593</v>
      </c>
      <c r="B32" s="30" t="s">
        <v>551</v>
      </c>
      <c r="C32" s="30" t="s">
        <v>648</v>
      </c>
      <c r="D32" s="30" t="s">
        <v>95</v>
      </c>
      <c r="E32" s="30" t="s">
        <v>190</v>
      </c>
      <c r="F32" s="42">
        <v>300</v>
      </c>
      <c r="G32" s="42">
        <v>350</v>
      </c>
      <c r="H32" s="42">
        <v>47895</v>
      </c>
      <c r="I32" s="42">
        <v>48919</v>
      </c>
      <c r="J32" s="30" t="s">
        <v>191</v>
      </c>
      <c r="K32" s="42">
        <v>44680</v>
      </c>
      <c r="L32" s="131" t="s">
        <v>50</v>
      </c>
      <c r="M32" s="132">
        <f t="shared" si="0"/>
        <v>-2238.192</v>
      </c>
      <c r="N32" s="133" t="str">
        <f>VLOOKUP(C32,'Trips&amp;Operators'!$C$1:$G$99911,5,FALSE)</f>
        <v>DAVIDSON DAVID</v>
      </c>
      <c r="O32" s="174" t="s">
        <v>178</v>
      </c>
      <c r="P32" s="239"/>
      <c r="Q32" s="30"/>
      <c r="R32" s="81" t="str">
        <f>VLOOKUP(C32,'Train Runs'!$A$13:$AE$10188,31,0)</f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S32" s="84" t="str">
        <f>VLOOKUP(C32,'Train Runs'!$A$13:$AE$10188,22,0)</f>
        <v>https://d0f6bd738d7f1b3e5a7ca70fe4ff75f0.us-east-1.aws.found.io/app/kibana#/discover/Steve-Slow-Train-Analysis-(2080s-and-2083s)?_g=(refreshInterval:(display:Off,pause:!f,section:0,value:0),time:(from:'2017-12-06T08:47:54-0700',mode:absolute,to:'2017-12-06T11:12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 t="shared" si="1"/>
        <v>"C:\Program Files (x86)\AstroGrep\AstroGrep.exe" /e /r /s /spath="%USERPROFILE%\AppData\Local\Temp\OnboardLogs" /stypes="*4016*201712061*" /stext=" 18:.+((SYSTEM_STATE.+slice.+state.+changed )|(ment ac)|(multiple cpu faults)|(system.+state.+changed )|(\[timeout)|(PRM\|1\|D)|(kpr)|(kdp)|(train st.+moving)|(\|lc)|(penalty))"</v>
      </c>
      <c r="U32" s="9" t="str">
        <f t="shared" si="2"/>
        <v>4016</v>
      </c>
      <c r="V32" s="31">
        <f t="shared" si="3"/>
        <v>43075.784259259257</v>
      </c>
      <c r="W32" s="45" t="str">
        <f t="shared" si="4"/>
        <v>Shuttle/Test</v>
      </c>
      <c r="X32" s="228">
        <f t="shared" si="5"/>
        <v>73</v>
      </c>
      <c r="Y32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4.468"},{"id":17,"name":"Train ID","value":"73-06"},{"id":16,"name":"Locomotive ID","value":"4016"},{"id":130,"name":"Impact","value":""},{"id":150,"name":"Time of Event (Mountain Time)","value":"11:49:20"},{"id":151,"name":"Denver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/c/Users/stu/AppData/Local/Temp/OnboardLogs/RTDC4016 --include="*4016*201712061*"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"%USERPROFILE%\AppData\Local\Temp\OnboardLogs"\RTDC4016\*4016*201712061* &gt;&gt; 2017-12-06-SliceDisagreementCheck.txt</v>
      </c>
      <c r="AE32" s="144" t="str">
        <f t="shared" si="9"/>
        <v>start /low /b %USERPROFILE%\Documents\GitHub\eaglep3\Utilities\DownloadLogsFromS3.py --loco 4016 --day 2017-12-06</v>
      </c>
      <c r="AF32" s="1"/>
    </row>
    <row r="33" spans="1:32" x14ac:dyDescent="0.25">
      <c r="A33" s="31">
        <v>43075.404560185183</v>
      </c>
      <c r="B33" s="30" t="s">
        <v>550</v>
      </c>
      <c r="C33" s="30" t="s">
        <v>644</v>
      </c>
      <c r="D33" s="30" t="s">
        <v>49</v>
      </c>
      <c r="E33" s="30" t="s">
        <v>190</v>
      </c>
      <c r="F33" s="42">
        <v>300</v>
      </c>
      <c r="G33" s="42">
        <v>350</v>
      </c>
      <c r="H33" s="42">
        <v>48916</v>
      </c>
      <c r="I33" s="42">
        <v>48050</v>
      </c>
      <c r="J33" s="30" t="s">
        <v>191</v>
      </c>
      <c r="K33" s="42">
        <v>47783</v>
      </c>
      <c r="L33" s="131" t="s">
        <v>51</v>
      </c>
      <c r="M33" s="132">
        <f t="shared" si="0"/>
        <v>140.976</v>
      </c>
      <c r="N33" s="133" t="str">
        <f>VLOOKUP(C33,'Trips&amp;Operators'!$C$1:$G$99911,5,FALSE)</f>
        <v>DAVIDSON DAVID</v>
      </c>
      <c r="O33" s="174" t="s">
        <v>178</v>
      </c>
      <c r="P33" s="239"/>
      <c r="Q33" s="30"/>
      <c r="R33" s="81" t="str">
        <f>VLOOKUP(C33,'Train Runs'!$A$13:$AE$10188,31,0)</f>
        <v>aws s3 cp s3://rtdc.mdm.uploadarchive.raw/RTDC4015/ "%USERPROFILE%\AppData\Local\Temp\OnboardLogs"\RTDC4015\2017-12-06 --exclude "*" --recursive --include "*20171206*" &amp; "%USERPROFILE%\Documents\GitHub\mrs-test-scripts\Headless Mode &amp; Sideloading\WalkAndUnGZ.bat" "%USERPROFILE%\AppData\Local\Temp\OnboardLogs"\RTDC4015\2017-12-06 &amp; aws s3 cp s3://rtdc.mdm.uploadarchive.raw/RTDC4015/ "%USERPROFILE%\AppData\Local\Temp\OnboardLogs"\RTDC4015\2017-12-07 --exclude "*" --recursive --include "*20171207*" &amp; "%USERPROFILE%\Documents\GitHub\mrs-test-scripts\Headless Mode &amp; Sideloading\WalkAndUnGZ.bat" "%USERPROFILE%\AppData\Local\Temp\OnboardLogs"\RTDC4015\2017-12-07</v>
      </c>
      <c r="S33" s="84" t="str">
        <f>VLOOKUP(C33,'Train Runs'!$A$13:$AE$10188,22,0)</f>
        <v>https://d0f6bd738d7f1b3e5a7ca70fe4ff75f0.us-east-1.aws.found.io/app/kibana#/discover/Steve-Slow-Train-Analysis-(2080s-and-2083s)?_g=(refreshInterval:(display:Off,pause:!f,section:0,value:0),time:(from:'2017-12-06T08:22:26-0700',mode:absolute,to:'2017-12-06T12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86" t="str">
        <f t="shared" si="1"/>
        <v>"C:\Program Files (x86)\AstroGrep\AstroGrep.exe" /e /r /s /spath="%USERPROFILE%\AppData\Local\Temp\OnboardLogs" /stypes="*4015*201712061*"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4015</v>
      </c>
      <c r="V33" s="31">
        <f t="shared" si="3"/>
        <v>43075.696226851847</v>
      </c>
      <c r="W33" s="45" t="str">
        <f t="shared" si="4"/>
        <v>Shuttle/Test</v>
      </c>
      <c r="X33" s="228">
        <f t="shared" si="5"/>
        <v>72</v>
      </c>
      <c r="Y33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4.7783"},{"id":17,"name":"Train ID","value":"72-06"},{"id":16,"name":"Locomotive ID","value":"4015"},{"id":130,"name":"Impact","value":""},{"id":150,"name":"Time of Event (Mountain Time)","value":"09:42:34"},{"id":151,"name":"Denver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 t="shared" si="7"/>
        <v>grep -hrE -A400 "Enforcement Action" /c/Users/stu/AppData/Local/Temp/OnboardLogs/RTDC4015 --include="*4015*201712061*"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"%USERPROFILE%\AppData\Local\Temp\OnboardLogs"\RTDC4015\*4015*201712061* &gt;&gt; 2017-12-06-SliceDisagreementCheck.txt</v>
      </c>
      <c r="AE33" s="144" t="str">
        <f t="shared" si="9"/>
        <v>start /low /b %USERPROFILE%\Documents\GitHub\eaglep3\Utilities\DownloadLogsFromS3.py --loco 4015 --day 2017-12-06</v>
      </c>
      <c r="AF33" s="1"/>
    </row>
    <row r="34" spans="1:32" x14ac:dyDescent="0.25">
      <c r="A34" s="31">
        <v>43075.482233796298</v>
      </c>
      <c r="B34" s="30" t="s">
        <v>458</v>
      </c>
      <c r="C34" s="30" t="s">
        <v>645</v>
      </c>
      <c r="D34" s="30" t="s">
        <v>49</v>
      </c>
      <c r="E34" s="30" t="s">
        <v>190</v>
      </c>
      <c r="F34" s="42">
        <v>300</v>
      </c>
      <c r="G34" s="42">
        <v>350</v>
      </c>
      <c r="H34" s="42">
        <v>48810</v>
      </c>
      <c r="I34" s="42">
        <v>48035</v>
      </c>
      <c r="J34" s="30" t="s">
        <v>191</v>
      </c>
      <c r="K34" s="42">
        <v>47783</v>
      </c>
      <c r="L34" s="131" t="s">
        <v>51</v>
      </c>
      <c r="M34" s="132">
        <f t="shared" si="0"/>
        <v>133.05600000000001</v>
      </c>
      <c r="N34" s="133" t="str">
        <f>VLOOKUP(C34,'Trips&amp;Operators'!$C$1:$G$99911,5,FALSE)</f>
        <v>STARKS ANGELINA</v>
      </c>
      <c r="O34" s="174" t="s">
        <v>178</v>
      </c>
      <c r="P34" s="239"/>
      <c r="Q34" s="30"/>
      <c r="R34" s="81" t="str">
        <f>VLOOKUP(C34,'Train Runs'!$A$13:$AE$10188,31,0)</f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S34" s="84" t="str">
        <f>VLOOKUP(C34,'Train Runs'!$A$13:$AE$10188,22,0)</f>
        <v>https://d0f6bd738d7f1b3e5a7ca70fe4ff75f0.us-east-1.aws.found.io/app/kibana#/discover/Steve-Slow-Train-Analysis-(2080s-and-2083s)?_g=(refreshInterval:(display:Off,pause:!f,section:0,value:0),time:(from:'2017-12-06T08:40:25-0700',mode:absolute,to:'2017-12-06T11:27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86" t="str">
        <f t="shared" si="1"/>
        <v>"C:\Program Files (x86)\AstroGrep\AstroGrep.exe" /e /r /s /spath="%USERPROFILE%\AppData\Local\Temp\OnboardLogs" /stypes="*4005*201712061*"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4005</v>
      </c>
      <c r="V34" s="31">
        <f t="shared" si="3"/>
        <v>43075.773900462962</v>
      </c>
      <c r="W34" s="45" t="str">
        <f t="shared" si="4"/>
        <v>Shuttle/Test</v>
      </c>
      <c r="X34" s="228">
        <f t="shared" si="5"/>
        <v>74</v>
      </c>
      <c r="Y34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4.7783"},{"id":17,"name":"Train ID","value":"74-06"},{"id":16,"name":"Locomotive ID","value":"4005"},{"id":130,"name":"Impact","value":""},{"id":150,"name":"Time of Event (Mountain Time)","value":"11:34:25"},{"id":151,"name":"Denver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 t="shared" si="7"/>
        <v>grep -hrE -A400 "Enforcement Action" /c/Users/stu/AppData/Local/Temp/OnboardLogs/RTDC4005 --include="*4005*201712061*"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"%USERPROFILE%\AppData\Local\Temp\OnboardLogs"\RTDC4005\*4005*201712061* &gt;&gt; 2017-12-06-SliceDisagreementCheck.txt</v>
      </c>
      <c r="AE34" s="144" t="str">
        <f t="shared" si="9"/>
        <v>start /low /b %USERPROFILE%\Documents\GitHub\eaglep3\Utilities\DownloadLogsFromS3.py --loco 4005 --day 2017-12-06</v>
      </c>
      <c r="AF34" s="1"/>
    </row>
    <row r="35" spans="1:32" x14ac:dyDescent="0.25">
      <c r="A35" s="31">
        <v>43075.435543981483</v>
      </c>
      <c r="B35" s="30" t="s">
        <v>458</v>
      </c>
      <c r="C35" s="30" t="s">
        <v>645</v>
      </c>
      <c r="D35" s="30" t="s">
        <v>49</v>
      </c>
      <c r="E35" s="30" t="s">
        <v>354</v>
      </c>
      <c r="F35" s="42">
        <v>0</v>
      </c>
      <c r="G35" s="42">
        <v>82</v>
      </c>
      <c r="H35" s="42">
        <v>4819</v>
      </c>
      <c r="I35" s="42">
        <v>4707</v>
      </c>
      <c r="J35" s="30" t="s">
        <v>355</v>
      </c>
      <c r="K35" s="42">
        <v>4798</v>
      </c>
      <c r="L35" s="131" t="s">
        <v>51</v>
      </c>
      <c r="M35" s="132">
        <f t="shared" si="0"/>
        <v>-48.048000000000002</v>
      </c>
      <c r="N35" s="133" t="str">
        <f>VLOOKUP(C35,'Trips&amp;Operators'!$C$1:$G$99911,5,FALSE)</f>
        <v>STARKS ANGELINA</v>
      </c>
      <c r="O35" s="174" t="s">
        <v>178</v>
      </c>
      <c r="P35" s="239"/>
      <c r="Q35" s="30"/>
      <c r="R35" s="81" t="str">
        <f>VLOOKUP(C35,'Train Runs'!$A$13:$AE$10188,31,0)</f>
        <v>aws s3 cp s3://rtdc.mdm.uploadarchive.raw/RTDC4005/ "%USERPROFILE%\AppData\Local\Temp\OnboardLogs"\RTDC4005\2017-12-06 --exclude "*" --recursive --include "*20171206*" &amp; "%USERPROFILE%\Documents\GitHub\mrs-test-scripts\Headless Mode &amp; Sideloading\WalkAndUnGZ.bat" "%USERPROFILE%\AppData\Local\Temp\OnboardLogs"\RTDC4005\2017-12-06 &amp; aws s3 cp s3://rtdc.mdm.uploadarchive.raw/RTDC4005/ "%USERPROFILE%\AppData\Local\Temp\OnboardLogs"\RTDC4005\2017-12-07 --exclude "*" --recursive --include "*20171207*" &amp; "%USERPROFILE%\Documents\GitHub\mrs-test-scripts\Headless Mode &amp; Sideloading\WalkAndUnGZ.bat" "%USERPROFILE%\AppData\Local\Temp\OnboardLogs"\RTDC4005\2017-12-07</v>
      </c>
      <c r="S35" s="84" t="str">
        <f>VLOOKUP(C35,'Train Runs'!$A$13:$AE$10188,22,0)</f>
        <v>https://d0f6bd738d7f1b3e5a7ca70fe4ff75f0.us-east-1.aws.found.io/app/kibana#/discover/Steve-Slow-Train-Analysis-(2080s-and-2083s)?_g=(refreshInterval:(display:Off,pause:!f,section:0,value:0),time:(from:'2017-12-06T08:40:25-0700',mode:absolute,to:'2017-12-06T11:27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86" t="str">
        <f t="shared" si="1"/>
        <v>"C:\Program Files (x86)\AstroGrep\AstroGrep.exe" /e /r /s /spath="%USERPROFILE%\AppData\Local\Temp\OnboardLogs" /stypes="*4005*201712061*"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4005</v>
      </c>
      <c r="V35" s="31">
        <f t="shared" si="3"/>
        <v>43075.727210648147</v>
      </c>
      <c r="W35" s="45" t="str">
        <f t="shared" si="4"/>
        <v>Shuttle/Test</v>
      </c>
      <c r="X35" s="228">
        <f t="shared" si="5"/>
        <v>74</v>
      </c>
      <c r="Y35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0.4798"},{"id":17,"name":"Train ID","value":"74-06"},{"id":16,"name":"Locomotive ID","value":"4005"},{"id":130,"name":"Impact","value":""},{"id":150,"name":"Time of Event (Mountain Time)","value":"10:27:11"},{"id":151,"name":"Denver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1"/>
      <c r="AB35" s="231"/>
      <c r="AC35" s="115" t="str">
        <f t="shared" si="7"/>
        <v>grep -hrE -A400 "Enforcement Action" /c/Users/stu/AppData/Local/Temp/OnboardLogs/RTDC4005 --include="*4005*201712061*"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"%USERPROFILE%\AppData\Local\Temp\OnboardLogs"\RTDC4005\*4005*201712061* &gt;&gt; 2017-12-06-SliceDisagreementCheck.txt</v>
      </c>
      <c r="AE35" s="144" t="str">
        <f t="shared" si="9"/>
        <v>start /low /b %USERPROFILE%\Documents\GitHub\eaglep3\Utilities\DownloadLogsFromS3.py --loco 4005 --day 2017-12-06</v>
      </c>
      <c r="AF35" s="1"/>
    </row>
    <row r="36" spans="1:32" x14ac:dyDescent="0.25">
      <c r="A36" s="31">
        <v>43075.373738425929</v>
      </c>
      <c r="B36" s="30" t="s">
        <v>551</v>
      </c>
      <c r="C36" s="30" t="s">
        <v>639</v>
      </c>
      <c r="D36" s="30" t="s">
        <v>49</v>
      </c>
      <c r="E36" s="30" t="s">
        <v>354</v>
      </c>
      <c r="F36" s="42">
        <v>0</v>
      </c>
      <c r="G36" s="42">
        <v>487</v>
      </c>
      <c r="H36" s="42">
        <v>55590</v>
      </c>
      <c r="I36" s="42">
        <v>57187</v>
      </c>
      <c r="J36" s="30" t="s">
        <v>355</v>
      </c>
      <c r="K36" s="42">
        <v>57049</v>
      </c>
      <c r="L36" s="131" t="s">
        <v>50</v>
      </c>
      <c r="M36" s="132">
        <f t="shared" si="0"/>
        <v>-72.864000000000004</v>
      </c>
      <c r="N36" s="133" t="str">
        <f>VLOOKUP(C36,'Trips&amp;Operators'!$C$1:$G$99911,5,FALSE)</f>
        <v>PELLITIER GEORGE</v>
      </c>
      <c r="O36" s="174" t="s">
        <v>178</v>
      </c>
      <c r="P36" s="239"/>
      <c r="Q36" s="30"/>
      <c r="R36" s="81" t="str">
        <f>VLOOKUP(C36,'Train Runs'!$A$13:$AE$10188,31,0)</f>
        <v>aws s3 cp s3://rtdc.mdm.uploadarchive.raw/RTDC4016/ "%USERPROFILE%\AppData\Local\Temp\OnboardLogs"\RTDC4016\2017-12-06 --exclude "*" --recursive --include "*20171206*" &amp; "%USERPROFILE%\Documents\GitHub\mrs-test-scripts\Headless Mode &amp; Sideloading\WalkAndUnGZ.bat" "%USERPROFILE%\AppData\Local\Temp\OnboardLogs"\RTDC4016\2017-12-06 &amp; aws s3 cp s3://rtdc.mdm.uploadarchive.raw/RTDC4016/ "%USERPROFILE%\AppData\Local\Temp\OnboardLogs"\RTDC4016\2017-12-07 --exclude "*" --recursive --include "*20171207*" &amp; "%USERPROFILE%\Documents\GitHub\mrs-test-scripts\Headless Mode &amp; Sideloading\WalkAndUnGZ.bat" "%USERPROFILE%\AppData\Local\Temp\OnboardLogs"\RTDC4016\2017-12-07</v>
      </c>
      <c r="S36" s="84" t="str">
        <f>VLOOKUP(C36,'Train Runs'!$A$13:$AE$10188,22,0)</f>
        <v>https://d0f6bd738d7f1b3e5a7ca70fe4ff75f0.us-east-1.aws.found.io/app/kibana#/discover/Steve-Slow-Train-Analysis-(2080s-and-2083s)?_g=(refreshInterval:(display:Off,pause:!f,section:0,value:0),time:(from:'2017-12-06T07:47:38-0700',mode:absolute,to:'2017-12-06T10:13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86" t="str">
        <f t="shared" si="1"/>
        <v>"C:\Program Files (x86)\AstroGrep\AstroGrep.exe" /e /r /s /spath="%USERPROFILE%\AppData\Local\Temp\OnboardLogs" /stypes="*4016*201712061*" /stext=" 15:.+((SYSTEM_STATE.+slice.+state.+changed )|(ment ac)|(multiple cpu faults)|(system.+state.+changed )|(\[timeout)|(PRM\|1\|D)|(kpr)|(kdp)|(train st.+moving)|(\|lc)|(penalty))"</v>
      </c>
      <c r="U36" s="9" t="str">
        <f t="shared" si="2"/>
        <v>4016</v>
      </c>
      <c r="V36" s="31">
        <f t="shared" si="3"/>
        <v>43075.665405092594</v>
      </c>
      <c r="W36" s="45" t="str">
        <f t="shared" si="4"/>
        <v>Shuttle/Test</v>
      </c>
      <c r="X36" s="228">
        <f t="shared" si="5"/>
        <v>81</v>
      </c>
      <c r="Y36" s="238" t="str">
        <f t="shared" si="6"/>
        <v>echo {"issue":{"subject":"","project_id":79,"tracker_id":40,"status_id":1,"priority_id":2,"assigned_to_id":338,"start_date":"2017-12-06","description":"","custom_fields":[{"id":1,"name":"Subdivision","value":"Shuttle/Test"},{"id":4,"name":"Milepost","value":"5.7049"},{"id":17,"name":"Train ID","value":"81-06"},{"id":16,"name":"Locomotive ID","value":"4016"},{"id":130,"name":"Impact","value":""},{"id":150,"name":"Time of Event (Mountain Time)","value":"08:58:11"},{"id":151,"name":"Denver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1"/>
      <c r="AB36" s="231"/>
      <c r="AC36" s="115" t="str">
        <f t="shared" si="7"/>
        <v>grep -hrE -A400 "Enforcement Action" /c/Users/stu/AppData/Local/Temp/OnboardLogs/RTDC4016 --include="*4016*201712061*"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"%USERPROFILE%\AppData\Local\Temp\OnboardLogs"\RTDC4016\*4016*201712061* &gt;&gt; 2017-12-06-SliceDisagreementCheck.txt</v>
      </c>
      <c r="AE36" s="144" t="str">
        <f t="shared" si="9"/>
        <v>start /low /b %USERPROFILE%\Documents\GitHub\eaglep3\Utilities\DownloadLogsFromS3.py --loco 4016 --day 2017-12-06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</sheetData>
  <autoFilter ref="A6:AC15">
    <sortState ref="A7:AC36">
      <sortCondition ref="W7:W36"/>
      <sortCondition ref="E7:E36"/>
      <sortCondition ref="K7:K36"/>
      <sortCondition ref="F7:F36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8:O1048576 O7:O3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2017-12-06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-06</v>
      </c>
      <c r="C3" s="134"/>
      <c r="D3" s="222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Runs'!$A$13:$A$100185,1,FALSE)</f>
        <v>#N/A</v>
      </c>
    </row>
    <row r="4" spans="1:10" x14ac:dyDescent="0.25">
      <c r="A4" s="196"/>
      <c r="B4" s="42" t="str">
        <f>A4&amp;"-"&amp;IF(DAY(Variables!$A$2)&lt;10,0,"")&amp;DAY(Variables!$A$2)</f>
        <v>-06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Runs'!$A$13:$A$100185,1,FALSE)</f>
        <v>#N/A</v>
      </c>
    </row>
    <row r="5" spans="1:10" x14ac:dyDescent="0.25">
      <c r="A5" s="196"/>
      <c r="B5" s="42" t="str">
        <f>A5&amp;"-"&amp;IF(DAY(Variables!$A$2)&lt;10,0,"")&amp;DAY(Variables!$A$2)</f>
        <v>-06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Runs'!$A$13:$A$100185,1,FALSE)</f>
        <v>#N/A</v>
      </c>
    </row>
    <row r="6" spans="1:10" x14ac:dyDescent="0.25">
      <c r="A6" s="196"/>
      <c r="B6" s="42" t="str">
        <f>A6&amp;"-"&amp;IF(DAY(Variables!$A$2)&lt;10,0,"")&amp;DAY(Variables!$A$2)</f>
        <v>-06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Runs'!$A$13:$A$100185,1,FALSE)</f>
        <v>#N/A</v>
      </c>
    </row>
    <row r="7" spans="1:10" x14ac:dyDescent="0.25">
      <c r="A7" s="196"/>
      <c r="B7" s="42" t="str">
        <f>A7&amp;"-"&amp;IF(DAY(Variables!$A$2)&lt;10,0,"")&amp;DAY(Variables!$A$2)</f>
        <v>-06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Runs'!$A$13:$A$100185,1,FALSE)</f>
        <v>#N/A</v>
      </c>
    </row>
    <row r="8" spans="1:10" x14ac:dyDescent="0.25">
      <c r="A8" s="196"/>
      <c r="B8" s="42" t="str">
        <f>A8&amp;"-"&amp;IF(DAY(Variables!$A$2)&lt;10,0,"")&amp;DAY(Variables!$A$2)</f>
        <v>-06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Runs'!$A$13:$A$100185,1,FALSE)</f>
        <v>#N/A</v>
      </c>
    </row>
    <row r="9" spans="1:10" x14ac:dyDescent="0.25">
      <c r="A9" s="196"/>
      <c r="B9" s="42" t="str">
        <f>A9&amp;"-"&amp;IF(DAY(Variables!$A$2)&lt;10,0,"")&amp;DAY(Variables!$A$2)</f>
        <v>-06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Runs'!$A$13:$A$100185,1,FALSE)</f>
        <v>#N/A</v>
      </c>
    </row>
    <row r="10" spans="1:10" x14ac:dyDescent="0.25">
      <c r="A10" s="196"/>
      <c r="B10" s="42" t="str">
        <f>A10&amp;"-"&amp;IF(DAY(Variables!$A$2)&lt;10,0,"")&amp;DAY(Variables!$A$2)</f>
        <v>-06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Runs'!$A$13:$A$100185,1,FALSE)</f>
        <v>#N/A</v>
      </c>
    </row>
    <row r="11" spans="1:10" x14ac:dyDescent="0.25">
      <c r="A11" s="196"/>
      <c r="B11" s="42" t="str">
        <f>A11&amp;"-"&amp;IF(DAY(Variables!$A$2)&lt;10,0,"")&amp;DAY(Variables!$A$2)</f>
        <v>-06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Runs'!$A$13:$A$100185,1,FALSE)</f>
        <v>#N/A</v>
      </c>
    </row>
    <row r="12" spans="1:10" x14ac:dyDescent="0.25">
      <c r="A12" s="196"/>
      <c r="B12" s="42" t="str">
        <f>A12&amp;"-"&amp;IF(DAY(Variables!$A$2)&lt;10,0,"")&amp;DAY(Variables!$A$2)</f>
        <v>-06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Runs'!$A$13:$A$100185,1,FALSE)</f>
        <v>#N/A</v>
      </c>
    </row>
    <row r="13" spans="1:10" x14ac:dyDescent="0.25">
      <c r="A13" s="196"/>
      <c r="B13" s="42" t="str">
        <f>A13&amp;"-"&amp;IF(DAY(Variables!$A$2)&lt;10,0,"")&amp;DAY(Variables!$A$2)</f>
        <v>-06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Runs'!$A$13:$A$100185,1,FALSE)</f>
        <v>#N/A</v>
      </c>
    </row>
    <row r="14" spans="1:10" x14ac:dyDescent="0.25">
      <c r="A14" s="196"/>
      <c r="B14" s="42" t="str">
        <f>A14&amp;"-"&amp;IF(DAY(Variables!$A$2)&lt;10,0,"")&amp;DAY(Variables!$A$2)</f>
        <v>-06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Runs'!$A$13:$A$100185,1,FALSE)</f>
        <v>#N/A</v>
      </c>
    </row>
    <row r="15" spans="1:10" x14ac:dyDescent="0.25">
      <c r="A15" s="196"/>
      <c r="B15" s="42" t="str">
        <f>A15&amp;"-"&amp;IF(DAY(Variables!$A$2)&lt;10,0,"")&amp;DAY(Variables!$A$2)</f>
        <v>-06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Runs'!$A$13:$A$100185,1,FALSE)</f>
        <v>#N/A</v>
      </c>
    </row>
    <row r="16" spans="1:10" x14ac:dyDescent="0.25">
      <c r="A16" s="196"/>
      <c r="B16" s="42" t="str">
        <f>A16&amp;"-"&amp;IF(DAY(Variables!$A$2)&lt;10,0,"")&amp;DAY(Variables!$A$2)</f>
        <v>-06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Runs'!$A$13:$A$100185,1,FALSE)</f>
        <v>#N/A</v>
      </c>
    </row>
    <row r="17" spans="1:10" x14ac:dyDescent="0.25">
      <c r="A17" s="196"/>
      <c r="B17" s="42" t="str">
        <f>A17&amp;"-"&amp;IF(DAY(Variables!$A$2)&lt;10,0,"")&amp;DAY(Variables!$A$2)</f>
        <v>-06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Runs'!$A$13:$A$100185,1,FALSE)</f>
        <v>#N/A</v>
      </c>
    </row>
    <row r="18" spans="1:10" x14ac:dyDescent="0.25">
      <c r="A18" s="196"/>
      <c r="B18" s="42" t="str">
        <f>A18&amp;"-"&amp;IF(DAY(Variables!$A$2)&lt;10,0,"")&amp;DAY(Variables!$A$2)</f>
        <v>-06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Runs'!$A$13:$A$100185,1,FALSE)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6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43075.047523148147</v>
      </c>
      <c r="B2" s="20" t="s">
        <v>468</v>
      </c>
      <c r="C2" s="20" t="s">
        <v>568</v>
      </c>
      <c r="D2" s="137">
        <v>3810000</v>
      </c>
      <c r="E2" s="20" t="s">
        <v>428</v>
      </c>
      <c r="F2" s="20" t="s">
        <v>429</v>
      </c>
      <c r="G2" s="8" t="str">
        <f>E2&amp;" "&amp;F2</f>
        <v>LORI SANTOS</v>
      </c>
      <c r="H2" t="str">
        <f>MID(B2,13,4)</f>
        <v>4054</v>
      </c>
    </row>
    <row r="3" spans="1:8" x14ac:dyDescent="0.25">
      <c r="A3" s="8">
        <v>43075.048935185187</v>
      </c>
      <c r="B3" s="20" t="s">
        <v>351</v>
      </c>
      <c r="C3" s="20" t="s">
        <v>569</v>
      </c>
      <c r="D3" s="137">
        <v>3310000</v>
      </c>
      <c r="E3" s="20" t="s">
        <v>449</v>
      </c>
      <c r="F3" s="20" t="s">
        <v>450</v>
      </c>
      <c r="G3" s="8" t="str">
        <f t="shared" ref="G3:G66" si="0">E3&amp;" "&amp;F3</f>
        <v>ANDERS STEVEN</v>
      </c>
      <c r="H3" s="20" t="str">
        <f t="shared" ref="H3:H66" si="1">MID(B3,13,4)</f>
        <v>4055</v>
      </c>
    </row>
    <row r="4" spans="1:8" x14ac:dyDescent="0.25">
      <c r="A4" s="8">
        <v>43075.069953703707</v>
      </c>
      <c r="B4" s="20" t="s">
        <v>552</v>
      </c>
      <c r="C4" s="20" t="s">
        <v>570</v>
      </c>
      <c r="D4" s="137">
        <v>3490000</v>
      </c>
      <c r="E4" s="20" t="s">
        <v>564</v>
      </c>
      <c r="F4" s="20" t="s">
        <v>565</v>
      </c>
      <c r="G4" s="8" t="str">
        <f t="shared" si="0"/>
        <v>WEST BRYAN</v>
      </c>
      <c r="H4" s="20" t="str">
        <f t="shared" si="1"/>
        <v>4060</v>
      </c>
    </row>
    <row r="5" spans="1:8" x14ac:dyDescent="0.25">
      <c r="A5" s="8">
        <v>43075.089988425927</v>
      </c>
      <c r="B5" s="20" t="s">
        <v>413</v>
      </c>
      <c r="C5" s="20" t="s">
        <v>571</v>
      </c>
      <c r="D5" s="137">
        <v>3310000</v>
      </c>
      <c r="E5" s="20" t="s">
        <v>449</v>
      </c>
      <c r="F5" s="20" t="s">
        <v>450</v>
      </c>
      <c r="G5" s="8" t="str">
        <f t="shared" si="0"/>
        <v>ANDERS STEVEN</v>
      </c>
      <c r="H5" s="20" t="str">
        <f t="shared" si="1"/>
        <v>4056</v>
      </c>
    </row>
    <row r="6" spans="1:8" x14ac:dyDescent="0.25">
      <c r="A6" s="8">
        <v>43075.115925925929</v>
      </c>
      <c r="B6" s="20" t="s">
        <v>485</v>
      </c>
      <c r="C6" s="20" t="s">
        <v>662</v>
      </c>
      <c r="D6" s="137">
        <v>3680000</v>
      </c>
      <c r="E6" s="20" t="s">
        <v>511</v>
      </c>
      <c r="F6" s="20" t="s">
        <v>512</v>
      </c>
      <c r="G6" s="8" t="str">
        <f t="shared" si="0"/>
        <v>HAMMOND JUSTYNN</v>
      </c>
      <c r="H6" s="20" t="str">
        <f t="shared" si="1"/>
        <v>4063</v>
      </c>
    </row>
    <row r="7" spans="1:8" x14ac:dyDescent="0.25">
      <c r="A7" s="8">
        <v>43075.1174537037</v>
      </c>
      <c r="B7" s="20" t="s">
        <v>485</v>
      </c>
      <c r="C7" s="20" t="s">
        <v>662</v>
      </c>
      <c r="D7" s="137">
        <v>3680000</v>
      </c>
      <c r="E7" s="20" t="s">
        <v>511</v>
      </c>
      <c r="F7" s="20" t="s">
        <v>512</v>
      </c>
      <c r="G7" s="8" t="str">
        <f t="shared" si="0"/>
        <v>HAMMOND JUSTYNN</v>
      </c>
      <c r="H7" s="20" t="str">
        <f t="shared" si="1"/>
        <v>4063</v>
      </c>
    </row>
    <row r="8" spans="1:8" x14ac:dyDescent="0.25">
      <c r="A8" s="8">
        <v>43075.118356481478</v>
      </c>
      <c r="B8" s="20" t="s">
        <v>485</v>
      </c>
      <c r="C8" s="20" t="s">
        <v>662</v>
      </c>
      <c r="D8" s="137">
        <v>3680000</v>
      </c>
      <c r="E8" s="20" t="s">
        <v>511</v>
      </c>
      <c r="F8" s="20" t="s">
        <v>512</v>
      </c>
      <c r="G8" s="8" t="str">
        <f t="shared" si="0"/>
        <v>HAMMOND JUSTYNN</v>
      </c>
      <c r="H8" s="20" t="str">
        <f t="shared" si="1"/>
        <v>4063</v>
      </c>
    </row>
    <row r="9" spans="1:8" ht="15.75" thickBot="1" x14ac:dyDescent="0.3">
      <c r="A9" s="24">
        <v>43075.128136574072</v>
      </c>
      <c r="B9" s="20" t="s">
        <v>517</v>
      </c>
      <c r="C9" s="20" t="s">
        <v>663</v>
      </c>
      <c r="D9" s="137">
        <v>1090000</v>
      </c>
      <c r="E9" s="20" t="s">
        <v>510</v>
      </c>
      <c r="F9" s="20" t="s">
        <v>352</v>
      </c>
      <c r="G9" s="8" t="str">
        <f t="shared" si="0"/>
        <v>SPECTOR MICHAEL</v>
      </c>
      <c r="H9" s="20" t="str">
        <f t="shared" si="1"/>
        <v>4064</v>
      </c>
    </row>
    <row r="10" spans="1:8" x14ac:dyDescent="0.25">
      <c r="A10" s="8">
        <v>43075.129606481481</v>
      </c>
      <c r="B10" s="20" t="s">
        <v>356</v>
      </c>
      <c r="C10" s="20" t="s">
        <v>664</v>
      </c>
      <c r="D10" s="137">
        <v>3680000</v>
      </c>
      <c r="E10" s="20" t="s">
        <v>511</v>
      </c>
      <c r="F10" s="20" t="s">
        <v>512</v>
      </c>
      <c r="G10" s="8" t="str">
        <f t="shared" si="0"/>
        <v>HAMMOND JUSTYNN</v>
      </c>
      <c r="H10" s="20" t="str">
        <f t="shared" si="1"/>
        <v>4008</v>
      </c>
    </row>
    <row r="11" spans="1:8" x14ac:dyDescent="0.25">
      <c r="A11" s="8">
        <v>43075.139409722222</v>
      </c>
      <c r="B11" s="20" t="s">
        <v>479</v>
      </c>
      <c r="C11" s="20" t="s">
        <v>665</v>
      </c>
      <c r="D11" s="137">
        <v>1260000</v>
      </c>
      <c r="E11" s="20" t="s">
        <v>666</v>
      </c>
      <c r="F11" s="20" t="s">
        <v>667</v>
      </c>
      <c r="G11" s="8" t="str">
        <f t="shared" si="0"/>
        <v>ACKERMAN JARED</v>
      </c>
      <c r="H11" s="20" t="str">
        <f t="shared" si="1"/>
        <v>4009</v>
      </c>
    </row>
    <row r="12" spans="1:8" x14ac:dyDescent="0.25">
      <c r="A12" s="8">
        <v>43075.140555555554</v>
      </c>
      <c r="B12" s="20" t="s">
        <v>485</v>
      </c>
      <c r="C12" s="20" t="s">
        <v>668</v>
      </c>
      <c r="D12" s="137">
        <v>1090000</v>
      </c>
      <c r="E12" s="20" t="s">
        <v>510</v>
      </c>
      <c r="F12" s="20" t="s">
        <v>352</v>
      </c>
      <c r="G12" s="8" t="str">
        <f t="shared" si="0"/>
        <v>SPECTOR MICHAEL</v>
      </c>
      <c r="H12" s="20" t="str">
        <f t="shared" si="1"/>
        <v>4063</v>
      </c>
    </row>
    <row r="13" spans="1:8" x14ac:dyDescent="0.25">
      <c r="A13" s="8">
        <v>43075.149386574078</v>
      </c>
      <c r="B13" s="20" t="s">
        <v>480</v>
      </c>
      <c r="C13" s="20" t="s">
        <v>669</v>
      </c>
      <c r="D13" s="137">
        <v>1260000</v>
      </c>
      <c r="E13" s="20" t="s">
        <v>666</v>
      </c>
      <c r="F13" s="20" t="s">
        <v>667</v>
      </c>
      <c r="G13" s="8" t="str">
        <f t="shared" si="0"/>
        <v>ACKERMAN JARED</v>
      </c>
      <c r="H13" s="20" t="str">
        <f t="shared" si="1"/>
        <v>4010</v>
      </c>
    </row>
    <row r="14" spans="1:8" x14ac:dyDescent="0.25">
      <c r="A14" s="8">
        <v>43075.164143518516</v>
      </c>
      <c r="B14" s="20" t="s">
        <v>358</v>
      </c>
      <c r="C14" s="20" t="s">
        <v>670</v>
      </c>
      <c r="D14" s="137">
        <v>3680000</v>
      </c>
      <c r="E14" s="20" t="s">
        <v>511</v>
      </c>
      <c r="F14" s="20" t="s">
        <v>512</v>
      </c>
      <c r="G14" s="8" t="str">
        <f t="shared" si="0"/>
        <v>HAMMOND JUSTYNN</v>
      </c>
      <c r="H14" s="20" t="str">
        <f t="shared" si="1"/>
        <v>4007</v>
      </c>
    </row>
    <row r="15" spans="1:8" x14ac:dyDescent="0.25">
      <c r="A15" s="8">
        <v>43075.164456018516</v>
      </c>
      <c r="B15" s="20" t="s">
        <v>456</v>
      </c>
      <c r="C15" s="20" t="s">
        <v>671</v>
      </c>
      <c r="D15" s="137">
        <v>1830000</v>
      </c>
      <c r="E15" s="20" t="s">
        <v>346</v>
      </c>
      <c r="F15" s="20" t="s">
        <v>347</v>
      </c>
      <c r="G15" s="8" t="str">
        <f t="shared" si="0"/>
        <v>YORK EDGAR</v>
      </c>
      <c r="H15" s="20" t="str">
        <f t="shared" si="1"/>
        <v>4031</v>
      </c>
    </row>
    <row r="16" spans="1:8" x14ac:dyDescent="0.25">
      <c r="A16" s="8">
        <v>43075.170810185184</v>
      </c>
      <c r="B16" s="20" t="s">
        <v>547</v>
      </c>
      <c r="C16" s="20" t="s">
        <v>672</v>
      </c>
      <c r="D16" s="137">
        <v>1340000</v>
      </c>
      <c r="E16" s="20" t="s">
        <v>553</v>
      </c>
      <c r="F16" s="20" t="s">
        <v>554</v>
      </c>
      <c r="G16" s="8" t="str">
        <f t="shared" si="0"/>
        <v>BEAM ROSS</v>
      </c>
      <c r="H16" s="20" t="str">
        <f t="shared" si="1"/>
        <v>4003</v>
      </c>
    </row>
    <row r="17" spans="1:8" x14ac:dyDescent="0.25">
      <c r="A17" s="8">
        <v>43075.174409722225</v>
      </c>
      <c r="B17" s="20" t="s">
        <v>632</v>
      </c>
      <c r="C17" s="20" t="s">
        <v>673</v>
      </c>
      <c r="D17" s="137">
        <v>2440000</v>
      </c>
      <c r="E17" s="20" t="s">
        <v>674</v>
      </c>
      <c r="F17" s="20" t="s">
        <v>675</v>
      </c>
      <c r="G17" s="8" t="str">
        <f t="shared" si="0"/>
        <v>LOPES KIMBERLY</v>
      </c>
      <c r="H17" s="20" t="str">
        <f t="shared" si="1"/>
        <v>4041</v>
      </c>
    </row>
    <row r="18" spans="1:8" x14ac:dyDescent="0.25">
      <c r="A18" s="8">
        <v>43075.175949074073</v>
      </c>
      <c r="B18" s="20" t="s">
        <v>457</v>
      </c>
      <c r="C18" s="20" t="s">
        <v>628</v>
      </c>
      <c r="D18" s="137">
        <v>1830000</v>
      </c>
      <c r="E18" s="20" t="s">
        <v>346</v>
      </c>
      <c r="F18" s="20" t="s">
        <v>347</v>
      </c>
      <c r="G18" s="8" t="str">
        <f t="shared" si="0"/>
        <v>YORK EDGAR</v>
      </c>
      <c r="H18" s="20" t="str">
        <f t="shared" si="1"/>
        <v>4032</v>
      </c>
    </row>
    <row r="19" spans="1:8" x14ac:dyDescent="0.25">
      <c r="A19" s="8">
        <v>43075.179351851853</v>
      </c>
      <c r="B19" s="20" t="s">
        <v>548</v>
      </c>
      <c r="C19" s="20" t="s">
        <v>676</v>
      </c>
      <c r="D19" s="137">
        <v>1340000</v>
      </c>
      <c r="E19" s="20" t="s">
        <v>553</v>
      </c>
      <c r="F19" s="20" t="s">
        <v>554</v>
      </c>
      <c r="G19" s="8" t="str">
        <f t="shared" si="0"/>
        <v>BEAM ROSS</v>
      </c>
      <c r="H19" s="20" t="str">
        <f t="shared" si="1"/>
        <v>4004</v>
      </c>
    </row>
    <row r="20" spans="1:8" x14ac:dyDescent="0.25">
      <c r="A20" s="8">
        <v>43075.188634259262</v>
      </c>
      <c r="B20" s="20" t="s">
        <v>655</v>
      </c>
      <c r="C20" s="20" t="s">
        <v>677</v>
      </c>
      <c r="D20" s="137">
        <v>2440000</v>
      </c>
      <c r="E20" s="20" t="s">
        <v>674</v>
      </c>
      <c r="F20" s="20" t="s">
        <v>675</v>
      </c>
      <c r="G20" s="8" t="str">
        <f t="shared" si="0"/>
        <v>LOPES KIMBERLY</v>
      </c>
      <c r="H20" s="20" t="str">
        <f t="shared" si="1"/>
        <v>4042</v>
      </c>
    </row>
    <row r="21" spans="1:8" x14ac:dyDescent="0.25">
      <c r="A21" s="8">
        <v>43075.189467592594</v>
      </c>
      <c r="B21" s="20" t="s">
        <v>479</v>
      </c>
      <c r="C21" s="20" t="s">
        <v>630</v>
      </c>
      <c r="D21" s="137">
        <v>1260000</v>
      </c>
      <c r="E21" s="20" t="s">
        <v>666</v>
      </c>
      <c r="F21" s="20" t="s">
        <v>667</v>
      </c>
      <c r="G21" s="8" t="str">
        <f t="shared" si="0"/>
        <v>ACKERMAN JARED</v>
      </c>
      <c r="H21" s="20" t="str">
        <f t="shared" si="1"/>
        <v>4009</v>
      </c>
    </row>
    <row r="22" spans="1:8" x14ac:dyDescent="0.25">
      <c r="A22" s="26">
        <v>43075.198495370372</v>
      </c>
      <c r="B22" s="20" t="s">
        <v>637</v>
      </c>
      <c r="C22" s="20" t="s">
        <v>678</v>
      </c>
      <c r="D22" s="137">
        <v>1230000</v>
      </c>
      <c r="E22" s="20" t="s">
        <v>515</v>
      </c>
      <c r="F22" s="20" t="s">
        <v>516</v>
      </c>
      <c r="G22" s="8" t="str">
        <f t="shared" si="0"/>
        <v>YANAI IAN</v>
      </c>
      <c r="H22" s="20" t="str">
        <f t="shared" si="1"/>
        <v>4033</v>
      </c>
    </row>
    <row r="23" spans="1:8" x14ac:dyDescent="0.25">
      <c r="A23" s="8">
        <v>43075.201342592591</v>
      </c>
      <c r="B23" s="20" t="s">
        <v>448</v>
      </c>
      <c r="C23" s="20" t="s">
        <v>679</v>
      </c>
      <c r="D23" s="137">
        <v>3090000</v>
      </c>
      <c r="E23" s="20" t="s">
        <v>482</v>
      </c>
      <c r="F23" s="20" t="s">
        <v>483</v>
      </c>
      <c r="G23" s="8" t="str">
        <f t="shared" si="0"/>
        <v>LAMAR NEKESHA</v>
      </c>
      <c r="H23" s="20" t="str">
        <f t="shared" si="1"/>
        <v>4058</v>
      </c>
    </row>
    <row r="24" spans="1:8" x14ac:dyDescent="0.25">
      <c r="A24" s="8">
        <v>43075.204108796293</v>
      </c>
      <c r="B24" s="20" t="s">
        <v>356</v>
      </c>
      <c r="C24" s="20" t="s">
        <v>680</v>
      </c>
      <c r="D24" s="137">
        <v>3680000</v>
      </c>
      <c r="E24" s="20" t="s">
        <v>511</v>
      </c>
      <c r="F24" s="20" t="s">
        <v>512</v>
      </c>
      <c r="G24" s="8" t="str">
        <f t="shared" si="0"/>
        <v>HAMMOND JUSTYNN</v>
      </c>
      <c r="H24" s="20" t="str">
        <f t="shared" si="1"/>
        <v>4008</v>
      </c>
    </row>
    <row r="25" spans="1:8" x14ac:dyDescent="0.25">
      <c r="A25" s="8">
        <v>43075.204814814817</v>
      </c>
      <c r="B25" s="20" t="s">
        <v>456</v>
      </c>
      <c r="C25" s="20" t="s">
        <v>681</v>
      </c>
      <c r="D25" s="137">
        <v>1830000</v>
      </c>
      <c r="E25" s="20" t="s">
        <v>346</v>
      </c>
      <c r="F25" s="20" t="s">
        <v>347</v>
      </c>
      <c r="G25" s="8" t="str">
        <f t="shared" si="0"/>
        <v>YORK EDGAR</v>
      </c>
      <c r="H25" s="20" t="str">
        <f t="shared" si="1"/>
        <v>4031</v>
      </c>
    </row>
    <row r="26" spans="1:8" x14ac:dyDescent="0.25">
      <c r="A26" s="8">
        <v>43075.21230324074</v>
      </c>
      <c r="B26" s="20" t="s">
        <v>513</v>
      </c>
      <c r="C26" s="20" t="s">
        <v>682</v>
      </c>
      <c r="D26" s="137">
        <v>3090000</v>
      </c>
      <c r="E26" s="20" t="s">
        <v>482</v>
      </c>
      <c r="F26" s="20" t="s">
        <v>483</v>
      </c>
      <c r="G26" s="8" t="str">
        <f t="shared" si="0"/>
        <v>LAMAR NEKESHA</v>
      </c>
      <c r="H26" s="20" t="str">
        <f t="shared" si="1"/>
        <v>4057</v>
      </c>
    </row>
    <row r="27" spans="1:8" x14ac:dyDescent="0.25">
      <c r="A27" s="8">
        <v>43075.21329861111</v>
      </c>
      <c r="B27" s="20" t="s">
        <v>547</v>
      </c>
      <c r="C27" s="20" t="s">
        <v>631</v>
      </c>
      <c r="D27" s="137">
        <v>1340000</v>
      </c>
      <c r="E27" s="20" t="s">
        <v>553</v>
      </c>
      <c r="F27" s="20" t="s">
        <v>554</v>
      </c>
      <c r="G27" s="8" t="str">
        <f t="shared" si="0"/>
        <v>BEAM ROSS</v>
      </c>
      <c r="H27" s="20" t="str">
        <f t="shared" si="1"/>
        <v>4003</v>
      </c>
    </row>
    <row r="28" spans="1:8" x14ac:dyDescent="0.25">
      <c r="A28" s="8">
        <v>43075.21533564815</v>
      </c>
      <c r="B28" s="20" t="s">
        <v>653</v>
      </c>
      <c r="C28" s="20" t="s">
        <v>683</v>
      </c>
      <c r="D28" s="137">
        <v>1230000</v>
      </c>
      <c r="E28" s="20" t="s">
        <v>515</v>
      </c>
      <c r="F28" s="20" t="s">
        <v>516</v>
      </c>
      <c r="G28" s="8" t="str">
        <f t="shared" si="0"/>
        <v>YANAI IAN</v>
      </c>
      <c r="H28" s="20" t="str">
        <f t="shared" si="1"/>
        <v>4034</v>
      </c>
    </row>
    <row r="29" spans="1:8" x14ac:dyDescent="0.25">
      <c r="A29" s="8">
        <v>43075.218541666669</v>
      </c>
      <c r="B29" s="20" t="s">
        <v>375</v>
      </c>
      <c r="C29" s="20" t="s">
        <v>629</v>
      </c>
      <c r="D29" s="137">
        <v>3000000</v>
      </c>
      <c r="E29" s="20" t="s">
        <v>555</v>
      </c>
      <c r="F29" s="20" t="s">
        <v>556</v>
      </c>
      <c r="G29" s="8" t="str">
        <f t="shared" si="0"/>
        <v>FORTUNATO FRANK</v>
      </c>
      <c r="H29" s="20" t="str">
        <f t="shared" si="1"/>
        <v>4061</v>
      </c>
    </row>
    <row r="30" spans="1:8" x14ac:dyDescent="0.25">
      <c r="A30" s="8">
        <v>43075.225428240738</v>
      </c>
      <c r="B30" s="20" t="s">
        <v>480</v>
      </c>
      <c r="C30" s="20" t="s">
        <v>684</v>
      </c>
      <c r="D30" s="137">
        <v>1260000</v>
      </c>
      <c r="E30" s="20" t="s">
        <v>666</v>
      </c>
      <c r="F30" s="20" t="s">
        <v>667</v>
      </c>
      <c r="G30" s="8" t="str">
        <f t="shared" si="0"/>
        <v>ACKERMAN JARED</v>
      </c>
      <c r="H30" s="20" t="str">
        <f t="shared" si="1"/>
        <v>4010</v>
      </c>
    </row>
    <row r="31" spans="1:8" x14ac:dyDescent="0.25">
      <c r="A31" s="8">
        <v>43075.226620370369</v>
      </c>
      <c r="B31" s="20" t="s">
        <v>632</v>
      </c>
      <c r="C31" s="20" t="s">
        <v>633</v>
      </c>
      <c r="D31" s="137">
        <v>2440000</v>
      </c>
      <c r="E31" s="20" t="s">
        <v>674</v>
      </c>
      <c r="F31" s="20" t="s">
        <v>675</v>
      </c>
      <c r="G31" s="8" t="str">
        <f t="shared" si="0"/>
        <v>LOPES KIMBERLY</v>
      </c>
      <c r="H31" s="20" t="str">
        <f t="shared" si="1"/>
        <v>4041</v>
      </c>
    </row>
    <row r="32" spans="1:8" x14ac:dyDescent="0.25">
      <c r="A32" s="8">
        <v>43075.228888888887</v>
      </c>
      <c r="B32" s="20" t="s">
        <v>448</v>
      </c>
      <c r="C32" s="20" t="s">
        <v>685</v>
      </c>
      <c r="D32" s="137">
        <v>3090000</v>
      </c>
      <c r="E32" s="20" t="s">
        <v>482</v>
      </c>
      <c r="F32" s="20" t="s">
        <v>483</v>
      </c>
      <c r="G32" s="8" t="str">
        <f t="shared" si="0"/>
        <v>LAMAR NEKESHA</v>
      </c>
      <c r="H32" s="20" t="str">
        <f t="shared" si="1"/>
        <v>4058</v>
      </c>
    </row>
    <row r="33" spans="1:8" x14ac:dyDescent="0.25">
      <c r="A33" s="8">
        <v>43075.22929398148</v>
      </c>
      <c r="B33" s="20" t="s">
        <v>373</v>
      </c>
      <c r="C33" s="20" t="s">
        <v>686</v>
      </c>
      <c r="D33" s="137">
        <v>3000000</v>
      </c>
      <c r="E33" s="20" t="s">
        <v>555</v>
      </c>
      <c r="F33" s="20" t="s">
        <v>556</v>
      </c>
      <c r="G33" s="8" t="str">
        <f t="shared" si="0"/>
        <v>FORTUNATO FRANK</v>
      </c>
      <c r="H33" s="20" t="str">
        <f t="shared" si="1"/>
        <v>4062</v>
      </c>
    </row>
    <row r="34" spans="1:8" x14ac:dyDescent="0.25">
      <c r="A34" s="8">
        <v>43075.236990740741</v>
      </c>
      <c r="B34" s="20" t="s">
        <v>547</v>
      </c>
      <c r="C34" s="20" t="s">
        <v>631</v>
      </c>
      <c r="D34" s="137">
        <v>1340000</v>
      </c>
      <c r="E34" s="20" t="s">
        <v>553</v>
      </c>
      <c r="F34" s="20" t="s">
        <v>554</v>
      </c>
      <c r="G34" s="8" t="str">
        <f t="shared" si="0"/>
        <v>BEAM ROSS</v>
      </c>
      <c r="H34" s="20" t="str">
        <f t="shared" si="1"/>
        <v>4003</v>
      </c>
    </row>
    <row r="35" spans="1:8" x14ac:dyDescent="0.25">
      <c r="A35" s="8">
        <v>43075.24145833333</v>
      </c>
      <c r="B35" s="20" t="s">
        <v>687</v>
      </c>
      <c r="C35" s="20" t="s">
        <v>688</v>
      </c>
      <c r="D35" s="137">
        <v>900000</v>
      </c>
      <c r="E35" s="20" t="s">
        <v>689</v>
      </c>
      <c r="F35" s="20" t="s">
        <v>690</v>
      </c>
      <c r="G35" s="8" t="str">
        <f t="shared" si="0"/>
        <v>ROCHA YAOTL</v>
      </c>
      <c r="H35" s="20" t="str">
        <f t="shared" si="1"/>
        <v>4049</v>
      </c>
    </row>
    <row r="36" spans="1:8" x14ac:dyDescent="0.25">
      <c r="A36" s="8">
        <v>43075.244085648148</v>
      </c>
      <c r="B36" s="20" t="s">
        <v>457</v>
      </c>
      <c r="C36" s="20" t="s">
        <v>691</v>
      </c>
      <c r="D36" s="137">
        <v>1830000</v>
      </c>
      <c r="E36" s="20" t="s">
        <v>346</v>
      </c>
      <c r="F36" s="20" t="s">
        <v>347</v>
      </c>
      <c r="G36" s="8" t="str">
        <f t="shared" si="0"/>
        <v>YORK EDGAR</v>
      </c>
      <c r="H36" s="20" t="str">
        <f t="shared" si="1"/>
        <v>4032</v>
      </c>
    </row>
    <row r="37" spans="1:8" x14ac:dyDescent="0.25">
      <c r="A37" s="8">
        <v>43075.24459490741</v>
      </c>
      <c r="B37" s="20" t="s">
        <v>358</v>
      </c>
      <c r="C37" s="20" t="s">
        <v>634</v>
      </c>
      <c r="D37" s="137">
        <v>3680000</v>
      </c>
      <c r="E37" s="20" t="s">
        <v>511</v>
      </c>
      <c r="F37" s="20" t="s">
        <v>512</v>
      </c>
      <c r="G37" s="8" t="str">
        <f t="shared" si="0"/>
        <v>HAMMOND JUSTYNN</v>
      </c>
      <c r="H37" s="20" t="str">
        <f t="shared" si="1"/>
        <v>4007</v>
      </c>
    </row>
    <row r="38" spans="1:8" x14ac:dyDescent="0.25">
      <c r="A38" s="8">
        <v>43075.247442129628</v>
      </c>
      <c r="B38" s="20" t="s">
        <v>513</v>
      </c>
      <c r="C38" s="20" t="s">
        <v>692</v>
      </c>
      <c r="D38" s="137">
        <v>3090000</v>
      </c>
      <c r="E38" s="20" t="s">
        <v>482</v>
      </c>
      <c r="F38" s="20" t="s">
        <v>483</v>
      </c>
      <c r="G38" s="8" t="str">
        <f t="shared" si="0"/>
        <v>LAMAR NEKESHA</v>
      </c>
      <c r="H38" s="20" t="str">
        <f t="shared" si="1"/>
        <v>4057</v>
      </c>
    </row>
    <row r="39" spans="1:8" x14ac:dyDescent="0.25">
      <c r="A39" s="8">
        <v>43075.249548611115</v>
      </c>
      <c r="B39" s="20" t="s">
        <v>637</v>
      </c>
      <c r="C39" s="20" t="s">
        <v>693</v>
      </c>
      <c r="D39" s="137">
        <v>1230000</v>
      </c>
      <c r="E39" s="20" t="s">
        <v>515</v>
      </c>
      <c r="F39" s="20" t="s">
        <v>516</v>
      </c>
      <c r="G39" s="8" t="str">
        <f t="shared" si="0"/>
        <v>YANAI IAN</v>
      </c>
      <c r="H39" s="20" t="str">
        <f t="shared" si="1"/>
        <v>4033</v>
      </c>
    </row>
    <row r="40" spans="1:8" x14ac:dyDescent="0.25">
      <c r="A40" s="8">
        <v>43075.254895833335</v>
      </c>
      <c r="B40" s="25" t="s">
        <v>640</v>
      </c>
      <c r="C40" s="20" t="s">
        <v>694</v>
      </c>
      <c r="D40" s="137">
        <v>900000</v>
      </c>
      <c r="E40" s="20" t="s">
        <v>689</v>
      </c>
      <c r="F40" s="20" t="s">
        <v>690</v>
      </c>
      <c r="G40" s="8" t="str">
        <f t="shared" si="0"/>
        <v>ROCHA YAOTL</v>
      </c>
      <c r="H40" s="20" t="str">
        <f t="shared" si="1"/>
        <v>4050</v>
      </c>
    </row>
    <row r="41" spans="1:8" x14ac:dyDescent="0.25">
      <c r="A41" s="8">
        <v>43075.25677083333</v>
      </c>
      <c r="B41" s="20" t="s">
        <v>548</v>
      </c>
      <c r="C41" s="20" t="s">
        <v>695</v>
      </c>
      <c r="D41" s="137">
        <v>1340000</v>
      </c>
      <c r="E41" s="20" t="s">
        <v>553</v>
      </c>
      <c r="F41" s="20" t="s">
        <v>554</v>
      </c>
      <c r="G41" s="8" t="str">
        <f t="shared" si="0"/>
        <v>BEAM ROSS</v>
      </c>
      <c r="H41" s="20" t="str">
        <f t="shared" si="1"/>
        <v>4004</v>
      </c>
    </row>
    <row r="42" spans="1:8" x14ac:dyDescent="0.25">
      <c r="A42" s="8">
        <v>43075.26289351852</v>
      </c>
      <c r="B42" s="20" t="s">
        <v>479</v>
      </c>
      <c r="C42" s="20" t="s">
        <v>696</v>
      </c>
      <c r="D42" s="137">
        <v>1260000</v>
      </c>
      <c r="E42" s="20" t="s">
        <v>666</v>
      </c>
      <c r="F42" s="20" t="s">
        <v>667</v>
      </c>
      <c r="G42" s="8" t="str">
        <f t="shared" si="0"/>
        <v>ACKERMAN JARED</v>
      </c>
      <c r="H42" s="20" t="str">
        <f t="shared" si="1"/>
        <v>4009</v>
      </c>
    </row>
    <row r="43" spans="1:8" x14ac:dyDescent="0.25">
      <c r="A43" s="8">
        <v>43075.266018518516</v>
      </c>
      <c r="B43" s="20" t="s">
        <v>655</v>
      </c>
      <c r="C43" s="20" t="s">
        <v>697</v>
      </c>
      <c r="D43" s="137">
        <v>2440000</v>
      </c>
      <c r="E43" s="20" t="s">
        <v>674</v>
      </c>
      <c r="F43" s="20" t="s">
        <v>675</v>
      </c>
      <c r="G43" s="8" t="str">
        <f t="shared" si="0"/>
        <v>LOPES KIMBERLY</v>
      </c>
      <c r="H43" s="20" t="str">
        <f t="shared" si="1"/>
        <v>4042</v>
      </c>
    </row>
    <row r="44" spans="1:8" x14ac:dyDescent="0.25">
      <c r="A44" s="8">
        <v>43075.266423611109</v>
      </c>
      <c r="B44" s="20" t="s">
        <v>375</v>
      </c>
      <c r="C44" s="20" t="s">
        <v>698</v>
      </c>
      <c r="D44" s="137">
        <v>3000000</v>
      </c>
      <c r="E44" s="20" t="s">
        <v>555</v>
      </c>
      <c r="F44" s="20" t="s">
        <v>556</v>
      </c>
      <c r="G44" s="8" t="str">
        <f t="shared" si="0"/>
        <v>FORTUNATO FRANK</v>
      </c>
      <c r="H44" s="20" t="str">
        <f t="shared" si="1"/>
        <v>4061</v>
      </c>
    </row>
    <row r="45" spans="1:8" x14ac:dyDescent="0.25">
      <c r="A45" s="8">
        <v>43075.267812500002</v>
      </c>
      <c r="B45" s="20" t="s">
        <v>687</v>
      </c>
      <c r="C45" s="20" t="s">
        <v>699</v>
      </c>
      <c r="D45" s="137">
        <v>900000</v>
      </c>
      <c r="E45" s="20" t="s">
        <v>689</v>
      </c>
      <c r="F45" s="20" t="s">
        <v>690</v>
      </c>
      <c r="G45" s="8" t="str">
        <f t="shared" si="0"/>
        <v>ROCHA YAOTL</v>
      </c>
      <c r="H45" s="20" t="str">
        <f t="shared" si="1"/>
        <v>4049</v>
      </c>
    </row>
    <row r="46" spans="1:8" x14ac:dyDescent="0.25">
      <c r="A46" s="8">
        <v>43075.275902777779</v>
      </c>
      <c r="B46" s="20" t="s">
        <v>456</v>
      </c>
      <c r="C46" s="20" t="s">
        <v>700</v>
      </c>
      <c r="D46" s="137">
        <v>1830000</v>
      </c>
      <c r="E46" s="20" t="s">
        <v>346</v>
      </c>
      <c r="F46" s="20" t="s">
        <v>347</v>
      </c>
      <c r="G46" s="8" t="str">
        <f t="shared" si="0"/>
        <v>YORK EDGAR</v>
      </c>
      <c r="H46" s="20" t="str">
        <f t="shared" si="1"/>
        <v>4031</v>
      </c>
    </row>
    <row r="47" spans="1:8" x14ac:dyDescent="0.25">
      <c r="A47" s="8">
        <v>43075.276655092595</v>
      </c>
      <c r="B47" s="20" t="s">
        <v>448</v>
      </c>
      <c r="C47" s="20" t="s">
        <v>701</v>
      </c>
      <c r="D47" s="137">
        <v>3090000</v>
      </c>
      <c r="E47" s="20" t="s">
        <v>482</v>
      </c>
      <c r="F47" s="20" t="s">
        <v>483</v>
      </c>
      <c r="G47" s="8" t="str">
        <f t="shared" si="0"/>
        <v>LAMAR NEKESHA</v>
      </c>
      <c r="H47" s="20" t="str">
        <f t="shared" si="1"/>
        <v>4058</v>
      </c>
    </row>
    <row r="48" spans="1:8" x14ac:dyDescent="0.25">
      <c r="A48" s="8">
        <v>43075.277268518519</v>
      </c>
      <c r="B48" s="20" t="s">
        <v>356</v>
      </c>
      <c r="C48" s="20" t="s">
        <v>702</v>
      </c>
      <c r="D48" s="137">
        <v>3680000</v>
      </c>
      <c r="E48" s="20" t="s">
        <v>511</v>
      </c>
      <c r="F48" s="20" t="s">
        <v>512</v>
      </c>
      <c r="G48" s="8" t="str">
        <f t="shared" si="0"/>
        <v>HAMMOND JUSTYNN</v>
      </c>
      <c r="H48" s="20" t="str">
        <f t="shared" si="1"/>
        <v>4008</v>
      </c>
    </row>
    <row r="49" spans="1:8" x14ac:dyDescent="0.25">
      <c r="A49" s="8">
        <v>43075.286249999997</v>
      </c>
      <c r="B49" s="20" t="s">
        <v>653</v>
      </c>
      <c r="C49" s="20" t="s">
        <v>703</v>
      </c>
      <c r="D49" s="137">
        <v>1230000</v>
      </c>
      <c r="E49" s="20" t="s">
        <v>515</v>
      </c>
      <c r="F49" s="20" t="s">
        <v>516</v>
      </c>
      <c r="G49" s="8" t="str">
        <f t="shared" si="0"/>
        <v>YANAI IAN</v>
      </c>
      <c r="H49" s="20" t="str">
        <f t="shared" si="1"/>
        <v>4034</v>
      </c>
    </row>
    <row r="50" spans="1:8" x14ac:dyDescent="0.25">
      <c r="A50" s="8">
        <v>43075.286562499998</v>
      </c>
      <c r="B50" s="20" t="s">
        <v>547</v>
      </c>
      <c r="C50" s="20" t="s">
        <v>635</v>
      </c>
      <c r="D50" s="137">
        <v>1340000</v>
      </c>
      <c r="E50" s="20" t="s">
        <v>553</v>
      </c>
      <c r="F50" s="20" t="s">
        <v>554</v>
      </c>
      <c r="G50" s="8" t="str">
        <f t="shared" si="0"/>
        <v>BEAM ROSS</v>
      </c>
      <c r="H50" s="20" t="str">
        <f t="shared" si="1"/>
        <v>4003</v>
      </c>
    </row>
    <row r="51" spans="1:8" x14ac:dyDescent="0.25">
      <c r="A51" s="8">
        <v>43075.289537037039</v>
      </c>
      <c r="B51" s="20" t="s">
        <v>513</v>
      </c>
      <c r="C51" s="20" t="s">
        <v>704</v>
      </c>
      <c r="D51" s="137">
        <v>3090000</v>
      </c>
      <c r="E51" s="20" t="s">
        <v>482</v>
      </c>
      <c r="F51" s="20" t="s">
        <v>483</v>
      </c>
      <c r="G51" s="8" t="str">
        <f t="shared" si="0"/>
        <v>LAMAR NEKESHA</v>
      </c>
      <c r="H51" s="20" t="str">
        <f t="shared" si="1"/>
        <v>4057</v>
      </c>
    </row>
    <row r="52" spans="1:8" x14ac:dyDescent="0.25">
      <c r="A52" s="8">
        <v>43075.295902777776</v>
      </c>
      <c r="B52" s="20" t="s">
        <v>640</v>
      </c>
      <c r="C52" s="20" t="s">
        <v>705</v>
      </c>
      <c r="D52" s="137">
        <v>900000</v>
      </c>
      <c r="E52" s="20" t="s">
        <v>689</v>
      </c>
      <c r="F52" s="20" t="s">
        <v>690</v>
      </c>
      <c r="G52" s="8" t="str">
        <f t="shared" si="0"/>
        <v>ROCHA YAOTL</v>
      </c>
      <c r="H52" s="20" t="str">
        <f t="shared" si="1"/>
        <v>4050</v>
      </c>
    </row>
    <row r="53" spans="1:8" x14ac:dyDescent="0.25">
      <c r="A53" s="8">
        <v>43075.297754629632</v>
      </c>
      <c r="B53" s="20" t="s">
        <v>480</v>
      </c>
      <c r="C53" s="20" t="s">
        <v>706</v>
      </c>
      <c r="D53" s="137">
        <v>1260000</v>
      </c>
      <c r="E53" s="20" t="s">
        <v>666</v>
      </c>
      <c r="F53" s="20" t="s">
        <v>667</v>
      </c>
      <c r="G53" s="8" t="str">
        <f t="shared" si="0"/>
        <v>ACKERMAN JARED</v>
      </c>
      <c r="H53" s="20" t="str">
        <f t="shared" si="1"/>
        <v>4010</v>
      </c>
    </row>
    <row r="54" spans="1:8" x14ac:dyDescent="0.25">
      <c r="A54" s="8">
        <v>43075.299907407411</v>
      </c>
      <c r="B54" s="20" t="s">
        <v>632</v>
      </c>
      <c r="C54" s="20" t="s">
        <v>707</v>
      </c>
      <c r="D54" s="137">
        <v>2440000</v>
      </c>
      <c r="E54" s="20" t="s">
        <v>674</v>
      </c>
      <c r="F54" s="20" t="s">
        <v>675</v>
      </c>
      <c r="G54" s="8" t="str">
        <f t="shared" si="0"/>
        <v>LOPES KIMBERLY</v>
      </c>
      <c r="H54" s="20" t="str">
        <f t="shared" si="1"/>
        <v>4041</v>
      </c>
    </row>
    <row r="55" spans="1:8" x14ac:dyDescent="0.25">
      <c r="A55" s="8">
        <v>43075.307696759257</v>
      </c>
      <c r="B55" s="20" t="s">
        <v>373</v>
      </c>
      <c r="C55" s="20" t="s">
        <v>708</v>
      </c>
      <c r="D55" s="137">
        <v>3000000</v>
      </c>
      <c r="E55" s="20" t="s">
        <v>555</v>
      </c>
      <c r="F55" s="20" t="s">
        <v>556</v>
      </c>
      <c r="G55" s="8" t="str">
        <f t="shared" si="0"/>
        <v>FORTUNATO FRANK</v>
      </c>
      <c r="H55" s="20" t="str">
        <f t="shared" si="1"/>
        <v>4062</v>
      </c>
    </row>
    <row r="56" spans="1:8" x14ac:dyDescent="0.25">
      <c r="A56" s="8">
        <v>43075.309733796297</v>
      </c>
      <c r="B56" s="20" t="s">
        <v>687</v>
      </c>
      <c r="C56" s="20" t="s">
        <v>709</v>
      </c>
      <c r="D56" s="137">
        <v>900000</v>
      </c>
      <c r="E56" s="20" t="s">
        <v>689</v>
      </c>
      <c r="F56" s="20" t="s">
        <v>690</v>
      </c>
      <c r="G56" s="8" t="str">
        <f t="shared" si="0"/>
        <v>ROCHA YAOTL</v>
      </c>
      <c r="H56" s="20" t="str">
        <f t="shared" si="1"/>
        <v>4049</v>
      </c>
    </row>
    <row r="57" spans="1:8" x14ac:dyDescent="0.25">
      <c r="A57" s="8">
        <v>43075.316469907404</v>
      </c>
      <c r="B57" s="20" t="s">
        <v>358</v>
      </c>
      <c r="C57" s="20" t="s">
        <v>710</v>
      </c>
      <c r="D57" s="137">
        <v>3680000</v>
      </c>
      <c r="E57" s="20" t="s">
        <v>511</v>
      </c>
      <c r="F57" s="20" t="s">
        <v>512</v>
      </c>
      <c r="G57" s="8" t="str">
        <f t="shared" si="0"/>
        <v>HAMMOND JUSTYNN</v>
      </c>
      <c r="H57" s="20" t="str">
        <f t="shared" si="1"/>
        <v>4007</v>
      </c>
    </row>
    <row r="58" spans="1:8" x14ac:dyDescent="0.25">
      <c r="A58" s="8">
        <v>43075.317037037035</v>
      </c>
      <c r="B58" s="20" t="s">
        <v>457</v>
      </c>
      <c r="C58" s="20" t="s">
        <v>711</v>
      </c>
      <c r="D58" s="137">
        <v>1830000</v>
      </c>
      <c r="E58" s="20" t="s">
        <v>346</v>
      </c>
      <c r="F58" s="20" t="s">
        <v>347</v>
      </c>
      <c r="G58" s="8" t="str">
        <f t="shared" si="0"/>
        <v>YORK EDGAR</v>
      </c>
      <c r="H58" s="20" t="str">
        <f t="shared" si="1"/>
        <v>4032</v>
      </c>
    </row>
    <row r="59" spans="1:8" x14ac:dyDescent="0.25">
      <c r="A59" s="8">
        <v>43075.317743055559</v>
      </c>
      <c r="B59" s="20" t="s">
        <v>448</v>
      </c>
      <c r="C59" s="20" t="s">
        <v>636</v>
      </c>
      <c r="D59" s="137">
        <v>3090000</v>
      </c>
      <c r="E59" s="20" t="s">
        <v>482</v>
      </c>
      <c r="F59" s="20" t="s">
        <v>483</v>
      </c>
      <c r="G59" s="8" t="str">
        <f t="shared" si="0"/>
        <v>LAMAR NEKESHA</v>
      </c>
      <c r="H59" s="20" t="str">
        <f t="shared" si="1"/>
        <v>4058</v>
      </c>
    </row>
    <row r="60" spans="1:8" x14ac:dyDescent="0.25">
      <c r="A60" s="8">
        <v>43075.318530092591</v>
      </c>
      <c r="B60" s="20" t="s">
        <v>637</v>
      </c>
      <c r="C60" s="20" t="s">
        <v>638</v>
      </c>
      <c r="D60" s="137">
        <v>1230000</v>
      </c>
      <c r="E60" s="20" t="s">
        <v>515</v>
      </c>
      <c r="F60" s="20" t="s">
        <v>516</v>
      </c>
      <c r="G60" s="8" t="str">
        <f t="shared" si="0"/>
        <v>YANAI IAN</v>
      </c>
      <c r="H60" s="20" t="str">
        <f t="shared" si="1"/>
        <v>4033</v>
      </c>
    </row>
    <row r="61" spans="1:8" x14ac:dyDescent="0.25">
      <c r="A61" s="8">
        <v>43075.325659722221</v>
      </c>
      <c r="B61" s="20" t="s">
        <v>517</v>
      </c>
      <c r="C61" s="20" t="s">
        <v>712</v>
      </c>
      <c r="D61" s="137">
        <v>1090000</v>
      </c>
      <c r="E61" s="20" t="s">
        <v>510</v>
      </c>
      <c r="F61" s="20" t="s">
        <v>352</v>
      </c>
      <c r="G61" s="8" t="str">
        <f t="shared" si="0"/>
        <v>SPECTOR MICHAEL</v>
      </c>
      <c r="H61" s="20" t="str">
        <f t="shared" si="1"/>
        <v>4064</v>
      </c>
    </row>
    <row r="62" spans="1:8" x14ac:dyDescent="0.25">
      <c r="A62" s="8">
        <v>43075.328645833331</v>
      </c>
      <c r="B62" s="20" t="s">
        <v>485</v>
      </c>
      <c r="C62" s="20" t="s">
        <v>712</v>
      </c>
      <c r="D62" s="137">
        <v>1090000</v>
      </c>
      <c r="E62" s="20" t="s">
        <v>510</v>
      </c>
      <c r="F62" s="20" t="s">
        <v>352</v>
      </c>
      <c r="G62" s="8" t="str">
        <f t="shared" si="0"/>
        <v>SPECTOR MICHAEL</v>
      </c>
      <c r="H62" s="20" t="str">
        <f t="shared" si="1"/>
        <v>4063</v>
      </c>
    </row>
    <row r="63" spans="1:8" x14ac:dyDescent="0.25">
      <c r="A63" s="8">
        <v>43075.331400462965</v>
      </c>
      <c r="B63" s="20" t="s">
        <v>513</v>
      </c>
      <c r="C63" s="20" t="s">
        <v>713</v>
      </c>
      <c r="D63" s="137">
        <v>3090000</v>
      </c>
      <c r="E63" s="20" t="s">
        <v>482</v>
      </c>
      <c r="F63" s="20" t="s">
        <v>483</v>
      </c>
      <c r="G63" s="8" t="str">
        <f t="shared" si="0"/>
        <v>LAMAR NEKESHA</v>
      </c>
      <c r="H63" s="20" t="str">
        <f t="shared" si="1"/>
        <v>4057</v>
      </c>
    </row>
    <row r="64" spans="1:8" x14ac:dyDescent="0.25">
      <c r="A64" s="26">
        <v>43075.332199074073</v>
      </c>
      <c r="B64" s="20" t="s">
        <v>640</v>
      </c>
      <c r="C64" s="20" t="s">
        <v>714</v>
      </c>
      <c r="D64" s="137">
        <v>900000</v>
      </c>
      <c r="E64" s="20" t="s">
        <v>689</v>
      </c>
      <c r="F64" s="20" t="s">
        <v>690</v>
      </c>
      <c r="G64" s="8" t="str">
        <f t="shared" si="0"/>
        <v>ROCHA YAOTL</v>
      </c>
      <c r="H64" s="20" t="str">
        <f t="shared" si="1"/>
        <v>4050</v>
      </c>
    </row>
    <row r="65" spans="1:8" x14ac:dyDescent="0.25">
      <c r="A65" s="8">
        <v>43075.332465277781</v>
      </c>
      <c r="B65" s="20" t="s">
        <v>517</v>
      </c>
      <c r="C65" s="20" t="s">
        <v>715</v>
      </c>
      <c r="D65" s="137">
        <v>1090000</v>
      </c>
      <c r="E65" s="20" t="s">
        <v>510</v>
      </c>
      <c r="F65" s="20" t="s">
        <v>352</v>
      </c>
      <c r="G65" s="8" t="str">
        <f t="shared" si="0"/>
        <v>SPECTOR MICHAEL</v>
      </c>
      <c r="H65" s="20" t="str">
        <f t="shared" si="1"/>
        <v>4064</v>
      </c>
    </row>
    <row r="66" spans="1:8" x14ac:dyDescent="0.25">
      <c r="A66" s="8">
        <v>43075.335092592592</v>
      </c>
      <c r="B66" s="20" t="s">
        <v>479</v>
      </c>
      <c r="C66" s="20" t="s">
        <v>716</v>
      </c>
      <c r="D66" s="137">
        <v>1260000</v>
      </c>
      <c r="E66" s="20" t="s">
        <v>666</v>
      </c>
      <c r="F66" s="20" t="s">
        <v>667</v>
      </c>
      <c r="G66" s="8" t="str">
        <f t="shared" si="0"/>
        <v>ACKERMAN JARED</v>
      </c>
      <c r="H66" s="20" t="str">
        <f t="shared" si="1"/>
        <v>4009</v>
      </c>
    </row>
    <row r="67" spans="1:8" x14ac:dyDescent="0.25">
      <c r="A67" s="8">
        <v>43075.338136574072</v>
      </c>
      <c r="B67" s="20" t="s">
        <v>655</v>
      </c>
      <c r="C67" s="20" t="s">
        <v>717</v>
      </c>
      <c r="D67" s="137">
        <v>2440000</v>
      </c>
      <c r="E67" s="20" t="s">
        <v>674</v>
      </c>
      <c r="F67" s="20" t="s">
        <v>675</v>
      </c>
      <c r="G67" s="8" t="str">
        <f t="shared" ref="G67:G130" si="2">E67&amp;" "&amp;F67</f>
        <v>LOPES KIMBERLY</v>
      </c>
      <c r="H67" s="20" t="str">
        <f t="shared" ref="H67:H130" si="3">MID(B67,13,4)</f>
        <v>4042</v>
      </c>
    </row>
    <row r="68" spans="1:8" x14ac:dyDescent="0.25">
      <c r="A68" s="8">
        <v>43075.340497685182</v>
      </c>
      <c r="B68" s="20" t="s">
        <v>375</v>
      </c>
      <c r="C68" s="20" t="s">
        <v>718</v>
      </c>
      <c r="D68" s="137">
        <v>3000000</v>
      </c>
      <c r="E68" s="20" t="s">
        <v>555</v>
      </c>
      <c r="F68" s="20" t="s">
        <v>556</v>
      </c>
      <c r="G68" s="8" t="str">
        <f t="shared" si="2"/>
        <v>FORTUNATO FRANK</v>
      </c>
      <c r="H68" s="20" t="str">
        <f t="shared" si="3"/>
        <v>4061</v>
      </c>
    </row>
    <row r="69" spans="1:8" x14ac:dyDescent="0.25">
      <c r="A69" s="8">
        <v>43075.350740740738</v>
      </c>
      <c r="B69" s="20" t="s">
        <v>356</v>
      </c>
      <c r="C69" s="20" t="s">
        <v>719</v>
      </c>
      <c r="D69" s="137">
        <v>3680000</v>
      </c>
      <c r="E69" s="20" t="s">
        <v>511</v>
      </c>
      <c r="F69" s="20" t="s">
        <v>512</v>
      </c>
      <c r="G69" s="8" t="str">
        <f t="shared" si="2"/>
        <v>HAMMOND JUSTYNN</v>
      </c>
      <c r="H69" s="20" t="str">
        <f t="shared" si="3"/>
        <v>4008</v>
      </c>
    </row>
    <row r="70" spans="1:8" x14ac:dyDescent="0.25">
      <c r="A70" s="8">
        <v>43075.3515162037</v>
      </c>
      <c r="B70" s="20" t="s">
        <v>687</v>
      </c>
      <c r="C70" s="20" t="s">
        <v>720</v>
      </c>
      <c r="D70" s="137">
        <v>900000</v>
      </c>
      <c r="E70" s="20" t="s">
        <v>689</v>
      </c>
      <c r="F70" s="20" t="s">
        <v>690</v>
      </c>
      <c r="G70" s="8" t="str">
        <f t="shared" si="2"/>
        <v>ROCHA YAOTL</v>
      </c>
      <c r="H70" s="20" t="str">
        <f t="shared" si="3"/>
        <v>4049</v>
      </c>
    </row>
    <row r="71" spans="1:8" x14ac:dyDescent="0.25">
      <c r="A71" s="8">
        <v>43075.353217592594</v>
      </c>
      <c r="B71" s="20" t="s">
        <v>448</v>
      </c>
      <c r="C71" s="20" t="s">
        <v>721</v>
      </c>
      <c r="D71" s="137">
        <v>3090000</v>
      </c>
      <c r="E71" s="20" t="s">
        <v>482</v>
      </c>
      <c r="F71" s="20" t="s">
        <v>483</v>
      </c>
      <c r="G71" s="8" t="str">
        <f t="shared" si="2"/>
        <v>LAMAR NEKESHA</v>
      </c>
      <c r="H71" s="20" t="str">
        <f t="shared" si="3"/>
        <v>4058</v>
      </c>
    </row>
    <row r="72" spans="1:8" x14ac:dyDescent="0.25">
      <c r="A72" s="8">
        <v>43075.361921296295</v>
      </c>
      <c r="B72" s="20" t="s">
        <v>456</v>
      </c>
      <c r="C72" s="20" t="s">
        <v>722</v>
      </c>
      <c r="D72" s="137">
        <v>1830000</v>
      </c>
      <c r="E72" s="20" t="s">
        <v>346</v>
      </c>
      <c r="F72" s="20" t="s">
        <v>347</v>
      </c>
      <c r="G72" s="8" t="str">
        <f t="shared" si="2"/>
        <v>YORK EDGAR</v>
      </c>
      <c r="H72" s="20" t="str">
        <f t="shared" si="3"/>
        <v>4031</v>
      </c>
    </row>
    <row r="73" spans="1:8" x14ac:dyDescent="0.25">
      <c r="A73" s="8">
        <v>43075.361990740741</v>
      </c>
      <c r="B73" s="20" t="s">
        <v>653</v>
      </c>
      <c r="C73" s="20" t="s">
        <v>723</v>
      </c>
      <c r="D73" s="137">
        <v>1230000</v>
      </c>
      <c r="E73" s="20" t="s">
        <v>515</v>
      </c>
      <c r="F73" s="20" t="s">
        <v>516</v>
      </c>
      <c r="G73" s="8" t="str">
        <f t="shared" si="2"/>
        <v>YANAI IAN</v>
      </c>
      <c r="H73" s="20" t="str">
        <f t="shared" si="3"/>
        <v>4034</v>
      </c>
    </row>
    <row r="74" spans="1:8" x14ac:dyDescent="0.25">
      <c r="A74" s="8">
        <v>43075.363252314812</v>
      </c>
      <c r="B74" s="20" t="s">
        <v>485</v>
      </c>
      <c r="C74" s="20" t="s">
        <v>724</v>
      </c>
      <c r="D74" s="137">
        <v>1090000</v>
      </c>
      <c r="E74" s="20" t="s">
        <v>510</v>
      </c>
      <c r="F74" s="20" t="s">
        <v>352</v>
      </c>
      <c r="G74" s="8" t="str">
        <f t="shared" si="2"/>
        <v>SPECTOR MICHAEL</v>
      </c>
      <c r="H74" s="20" t="str">
        <f t="shared" si="3"/>
        <v>4063</v>
      </c>
    </row>
    <row r="75" spans="1:8" x14ac:dyDescent="0.25">
      <c r="A75" s="8">
        <v>43075.367199074077</v>
      </c>
      <c r="B75" s="20" t="s">
        <v>551</v>
      </c>
      <c r="C75" s="20" t="s">
        <v>639</v>
      </c>
      <c r="D75" s="137">
        <v>330000</v>
      </c>
      <c r="E75" s="20" t="s">
        <v>725</v>
      </c>
      <c r="F75" s="20" t="s">
        <v>726</v>
      </c>
      <c r="G75" s="8" t="str">
        <f t="shared" si="2"/>
        <v>PELLITIER GEORGE</v>
      </c>
      <c r="H75" s="20" t="str">
        <f t="shared" si="3"/>
        <v>4016</v>
      </c>
    </row>
    <row r="76" spans="1:8" x14ac:dyDescent="0.25">
      <c r="A76" s="8">
        <v>43075.368784722225</v>
      </c>
      <c r="B76" s="20" t="s">
        <v>459</v>
      </c>
      <c r="C76" s="20" t="s">
        <v>727</v>
      </c>
      <c r="D76" s="137">
        <v>2470000</v>
      </c>
      <c r="E76" s="20" t="s">
        <v>728</v>
      </c>
      <c r="F76" s="20" t="s">
        <v>729</v>
      </c>
      <c r="G76" s="8" t="str">
        <f t="shared" si="2"/>
        <v>ROMERO CHAD</v>
      </c>
      <c r="H76" s="20" t="str">
        <f t="shared" si="3"/>
        <v>4006</v>
      </c>
    </row>
    <row r="77" spans="1:8" x14ac:dyDescent="0.25">
      <c r="A77" s="8">
        <v>43075.371770833335</v>
      </c>
      <c r="B77" s="20" t="s">
        <v>480</v>
      </c>
      <c r="C77" s="20" t="s">
        <v>730</v>
      </c>
      <c r="D77" s="137">
        <v>1260000</v>
      </c>
      <c r="E77" s="20" t="s">
        <v>666</v>
      </c>
      <c r="F77" s="20" t="s">
        <v>667</v>
      </c>
      <c r="G77" s="8" t="str">
        <f t="shared" si="2"/>
        <v>ACKERMAN JARED</v>
      </c>
      <c r="H77" s="20" t="str">
        <f t="shared" si="3"/>
        <v>4010</v>
      </c>
    </row>
    <row r="78" spans="1:8" x14ac:dyDescent="0.25">
      <c r="A78" s="8">
        <v>43075.373344907406</v>
      </c>
      <c r="B78" s="20" t="s">
        <v>640</v>
      </c>
      <c r="C78" s="20" t="s">
        <v>641</v>
      </c>
      <c r="D78" s="137">
        <v>900000</v>
      </c>
      <c r="E78" s="20" t="s">
        <v>689</v>
      </c>
      <c r="F78" s="20" t="s">
        <v>690</v>
      </c>
      <c r="G78" s="8" t="str">
        <f t="shared" si="2"/>
        <v>ROCHA YAOTL</v>
      </c>
      <c r="H78" s="20" t="str">
        <f t="shared" si="3"/>
        <v>4050</v>
      </c>
    </row>
    <row r="79" spans="1:8" x14ac:dyDescent="0.25">
      <c r="A79" s="8">
        <v>43075.373738425929</v>
      </c>
      <c r="B79" s="20" t="s">
        <v>632</v>
      </c>
      <c r="C79" s="20" t="s">
        <v>643</v>
      </c>
      <c r="D79" s="137">
        <v>2440000</v>
      </c>
      <c r="E79" s="20" t="s">
        <v>674</v>
      </c>
      <c r="F79" s="20" t="s">
        <v>675</v>
      </c>
      <c r="G79" s="8" t="str">
        <f t="shared" si="2"/>
        <v>LOPES KIMBERLY</v>
      </c>
      <c r="H79" s="20" t="str">
        <f t="shared" si="3"/>
        <v>4041</v>
      </c>
    </row>
    <row r="80" spans="1:8" x14ac:dyDescent="0.25">
      <c r="A80" s="8">
        <v>43075.381273148145</v>
      </c>
      <c r="B80" s="20" t="s">
        <v>373</v>
      </c>
      <c r="C80" s="20" t="s">
        <v>642</v>
      </c>
      <c r="D80" s="137">
        <v>3000000</v>
      </c>
      <c r="E80" s="20" t="s">
        <v>555</v>
      </c>
      <c r="F80" s="20" t="s">
        <v>556</v>
      </c>
      <c r="G80" s="8" t="str">
        <f t="shared" si="2"/>
        <v>FORTUNATO FRANK</v>
      </c>
      <c r="H80" s="20" t="str">
        <f t="shared" si="3"/>
        <v>4062</v>
      </c>
    </row>
    <row r="81" spans="1:8" x14ac:dyDescent="0.25">
      <c r="A81" s="8">
        <v>43075.387962962966</v>
      </c>
      <c r="B81" s="20" t="s">
        <v>550</v>
      </c>
      <c r="C81" s="20" t="s">
        <v>648</v>
      </c>
      <c r="D81" s="137">
        <v>2600000</v>
      </c>
      <c r="E81" s="20" t="s">
        <v>514</v>
      </c>
      <c r="F81" s="20" t="s">
        <v>411</v>
      </c>
      <c r="G81" s="8" t="str">
        <f t="shared" si="2"/>
        <v>DAVIDSON DAVID</v>
      </c>
      <c r="H81" s="20" t="str">
        <f t="shared" si="3"/>
        <v>4015</v>
      </c>
    </row>
    <row r="82" spans="1:8" x14ac:dyDescent="0.25">
      <c r="A82" s="8">
        <v>43075.389409722222</v>
      </c>
      <c r="B82" s="20" t="s">
        <v>550</v>
      </c>
      <c r="C82" s="20" t="s">
        <v>648</v>
      </c>
      <c r="D82" s="137">
        <v>2600000</v>
      </c>
      <c r="E82" s="20" t="s">
        <v>514</v>
      </c>
      <c r="F82" s="20" t="s">
        <v>411</v>
      </c>
      <c r="G82" s="8" t="str">
        <f t="shared" si="2"/>
        <v>DAVIDSON DAVID</v>
      </c>
      <c r="H82" s="20" t="str">
        <f t="shared" si="3"/>
        <v>4015</v>
      </c>
    </row>
    <row r="83" spans="1:8" x14ac:dyDescent="0.25">
      <c r="A83" s="8">
        <v>43075.389756944445</v>
      </c>
      <c r="B83" s="20" t="s">
        <v>358</v>
      </c>
      <c r="C83" s="20" t="s">
        <v>731</v>
      </c>
      <c r="D83" s="137">
        <v>3680000</v>
      </c>
      <c r="E83" s="20" t="s">
        <v>511</v>
      </c>
      <c r="F83" s="20" t="s">
        <v>512</v>
      </c>
      <c r="G83" s="8" t="str">
        <f t="shared" si="2"/>
        <v>HAMMOND JUSTYNN</v>
      </c>
      <c r="H83" s="20" t="str">
        <f t="shared" si="3"/>
        <v>4007</v>
      </c>
    </row>
    <row r="84" spans="1:8" x14ac:dyDescent="0.25">
      <c r="A84" s="8">
        <v>43075.390300925923</v>
      </c>
      <c r="B84" s="20" t="s">
        <v>637</v>
      </c>
      <c r="C84" s="20" t="s">
        <v>732</v>
      </c>
      <c r="D84" s="137">
        <v>1230000</v>
      </c>
      <c r="E84" s="20" t="s">
        <v>515</v>
      </c>
      <c r="F84" s="20" t="s">
        <v>516</v>
      </c>
      <c r="G84" s="8" t="str">
        <f t="shared" si="2"/>
        <v>YANAI IAN</v>
      </c>
      <c r="H84" s="20" t="str">
        <f t="shared" si="3"/>
        <v>4033</v>
      </c>
    </row>
    <row r="85" spans="1:8" x14ac:dyDescent="0.25">
      <c r="A85" s="8">
        <v>43075.390590277777</v>
      </c>
      <c r="B85" s="20" t="s">
        <v>457</v>
      </c>
      <c r="C85" s="20" t="s">
        <v>733</v>
      </c>
      <c r="D85" s="137">
        <v>1830000</v>
      </c>
      <c r="E85" s="20" t="s">
        <v>346</v>
      </c>
      <c r="F85" s="20" t="s">
        <v>347</v>
      </c>
      <c r="G85" s="8" t="str">
        <f t="shared" si="2"/>
        <v>YORK EDGAR</v>
      </c>
      <c r="H85" s="20" t="str">
        <f t="shared" si="3"/>
        <v>4032</v>
      </c>
    </row>
    <row r="86" spans="1:8" x14ac:dyDescent="0.25">
      <c r="A86" s="8">
        <v>43075.390972222223</v>
      </c>
      <c r="B86" s="20" t="s">
        <v>550</v>
      </c>
      <c r="C86" s="20" t="s">
        <v>644</v>
      </c>
      <c r="D86" s="137">
        <v>2600000</v>
      </c>
      <c r="E86" s="20" t="s">
        <v>514</v>
      </c>
      <c r="F86" s="20" t="s">
        <v>411</v>
      </c>
      <c r="G86" s="8" t="str">
        <f t="shared" si="2"/>
        <v>DAVIDSON DAVID</v>
      </c>
      <c r="H86" s="20" t="str">
        <f t="shared" si="3"/>
        <v>4015</v>
      </c>
    </row>
    <row r="87" spans="1:8" x14ac:dyDescent="0.25">
      <c r="A87" s="8">
        <v>43075.392812500002</v>
      </c>
      <c r="B87" s="20" t="s">
        <v>687</v>
      </c>
      <c r="C87" s="20" t="s">
        <v>734</v>
      </c>
      <c r="D87" s="137">
        <v>900000</v>
      </c>
      <c r="E87" s="20" t="s">
        <v>689</v>
      </c>
      <c r="F87" s="20" t="s">
        <v>690</v>
      </c>
      <c r="G87" s="8" t="str">
        <f t="shared" si="2"/>
        <v>ROCHA YAOTL</v>
      </c>
      <c r="H87" s="20" t="str">
        <f t="shared" si="3"/>
        <v>4049</v>
      </c>
    </row>
    <row r="88" spans="1:8" x14ac:dyDescent="0.25">
      <c r="A88" s="8">
        <v>43075.39439814815</v>
      </c>
      <c r="B88" s="20" t="s">
        <v>373</v>
      </c>
      <c r="C88" s="20" t="s">
        <v>642</v>
      </c>
      <c r="D88" s="137">
        <v>3000000</v>
      </c>
      <c r="E88" s="20" t="s">
        <v>555</v>
      </c>
      <c r="F88" s="20" t="s">
        <v>556</v>
      </c>
      <c r="G88" s="8" t="str">
        <f t="shared" si="2"/>
        <v>FORTUNATO FRANK</v>
      </c>
      <c r="H88" s="20" t="str">
        <f t="shared" si="3"/>
        <v>4062</v>
      </c>
    </row>
    <row r="89" spans="1:8" x14ac:dyDescent="0.25">
      <c r="A89" s="8">
        <v>43075.40357638889</v>
      </c>
      <c r="B89" s="20" t="s">
        <v>517</v>
      </c>
      <c r="C89" s="20" t="s">
        <v>735</v>
      </c>
      <c r="D89" s="137">
        <v>1340000</v>
      </c>
      <c r="E89" s="20" t="s">
        <v>553</v>
      </c>
      <c r="F89" s="20" t="s">
        <v>554</v>
      </c>
      <c r="G89" s="8" t="str">
        <f t="shared" si="2"/>
        <v>BEAM ROSS</v>
      </c>
      <c r="H89" s="20" t="str">
        <f t="shared" si="3"/>
        <v>4064</v>
      </c>
    </row>
    <row r="90" spans="1:8" x14ac:dyDescent="0.25">
      <c r="A90" s="8">
        <v>43075.403761574074</v>
      </c>
      <c r="B90" s="20" t="s">
        <v>458</v>
      </c>
      <c r="C90" s="20" t="s">
        <v>645</v>
      </c>
      <c r="D90" s="137">
        <v>1110000</v>
      </c>
      <c r="E90" s="20" t="s">
        <v>557</v>
      </c>
      <c r="F90" s="20" t="s">
        <v>558</v>
      </c>
      <c r="G90" s="8" t="str">
        <f t="shared" si="2"/>
        <v>STARKS ANGELINA</v>
      </c>
      <c r="H90" s="20" t="str">
        <f t="shared" si="3"/>
        <v>4005</v>
      </c>
    </row>
    <row r="91" spans="1:8" x14ac:dyDescent="0.25">
      <c r="A91" s="8">
        <v>43075.408055555556</v>
      </c>
      <c r="B91" s="20" t="s">
        <v>551</v>
      </c>
      <c r="C91" s="20" t="s">
        <v>644</v>
      </c>
      <c r="D91" s="137">
        <v>2600000</v>
      </c>
      <c r="E91" s="20" t="s">
        <v>514</v>
      </c>
      <c r="F91" s="20" t="s">
        <v>411</v>
      </c>
      <c r="G91" s="8" t="str">
        <f t="shared" si="2"/>
        <v>DAVIDSON DAVID</v>
      </c>
      <c r="H91" s="20" t="str">
        <f t="shared" si="3"/>
        <v>4016</v>
      </c>
    </row>
    <row r="92" spans="1:8" x14ac:dyDescent="0.25">
      <c r="A92" s="8">
        <v>43075.408159722225</v>
      </c>
      <c r="B92" s="20" t="s">
        <v>479</v>
      </c>
      <c r="C92" s="20" t="s">
        <v>736</v>
      </c>
      <c r="D92" s="137">
        <v>1260000</v>
      </c>
      <c r="E92" s="20" t="s">
        <v>666</v>
      </c>
      <c r="F92" s="20" t="s">
        <v>667</v>
      </c>
      <c r="G92" s="8" t="str">
        <f t="shared" si="2"/>
        <v>ACKERMAN JARED</v>
      </c>
      <c r="H92" s="20" t="str">
        <f t="shared" si="3"/>
        <v>4009</v>
      </c>
    </row>
    <row r="93" spans="1:8" x14ac:dyDescent="0.25">
      <c r="A93" s="8">
        <v>43075.40861111111</v>
      </c>
      <c r="B93" s="20" t="s">
        <v>551</v>
      </c>
      <c r="C93" s="20" t="s">
        <v>648</v>
      </c>
      <c r="D93" s="137">
        <v>2600000</v>
      </c>
      <c r="E93" s="20" t="s">
        <v>514</v>
      </c>
      <c r="F93" s="20" t="s">
        <v>411</v>
      </c>
      <c r="G93" s="8" t="str">
        <f t="shared" si="2"/>
        <v>DAVIDSON DAVID</v>
      </c>
      <c r="H93" s="20" t="str">
        <f t="shared" si="3"/>
        <v>4016</v>
      </c>
    </row>
    <row r="94" spans="1:8" x14ac:dyDescent="0.25">
      <c r="A94" s="8">
        <v>43075.412037037036</v>
      </c>
      <c r="B94" s="20" t="s">
        <v>655</v>
      </c>
      <c r="C94" s="20" t="s">
        <v>737</v>
      </c>
      <c r="D94" s="137">
        <v>2440000</v>
      </c>
      <c r="E94" s="20" t="s">
        <v>674</v>
      </c>
      <c r="F94" s="20" t="s">
        <v>675</v>
      </c>
      <c r="G94" s="8" t="str">
        <f t="shared" si="2"/>
        <v>LOPES KIMBERLY</v>
      </c>
      <c r="H94" s="20" t="str">
        <f t="shared" si="3"/>
        <v>4042</v>
      </c>
    </row>
    <row r="95" spans="1:8" x14ac:dyDescent="0.25">
      <c r="A95" s="8">
        <v>43075.413946759261</v>
      </c>
      <c r="B95" s="20" t="s">
        <v>375</v>
      </c>
      <c r="C95" s="20" t="s">
        <v>738</v>
      </c>
      <c r="D95" s="137">
        <v>3000000</v>
      </c>
      <c r="E95" s="20" t="s">
        <v>555</v>
      </c>
      <c r="F95" s="20" t="s">
        <v>556</v>
      </c>
      <c r="G95" s="8" t="str">
        <f t="shared" si="2"/>
        <v>FORTUNATO FRANK</v>
      </c>
      <c r="H95" s="20" t="str">
        <f t="shared" si="3"/>
        <v>4061</v>
      </c>
    </row>
    <row r="96" spans="1:8" x14ac:dyDescent="0.25">
      <c r="A96" s="8">
        <v>43075.417141203703</v>
      </c>
      <c r="B96" s="20" t="s">
        <v>640</v>
      </c>
      <c r="C96" s="20" t="s">
        <v>739</v>
      </c>
      <c r="D96" s="137">
        <v>3180000</v>
      </c>
      <c r="E96" s="20" t="s">
        <v>740</v>
      </c>
      <c r="F96" s="20" t="s">
        <v>741</v>
      </c>
      <c r="G96" s="8" t="str">
        <f t="shared" si="2"/>
        <v>HUFFSMITH MONTY</v>
      </c>
      <c r="H96" s="20" t="str">
        <f t="shared" si="3"/>
        <v>4050</v>
      </c>
    </row>
    <row r="97" spans="1:8" x14ac:dyDescent="0.25">
      <c r="A97" s="8">
        <v>43075.425995370373</v>
      </c>
      <c r="B97" s="20" t="s">
        <v>356</v>
      </c>
      <c r="C97" s="20" t="s">
        <v>742</v>
      </c>
      <c r="D97" s="137">
        <v>3090000</v>
      </c>
      <c r="E97" s="20" t="s">
        <v>482</v>
      </c>
      <c r="F97" s="20" t="s">
        <v>483</v>
      </c>
      <c r="G97" s="8" t="str">
        <f t="shared" si="2"/>
        <v>LAMAR NEKESHA</v>
      </c>
      <c r="H97" s="20" t="str">
        <f t="shared" si="3"/>
        <v>4008</v>
      </c>
    </row>
    <row r="98" spans="1:8" x14ac:dyDescent="0.25">
      <c r="A98" s="8">
        <v>43075.427152777775</v>
      </c>
      <c r="B98" s="20" t="s">
        <v>550</v>
      </c>
      <c r="C98" s="20" t="s">
        <v>644</v>
      </c>
      <c r="D98" s="137">
        <v>2600000</v>
      </c>
      <c r="E98" s="20" t="s">
        <v>514</v>
      </c>
      <c r="F98" s="20" t="s">
        <v>411</v>
      </c>
      <c r="G98" s="8" t="str">
        <f t="shared" si="2"/>
        <v>DAVIDSON DAVID</v>
      </c>
      <c r="H98" s="20" t="str">
        <f t="shared" si="3"/>
        <v>4015</v>
      </c>
    </row>
    <row r="99" spans="1:8" x14ac:dyDescent="0.25">
      <c r="A99" s="8">
        <v>43075.431712962964</v>
      </c>
      <c r="B99" s="20" t="s">
        <v>485</v>
      </c>
      <c r="C99" s="20" t="s">
        <v>743</v>
      </c>
      <c r="D99" s="137">
        <v>1340000</v>
      </c>
      <c r="E99" s="20" t="s">
        <v>553</v>
      </c>
      <c r="F99" s="20" t="s">
        <v>554</v>
      </c>
      <c r="G99" s="8" t="str">
        <f t="shared" si="2"/>
        <v>BEAM ROSS</v>
      </c>
      <c r="H99" s="20" t="str">
        <f t="shared" si="3"/>
        <v>4063</v>
      </c>
    </row>
    <row r="100" spans="1:8" x14ac:dyDescent="0.25">
      <c r="A100" s="8">
        <v>43075.433611111112</v>
      </c>
      <c r="B100" s="20" t="s">
        <v>456</v>
      </c>
      <c r="C100" s="20" t="s">
        <v>646</v>
      </c>
      <c r="D100" s="137">
        <v>1830000</v>
      </c>
      <c r="E100" s="20" t="s">
        <v>346</v>
      </c>
      <c r="F100" s="20" t="s">
        <v>347</v>
      </c>
      <c r="G100" s="8" t="str">
        <f t="shared" si="2"/>
        <v>YORK EDGAR</v>
      </c>
      <c r="H100" s="20" t="str">
        <f t="shared" si="3"/>
        <v>4031</v>
      </c>
    </row>
    <row r="101" spans="1:8" x14ac:dyDescent="0.25">
      <c r="A101" s="8">
        <v>43075.434710648151</v>
      </c>
      <c r="B101" s="20" t="s">
        <v>687</v>
      </c>
      <c r="C101" s="20" t="s">
        <v>744</v>
      </c>
      <c r="D101" s="137">
        <v>3180000</v>
      </c>
      <c r="E101" s="20" t="s">
        <v>740</v>
      </c>
      <c r="F101" s="20" t="s">
        <v>741</v>
      </c>
      <c r="G101" s="8" t="str">
        <f t="shared" si="2"/>
        <v>HUFFSMITH MONTY</v>
      </c>
      <c r="H101" s="20" t="str">
        <f t="shared" si="3"/>
        <v>4049</v>
      </c>
    </row>
    <row r="102" spans="1:8" x14ac:dyDescent="0.25">
      <c r="A102" s="8">
        <v>43075.434895833336</v>
      </c>
      <c r="B102" s="20" t="s">
        <v>653</v>
      </c>
      <c r="C102" s="20" t="s">
        <v>745</v>
      </c>
      <c r="D102" s="137">
        <v>1230000</v>
      </c>
      <c r="E102" s="20" t="s">
        <v>515</v>
      </c>
      <c r="F102" s="20" t="s">
        <v>516</v>
      </c>
      <c r="G102" s="8" t="str">
        <f t="shared" si="2"/>
        <v>YANAI IAN</v>
      </c>
      <c r="H102" s="20" t="str">
        <f t="shared" si="3"/>
        <v>4034</v>
      </c>
    </row>
    <row r="103" spans="1:8" x14ac:dyDescent="0.25">
      <c r="A103" s="8">
        <v>43075.439583333333</v>
      </c>
      <c r="B103" s="20" t="s">
        <v>459</v>
      </c>
      <c r="C103" s="20" t="s">
        <v>647</v>
      </c>
      <c r="D103" s="137">
        <v>1110000</v>
      </c>
      <c r="E103" s="20" t="s">
        <v>557</v>
      </c>
      <c r="F103" s="20" t="s">
        <v>558</v>
      </c>
      <c r="G103" s="8" t="str">
        <f t="shared" si="2"/>
        <v>STARKS ANGELINA</v>
      </c>
      <c r="H103" s="20" t="str">
        <f t="shared" si="3"/>
        <v>4006</v>
      </c>
    </row>
    <row r="104" spans="1:8" x14ac:dyDescent="0.25">
      <c r="A104" s="8">
        <v>43075.444456018522</v>
      </c>
      <c r="B104" s="20" t="s">
        <v>480</v>
      </c>
      <c r="C104" s="20" t="s">
        <v>746</v>
      </c>
      <c r="D104" s="137">
        <v>920000</v>
      </c>
      <c r="E104" s="20" t="s">
        <v>484</v>
      </c>
      <c r="F104" s="20" t="s">
        <v>352</v>
      </c>
      <c r="G104" s="8" t="str">
        <f t="shared" si="2"/>
        <v>DAVIS MICHAEL</v>
      </c>
      <c r="H104" s="20" t="str">
        <f t="shared" si="3"/>
        <v>4010</v>
      </c>
    </row>
    <row r="105" spans="1:8" x14ac:dyDescent="0.25">
      <c r="A105" s="8">
        <v>43075.451493055552</v>
      </c>
      <c r="B105" s="20" t="s">
        <v>632</v>
      </c>
      <c r="C105" s="20" t="s">
        <v>747</v>
      </c>
      <c r="D105" s="137">
        <v>2440000</v>
      </c>
      <c r="E105" s="20" t="s">
        <v>674</v>
      </c>
      <c r="F105" s="20" t="s">
        <v>675</v>
      </c>
      <c r="G105" s="8" t="str">
        <f t="shared" si="2"/>
        <v>LOPES KIMBERLY</v>
      </c>
      <c r="H105" s="20" t="str">
        <f t="shared" si="3"/>
        <v>4041</v>
      </c>
    </row>
    <row r="106" spans="1:8" x14ac:dyDescent="0.25">
      <c r="A106" s="8">
        <v>43075.454594907409</v>
      </c>
      <c r="B106" s="20" t="s">
        <v>373</v>
      </c>
      <c r="C106" s="20" t="s">
        <v>748</v>
      </c>
      <c r="D106" s="137">
        <v>3000000</v>
      </c>
      <c r="E106" s="20" t="s">
        <v>555</v>
      </c>
      <c r="F106" s="20" t="s">
        <v>556</v>
      </c>
      <c r="G106" s="8" t="str">
        <f t="shared" si="2"/>
        <v>FORTUNATO FRANK</v>
      </c>
      <c r="H106" s="20" t="str">
        <f t="shared" si="3"/>
        <v>4062</v>
      </c>
    </row>
    <row r="107" spans="1:8" x14ac:dyDescent="0.25">
      <c r="A107" s="8">
        <v>43075.457557870373</v>
      </c>
      <c r="B107" s="20" t="s">
        <v>640</v>
      </c>
      <c r="C107" s="20" t="s">
        <v>749</v>
      </c>
      <c r="D107" s="137">
        <v>3180000</v>
      </c>
      <c r="E107" s="20" t="s">
        <v>740</v>
      </c>
      <c r="F107" s="20" t="s">
        <v>741</v>
      </c>
      <c r="G107" s="8" t="str">
        <f t="shared" si="2"/>
        <v>HUFFSMITH MONTY</v>
      </c>
      <c r="H107" s="20" t="str">
        <f t="shared" si="3"/>
        <v>4050</v>
      </c>
    </row>
    <row r="108" spans="1:8" x14ac:dyDescent="0.25">
      <c r="A108" s="8">
        <v>43075.463680555556</v>
      </c>
      <c r="B108" s="20" t="s">
        <v>637</v>
      </c>
      <c r="C108" s="20" t="s">
        <v>750</v>
      </c>
      <c r="D108" s="137">
        <v>1230000</v>
      </c>
      <c r="E108" s="20" t="s">
        <v>515</v>
      </c>
      <c r="F108" s="20" t="s">
        <v>516</v>
      </c>
      <c r="G108" s="8" t="str">
        <f t="shared" si="2"/>
        <v>YANAI IAN</v>
      </c>
      <c r="H108" s="20" t="str">
        <f t="shared" si="3"/>
        <v>4033</v>
      </c>
    </row>
    <row r="109" spans="1:8" x14ac:dyDescent="0.25">
      <c r="A109" s="8">
        <v>43075.466064814813</v>
      </c>
      <c r="B109" s="20" t="s">
        <v>458</v>
      </c>
      <c r="C109" s="20" t="s">
        <v>647</v>
      </c>
      <c r="D109" s="137">
        <v>1110000</v>
      </c>
      <c r="E109" s="20" t="s">
        <v>557</v>
      </c>
      <c r="F109" s="20" t="s">
        <v>558</v>
      </c>
      <c r="G109" s="8" t="str">
        <f t="shared" si="2"/>
        <v>STARKS ANGELINA</v>
      </c>
      <c r="H109" s="20" t="str">
        <f t="shared" si="3"/>
        <v>4005</v>
      </c>
    </row>
    <row r="110" spans="1:8" x14ac:dyDescent="0.25">
      <c r="A110" s="8">
        <v>43075.466307870367</v>
      </c>
      <c r="B110" s="20" t="s">
        <v>358</v>
      </c>
      <c r="C110" s="20" t="s">
        <v>751</v>
      </c>
      <c r="D110" s="137">
        <v>3090000</v>
      </c>
      <c r="E110" s="20" t="s">
        <v>482</v>
      </c>
      <c r="F110" s="20" t="s">
        <v>483</v>
      </c>
      <c r="G110" s="8" t="str">
        <f t="shared" si="2"/>
        <v>LAMAR NEKESHA</v>
      </c>
      <c r="H110" s="20" t="str">
        <f t="shared" si="3"/>
        <v>4007</v>
      </c>
    </row>
    <row r="111" spans="1:8" x14ac:dyDescent="0.25">
      <c r="A111" s="8">
        <v>43075.466666666667</v>
      </c>
      <c r="B111" s="20" t="s">
        <v>457</v>
      </c>
      <c r="C111" s="20" t="s">
        <v>752</v>
      </c>
      <c r="D111" s="137">
        <v>1770000</v>
      </c>
      <c r="E111" s="20" t="s">
        <v>559</v>
      </c>
      <c r="F111" s="20" t="s">
        <v>560</v>
      </c>
      <c r="G111" s="8" t="str">
        <f t="shared" si="2"/>
        <v>BRUDER RICHARD</v>
      </c>
      <c r="H111" s="20" t="str">
        <f t="shared" si="3"/>
        <v>4032</v>
      </c>
    </row>
    <row r="112" spans="1:8" x14ac:dyDescent="0.25">
      <c r="A112" s="8">
        <v>43075.467858796299</v>
      </c>
      <c r="B112" s="20" t="s">
        <v>458</v>
      </c>
      <c r="C112" s="20" t="s">
        <v>645</v>
      </c>
      <c r="D112" s="137">
        <v>1110000</v>
      </c>
      <c r="E112" s="20" t="s">
        <v>557</v>
      </c>
      <c r="F112" s="20" t="s">
        <v>558</v>
      </c>
      <c r="G112" s="8" t="str">
        <f t="shared" si="2"/>
        <v>STARKS ANGELINA</v>
      </c>
      <c r="H112" s="20" t="str">
        <f t="shared" si="3"/>
        <v>4005</v>
      </c>
    </row>
    <row r="113" spans="1:8" x14ac:dyDescent="0.25">
      <c r="A113" s="8">
        <v>43075.468611111108</v>
      </c>
      <c r="B113" s="20" t="s">
        <v>551</v>
      </c>
      <c r="C113" s="20" t="s">
        <v>648</v>
      </c>
      <c r="D113" s="137">
        <v>2600000</v>
      </c>
      <c r="E113" s="20" t="s">
        <v>514</v>
      </c>
      <c r="F113" s="20" t="s">
        <v>411</v>
      </c>
      <c r="G113" s="8" t="str">
        <f t="shared" si="2"/>
        <v>DAVIDSON DAVID</v>
      </c>
      <c r="H113" s="20" t="str">
        <f t="shared" si="3"/>
        <v>4016</v>
      </c>
    </row>
    <row r="114" spans="1:8" x14ac:dyDescent="0.25">
      <c r="A114" s="8">
        <v>43075.47457175926</v>
      </c>
      <c r="B114" s="20" t="s">
        <v>517</v>
      </c>
      <c r="C114" s="20" t="s">
        <v>753</v>
      </c>
      <c r="D114" s="137">
        <v>880000</v>
      </c>
      <c r="E114" s="20" t="s">
        <v>414</v>
      </c>
      <c r="F114" s="20" t="s">
        <v>352</v>
      </c>
      <c r="G114" s="8" t="str">
        <f t="shared" si="2"/>
        <v>STEWART MICHAEL</v>
      </c>
      <c r="H114" s="20" t="str">
        <f t="shared" si="3"/>
        <v>4064</v>
      </c>
    </row>
    <row r="115" spans="1:8" x14ac:dyDescent="0.25">
      <c r="A115" s="8">
        <v>43075.4765162037</v>
      </c>
      <c r="B115" s="20" t="s">
        <v>687</v>
      </c>
      <c r="C115" s="20" t="s">
        <v>754</v>
      </c>
      <c r="D115" s="137">
        <v>3180000</v>
      </c>
      <c r="E115" s="20" t="s">
        <v>740</v>
      </c>
      <c r="F115" s="20" t="s">
        <v>741</v>
      </c>
      <c r="G115" s="8" t="str">
        <f t="shared" si="2"/>
        <v>HUFFSMITH MONTY</v>
      </c>
      <c r="H115" s="20" t="str">
        <f t="shared" si="3"/>
        <v>4049</v>
      </c>
    </row>
    <row r="116" spans="1:8" x14ac:dyDescent="0.25">
      <c r="A116" s="8">
        <v>43075.484583333331</v>
      </c>
      <c r="B116" s="20" t="s">
        <v>655</v>
      </c>
      <c r="C116" s="20" t="s">
        <v>755</v>
      </c>
      <c r="D116" s="137">
        <v>3810000</v>
      </c>
      <c r="E116" s="20" t="s">
        <v>428</v>
      </c>
      <c r="F116" s="20" t="s">
        <v>429</v>
      </c>
      <c r="G116" s="8" t="str">
        <f t="shared" si="2"/>
        <v>LORI SANTOS</v>
      </c>
      <c r="H116" s="20" t="str">
        <f t="shared" si="3"/>
        <v>4042</v>
      </c>
    </row>
    <row r="117" spans="1:8" x14ac:dyDescent="0.25">
      <c r="A117" s="8">
        <v>43075.484756944446</v>
      </c>
      <c r="B117" s="20" t="s">
        <v>375</v>
      </c>
      <c r="C117" s="20" t="s">
        <v>756</v>
      </c>
      <c r="D117" s="137">
        <v>3000000</v>
      </c>
      <c r="E117" s="20" t="s">
        <v>555</v>
      </c>
      <c r="F117" s="20" t="s">
        <v>556</v>
      </c>
      <c r="G117" s="8" t="str">
        <f t="shared" si="2"/>
        <v>FORTUNATO FRANK</v>
      </c>
      <c r="H117" s="20" t="str">
        <f t="shared" si="3"/>
        <v>4061</v>
      </c>
    </row>
    <row r="118" spans="1:8" x14ac:dyDescent="0.25">
      <c r="A118" s="8">
        <v>43075.486250000002</v>
      </c>
      <c r="B118" s="20" t="s">
        <v>479</v>
      </c>
      <c r="C118" s="20" t="s">
        <v>757</v>
      </c>
      <c r="D118" s="137">
        <v>920000</v>
      </c>
      <c r="E118" s="20" t="s">
        <v>484</v>
      </c>
      <c r="F118" s="20" t="s">
        <v>352</v>
      </c>
      <c r="G118" s="8" t="str">
        <f t="shared" si="2"/>
        <v>DAVIS MICHAEL</v>
      </c>
      <c r="H118" s="20" t="str">
        <f t="shared" si="3"/>
        <v>4009</v>
      </c>
    </row>
    <row r="119" spans="1:8" x14ac:dyDescent="0.25">
      <c r="A119" s="8">
        <v>43075.495879629627</v>
      </c>
      <c r="B119" s="20" t="s">
        <v>356</v>
      </c>
      <c r="C119" s="20" t="s">
        <v>758</v>
      </c>
      <c r="D119" s="137">
        <v>1300000</v>
      </c>
      <c r="E119" s="20" t="s">
        <v>520</v>
      </c>
      <c r="F119" s="20" t="s">
        <v>521</v>
      </c>
      <c r="G119" s="8" t="str">
        <f t="shared" si="2"/>
        <v>LEVIN SCOTT</v>
      </c>
      <c r="H119" s="20" t="str">
        <f t="shared" si="3"/>
        <v>4008</v>
      </c>
    </row>
    <row r="120" spans="1:8" x14ac:dyDescent="0.25">
      <c r="A120" s="8">
        <v>43075.500405092593</v>
      </c>
      <c r="B120" s="20" t="s">
        <v>640</v>
      </c>
      <c r="C120" s="20" t="s">
        <v>759</v>
      </c>
      <c r="D120" s="137">
        <v>3180000</v>
      </c>
      <c r="E120" s="20" t="s">
        <v>740</v>
      </c>
      <c r="F120" s="20" t="s">
        <v>741</v>
      </c>
      <c r="G120" s="8" t="str">
        <f t="shared" si="2"/>
        <v>HUFFSMITH MONTY</v>
      </c>
      <c r="H120" s="20" t="str">
        <f t="shared" si="3"/>
        <v>4050</v>
      </c>
    </row>
    <row r="121" spans="1:8" x14ac:dyDescent="0.25">
      <c r="A121" s="8">
        <v>43075.505682870367</v>
      </c>
      <c r="B121" s="20" t="s">
        <v>653</v>
      </c>
      <c r="C121" s="20" t="s">
        <v>760</v>
      </c>
      <c r="D121" s="137">
        <v>1780000</v>
      </c>
      <c r="E121" s="20" t="s">
        <v>561</v>
      </c>
      <c r="F121" s="20" t="s">
        <v>562</v>
      </c>
      <c r="G121" s="8" t="str">
        <f t="shared" si="2"/>
        <v>DE LA ROSA ALEX</v>
      </c>
      <c r="H121" s="20" t="str">
        <f t="shared" si="3"/>
        <v>4034</v>
      </c>
    </row>
    <row r="122" spans="1:8" x14ac:dyDescent="0.25">
      <c r="A122" s="8">
        <v>43075.506215277775</v>
      </c>
      <c r="B122" s="25" t="s">
        <v>456</v>
      </c>
      <c r="C122" s="20" t="s">
        <v>649</v>
      </c>
      <c r="D122" s="137">
        <v>1770000</v>
      </c>
      <c r="E122" s="20" t="s">
        <v>559</v>
      </c>
      <c r="F122" s="20" t="s">
        <v>560</v>
      </c>
      <c r="G122" s="8" t="str">
        <f t="shared" si="2"/>
        <v>BRUDER RICHARD</v>
      </c>
      <c r="H122" s="20" t="str">
        <f t="shared" si="3"/>
        <v>4031</v>
      </c>
    </row>
    <row r="123" spans="1:8" x14ac:dyDescent="0.25">
      <c r="A123" s="8">
        <v>43075.507280092592</v>
      </c>
      <c r="B123" s="20" t="s">
        <v>550</v>
      </c>
      <c r="C123" s="20" t="s">
        <v>644</v>
      </c>
      <c r="D123" s="137">
        <v>2600000</v>
      </c>
      <c r="E123" s="20" t="s">
        <v>514</v>
      </c>
      <c r="F123" s="20" t="s">
        <v>411</v>
      </c>
      <c r="G123" s="8" t="str">
        <f t="shared" si="2"/>
        <v>DAVIDSON DAVID</v>
      </c>
      <c r="H123" s="20" t="str">
        <f t="shared" si="3"/>
        <v>4015</v>
      </c>
    </row>
    <row r="124" spans="1:8" x14ac:dyDescent="0.25">
      <c r="A124" s="8">
        <v>43075.516168981485</v>
      </c>
      <c r="B124" s="20" t="s">
        <v>485</v>
      </c>
      <c r="C124" s="20" t="s">
        <v>761</v>
      </c>
      <c r="D124" s="137">
        <v>880000</v>
      </c>
      <c r="E124" s="20" t="s">
        <v>414</v>
      </c>
      <c r="F124" s="20" t="s">
        <v>352</v>
      </c>
      <c r="G124" s="8" t="str">
        <f t="shared" si="2"/>
        <v>STEWART MICHAEL</v>
      </c>
      <c r="H124" s="20" t="str">
        <f t="shared" si="3"/>
        <v>4063</v>
      </c>
    </row>
    <row r="125" spans="1:8" x14ac:dyDescent="0.25">
      <c r="A125" s="8">
        <v>43075.516585648147</v>
      </c>
      <c r="B125" s="20" t="s">
        <v>632</v>
      </c>
      <c r="C125" s="20" t="s">
        <v>762</v>
      </c>
      <c r="D125" s="137">
        <v>3810000</v>
      </c>
      <c r="E125" s="20" t="s">
        <v>428</v>
      </c>
      <c r="F125" s="20" t="s">
        <v>429</v>
      </c>
      <c r="G125" s="8" t="str">
        <f t="shared" si="2"/>
        <v>LORI SANTOS</v>
      </c>
      <c r="H125" s="20" t="str">
        <f t="shared" si="3"/>
        <v>4041</v>
      </c>
    </row>
    <row r="126" spans="1:8" x14ac:dyDescent="0.25">
      <c r="A126" s="8">
        <v>43075.517812500002</v>
      </c>
      <c r="B126" s="20" t="s">
        <v>687</v>
      </c>
      <c r="C126" s="20" t="s">
        <v>763</v>
      </c>
      <c r="D126" s="137">
        <v>3180000</v>
      </c>
      <c r="E126" s="20" t="s">
        <v>740</v>
      </c>
      <c r="F126" s="20" t="s">
        <v>741</v>
      </c>
      <c r="G126" s="8" t="str">
        <f t="shared" si="2"/>
        <v>HUFFSMITH MONTY</v>
      </c>
      <c r="H126" s="20" t="str">
        <f t="shared" si="3"/>
        <v>4049</v>
      </c>
    </row>
    <row r="127" spans="1:8" x14ac:dyDescent="0.25">
      <c r="A127" s="8">
        <v>43075.519375000003</v>
      </c>
      <c r="B127" s="20" t="s">
        <v>480</v>
      </c>
      <c r="C127" s="20" t="s">
        <v>764</v>
      </c>
      <c r="D127" s="137">
        <v>920000</v>
      </c>
      <c r="E127" s="20" t="s">
        <v>484</v>
      </c>
      <c r="F127" s="20" t="s">
        <v>352</v>
      </c>
      <c r="G127" s="8" t="str">
        <f t="shared" si="2"/>
        <v>DAVIS MICHAEL</v>
      </c>
      <c r="H127" s="20" t="str">
        <f t="shared" si="3"/>
        <v>4010</v>
      </c>
    </row>
    <row r="128" spans="1:8" x14ac:dyDescent="0.25">
      <c r="A128" s="8">
        <v>43075.528425925928</v>
      </c>
      <c r="B128" s="20" t="s">
        <v>373</v>
      </c>
      <c r="C128" s="20" t="s">
        <v>765</v>
      </c>
      <c r="D128" s="137">
        <v>2030000</v>
      </c>
      <c r="E128" s="20" t="s">
        <v>766</v>
      </c>
      <c r="F128" s="20" t="s">
        <v>411</v>
      </c>
      <c r="G128" s="8" t="str">
        <f t="shared" si="2"/>
        <v>KILLION DAVID</v>
      </c>
      <c r="H128" s="20" t="str">
        <f t="shared" si="3"/>
        <v>4062</v>
      </c>
    </row>
    <row r="129" spans="1:8" x14ac:dyDescent="0.25">
      <c r="A129" s="8">
        <v>43075.532361111109</v>
      </c>
      <c r="B129" s="20" t="s">
        <v>358</v>
      </c>
      <c r="C129" s="20" t="s">
        <v>767</v>
      </c>
      <c r="D129" s="137">
        <v>1300000</v>
      </c>
      <c r="E129" s="20" t="s">
        <v>520</v>
      </c>
      <c r="F129" s="20" t="s">
        <v>521</v>
      </c>
      <c r="G129" s="8" t="str">
        <f t="shared" si="2"/>
        <v>LEVIN SCOTT</v>
      </c>
      <c r="H129" s="20" t="str">
        <f t="shared" si="3"/>
        <v>4007</v>
      </c>
    </row>
    <row r="130" spans="1:8" x14ac:dyDescent="0.25">
      <c r="A130" s="8">
        <v>43075.536493055559</v>
      </c>
      <c r="B130" s="20" t="s">
        <v>551</v>
      </c>
      <c r="C130" s="20" t="s">
        <v>645</v>
      </c>
      <c r="D130" s="137">
        <v>1110000</v>
      </c>
      <c r="E130" s="20" t="s">
        <v>557</v>
      </c>
      <c r="F130" s="20" t="s">
        <v>558</v>
      </c>
      <c r="G130" s="8" t="str">
        <f t="shared" si="2"/>
        <v>STARKS ANGELINA</v>
      </c>
      <c r="H130" s="20" t="str">
        <f t="shared" si="3"/>
        <v>4016</v>
      </c>
    </row>
    <row r="131" spans="1:8" x14ac:dyDescent="0.25">
      <c r="A131" s="8">
        <v>43075.537222222221</v>
      </c>
      <c r="B131" s="20" t="s">
        <v>551</v>
      </c>
      <c r="C131" s="20" t="s">
        <v>645</v>
      </c>
      <c r="D131" s="137">
        <v>1110000</v>
      </c>
      <c r="E131" s="20" t="s">
        <v>557</v>
      </c>
      <c r="F131" s="20" t="s">
        <v>558</v>
      </c>
      <c r="G131" s="8" t="str">
        <f t="shared" ref="G131:G194" si="4">E131&amp;" "&amp;F131</f>
        <v>STARKS ANGELINA</v>
      </c>
      <c r="H131" s="20" t="str">
        <f t="shared" ref="H131:H194" si="5">MID(B131,13,4)</f>
        <v>4016</v>
      </c>
    </row>
    <row r="132" spans="1:8" x14ac:dyDescent="0.25">
      <c r="A132" s="8">
        <v>43075.537858796299</v>
      </c>
      <c r="B132" s="20" t="s">
        <v>551</v>
      </c>
      <c r="C132" s="20" t="s">
        <v>647</v>
      </c>
      <c r="D132" s="137">
        <v>1110000</v>
      </c>
      <c r="E132" s="20" t="s">
        <v>557</v>
      </c>
      <c r="F132" s="20" t="s">
        <v>558</v>
      </c>
      <c r="G132" s="8" t="str">
        <f t="shared" si="4"/>
        <v>STARKS ANGELINA</v>
      </c>
      <c r="H132" s="20" t="str">
        <f t="shared" si="5"/>
        <v>4016</v>
      </c>
    </row>
    <row r="133" spans="1:8" x14ac:dyDescent="0.25">
      <c r="A133" s="8">
        <v>43075.5390625</v>
      </c>
      <c r="B133" s="20" t="s">
        <v>457</v>
      </c>
      <c r="C133" s="20" t="s">
        <v>768</v>
      </c>
      <c r="D133" s="137">
        <v>1770000</v>
      </c>
      <c r="E133" s="20" t="s">
        <v>559</v>
      </c>
      <c r="F133" s="20" t="s">
        <v>560</v>
      </c>
      <c r="G133" s="8" t="str">
        <f t="shared" si="4"/>
        <v>BRUDER RICHARD</v>
      </c>
      <c r="H133" s="20" t="str">
        <f t="shared" si="5"/>
        <v>4032</v>
      </c>
    </row>
    <row r="134" spans="1:8" x14ac:dyDescent="0.25">
      <c r="A134" s="8">
        <v>43075.54277777778</v>
      </c>
      <c r="B134" s="20" t="s">
        <v>640</v>
      </c>
      <c r="C134" s="20" t="s">
        <v>769</v>
      </c>
      <c r="D134" s="137">
        <v>1180000</v>
      </c>
      <c r="E134" s="20" t="s">
        <v>770</v>
      </c>
      <c r="F134" s="20" t="s">
        <v>771</v>
      </c>
      <c r="G134" s="8" t="str">
        <f t="shared" si="4"/>
        <v>LEVERE CRAIG</v>
      </c>
      <c r="H134" s="20" t="str">
        <f t="shared" si="5"/>
        <v>4050</v>
      </c>
    </row>
    <row r="135" spans="1:8" x14ac:dyDescent="0.25">
      <c r="A135" s="8">
        <v>43075.547800925924</v>
      </c>
      <c r="B135" s="20" t="s">
        <v>517</v>
      </c>
      <c r="C135" s="20" t="s">
        <v>772</v>
      </c>
      <c r="D135" s="137">
        <v>880000</v>
      </c>
      <c r="E135" s="20" t="s">
        <v>414</v>
      </c>
      <c r="F135" s="20" t="s">
        <v>352</v>
      </c>
      <c r="G135" s="8" t="str">
        <f t="shared" si="4"/>
        <v>STEWART MICHAEL</v>
      </c>
      <c r="H135" s="20" t="str">
        <f t="shared" si="5"/>
        <v>4064</v>
      </c>
    </row>
    <row r="136" spans="1:8" x14ac:dyDescent="0.25">
      <c r="A136" s="8">
        <v>43075.548460648148</v>
      </c>
      <c r="B136" s="20" t="s">
        <v>637</v>
      </c>
      <c r="C136" s="20" t="s">
        <v>773</v>
      </c>
      <c r="D136" s="137">
        <v>1780000</v>
      </c>
      <c r="E136" s="20" t="s">
        <v>561</v>
      </c>
      <c r="F136" s="20" t="s">
        <v>562</v>
      </c>
      <c r="G136" s="8" t="str">
        <f t="shared" si="4"/>
        <v>DE LA ROSA ALEX</v>
      </c>
      <c r="H136" s="20" t="str">
        <f t="shared" si="5"/>
        <v>4033</v>
      </c>
    </row>
    <row r="137" spans="1:8" x14ac:dyDescent="0.25">
      <c r="A137" s="8">
        <v>43075.557870370372</v>
      </c>
      <c r="B137" s="20" t="s">
        <v>655</v>
      </c>
      <c r="C137" s="20" t="s">
        <v>774</v>
      </c>
      <c r="D137" s="137">
        <v>3810000</v>
      </c>
      <c r="E137" s="20" t="s">
        <v>428</v>
      </c>
      <c r="F137" s="20" t="s">
        <v>429</v>
      </c>
      <c r="G137" s="8" t="str">
        <f t="shared" si="4"/>
        <v>LORI SANTOS</v>
      </c>
      <c r="H137" s="20" t="str">
        <f t="shared" si="5"/>
        <v>4042</v>
      </c>
    </row>
    <row r="138" spans="1:8" x14ac:dyDescent="0.25">
      <c r="A138" s="8">
        <v>43075.559386574074</v>
      </c>
      <c r="B138" s="20" t="s">
        <v>479</v>
      </c>
      <c r="C138" s="20" t="s">
        <v>775</v>
      </c>
      <c r="D138" s="137">
        <v>920000</v>
      </c>
      <c r="E138" s="20" t="s">
        <v>484</v>
      </c>
      <c r="F138" s="20" t="s">
        <v>352</v>
      </c>
      <c r="G138" s="8" t="str">
        <f t="shared" si="4"/>
        <v>DAVIS MICHAEL</v>
      </c>
      <c r="H138" s="20" t="str">
        <f t="shared" si="5"/>
        <v>4009</v>
      </c>
    </row>
    <row r="139" spans="1:8" x14ac:dyDescent="0.25">
      <c r="A139" s="8">
        <v>43075.561296296299</v>
      </c>
      <c r="B139" s="20" t="s">
        <v>375</v>
      </c>
      <c r="C139" s="20" t="s">
        <v>650</v>
      </c>
      <c r="D139" s="137">
        <v>2030000</v>
      </c>
      <c r="E139" s="20" t="s">
        <v>766</v>
      </c>
      <c r="F139" s="20" t="s">
        <v>411</v>
      </c>
      <c r="G139" s="8" t="str">
        <f t="shared" si="4"/>
        <v>KILLION DAVID</v>
      </c>
      <c r="H139" s="20" t="str">
        <f t="shared" si="5"/>
        <v>4061</v>
      </c>
    </row>
    <row r="140" spans="1:8" x14ac:dyDescent="0.25">
      <c r="A140" s="8">
        <v>43075.562662037039</v>
      </c>
      <c r="B140" s="20" t="s">
        <v>687</v>
      </c>
      <c r="C140" s="20" t="s">
        <v>776</v>
      </c>
      <c r="D140" s="137">
        <v>1180000</v>
      </c>
      <c r="E140" s="20" t="s">
        <v>770</v>
      </c>
      <c r="F140" s="20" t="s">
        <v>771</v>
      </c>
      <c r="G140" s="8" t="str">
        <f t="shared" si="4"/>
        <v>LEVERE CRAIG</v>
      </c>
      <c r="H140" s="20" t="str">
        <f t="shared" si="5"/>
        <v>4049</v>
      </c>
    </row>
    <row r="141" spans="1:8" x14ac:dyDescent="0.25">
      <c r="A141" s="8">
        <v>43075.565243055556</v>
      </c>
      <c r="B141" s="20" t="s">
        <v>550</v>
      </c>
      <c r="C141" s="20" t="s">
        <v>645</v>
      </c>
      <c r="D141" s="137">
        <v>1110000</v>
      </c>
      <c r="E141" s="20" t="s">
        <v>557</v>
      </c>
      <c r="F141" s="20" t="s">
        <v>558</v>
      </c>
      <c r="G141" s="8" t="str">
        <f t="shared" si="4"/>
        <v>STARKS ANGELINA</v>
      </c>
      <c r="H141" s="20" t="str">
        <f t="shared" si="5"/>
        <v>4015</v>
      </c>
    </row>
    <row r="142" spans="1:8" x14ac:dyDescent="0.25">
      <c r="A142" s="8">
        <v>43075.567523148151</v>
      </c>
      <c r="B142" s="20" t="s">
        <v>459</v>
      </c>
      <c r="C142" s="20" t="s">
        <v>777</v>
      </c>
      <c r="D142" s="137">
        <v>3130000</v>
      </c>
      <c r="E142" s="20" t="s">
        <v>566</v>
      </c>
      <c r="F142" s="20" t="s">
        <v>567</v>
      </c>
      <c r="G142" s="8" t="str">
        <f t="shared" si="4"/>
        <v>ZEWDU DEREJE</v>
      </c>
      <c r="H142" s="20" t="str">
        <f t="shared" si="5"/>
        <v>4006</v>
      </c>
    </row>
    <row r="143" spans="1:8" x14ac:dyDescent="0.25">
      <c r="A143" s="8">
        <v>43075.571030092593</v>
      </c>
      <c r="B143" s="20" t="s">
        <v>356</v>
      </c>
      <c r="C143" s="20" t="s">
        <v>778</v>
      </c>
      <c r="D143" s="137">
        <v>1300000</v>
      </c>
      <c r="E143" s="20" t="s">
        <v>520</v>
      </c>
      <c r="F143" s="20" t="s">
        <v>521</v>
      </c>
      <c r="G143" s="8" t="str">
        <f t="shared" si="4"/>
        <v>LEVIN SCOTT</v>
      </c>
      <c r="H143" s="20" t="str">
        <f t="shared" si="5"/>
        <v>4008</v>
      </c>
    </row>
    <row r="144" spans="1:8" x14ac:dyDescent="0.25">
      <c r="A144" s="8">
        <v>43075.578287037039</v>
      </c>
      <c r="B144" s="20" t="s">
        <v>456</v>
      </c>
      <c r="C144" s="20" t="s">
        <v>779</v>
      </c>
      <c r="D144" s="137">
        <v>1770000</v>
      </c>
      <c r="E144" s="20" t="s">
        <v>559</v>
      </c>
      <c r="F144" s="20" t="s">
        <v>560</v>
      </c>
      <c r="G144" s="8" t="str">
        <f t="shared" si="4"/>
        <v>BRUDER RICHARD</v>
      </c>
      <c r="H144" s="20" t="str">
        <f t="shared" si="5"/>
        <v>4031</v>
      </c>
    </row>
    <row r="145" spans="1:8" x14ac:dyDescent="0.25">
      <c r="A145" s="8">
        <v>43075.58084490741</v>
      </c>
      <c r="B145" s="20" t="s">
        <v>653</v>
      </c>
      <c r="C145" s="20" t="s">
        <v>780</v>
      </c>
      <c r="D145" s="137">
        <v>1780000</v>
      </c>
      <c r="E145" s="20" t="s">
        <v>561</v>
      </c>
      <c r="F145" s="20" t="s">
        <v>562</v>
      </c>
      <c r="G145" s="8" t="str">
        <f t="shared" si="4"/>
        <v>DE LA ROSA ALEX</v>
      </c>
      <c r="H145" s="20" t="str">
        <f t="shared" si="5"/>
        <v>4034</v>
      </c>
    </row>
    <row r="146" spans="1:8" x14ac:dyDescent="0.25">
      <c r="A146" s="8">
        <v>43075.586388888885</v>
      </c>
      <c r="B146" s="20" t="s">
        <v>640</v>
      </c>
      <c r="C146" s="20" t="s">
        <v>781</v>
      </c>
      <c r="D146" s="137">
        <v>1180000</v>
      </c>
      <c r="E146" s="20" t="s">
        <v>770</v>
      </c>
      <c r="F146" s="20" t="s">
        <v>771</v>
      </c>
      <c r="G146" s="8" t="str">
        <f t="shared" si="4"/>
        <v>LEVERE CRAIG</v>
      </c>
      <c r="H146" s="20" t="str">
        <f t="shared" si="5"/>
        <v>4050</v>
      </c>
    </row>
    <row r="147" spans="1:8" x14ac:dyDescent="0.25">
      <c r="A147" s="8">
        <v>43075.586886574078</v>
      </c>
      <c r="B147" s="20" t="s">
        <v>485</v>
      </c>
      <c r="C147" s="20" t="s">
        <v>782</v>
      </c>
      <c r="D147" s="137">
        <v>880000</v>
      </c>
      <c r="E147" s="20" t="s">
        <v>414</v>
      </c>
      <c r="F147" s="20" t="s">
        <v>352</v>
      </c>
      <c r="G147" s="8" t="str">
        <f t="shared" si="4"/>
        <v>STEWART MICHAEL</v>
      </c>
      <c r="H147" s="20" t="str">
        <f t="shared" si="5"/>
        <v>4063</v>
      </c>
    </row>
    <row r="148" spans="1:8" x14ac:dyDescent="0.25">
      <c r="A148" s="8">
        <v>43075.590474537035</v>
      </c>
      <c r="B148" s="20" t="s">
        <v>632</v>
      </c>
      <c r="C148" s="20" t="s">
        <v>783</v>
      </c>
      <c r="D148" s="137">
        <v>3810000</v>
      </c>
      <c r="E148" s="20" t="s">
        <v>428</v>
      </c>
      <c r="F148" s="20" t="s">
        <v>429</v>
      </c>
      <c r="G148" s="8" t="str">
        <f t="shared" si="4"/>
        <v>LORI SANTOS</v>
      </c>
      <c r="H148" s="20" t="str">
        <f t="shared" si="5"/>
        <v>4041</v>
      </c>
    </row>
    <row r="149" spans="1:8" x14ac:dyDescent="0.25">
      <c r="A149" s="8">
        <v>43075.59103009259</v>
      </c>
      <c r="B149" s="20" t="s">
        <v>458</v>
      </c>
      <c r="C149" s="20" t="s">
        <v>651</v>
      </c>
      <c r="D149" s="137">
        <v>3130000</v>
      </c>
      <c r="E149" s="20" t="s">
        <v>566</v>
      </c>
      <c r="F149" s="20" t="s">
        <v>567</v>
      </c>
      <c r="G149" s="8" t="str">
        <f t="shared" si="4"/>
        <v>ZEWDU DEREJE</v>
      </c>
      <c r="H149" s="20" t="str">
        <f t="shared" si="5"/>
        <v>4005</v>
      </c>
    </row>
    <row r="150" spans="1:8" x14ac:dyDescent="0.25">
      <c r="A150" s="8">
        <v>43075.591168981482</v>
      </c>
      <c r="B150" s="20" t="s">
        <v>480</v>
      </c>
      <c r="C150" s="20" t="s">
        <v>784</v>
      </c>
      <c r="D150" s="137">
        <v>920000</v>
      </c>
      <c r="E150" s="20" t="s">
        <v>484</v>
      </c>
      <c r="F150" s="20" t="s">
        <v>352</v>
      </c>
      <c r="G150" s="8" t="str">
        <f t="shared" si="4"/>
        <v>DAVIS MICHAEL</v>
      </c>
      <c r="H150" s="20" t="str">
        <f t="shared" si="5"/>
        <v>4010</v>
      </c>
    </row>
    <row r="151" spans="1:8" x14ac:dyDescent="0.25">
      <c r="A151" s="8">
        <v>43075.594583333332</v>
      </c>
      <c r="B151" s="20" t="s">
        <v>551</v>
      </c>
      <c r="C151" s="20" t="s">
        <v>647</v>
      </c>
      <c r="D151" s="137">
        <v>330000</v>
      </c>
      <c r="E151" s="20" t="s">
        <v>725</v>
      </c>
      <c r="F151" s="20" t="s">
        <v>726</v>
      </c>
      <c r="G151" s="8" t="str">
        <f t="shared" si="4"/>
        <v>PELLITIER GEORGE</v>
      </c>
      <c r="H151" s="20" t="str">
        <f t="shared" si="5"/>
        <v>4016</v>
      </c>
    </row>
    <row r="152" spans="1:8" x14ac:dyDescent="0.25">
      <c r="A152" s="8">
        <v>43075.600381944445</v>
      </c>
      <c r="B152" s="20" t="s">
        <v>373</v>
      </c>
      <c r="C152" s="20" t="s">
        <v>785</v>
      </c>
      <c r="D152" s="137">
        <v>2030000</v>
      </c>
      <c r="E152" s="20" t="s">
        <v>766</v>
      </c>
      <c r="F152" s="20" t="s">
        <v>411</v>
      </c>
      <c r="G152" s="8" t="str">
        <f t="shared" si="4"/>
        <v>KILLION DAVID</v>
      </c>
      <c r="H152" s="20" t="str">
        <f t="shared" si="5"/>
        <v>4062</v>
      </c>
    </row>
    <row r="153" spans="1:8" x14ac:dyDescent="0.25">
      <c r="A153" s="8">
        <v>43075.60260416667</v>
      </c>
      <c r="B153" s="20" t="s">
        <v>687</v>
      </c>
      <c r="C153" s="20" t="s">
        <v>786</v>
      </c>
      <c r="D153" s="137">
        <v>1180000</v>
      </c>
      <c r="E153" s="20" t="s">
        <v>770</v>
      </c>
      <c r="F153" s="20" t="s">
        <v>771</v>
      </c>
      <c r="G153" s="8" t="str">
        <f t="shared" si="4"/>
        <v>LEVERE CRAIG</v>
      </c>
      <c r="H153" s="20" t="str">
        <f t="shared" si="5"/>
        <v>4049</v>
      </c>
    </row>
    <row r="154" spans="1:8" x14ac:dyDescent="0.25">
      <c r="A154" s="8">
        <v>43075.610381944447</v>
      </c>
      <c r="B154" s="20" t="s">
        <v>358</v>
      </c>
      <c r="C154" s="20" t="s">
        <v>787</v>
      </c>
      <c r="D154" s="137">
        <v>1300000</v>
      </c>
      <c r="E154" s="20" t="s">
        <v>520</v>
      </c>
      <c r="F154" s="20" t="s">
        <v>521</v>
      </c>
      <c r="G154" s="8" t="str">
        <f t="shared" si="4"/>
        <v>LEVIN SCOTT</v>
      </c>
      <c r="H154" s="20" t="str">
        <f t="shared" si="5"/>
        <v>4007</v>
      </c>
    </row>
    <row r="155" spans="1:8" x14ac:dyDescent="0.25">
      <c r="A155" s="8">
        <v>43075.611689814818</v>
      </c>
      <c r="B155" s="20" t="s">
        <v>457</v>
      </c>
      <c r="C155" s="20" t="s">
        <v>788</v>
      </c>
      <c r="D155" s="137">
        <v>1770000</v>
      </c>
      <c r="E155" s="20" t="s">
        <v>559</v>
      </c>
      <c r="F155" s="20" t="s">
        <v>560</v>
      </c>
      <c r="G155" s="8" t="str">
        <f t="shared" si="4"/>
        <v>BRUDER RICHARD</v>
      </c>
      <c r="H155" s="20" t="str">
        <f t="shared" si="5"/>
        <v>4032</v>
      </c>
    </row>
    <row r="156" spans="1:8" x14ac:dyDescent="0.25">
      <c r="A156" s="8">
        <v>43075.617974537039</v>
      </c>
      <c r="B156" s="20" t="s">
        <v>459</v>
      </c>
      <c r="C156" s="20" t="s">
        <v>777</v>
      </c>
      <c r="D156" s="137">
        <v>3130000</v>
      </c>
      <c r="E156" s="20" t="s">
        <v>566</v>
      </c>
      <c r="F156" s="20" t="s">
        <v>567</v>
      </c>
      <c r="G156" s="8" t="str">
        <f t="shared" si="4"/>
        <v>ZEWDU DEREJE</v>
      </c>
      <c r="H156" s="20" t="str">
        <f t="shared" si="5"/>
        <v>4006</v>
      </c>
    </row>
    <row r="157" spans="1:8" x14ac:dyDescent="0.25">
      <c r="A157" s="8">
        <v>43075.619421296295</v>
      </c>
      <c r="B157" s="20" t="s">
        <v>548</v>
      </c>
      <c r="C157" s="20" t="s">
        <v>663</v>
      </c>
      <c r="D157" s="137">
        <v>3180000</v>
      </c>
      <c r="E157" s="20" t="s">
        <v>740</v>
      </c>
      <c r="F157" s="20" t="s">
        <v>741</v>
      </c>
      <c r="G157" s="8" t="str">
        <f t="shared" si="4"/>
        <v>HUFFSMITH MONTY</v>
      </c>
      <c r="H157" s="20" t="str">
        <f t="shared" si="5"/>
        <v>4004</v>
      </c>
    </row>
    <row r="158" spans="1:8" x14ac:dyDescent="0.25">
      <c r="A158" s="8">
        <v>43075.620509259257</v>
      </c>
      <c r="B158" s="20" t="s">
        <v>637</v>
      </c>
      <c r="C158" s="20" t="s">
        <v>789</v>
      </c>
      <c r="D158" s="137">
        <v>1780000</v>
      </c>
      <c r="E158" s="20" t="s">
        <v>561</v>
      </c>
      <c r="F158" s="20" t="s">
        <v>562</v>
      </c>
      <c r="G158" s="8" t="str">
        <f t="shared" si="4"/>
        <v>DE LA ROSA ALEX</v>
      </c>
      <c r="H158" s="20" t="str">
        <f t="shared" si="5"/>
        <v>4033</v>
      </c>
    </row>
    <row r="159" spans="1:8" x14ac:dyDescent="0.25">
      <c r="A159" s="8">
        <v>43075.620787037034</v>
      </c>
      <c r="B159" s="20" t="s">
        <v>517</v>
      </c>
      <c r="C159" s="20" t="s">
        <v>790</v>
      </c>
      <c r="D159" s="137">
        <v>880000</v>
      </c>
      <c r="E159" s="20" t="s">
        <v>414</v>
      </c>
      <c r="F159" s="20" t="s">
        <v>352</v>
      </c>
      <c r="G159" s="8" t="str">
        <f t="shared" si="4"/>
        <v>STEWART MICHAEL</v>
      </c>
      <c r="H159" s="20" t="str">
        <f t="shared" si="5"/>
        <v>4064</v>
      </c>
    </row>
    <row r="160" spans="1:8" x14ac:dyDescent="0.25">
      <c r="A160" s="8">
        <v>43075.626354166663</v>
      </c>
      <c r="B160" s="20" t="s">
        <v>640</v>
      </c>
      <c r="C160" s="20" t="s">
        <v>791</v>
      </c>
      <c r="D160" s="137">
        <v>1180000</v>
      </c>
      <c r="E160" s="20" t="s">
        <v>770</v>
      </c>
      <c r="F160" s="20" t="s">
        <v>771</v>
      </c>
      <c r="G160" s="8" t="str">
        <f t="shared" si="4"/>
        <v>LEVERE CRAIG</v>
      </c>
      <c r="H160" s="20" t="str">
        <f t="shared" si="5"/>
        <v>4050</v>
      </c>
    </row>
    <row r="161" spans="1:8" x14ac:dyDescent="0.25">
      <c r="A161" s="8">
        <v>43075.630497685182</v>
      </c>
      <c r="B161" s="20" t="s">
        <v>655</v>
      </c>
      <c r="C161" s="20" t="s">
        <v>792</v>
      </c>
      <c r="D161" s="137">
        <v>3810000</v>
      </c>
      <c r="E161" s="20" t="s">
        <v>428</v>
      </c>
      <c r="F161" s="20" t="s">
        <v>429</v>
      </c>
      <c r="G161" s="8" t="str">
        <f t="shared" si="4"/>
        <v>LORI SANTOS</v>
      </c>
      <c r="H161" s="20" t="str">
        <f t="shared" si="5"/>
        <v>4042</v>
      </c>
    </row>
    <row r="162" spans="1:8" x14ac:dyDescent="0.25">
      <c r="A162" s="8">
        <v>43075.632673611108</v>
      </c>
      <c r="B162" s="20" t="s">
        <v>479</v>
      </c>
      <c r="C162" s="20" t="s">
        <v>793</v>
      </c>
      <c r="D162" s="137">
        <v>920000</v>
      </c>
      <c r="E162" s="20" t="s">
        <v>484</v>
      </c>
      <c r="F162" s="20" t="s">
        <v>352</v>
      </c>
      <c r="G162" s="8" t="str">
        <f t="shared" si="4"/>
        <v>DAVIS MICHAEL</v>
      </c>
      <c r="H162" s="20" t="str">
        <f t="shared" si="5"/>
        <v>4009</v>
      </c>
    </row>
    <row r="163" spans="1:8" x14ac:dyDescent="0.25">
      <c r="A163" s="8">
        <v>43075.637245370373</v>
      </c>
      <c r="B163" s="20" t="s">
        <v>375</v>
      </c>
      <c r="C163" s="20" t="s">
        <v>652</v>
      </c>
      <c r="D163" s="137">
        <v>2030000</v>
      </c>
      <c r="E163" s="20" t="s">
        <v>766</v>
      </c>
      <c r="F163" s="20" t="s">
        <v>411</v>
      </c>
      <c r="G163" s="8" t="str">
        <f t="shared" si="4"/>
        <v>KILLION DAVID</v>
      </c>
      <c r="H163" s="20" t="str">
        <f t="shared" si="5"/>
        <v>4061</v>
      </c>
    </row>
    <row r="164" spans="1:8" x14ac:dyDescent="0.25">
      <c r="A164" s="8">
        <v>43075.638055555559</v>
      </c>
      <c r="B164" s="20" t="s">
        <v>513</v>
      </c>
      <c r="C164" s="20" t="s">
        <v>794</v>
      </c>
      <c r="D164" s="137">
        <v>2000000</v>
      </c>
      <c r="E164" s="20" t="s">
        <v>380</v>
      </c>
      <c r="F164" s="20" t="s">
        <v>381</v>
      </c>
      <c r="G164" s="8" t="str">
        <f t="shared" si="4"/>
        <v>STAMBAUGH JAMES</v>
      </c>
      <c r="H164" s="20" t="str">
        <f t="shared" si="5"/>
        <v>4057</v>
      </c>
    </row>
    <row r="165" spans="1:8" x14ac:dyDescent="0.25">
      <c r="A165" s="8">
        <v>43075.643645833334</v>
      </c>
      <c r="B165" s="20" t="s">
        <v>356</v>
      </c>
      <c r="C165" s="20" t="s">
        <v>795</v>
      </c>
      <c r="D165" s="137">
        <v>1300000</v>
      </c>
      <c r="E165" s="20" t="s">
        <v>520</v>
      </c>
      <c r="F165" s="20" t="s">
        <v>521</v>
      </c>
      <c r="G165" s="8" t="str">
        <f t="shared" si="4"/>
        <v>LEVIN SCOTT</v>
      </c>
      <c r="H165" s="20" t="str">
        <f t="shared" si="5"/>
        <v>4008</v>
      </c>
    </row>
    <row r="166" spans="1:8" x14ac:dyDescent="0.25">
      <c r="A166" s="8">
        <v>43075.644085648149</v>
      </c>
      <c r="B166" s="20" t="s">
        <v>687</v>
      </c>
      <c r="C166" s="20" t="s">
        <v>796</v>
      </c>
      <c r="D166" s="137">
        <v>1180000</v>
      </c>
      <c r="E166" s="20" t="s">
        <v>770</v>
      </c>
      <c r="F166" s="20" t="s">
        <v>771</v>
      </c>
      <c r="G166" s="8" t="str">
        <f t="shared" si="4"/>
        <v>LEVERE CRAIG</v>
      </c>
      <c r="H166" s="20" t="str">
        <f t="shared" si="5"/>
        <v>4049</v>
      </c>
    </row>
    <row r="167" spans="1:8" x14ac:dyDescent="0.25">
      <c r="A167" s="8">
        <v>43075.645057870373</v>
      </c>
      <c r="B167" s="20" t="s">
        <v>458</v>
      </c>
      <c r="C167" s="20" t="s">
        <v>651</v>
      </c>
      <c r="D167" s="137">
        <v>3130000</v>
      </c>
      <c r="E167" s="20" t="s">
        <v>566</v>
      </c>
      <c r="F167" s="20" t="s">
        <v>567</v>
      </c>
      <c r="G167" s="8" t="str">
        <f t="shared" si="4"/>
        <v>ZEWDU DEREJE</v>
      </c>
      <c r="H167" s="20" t="str">
        <f t="shared" si="5"/>
        <v>4005</v>
      </c>
    </row>
    <row r="168" spans="1:8" x14ac:dyDescent="0.25">
      <c r="A168" s="8">
        <v>43075.649224537039</v>
      </c>
      <c r="B168" s="20" t="s">
        <v>448</v>
      </c>
      <c r="C168" s="20" t="s">
        <v>797</v>
      </c>
      <c r="D168" s="137">
        <v>2000000</v>
      </c>
      <c r="E168" s="20" t="s">
        <v>380</v>
      </c>
      <c r="F168" s="20" t="s">
        <v>381</v>
      </c>
      <c r="G168" s="8" t="str">
        <f t="shared" si="4"/>
        <v>STAMBAUGH JAMES</v>
      </c>
      <c r="H168" s="20" t="str">
        <f t="shared" si="5"/>
        <v>4058</v>
      </c>
    </row>
    <row r="169" spans="1:8" x14ac:dyDescent="0.25">
      <c r="A169" s="8">
        <v>43075.651226851849</v>
      </c>
      <c r="B169" s="20" t="s">
        <v>456</v>
      </c>
      <c r="C169" s="20" t="s">
        <v>798</v>
      </c>
      <c r="D169" s="137">
        <v>1770000</v>
      </c>
      <c r="E169" s="20" t="s">
        <v>559</v>
      </c>
      <c r="F169" s="20" t="s">
        <v>560</v>
      </c>
      <c r="G169" s="8" t="str">
        <f t="shared" si="4"/>
        <v>BRUDER RICHARD</v>
      </c>
      <c r="H169" s="20" t="str">
        <f t="shared" si="5"/>
        <v>4031</v>
      </c>
    </row>
    <row r="170" spans="1:8" x14ac:dyDescent="0.25">
      <c r="A170" s="8">
        <v>43075.65283564815</v>
      </c>
      <c r="B170" s="20" t="s">
        <v>653</v>
      </c>
      <c r="C170" s="20" t="s">
        <v>654</v>
      </c>
      <c r="D170" s="137">
        <v>3700000</v>
      </c>
      <c r="E170" s="20" t="s">
        <v>522</v>
      </c>
      <c r="F170" s="20" t="s">
        <v>481</v>
      </c>
      <c r="G170" s="8" t="str">
        <f t="shared" si="4"/>
        <v>AUSTIN THOMPSON</v>
      </c>
      <c r="H170" s="20" t="str">
        <f t="shared" si="5"/>
        <v>4034</v>
      </c>
    </row>
    <row r="171" spans="1:8" x14ac:dyDescent="0.25">
      <c r="A171" s="8">
        <v>43075.660740740743</v>
      </c>
      <c r="B171" s="20" t="s">
        <v>485</v>
      </c>
      <c r="C171" s="20" t="s">
        <v>799</v>
      </c>
      <c r="D171" s="137">
        <v>880000</v>
      </c>
      <c r="E171" s="20" t="s">
        <v>414</v>
      </c>
      <c r="F171" s="20" t="s">
        <v>352</v>
      </c>
      <c r="G171" s="8" t="str">
        <f t="shared" si="4"/>
        <v>STEWART MICHAEL</v>
      </c>
      <c r="H171" s="20" t="str">
        <f t="shared" si="5"/>
        <v>4063</v>
      </c>
    </row>
    <row r="172" spans="1:8" x14ac:dyDescent="0.25">
      <c r="A172" s="8">
        <v>43075.664363425924</v>
      </c>
      <c r="B172" s="20" t="s">
        <v>513</v>
      </c>
      <c r="C172" s="20" t="s">
        <v>800</v>
      </c>
      <c r="D172" s="137">
        <v>2000000</v>
      </c>
      <c r="E172" s="20" t="s">
        <v>380</v>
      </c>
      <c r="F172" s="20" t="s">
        <v>381</v>
      </c>
      <c r="G172" s="8" t="str">
        <f t="shared" si="4"/>
        <v>STAMBAUGH JAMES</v>
      </c>
      <c r="H172" s="20" t="str">
        <f t="shared" si="5"/>
        <v>4057</v>
      </c>
    </row>
    <row r="173" spans="1:8" x14ac:dyDescent="0.25">
      <c r="A173" s="8">
        <v>43075.665648148148</v>
      </c>
      <c r="B173" s="20" t="s">
        <v>632</v>
      </c>
      <c r="C173" s="20" t="s">
        <v>801</v>
      </c>
      <c r="D173" s="137">
        <v>3810000</v>
      </c>
      <c r="E173" s="20" t="s">
        <v>428</v>
      </c>
      <c r="F173" s="20" t="s">
        <v>429</v>
      </c>
      <c r="G173" s="8" t="str">
        <f t="shared" si="4"/>
        <v>LORI SANTOS</v>
      </c>
      <c r="H173" s="20" t="str">
        <f t="shared" si="5"/>
        <v>4041</v>
      </c>
    </row>
    <row r="174" spans="1:8" x14ac:dyDescent="0.25">
      <c r="A174" s="8">
        <v>43075.665856481479</v>
      </c>
      <c r="B174" s="20" t="s">
        <v>480</v>
      </c>
      <c r="C174" s="20" t="s">
        <v>802</v>
      </c>
      <c r="D174" s="137">
        <v>920000</v>
      </c>
      <c r="E174" s="20" t="s">
        <v>484</v>
      </c>
      <c r="F174" s="20" t="s">
        <v>352</v>
      </c>
      <c r="G174" s="8" t="str">
        <f t="shared" si="4"/>
        <v>DAVIS MICHAEL</v>
      </c>
      <c r="H174" s="20" t="str">
        <f t="shared" si="5"/>
        <v>4010</v>
      </c>
    </row>
    <row r="175" spans="1:8" x14ac:dyDescent="0.25">
      <c r="A175" s="8">
        <v>43075.670208333337</v>
      </c>
      <c r="B175" s="20" t="s">
        <v>640</v>
      </c>
      <c r="C175" s="20" t="s">
        <v>803</v>
      </c>
      <c r="D175" s="137">
        <v>1180000</v>
      </c>
      <c r="E175" s="20" t="s">
        <v>770</v>
      </c>
      <c r="F175" s="20" t="s">
        <v>771</v>
      </c>
      <c r="G175" s="8" t="str">
        <f t="shared" si="4"/>
        <v>LEVERE CRAIG</v>
      </c>
      <c r="H175" s="20" t="str">
        <f t="shared" si="5"/>
        <v>4050</v>
      </c>
    </row>
    <row r="176" spans="1:8" x14ac:dyDescent="0.25">
      <c r="A176" s="8">
        <v>43075.675358796296</v>
      </c>
      <c r="B176" s="20" t="s">
        <v>373</v>
      </c>
      <c r="C176" s="20" t="s">
        <v>804</v>
      </c>
      <c r="D176" s="137">
        <v>2030000</v>
      </c>
      <c r="E176" s="20" t="s">
        <v>766</v>
      </c>
      <c r="F176" s="20" t="s">
        <v>411</v>
      </c>
      <c r="G176" s="8" t="str">
        <f t="shared" si="4"/>
        <v>KILLION DAVID</v>
      </c>
      <c r="H176" s="20" t="str">
        <f t="shared" si="5"/>
        <v>4062</v>
      </c>
    </row>
    <row r="177" spans="1:8" x14ac:dyDescent="0.25">
      <c r="A177" s="8">
        <v>43075.675532407404</v>
      </c>
      <c r="B177" s="20" t="s">
        <v>358</v>
      </c>
      <c r="C177" s="20" t="s">
        <v>805</v>
      </c>
      <c r="D177" s="137">
        <v>1300000</v>
      </c>
      <c r="E177" s="20" t="s">
        <v>520</v>
      </c>
      <c r="F177" s="20" t="s">
        <v>521</v>
      </c>
      <c r="G177" s="8" t="str">
        <f t="shared" si="4"/>
        <v>LEVIN SCOTT</v>
      </c>
      <c r="H177" s="20" t="str">
        <f t="shared" si="5"/>
        <v>4007</v>
      </c>
    </row>
    <row r="178" spans="1:8" x14ac:dyDescent="0.25">
      <c r="A178" s="8">
        <v>43075.684537037036</v>
      </c>
      <c r="B178" s="20" t="s">
        <v>457</v>
      </c>
      <c r="C178" s="20" t="s">
        <v>806</v>
      </c>
      <c r="D178" s="137">
        <v>1770000</v>
      </c>
      <c r="E178" s="20" t="s">
        <v>559</v>
      </c>
      <c r="F178" s="20" t="s">
        <v>560</v>
      </c>
      <c r="G178" s="8" t="str">
        <f t="shared" si="4"/>
        <v>BRUDER RICHARD</v>
      </c>
      <c r="H178" s="20" t="str">
        <f t="shared" si="5"/>
        <v>4032</v>
      </c>
    </row>
    <row r="179" spans="1:8" x14ac:dyDescent="0.25">
      <c r="A179" s="8">
        <v>43075.684618055559</v>
      </c>
      <c r="B179" s="20" t="s">
        <v>550</v>
      </c>
      <c r="C179" s="20" t="s">
        <v>807</v>
      </c>
      <c r="D179" s="137">
        <v>1200000</v>
      </c>
      <c r="E179" s="20" t="s">
        <v>808</v>
      </c>
      <c r="F179" s="20" t="s">
        <v>809</v>
      </c>
      <c r="G179" s="8" t="str">
        <f t="shared" si="4"/>
        <v>CUSHING HARRY</v>
      </c>
      <c r="H179" s="20" t="str">
        <f t="shared" si="5"/>
        <v>4015</v>
      </c>
    </row>
    <row r="180" spans="1:8" x14ac:dyDescent="0.25">
      <c r="A180" s="8">
        <v>43075.686273148145</v>
      </c>
      <c r="B180" s="20" t="s">
        <v>550</v>
      </c>
      <c r="C180" s="20" t="s">
        <v>807</v>
      </c>
      <c r="D180" s="137">
        <v>1200000</v>
      </c>
      <c r="E180" s="20" t="s">
        <v>808</v>
      </c>
      <c r="F180" s="20" t="s">
        <v>809</v>
      </c>
      <c r="G180" s="8" t="str">
        <f t="shared" si="4"/>
        <v>CUSHING HARRY</v>
      </c>
      <c r="H180" s="20" t="str">
        <f t="shared" si="5"/>
        <v>4015</v>
      </c>
    </row>
    <row r="181" spans="1:8" x14ac:dyDescent="0.25">
      <c r="A181" s="8">
        <v>43075.686574074076</v>
      </c>
      <c r="B181" s="20" t="s">
        <v>687</v>
      </c>
      <c r="C181" s="20" t="s">
        <v>810</v>
      </c>
      <c r="D181" s="137">
        <v>1180000</v>
      </c>
      <c r="E181" s="20" t="s">
        <v>770</v>
      </c>
      <c r="F181" s="20" t="s">
        <v>771</v>
      </c>
      <c r="G181" s="8" t="str">
        <f t="shared" si="4"/>
        <v>LEVERE CRAIG</v>
      </c>
      <c r="H181" s="20" t="str">
        <f t="shared" si="5"/>
        <v>4049</v>
      </c>
    </row>
    <row r="182" spans="1:8" x14ac:dyDescent="0.25">
      <c r="A182" s="8">
        <v>43075.690011574072</v>
      </c>
      <c r="B182" s="20" t="s">
        <v>448</v>
      </c>
      <c r="C182" s="20" t="s">
        <v>811</v>
      </c>
      <c r="D182" s="137">
        <v>2000000</v>
      </c>
      <c r="E182" s="20" t="s">
        <v>380</v>
      </c>
      <c r="F182" s="20" t="s">
        <v>381</v>
      </c>
      <c r="G182" s="8" t="str">
        <f t="shared" si="4"/>
        <v>STAMBAUGH JAMES</v>
      </c>
      <c r="H182" s="20" t="str">
        <f t="shared" si="5"/>
        <v>4058</v>
      </c>
    </row>
    <row r="183" spans="1:8" x14ac:dyDescent="0.25">
      <c r="A183" s="8">
        <v>43075.693124999998</v>
      </c>
      <c r="B183" s="20" t="s">
        <v>637</v>
      </c>
      <c r="C183" s="20" t="s">
        <v>812</v>
      </c>
      <c r="D183" s="137">
        <v>3700000</v>
      </c>
      <c r="E183" s="20" t="s">
        <v>522</v>
      </c>
      <c r="F183" s="20" t="s">
        <v>481</v>
      </c>
      <c r="G183" s="8" t="str">
        <f t="shared" si="4"/>
        <v>AUSTIN THOMPSON</v>
      </c>
      <c r="H183" s="20" t="str">
        <f t="shared" si="5"/>
        <v>4033</v>
      </c>
    </row>
    <row r="184" spans="1:8" x14ac:dyDescent="0.25">
      <c r="A184" s="8">
        <v>43075.694409722222</v>
      </c>
      <c r="B184" s="20" t="s">
        <v>517</v>
      </c>
      <c r="C184" s="20" t="s">
        <v>813</v>
      </c>
      <c r="D184" s="137">
        <v>880000</v>
      </c>
      <c r="E184" s="20" t="s">
        <v>414</v>
      </c>
      <c r="F184" s="20" t="s">
        <v>352</v>
      </c>
      <c r="G184" s="8" t="str">
        <f t="shared" si="4"/>
        <v>STEWART MICHAEL</v>
      </c>
      <c r="H184" s="20" t="str">
        <f t="shared" si="5"/>
        <v>4064</v>
      </c>
    </row>
    <row r="185" spans="1:8" x14ac:dyDescent="0.25">
      <c r="A185" s="8">
        <v>43075.696909722225</v>
      </c>
      <c r="B185" s="20" t="s">
        <v>459</v>
      </c>
      <c r="C185" s="20" t="s">
        <v>651</v>
      </c>
      <c r="D185" s="137">
        <v>2540000</v>
      </c>
      <c r="E185" s="20" t="s">
        <v>814</v>
      </c>
      <c r="F185" s="20" t="s">
        <v>815</v>
      </c>
      <c r="G185" s="8" t="str">
        <f t="shared" si="4"/>
        <v>MCREYNOLDS KYLE</v>
      </c>
      <c r="H185" s="20" t="str">
        <f t="shared" si="5"/>
        <v>4006</v>
      </c>
    </row>
    <row r="186" spans="1:8" x14ac:dyDescent="0.25">
      <c r="A186" s="8">
        <v>43075.699525462966</v>
      </c>
      <c r="B186" s="20" t="s">
        <v>551</v>
      </c>
      <c r="C186" s="20" t="s">
        <v>727</v>
      </c>
      <c r="D186" s="137">
        <v>1200000</v>
      </c>
      <c r="E186" s="20" t="s">
        <v>808</v>
      </c>
      <c r="F186" s="20" t="s">
        <v>809</v>
      </c>
      <c r="G186" s="8" t="str">
        <f t="shared" si="4"/>
        <v>CUSHING HARRY</v>
      </c>
      <c r="H186" s="20" t="str">
        <f t="shared" si="5"/>
        <v>4016</v>
      </c>
    </row>
    <row r="187" spans="1:8" x14ac:dyDescent="0.25">
      <c r="A187" s="8">
        <v>43075.700891203705</v>
      </c>
      <c r="B187" s="20" t="s">
        <v>551</v>
      </c>
      <c r="C187" s="20" t="s">
        <v>727</v>
      </c>
      <c r="D187" s="137">
        <v>1200000</v>
      </c>
      <c r="E187" s="20" t="s">
        <v>808</v>
      </c>
      <c r="F187" s="20" t="s">
        <v>809</v>
      </c>
      <c r="G187" s="8" t="str">
        <f t="shared" si="4"/>
        <v>CUSHING HARRY</v>
      </c>
      <c r="H187" s="20" t="str">
        <f t="shared" si="5"/>
        <v>4016</v>
      </c>
    </row>
    <row r="188" spans="1:8" x14ac:dyDescent="0.25">
      <c r="A188" s="8">
        <v>43075.704837962963</v>
      </c>
      <c r="B188" s="20" t="s">
        <v>479</v>
      </c>
      <c r="C188" s="20" t="s">
        <v>816</v>
      </c>
      <c r="D188" s="137">
        <v>920000</v>
      </c>
      <c r="E188" s="20" t="s">
        <v>484</v>
      </c>
      <c r="F188" s="20" t="s">
        <v>352</v>
      </c>
      <c r="G188" s="8" t="str">
        <f t="shared" si="4"/>
        <v>DAVIS MICHAEL</v>
      </c>
      <c r="H188" s="20" t="str">
        <f t="shared" si="5"/>
        <v>4009</v>
      </c>
    </row>
    <row r="189" spans="1:8" x14ac:dyDescent="0.25">
      <c r="A189" s="8">
        <v>43075.705266203702</v>
      </c>
      <c r="B189" s="20" t="s">
        <v>655</v>
      </c>
      <c r="C189" s="20" t="s">
        <v>656</v>
      </c>
      <c r="D189" s="137">
        <v>3810000</v>
      </c>
      <c r="E189" s="20" t="s">
        <v>428</v>
      </c>
      <c r="F189" s="20" t="s">
        <v>429</v>
      </c>
      <c r="G189" s="8" t="str">
        <f t="shared" si="4"/>
        <v>LORI SANTOS</v>
      </c>
      <c r="H189" s="20" t="str">
        <f t="shared" si="5"/>
        <v>4042</v>
      </c>
    </row>
    <row r="190" spans="1:8" x14ac:dyDescent="0.25">
      <c r="A190" s="8">
        <v>43075.706967592596</v>
      </c>
      <c r="B190" s="20" t="s">
        <v>513</v>
      </c>
      <c r="C190" s="20" t="s">
        <v>817</v>
      </c>
      <c r="D190" s="137">
        <v>2000000</v>
      </c>
      <c r="E190" s="20" t="s">
        <v>380</v>
      </c>
      <c r="F190" s="20" t="s">
        <v>381</v>
      </c>
      <c r="G190" s="8" t="str">
        <f t="shared" si="4"/>
        <v>STAMBAUGH JAMES</v>
      </c>
      <c r="H190" s="20" t="str">
        <f t="shared" si="5"/>
        <v>4057</v>
      </c>
    </row>
    <row r="191" spans="1:8" x14ac:dyDescent="0.25">
      <c r="A191" s="8">
        <v>43075.709837962961</v>
      </c>
      <c r="B191" s="20" t="s">
        <v>818</v>
      </c>
      <c r="C191" s="20" t="s">
        <v>819</v>
      </c>
      <c r="D191" s="137">
        <v>1810000</v>
      </c>
      <c r="E191" s="20" t="s">
        <v>563</v>
      </c>
      <c r="F191" s="20" t="s">
        <v>381</v>
      </c>
      <c r="G191" s="8" t="str">
        <f t="shared" si="4"/>
        <v>NEWELL JAMES</v>
      </c>
      <c r="H191" s="20" t="str">
        <f t="shared" si="5"/>
        <v>4020</v>
      </c>
    </row>
    <row r="192" spans="1:8" x14ac:dyDescent="0.25">
      <c r="A192" s="8">
        <v>43075.710358796299</v>
      </c>
      <c r="B192" s="20" t="s">
        <v>375</v>
      </c>
      <c r="C192" s="20" t="s">
        <v>820</v>
      </c>
      <c r="D192" s="137">
        <v>2030000</v>
      </c>
      <c r="E192" s="20" t="s">
        <v>766</v>
      </c>
      <c r="F192" s="20" t="s">
        <v>411</v>
      </c>
      <c r="G192" s="8" t="str">
        <f t="shared" si="4"/>
        <v>KILLION DAVID</v>
      </c>
      <c r="H192" s="20" t="str">
        <f t="shared" si="5"/>
        <v>4061</v>
      </c>
    </row>
    <row r="193" spans="1:8" x14ac:dyDescent="0.25">
      <c r="A193" s="8">
        <v>43075.711331018516</v>
      </c>
      <c r="B193" s="20" t="s">
        <v>640</v>
      </c>
      <c r="C193" s="20" t="s">
        <v>821</v>
      </c>
      <c r="D193" s="137">
        <v>1180000</v>
      </c>
      <c r="E193" s="20" t="s">
        <v>770</v>
      </c>
      <c r="F193" s="20" t="s">
        <v>771</v>
      </c>
      <c r="G193" s="8" t="str">
        <f t="shared" si="4"/>
        <v>LEVERE CRAIG</v>
      </c>
      <c r="H193" s="20" t="str">
        <f t="shared" si="5"/>
        <v>4050</v>
      </c>
    </row>
    <row r="194" spans="1:8" x14ac:dyDescent="0.25">
      <c r="A194" s="8">
        <v>43075.716331018521</v>
      </c>
      <c r="B194" s="20" t="s">
        <v>356</v>
      </c>
      <c r="C194" s="20" t="s">
        <v>822</v>
      </c>
      <c r="D194" s="137">
        <v>1300000</v>
      </c>
      <c r="E194" s="20" t="s">
        <v>520</v>
      </c>
      <c r="F194" s="20" t="s">
        <v>521</v>
      </c>
      <c r="G194" s="8" t="str">
        <f t="shared" si="4"/>
        <v>LEVIN SCOTT</v>
      </c>
      <c r="H194" s="20" t="str">
        <f t="shared" si="5"/>
        <v>4008</v>
      </c>
    </row>
    <row r="195" spans="1:8" x14ac:dyDescent="0.25">
      <c r="A195" s="8">
        <v>43075.718344907407</v>
      </c>
      <c r="B195" s="20" t="s">
        <v>550</v>
      </c>
      <c r="C195" s="20" t="s">
        <v>807</v>
      </c>
      <c r="D195" s="137">
        <v>1200000</v>
      </c>
      <c r="E195" s="20" t="s">
        <v>808</v>
      </c>
      <c r="F195" s="20" t="s">
        <v>809</v>
      </c>
      <c r="G195" s="8" t="str">
        <f t="shared" ref="G195:G258" si="6">E195&amp;" "&amp;F195</f>
        <v>CUSHING HARRY</v>
      </c>
      <c r="H195" s="20" t="str">
        <f t="shared" ref="H195:H258" si="7">MID(B195,13,4)</f>
        <v>4015</v>
      </c>
    </row>
    <row r="196" spans="1:8" x14ac:dyDescent="0.25">
      <c r="A196" s="8">
        <v>43075.72446759259</v>
      </c>
      <c r="B196" s="20" t="s">
        <v>456</v>
      </c>
      <c r="C196" s="20" t="s">
        <v>823</v>
      </c>
      <c r="D196" s="137">
        <v>1770000</v>
      </c>
      <c r="E196" s="20" t="s">
        <v>559</v>
      </c>
      <c r="F196" s="20" t="s">
        <v>560</v>
      </c>
      <c r="G196" s="8" t="str">
        <f t="shared" si="6"/>
        <v>BRUDER RICHARD</v>
      </c>
      <c r="H196" s="20" t="str">
        <f t="shared" si="7"/>
        <v>4031</v>
      </c>
    </row>
    <row r="197" spans="1:8" x14ac:dyDescent="0.25">
      <c r="A197" s="8">
        <v>43075.724548611113</v>
      </c>
      <c r="B197" s="20" t="s">
        <v>458</v>
      </c>
      <c r="C197" s="20" t="s">
        <v>824</v>
      </c>
      <c r="D197" s="137">
        <v>2540000</v>
      </c>
      <c r="E197" s="20" t="s">
        <v>814</v>
      </c>
      <c r="F197" s="20" t="s">
        <v>815</v>
      </c>
      <c r="G197" s="8" t="str">
        <f t="shared" si="6"/>
        <v>MCREYNOLDS KYLE</v>
      </c>
      <c r="H197" s="20" t="str">
        <f t="shared" si="7"/>
        <v>4005</v>
      </c>
    </row>
    <row r="198" spans="1:8" x14ac:dyDescent="0.25">
      <c r="A198" s="8">
        <v>43075.726284722223</v>
      </c>
      <c r="B198" s="20" t="s">
        <v>653</v>
      </c>
      <c r="C198" s="20" t="s">
        <v>825</v>
      </c>
      <c r="D198" s="137">
        <v>1780000</v>
      </c>
      <c r="E198" s="20" t="s">
        <v>561</v>
      </c>
      <c r="F198" s="20" t="s">
        <v>562</v>
      </c>
      <c r="G198" s="8" t="str">
        <f t="shared" si="6"/>
        <v>DE LA ROSA ALEX</v>
      </c>
      <c r="H198" s="20" t="str">
        <f t="shared" si="7"/>
        <v>4034</v>
      </c>
    </row>
    <row r="199" spans="1:8" x14ac:dyDescent="0.25">
      <c r="A199" s="8">
        <v>43075.728483796294</v>
      </c>
      <c r="B199" s="20" t="s">
        <v>687</v>
      </c>
      <c r="C199" s="20" t="s">
        <v>826</v>
      </c>
      <c r="D199" s="137">
        <v>1180000</v>
      </c>
      <c r="E199" s="20" t="s">
        <v>770</v>
      </c>
      <c r="F199" s="20" t="s">
        <v>771</v>
      </c>
      <c r="G199" s="8" t="str">
        <f t="shared" si="6"/>
        <v>LEVERE CRAIG</v>
      </c>
      <c r="H199" s="20" t="str">
        <f t="shared" si="7"/>
        <v>4049</v>
      </c>
    </row>
    <row r="200" spans="1:8" x14ac:dyDescent="0.25">
      <c r="A200" s="8">
        <v>43075.732152777775</v>
      </c>
      <c r="B200" s="20" t="s">
        <v>448</v>
      </c>
      <c r="C200" s="20" t="s">
        <v>827</v>
      </c>
      <c r="D200" s="137">
        <v>2000000</v>
      </c>
      <c r="E200" s="20" t="s">
        <v>380</v>
      </c>
      <c r="F200" s="20" t="s">
        <v>381</v>
      </c>
      <c r="G200" s="8" t="str">
        <f t="shared" si="6"/>
        <v>STAMBAUGH JAMES</v>
      </c>
      <c r="H200" s="20" t="str">
        <f t="shared" si="7"/>
        <v>4058</v>
      </c>
    </row>
    <row r="201" spans="1:8" x14ac:dyDescent="0.25">
      <c r="A201" s="8">
        <v>43075.733159722222</v>
      </c>
      <c r="B201" s="20" t="s">
        <v>485</v>
      </c>
      <c r="C201" s="20" t="s">
        <v>828</v>
      </c>
      <c r="D201" s="137">
        <v>880000</v>
      </c>
      <c r="E201" s="20" t="s">
        <v>414</v>
      </c>
      <c r="F201" s="20" t="s">
        <v>352</v>
      </c>
      <c r="G201" s="8" t="str">
        <f t="shared" si="6"/>
        <v>STEWART MICHAEL</v>
      </c>
      <c r="H201" s="20" t="str">
        <f t="shared" si="7"/>
        <v>4063</v>
      </c>
    </row>
    <row r="202" spans="1:8" x14ac:dyDescent="0.25">
      <c r="A202" s="26">
        <v>43075.736851851849</v>
      </c>
      <c r="B202" s="20" t="s">
        <v>632</v>
      </c>
      <c r="C202" s="20" t="s">
        <v>829</v>
      </c>
      <c r="D202" s="137">
        <v>3810000</v>
      </c>
      <c r="E202" s="20" t="s">
        <v>428</v>
      </c>
      <c r="F202" s="20" t="s">
        <v>429</v>
      </c>
      <c r="G202" s="8" t="str">
        <f t="shared" si="6"/>
        <v>LORI SANTOS</v>
      </c>
      <c r="H202" s="20" t="str">
        <f t="shared" si="7"/>
        <v>4041</v>
      </c>
    </row>
    <row r="203" spans="1:8" x14ac:dyDescent="0.25">
      <c r="A203" s="8">
        <v>43075.737407407411</v>
      </c>
      <c r="B203" s="20" t="s">
        <v>480</v>
      </c>
      <c r="C203" s="20" t="s">
        <v>830</v>
      </c>
      <c r="D203" s="137">
        <v>3220000</v>
      </c>
      <c r="E203" s="20" t="s">
        <v>370</v>
      </c>
      <c r="F203" s="20" t="s">
        <v>371</v>
      </c>
      <c r="G203" s="8" t="str">
        <f t="shared" si="6"/>
        <v>RESPASS AARON</v>
      </c>
      <c r="H203" s="20" t="str">
        <f t="shared" si="7"/>
        <v>4010</v>
      </c>
    </row>
    <row r="204" spans="1:8" x14ac:dyDescent="0.25">
      <c r="A204" s="8">
        <v>43075.74013888889</v>
      </c>
      <c r="B204" s="20" t="s">
        <v>551</v>
      </c>
      <c r="C204" s="20" t="s">
        <v>727</v>
      </c>
      <c r="D204" s="137">
        <v>1200000</v>
      </c>
      <c r="E204" s="20" t="s">
        <v>808</v>
      </c>
      <c r="F204" s="20" t="s">
        <v>809</v>
      </c>
      <c r="G204" s="8" t="str">
        <f t="shared" si="6"/>
        <v>CUSHING HARRY</v>
      </c>
      <c r="H204" s="20" t="str">
        <f t="shared" si="7"/>
        <v>4016</v>
      </c>
    </row>
    <row r="205" spans="1:8" x14ac:dyDescent="0.25">
      <c r="A205" s="8">
        <v>43075.745451388888</v>
      </c>
      <c r="B205" s="20" t="s">
        <v>373</v>
      </c>
      <c r="C205" s="20" t="s">
        <v>831</v>
      </c>
      <c r="D205" s="137">
        <v>2030000</v>
      </c>
      <c r="E205" s="20" t="s">
        <v>766</v>
      </c>
      <c r="F205" s="20" t="s">
        <v>411</v>
      </c>
      <c r="G205" s="8" t="str">
        <f t="shared" si="6"/>
        <v>KILLION DAVID</v>
      </c>
      <c r="H205" s="20" t="str">
        <f t="shared" si="7"/>
        <v>4062</v>
      </c>
    </row>
    <row r="206" spans="1:8" x14ac:dyDescent="0.25">
      <c r="A206" s="8">
        <v>43075.747256944444</v>
      </c>
      <c r="B206" s="20" t="s">
        <v>513</v>
      </c>
      <c r="C206" s="20" t="s">
        <v>832</v>
      </c>
      <c r="D206" s="137">
        <v>2000000</v>
      </c>
      <c r="E206" s="20" t="s">
        <v>380</v>
      </c>
      <c r="F206" s="20" t="s">
        <v>381</v>
      </c>
      <c r="G206" s="8" t="str">
        <f t="shared" si="6"/>
        <v>STAMBAUGH JAMES</v>
      </c>
      <c r="H206" s="20" t="str">
        <f t="shared" si="7"/>
        <v>4057</v>
      </c>
    </row>
    <row r="207" spans="1:8" x14ac:dyDescent="0.25">
      <c r="A207" s="8">
        <v>43075.749768518515</v>
      </c>
      <c r="B207" s="20" t="s">
        <v>358</v>
      </c>
      <c r="C207" s="20" t="s">
        <v>833</v>
      </c>
      <c r="D207" s="137">
        <v>1300000</v>
      </c>
      <c r="E207" s="20" t="s">
        <v>520</v>
      </c>
      <c r="F207" s="20" t="s">
        <v>521</v>
      </c>
      <c r="G207" s="8" t="str">
        <f t="shared" si="6"/>
        <v>LEVIN SCOTT</v>
      </c>
      <c r="H207" s="20" t="str">
        <f t="shared" si="7"/>
        <v>4007</v>
      </c>
    </row>
    <row r="208" spans="1:8" x14ac:dyDescent="0.25">
      <c r="A208" s="8">
        <v>43075.752800925926</v>
      </c>
      <c r="B208" s="20" t="s">
        <v>640</v>
      </c>
      <c r="C208" s="20" t="s">
        <v>834</v>
      </c>
      <c r="D208" s="137">
        <v>1180000</v>
      </c>
      <c r="E208" s="20" t="s">
        <v>770</v>
      </c>
      <c r="F208" s="20" t="s">
        <v>771</v>
      </c>
      <c r="G208" s="8" t="str">
        <f t="shared" si="6"/>
        <v>LEVERE CRAIG</v>
      </c>
      <c r="H208" s="20" t="str">
        <f t="shared" si="7"/>
        <v>4050</v>
      </c>
    </row>
    <row r="209" spans="1:8" x14ac:dyDescent="0.25">
      <c r="A209" s="8">
        <v>43075.759143518517</v>
      </c>
      <c r="B209" s="20" t="s">
        <v>457</v>
      </c>
      <c r="C209" s="20" t="s">
        <v>835</v>
      </c>
      <c r="D209" s="137">
        <v>890000</v>
      </c>
      <c r="E209" s="20" t="s">
        <v>344</v>
      </c>
      <c r="F209" s="20" t="s">
        <v>345</v>
      </c>
      <c r="G209" s="8" t="str">
        <f t="shared" si="6"/>
        <v>LOZA FIDEL</v>
      </c>
      <c r="H209" s="20" t="str">
        <f t="shared" si="7"/>
        <v>4032</v>
      </c>
    </row>
    <row r="210" spans="1:8" x14ac:dyDescent="0.25">
      <c r="A210" s="8">
        <v>43075.763726851852</v>
      </c>
      <c r="B210" s="20" t="s">
        <v>550</v>
      </c>
      <c r="C210" s="20" t="s">
        <v>807</v>
      </c>
      <c r="D210" s="137">
        <v>1200000</v>
      </c>
      <c r="E210" s="20" t="s">
        <v>808</v>
      </c>
      <c r="F210" s="20" t="s">
        <v>809</v>
      </c>
      <c r="G210" s="8" t="str">
        <f t="shared" si="6"/>
        <v>CUSHING HARRY</v>
      </c>
      <c r="H210" s="20" t="str">
        <f t="shared" si="7"/>
        <v>4015</v>
      </c>
    </row>
    <row r="211" spans="1:8" x14ac:dyDescent="0.25">
      <c r="A211" s="8">
        <v>43075.764861111114</v>
      </c>
      <c r="B211" s="20" t="s">
        <v>637</v>
      </c>
      <c r="C211" s="20" t="s">
        <v>836</v>
      </c>
      <c r="D211" s="137">
        <v>1780000</v>
      </c>
      <c r="E211" s="20" t="s">
        <v>561</v>
      </c>
      <c r="F211" s="20" t="s">
        <v>562</v>
      </c>
      <c r="G211" s="8" t="str">
        <f t="shared" si="6"/>
        <v>DE LA ROSA ALEX</v>
      </c>
      <c r="H211" s="20" t="str">
        <f t="shared" si="7"/>
        <v>4033</v>
      </c>
    </row>
    <row r="212" spans="1:8" x14ac:dyDescent="0.25">
      <c r="A212" s="8">
        <v>43075.768240740741</v>
      </c>
      <c r="B212" s="20" t="s">
        <v>517</v>
      </c>
      <c r="C212" s="20" t="s">
        <v>837</v>
      </c>
      <c r="D212" s="137">
        <v>3310000</v>
      </c>
      <c r="E212" s="20" t="s">
        <v>449</v>
      </c>
      <c r="F212" s="20" t="s">
        <v>450</v>
      </c>
      <c r="G212" s="8" t="str">
        <f t="shared" si="6"/>
        <v>ANDERS STEVEN</v>
      </c>
      <c r="H212" s="20" t="str">
        <f t="shared" si="7"/>
        <v>4064</v>
      </c>
    </row>
    <row r="213" spans="1:8" x14ac:dyDescent="0.25">
      <c r="A213" s="8">
        <v>43075.769699074073</v>
      </c>
      <c r="B213" s="20" t="s">
        <v>517</v>
      </c>
      <c r="C213" s="20" t="s">
        <v>837</v>
      </c>
      <c r="D213" s="137">
        <v>3310000</v>
      </c>
      <c r="E213" s="20" t="s">
        <v>449</v>
      </c>
      <c r="F213" s="20" t="s">
        <v>450</v>
      </c>
      <c r="G213" s="8" t="str">
        <f t="shared" si="6"/>
        <v>ANDERS STEVEN</v>
      </c>
      <c r="H213" s="20" t="str">
        <f t="shared" si="7"/>
        <v>4064</v>
      </c>
    </row>
    <row r="214" spans="1:8" x14ac:dyDescent="0.25">
      <c r="A214" s="8">
        <v>43075.770821759259</v>
      </c>
      <c r="B214" s="20" t="s">
        <v>687</v>
      </c>
      <c r="C214" s="20" t="s">
        <v>838</v>
      </c>
      <c r="D214" s="137">
        <v>1180000</v>
      </c>
      <c r="E214" s="20" t="s">
        <v>770</v>
      </c>
      <c r="F214" s="20" t="s">
        <v>771</v>
      </c>
      <c r="G214" s="8" t="str">
        <f t="shared" si="6"/>
        <v>LEVERE CRAIG</v>
      </c>
      <c r="H214" s="20" t="str">
        <f t="shared" si="7"/>
        <v>4049</v>
      </c>
    </row>
    <row r="215" spans="1:8" x14ac:dyDescent="0.25">
      <c r="A215" s="8">
        <v>43075.773900462962</v>
      </c>
      <c r="B215" s="20" t="s">
        <v>448</v>
      </c>
      <c r="C215" s="20" t="s">
        <v>657</v>
      </c>
      <c r="D215" s="137">
        <v>2000000</v>
      </c>
      <c r="E215" s="20" t="s">
        <v>380</v>
      </c>
      <c r="F215" s="20" t="s">
        <v>381</v>
      </c>
      <c r="G215" s="8" t="str">
        <f t="shared" si="6"/>
        <v>STAMBAUGH JAMES</v>
      </c>
      <c r="H215" s="20" t="str">
        <f t="shared" si="7"/>
        <v>4058</v>
      </c>
    </row>
    <row r="216" spans="1:8" x14ac:dyDescent="0.25">
      <c r="A216" s="8">
        <v>43075.776446759257</v>
      </c>
      <c r="B216" s="20" t="s">
        <v>655</v>
      </c>
      <c r="C216" s="20" t="s">
        <v>839</v>
      </c>
      <c r="D216" s="137">
        <v>3810000</v>
      </c>
      <c r="E216" s="20" t="s">
        <v>428</v>
      </c>
      <c r="F216" s="20" t="s">
        <v>429</v>
      </c>
      <c r="G216" s="8" t="str">
        <f t="shared" si="6"/>
        <v>LORI SANTOS</v>
      </c>
      <c r="H216" s="20" t="str">
        <f t="shared" si="7"/>
        <v>4042</v>
      </c>
    </row>
    <row r="217" spans="1:8" x14ac:dyDescent="0.25">
      <c r="A217" s="8">
        <v>43075.77648148148</v>
      </c>
      <c r="B217" s="20" t="s">
        <v>479</v>
      </c>
      <c r="C217" s="20" t="s">
        <v>840</v>
      </c>
      <c r="D217" s="137">
        <v>3220000</v>
      </c>
      <c r="E217" s="20" t="s">
        <v>370</v>
      </c>
      <c r="F217" s="20" t="s">
        <v>371</v>
      </c>
      <c r="G217" s="8" t="str">
        <f t="shared" si="6"/>
        <v>RESPASS AARON</v>
      </c>
      <c r="H217" s="20" t="str">
        <f t="shared" si="7"/>
        <v>4009</v>
      </c>
    </row>
    <row r="218" spans="1:8" x14ac:dyDescent="0.25">
      <c r="A218" s="8">
        <v>43075.780532407407</v>
      </c>
      <c r="B218" s="20" t="s">
        <v>551</v>
      </c>
      <c r="C218" s="20" t="s">
        <v>727</v>
      </c>
      <c r="D218" s="137">
        <v>1200000</v>
      </c>
      <c r="E218" s="20" t="s">
        <v>808</v>
      </c>
      <c r="F218" s="20" t="s">
        <v>809</v>
      </c>
      <c r="G218" s="8" t="str">
        <f t="shared" si="6"/>
        <v>CUSHING HARRY</v>
      </c>
      <c r="H218" s="20" t="str">
        <f t="shared" si="7"/>
        <v>4016</v>
      </c>
    </row>
    <row r="219" spans="1:8" x14ac:dyDescent="0.25">
      <c r="A219" s="8">
        <v>43075.780833333331</v>
      </c>
      <c r="B219" s="20" t="s">
        <v>375</v>
      </c>
      <c r="C219" s="20" t="s">
        <v>841</v>
      </c>
      <c r="D219" s="137">
        <v>2030000</v>
      </c>
      <c r="E219" s="20" t="s">
        <v>766</v>
      </c>
      <c r="F219" s="20" t="s">
        <v>411</v>
      </c>
      <c r="G219" s="8" t="str">
        <f t="shared" si="6"/>
        <v>KILLION DAVID</v>
      </c>
      <c r="H219" s="20" t="str">
        <f t="shared" si="7"/>
        <v>4061</v>
      </c>
    </row>
    <row r="220" spans="1:8" x14ac:dyDescent="0.25">
      <c r="A220" s="8">
        <v>43075.788344907407</v>
      </c>
      <c r="B220" s="20" t="s">
        <v>513</v>
      </c>
      <c r="C220" s="20" t="s">
        <v>842</v>
      </c>
      <c r="D220" s="137">
        <v>2000000</v>
      </c>
      <c r="E220" s="20" t="s">
        <v>380</v>
      </c>
      <c r="F220" s="20" t="s">
        <v>381</v>
      </c>
      <c r="G220" s="8" t="str">
        <f t="shared" si="6"/>
        <v>STAMBAUGH JAMES</v>
      </c>
      <c r="H220" s="20" t="str">
        <f t="shared" si="7"/>
        <v>4057</v>
      </c>
    </row>
    <row r="221" spans="1:8" x14ac:dyDescent="0.25">
      <c r="A221" s="8">
        <v>43075.788414351853</v>
      </c>
      <c r="B221" s="20" t="s">
        <v>356</v>
      </c>
      <c r="C221" s="20" t="s">
        <v>843</v>
      </c>
      <c r="D221" s="137">
        <v>2040000</v>
      </c>
      <c r="E221" s="20" t="s">
        <v>382</v>
      </c>
      <c r="F221" s="20" t="s">
        <v>383</v>
      </c>
      <c r="G221" s="8" t="str">
        <f t="shared" si="6"/>
        <v>MOSES BRADLEY</v>
      </c>
      <c r="H221" s="20" t="str">
        <f t="shared" si="7"/>
        <v>4008</v>
      </c>
    </row>
    <row r="222" spans="1:8" x14ac:dyDescent="0.25">
      <c r="A222" s="8">
        <v>43075.795231481483</v>
      </c>
      <c r="B222" s="20" t="s">
        <v>640</v>
      </c>
      <c r="C222" s="20" t="s">
        <v>844</v>
      </c>
      <c r="D222" s="137">
        <v>3700000</v>
      </c>
      <c r="E222" s="20" t="s">
        <v>522</v>
      </c>
      <c r="F222" s="20" t="s">
        <v>481</v>
      </c>
      <c r="G222" s="8" t="str">
        <f t="shared" si="6"/>
        <v>AUSTIN THOMPSON</v>
      </c>
      <c r="H222" s="20" t="str">
        <f t="shared" si="7"/>
        <v>4050</v>
      </c>
    </row>
    <row r="223" spans="1:8" x14ac:dyDescent="0.25">
      <c r="A223" s="8">
        <v>43075.795995370368</v>
      </c>
      <c r="B223" s="20" t="s">
        <v>653</v>
      </c>
      <c r="C223" s="20" t="s">
        <v>845</v>
      </c>
      <c r="D223" s="137">
        <v>1780000</v>
      </c>
      <c r="E223" s="20" t="s">
        <v>561</v>
      </c>
      <c r="F223" s="20" t="s">
        <v>562</v>
      </c>
      <c r="G223" s="8" t="str">
        <f t="shared" si="6"/>
        <v>DE LA ROSA ALEX</v>
      </c>
      <c r="H223" s="20" t="str">
        <f t="shared" si="7"/>
        <v>4034</v>
      </c>
    </row>
    <row r="224" spans="1:8" x14ac:dyDescent="0.25">
      <c r="A224" s="8">
        <v>43075.796956018516</v>
      </c>
      <c r="B224" t="s">
        <v>456</v>
      </c>
      <c r="C224" t="s">
        <v>846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4031</v>
      </c>
    </row>
    <row r="225" spans="1:8" x14ac:dyDescent="0.25">
      <c r="A225" s="8">
        <v>43075.802094907405</v>
      </c>
      <c r="B225" t="s">
        <v>550</v>
      </c>
      <c r="C225" t="s">
        <v>807</v>
      </c>
      <c r="D225" s="137">
        <v>1200000</v>
      </c>
      <c r="E225" t="s">
        <v>808</v>
      </c>
      <c r="F225" s="20" t="s">
        <v>809</v>
      </c>
      <c r="G225" s="8" t="str">
        <f t="shared" si="6"/>
        <v>CUSHING HARRY</v>
      </c>
      <c r="H225" s="20" t="str">
        <f t="shared" si="7"/>
        <v>4015</v>
      </c>
    </row>
    <row r="226" spans="1:8" x14ac:dyDescent="0.25">
      <c r="A226" s="8">
        <v>43075.807372685187</v>
      </c>
      <c r="B226" t="s">
        <v>480</v>
      </c>
      <c r="C226" t="s">
        <v>847</v>
      </c>
      <c r="D226" s="137">
        <v>3220000</v>
      </c>
      <c r="E226" t="s">
        <v>370</v>
      </c>
      <c r="F226" s="20" t="s">
        <v>371</v>
      </c>
      <c r="G226" s="8" t="str">
        <f t="shared" si="6"/>
        <v>RESPASS AARON</v>
      </c>
      <c r="H226" s="20" t="str">
        <f t="shared" si="7"/>
        <v>4010</v>
      </c>
    </row>
    <row r="227" spans="1:8" x14ac:dyDescent="0.25">
      <c r="A227" s="8">
        <v>43075.808229166665</v>
      </c>
      <c r="B227" t="s">
        <v>485</v>
      </c>
      <c r="C227" t="s">
        <v>848</v>
      </c>
      <c r="D227" s="137">
        <v>3310000</v>
      </c>
      <c r="E227" t="s">
        <v>449</v>
      </c>
      <c r="F227" s="20" t="s">
        <v>450</v>
      </c>
      <c r="G227" s="8" t="str">
        <f t="shared" si="6"/>
        <v>ANDERS STEVEN</v>
      </c>
      <c r="H227" s="20" t="str">
        <f t="shared" si="7"/>
        <v>4063</v>
      </c>
    </row>
    <row r="228" spans="1:8" x14ac:dyDescent="0.25">
      <c r="A228" s="8">
        <v>43075.810358796298</v>
      </c>
      <c r="B228" t="s">
        <v>687</v>
      </c>
      <c r="C228" t="s">
        <v>849</v>
      </c>
      <c r="D228" s="137">
        <v>3700000</v>
      </c>
      <c r="E228" t="s">
        <v>522</v>
      </c>
      <c r="F228" s="20" t="s">
        <v>481</v>
      </c>
      <c r="G228" s="8" t="str">
        <f t="shared" si="6"/>
        <v>AUSTIN THOMPSON</v>
      </c>
      <c r="H228" s="20" t="str">
        <f t="shared" si="7"/>
        <v>4049</v>
      </c>
    </row>
    <row r="229" spans="1:8" x14ac:dyDescent="0.25">
      <c r="A229" s="8">
        <v>43075.818124999998</v>
      </c>
      <c r="B229" t="s">
        <v>373</v>
      </c>
      <c r="C229" t="s">
        <v>850</v>
      </c>
      <c r="D229" s="137">
        <v>2030000</v>
      </c>
      <c r="E229" t="s">
        <v>766</v>
      </c>
      <c r="F229" s="20" t="s">
        <v>411</v>
      </c>
      <c r="G229" s="8" t="str">
        <f t="shared" si="6"/>
        <v>KILLION DAVID</v>
      </c>
      <c r="H229" s="20" t="str">
        <f t="shared" si="7"/>
        <v>4062</v>
      </c>
    </row>
    <row r="230" spans="1:8" x14ac:dyDescent="0.25">
      <c r="A230" s="8">
        <v>43075.822604166664</v>
      </c>
      <c r="B230" t="s">
        <v>551</v>
      </c>
      <c r="C230" t="s">
        <v>727</v>
      </c>
      <c r="D230" s="137">
        <v>1200000</v>
      </c>
      <c r="E230" t="s">
        <v>808</v>
      </c>
      <c r="F230" s="20" t="s">
        <v>809</v>
      </c>
      <c r="G230" s="8" t="str">
        <f t="shared" si="6"/>
        <v>CUSHING HARRY</v>
      </c>
      <c r="H230" s="20" t="str">
        <f t="shared" si="7"/>
        <v>4016</v>
      </c>
    </row>
    <row r="231" spans="1:8" x14ac:dyDescent="0.25">
      <c r="A231" s="8">
        <v>43075.829236111109</v>
      </c>
      <c r="B231" t="s">
        <v>358</v>
      </c>
      <c r="C231" t="s">
        <v>851</v>
      </c>
      <c r="D231" s="137">
        <v>2040000</v>
      </c>
      <c r="E231" t="s">
        <v>382</v>
      </c>
      <c r="F231" s="20" t="s">
        <v>383</v>
      </c>
      <c r="G231" s="8" t="str">
        <f t="shared" si="6"/>
        <v>MOSES BRADLEY</v>
      </c>
      <c r="H231" s="20" t="str">
        <f t="shared" si="7"/>
        <v>4007</v>
      </c>
    </row>
    <row r="232" spans="1:8" x14ac:dyDescent="0.25">
      <c r="A232" s="8">
        <v>43075.83085648148</v>
      </c>
      <c r="B232" t="s">
        <v>457</v>
      </c>
      <c r="C232" t="s">
        <v>852</v>
      </c>
      <c r="D232" s="137">
        <v>3840000</v>
      </c>
      <c r="E232" t="s">
        <v>518</v>
      </c>
      <c r="F232" s="20" t="s">
        <v>519</v>
      </c>
      <c r="G232" s="8" t="str">
        <f t="shared" si="6"/>
        <v>LONG FULLER</v>
      </c>
      <c r="H232" s="20" t="str">
        <f t="shared" si="7"/>
        <v>4032</v>
      </c>
    </row>
    <row r="233" spans="1:8" x14ac:dyDescent="0.25">
      <c r="A233" s="8">
        <v>43075.834108796298</v>
      </c>
      <c r="B233" t="s">
        <v>640</v>
      </c>
      <c r="C233" t="s">
        <v>853</v>
      </c>
      <c r="D233" s="137">
        <v>1180000</v>
      </c>
      <c r="E233" t="s">
        <v>770</v>
      </c>
      <c r="F233" s="20" t="s">
        <v>771</v>
      </c>
      <c r="G233" s="8" t="str">
        <f t="shared" si="6"/>
        <v>LEVERE CRAIG</v>
      </c>
      <c r="H233" s="20" t="str">
        <f t="shared" si="7"/>
        <v>4050</v>
      </c>
    </row>
    <row r="234" spans="1:8" x14ac:dyDescent="0.25">
      <c r="A234" s="8">
        <v>43075.840150462966</v>
      </c>
      <c r="B234" t="s">
        <v>550</v>
      </c>
      <c r="C234" t="s">
        <v>807</v>
      </c>
      <c r="D234" s="137">
        <v>1200000</v>
      </c>
      <c r="E234" t="s">
        <v>808</v>
      </c>
      <c r="F234" s="20" t="s">
        <v>809</v>
      </c>
      <c r="G234" s="8" t="str">
        <f t="shared" si="6"/>
        <v>CUSHING HARRY</v>
      </c>
      <c r="H234" s="20" t="str">
        <f t="shared" si="7"/>
        <v>4015</v>
      </c>
    </row>
    <row r="235" spans="1:8" x14ac:dyDescent="0.25">
      <c r="A235" s="8">
        <v>43075.840509259258</v>
      </c>
      <c r="B235" t="s">
        <v>517</v>
      </c>
      <c r="C235" t="s">
        <v>854</v>
      </c>
      <c r="D235" s="137">
        <v>3310000</v>
      </c>
      <c r="E235" t="s">
        <v>449</v>
      </c>
      <c r="F235" s="20" t="s">
        <v>450</v>
      </c>
      <c r="G235" s="8" t="str">
        <f t="shared" si="6"/>
        <v>ANDERS STEVEN</v>
      </c>
      <c r="H235" s="20" t="str">
        <f t="shared" si="7"/>
        <v>4064</v>
      </c>
    </row>
    <row r="236" spans="1:8" x14ac:dyDescent="0.25">
      <c r="A236" s="8">
        <v>43075.846250000002</v>
      </c>
      <c r="B236" t="s">
        <v>479</v>
      </c>
      <c r="C236" t="s">
        <v>855</v>
      </c>
      <c r="D236" s="137">
        <v>3220000</v>
      </c>
      <c r="E236" t="s">
        <v>370</v>
      </c>
      <c r="F236" s="20" t="s">
        <v>371</v>
      </c>
      <c r="G236" s="8" t="str">
        <f t="shared" si="6"/>
        <v>RESPASS AARON</v>
      </c>
      <c r="H236" s="20" t="str">
        <f t="shared" si="7"/>
        <v>4009</v>
      </c>
    </row>
    <row r="237" spans="1:8" x14ac:dyDescent="0.25">
      <c r="A237" s="8">
        <v>43075.850219907406</v>
      </c>
      <c r="B237" t="s">
        <v>551</v>
      </c>
      <c r="C237" t="s">
        <v>727</v>
      </c>
      <c r="D237" s="137">
        <v>1200000</v>
      </c>
      <c r="E237" t="s">
        <v>808</v>
      </c>
      <c r="F237" s="20" t="s">
        <v>809</v>
      </c>
      <c r="G237" s="8" t="str">
        <f t="shared" si="6"/>
        <v>CUSHING HARRY</v>
      </c>
      <c r="H237" s="20" t="str">
        <f t="shared" si="7"/>
        <v>4016</v>
      </c>
    </row>
    <row r="238" spans="1:8" x14ac:dyDescent="0.25">
      <c r="A238" s="8">
        <v>43075.85260416667</v>
      </c>
      <c r="B238" t="s">
        <v>687</v>
      </c>
      <c r="C238" t="s">
        <v>856</v>
      </c>
      <c r="D238" s="137">
        <v>1180000</v>
      </c>
      <c r="E238" t="s">
        <v>770</v>
      </c>
      <c r="F238" s="20" t="s">
        <v>771</v>
      </c>
      <c r="G238" s="8" t="str">
        <f t="shared" si="6"/>
        <v>LEVERE CRAIG</v>
      </c>
      <c r="H238" s="20" t="str">
        <f t="shared" si="7"/>
        <v>4049</v>
      </c>
    </row>
    <row r="239" spans="1:8" x14ac:dyDescent="0.25">
      <c r="A239" s="8">
        <v>43075.86409722222</v>
      </c>
      <c r="B239" t="s">
        <v>550</v>
      </c>
      <c r="C239" t="s">
        <v>807</v>
      </c>
      <c r="D239" s="137">
        <v>1200000</v>
      </c>
      <c r="E239" t="s">
        <v>808</v>
      </c>
      <c r="F239" s="20" t="s">
        <v>809</v>
      </c>
      <c r="G239" s="8" t="str">
        <f t="shared" si="6"/>
        <v>CUSHING HARRY</v>
      </c>
      <c r="H239" s="20" t="str">
        <f t="shared" si="7"/>
        <v>4015</v>
      </c>
    </row>
    <row r="240" spans="1:8" x14ac:dyDescent="0.25">
      <c r="A240" s="8">
        <v>43075.867800925924</v>
      </c>
      <c r="B240" t="s">
        <v>356</v>
      </c>
      <c r="C240" t="s">
        <v>857</v>
      </c>
      <c r="D240" s="137">
        <v>2040000</v>
      </c>
      <c r="E240" t="s">
        <v>382</v>
      </c>
      <c r="F240" s="20" t="s">
        <v>383</v>
      </c>
      <c r="G240" s="8" t="str">
        <f t="shared" si="6"/>
        <v>MOSES BRADLEY</v>
      </c>
      <c r="H240" s="20" t="str">
        <f t="shared" si="7"/>
        <v>4008</v>
      </c>
    </row>
    <row r="241" spans="1:8" x14ac:dyDescent="0.25">
      <c r="A241" s="8">
        <v>43075.869490740741</v>
      </c>
      <c r="B241" t="s">
        <v>456</v>
      </c>
      <c r="C241" t="s">
        <v>659</v>
      </c>
      <c r="D241" s="137">
        <v>3840000</v>
      </c>
      <c r="E241" t="s">
        <v>518</v>
      </c>
      <c r="F241" s="20" t="s">
        <v>519</v>
      </c>
      <c r="G241" s="8" t="str">
        <f t="shared" si="6"/>
        <v>LONG FULLER</v>
      </c>
      <c r="H241" s="20" t="str">
        <f t="shared" si="7"/>
        <v>4031</v>
      </c>
    </row>
    <row r="242" spans="1:8" x14ac:dyDescent="0.25">
      <c r="A242" s="8">
        <v>43075.875775462962</v>
      </c>
      <c r="B242" t="s">
        <v>640</v>
      </c>
      <c r="C242" t="s">
        <v>658</v>
      </c>
      <c r="D242" s="13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4050</v>
      </c>
    </row>
    <row r="243" spans="1:8" x14ac:dyDescent="0.25">
      <c r="A243" s="8">
        <v>43075.881805555553</v>
      </c>
      <c r="B243" t="s">
        <v>480</v>
      </c>
      <c r="C243" t="s">
        <v>858</v>
      </c>
      <c r="D243" s="137">
        <v>3220000</v>
      </c>
      <c r="E243" t="s">
        <v>370</v>
      </c>
      <c r="F243" s="20" t="s">
        <v>371</v>
      </c>
      <c r="G243" s="8" t="str">
        <f t="shared" si="6"/>
        <v>RESPASS AARON</v>
      </c>
      <c r="H243" s="20" t="str">
        <f t="shared" si="7"/>
        <v>4010</v>
      </c>
    </row>
    <row r="244" spans="1:8" x14ac:dyDescent="0.25">
      <c r="A244" s="8">
        <v>43075.892326388886</v>
      </c>
      <c r="B244" t="s">
        <v>485</v>
      </c>
      <c r="C244" t="s">
        <v>660</v>
      </c>
      <c r="D244" s="137">
        <v>3310000</v>
      </c>
      <c r="E244" t="s">
        <v>449</v>
      </c>
      <c r="F244" s="20" t="s">
        <v>450</v>
      </c>
      <c r="G244" s="8" t="str">
        <f t="shared" si="6"/>
        <v>ANDERS STEVEN</v>
      </c>
      <c r="H244" s="20" t="str">
        <f t="shared" si="7"/>
        <v>4063</v>
      </c>
    </row>
    <row r="245" spans="1:8" x14ac:dyDescent="0.25">
      <c r="A245" s="8">
        <v>43075.892372685186</v>
      </c>
      <c r="B245" t="s">
        <v>551</v>
      </c>
      <c r="C245" t="s">
        <v>727</v>
      </c>
      <c r="D245" s="137">
        <v>1200000</v>
      </c>
      <c r="E245" t="s">
        <v>808</v>
      </c>
      <c r="F245" s="20" t="s">
        <v>809</v>
      </c>
      <c r="G245" s="8" t="str">
        <f t="shared" si="6"/>
        <v>CUSHING HARRY</v>
      </c>
      <c r="H245" s="20" t="str">
        <f t="shared" si="7"/>
        <v>4016</v>
      </c>
    </row>
    <row r="246" spans="1:8" x14ac:dyDescent="0.25">
      <c r="A246" s="8">
        <v>43075.892743055556</v>
      </c>
      <c r="B246" t="s">
        <v>687</v>
      </c>
      <c r="C246" t="s">
        <v>658</v>
      </c>
      <c r="D246" s="137">
        <v>2000000</v>
      </c>
      <c r="E246" t="s">
        <v>380</v>
      </c>
      <c r="F246" s="20" t="s">
        <v>381</v>
      </c>
      <c r="G246" s="8" t="str">
        <f t="shared" si="6"/>
        <v>STAMBAUGH JAMES</v>
      </c>
      <c r="H246" s="20" t="str">
        <f t="shared" si="7"/>
        <v>4049</v>
      </c>
    </row>
    <row r="247" spans="1:8" x14ac:dyDescent="0.25">
      <c r="A247" s="8">
        <v>43075.893865740742</v>
      </c>
      <c r="B247" t="s">
        <v>687</v>
      </c>
      <c r="C247" t="s">
        <v>859</v>
      </c>
      <c r="D247" s="137">
        <v>2000000</v>
      </c>
      <c r="E247" t="s">
        <v>380</v>
      </c>
      <c r="F247" s="20" t="s">
        <v>381</v>
      </c>
      <c r="G247" s="8" t="str">
        <f t="shared" si="6"/>
        <v>STAMBAUGH JAMES</v>
      </c>
      <c r="H247" s="20" t="str">
        <f t="shared" si="7"/>
        <v>4049</v>
      </c>
    </row>
    <row r="248" spans="1:8" x14ac:dyDescent="0.25">
      <c r="A248" s="8">
        <v>43075.912824074076</v>
      </c>
      <c r="B248" t="s">
        <v>358</v>
      </c>
      <c r="C248" t="s">
        <v>860</v>
      </c>
      <c r="D248" s="137">
        <v>2040000</v>
      </c>
      <c r="E248" t="s">
        <v>382</v>
      </c>
      <c r="F248" s="20" t="s">
        <v>383</v>
      </c>
      <c r="G248" s="8" t="str">
        <f t="shared" si="6"/>
        <v>MOSES BRADLEY</v>
      </c>
      <c r="H248" s="20" t="str">
        <f t="shared" si="7"/>
        <v>4007</v>
      </c>
    </row>
    <row r="249" spans="1:8" x14ac:dyDescent="0.25">
      <c r="A249" s="8">
        <v>43075.915231481478</v>
      </c>
      <c r="B249" t="s">
        <v>457</v>
      </c>
      <c r="C249" t="s">
        <v>861</v>
      </c>
      <c r="D249" s="13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4032</v>
      </c>
    </row>
    <row r="250" spans="1:8" x14ac:dyDescent="0.25">
      <c r="A250" s="8">
        <v>43075.920555555553</v>
      </c>
      <c r="B250" t="s">
        <v>640</v>
      </c>
      <c r="C250" t="s">
        <v>862</v>
      </c>
      <c r="D250" s="137">
        <v>2000000</v>
      </c>
      <c r="E250" t="s">
        <v>380</v>
      </c>
      <c r="F250" s="20" t="s">
        <v>381</v>
      </c>
      <c r="G250" s="8" t="str">
        <f t="shared" si="6"/>
        <v>STAMBAUGH JAMES</v>
      </c>
      <c r="H250" s="20" t="str">
        <f t="shared" si="7"/>
        <v>4050</v>
      </c>
    </row>
    <row r="251" spans="1:8" x14ac:dyDescent="0.25">
      <c r="A251" s="8">
        <v>43075.923715277779</v>
      </c>
      <c r="B251" t="s">
        <v>517</v>
      </c>
      <c r="C251" t="s">
        <v>863</v>
      </c>
      <c r="D251" s="137">
        <v>3310000</v>
      </c>
      <c r="E251" t="s">
        <v>449</v>
      </c>
      <c r="F251" s="20" t="s">
        <v>450</v>
      </c>
      <c r="G251" s="8" t="str">
        <f t="shared" si="6"/>
        <v>ANDERS STEVEN</v>
      </c>
      <c r="H251" s="20" t="str">
        <f t="shared" si="7"/>
        <v>4064</v>
      </c>
    </row>
    <row r="252" spans="1:8" x14ac:dyDescent="0.25">
      <c r="A252" s="8">
        <v>43075.929502314815</v>
      </c>
      <c r="B252" t="s">
        <v>479</v>
      </c>
      <c r="C252" t="s">
        <v>864</v>
      </c>
      <c r="D252" s="13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4009</v>
      </c>
    </row>
    <row r="253" spans="1:8" x14ac:dyDescent="0.25">
      <c r="A253" s="8">
        <v>43075.93340277778</v>
      </c>
      <c r="B253" t="s">
        <v>687</v>
      </c>
      <c r="C253" t="s">
        <v>865</v>
      </c>
      <c r="D253" s="13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4049</v>
      </c>
    </row>
    <row r="254" spans="1:8" x14ac:dyDescent="0.25">
      <c r="A254" s="8">
        <v>43075.952314814815</v>
      </c>
      <c r="B254" t="s">
        <v>456</v>
      </c>
      <c r="C254" t="s">
        <v>866</v>
      </c>
      <c r="D254" s="137">
        <v>3840000</v>
      </c>
      <c r="E254" t="s">
        <v>518</v>
      </c>
      <c r="F254" s="20" t="s">
        <v>519</v>
      </c>
      <c r="G254" s="8" t="str">
        <f t="shared" si="6"/>
        <v>LONG FULLER</v>
      </c>
      <c r="H254" s="20" t="str">
        <f t="shared" si="7"/>
        <v>4031</v>
      </c>
    </row>
    <row r="255" spans="1:8" x14ac:dyDescent="0.25">
      <c r="A255" s="8">
        <v>43075.956990740742</v>
      </c>
      <c r="B255" t="s">
        <v>356</v>
      </c>
      <c r="C255" t="s">
        <v>867</v>
      </c>
      <c r="D255" s="13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640</v>
      </c>
      <c r="C256" t="s">
        <v>868</v>
      </c>
      <c r="D256" s="13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485</v>
      </c>
      <c r="C257" t="s">
        <v>661</v>
      </c>
      <c r="D257" s="137">
        <v>3310000</v>
      </c>
      <c r="E257" t="s">
        <v>449</v>
      </c>
      <c r="F257" s="20" t="s">
        <v>450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480</v>
      </c>
      <c r="C258" t="s">
        <v>869</v>
      </c>
      <c r="D258" s="13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687</v>
      </c>
      <c r="C259" t="s">
        <v>870</v>
      </c>
      <c r="D259" s="13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871</v>
      </c>
      <c r="D260" s="13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457</v>
      </c>
      <c r="C261" t="s">
        <v>872</v>
      </c>
      <c r="D261" s="13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517</v>
      </c>
      <c r="C262" t="s">
        <v>873</v>
      </c>
      <c r="D262" s="137">
        <v>3310000</v>
      </c>
      <c r="E262" t="s">
        <v>449</v>
      </c>
      <c r="F262" s="20" t="s">
        <v>450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479</v>
      </c>
      <c r="C263" t="s">
        <v>874</v>
      </c>
      <c r="D263" s="13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875</v>
      </c>
      <c r="D264" s="13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456</v>
      </c>
      <c r="C265" t="s">
        <v>876</v>
      </c>
      <c r="D265" s="137">
        <v>3840000</v>
      </c>
      <c r="E265" t="s">
        <v>518</v>
      </c>
      <c r="F265" s="20" t="s">
        <v>519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480</v>
      </c>
      <c r="C266" t="s">
        <v>877</v>
      </c>
      <c r="D266" s="13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485</v>
      </c>
      <c r="C267" t="s">
        <v>878</v>
      </c>
      <c r="D267" s="137">
        <v>3310000</v>
      </c>
      <c r="E267" t="s">
        <v>449</v>
      </c>
      <c r="F267" s="20" t="s">
        <v>450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457</v>
      </c>
      <c r="C268" t="s">
        <v>879</v>
      </c>
      <c r="D268" s="137">
        <v>3840000</v>
      </c>
      <c r="E268" t="s">
        <v>518</v>
      </c>
      <c r="F268" s="20" t="s">
        <v>519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517</v>
      </c>
      <c r="C269" t="s">
        <v>880</v>
      </c>
      <c r="D269" s="137">
        <v>3310000</v>
      </c>
      <c r="E269" t="s">
        <v>449</v>
      </c>
      <c r="F269" s="20" t="s">
        <v>450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459</v>
      </c>
      <c r="C270" t="s">
        <v>460</v>
      </c>
      <c r="D270" s="137">
        <v>3310000</v>
      </c>
      <c r="E270" t="s">
        <v>449</v>
      </c>
      <c r="F270" s="20" t="s">
        <v>450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459</v>
      </c>
      <c r="C271" t="s">
        <v>460</v>
      </c>
      <c r="D271" s="137">
        <v>3310000</v>
      </c>
      <c r="E271" t="s">
        <v>449</v>
      </c>
      <c r="F271" s="20" t="s">
        <v>450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430</v>
      </c>
      <c r="D272" s="13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431</v>
      </c>
      <c r="D273" s="13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425</v>
      </c>
      <c r="C274" t="s">
        <v>432</v>
      </c>
      <c r="D274" s="13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433</v>
      </c>
      <c r="D275" s="13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434</v>
      </c>
      <c r="D276" s="13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418</v>
      </c>
      <c r="C277" t="s">
        <v>435</v>
      </c>
      <c r="D277" s="137">
        <v>3040000</v>
      </c>
      <c r="E277" t="s">
        <v>365</v>
      </c>
      <c r="F277" s="20" t="s">
        <v>420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436</v>
      </c>
      <c r="D278" s="13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437</v>
      </c>
      <c r="D279" s="13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424</v>
      </c>
      <c r="C280" t="s">
        <v>438</v>
      </c>
      <c r="D280" s="13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427</v>
      </c>
      <c r="C281" t="s">
        <v>439</v>
      </c>
      <c r="D281" s="13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419</v>
      </c>
      <c r="C282" t="s">
        <v>440</v>
      </c>
      <c r="D282" s="137">
        <v>3040000</v>
      </c>
      <c r="E282" t="s">
        <v>365</v>
      </c>
      <c r="F282" s="20" t="s">
        <v>420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441</v>
      </c>
      <c r="D283" s="13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425</v>
      </c>
      <c r="C284" t="s">
        <v>442</v>
      </c>
      <c r="D284" s="13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426</v>
      </c>
      <c r="D285" s="13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418</v>
      </c>
      <c r="C286" t="s">
        <v>443</v>
      </c>
      <c r="D286" s="137">
        <v>3040000</v>
      </c>
      <c r="E286" t="s">
        <v>365</v>
      </c>
      <c r="F286" s="20" t="s">
        <v>420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424</v>
      </c>
      <c r="C287" t="s">
        <v>444</v>
      </c>
      <c r="D287" s="13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419</v>
      </c>
      <c r="C288" t="s">
        <v>445</v>
      </c>
      <c r="D288" s="137">
        <v>3040000</v>
      </c>
      <c r="E288" t="s">
        <v>365</v>
      </c>
      <c r="F288" s="20" t="s">
        <v>420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3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3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3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3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3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3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3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3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3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3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3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3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3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3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3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3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3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3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3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334</v>
      </c>
      <c r="O1" s="216" t="s">
        <v>154</v>
      </c>
      <c r="P1" s="216" t="s">
        <v>161</v>
      </c>
      <c r="Q1" s="216" t="s">
        <v>335</v>
      </c>
      <c r="R1" s="216" t="s">
        <v>158</v>
      </c>
      <c r="S1"/>
      <c r="T1"/>
    </row>
    <row r="2" spans="1:20" x14ac:dyDescent="0.25">
      <c r="A2" s="194">
        <v>28.41</v>
      </c>
      <c r="B2" s="194">
        <v>0.01</v>
      </c>
      <c r="C2" s="194">
        <v>9.5299999999999994</v>
      </c>
      <c r="D2" s="8">
        <v>43075</v>
      </c>
      <c r="E2" s="194">
        <v>0.44</v>
      </c>
      <c r="F2" s="194" t="s">
        <v>408</v>
      </c>
      <c r="G2" s="194">
        <v>308.75</v>
      </c>
      <c r="H2" s="194">
        <v>0</v>
      </c>
      <c r="I2" s="194">
        <v>0</v>
      </c>
      <c r="J2" s="194">
        <v>1027.71</v>
      </c>
      <c r="K2" s="194" t="s">
        <v>407</v>
      </c>
      <c r="L2" s="194">
        <v>28.41</v>
      </c>
      <c r="M2" s="194">
        <v>1512543600</v>
      </c>
      <c r="N2" s="194">
        <v>0</v>
      </c>
      <c r="O2" s="194">
        <v>3.52</v>
      </c>
      <c r="P2" s="194">
        <v>141</v>
      </c>
      <c r="Q2" s="194">
        <v>5.48</v>
      </c>
      <c r="R2" s="194">
        <v>1.98</v>
      </c>
      <c r="S2"/>
      <c r="T2"/>
    </row>
    <row r="3" spans="1:20" x14ac:dyDescent="0.25">
      <c r="A3" s="194">
        <v>27.34</v>
      </c>
      <c r="B3" s="194">
        <v>0.03</v>
      </c>
      <c r="C3" s="194">
        <v>10.08</v>
      </c>
      <c r="D3" s="8">
        <v>43075.041666666664</v>
      </c>
      <c r="E3" s="194">
        <v>0.48</v>
      </c>
      <c r="F3" s="194" t="s">
        <v>408</v>
      </c>
      <c r="G3" s="194">
        <v>308.42</v>
      </c>
      <c r="H3" s="194">
        <v>0</v>
      </c>
      <c r="I3" s="194">
        <v>0</v>
      </c>
      <c r="J3" s="194">
        <v>1027.97</v>
      </c>
      <c r="K3" s="194" t="s">
        <v>407</v>
      </c>
      <c r="L3" s="194">
        <v>27.34</v>
      </c>
      <c r="M3" s="194">
        <v>1512547200</v>
      </c>
      <c r="N3" s="194">
        <v>0</v>
      </c>
      <c r="O3" s="194">
        <v>3.34</v>
      </c>
      <c r="P3" s="194">
        <v>157</v>
      </c>
      <c r="Q3" s="194">
        <v>4.5599999999999996</v>
      </c>
      <c r="R3" s="194">
        <v>1.7</v>
      </c>
      <c r="S3"/>
      <c r="T3"/>
    </row>
    <row r="4" spans="1:20" x14ac:dyDescent="0.25">
      <c r="A4" s="194">
        <v>25.92</v>
      </c>
      <c r="B4" s="194">
        <v>0</v>
      </c>
      <c r="C4" s="194">
        <v>10.11</v>
      </c>
      <c r="D4" s="8">
        <v>43075.083333333336</v>
      </c>
      <c r="E4" s="194">
        <v>0.51</v>
      </c>
      <c r="F4" s="194" t="s">
        <v>408</v>
      </c>
      <c r="G4" s="194">
        <v>307.67</v>
      </c>
      <c r="H4" s="194">
        <v>0</v>
      </c>
      <c r="I4" s="194">
        <v>0</v>
      </c>
      <c r="J4" s="194">
        <v>1029.83</v>
      </c>
      <c r="K4" s="194" t="s">
        <v>407</v>
      </c>
      <c r="L4" s="194">
        <v>25.92</v>
      </c>
      <c r="M4" s="194">
        <v>1512550800</v>
      </c>
      <c r="N4" s="194">
        <v>0</v>
      </c>
      <c r="O4" s="194">
        <v>3.01</v>
      </c>
      <c r="P4" s="194">
        <v>178</v>
      </c>
      <c r="Q4" s="194">
        <v>3.17</v>
      </c>
      <c r="R4" s="194">
        <v>1.44</v>
      </c>
      <c r="S4"/>
      <c r="T4"/>
    </row>
    <row r="5" spans="1:20" x14ac:dyDescent="0.25">
      <c r="A5" s="194">
        <v>24.7</v>
      </c>
      <c r="B5" s="194">
        <v>0.04</v>
      </c>
      <c r="C5" s="194">
        <v>10.41</v>
      </c>
      <c r="D5" s="8">
        <v>43075.125</v>
      </c>
      <c r="E5" s="194">
        <v>0.54</v>
      </c>
      <c r="F5" s="194" t="s">
        <v>408</v>
      </c>
      <c r="G5" s="194">
        <v>306.7</v>
      </c>
      <c r="H5" s="194">
        <v>0</v>
      </c>
      <c r="I5" s="194">
        <v>0</v>
      </c>
      <c r="J5" s="194">
        <v>1029.42</v>
      </c>
      <c r="K5" s="194" t="s">
        <v>407</v>
      </c>
      <c r="L5" s="194">
        <v>24.7</v>
      </c>
      <c r="M5" s="194">
        <v>1512554400</v>
      </c>
      <c r="N5" s="194">
        <v>0</v>
      </c>
      <c r="O5" s="194">
        <v>3.24</v>
      </c>
      <c r="P5" s="194">
        <v>171</v>
      </c>
      <c r="Q5" s="194">
        <v>3.16</v>
      </c>
      <c r="R5" s="194">
        <v>1.03</v>
      </c>
      <c r="S5"/>
      <c r="T5"/>
    </row>
    <row r="6" spans="1:20" x14ac:dyDescent="0.25">
      <c r="A6" s="194">
        <v>23.77</v>
      </c>
      <c r="B6" s="194">
        <v>0.4</v>
      </c>
      <c r="C6" s="194">
        <v>10.61</v>
      </c>
      <c r="D6" s="8">
        <v>43075.166666666664</v>
      </c>
      <c r="E6" s="194">
        <v>0.56999999999999995</v>
      </c>
      <c r="F6" s="194" t="s">
        <v>881</v>
      </c>
      <c r="G6" s="194">
        <v>305.51</v>
      </c>
      <c r="H6" s="194">
        <v>0</v>
      </c>
      <c r="I6" s="194">
        <v>0</v>
      </c>
      <c r="J6" s="194">
        <v>1030.28</v>
      </c>
      <c r="K6" s="194" t="s">
        <v>882</v>
      </c>
      <c r="L6" s="194">
        <v>23.77</v>
      </c>
      <c r="M6" s="194">
        <v>1512558000</v>
      </c>
      <c r="N6" s="194">
        <v>0</v>
      </c>
      <c r="O6" s="194">
        <v>3.39</v>
      </c>
      <c r="P6" s="194">
        <v>166</v>
      </c>
      <c r="Q6" s="194">
        <v>2.5099999999999998</v>
      </c>
      <c r="R6" s="194">
        <v>0.74</v>
      </c>
      <c r="S6"/>
      <c r="T6"/>
    </row>
    <row r="7" spans="1:20" x14ac:dyDescent="0.25">
      <c r="A7" s="194">
        <v>23.57</v>
      </c>
      <c r="B7" s="194">
        <v>0.77</v>
      </c>
      <c r="C7" s="194">
        <v>11.24</v>
      </c>
      <c r="D7" s="8">
        <v>43075.208333333336</v>
      </c>
      <c r="E7" s="194">
        <v>0.59</v>
      </c>
      <c r="F7" s="194" t="s">
        <v>881</v>
      </c>
      <c r="G7" s="194">
        <v>303.02999999999997</v>
      </c>
      <c r="H7" s="194">
        <v>0</v>
      </c>
      <c r="I7" s="194">
        <v>0</v>
      </c>
      <c r="J7" s="194">
        <v>1030.8</v>
      </c>
      <c r="K7" s="194" t="s">
        <v>883</v>
      </c>
      <c r="L7" s="194">
        <v>23.57</v>
      </c>
      <c r="M7" s="194">
        <v>1512561600</v>
      </c>
      <c r="N7" s="194">
        <v>0</v>
      </c>
      <c r="O7" s="194">
        <v>3.42</v>
      </c>
      <c r="P7" s="194">
        <v>166</v>
      </c>
      <c r="Q7" s="194">
        <v>3.18</v>
      </c>
      <c r="R7" s="194">
        <v>0.63</v>
      </c>
      <c r="S7"/>
      <c r="T7"/>
    </row>
    <row r="8" spans="1:20" x14ac:dyDescent="0.25">
      <c r="A8" s="194">
        <v>23.83</v>
      </c>
      <c r="B8" s="194">
        <v>0.55000000000000004</v>
      </c>
      <c r="C8" s="194">
        <v>11.42</v>
      </c>
      <c r="D8" s="8">
        <v>43075.25</v>
      </c>
      <c r="E8" s="194">
        <v>0.57999999999999996</v>
      </c>
      <c r="F8" s="194" t="s">
        <v>881</v>
      </c>
      <c r="G8" s="194">
        <v>302.60000000000002</v>
      </c>
      <c r="H8" s="194">
        <v>0</v>
      </c>
      <c r="I8" s="194">
        <v>0</v>
      </c>
      <c r="J8" s="194">
        <v>1031.53</v>
      </c>
      <c r="K8" s="194" t="s">
        <v>882</v>
      </c>
      <c r="L8" s="194">
        <v>23.83</v>
      </c>
      <c r="M8" s="194">
        <v>1512565200</v>
      </c>
      <c r="N8" s="194">
        <v>0</v>
      </c>
      <c r="O8" s="194">
        <v>4</v>
      </c>
      <c r="P8" s="194">
        <v>193</v>
      </c>
      <c r="Q8" s="194">
        <v>2.94</v>
      </c>
      <c r="R8" s="194">
        <v>0.93</v>
      </c>
      <c r="S8"/>
      <c r="T8"/>
    </row>
    <row r="9" spans="1:20" x14ac:dyDescent="0.25">
      <c r="A9" s="194">
        <v>22.6</v>
      </c>
      <c r="B9" s="194">
        <v>0.17</v>
      </c>
      <c r="C9" s="194">
        <v>11.14</v>
      </c>
      <c r="D9" s="8">
        <v>43075.291666666664</v>
      </c>
      <c r="E9" s="194">
        <v>0.61</v>
      </c>
      <c r="F9" s="194" t="s">
        <v>408</v>
      </c>
      <c r="G9" s="194">
        <v>302.51</v>
      </c>
      <c r="H9" s="194">
        <v>0</v>
      </c>
      <c r="I9" s="194">
        <v>0</v>
      </c>
      <c r="J9" s="194">
        <v>1033.02</v>
      </c>
      <c r="K9" s="194" t="s">
        <v>407</v>
      </c>
      <c r="L9" s="194">
        <v>22.6</v>
      </c>
      <c r="M9" s="194">
        <v>1512568800</v>
      </c>
      <c r="N9" s="194">
        <v>0</v>
      </c>
      <c r="O9" s="194">
        <v>4.16</v>
      </c>
      <c r="P9" s="194">
        <v>191</v>
      </c>
      <c r="Q9" s="194">
        <v>2.4900000000000002</v>
      </c>
      <c r="R9" s="194">
        <v>0.81</v>
      </c>
      <c r="S9"/>
      <c r="T9"/>
    </row>
    <row r="10" spans="1:20" x14ac:dyDescent="0.25">
      <c r="A10" s="194">
        <v>22.53</v>
      </c>
      <c r="B10" s="194">
        <v>7.0000000000000007E-2</v>
      </c>
      <c r="C10" s="194">
        <v>11.4</v>
      </c>
      <c r="D10" s="8">
        <v>43075.333333333336</v>
      </c>
      <c r="E10" s="194">
        <v>0.62</v>
      </c>
      <c r="F10" s="194" t="s">
        <v>421</v>
      </c>
      <c r="G10" s="194">
        <v>302.73</v>
      </c>
      <c r="H10" s="194">
        <v>0</v>
      </c>
      <c r="I10" s="194">
        <v>0</v>
      </c>
      <c r="J10" s="194">
        <v>1033.72</v>
      </c>
      <c r="K10" s="194" t="s">
        <v>407</v>
      </c>
      <c r="L10" s="194">
        <v>22.53</v>
      </c>
      <c r="M10" s="194">
        <v>1512572400</v>
      </c>
      <c r="N10" s="194">
        <v>1</v>
      </c>
      <c r="O10" s="194">
        <v>4.8</v>
      </c>
      <c r="P10" s="194">
        <v>119</v>
      </c>
      <c r="Q10" s="194">
        <v>3.01</v>
      </c>
      <c r="R10" s="194">
        <v>0.62</v>
      </c>
      <c r="S10"/>
      <c r="T10"/>
    </row>
    <row r="11" spans="1:20" x14ac:dyDescent="0.25">
      <c r="A11" s="194">
        <v>27.88</v>
      </c>
      <c r="B11" s="194">
        <v>0.09</v>
      </c>
      <c r="C11" s="194">
        <v>12.68</v>
      </c>
      <c r="D11" s="8">
        <v>43075.375</v>
      </c>
      <c r="E11" s="194">
        <v>0.52</v>
      </c>
      <c r="F11" s="194" t="s">
        <v>421</v>
      </c>
      <c r="G11" s="194">
        <v>303.39</v>
      </c>
      <c r="H11" s="194">
        <v>0</v>
      </c>
      <c r="I11" s="194">
        <v>0</v>
      </c>
      <c r="J11" s="194">
        <v>1033.72</v>
      </c>
      <c r="K11" s="194" t="s">
        <v>407</v>
      </c>
      <c r="L11" s="194">
        <v>27.88</v>
      </c>
      <c r="M11" s="194">
        <v>1512576000</v>
      </c>
      <c r="N11" s="194">
        <v>1</v>
      </c>
      <c r="O11" s="194">
        <v>4.82</v>
      </c>
      <c r="P11" s="194">
        <v>59</v>
      </c>
      <c r="Q11" s="194">
        <v>5.83</v>
      </c>
      <c r="R11" s="194">
        <v>1.33</v>
      </c>
      <c r="S11"/>
      <c r="T11"/>
    </row>
    <row r="12" spans="1:20" x14ac:dyDescent="0.25">
      <c r="A12" s="194">
        <v>31.82</v>
      </c>
      <c r="B12" s="194">
        <v>0.1</v>
      </c>
      <c r="C12" s="194">
        <v>10.37</v>
      </c>
      <c r="D12" s="8">
        <v>43075.416666666664</v>
      </c>
      <c r="E12" s="194">
        <v>0.4</v>
      </c>
      <c r="F12" s="194" t="s">
        <v>421</v>
      </c>
      <c r="G12" s="194">
        <v>304.37</v>
      </c>
      <c r="H12" s="194">
        <v>0</v>
      </c>
      <c r="I12" s="194">
        <v>0</v>
      </c>
      <c r="J12" s="194">
        <v>1033.4000000000001</v>
      </c>
      <c r="K12" s="194" t="s">
        <v>407</v>
      </c>
      <c r="L12" s="194">
        <v>31.82</v>
      </c>
      <c r="M12" s="194">
        <v>1512579600</v>
      </c>
      <c r="N12" s="194">
        <v>1</v>
      </c>
      <c r="O12" s="194">
        <v>5.63</v>
      </c>
      <c r="P12" s="194">
        <v>12</v>
      </c>
      <c r="Q12" s="194">
        <v>8.4</v>
      </c>
      <c r="R12" s="194">
        <v>2.19</v>
      </c>
      <c r="S12"/>
      <c r="T12"/>
    </row>
    <row r="13" spans="1:20" x14ac:dyDescent="0.25">
      <c r="A13" s="194">
        <v>32.4</v>
      </c>
      <c r="B13" s="194">
        <v>0.16</v>
      </c>
      <c r="C13" s="194">
        <v>7.9</v>
      </c>
      <c r="D13" s="8">
        <v>43075.458333333336</v>
      </c>
      <c r="E13" s="194">
        <v>0.32</v>
      </c>
      <c r="F13" s="194" t="s">
        <v>421</v>
      </c>
      <c r="G13" s="194">
        <v>304.70999999999998</v>
      </c>
      <c r="H13" s="194">
        <v>0</v>
      </c>
      <c r="I13" s="194">
        <v>0</v>
      </c>
      <c r="J13" s="194">
        <v>1032.3699999999999</v>
      </c>
      <c r="K13" s="194" t="s">
        <v>407</v>
      </c>
      <c r="L13" s="194">
        <v>34.9</v>
      </c>
      <c r="M13" s="194">
        <v>1512583200</v>
      </c>
      <c r="N13" s="194">
        <v>2</v>
      </c>
      <c r="O13" s="194">
        <v>5.44</v>
      </c>
      <c r="P13" s="194">
        <v>349</v>
      </c>
      <c r="Q13" s="194">
        <v>10.67</v>
      </c>
      <c r="R13" s="194">
        <v>3.16</v>
      </c>
      <c r="S13"/>
      <c r="T13"/>
    </row>
    <row r="14" spans="1:20" x14ac:dyDescent="0.25">
      <c r="A14" s="194">
        <v>36.619999999999997</v>
      </c>
      <c r="B14" s="194">
        <v>0.12</v>
      </c>
      <c r="C14" s="194">
        <v>6.16</v>
      </c>
      <c r="D14" s="8">
        <v>43075.5</v>
      </c>
      <c r="E14" s="194">
        <v>0.27</v>
      </c>
      <c r="F14" s="194" t="s">
        <v>421</v>
      </c>
      <c r="G14" s="194">
        <v>305.45999999999998</v>
      </c>
      <c r="H14" s="194">
        <v>0</v>
      </c>
      <c r="I14" s="194">
        <v>0</v>
      </c>
      <c r="J14" s="194">
        <v>1031.47</v>
      </c>
      <c r="K14" s="194" t="s">
        <v>407</v>
      </c>
      <c r="L14" s="194">
        <v>36.619999999999997</v>
      </c>
      <c r="M14" s="194">
        <v>1512586800</v>
      </c>
      <c r="N14" s="194">
        <v>2</v>
      </c>
      <c r="O14" s="194">
        <v>5.63</v>
      </c>
      <c r="P14" s="194">
        <v>326</v>
      </c>
      <c r="Q14" s="194">
        <v>9.8000000000000007</v>
      </c>
      <c r="R14" s="194">
        <v>2.83</v>
      </c>
      <c r="S14"/>
      <c r="T14"/>
    </row>
    <row r="15" spans="1:20" x14ac:dyDescent="0.25">
      <c r="A15" s="194">
        <v>34.28</v>
      </c>
      <c r="B15" s="194">
        <v>0.4</v>
      </c>
      <c r="C15" s="194">
        <v>4.71</v>
      </c>
      <c r="D15" s="8">
        <v>43075.541666666664</v>
      </c>
      <c r="E15" s="194">
        <v>0.25</v>
      </c>
      <c r="F15" s="194" t="s">
        <v>884</v>
      </c>
      <c r="G15" s="194">
        <v>305.99</v>
      </c>
      <c r="H15" s="194">
        <v>0</v>
      </c>
      <c r="I15" s="194">
        <v>0</v>
      </c>
      <c r="J15" s="194">
        <v>1030.42</v>
      </c>
      <c r="K15" s="194" t="s">
        <v>882</v>
      </c>
      <c r="L15" s="194">
        <v>37.090000000000003</v>
      </c>
      <c r="M15" s="194">
        <v>1512590400</v>
      </c>
      <c r="N15" s="194">
        <v>2</v>
      </c>
      <c r="O15" s="194">
        <v>5.63</v>
      </c>
      <c r="P15" s="194">
        <v>338</v>
      </c>
      <c r="Q15" s="194">
        <v>11.42</v>
      </c>
      <c r="R15" s="194">
        <v>3.69</v>
      </c>
      <c r="S15"/>
      <c r="T15"/>
    </row>
    <row r="16" spans="1:20" x14ac:dyDescent="0.25">
      <c r="A16" s="194">
        <v>32.39</v>
      </c>
      <c r="B16" s="194">
        <v>0.51</v>
      </c>
      <c r="C16" s="194">
        <v>2.16</v>
      </c>
      <c r="D16" s="8">
        <v>43075.583333333336</v>
      </c>
      <c r="E16" s="194">
        <v>0.23</v>
      </c>
      <c r="F16" s="194" t="s">
        <v>884</v>
      </c>
      <c r="G16" s="194">
        <v>306.3</v>
      </c>
      <c r="H16" s="194">
        <v>0</v>
      </c>
      <c r="I16" s="194">
        <v>0</v>
      </c>
      <c r="J16" s="194">
        <v>1030.47</v>
      </c>
      <c r="K16" s="194" t="s">
        <v>882</v>
      </c>
      <c r="L16" s="194">
        <v>36.89</v>
      </c>
      <c r="M16" s="194">
        <v>1512594000</v>
      </c>
      <c r="N16" s="194">
        <v>1</v>
      </c>
      <c r="O16" s="194">
        <v>5.63</v>
      </c>
      <c r="P16" s="194">
        <v>332</v>
      </c>
      <c r="Q16" s="194">
        <v>15.29</v>
      </c>
      <c r="R16" s="194">
        <v>5.54</v>
      </c>
      <c r="S16"/>
      <c r="T16"/>
    </row>
    <row r="17" spans="1:20" x14ac:dyDescent="0.25">
      <c r="A17" s="194">
        <v>31.01</v>
      </c>
      <c r="B17" s="194">
        <v>0.39</v>
      </c>
      <c r="C17" s="194">
        <v>2.39</v>
      </c>
      <c r="D17" s="8">
        <v>43075.625</v>
      </c>
      <c r="E17" s="194">
        <v>0.24</v>
      </c>
      <c r="F17" s="194" t="s">
        <v>884</v>
      </c>
      <c r="G17" s="194">
        <v>306.07</v>
      </c>
      <c r="H17" s="194">
        <v>0</v>
      </c>
      <c r="I17" s="194">
        <v>0</v>
      </c>
      <c r="J17" s="194">
        <v>1030.77</v>
      </c>
      <c r="K17" s="194" t="s">
        <v>882</v>
      </c>
      <c r="L17" s="194">
        <v>36.01</v>
      </c>
      <c r="M17" s="194">
        <v>1512597600</v>
      </c>
      <c r="N17" s="194">
        <v>1</v>
      </c>
      <c r="O17" s="194">
        <v>4.59</v>
      </c>
      <c r="P17" s="194">
        <v>348</v>
      </c>
      <c r="Q17" s="194">
        <v>16.21</v>
      </c>
      <c r="R17" s="194">
        <v>6</v>
      </c>
      <c r="S17"/>
      <c r="T17"/>
    </row>
    <row r="18" spans="1:20" x14ac:dyDescent="0.25">
      <c r="A18" s="194">
        <v>27.81</v>
      </c>
      <c r="B18" s="194">
        <v>0.27</v>
      </c>
      <c r="C18" s="194">
        <v>3.44</v>
      </c>
      <c r="D18" s="8">
        <v>43075.666666666664</v>
      </c>
      <c r="E18" s="194">
        <v>0.27</v>
      </c>
      <c r="F18" s="194" t="s">
        <v>884</v>
      </c>
      <c r="G18" s="194">
        <v>305.41000000000003</v>
      </c>
      <c r="H18" s="194">
        <v>0</v>
      </c>
      <c r="I18" s="194">
        <v>0</v>
      </c>
      <c r="J18" s="194">
        <v>1031.69</v>
      </c>
      <c r="K18" s="194" t="s">
        <v>882</v>
      </c>
      <c r="L18" s="194">
        <v>33.89</v>
      </c>
      <c r="M18" s="194">
        <v>1512601200</v>
      </c>
      <c r="N18" s="194">
        <v>0</v>
      </c>
      <c r="O18" s="194">
        <v>4.82</v>
      </c>
      <c r="P18" s="194">
        <v>2</v>
      </c>
      <c r="Q18" s="194">
        <v>15.78</v>
      </c>
      <c r="R18" s="194">
        <v>6.96</v>
      </c>
      <c r="S18"/>
      <c r="T18"/>
    </row>
    <row r="19" spans="1:20" x14ac:dyDescent="0.25">
      <c r="A19" s="194">
        <v>23.88</v>
      </c>
      <c r="B19" s="194">
        <v>0.18</v>
      </c>
      <c r="C19" s="194">
        <v>4.79</v>
      </c>
      <c r="D19" s="8">
        <v>43075.708333333336</v>
      </c>
      <c r="E19" s="194">
        <v>0.33</v>
      </c>
      <c r="F19" s="194" t="s">
        <v>408</v>
      </c>
      <c r="G19" s="194">
        <v>305.08999999999997</v>
      </c>
      <c r="H19" s="194">
        <v>0</v>
      </c>
      <c r="I19" s="194">
        <v>0</v>
      </c>
      <c r="J19" s="194">
        <v>1032.58</v>
      </c>
      <c r="K19" s="194" t="s">
        <v>407</v>
      </c>
      <c r="L19" s="194">
        <v>30.46</v>
      </c>
      <c r="M19" s="194">
        <v>1512604800</v>
      </c>
      <c r="N19" s="194">
        <v>0</v>
      </c>
      <c r="O19" s="194">
        <v>4.6399999999999997</v>
      </c>
      <c r="P19" s="194">
        <v>5</v>
      </c>
      <c r="Q19" s="194">
        <v>14.4</v>
      </c>
      <c r="R19" s="194">
        <v>6.67</v>
      </c>
      <c r="S19"/>
      <c r="T19"/>
    </row>
    <row r="20" spans="1:20" x14ac:dyDescent="0.25">
      <c r="A20" s="194">
        <v>22.31</v>
      </c>
      <c r="B20" s="194">
        <v>0.13</v>
      </c>
      <c r="C20" s="194">
        <v>5.49</v>
      </c>
      <c r="D20" s="8">
        <v>43075.75</v>
      </c>
      <c r="E20" s="194">
        <v>0.37</v>
      </c>
      <c r="F20" s="194" t="s">
        <v>408</v>
      </c>
      <c r="G20" s="194">
        <v>303.89999999999998</v>
      </c>
      <c r="H20" s="194">
        <v>0</v>
      </c>
      <c r="I20" s="194">
        <v>0</v>
      </c>
      <c r="J20" s="194">
        <v>1033.6400000000001</v>
      </c>
      <c r="K20" s="194" t="s">
        <v>407</v>
      </c>
      <c r="L20" s="194">
        <v>28.52</v>
      </c>
      <c r="M20" s="194">
        <v>1512608400</v>
      </c>
      <c r="N20" s="194">
        <v>0</v>
      </c>
      <c r="O20" s="194">
        <v>4.82</v>
      </c>
      <c r="P20" s="194">
        <v>0</v>
      </c>
      <c r="Q20" s="194">
        <v>11.88</v>
      </c>
      <c r="R20" s="194">
        <v>5.74</v>
      </c>
      <c r="S20"/>
      <c r="T20"/>
    </row>
    <row r="21" spans="1:20" x14ac:dyDescent="0.25">
      <c r="A21" s="194">
        <v>24.05</v>
      </c>
      <c r="B21" s="194">
        <v>0.19</v>
      </c>
      <c r="C21" s="194">
        <v>6.72</v>
      </c>
      <c r="D21" s="8">
        <v>43075.791666666664</v>
      </c>
      <c r="E21" s="194">
        <v>0.41</v>
      </c>
      <c r="F21" s="194" t="s">
        <v>408</v>
      </c>
      <c r="G21" s="194">
        <v>302.48</v>
      </c>
      <c r="H21" s="194">
        <v>0</v>
      </c>
      <c r="I21" s="194">
        <v>0</v>
      </c>
      <c r="J21" s="194">
        <v>1034.6400000000001</v>
      </c>
      <c r="K21" s="194" t="s">
        <v>407</v>
      </c>
      <c r="L21" s="194">
        <v>27.4</v>
      </c>
      <c r="M21" s="194">
        <v>1512612000</v>
      </c>
      <c r="N21" s="194">
        <v>0</v>
      </c>
      <c r="O21" s="194">
        <v>4.6399999999999997</v>
      </c>
      <c r="P21" s="194">
        <v>3</v>
      </c>
      <c r="Q21" s="194">
        <v>7.69</v>
      </c>
      <c r="R21" s="194">
        <v>3.04</v>
      </c>
      <c r="S21"/>
      <c r="T21"/>
    </row>
    <row r="22" spans="1:20" x14ac:dyDescent="0.25">
      <c r="A22" s="194">
        <v>26.7</v>
      </c>
      <c r="B22" s="194">
        <v>0.25</v>
      </c>
      <c r="C22" s="194">
        <v>8.85</v>
      </c>
      <c r="D22" s="8">
        <v>43075.833333333336</v>
      </c>
      <c r="E22" s="194">
        <v>0.46</v>
      </c>
      <c r="F22" s="194" t="s">
        <v>881</v>
      </c>
      <c r="G22" s="194">
        <v>301.61</v>
      </c>
      <c r="H22" s="194">
        <v>0</v>
      </c>
      <c r="I22" s="194">
        <v>0</v>
      </c>
      <c r="J22" s="194">
        <v>1035.29</v>
      </c>
      <c r="K22" s="194" t="s">
        <v>882</v>
      </c>
      <c r="L22" s="194">
        <v>26.7</v>
      </c>
      <c r="M22" s="194">
        <v>1512615600</v>
      </c>
      <c r="N22" s="194">
        <v>0</v>
      </c>
      <c r="O22" s="194">
        <v>4.82</v>
      </c>
      <c r="P22" s="194">
        <v>7</v>
      </c>
      <c r="Q22" s="194">
        <v>7.18</v>
      </c>
      <c r="R22" s="194">
        <v>2.74</v>
      </c>
      <c r="S22"/>
      <c r="T22"/>
    </row>
    <row r="23" spans="1:20" x14ac:dyDescent="0.25">
      <c r="A23" s="194">
        <v>25.3</v>
      </c>
      <c r="B23" s="194">
        <v>0.42</v>
      </c>
      <c r="C23" s="194">
        <v>10.31</v>
      </c>
      <c r="D23" s="8">
        <v>43075.875</v>
      </c>
      <c r="E23" s="194">
        <v>0.52</v>
      </c>
      <c r="F23" s="194" t="s">
        <v>881</v>
      </c>
      <c r="G23" s="194">
        <v>301.39999999999998</v>
      </c>
      <c r="H23" s="194">
        <v>0</v>
      </c>
      <c r="I23" s="194">
        <v>0</v>
      </c>
      <c r="J23" s="194">
        <v>1035.31</v>
      </c>
      <c r="K23" s="194" t="s">
        <v>882</v>
      </c>
      <c r="L23" s="194">
        <v>25.3</v>
      </c>
      <c r="M23" s="194">
        <v>1512619200</v>
      </c>
      <c r="N23" s="194">
        <v>0</v>
      </c>
      <c r="O23" s="194">
        <v>4.82</v>
      </c>
      <c r="P23" s="194">
        <v>35</v>
      </c>
      <c r="Q23" s="194">
        <v>5.03</v>
      </c>
      <c r="R23" s="194">
        <v>1.8</v>
      </c>
      <c r="S23"/>
      <c r="T23"/>
    </row>
    <row r="24" spans="1:20" x14ac:dyDescent="0.25">
      <c r="A24" s="194">
        <v>23.72</v>
      </c>
      <c r="B24" s="194">
        <v>0.55000000000000004</v>
      </c>
      <c r="C24" s="194">
        <v>12.55</v>
      </c>
      <c r="D24" s="8">
        <v>43075.916666666664</v>
      </c>
      <c r="E24" s="194">
        <v>0.62</v>
      </c>
      <c r="F24" s="194" t="s">
        <v>881</v>
      </c>
      <c r="G24" s="194">
        <v>301.74</v>
      </c>
      <c r="H24" s="194">
        <v>0</v>
      </c>
      <c r="I24" s="194">
        <v>0</v>
      </c>
      <c r="J24" s="194">
        <v>1035.27</v>
      </c>
      <c r="K24" s="194" t="s">
        <v>882</v>
      </c>
      <c r="L24" s="194">
        <v>23.72</v>
      </c>
      <c r="M24" s="194">
        <v>1512622800</v>
      </c>
      <c r="N24" s="194">
        <v>0</v>
      </c>
      <c r="O24" s="194">
        <v>4.04</v>
      </c>
      <c r="P24" s="194">
        <v>85</v>
      </c>
      <c r="Q24" s="194">
        <v>4.9400000000000004</v>
      </c>
      <c r="R24" s="194">
        <v>1.79</v>
      </c>
      <c r="S24"/>
      <c r="T24"/>
    </row>
    <row r="25" spans="1:20" x14ac:dyDescent="0.25">
      <c r="A25" s="194">
        <v>22.45</v>
      </c>
      <c r="B25" s="194">
        <v>0.72</v>
      </c>
      <c r="C25" s="194">
        <v>13.22</v>
      </c>
      <c r="D25" s="8">
        <v>43075.958333333336</v>
      </c>
      <c r="E25" s="194">
        <v>0.67</v>
      </c>
      <c r="F25" s="194" t="s">
        <v>881</v>
      </c>
      <c r="G25" s="194">
        <v>302.3</v>
      </c>
      <c r="H25" s="194">
        <v>0</v>
      </c>
      <c r="I25" s="194">
        <v>0</v>
      </c>
      <c r="J25" s="194">
        <v>1034.82</v>
      </c>
      <c r="K25" s="194" t="s">
        <v>883</v>
      </c>
      <c r="L25" s="194">
        <v>22.45</v>
      </c>
      <c r="M25" s="194">
        <v>1512626400</v>
      </c>
      <c r="N25" s="194">
        <v>0</v>
      </c>
      <c r="O25" s="194">
        <v>3.83</v>
      </c>
      <c r="P25" s="194">
        <v>128</v>
      </c>
      <c r="Q25" s="194">
        <v>3.64</v>
      </c>
      <c r="R25" s="194">
        <v>1.25</v>
      </c>
      <c r="S25"/>
      <c r="T25"/>
    </row>
    <row r="26" spans="1:20" x14ac:dyDescent="0.25">
      <c r="A26" s="194">
        <v>21.32</v>
      </c>
      <c r="B26" s="194">
        <v>0.65</v>
      </c>
      <c r="C26" s="194">
        <v>12.74</v>
      </c>
      <c r="D26" s="8">
        <v>43076</v>
      </c>
      <c r="E26" s="194">
        <v>0.69</v>
      </c>
      <c r="F26" s="194" t="s">
        <v>881</v>
      </c>
      <c r="G26" s="194">
        <v>303.29000000000002</v>
      </c>
      <c r="H26" s="194">
        <v>0</v>
      </c>
      <c r="I26" s="194">
        <v>0</v>
      </c>
      <c r="J26" s="194">
        <v>1034.6400000000001</v>
      </c>
      <c r="K26" s="194" t="s">
        <v>883</v>
      </c>
      <c r="L26" s="194">
        <v>21.32</v>
      </c>
      <c r="M26" s="194">
        <v>1512630000</v>
      </c>
      <c r="N26" s="194">
        <v>0</v>
      </c>
      <c r="O26" s="194">
        <v>3.83</v>
      </c>
      <c r="P26" s="194">
        <v>154</v>
      </c>
      <c r="Q26" s="194">
        <v>4.46</v>
      </c>
      <c r="R26" s="194">
        <v>1.58</v>
      </c>
      <c r="S26"/>
      <c r="T26"/>
    </row>
    <row r="27" spans="1:20" x14ac:dyDescent="0.25">
      <c r="A27" s="194">
        <v>19.78</v>
      </c>
      <c r="B27" s="194">
        <v>0.39</v>
      </c>
      <c r="C27" s="194">
        <v>11.67</v>
      </c>
      <c r="D27" s="8">
        <v>43076.041666666664</v>
      </c>
      <c r="E27" s="194">
        <v>0.7</v>
      </c>
      <c r="F27" s="194" t="s">
        <v>881</v>
      </c>
      <c r="G27" s="194">
        <v>304.69</v>
      </c>
      <c r="H27" s="194">
        <v>0</v>
      </c>
      <c r="I27" s="194">
        <v>0</v>
      </c>
      <c r="J27" s="194">
        <v>1033.93</v>
      </c>
      <c r="K27" s="194" t="s">
        <v>882</v>
      </c>
      <c r="L27" s="194">
        <v>19.78</v>
      </c>
      <c r="M27" s="194">
        <v>1512633600</v>
      </c>
      <c r="N27" s="194">
        <v>0</v>
      </c>
      <c r="O27" s="194">
        <v>4.04</v>
      </c>
      <c r="P27" s="194">
        <v>164</v>
      </c>
      <c r="Q27" s="194">
        <v>3.5</v>
      </c>
      <c r="R27" s="194">
        <v>1.34</v>
      </c>
      <c r="S27"/>
      <c r="T27"/>
    </row>
    <row r="28" spans="1:20" x14ac:dyDescent="0.25">
      <c r="A28" s="194">
        <v>18.600000000000001</v>
      </c>
      <c r="B28" s="194">
        <v>0.16</v>
      </c>
      <c r="C28" s="194">
        <v>10.42</v>
      </c>
      <c r="D28" s="8">
        <v>43076.083333333336</v>
      </c>
      <c r="E28" s="194">
        <v>0.7</v>
      </c>
      <c r="F28" s="194" t="s">
        <v>408</v>
      </c>
      <c r="G28" s="194">
        <v>306.2</v>
      </c>
      <c r="H28" s="194">
        <v>0</v>
      </c>
      <c r="I28" s="194">
        <v>0</v>
      </c>
      <c r="J28" s="194">
        <v>1036.3699999999999</v>
      </c>
      <c r="K28" s="194" t="s">
        <v>407</v>
      </c>
      <c r="L28" s="194">
        <v>18.600000000000001</v>
      </c>
      <c r="M28" s="194">
        <v>1512637200</v>
      </c>
      <c r="N28" s="194">
        <v>0</v>
      </c>
      <c r="O28" s="194">
        <v>3.59</v>
      </c>
      <c r="P28" s="194">
        <v>148</v>
      </c>
      <c r="Q28" s="194">
        <v>2.3199999999999998</v>
      </c>
      <c r="R28" s="194">
        <v>1.1200000000000001</v>
      </c>
      <c r="S28"/>
      <c r="T28"/>
    </row>
    <row r="29" spans="1:20" x14ac:dyDescent="0.25">
      <c r="A29" s="194">
        <v>17.87</v>
      </c>
      <c r="B29" s="194">
        <v>0.15</v>
      </c>
      <c r="C29" s="194">
        <v>8.92</v>
      </c>
      <c r="D29" s="8">
        <v>43076.125</v>
      </c>
      <c r="E29" s="194">
        <v>0.67</v>
      </c>
      <c r="F29" s="194" t="s">
        <v>408</v>
      </c>
      <c r="G29" s="194">
        <v>307.81</v>
      </c>
      <c r="H29" s="194">
        <v>0</v>
      </c>
      <c r="I29" s="194">
        <v>0</v>
      </c>
      <c r="J29" s="194">
        <v>1036.48</v>
      </c>
      <c r="K29" s="194" t="s">
        <v>407</v>
      </c>
      <c r="L29" s="194">
        <v>17.87</v>
      </c>
      <c r="M29" s="194">
        <v>1512640800</v>
      </c>
      <c r="N29" s="194">
        <v>0</v>
      </c>
      <c r="O29" s="194">
        <v>5.4</v>
      </c>
      <c r="P29" s="194">
        <v>149</v>
      </c>
      <c r="Q29" s="194">
        <v>2.58</v>
      </c>
      <c r="R29" s="194">
        <v>1.86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43075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1103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627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1104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1105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1106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1107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1108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1109</v>
      </c>
      <c r="J25" s="139" t="s">
        <v>144</v>
      </c>
      <c r="M25" s="153" t="b">
        <v>1</v>
      </c>
    </row>
    <row r="26" spans="3:24" x14ac:dyDescent="0.25">
      <c r="C26" t="s">
        <v>1110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%USERPROFILE%\Documents\GitHub\eaglep3-reporting\EC\2017-12-06-refined-times.txt</v>
      </c>
    </row>
    <row r="27" spans="3:24" x14ac:dyDescent="0.25">
      <c r="C27" t="s">
        <v>1111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%USERPROFILE%\Documents\GitHub\eaglep3-reporting\EC\2017-12-06-Enforcements.txt</v>
      </c>
    </row>
    <row r="28" spans="3:24" x14ac:dyDescent="0.25">
      <c r="C28" t="s">
        <v>1112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%USERPROFILE%\Documents\GitHub\eaglep3-reporting\EC\2017-12-06-Runs-refined.txt</v>
      </c>
    </row>
    <row r="29" spans="3:24" x14ac:dyDescent="0.25">
      <c r="C29" t="s">
        <v>1113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%USERPROFILE%\Documents\GitHub\eaglep3-reporting\EC\2017-12-06-Trips.txt</v>
      </c>
    </row>
    <row r="30" spans="3:24" x14ac:dyDescent="0.25">
      <c r="C30" t="s">
        <v>1114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%USERPROFILE%\Documents\GitHub\eaglep3-reporting\EC\2017-12-06-Weather.txt</v>
      </c>
    </row>
    <row r="31" spans="3:24" x14ac:dyDescent="0.25">
      <c r="C31" t="s">
        <v>1115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353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2017-12-07T16:36:36Z</dcterms:modified>
</cp:coreProperties>
</file>